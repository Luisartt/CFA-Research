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tecmx-my.sharepoint.com/personal/a01403564_tec_mx/Documents/Escritorio/CFA-Research/.claude/worktrees/dcf-balance-general-dd4b56/analisis-dcf-2026-10-26/datos/"/>
    </mc:Choice>
  </mc:AlternateContent>
  <xr:revisionPtr revIDLastSave="0" documentId="11_2104E0F513B9E90ED7E57CA51C6ECD98A3923A29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tes" sheetId="1" r:id="rId1"/>
    <sheet name="Data" sheetId="2" r:id="rId2"/>
    <sheet name="Growth_view" sheetId="3" r:id="rId3"/>
    <sheet name="IAS29_test" sheetId="4" r:id="rId4"/>
    <sheet name="FX" sheetId="5" r:id="rId5"/>
    <sheet name="Regional_agg" sheetId="6" r:id="rId6"/>
    <sheet name="Ratio_history" sheetId="7" r:id="rId7"/>
    <sheet name="Ratio_NA" sheetId="8" r:id="rId8"/>
    <sheet name="Evidence_MEX" sheetId="9" r:id="rId9"/>
    <sheet name="Ratios_9M26" sheetId="10" r:id="rId10"/>
    <sheet name="Organic_pass" sheetId="11" r:id="rId11"/>
    <sheet name="Cross_check_history" sheetId="12" r:id="rId12"/>
    <sheet name="Regional_FX" sheetId="13" r:id="rId13"/>
    <sheet name="PPP_terminal" sheetId="14" r:id="rId14"/>
  </sheets>
  <definedNames>
    <definedName name="_xlnm._FilterDatabase" localSheetId="1" hidden="1">Data!$A$1:$K$641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4" l="1"/>
  <c r="D41" i="14"/>
  <c r="D40" i="14"/>
  <c r="D39" i="14"/>
  <c r="D38" i="14"/>
  <c r="E38" i="14" s="1"/>
  <c r="F38" i="14" s="1"/>
  <c r="D37" i="14"/>
  <c r="E37" i="14" s="1"/>
  <c r="F37" i="14" s="1"/>
  <c r="D36" i="14"/>
  <c r="E36" i="14" s="1"/>
  <c r="F36" i="14" s="1"/>
  <c r="D35" i="14"/>
  <c r="E35" i="14" s="1"/>
  <c r="F35" i="14" s="1"/>
  <c r="D34" i="14"/>
  <c r="E34" i="14" s="1"/>
  <c r="F34" i="14" s="1"/>
  <c r="D33" i="14"/>
  <c r="E33" i="14" s="1"/>
  <c r="F33" i="14" s="1"/>
  <c r="D32" i="14"/>
  <c r="E32" i="14" s="1"/>
  <c r="F32" i="14" s="1"/>
  <c r="D31" i="14"/>
  <c r="E31" i="14" s="1"/>
  <c r="F31" i="14" s="1"/>
  <c r="D30" i="14"/>
  <c r="E30" i="14" s="1"/>
  <c r="F30" i="14" s="1"/>
  <c r="D29" i="14"/>
  <c r="E29" i="14" s="1"/>
  <c r="F29" i="14" s="1"/>
  <c r="D28" i="14"/>
  <c r="E28" i="14" s="1"/>
  <c r="F28" i="14" s="1"/>
  <c r="D27" i="14"/>
  <c r="D26" i="14"/>
  <c r="D25" i="14"/>
  <c r="D24" i="14"/>
  <c r="E24" i="14" s="1"/>
  <c r="F24" i="14" s="1"/>
  <c r="D23" i="14"/>
  <c r="E23" i="14" s="1"/>
  <c r="F23" i="14" s="1"/>
  <c r="D22" i="14"/>
  <c r="E22" i="14" s="1"/>
  <c r="F22" i="14" s="1"/>
  <c r="D21" i="14"/>
  <c r="E21" i="14" s="1"/>
  <c r="F21" i="14" s="1"/>
  <c r="D20" i="14"/>
  <c r="E20" i="14" s="1"/>
  <c r="F20" i="14" s="1"/>
  <c r="D19" i="14"/>
  <c r="E19" i="14" s="1"/>
  <c r="F19" i="14" s="1"/>
  <c r="D18" i="14"/>
  <c r="E18" i="14" s="1"/>
  <c r="F18" i="14" s="1"/>
  <c r="D17" i="14"/>
  <c r="E17" i="14" s="1"/>
  <c r="F17" i="14" s="1"/>
  <c r="E16" i="14"/>
  <c r="F16" i="14" s="1"/>
  <c r="D16" i="14"/>
  <c r="D15" i="14"/>
  <c r="E15" i="14" s="1"/>
  <c r="F15" i="14" s="1"/>
  <c r="D14" i="14"/>
  <c r="E14" i="14" s="1"/>
  <c r="F14" i="14" s="1"/>
  <c r="D13" i="14"/>
  <c r="E13" i="14" s="1"/>
  <c r="F13" i="14" s="1"/>
  <c r="E12" i="14"/>
  <c r="F12" i="14" s="1"/>
  <c r="D12" i="14"/>
  <c r="E11" i="14"/>
  <c r="F11" i="14" s="1"/>
  <c r="D11" i="14"/>
  <c r="D10" i="14"/>
  <c r="E10" i="14" s="1"/>
  <c r="F10" i="14" s="1"/>
  <c r="D9" i="14"/>
  <c r="E9" i="14" s="1"/>
  <c r="F9" i="14" s="1"/>
  <c r="D8" i="14"/>
  <c r="E8" i="14" s="1"/>
  <c r="F8" i="14" s="1"/>
  <c r="D7" i="14"/>
  <c r="E7" i="14" s="1"/>
  <c r="F7" i="14" s="1"/>
  <c r="D6" i="14"/>
  <c r="E6" i="14" s="1"/>
  <c r="F6" i="14" s="1"/>
  <c r="D5" i="14"/>
  <c r="E5" i="14" s="1"/>
  <c r="F5" i="14" s="1"/>
  <c r="E4" i="14"/>
  <c r="F4" i="14" s="1"/>
  <c r="D4" i="14"/>
  <c r="D3" i="14"/>
  <c r="E3" i="14" s="1"/>
  <c r="F3" i="14" s="1"/>
  <c r="G42" i="13"/>
  <c r="F42" i="13"/>
  <c r="E42" i="13"/>
  <c r="D42" i="13"/>
  <c r="G41" i="13"/>
  <c r="F41" i="13"/>
  <c r="E41" i="13"/>
  <c r="D41" i="13"/>
  <c r="G40" i="13"/>
  <c r="F40" i="13"/>
  <c r="E40" i="13"/>
  <c r="D40" i="13"/>
  <c r="G39" i="13"/>
  <c r="F39" i="13"/>
  <c r="E39" i="13"/>
  <c r="D39" i="13"/>
  <c r="G38" i="13"/>
  <c r="F38" i="13"/>
  <c r="E38" i="13"/>
  <c r="D38" i="13"/>
  <c r="G37" i="13"/>
  <c r="F37" i="13"/>
  <c r="E37" i="13"/>
  <c r="D37" i="13"/>
  <c r="G36" i="13"/>
  <c r="F36" i="13"/>
  <c r="E36" i="13"/>
  <c r="D36" i="13"/>
  <c r="G35" i="13"/>
  <c r="F35" i="13"/>
  <c r="E35" i="13"/>
  <c r="D35" i="13"/>
  <c r="G34" i="13"/>
  <c r="F34" i="13"/>
  <c r="E34" i="13"/>
  <c r="D34" i="13"/>
  <c r="G33" i="13"/>
  <c r="F33" i="13"/>
  <c r="E33" i="13"/>
  <c r="D33" i="13"/>
  <c r="G32" i="13"/>
  <c r="F32" i="13"/>
  <c r="E32" i="13"/>
  <c r="D32" i="13"/>
  <c r="G31" i="13"/>
  <c r="F31" i="13"/>
  <c r="E31" i="13"/>
  <c r="D31" i="13"/>
  <c r="G30" i="13"/>
  <c r="F30" i="13"/>
  <c r="E30" i="13"/>
  <c r="D30" i="13"/>
  <c r="G29" i="13"/>
  <c r="F29" i="13"/>
  <c r="E29" i="13"/>
  <c r="D29" i="13"/>
  <c r="G28" i="13"/>
  <c r="F28" i="13"/>
  <c r="E28" i="13"/>
  <c r="D28" i="13"/>
  <c r="G27" i="13"/>
  <c r="F27" i="13"/>
  <c r="E27" i="13"/>
  <c r="D27" i="13"/>
  <c r="G26" i="13"/>
  <c r="F26" i="13"/>
  <c r="E26" i="13"/>
  <c r="D26" i="13"/>
  <c r="G25" i="13"/>
  <c r="F25" i="13"/>
  <c r="E25" i="13"/>
  <c r="D25" i="13"/>
  <c r="G24" i="13"/>
  <c r="F24" i="13"/>
  <c r="E24" i="13"/>
  <c r="D24" i="13"/>
  <c r="G23" i="13"/>
  <c r="F23" i="13"/>
  <c r="E23" i="13"/>
  <c r="D23" i="13"/>
  <c r="G22" i="13"/>
  <c r="F22" i="13"/>
  <c r="E22" i="13"/>
  <c r="D22" i="13"/>
  <c r="G21" i="13"/>
  <c r="F21" i="13"/>
  <c r="E21" i="13"/>
  <c r="D21" i="13"/>
  <c r="G20" i="13"/>
  <c r="F20" i="13"/>
  <c r="E20" i="13"/>
  <c r="D20" i="13"/>
  <c r="G19" i="13"/>
  <c r="F19" i="13"/>
  <c r="E19" i="13"/>
  <c r="D19" i="13"/>
  <c r="G18" i="13"/>
  <c r="F18" i="13"/>
  <c r="E18" i="13"/>
  <c r="D18" i="13"/>
  <c r="G17" i="13"/>
  <c r="F17" i="13"/>
  <c r="E17" i="13"/>
  <c r="D17" i="13"/>
  <c r="G16" i="13"/>
  <c r="F16" i="13"/>
  <c r="E16" i="13"/>
  <c r="D16" i="13"/>
  <c r="G15" i="13"/>
  <c r="F15" i="13"/>
  <c r="E15" i="13"/>
  <c r="D15" i="13"/>
  <c r="G14" i="13"/>
  <c r="F14" i="13"/>
  <c r="E14" i="13"/>
  <c r="D14" i="13"/>
  <c r="G13" i="13"/>
  <c r="F13" i="13"/>
  <c r="E13" i="13"/>
  <c r="D13" i="13"/>
  <c r="G12" i="13"/>
  <c r="F12" i="13"/>
  <c r="E12" i="13"/>
  <c r="D12" i="13"/>
  <c r="G11" i="13"/>
  <c r="F11" i="13"/>
  <c r="E11" i="13"/>
  <c r="D11" i="13"/>
  <c r="G10" i="13"/>
  <c r="F10" i="13"/>
  <c r="E10" i="13"/>
  <c r="D10" i="13"/>
  <c r="G9" i="13"/>
  <c r="F9" i="13"/>
  <c r="E9" i="13"/>
  <c r="D9" i="13"/>
  <c r="G8" i="13"/>
  <c r="F8" i="13"/>
  <c r="E8" i="13"/>
  <c r="D8" i="13"/>
  <c r="G7" i="13"/>
  <c r="F7" i="13"/>
  <c r="E7" i="13"/>
  <c r="D7" i="13"/>
  <c r="G6" i="13"/>
  <c r="F6" i="13"/>
  <c r="E6" i="13"/>
  <c r="D6" i="13"/>
  <c r="G5" i="13"/>
  <c r="F5" i="13"/>
  <c r="E5" i="13"/>
  <c r="D5" i="13"/>
  <c r="G4" i="13"/>
  <c r="F4" i="13"/>
  <c r="E4" i="13"/>
  <c r="D4" i="13"/>
  <c r="G3" i="13"/>
  <c r="F3" i="13"/>
  <c r="E3" i="13"/>
  <c r="D3" i="13"/>
  <c r="G23" i="12"/>
  <c r="F23" i="12"/>
  <c r="E23" i="12"/>
  <c r="C23" i="12"/>
  <c r="B23" i="12"/>
  <c r="H12" i="12"/>
  <c r="H13" i="12" s="1"/>
  <c r="G12" i="12"/>
  <c r="G13" i="12" s="1"/>
  <c r="F12" i="12"/>
  <c r="F13" i="12" s="1"/>
  <c r="E12" i="12"/>
  <c r="E13" i="12" s="1"/>
  <c r="D12" i="12"/>
  <c r="D13" i="12" s="1"/>
  <c r="C12" i="12"/>
  <c r="C13" i="12" s="1"/>
  <c r="B12" i="12"/>
  <c r="B13" i="12" s="1"/>
  <c r="J6" i="12"/>
  <c r="H31" i="12" s="1"/>
  <c r="J5" i="12"/>
  <c r="H27" i="12" s="1"/>
  <c r="J4" i="12"/>
  <c r="H23" i="12" s="1"/>
  <c r="J3" i="12"/>
  <c r="H19" i="12" s="1"/>
  <c r="D14" i="11"/>
  <c r="C14" i="11"/>
  <c r="D13" i="11"/>
  <c r="C13" i="11"/>
  <c r="D12" i="11"/>
  <c r="C12" i="11"/>
  <c r="D11" i="11"/>
  <c r="C11" i="11"/>
  <c r="D10" i="11"/>
  <c r="C10" i="11"/>
  <c r="D9" i="11"/>
  <c r="C9" i="11"/>
  <c r="D8" i="11"/>
  <c r="C8" i="11"/>
  <c r="D7" i="11"/>
  <c r="F7" i="11" s="1"/>
  <c r="H7" i="11" s="1"/>
  <c r="C7" i="11"/>
  <c r="D6" i="11"/>
  <c r="C6" i="11"/>
  <c r="D5" i="11"/>
  <c r="C5" i="11"/>
  <c r="D4" i="11"/>
  <c r="C4" i="11"/>
  <c r="D3" i="11"/>
  <c r="C3" i="11"/>
  <c r="B15" i="10"/>
  <c r="B14" i="10"/>
  <c r="B13" i="10"/>
  <c r="G22" i="9"/>
  <c r="D22" i="9"/>
  <c r="G21" i="9"/>
  <c r="D21" i="9"/>
  <c r="G20" i="9"/>
  <c r="D20" i="9"/>
  <c r="G19" i="9"/>
  <c r="D19" i="9"/>
  <c r="G18" i="9"/>
  <c r="D18" i="9"/>
  <c r="G17" i="9"/>
  <c r="D17" i="9"/>
  <c r="G16" i="9"/>
  <c r="D16" i="9"/>
  <c r="G15" i="9"/>
  <c r="D15" i="9"/>
  <c r="G14" i="9"/>
  <c r="D14" i="9"/>
  <c r="G13" i="9"/>
  <c r="D13" i="9"/>
  <c r="D12" i="9"/>
  <c r="D11" i="9"/>
  <c r="D10" i="9"/>
  <c r="B3" i="9"/>
  <c r="B7" i="8"/>
  <c r="D5" i="8"/>
  <c r="D4" i="8"/>
  <c r="D3" i="8"/>
  <c r="K6" i="7"/>
  <c r="K5" i="7"/>
  <c r="K4" i="7"/>
  <c r="K3" i="7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F85" i="6" s="1"/>
  <c r="E42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T26" i="6"/>
  <c r="S26" i="6"/>
  <c r="R26" i="6"/>
  <c r="Q26" i="6"/>
  <c r="P26" i="6"/>
  <c r="P69" i="6" s="1"/>
  <c r="O26" i="6"/>
  <c r="N26" i="6"/>
  <c r="M26" i="6"/>
  <c r="L26" i="6"/>
  <c r="K26" i="6"/>
  <c r="J26" i="6"/>
  <c r="I26" i="6"/>
  <c r="H26" i="6"/>
  <c r="G26" i="6"/>
  <c r="F26" i="6"/>
  <c r="E26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H65" i="6" s="1"/>
  <c r="G22" i="6"/>
  <c r="G65" i="6" s="1"/>
  <c r="F22" i="6"/>
  <c r="F65" i="6" s="1"/>
  <c r="E22" i="6"/>
  <c r="E65" i="6" s="1"/>
  <c r="T21" i="6"/>
  <c r="S21" i="6"/>
  <c r="S64" i="6" s="1"/>
  <c r="R21" i="6"/>
  <c r="R64" i="6" s="1"/>
  <c r="Q21" i="6"/>
  <c r="Q64" i="6" s="1"/>
  <c r="P21" i="6"/>
  <c r="P64" i="6" s="1"/>
  <c r="O21" i="6"/>
  <c r="O64" i="6" s="1"/>
  <c r="N21" i="6"/>
  <c r="N64" i="6" s="1"/>
  <c r="M21" i="6"/>
  <c r="M64" i="6" s="1"/>
  <c r="L21" i="6"/>
  <c r="L64" i="6" s="1"/>
  <c r="K21" i="6"/>
  <c r="K64" i="6" s="1"/>
  <c r="J21" i="6"/>
  <c r="J64" i="6" s="1"/>
  <c r="I21" i="6"/>
  <c r="I64" i="6" s="1"/>
  <c r="H21" i="6"/>
  <c r="G21" i="6"/>
  <c r="F21" i="6"/>
  <c r="E21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T11" i="6"/>
  <c r="S11" i="6"/>
  <c r="R11" i="6"/>
  <c r="Q11" i="6"/>
  <c r="P11" i="6"/>
  <c r="O11" i="6"/>
  <c r="N11" i="6"/>
  <c r="M11" i="6"/>
  <c r="L11" i="6"/>
  <c r="L54" i="6" s="1"/>
  <c r="K11" i="6"/>
  <c r="J11" i="6"/>
  <c r="I11" i="6"/>
  <c r="H11" i="6"/>
  <c r="G11" i="6"/>
  <c r="F11" i="6"/>
  <c r="E11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F51" i="6" s="1"/>
  <c r="E8" i="6"/>
  <c r="E51" i="6" s="1"/>
  <c r="T7" i="6"/>
  <c r="S7" i="6"/>
  <c r="S50" i="6" s="1"/>
  <c r="R7" i="6"/>
  <c r="R50" i="6" s="1"/>
  <c r="Q7" i="6"/>
  <c r="Q50" i="6" s="1"/>
  <c r="P7" i="6"/>
  <c r="P50" i="6" s="1"/>
  <c r="O7" i="6"/>
  <c r="O50" i="6" s="1"/>
  <c r="N7" i="6"/>
  <c r="N50" i="6" s="1"/>
  <c r="M7" i="6"/>
  <c r="M50" i="6" s="1"/>
  <c r="L7" i="6"/>
  <c r="L50" i="6" s="1"/>
  <c r="K7" i="6"/>
  <c r="K50" i="6" s="1"/>
  <c r="J7" i="6"/>
  <c r="J50" i="6" s="1"/>
  <c r="I7" i="6"/>
  <c r="I50" i="6" s="1"/>
  <c r="H7" i="6"/>
  <c r="H50" i="6" s="1"/>
  <c r="G7" i="6"/>
  <c r="G50" i="6" s="1"/>
  <c r="F7" i="6"/>
  <c r="E7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T4" i="6"/>
  <c r="S4" i="6"/>
  <c r="S47" i="6" s="1"/>
  <c r="R4" i="6"/>
  <c r="R47" i="6" s="1"/>
  <c r="Q4" i="6"/>
  <c r="Q47" i="6" s="1"/>
  <c r="P4" i="6"/>
  <c r="P47" i="6" s="1"/>
  <c r="O4" i="6"/>
  <c r="O47" i="6" s="1"/>
  <c r="N4" i="6"/>
  <c r="N47" i="6" s="1"/>
  <c r="M4" i="6"/>
  <c r="M47" i="6" s="1"/>
  <c r="L4" i="6"/>
  <c r="L47" i="6" s="1"/>
  <c r="K4" i="6"/>
  <c r="K47" i="6" s="1"/>
  <c r="J4" i="6"/>
  <c r="J47" i="6" s="1"/>
  <c r="I4" i="6"/>
  <c r="I47" i="6" s="1"/>
  <c r="H4" i="6"/>
  <c r="H47" i="6" s="1"/>
  <c r="G4" i="6"/>
  <c r="G47" i="6" s="1"/>
  <c r="F4" i="6"/>
  <c r="F47" i="6" s="1"/>
  <c r="E4" i="6"/>
  <c r="E47" i="6" s="1"/>
  <c r="T3" i="6"/>
  <c r="S3" i="6"/>
  <c r="S46" i="6" s="1"/>
  <c r="S89" i="6" s="1"/>
  <c r="R3" i="6"/>
  <c r="R46" i="6" s="1"/>
  <c r="R89" i="6" s="1"/>
  <c r="Q3" i="6"/>
  <c r="Q46" i="6" s="1"/>
  <c r="Q89" i="6" s="1"/>
  <c r="P3" i="6"/>
  <c r="P46" i="6" s="1"/>
  <c r="P89" i="6" s="1"/>
  <c r="O3" i="6"/>
  <c r="O46" i="6" s="1"/>
  <c r="O89" i="6" s="1"/>
  <c r="N3" i="6"/>
  <c r="N46" i="6" s="1"/>
  <c r="N89" i="6" s="1"/>
  <c r="G3" i="7" s="1"/>
  <c r="J3" i="7" s="1"/>
  <c r="M3" i="6"/>
  <c r="M46" i="6" s="1"/>
  <c r="M89" i="6" s="1"/>
  <c r="F3" i="7" s="1"/>
  <c r="I3" i="7" s="1"/>
  <c r="L3" i="6"/>
  <c r="L46" i="6" s="1"/>
  <c r="L89" i="6" s="1"/>
  <c r="E3" i="7" s="1"/>
  <c r="K3" i="6"/>
  <c r="K46" i="6" s="1"/>
  <c r="K89" i="6" s="1"/>
  <c r="J3" i="6"/>
  <c r="J46" i="6" s="1"/>
  <c r="J89" i="6" s="1"/>
  <c r="I3" i="6"/>
  <c r="I46" i="6" s="1"/>
  <c r="I89" i="6" s="1"/>
  <c r="H3" i="6"/>
  <c r="H46" i="6" s="1"/>
  <c r="H89" i="6" s="1"/>
  <c r="G3" i="6"/>
  <c r="G46" i="6" s="1"/>
  <c r="G89" i="6" s="1"/>
  <c r="F3" i="6"/>
  <c r="F46" i="6" s="1"/>
  <c r="F89" i="6" s="1"/>
  <c r="E3" i="6"/>
  <c r="E46" i="6" s="1"/>
  <c r="E89" i="6" s="1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J641" i="2"/>
  <c r="Q41" i="3" s="1"/>
  <c r="J640" i="2"/>
  <c r="P41" i="3" s="1"/>
  <c r="J639" i="2"/>
  <c r="O41" i="3" s="1"/>
  <c r="J638" i="2"/>
  <c r="N41" i="3" s="1"/>
  <c r="J637" i="2"/>
  <c r="M41" i="3" s="1"/>
  <c r="J636" i="2"/>
  <c r="L41" i="3" s="1"/>
  <c r="J635" i="2"/>
  <c r="K41" i="3" s="1"/>
  <c r="J634" i="2"/>
  <c r="J41" i="3" s="1"/>
  <c r="J633" i="2"/>
  <c r="I41" i="3" s="1"/>
  <c r="J632" i="2"/>
  <c r="H41" i="3" s="1"/>
  <c r="J631" i="2"/>
  <c r="G41" i="3" s="1"/>
  <c r="J630" i="2"/>
  <c r="F41" i="3" s="1"/>
  <c r="J629" i="2"/>
  <c r="E41" i="3" s="1"/>
  <c r="J628" i="2"/>
  <c r="D41" i="3" s="1"/>
  <c r="J627" i="2"/>
  <c r="C41" i="3" s="1"/>
  <c r="J625" i="2"/>
  <c r="Q40" i="3" s="1"/>
  <c r="J624" i="2"/>
  <c r="P40" i="3" s="1"/>
  <c r="J623" i="2"/>
  <c r="O40" i="3" s="1"/>
  <c r="J622" i="2"/>
  <c r="N40" i="3" s="1"/>
  <c r="J621" i="2"/>
  <c r="M40" i="3" s="1"/>
  <c r="J620" i="2"/>
  <c r="L40" i="3" s="1"/>
  <c r="J619" i="2"/>
  <c r="K40" i="3" s="1"/>
  <c r="J618" i="2"/>
  <c r="J40" i="3" s="1"/>
  <c r="J617" i="2"/>
  <c r="I40" i="3" s="1"/>
  <c r="J616" i="2"/>
  <c r="H40" i="3" s="1"/>
  <c r="J615" i="2"/>
  <c r="G40" i="3" s="1"/>
  <c r="J614" i="2"/>
  <c r="F40" i="3" s="1"/>
  <c r="J613" i="2"/>
  <c r="E40" i="3" s="1"/>
  <c r="J612" i="2"/>
  <c r="D40" i="3" s="1"/>
  <c r="J611" i="2"/>
  <c r="C40" i="3" s="1"/>
  <c r="J609" i="2"/>
  <c r="Q39" i="3" s="1"/>
  <c r="J608" i="2"/>
  <c r="P39" i="3" s="1"/>
  <c r="J607" i="2"/>
  <c r="O39" i="3" s="1"/>
  <c r="J606" i="2"/>
  <c r="N39" i="3" s="1"/>
  <c r="J605" i="2"/>
  <c r="M39" i="3" s="1"/>
  <c r="J604" i="2"/>
  <c r="L39" i="3" s="1"/>
  <c r="J603" i="2"/>
  <c r="K39" i="3" s="1"/>
  <c r="J602" i="2"/>
  <c r="J39" i="3" s="1"/>
  <c r="J601" i="2"/>
  <c r="I39" i="3" s="1"/>
  <c r="J600" i="2"/>
  <c r="H39" i="3" s="1"/>
  <c r="J599" i="2"/>
  <c r="G39" i="3" s="1"/>
  <c r="J598" i="2"/>
  <c r="F39" i="3" s="1"/>
  <c r="J597" i="2"/>
  <c r="E39" i="3" s="1"/>
  <c r="J596" i="2"/>
  <c r="D39" i="3" s="1"/>
  <c r="J595" i="2"/>
  <c r="C39" i="3" s="1"/>
  <c r="J593" i="2"/>
  <c r="Q38" i="3" s="1"/>
  <c r="J592" i="2"/>
  <c r="P38" i="3" s="1"/>
  <c r="J591" i="2"/>
  <c r="O38" i="3" s="1"/>
  <c r="J590" i="2"/>
  <c r="N38" i="3" s="1"/>
  <c r="J589" i="2"/>
  <c r="M38" i="3" s="1"/>
  <c r="J588" i="2"/>
  <c r="L38" i="3" s="1"/>
  <c r="J587" i="2"/>
  <c r="K38" i="3" s="1"/>
  <c r="J586" i="2"/>
  <c r="J38" i="3" s="1"/>
  <c r="J585" i="2"/>
  <c r="I38" i="3" s="1"/>
  <c r="J584" i="2"/>
  <c r="H38" i="3" s="1"/>
  <c r="J583" i="2"/>
  <c r="G38" i="3" s="1"/>
  <c r="J582" i="2"/>
  <c r="F38" i="3" s="1"/>
  <c r="J581" i="2"/>
  <c r="E38" i="3" s="1"/>
  <c r="J580" i="2"/>
  <c r="D38" i="3" s="1"/>
  <c r="J579" i="2"/>
  <c r="C38" i="3" s="1"/>
  <c r="J577" i="2"/>
  <c r="Q37" i="3" s="1"/>
  <c r="J576" i="2"/>
  <c r="P37" i="3" s="1"/>
  <c r="J575" i="2"/>
  <c r="O37" i="3" s="1"/>
  <c r="J574" i="2"/>
  <c r="N37" i="3" s="1"/>
  <c r="J573" i="2"/>
  <c r="M37" i="3" s="1"/>
  <c r="J572" i="2"/>
  <c r="L37" i="3" s="1"/>
  <c r="J571" i="2"/>
  <c r="K37" i="3" s="1"/>
  <c r="J570" i="2"/>
  <c r="J37" i="3" s="1"/>
  <c r="J569" i="2"/>
  <c r="I37" i="3" s="1"/>
  <c r="J568" i="2"/>
  <c r="H37" i="3" s="1"/>
  <c r="J567" i="2"/>
  <c r="G37" i="3" s="1"/>
  <c r="J566" i="2"/>
  <c r="F37" i="3" s="1"/>
  <c r="J565" i="2"/>
  <c r="E37" i="3" s="1"/>
  <c r="J564" i="2"/>
  <c r="D37" i="3" s="1"/>
  <c r="J563" i="2"/>
  <c r="C37" i="3" s="1"/>
  <c r="J561" i="2"/>
  <c r="Q36" i="3" s="1"/>
  <c r="J560" i="2"/>
  <c r="P36" i="3" s="1"/>
  <c r="J559" i="2"/>
  <c r="O36" i="3" s="1"/>
  <c r="J558" i="2"/>
  <c r="N36" i="3" s="1"/>
  <c r="J557" i="2"/>
  <c r="M36" i="3" s="1"/>
  <c r="J556" i="2"/>
  <c r="L36" i="3" s="1"/>
  <c r="J555" i="2"/>
  <c r="K36" i="3" s="1"/>
  <c r="J554" i="2"/>
  <c r="J36" i="3" s="1"/>
  <c r="J553" i="2"/>
  <c r="I36" i="3" s="1"/>
  <c r="J552" i="2"/>
  <c r="H36" i="3" s="1"/>
  <c r="J551" i="2"/>
  <c r="G36" i="3" s="1"/>
  <c r="J550" i="2"/>
  <c r="F36" i="3" s="1"/>
  <c r="J549" i="2"/>
  <c r="E36" i="3" s="1"/>
  <c r="J548" i="2"/>
  <c r="D36" i="3" s="1"/>
  <c r="J547" i="2"/>
  <c r="C36" i="3" s="1"/>
  <c r="J545" i="2"/>
  <c r="Q35" i="3" s="1"/>
  <c r="J544" i="2"/>
  <c r="P35" i="3" s="1"/>
  <c r="J543" i="2"/>
  <c r="O35" i="3" s="1"/>
  <c r="J542" i="2"/>
  <c r="N35" i="3" s="1"/>
  <c r="J541" i="2"/>
  <c r="M35" i="3" s="1"/>
  <c r="J540" i="2"/>
  <c r="L35" i="3" s="1"/>
  <c r="J539" i="2"/>
  <c r="K35" i="3" s="1"/>
  <c r="J538" i="2"/>
  <c r="J35" i="3" s="1"/>
  <c r="J537" i="2"/>
  <c r="I35" i="3" s="1"/>
  <c r="J536" i="2"/>
  <c r="H35" i="3" s="1"/>
  <c r="J535" i="2"/>
  <c r="G35" i="3" s="1"/>
  <c r="J534" i="2"/>
  <c r="F35" i="3" s="1"/>
  <c r="J533" i="2"/>
  <c r="E35" i="3" s="1"/>
  <c r="J532" i="2"/>
  <c r="D35" i="3" s="1"/>
  <c r="J531" i="2"/>
  <c r="C35" i="3" s="1"/>
  <c r="J529" i="2"/>
  <c r="Q34" i="3" s="1"/>
  <c r="J528" i="2"/>
  <c r="P34" i="3" s="1"/>
  <c r="J527" i="2"/>
  <c r="O34" i="3" s="1"/>
  <c r="J526" i="2"/>
  <c r="N34" i="3" s="1"/>
  <c r="J525" i="2"/>
  <c r="M34" i="3" s="1"/>
  <c r="J524" i="2"/>
  <c r="L34" i="3" s="1"/>
  <c r="J523" i="2"/>
  <c r="K34" i="3" s="1"/>
  <c r="J522" i="2"/>
  <c r="J34" i="3" s="1"/>
  <c r="J521" i="2"/>
  <c r="I34" i="3" s="1"/>
  <c r="J520" i="2"/>
  <c r="H34" i="3" s="1"/>
  <c r="J519" i="2"/>
  <c r="G34" i="3" s="1"/>
  <c r="J518" i="2"/>
  <c r="F34" i="3" s="1"/>
  <c r="J517" i="2"/>
  <c r="E34" i="3" s="1"/>
  <c r="J516" i="2"/>
  <c r="D34" i="3" s="1"/>
  <c r="J515" i="2"/>
  <c r="C34" i="3" s="1"/>
  <c r="J513" i="2"/>
  <c r="Q33" i="3" s="1"/>
  <c r="J512" i="2"/>
  <c r="P33" i="3" s="1"/>
  <c r="J511" i="2"/>
  <c r="O33" i="3" s="1"/>
  <c r="J510" i="2"/>
  <c r="N33" i="3" s="1"/>
  <c r="J509" i="2"/>
  <c r="M33" i="3" s="1"/>
  <c r="J508" i="2"/>
  <c r="L33" i="3" s="1"/>
  <c r="J507" i="2"/>
  <c r="K33" i="3" s="1"/>
  <c r="J506" i="2"/>
  <c r="J33" i="3" s="1"/>
  <c r="J505" i="2"/>
  <c r="I33" i="3" s="1"/>
  <c r="J504" i="2"/>
  <c r="H33" i="3" s="1"/>
  <c r="J503" i="2"/>
  <c r="G33" i="3" s="1"/>
  <c r="J502" i="2"/>
  <c r="F33" i="3" s="1"/>
  <c r="J501" i="2"/>
  <c r="E33" i="3" s="1"/>
  <c r="J500" i="2"/>
  <c r="D33" i="3" s="1"/>
  <c r="J499" i="2"/>
  <c r="C33" i="3" s="1"/>
  <c r="J497" i="2"/>
  <c r="Q32" i="3" s="1"/>
  <c r="J496" i="2"/>
  <c r="P32" i="3" s="1"/>
  <c r="J495" i="2"/>
  <c r="O32" i="3" s="1"/>
  <c r="J494" i="2"/>
  <c r="N32" i="3" s="1"/>
  <c r="J493" i="2"/>
  <c r="M32" i="3" s="1"/>
  <c r="J492" i="2"/>
  <c r="L32" i="3" s="1"/>
  <c r="J491" i="2"/>
  <c r="K32" i="3" s="1"/>
  <c r="J490" i="2"/>
  <c r="J32" i="3" s="1"/>
  <c r="J489" i="2"/>
  <c r="I32" i="3" s="1"/>
  <c r="J488" i="2"/>
  <c r="H32" i="3" s="1"/>
  <c r="J487" i="2"/>
  <c r="G32" i="3" s="1"/>
  <c r="J486" i="2"/>
  <c r="F32" i="3" s="1"/>
  <c r="J485" i="2"/>
  <c r="E32" i="3" s="1"/>
  <c r="J484" i="2"/>
  <c r="D32" i="3" s="1"/>
  <c r="J483" i="2"/>
  <c r="C32" i="3" s="1"/>
  <c r="J481" i="2"/>
  <c r="Q31" i="3" s="1"/>
  <c r="J480" i="2"/>
  <c r="P31" i="3" s="1"/>
  <c r="J479" i="2"/>
  <c r="O31" i="3" s="1"/>
  <c r="J478" i="2"/>
  <c r="N31" i="3" s="1"/>
  <c r="J477" i="2"/>
  <c r="M31" i="3" s="1"/>
  <c r="J476" i="2"/>
  <c r="L31" i="3" s="1"/>
  <c r="J475" i="2"/>
  <c r="K31" i="3" s="1"/>
  <c r="J474" i="2"/>
  <c r="J31" i="3" s="1"/>
  <c r="J473" i="2"/>
  <c r="I31" i="3" s="1"/>
  <c r="J472" i="2"/>
  <c r="H31" i="3" s="1"/>
  <c r="J471" i="2"/>
  <c r="G31" i="3" s="1"/>
  <c r="J470" i="2"/>
  <c r="F31" i="3" s="1"/>
  <c r="J469" i="2"/>
  <c r="E31" i="3" s="1"/>
  <c r="J468" i="2"/>
  <c r="D31" i="3" s="1"/>
  <c r="J467" i="2"/>
  <c r="C31" i="3" s="1"/>
  <c r="J465" i="2"/>
  <c r="Q30" i="3" s="1"/>
  <c r="J464" i="2"/>
  <c r="P30" i="3" s="1"/>
  <c r="J463" i="2"/>
  <c r="O30" i="3" s="1"/>
  <c r="J462" i="2"/>
  <c r="N30" i="3" s="1"/>
  <c r="J461" i="2"/>
  <c r="M30" i="3" s="1"/>
  <c r="J460" i="2"/>
  <c r="L30" i="3" s="1"/>
  <c r="J459" i="2"/>
  <c r="K30" i="3" s="1"/>
  <c r="J458" i="2"/>
  <c r="J30" i="3" s="1"/>
  <c r="J457" i="2"/>
  <c r="I30" i="3" s="1"/>
  <c r="J456" i="2"/>
  <c r="H30" i="3" s="1"/>
  <c r="J455" i="2"/>
  <c r="G30" i="3" s="1"/>
  <c r="J454" i="2"/>
  <c r="F30" i="3" s="1"/>
  <c r="J453" i="2"/>
  <c r="E30" i="3" s="1"/>
  <c r="J452" i="2"/>
  <c r="D30" i="3" s="1"/>
  <c r="J451" i="2"/>
  <c r="C30" i="3" s="1"/>
  <c r="J449" i="2"/>
  <c r="Q29" i="3" s="1"/>
  <c r="J448" i="2"/>
  <c r="P29" i="3" s="1"/>
  <c r="J447" i="2"/>
  <c r="O29" i="3" s="1"/>
  <c r="J446" i="2"/>
  <c r="N29" i="3" s="1"/>
  <c r="J445" i="2"/>
  <c r="M29" i="3" s="1"/>
  <c r="J444" i="2"/>
  <c r="L29" i="3" s="1"/>
  <c r="J443" i="2"/>
  <c r="K29" i="3" s="1"/>
  <c r="J442" i="2"/>
  <c r="J29" i="3" s="1"/>
  <c r="J441" i="2"/>
  <c r="I29" i="3" s="1"/>
  <c r="J440" i="2"/>
  <c r="H29" i="3" s="1"/>
  <c r="J439" i="2"/>
  <c r="G29" i="3" s="1"/>
  <c r="J438" i="2"/>
  <c r="F29" i="3" s="1"/>
  <c r="J437" i="2"/>
  <c r="E29" i="3" s="1"/>
  <c r="J436" i="2"/>
  <c r="D29" i="3" s="1"/>
  <c r="J435" i="2"/>
  <c r="C29" i="3" s="1"/>
  <c r="J433" i="2"/>
  <c r="Q28" i="3" s="1"/>
  <c r="J432" i="2"/>
  <c r="P28" i="3" s="1"/>
  <c r="J431" i="2"/>
  <c r="O28" i="3" s="1"/>
  <c r="J430" i="2"/>
  <c r="N28" i="3" s="1"/>
  <c r="J429" i="2"/>
  <c r="M28" i="3" s="1"/>
  <c r="J428" i="2"/>
  <c r="L28" i="3" s="1"/>
  <c r="J427" i="2"/>
  <c r="K28" i="3" s="1"/>
  <c r="J426" i="2"/>
  <c r="J28" i="3" s="1"/>
  <c r="J425" i="2"/>
  <c r="I28" i="3" s="1"/>
  <c r="J424" i="2"/>
  <c r="H28" i="3" s="1"/>
  <c r="J423" i="2"/>
  <c r="G28" i="3" s="1"/>
  <c r="J422" i="2"/>
  <c r="F28" i="3" s="1"/>
  <c r="J421" i="2"/>
  <c r="E28" i="3" s="1"/>
  <c r="J420" i="2"/>
  <c r="D28" i="3" s="1"/>
  <c r="J419" i="2"/>
  <c r="C28" i="3" s="1"/>
  <c r="J417" i="2"/>
  <c r="Q27" i="3" s="1"/>
  <c r="J416" i="2"/>
  <c r="P27" i="3" s="1"/>
  <c r="J415" i="2"/>
  <c r="O27" i="3" s="1"/>
  <c r="J414" i="2"/>
  <c r="N27" i="3" s="1"/>
  <c r="J413" i="2"/>
  <c r="M27" i="3" s="1"/>
  <c r="J412" i="2"/>
  <c r="L27" i="3" s="1"/>
  <c r="J411" i="2"/>
  <c r="K27" i="3" s="1"/>
  <c r="J410" i="2"/>
  <c r="J27" i="3" s="1"/>
  <c r="J409" i="2"/>
  <c r="I27" i="3" s="1"/>
  <c r="J408" i="2"/>
  <c r="H27" i="3" s="1"/>
  <c r="J407" i="2"/>
  <c r="G27" i="3" s="1"/>
  <c r="J406" i="2"/>
  <c r="F27" i="3" s="1"/>
  <c r="J405" i="2"/>
  <c r="E27" i="3" s="1"/>
  <c r="J404" i="2"/>
  <c r="D27" i="3" s="1"/>
  <c r="J403" i="2"/>
  <c r="C27" i="3" s="1"/>
  <c r="J401" i="2"/>
  <c r="Q26" i="3" s="1"/>
  <c r="J400" i="2"/>
  <c r="P26" i="3" s="1"/>
  <c r="J399" i="2"/>
  <c r="O26" i="3" s="1"/>
  <c r="J398" i="2"/>
  <c r="N26" i="3" s="1"/>
  <c r="J397" i="2"/>
  <c r="M26" i="3" s="1"/>
  <c r="J396" i="2"/>
  <c r="L26" i="3" s="1"/>
  <c r="J395" i="2"/>
  <c r="K26" i="3" s="1"/>
  <c r="J394" i="2"/>
  <c r="J26" i="3" s="1"/>
  <c r="J393" i="2"/>
  <c r="I26" i="3" s="1"/>
  <c r="J392" i="2"/>
  <c r="H26" i="3" s="1"/>
  <c r="J391" i="2"/>
  <c r="G26" i="3" s="1"/>
  <c r="J390" i="2"/>
  <c r="F26" i="3" s="1"/>
  <c r="J389" i="2"/>
  <c r="E26" i="3" s="1"/>
  <c r="J388" i="2"/>
  <c r="D26" i="3" s="1"/>
  <c r="J387" i="2"/>
  <c r="C26" i="3" s="1"/>
  <c r="J385" i="2"/>
  <c r="Q25" i="3" s="1"/>
  <c r="J384" i="2"/>
  <c r="P25" i="3" s="1"/>
  <c r="J383" i="2"/>
  <c r="O25" i="3" s="1"/>
  <c r="J382" i="2"/>
  <c r="N25" i="3" s="1"/>
  <c r="J381" i="2"/>
  <c r="M25" i="3" s="1"/>
  <c r="J380" i="2"/>
  <c r="L25" i="3" s="1"/>
  <c r="J379" i="2"/>
  <c r="K25" i="3" s="1"/>
  <c r="J378" i="2"/>
  <c r="J25" i="3" s="1"/>
  <c r="J377" i="2"/>
  <c r="I25" i="3" s="1"/>
  <c r="J376" i="2"/>
  <c r="H25" i="3" s="1"/>
  <c r="J375" i="2"/>
  <c r="G25" i="3" s="1"/>
  <c r="J374" i="2"/>
  <c r="F25" i="3" s="1"/>
  <c r="J373" i="2"/>
  <c r="E25" i="3" s="1"/>
  <c r="J372" i="2"/>
  <c r="D25" i="3" s="1"/>
  <c r="J371" i="2"/>
  <c r="C25" i="3" s="1"/>
  <c r="J369" i="2"/>
  <c r="Q24" i="3" s="1"/>
  <c r="J368" i="2"/>
  <c r="P24" i="3" s="1"/>
  <c r="J367" i="2"/>
  <c r="O24" i="3" s="1"/>
  <c r="J366" i="2"/>
  <c r="N24" i="3" s="1"/>
  <c r="J365" i="2"/>
  <c r="M24" i="3" s="1"/>
  <c r="J364" i="2"/>
  <c r="L24" i="3" s="1"/>
  <c r="J363" i="2"/>
  <c r="K24" i="3" s="1"/>
  <c r="J362" i="2"/>
  <c r="J24" i="3" s="1"/>
  <c r="J361" i="2"/>
  <c r="I24" i="3" s="1"/>
  <c r="J360" i="2"/>
  <c r="H24" i="3" s="1"/>
  <c r="J359" i="2"/>
  <c r="G24" i="3" s="1"/>
  <c r="J358" i="2"/>
  <c r="F24" i="3" s="1"/>
  <c r="J357" i="2"/>
  <c r="E24" i="3" s="1"/>
  <c r="J356" i="2"/>
  <c r="D24" i="3" s="1"/>
  <c r="J355" i="2"/>
  <c r="C24" i="3" s="1"/>
  <c r="J353" i="2"/>
  <c r="Q23" i="3" s="1"/>
  <c r="J352" i="2"/>
  <c r="P23" i="3" s="1"/>
  <c r="J351" i="2"/>
  <c r="O23" i="3" s="1"/>
  <c r="J350" i="2"/>
  <c r="N23" i="3" s="1"/>
  <c r="J349" i="2"/>
  <c r="M23" i="3" s="1"/>
  <c r="J348" i="2"/>
  <c r="L23" i="3" s="1"/>
  <c r="J347" i="2"/>
  <c r="K23" i="3" s="1"/>
  <c r="J346" i="2"/>
  <c r="J23" i="3" s="1"/>
  <c r="J345" i="2"/>
  <c r="I23" i="3" s="1"/>
  <c r="J344" i="2"/>
  <c r="H23" i="3" s="1"/>
  <c r="J343" i="2"/>
  <c r="G23" i="3" s="1"/>
  <c r="J342" i="2"/>
  <c r="F23" i="3" s="1"/>
  <c r="J341" i="2"/>
  <c r="E23" i="3" s="1"/>
  <c r="J340" i="2"/>
  <c r="D23" i="3" s="1"/>
  <c r="J339" i="2"/>
  <c r="C23" i="3" s="1"/>
  <c r="J337" i="2"/>
  <c r="Q22" i="3" s="1"/>
  <c r="J336" i="2"/>
  <c r="P22" i="3" s="1"/>
  <c r="J335" i="2"/>
  <c r="O22" i="3" s="1"/>
  <c r="J334" i="2"/>
  <c r="N22" i="3" s="1"/>
  <c r="J333" i="2"/>
  <c r="M22" i="3" s="1"/>
  <c r="J332" i="2"/>
  <c r="L22" i="3" s="1"/>
  <c r="J331" i="2"/>
  <c r="K22" i="3" s="1"/>
  <c r="J330" i="2"/>
  <c r="J22" i="3" s="1"/>
  <c r="J329" i="2"/>
  <c r="I22" i="3" s="1"/>
  <c r="J328" i="2"/>
  <c r="H22" i="3" s="1"/>
  <c r="J327" i="2"/>
  <c r="G22" i="3" s="1"/>
  <c r="J326" i="2"/>
  <c r="F22" i="3" s="1"/>
  <c r="J325" i="2"/>
  <c r="E22" i="3" s="1"/>
  <c r="J324" i="2"/>
  <c r="D22" i="3" s="1"/>
  <c r="J323" i="2"/>
  <c r="C22" i="3" s="1"/>
  <c r="J321" i="2"/>
  <c r="Q21" i="3" s="1"/>
  <c r="J320" i="2"/>
  <c r="P21" i="3" s="1"/>
  <c r="J319" i="2"/>
  <c r="O21" i="3" s="1"/>
  <c r="J318" i="2"/>
  <c r="N21" i="3" s="1"/>
  <c r="J317" i="2"/>
  <c r="M21" i="3" s="1"/>
  <c r="J316" i="2"/>
  <c r="L21" i="3" s="1"/>
  <c r="J315" i="2"/>
  <c r="K21" i="3" s="1"/>
  <c r="J314" i="2"/>
  <c r="J21" i="3" s="1"/>
  <c r="J313" i="2"/>
  <c r="I21" i="3" s="1"/>
  <c r="J312" i="2"/>
  <c r="H21" i="3" s="1"/>
  <c r="J311" i="2"/>
  <c r="G21" i="3" s="1"/>
  <c r="J310" i="2"/>
  <c r="F21" i="3" s="1"/>
  <c r="J309" i="2"/>
  <c r="E21" i="3" s="1"/>
  <c r="J308" i="2"/>
  <c r="D21" i="3" s="1"/>
  <c r="J307" i="2"/>
  <c r="C21" i="3" s="1"/>
  <c r="J305" i="2"/>
  <c r="Q20" i="3" s="1"/>
  <c r="J304" i="2"/>
  <c r="P20" i="3" s="1"/>
  <c r="J303" i="2"/>
  <c r="O20" i="3" s="1"/>
  <c r="J302" i="2"/>
  <c r="N20" i="3" s="1"/>
  <c r="J301" i="2"/>
  <c r="M20" i="3" s="1"/>
  <c r="J300" i="2"/>
  <c r="L20" i="3" s="1"/>
  <c r="J299" i="2"/>
  <c r="K20" i="3" s="1"/>
  <c r="J298" i="2"/>
  <c r="J20" i="3" s="1"/>
  <c r="J297" i="2"/>
  <c r="I20" i="3" s="1"/>
  <c r="J296" i="2"/>
  <c r="H20" i="3" s="1"/>
  <c r="J295" i="2"/>
  <c r="G20" i="3" s="1"/>
  <c r="J294" i="2"/>
  <c r="F20" i="3" s="1"/>
  <c r="J293" i="2"/>
  <c r="E20" i="3" s="1"/>
  <c r="J292" i="2"/>
  <c r="D20" i="3" s="1"/>
  <c r="J291" i="2"/>
  <c r="C20" i="3" s="1"/>
  <c r="J289" i="2"/>
  <c r="Q19" i="3" s="1"/>
  <c r="J288" i="2"/>
  <c r="P19" i="3" s="1"/>
  <c r="J287" i="2"/>
  <c r="O19" i="3" s="1"/>
  <c r="J286" i="2"/>
  <c r="N19" i="3" s="1"/>
  <c r="J285" i="2"/>
  <c r="M19" i="3" s="1"/>
  <c r="J284" i="2"/>
  <c r="L19" i="3" s="1"/>
  <c r="J283" i="2"/>
  <c r="K19" i="3" s="1"/>
  <c r="J282" i="2"/>
  <c r="J19" i="3" s="1"/>
  <c r="J281" i="2"/>
  <c r="I19" i="3" s="1"/>
  <c r="J280" i="2"/>
  <c r="H19" i="3" s="1"/>
  <c r="J279" i="2"/>
  <c r="G19" i="3" s="1"/>
  <c r="J278" i="2"/>
  <c r="F19" i="3" s="1"/>
  <c r="J277" i="2"/>
  <c r="E19" i="3" s="1"/>
  <c r="J276" i="2"/>
  <c r="D19" i="3" s="1"/>
  <c r="J275" i="2"/>
  <c r="C19" i="3" s="1"/>
  <c r="J273" i="2"/>
  <c r="Q18" i="3" s="1"/>
  <c r="J272" i="2"/>
  <c r="P18" i="3" s="1"/>
  <c r="J271" i="2"/>
  <c r="O18" i="3" s="1"/>
  <c r="J270" i="2"/>
  <c r="N18" i="3" s="1"/>
  <c r="J269" i="2"/>
  <c r="M18" i="3" s="1"/>
  <c r="J268" i="2"/>
  <c r="L18" i="3" s="1"/>
  <c r="J267" i="2"/>
  <c r="K18" i="3" s="1"/>
  <c r="J266" i="2"/>
  <c r="J18" i="3" s="1"/>
  <c r="J265" i="2"/>
  <c r="I18" i="3" s="1"/>
  <c r="J264" i="2"/>
  <c r="H18" i="3" s="1"/>
  <c r="J263" i="2"/>
  <c r="G18" i="3" s="1"/>
  <c r="J262" i="2"/>
  <c r="F18" i="3" s="1"/>
  <c r="J261" i="2"/>
  <c r="E18" i="3" s="1"/>
  <c r="J260" i="2"/>
  <c r="D18" i="3" s="1"/>
  <c r="J259" i="2"/>
  <c r="C18" i="3" s="1"/>
  <c r="J257" i="2"/>
  <c r="Q17" i="3" s="1"/>
  <c r="J256" i="2"/>
  <c r="P17" i="3" s="1"/>
  <c r="J255" i="2"/>
  <c r="O17" i="3" s="1"/>
  <c r="J254" i="2"/>
  <c r="N17" i="3" s="1"/>
  <c r="J253" i="2"/>
  <c r="M17" i="3" s="1"/>
  <c r="J252" i="2"/>
  <c r="L17" i="3" s="1"/>
  <c r="J251" i="2"/>
  <c r="K17" i="3" s="1"/>
  <c r="J250" i="2"/>
  <c r="J17" i="3" s="1"/>
  <c r="J249" i="2"/>
  <c r="I17" i="3" s="1"/>
  <c r="J248" i="2"/>
  <c r="H17" i="3" s="1"/>
  <c r="J247" i="2"/>
  <c r="G17" i="3" s="1"/>
  <c r="J246" i="2"/>
  <c r="F17" i="3" s="1"/>
  <c r="J245" i="2"/>
  <c r="E17" i="3" s="1"/>
  <c r="J244" i="2"/>
  <c r="D17" i="3" s="1"/>
  <c r="J243" i="2"/>
  <c r="C17" i="3" s="1"/>
  <c r="J241" i="2"/>
  <c r="Q16" i="3" s="1"/>
  <c r="J240" i="2"/>
  <c r="P16" i="3" s="1"/>
  <c r="J239" i="2"/>
  <c r="O16" i="3" s="1"/>
  <c r="J238" i="2"/>
  <c r="N16" i="3" s="1"/>
  <c r="J237" i="2"/>
  <c r="M16" i="3" s="1"/>
  <c r="J236" i="2"/>
  <c r="L16" i="3" s="1"/>
  <c r="J235" i="2"/>
  <c r="K16" i="3" s="1"/>
  <c r="J234" i="2"/>
  <c r="J16" i="3" s="1"/>
  <c r="J233" i="2"/>
  <c r="I16" i="3" s="1"/>
  <c r="J232" i="2"/>
  <c r="H16" i="3" s="1"/>
  <c r="J231" i="2"/>
  <c r="G16" i="3" s="1"/>
  <c r="J230" i="2"/>
  <c r="F16" i="3" s="1"/>
  <c r="J229" i="2"/>
  <c r="E16" i="3" s="1"/>
  <c r="J228" i="2"/>
  <c r="D16" i="3" s="1"/>
  <c r="J227" i="2"/>
  <c r="C16" i="3" s="1"/>
  <c r="J225" i="2"/>
  <c r="Q15" i="3" s="1"/>
  <c r="J224" i="2"/>
  <c r="P15" i="3" s="1"/>
  <c r="J223" i="2"/>
  <c r="O15" i="3" s="1"/>
  <c r="J222" i="2"/>
  <c r="N15" i="3" s="1"/>
  <c r="J221" i="2"/>
  <c r="M15" i="3" s="1"/>
  <c r="J220" i="2"/>
  <c r="L15" i="3" s="1"/>
  <c r="J219" i="2"/>
  <c r="K15" i="3" s="1"/>
  <c r="J218" i="2"/>
  <c r="J15" i="3" s="1"/>
  <c r="J217" i="2"/>
  <c r="I15" i="3" s="1"/>
  <c r="J216" i="2"/>
  <c r="H15" i="3" s="1"/>
  <c r="J215" i="2"/>
  <c r="G15" i="3" s="1"/>
  <c r="J214" i="2"/>
  <c r="F15" i="3" s="1"/>
  <c r="J213" i="2"/>
  <c r="E15" i="3" s="1"/>
  <c r="J212" i="2"/>
  <c r="D15" i="3" s="1"/>
  <c r="J211" i="2"/>
  <c r="C15" i="3" s="1"/>
  <c r="J209" i="2"/>
  <c r="Q14" i="3" s="1"/>
  <c r="J208" i="2"/>
  <c r="P14" i="3" s="1"/>
  <c r="J207" i="2"/>
  <c r="O14" i="3" s="1"/>
  <c r="J206" i="2"/>
  <c r="N14" i="3" s="1"/>
  <c r="J205" i="2"/>
  <c r="M14" i="3" s="1"/>
  <c r="J204" i="2"/>
  <c r="L14" i="3" s="1"/>
  <c r="J203" i="2"/>
  <c r="K14" i="3" s="1"/>
  <c r="J202" i="2"/>
  <c r="J14" i="3" s="1"/>
  <c r="J201" i="2"/>
  <c r="I14" i="3" s="1"/>
  <c r="J200" i="2"/>
  <c r="H14" i="3" s="1"/>
  <c r="J199" i="2"/>
  <c r="G14" i="3" s="1"/>
  <c r="J198" i="2"/>
  <c r="F14" i="3" s="1"/>
  <c r="J197" i="2"/>
  <c r="E14" i="3" s="1"/>
  <c r="J196" i="2"/>
  <c r="D14" i="3" s="1"/>
  <c r="J195" i="2"/>
  <c r="C14" i="3" s="1"/>
  <c r="J193" i="2"/>
  <c r="Q13" i="3" s="1"/>
  <c r="J192" i="2"/>
  <c r="P13" i="3" s="1"/>
  <c r="J191" i="2"/>
  <c r="O13" i="3" s="1"/>
  <c r="J190" i="2"/>
  <c r="N13" i="3" s="1"/>
  <c r="J189" i="2"/>
  <c r="M13" i="3" s="1"/>
  <c r="J188" i="2"/>
  <c r="L13" i="3" s="1"/>
  <c r="J187" i="2"/>
  <c r="K13" i="3" s="1"/>
  <c r="J186" i="2"/>
  <c r="J13" i="3" s="1"/>
  <c r="J185" i="2"/>
  <c r="I13" i="3" s="1"/>
  <c r="J184" i="2"/>
  <c r="H13" i="3" s="1"/>
  <c r="J183" i="2"/>
  <c r="G13" i="3" s="1"/>
  <c r="J182" i="2"/>
  <c r="F13" i="3" s="1"/>
  <c r="J181" i="2"/>
  <c r="E13" i="3" s="1"/>
  <c r="J180" i="2"/>
  <c r="D13" i="3" s="1"/>
  <c r="J179" i="2"/>
  <c r="C13" i="3" s="1"/>
  <c r="J177" i="2"/>
  <c r="Q12" i="3" s="1"/>
  <c r="J176" i="2"/>
  <c r="P12" i="3" s="1"/>
  <c r="J175" i="2"/>
  <c r="O12" i="3" s="1"/>
  <c r="J174" i="2"/>
  <c r="N12" i="3" s="1"/>
  <c r="J173" i="2"/>
  <c r="M12" i="3" s="1"/>
  <c r="J172" i="2"/>
  <c r="L12" i="3" s="1"/>
  <c r="J171" i="2"/>
  <c r="K12" i="3" s="1"/>
  <c r="J170" i="2"/>
  <c r="J12" i="3" s="1"/>
  <c r="J169" i="2"/>
  <c r="I12" i="3" s="1"/>
  <c r="J168" i="2"/>
  <c r="H12" i="3" s="1"/>
  <c r="J167" i="2"/>
  <c r="G12" i="3" s="1"/>
  <c r="J166" i="2"/>
  <c r="F12" i="3" s="1"/>
  <c r="J165" i="2"/>
  <c r="E12" i="3" s="1"/>
  <c r="J164" i="2"/>
  <c r="D12" i="3" s="1"/>
  <c r="J163" i="2"/>
  <c r="C12" i="3" s="1"/>
  <c r="J161" i="2"/>
  <c r="Q11" i="3" s="1"/>
  <c r="J160" i="2"/>
  <c r="P11" i="3" s="1"/>
  <c r="J159" i="2"/>
  <c r="O11" i="3" s="1"/>
  <c r="J158" i="2"/>
  <c r="N11" i="3" s="1"/>
  <c r="J157" i="2"/>
  <c r="M11" i="3" s="1"/>
  <c r="J156" i="2"/>
  <c r="L11" i="3" s="1"/>
  <c r="J155" i="2"/>
  <c r="K11" i="3" s="1"/>
  <c r="J154" i="2"/>
  <c r="J11" i="3" s="1"/>
  <c r="J153" i="2"/>
  <c r="I11" i="3" s="1"/>
  <c r="J152" i="2"/>
  <c r="H11" i="3" s="1"/>
  <c r="J151" i="2"/>
  <c r="G11" i="3" s="1"/>
  <c r="J150" i="2"/>
  <c r="F11" i="3" s="1"/>
  <c r="J149" i="2"/>
  <c r="E11" i="3" s="1"/>
  <c r="J148" i="2"/>
  <c r="D11" i="3" s="1"/>
  <c r="J147" i="2"/>
  <c r="C11" i="3" s="1"/>
  <c r="J145" i="2"/>
  <c r="Q10" i="3" s="1"/>
  <c r="J144" i="2"/>
  <c r="P10" i="3" s="1"/>
  <c r="J143" i="2"/>
  <c r="O10" i="3" s="1"/>
  <c r="J142" i="2"/>
  <c r="N10" i="3" s="1"/>
  <c r="J141" i="2"/>
  <c r="M10" i="3" s="1"/>
  <c r="J140" i="2"/>
  <c r="L10" i="3" s="1"/>
  <c r="J139" i="2"/>
  <c r="K10" i="3" s="1"/>
  <c r="J138" i="2"/>
  <c r="J10" i="3" s="1"/>
  <c r="J137" i="2"/>
  <c r="I10" i="3" s="1"/>
  <c r="J136" i="2"/>
  <c r="H10" i="3" s="1"/>
  <c r="J135" i="2"/>
  <c r="G10" i="3" s="1"/>
  <c r="J134" i="2"/>
  <c r="F10" i="3" s="1"/>
  <c r="J133" i="2"/>
  <c r="E10" i="3" s="1"/>
  <c r="J132" i="2"/>
  <c r="D10" i="3" s="1"/>
  <c r="J131" i="2"/>
  <c r="C10" i="3" s="1"/>
  <c r="J129" i="2"/>
  <c r="Q9" i="3" s="1"/>
  <c r="J128" i="2"/>
  <c r="P9" i="3" s="1"/>
  <c r="J127" i="2"/>
  <c r="O9" i="3" s="1"/>
  <c r="J126" i="2"/>
  <c r="N9" i="3" s="1"/>
  <c r="J125" i="2"/>
  <c r="M9" i="3" s="1"/>
  <c r="J124" i="2"/>
  <c r="L9" i="3" s="1"/>
  <c r="J123" i="2"/>
  <c r="K9" i="3" s="1"/>
  <c r="J122" i="2"/>
  <c r="J9" i="3" s="1"/>
  <c r="J121" i="2"/>
  <c r="I9" i="3" s="1"/>
  <c r="J120" i="2"/>
  <c r="H9" i="3" s="1"/>
  <c r="J119" i="2"/>
  <c r="G9" i="3" s="1"/>
  <c r="J118" i="2"/>
  <c r="F9" i="3" s="1"/>
  <c r="J117" i="2"/>
  <c r="E9" i="3" s="1"/>
  <c r="J116" i="2"/>
  <c r="D9" i="3" s="1"/>
  <c r="J115" i="2"/>
  <c r="C9" i="3" s="1"/>
  <c r="J113" i="2"/>
  <c r="Q8" i="3" s="1"/>
  <c r="J112" i="2"/>
  <c r="P8" i="3" s="1"/>
  <c r="J111" i="2"/>
  <c r="O8" i="3" s="1"/>
  <c r="J110" i="2"/>
  <c r="N8" i="3" s="1"/>
  <c r="J109" i="2"/>
  <c r="M8" i="3" s="1"/>
  <c r="J108" i="2"/>
  <c r="L8" i="3" s="1"/>
  <c r="J107" i="2"/>
  <c r="K8" i="3" s="1"/>
  <c r="J106" i="2"/>
  <c r="J8" i="3" s="1"/>
  <c r="J105" i="2"/>
  <c r="I8" i="3" s="1"/>
  <c r="J104" i="2"/>
  <c r="H8" i="3" s="1"/>
  <c r="J103" i="2"/>
  <c r="G8" i="3" s="1"/>
  <c r="J102" i="2"/>
  <c r="F8" i="3" s="1"/>
  <c r="J101" i="2"/>
  <c r="E8" i="3" s="1"/>
  <c r="J100" i="2"/>
  <c r="D8" i="3" s="1"/>
  <c r="J99" i="2"/>
  <c r="C8" i="3" s="1"/>
  <c r="J97" i="2"/>
  <c r="Q7" i="3" s="1"/>
  <c r="J96" i="2"/>
  <c r="P7" i="3" s="1"/>
  <c r="J95" i="2"/>
  <c r="O7" i="3" s="1"/>
  <c r="J94" i="2"/>
  <c r="N7" i="3" s="1"/>
  <c r="J93" i="2"/>
  <c r="M7" i="3" s="1"/>
  <c r="J92" i="2"/>
  <c r="L7" i="3" s="1"/>
  <c r="J91" i="2"/>
  <c r="K7" i="3" s="1"/>
  <c r="J90" i="2"/>
  <c r="J7" i="3" s="1"/>
  <c r="J89" i="2"/>
  <c r="I7" i="3" s="1"/>
  <c r="J88" i="2"/>
  <c r="H7" i="3" s="1"/>
  <c r="J87" i="2"/>
  <c r="G7" i="3" s="1"/>
  <c r="J86" i="2"/>
  <c r="F7" i="3" s="1"/>
  <c r="J85" i="2"/>
  <c r="E7" i="3" s="1"/>
  <c r="J84" i="2"/>
  <c r="D7" i="3" s="1"/>
  <c r="J83" i="2"/>
  <c r="C7" i="3" s="1"/>
  <c r="J81" i="2"/>
  <c r="Q6" i="3" s="1"/>
  <c r="J80" i="2"/>
  <c r="P6" i="3" s="1"/>
  <c r="J79" i="2"/>
  <c r="O6" i="3" s="1"/>
  <c r="J78" i="2"/>
  <c r="N6" i="3" s="1"/>
  <c r="J77" i="2"/>
  <c r="M6" i="3" s="1"/>
  <c r="J76" i="2"/>
  <c r="L6" i="3" s="1"/>
  <c r="J75" i="2"/>
  <c r="K6" i="3" s="1"/>
  <c r="J74" i="2"/>
  <c r="J6" i="3" s="1"/>
  <c r="J73" i="2"/>
  <c r="I6" i="3" s="1"/>
  <c r="J72" i="2"/>
  <c r="H6" i="3" s="1"/>
  <c r="J71" i="2"/>
  <c r="G6" i="3" s="1"/>
  <c r="J70" i="2"/>
  <c r="F6" i="3" s="1"/>
  <c r="J69" i="2"/>
  <c r="E6" i="3" s="1"/>
  <c r="J68" i="2"/>
  <c r="D6" i="3" s="1"/>
  <c r="J67" i="2"/>
  <c r="C6" i="3" s="1"/>
  <c r="J65" i="2"/>
  <c r="Q5" i="3" s="1"/>
  <c r="J64" i="2"/>
  <c r="P5" i="3" s="1"/>
  <c r="J63" i="2"/>
  <c r="O5" i="3" s="1"/>
  <c r="J62" i="2"/>
  <c r="N5" i="3" s="1"/>
  <c r="J61" i="2"/>
  <c r="M5" i="3" s="1"/>
  <c r="J60" i="2"/>
  <c r="L5" i="3" s="1"/>
  <c r="J59" i="2"/>
  <c r="K5" i="3" s="1"/>
  <c r="J58" i="2"/>
  <c r="J5" i="3" s="1"/>
  <c r="J57" i="2"/>
  <c r="I5" i="3" s="1"/>
  <c r="J56" i="2"/>
  <c r="H5" i="3" s="1"/>
  <c r="J55" i="2"/>
  <c r="G5" i="3" s="1"/>
  <c r="J54" i="2"/>
  <c r="F5" i="3" s="1"/>
  <c r="J53" i="2"/>
  <c r="E5" i="3" s="1"/>
  <c r="J52" i="2"/>
  <c r="D5" i="3" s="1"/>
  <c r="J51" i="2"/>
  <c r="C5" i="3" s="1"/>
  <c r="J49" i="2"/>
  <c r="Q4" i="3" s="1"/>
  <c r="J48" i="2"/>
  <c r="P4" i="3" s="1"/>
  <c r="J47" i="2"/>
  <c r="O4" i="3" s="1"/>
  <c r="J46" i="2"/>
  <c r="N4" i="3" s="1"/>
  <c r="J45" i="2"/>
  <c r="M4" i="3" s="1"/>
  <c r="J44" i="2"/>
  <c r="L4" i="3" s="1"/>
  <c r="J43" i="2"/>
  <c r="K4" i="3" s="1"/>
  <c r="J42" i="2"/>
  <c r="J4" i="3" s="1"/>
  <c r="J41" i="2"/>
  <c r="I4" i="3" s="1"/>
  <c r="J40" i="2"/>
  <c r="H4" i="3" s="1"/>
  <c r="J39" i="2"/>
  <c r="G4" i="3" s="1"/>
  <c r="J38" i="2"/>
  <c r="F4" i="3" s="1"/>
  <c r="J37" i="2"/>
  <c r="E4" i="3" s="1"/>
  <c r="J36" i="2"/>
  <c r="D4" i="3" s="1"/>
  <c r="J35" i="2"/>
  <c r="C4" i="3" s="1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R85" i="6" l="1"/>
  <c r="M85" i="6"/>
  <c r="H85" i="6"/>
  <c r="E85" i="6"/>
  <c r="K83" i="6"/>
  <c r="F83" i="6"/>
  <c r="Q82" i="6"/>
  <c r="L82" i="6"/>
  <c r="H82" i="6"/>
  <c r="R81" i="6"/>
  <c r="N81" i="6"/>
  <c r="I81" i="6"/>
  <c r="E81" i="6"/>
  <c r="O80" i="6"/>
  <c r="K80" i="6"/>
  <c r="F80" i="6"/>
  <c r="N79" i="6"/>
  <c r="H79" i="6"/>
  <c r="Q78" i="6"/>
  <c r="K78" i="6"/>
  <c r="F75" i="6"/>
  <c r="L74" i="6"/>
  <c r="R73" i="6"/>
  <c r="F73" i="6"/>
  <c r="K72" i="6"/>
  <c r="S70" i="6"/>
  <c r="N66" i="6"/>
  <c r="S65" i="6"/>
  <c r="E59" i="6"/>
  <c r="G58" i="6"/>
  <c r="I57" i="6"/>
  <c r="F52" i="6"/>
  <c r="G51" i="6"/>
  <c r="C14" i="12"/>
  <c r="B19" i="12" s="1"/>
  <c r="B28" i="9"/>
  <c r="S85" i="6"/>
  <c r="P85" i="6"/>
  <c r="O85" i="6"/>
  <c r="N85" i="6"/>
  <c r="L85" i="6"/>
  <c r="I85" i="6"/>
  <c r="M83" i="6"/>
  <c r="H83" i="6"/>
  <c r="R82" i="6"/>
  <c r="N82" i="6"/>
  <c r="J82" i="6"/>
  <c r="E82" i="6"/>
  <c r="P81" i="6"/>
  <c r="K81" i="6"/>
  <c r="G81" i="6"/>
  <c r="R80" i="6"/>
  <c r="N80" i="6"/>
  <c r="I80" i="6"/>
  <c r="O79" i="6"/>
  <c r="K79" i="6"/>
  <c r="E79" i="6"/>
  <c r="N78" i="6"/>
  <c r="L75" i="6"/>
  <c r="R74" i="6"/>
  <c r="J74" i="6"/>
  <c r="N73" i="6"/>
  <c r="N72" i="6"/>
  <c r="F72" i="6"/>
  <c r="I67" i="6"/>
  <c r="L66" i="6"/>
  <c r="P65" i="6"/>
  <c r="M59" i="6"/>
  <c r="N58" i="6"/>
  <c r="R57" i="6"/>
  <c r="O52" i="6"/>
  <c r="P51" i="6"/>
  <c r="S84" i="6"/>
  <c r="R84" i="6"/>
  <c r="Q84" i="6"/>
  <c r="P84" i="6"/>
  <c r="O84" i="6"/>
  <c r="N84" i="6"/>
  <c r="M84" i="6"/>
  <c r="L84" i="6"/>
  <c r="K84" i="6"/>
  <c r="J84" i="6"/>
  <c r="I84" i="6"/>
  <c r="H84" i="6"/>
  <c r="G84" i="6"/>
  <c r="F84" i="6"/>
  <c r="E84" i="6"/>
  <c r="S83" i="6"/>
  <c r="R83" i="6"/>
  <c r="Q83" i="6"/>
  <c r="P83" i="6"/>
  <c r="O83" i="6"/>
  <c r="N83" i="6"/>
  <c r="J83" i="6"/>
  <c r="E83" i="6"/>
  <c r="P82" i="6"/>
  <c r="K82" i="6"/>
  <c r="G82" i="6"/>
  <c r="Q81" i="6"/>
  <c r="M81" i="6"/>
  <c r="H81" i="6"/>
  <c r="Q80" i="6"/>
  <c r="M80" i="6"/>
  <c r="H80" i="6"/>
  <c r="S79" i="6"/>
  <c r="L79" i="6"/>
  <c r="F79" i="6"/>
  <c r="O78" i="6"/>
  <c r="G78" i="6"/>
  <c r="O74" i="6"/>
  <c r="S73" i="6"/>
  <c r="H73" i="6"/>
  <c r="I72" i="6"/>
  <c r="O67" i="6"/>
  <c r="R66" i="6"/>
  <c r="E66" i="6"/>
  <c r="R58" i="6"/>
  <c r="O57" i="6"/>
  <c r="N52" i="6"/>
  <c r="O51" i="6"/>
  <c r="F78" i="6"/>
  <c r="E78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F77" i="6"/>
  <c r="E77" i="6"/>
  <c r="S76" i="6"/>
  <c r="R76" i="6"/>
  <c r="Q76" i="6"/>
  <c r="P76" i="6"/>
  <c r="O76" i="6"/>
  <c r="N76" i="6"/>
  <c r="M76" i="6"/>
  <c r="L76" i="6"/>
  <c r="K76" i="6"/>
  <c r="J76" i="6"/>
  <c r="I76" i="6"/>
  <c r="H76" i="6"/>
  <c r="G76" i="6"/>
  <c r="F76" i="6"/>
  <c r="E76" i="6"/>
  <c r="S75" i="6"/>
  <c r="R75" i="6"/>
  <c r="Q75" i="6"/>
  <c r="P75" i="6"/>
  <c r="O75" i="6"/>
  <c r="N75" i="6"/>
  <c r="J75" i="6"/>
  <c r="P74" i="6"/>
  <c r="F74" i="6"/>
  <c r="I73" i="6"/>
  <c r="L72" i="6"/>
  <c r="L67" i="6"/>
  <c r="O66" i="6"/>
  <c r="K65" i="6"/>
  <c r="G59" i="6"/>
  <c r="H58" i="6"/>
  <c r="J57" i="6"/>
  <c r="H52" i="6"/>
  <c r="I51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S69" i="6"/>
  <c r="R69" i="6"/>
  <c r="Q69" i="6"/>
  <c r="O69" i="6"/>
  <c r="N69" i="6"/>
  <c r="M69" i="6"/>
  <c r="L69" i="6"/>
  <c r="K69" i="6"/>
  <c r="J69" i="6"/>
  <c r="I69" i="6"/>
  <c r="H69" i="6"/>
  <c r="G69" i="6"/>
  <c r="F69" i="6"/>
  <c r="E69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S67" i="6"/>
  <c r="R67" i="6"/>
  <c r="Q67" i="6"/>
  <c r="H67" i="6"/>
  <c r="M66" i="6"/>
  <c r="Q65" i="6"/>
  <c r="K59" i="6"/>
  <c r="Q58" i="6"/>
  <c r="K57" i="6"/>
  <c r="L52" i="6"/>
  <c r="L51" i="6"/>
  <c r="H64" i="6"/>
  <c r="H92" i="6" s="1"/>
  <c r="G64" i="6"/>
  <c r="G92" i="6" s="1"/>
  <c r="F64" i="6"/>
  <c r="F92" i="6" s="1"/>
  <c r="E64" i="6"/>
  <c r="E92" i="6" s="1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E60" i="6"/>
  <c r="S59" i="6"/>
  <c r="R59" i="6"/>
  <c r="Q59" i="6"/>
  <c r="P59" i="6"/>
  <c r="O59" i="6"/>
  <c r="I59" i="6"/>
  <c r="P58" i="6"/>
  <c r="F58" i="6"/>
  <c r="H57" i="6"/>
  <c r="Q51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S54" i="6"/>
  <c r="R54" i="6"/>
  <c r="Q54" i="6"/>
  <c r="P54" i="6"/>
  <c r="O54" i="6"/>
  <c r="N54" i="6"/>
  <c r="M54" i="6"/>
  <c r="K54" i="6"/>
  <c r="J54" i="6"/>
  <c r="I54" i="6"/>
  <c r="H54" i="6"/>
  <c r="G54" i="6"/>
  <c r="F54" i="6"/>
  <c r="E54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S52" i="6"/>
  <c r="R52" i="6"/>
  <c r="Q52" i="6"/>
  <c r="E52" i="6"/>
  <c r="F50" i="6"/>
  <c r="E50" i="6"/>
  <c r="S49" i="6"/>
  <c r="R49" i="6"/>
  <c r="Q49" i="6"/>
  <c r="P49" i="6"/>
  <c r="O49" i="6"/>
  <c r="O91" i="6" s="1"/>
  <c r="C14" i="10" s="1"/>
  <c r="N49" i="6"/>
  <c r="N91" i="6" s="1"/>
  <c r="M49" i="6"/>
  <c r="M91" i="6" s="1"/>
  <c r="L49" i="6"/>
  <c r="L91" i="6" s="1"/>
  <c r="K49" i="6"/>
  <c r="K91" i="6" s="1"/>
  <c r="H28" i="12" s="1"/>
  <c r="H29" i="12" s="1"/>
  <c r="J49" i="6"/>
  <c r="J91" i="6" s="1"/>
  <c r="I49" i="6"/>
  <c r="I91" i="6" s="1"/>
  <c r="H49" i="6"/>
  <c r="H91" i="6" s="1"/>
  <c r="G49" i="6"/>
  <c r="G91" i="6" s="1"/>
  <c r="F49" i="6"/>
  <c r="F91" i="6" s="1"/>
  <c r="E49" i="6"/>
  <c r="E91" i="6" s="1"/>
  <c r="S48" i="6"/>
  <c r="S90" i="6" s="1"/>
  <c r="R48" i="6"/>
  <c r="R90" i="6" s="1"/>
  <c r="Q48" i="6"/>
  <c r="Q90" i="6" s="1"/>
  <c r="P48" i="6"/>
  <c r="P90" i="6" s="1"/>
  <c r="O48" i="6"/>
  <c r="O90" i="6" s="1"/>
  <c r="N48" i="6"/>
  <c r="N90" i="6" s="1"/>
  <c r="G4" i="7" s="1"/>
  <c r="J4" i="7" s="1"/>
  <c r="M48" i="6"/>
  <c r="M90" i="6" s="1"/>
  <c r="F4" i="7" s="1"/>
  <c r="I4" i="7" s="1"/>
  <c r="L48" i="6"/>
  <c r="L90" i="6" s="1"/>
  <c r="E4" i="7" s="1"/>
  <c r="K48" i="6"/>
  <c r="K90" i="6" s="1"/>
  <c r="J48" i="6"/>
  <c r="J90" i="6" s="1"/>
  <c r="I48" i="6"/>
  <c r="I90" i="6" s="1"/>
  <c r="H48" i="6"/>
  <c r="H90" i="6" s="1"/>
  <c r="G48" i="6"/>
  <c r="G90" i="6" s="1"/>
  <c r="F48" i="6"/>
  <c r="F90" i="6" s="1"/>
  <c r="E48" i="6"/>
  <c r="E90" i="6" s="1"/>
  <c r="I75" i="6"/>
  <c r="P73" i="6"/>
  <c r="Q72" i="6"/>
  <c r="E72" i="6"/>
  <c r="G67" i="6"/>
  <c r="K66" i="6"/>
  <c r="N65" i="6"/>
  <c r="L59" i="6"/>
  <c r="J58" i="6"/>
  <c r="M57" i="6"/>
  <c r="J52" i="6"/>
  <c r="H51" i="6"/>
  <c r="K75" i="6"/>
  <c r="O73" i="6"/>
  <c r="R72" i="6"/>
  <c r="J67" i="6"/>
  <c r="J66" i="6"/>
  <c r="M65" i="6"/>
  <c r="J59" i="6"/>
  <c r="I58" i="6"/>
  <c r="L57" i="6"/>
  <c r="K52" i="6"/>
  <c r="J51" i="6"/>
  <c r="Q79" i="6"/>
  <c r="E75" i="6"/>
  <c r="G74" i="6"/>
  <c r="J73" i="6"/>
  <c r="P72" i="6"/>
  <c r="N67" i="6"/>
  <c r="Q66" i="6"/>
  <c r="R65" i="6"/>
  <c r="N59" i="6"/>
  <c r="S58" i="6"/>
  <c r="E58" i="6"/>
  <c r="E57" i="6"/>
  <c r="S51" i="6"/>
  <c r="E80" i="6"/>
  <c r="J79" i="6"/>
  <c r="R78" i="6"/>
  <c r="L78" i="6"/>
  <c r="H78" i="6"/>
  <c r="H75" i="6"/>
  <c r="N74" i="6"/>
  <c r="K74" i="6"/>
  <c r="Q73" i="6"/>
  <c r="G73" i="6"/>
  <c r="M72" i="6"/>
  <c r="G72" i="6"/>
  <c r="M67" i="6"/>
  <c r="E67" i="6"/>
  <c r="H66" i="6"/>
  <c r="O65" i="6"/>
  <c r="O92" i="6" s="1"/>
  <c r="C15" i="10" s="1"/>
  <c r="F59" i="6"/>
  <c r="K58" i="6"/>
  <c r="Q57" i="6"/>
  <c r="G57" i="6"/>
  <c r="I52" i="6"/>
  <c r="N51" i="6"/>
  <c r="R79" i="6"/>
  <c r="P78" i="6"/>
  <c r="M75" i="6"/>
  <c r="Q74" i="6"/>
  <c r="H74" i="6"/>
  <c r="L73" i="6"/>
  <c r="S72" i="6"/>
  <c r="H72" i="6"/>
  <c r="K67" i="6"/>
  <c r="P66" i="6"/>
  <c r="F66" i="6"/>
  <c r="J65" i="6"/>
  <c r="J92" i="6" s="1"/>
  <c r="L58" i="6"/>
  <c r="N57" i="6"/>
  <c r="M52" i="6"/>
  <c r="M51" i="6"/>
  <c r="G79" i="6"/>
  <c r="J78" i="6"/>
  <c r="S74" i="6"/>
  <c r="I74" i="6"/>
  <c r="K73" i="6"/>
  <c r="O72" i="6"/>
  <c r="R70" i="6"/>
  <c r="S66" i="6"/>
  <c r="G66" i="6"/>
  <c r="I65" i="6"/>
  <c r="I92" i="6" s="1"/>
  <c r="O58" i="6"/>
  <c r="S57" i="6"/>
  <c r="P52" i="6"/>
  <c r="R51" i="6"/>
  <c r="Q85" i="6"/>
  <c r="K85" i="6"/>
  <c r="J85" i="6"/>
  <c r="G85" i="6"/>
  <c r="L83" i="6"/>
  <c r="I83" i="6"/>
  <c r="G83" i="6"/>
  <c r="S82" i="6"/>
  <c r="O82" i="6"/>
  <c r="M82" i="6"/>
  <c r="I82" i="6"/>
  <c r="F82" i="6"/>
  <c r="S81" i="6"/>
  <c r="O81" i="6"/>
  <c r="L81" i="6"/>
  <c r="J81" i="6"/>
  <c r="F81" i="6"/>
  <c r="S80" i="6"/>
  <c r="P80" i="6"/>
  <c r="L80" i="6"/>
  <c r="J80" i="6"/>
  <c r="G80" i="6"/>
  <c r="P79" i="6"/>
  <c r="M79" i="6"/>
  <c r="I79" i="6"/>
  <c r="S78" i="6"/>
  <c r="M78" i="6"/>
  <c r="I78" i="6"/>
  <c r="G75" i="6"/>
  <c r="M74" i="6"/>
  <c r="E74" i="6"/>
  <c r="M73" i="6"/>
  <c r="E73" i="6"/>
  <c r="J72" i="6"/>
  <c r="P67" i="6"/>
  <c r="F67" i="6"/>
  <c r="I66" i="6"/>
  <c r="L65" i="6"/>
  <c r="H59" i="6"/>
  <c r="M58" i="6"/>
  <c r="P57" i="6"/>
  <c r="F57" i="6"/>
  <c r="G52" i="6"/>
  <c r="K51" i="6"/>
  <c r="F14" i="11"/>
  <c r="H14" i="11" s="1"/>
  <c r="F13" i="11"/>
  <c r="H13" i="11" s="1"/>
  <c r="F12" i="11"/>
  <c r="H12" i="11" s="1"/>
  <c r="B20" i="11" s="1"/>
  <c r="F11" i="11"/>
  <c r="H11" i="11" s="1"/>
  <c r="F10" i="11"/>
  <c r="H10" i="11" s="1"/>
  <c r="F9" i="11"/>
  <c r="H9" i="11"/>
  <c r="F8" i="11"/>
  <c r="H8" i="11"/>
  <c r="F6" i="11"/>
  <c r="H6" i="11"/>
  <c r="F5" i="11"/>
  <c r="H5" i="11" s="1"/>
  <c r="F4" i="11"/>
  <c r="H4" i="11" s="1"/>
  <c r="F3" i="11"/>
  <c r="H3" i="11" s="1"/>
  <c r="B17" i="11" s="1"/>
  <c r="B12" i="10"/>
  <c r="E27" i="14"/>
  <c r="F27" i="14" s="1"/>
  <c r="E26" i="14"/>
  <c r="F26" i="14" s="1"/>
  <c r="E25" i="14"/>
  <c r="F25" i="14" s="1"/>
  <c r="E41" i="14"/>
  <c r="F41" i="14" s="1"/>
  <c r="E42" i="14"/>
  <c r="F42" i="14" s="1"/>
  <c r="E39" i="14"/>
  <c r="F39" i="14" s="1"/>
  <c r="E40" i="14"/>
  <c r="F40" i="14" s="1"/>
  <c r="S68" i="6"/>
  <c r="P92" i="6"/>
  <c r="D49" i="13"/>
  <c r="H3" i="7"/>
  <c r="L3" i="7"/>
  <c r="M3" i="7" s="1"/>
  <c r="E13" i="8"/>
  <c r="Q3" i="3"/>
  <c r="D13" i="8"/>
  <c r="P3" i="3"/>
  <c r="C13" i="8"/>
  <c r="O3" i="3"/>
  <c r="B13" i="8"/>
  <c r="N3" i="3"/>
  <c r="B8" i="8"/>
  <c r="M3" i="3"/>
  <c r="K20" i="12"/>
  <c r="K21" i="12" s="1"/>
  <c r="L3" i="3"/>
  <c r="K3" i="3"/>
  <c r="J20" i="12"/>
  <c r="J21" i="12" s="1"/>
  <c r="I20" i="12"/>
  <c r="I21" i="12" s="1"/>
  <c r="J3" i="3"/>
  <c r="I3" i="3"/>
  <c r="H20" i="12"/>
  <c r="H21" i="12" s="1"/>
  <c r="G20" i="12"/>
  <c r="H3" i="3"/>
  <c r="F20" i="12"/>
  <c r="F21" i="12" s="1"/>
  <c r="G3" i="3"/>
  <c r="F3" i="3"/>
  <c r="E20" i="12"/>
  <c r="D20" i="12"/>
  <c r="E3" i="3"/>
  <c r="D3" i="3"/>
  <c r="C20" i="12"/>
  <c r="B20" i="12"/>
  <c r="C3" i="3"/>
  <c r="Q2" i="3"/>
  <c r="F26" i="9"/>
  <c r="P2" i="3"/>
  <c r="E26" i="9"/>
  <c r="D26" i="9"/>
  <c r="O2" i="3"/>
  <c r="C26" i="9"/>
  <c r="N2" i="3"/>
  <c r="B27" i="9"/>
  <c r="M2" i="3"/>
  <c r="C13" i="10"/>
  <c r="L2" i="3"/>
  <c r="K24" i="12"/>
  <c r="K25" i="12" s="1"/>
  <c r="C6" i="9"/>
  <c r="D6" i="9" s="1"/>
  <c r="B30" i="9" s="1"/>
  <c r="B29" i="9"/>
  <c r="J24" i="12"/>
  <c r="J25" i="12" s="1"/>
  <c r="C5" i="9"/>
  <c r="D5" i="9" s="1"/>
  <c r="K2" i="3"/>
  <c r="I24" i="12"/>
  <c r="I25" i="12" s="1"/>
  <c r="J2" i="3"/>
  <c r="C4" i="9"/>
  <c r="I2" i="3"/>
  <c r="C3" i="9"/>
  <c r="D3" i="9" s="1"/>
  <c r="H24" i="12"/>
  <c r="H25" i="12" s="1"/>
  <c r="H2" i="3"/>
  <c r="G24" i="12"/>
  <c r="G25" i="12" s="1"/>
  <c r="G2" i="3"/>
  <c r="F24" i="12"/>
  <c r="F25" i="12" s="1"/>
  <c r="F2" i="3"/>
  <c r="E24" i="12"/>
  <c r="E25" i="12" s="1"/>
  <c r="E2" i="3"/>
  <c r="D24" i="12"/>
  <c r="D25" i="12" s="1"/>
  <c r="D2" i="3"/>
  <c r="C24" i="12"/>
  <c r="C25" i="12" s="1"/>
  <c r="C2" i="3"/>
  <c r="B24" i="12"/>
  <c r="B25" i="12" s="1"/>
  <c r="G14" i="12"/>
  <c r="F19" i="12" s="1"/>
  <c r="E14" i="12"/>
  <c r="D19" i="12" s="1"/>
  <c r="H14" i="12"/>
  <c r="G19" i="12" s="1"/>
  <c r="F14" i="12"/>
  <c r="E19" i="12" s="1"/>
  <c r="D14" i="12"/>
  <c r="C19" i="12" s="1"/>
  <c r="K92" i="6" l="1"/>
  <c r="H32" i="12" s="1"/>
  <c r="H33" i="12" s="1"/>
  <c r="N92" i="6"/>
  <c r="M92" i="6"/>
  <c r="L92" i="6"/>
  <c r="B19" i="11"/>
  <c r="B18" i="11"/>
  <c r="B21" i="12"/>
  <c r="C28" i="9"/>
  <c r="D28" i="9"/>
  <c r="E28" i="9"/>
  <c r="F28" i="9"/>
  <c r="R92" i="6"/>
  <c r="F49" i="13"/>
  <c r="Q92" i="6"/>
  <c r="E49" i="13"/>
  <c r="S91" i="6"/>
  <c r="G48" i="13"/>
  <c r="D48" i="14"/>
  <c r="R91" i="6"/>
  <c r="F48" i="13"/>
  <c r="Q91" i="6"/>
  <c r="E48" i="13"/>
  <c r="D48" i="13"/>
  <c r="P91" i="6"/>
  <c r="H4" i="7"/>
  <c r="L4" i="7"/>
  <c r="M4" i="7" s="1"/>
  <c r="C20" i="11"/>
  <c r="D20" i="11" s="1"/>
  <c r="E15" i="10"/>
  <c r="D49" i="14"/>
  <c r="G49" i="13"/>
  <c r="S92" i="6"/>
  <c r="C27" i="9"/>
  <c r="D27" i="9"/>
  <c r="E27" i="9"/>
  <c r="F27" i="9"/>
  <c r="E13" i="10"/>
  <c r="C18" i="11"/>
  <c r="C30" i="9"/>
  <c r="D30" i="9"/>
  <c r="E30" i="9"/>
  <c r="F30" i="9"/>
  <c r="C29" i="9"/>
  <c r="D29" i="9"/>
  <c r="E29" i="9"/>
  <c r="F29" i="9"/>
  <c r="D4" i="9"/>
  <c r="B31" i="9"/>
  <c r="M25" i="12"/>
  <c r="N25" i="12"/>
  <c r="E14" i="10"/>
  <c r="C19" i="11"/>
  <c r="K28" i="12"/>
  <c r="K29" i="12" s="1"/>
  <c r="G5" i="7"/>
  <c r="J5" i="7" s="1"/>
  <c r="J28" i="12"/>
  <c r="J29" i="12" s="1"/>
  <c r="N29" i="12" s="1"/>
  <c r="F5" i="7"/>
  <c r="I5" i="7" s="1"/>
  <c r="I28" i="12"/>
  <c r="I29" i="12" s="1"/>
  <c r="E5" i="7"/>
  <c r="G21" i="12"/>
  <c r="E21" i="12"/>
  <c r="D21" i="12"/>
  <c r="C21" i="12"/>
  <c r="C12" i="10"/>
  <c r="B9" i="8"/>
  <c r="K32" i="12" l="1"/>
  <c r="K33" i="12" s="1"/>
  <c r="G6" i="7"/>
  <c r="J6" i="7" s="1"/>
  <c r="J32" i="12"/>
  <c r="J33" i="12" s="1"/>
  <c r="F6" i="7"/>
  <c r="I6" i="7" s="1"/>
  <c r="I32" i="12"/>
  <c r="I33" i="12" s="1"/>
  <c r="E6" i="7"/>
  <c r="D18" i="11"/>
  <c r="D19" i="11"/>
  <c r="M29" i="12"/>
  <c r="M21" i="12"/>
  <c r="N21" i="12"/>
  <c r="I20" i="11"/>
  <c r="H20" i="11"/>
  <c r="G20" i="11"/>
  <c r="O33" i="12"/>
  <c r="F20" i="11"/>
  <c r="I15" i="10"/>
  <c r="H15" i="10"/>
  <c r="G15" i="10"/>
  <c r="F15" i="10"/>
  <c r="E20" i="11"/>
  <c r="E18" i="11"/>
  <c r="I13" i="10"/>
  <c r="H13" i="10"/>
  <c r="G13" i="10"/>
  <c r="F13" i="10"/>
  <c r="O25" i="12"/>
  <c r="I18" i="11"/>
  <c r="H18" i="11"/>
  <c r="G18" i="11"/>
  <c r="F18" i="11"/>
  <c r="C31" i="9"/>
  <c r="D31" i="9"/>
  <c r="E31" i="9"/>
  <c r="F31" i="9"/>
  <c r="E19" i="11"/>
  <c r="F14" i="10"/>
  <c r="I14" i="10"/>
  <c r="H14" i="10"/>
  <c r="G14" i="10"/>
  <c r="H5" i="7"/>
  <c r="L5" i="7"/>
  <c r="M5" i="7" s="1"/>
  <c r="E12" i="10"/>
  <c r="C17" i="11"/>
  <c r="D17" i="11" s="1"/>
  <c r="E14" i="8"/>
  <c r="D14" i="8"/>
  <c r="C14" i="8"/>
  <c r="B14" i="8"/>
  <c r="O29" i="12"/>
  <c r="I19" i="11"/>
  <c r="H19" i="11"/>
  <c r="G19" i="11"/>
  <c r="F19" i="11"/>
  <c r="H6" i="7" l="1"/>
  <c r="L6" i="7"/>
  <c r="M6" i="7" s="1"/>
  <c r="N33" i="12"/>
  <c r="M33" i="12"/>
  <c r="H17" i="11"/>
  <c r="G17" i="11"/>
  <c r="O21" i="12"/>
  <c r="I17" i="11"/>
  <c r="F17" i="11"/>
  <c r="E17" i="11"/>
  <c r="I12" i="10"/>
  <c r="H12" i="10"/>
  <c r="G12" i="10"/>
  <c r="F12" i="10"/>
</calcChain>
</file>

<file path=xl/sharedStrings.xml><?xml version="1.0" encoding="utf-8"?>
<sst xmlns="http://schemas.openxmlformats.org/spreadsheetml/2006/main" count="5576" uniqueCount="449">
  <si>
    <t>Nominal GDP growth, local currency, 2016-2030 (Grupo Bimbo regions)</t>
  </si>
  <si>
    <t>Built</t>
  </si>
  <si>
    <t>2026-10-24 by the AI for the team (logged in docs/context/ai-use-log.md)</t>
  </si>
  <si>
    <t>Levels</t>
  </si>
  <si>
    <t>S&amp;P Capital IQ nominalGDPLCU, entered as values exactly as stored [sourced]; file and line in Data columns H-I</t>
  </si>
  <si>
    <t>Sources</t>
  </si>
  <si>
    <t>data/capitaliq/capiq-sales-drivers-{M1..M5,X1,E1..E5}_2026-10-24.md; ESP/PRT/FRA/ITA from BIMBOA/research/Informacion_BIMBO_macro.txt (its "Derived" growth rows, computed by ChatIQ, are not used)</t>
  </si>
  <si>
    <t>Growth</t>
  </si>
  <si>
    <t>Live formula in Data column J: level_t / level_t-1 - 1 [calc]. Growth_view links to Data; nothing is pasted as a value</t>
  </si>
  <si>
    <t>Duplicates</t>
  </si>
  <si>
    <t>PER, URY, VEN 2015-2025 appear in M5 and X1 with identical values; the M5 row is cited</t>
  </si>
  <si>
    <t>[unverified]</t>
  </si>
  <si>
    <t>UKR 2027 (gap vs real GDP + CPI); VEN all years (unusable); SVN 2025 (flag conflict). Shaded orange</t>
  </si>
  <si>
    <t>H-02 fix</t>
  </si>
  <si>
    <t>KAZ, KOR, MAR and UKR 2026: the stored level step is a likely series break, so 2026 growth = (1 + real GDP growth) x (1 + CPI) - 1 (Data columns L-M; CPI from IAS29_test) [calc]; CPI is a proxy for the GDP deflator [assumption]. The 2026 levels stay as stored, so 2027-2030 growth is unchanged. Shaded green. Audit fix 2026-10-26</t>
  </si>
  <si>
    <t>Unit notes</t>
  </si>
  <si>
    <t>HRV labelled knB but euro-scale, one unit throughout so growth is unaffected; PRY 2026 flagged ACTUAL (label wrong, value plausible); India on calendar years</t>
  </si>
  <si>
    <t>FX</t>
  </si>
  <si>
    <t>Local currency per USD, annual average, as stored in BIMBOA/research/Informacion_BIMBO_macro.txt [sourced]; USD = 1; VES and MKD not in source</t>
  </si>
  <si>
    <t>Regional_agg</t>
  </si>
  <si>
    <t>Same logic as Bimbo ex-FX growth: each country grows in local currency; countries are added at the prior-year exchange rate, so weight_t = GDP USD t-1 / region total t-1 and region growth_t = sum(weight x growth) [calc]. All consolidated countries included (team decision 2026-10-25). VEN excluded because Bimbo has not consolidated it since 1-Jun-2017; MKD excluded for lack of FX (toggle column C). Weights are GDP, not Bimbo sales (Bimbo discloses sales by region only)</t>
  </si>
  <si>
    <t>IAS29_test</t>
  </si>
  <si>
    <t>IAS 29 para 3(e): one indicator of hyperinflation is cumulative inflation over three years approaching or exceeding 100%. Computed with live formulas from the Capital IQ CPI annual averages in the same blocks [calc]. Annual-average CPI is a proxy; IAS 29 practice uses index levels</t>
  </si>
  <si>
    <t>iso3</t>
  </si>
  <si>
    <t>region</t>
  </si>
  <si>
    <t>year</t>
  </si>
  <si>
    <t>nominal_gdp_lcu</t>
  </si>
  <si>
    <t>unit</t>
  </si>
  <si>
    <t>flag</t>
  </si>
  <si>
    <t>as_of</t>
  </si>
  <si>
    <t>source_file</t>
  </si>
  <si>
    <t>source_line</t>
  </si>
  <si>
    <t>growth</t>
  </si>
  <si>
    <t>tag</t>
  </si>
  <si>
    <t>real_gdp_growth (H-02)</t>
  </si>
  <si>
    <t>real GDP source (H-02)</t>
  </si>
  <si>
    <t>MEX</t>
  </si>
  <si>
    <t>Mexico</t>
  </si>
  <si>
    <t>Mex$B</t>
  </si>
  <si>
    <t>As reported ACTUAL</t>
  </si>
  <si>
    <t>10/15/2026</t>
  </si>
  <si>
    <t>capiq-sales-drivers-X1_2026-10-24.md</t>
  </si>
  <si>
    <t>[sourced] level only</t>
  </si>
  <si>
    <t>[calc]</t>
  </si>
  <si>
    <t>Standardized FORECAST</t>
  </si>
  <si>
    <t>capiq-sales-drivers-M1_2026-10-24.md</t>
  </si>
  <si>
    <t>USA</t>
  </si>
  <si>
    <t>North America</t>
  </si>
  <si>
    <t>$B</t>
  </si>
  <si>
    <t>10/07/2026</t>
  </si>
  <si>
    <t>CAN</t>
  </si>
  <si>
    <t>C$B</t>
  </si>
  <si>
    <t>07/15/2026</t>
  </si>
  <si>
    <t>ARG</t>
  </si>
  <si>
    <t>Latin America</t>
  </si>
  <si>
    <t>AR$B</t>
  </si>
  <si>
    <t>capiq-sales-drivers-M2_2026-10-24.md</t>
  </si>
  <si>
    <t>BRA</t>
  </si>
  <si>
    <t>R$B</t>
  </si>
  <si>
    <t>06/15/2026</t>
  </si>
  <si>
    <t>CHL</t>
  </si>
  <si>
    <t>CL$T</t>
  </si>
  <si>
    <t>09/15/2026</t>
  </si>
  <si>
    <t>COL</t>
  </si>
  <si>
    <t>Col$T</t>
  </si>
  <si>
    <t>08/18/2026</t>
  </si>
  <si>
    <t>CRI</t>
  </si>
  <si>
    <t>¢B</t>
  </si>
  <si>
    <t>03/17/2026</t>
  </si>
  <si>
    <t>capiq-sales-drivers-M3_2026-10-24.md</t>
  </si>
  <si>
    <t>ECU</t>
  </si>
  <si>
    <t>SLV</t>
  </si>
  <si>
    <t>08/25/2026</t>
  </si>
  <si>
    <t>GTM</t>
  </si>
  <si>
    <t>Q.B</t>
  </si>
  <si>
    <t>HND</t>
  </si>
  <si>
    <t>L.B</t>
  </si>
  <si>
    <t>09/17/2026</t>
  </si>
  <si>
    <t>capiq-sales-drivers-M4_2026-10-24.md</t>
  </si>
  <si>
    <t>NIC</t>
  </si>
  <si>
    <t>05/15/2026</t>
  </si>
  <si>
    <t>PAN</t>
  </si>
  <si>
    <t>BB</t>
  </si>
  <si>
    <t>PRY</t>
  </si>
  <si>
    <t>₲T</t>
  </si>
  <si>
    <t>PER</t>
  </si>
  <si>
    <t>S/.B</t>
  </si>
  <si>
    <t>capiq-sales-drivers-M5_2026-10-24.md</t>
  </si>
  <si>
    <t>10/19/2026</t>
  </si>
  <si>
    <t>10/23/2026</t>
  </si>
  <si>
    <t>URY</t>
  </si>
  <si>
    <t>VEN</t>
  </si>
  <si>
    <t>Bs. SB</t>
  </si>
  <si>
    <t>GBR</t>
  </si>
  <si>
    <t>EAA</t>
  </si>
  <si>
    <t>£B</t>
  </si>
  <si>
    <t>capiq-sales-drivers-E1_2026-10-24.md</t>
  </si>
  <si>
    <t>CHE</t>
  </si>
  <si>
    <t>SFr.B</t>
  </si>
  <si>
    <t>ROU</t>
  </si>
  <si>
    <t>LB</t>
  </si>
  <si>
    <t>SRB</t>
  </si>
  <si>
    <t>RSDB</t>
  </si>
  <si>
    <t>SVN</t>
  </si>
  <si>
    <t>€B</t>
  </si>
  <si>
    <t>capiq-sales-drivers-E2_2026-10-24.md</t>
  </si>
  <si>
    <t>HRV</t>
  </si>
  <si>
    <t>knB</t>
  </si>
  <si>
    <t>MNE</t>
  </si>
  <si>
    <t>MKD</t>
  </si>
  <si>
    <t>MKDB</t>
  </si>
  <si>
    <t>RUS</t>
  </si>
  <si>
    <t>RUBB</t>
  </si>
  <si>
    <t>capiq-sales-drivers-E3_2026-10-24.md</t>
  </si>
  <si>
    <t>UKR</t>
  </si>
  <si>
    <t>UAHB</t>
  </si>
  <si>
    <t>[calc] H-02: real + CPI</t>
  </si>
  <si>
    <t>capiq-sales-drivers-E3_2026-10-24.md L122 [sourced]</t>
  </si>
  <si>
    <t>TUR</t>
  </si>
  <si>
    <t>TLB</t>
  </si>
  <si>
    <t>KAZ</t>
  </si>
  <si>
    <t>KZTB</t>
  </si>
  <si>
    <t>capiq-sales-drivers-E3_2026-10-24.md L282 [sourced]</t>
  </si>
  <si>
    <t>CHN</t>
  </si>
  <si>
    <t>CN¥B</t>
  </si>
  <si>
    <t>06/15/2026 / 10/22/2026</t>
  </si>
  <si>
    <t>capiq-sales-drivers-E4_2026-10-24.md</t>
  </si>
  <si>
    <t>08/18/2026 / 10/22/2026</t>
  </si>
  <si>
    <t>10/15/2026 / 10/15/2026</t>
  </si>
  <si>
    <t>IND</t>
  </si>
  <si>
    <t>₹B</t>
  </si>
  <si>
    <t>09/15/2026 / 10/15/2026</t>
  </si>
  <si>
    <t>KOR</t>
  </si>
  <si>
    <t>₩T</t>
  </si>
  <si>
    <t>06/15/2026 / 10/15/2026</t>
  </si>
  <si>
    <t>capiq-sales-drivers-E4_2026-10-24.md L202 [sourced]</t>
  </si>
  <si>
    <t>ZAF</t>
  </si>
  <si>
    <t>RB</t>
  </si>
  <si>
    <t>capiq-sales-drivers-E5_2026-10-24.md</t>
  </si>
  <si>
    <t>MAR</t>
  </si>
  <si>
    <t>د.م.B</t>
  </si>
  <si>
    <t>capiq-sales-drivers-E5_2026-10-24.md L123 [sourced]</t>
  </si>
  <si>
    <t>TUN</t>
  </si>
  <si>
    <t>د.تB</t>
  </si>
  <si>
    <t>ESP</t>
  </si>
  <si>
    <t>Actual</t>
  </si>
  <si>
    <t>Informacion_BIMBO_macro.txt</t>
  </si>
  <si>
    <t>Forecast</t>
  </si>
  <si>
    <t>PRT</t>
  </si>
  <si>
    <t>FRA</t>
  </si>
  <si>
    <t>ITA</t>
  </si>
  <si>
    <t>CPI annual average [sourced]: Capital IQ consumerPriceInflation, % stored / 100. Source lines in column S</t>
  </si>
  <si>
    <t>source</t>
  </si>
  <si>
    <t>capiq-sales-drivers-M1_2026-10-24.md; capiq-sales-drivers-X1_2026-10-24.md L29-L47</t>
  </si>
  <si>
    <t>capiq-sales-drivers-M1_2026-10-24.md; capiq-sales-drivers-X1_2026-10-24.md L44-L69</t>
  </si>
  <si>
    <t>capiq-sales-drivers-M1_2026-10-24.md; capiq-sales-drivers-X1_2026-10-24.md L59-L91</t>
  </si>
  <si>
    <t>capiq-sales-drivers-M2_2026-10-24.md; capiq-sales-drivers-X1_2026-10-24.md L32-L113</t>
  </si>
  <si>
    <t>capiq-sales-drivers-M2_2026-10-24.md; capiq-sales-drivers-X1_2026-10-24.md L47-L135</t>
  </si>
  <si>
    <t>capiq-sales-drivers-M2_2026-10-24.md; capiq-sales-drivers-X1_2026-10-24.md L62-L157</t>
  </si>
  <si>
    <t>capiq-sales-drivers-M2_2026-10-24.md; capiq-sales-drivers-X1_2026-10-24.md L77-L179</t>
  </si>
  <si>
    <t>capiq-sales-drivers-M3_2026-10-24.md; capiq-sales-drivers-X1_2026-10-24.md L32-L201</t>
  </si>
  <si>
    <t>capiq-sales-drivers-M3_2026-10-24.md; capiq-sales-drivers-X1_2026-10-24.md L47-L223</t>
  </si>
  <si>
    <t>capiq-sales-drivers-M3_2026-10-24.md; capiq-sales-drivers-X1_2026-10-24.md L62-L245</t>
  </si>
  <si>
    <t>capiq-sales-drivers-M3_2026-10-24.md L77-L93</t>
  </si>
  <si>
    <t>capiq-sales-drivers-M4_2026-10-24.md L26-L41</t>
  </si>
  <si>
    <t>capiq-sales-drivers-M4_2026-10-24.md L84-L99</t>
  </si>
  <si>
    <t>capiq-sales-drivers-M4_2026-10-24.md L142-L157</t>
  </si>
  <si>
    <t>capiq-sales-drivers-M4_2026-10-24.md L200-L215</t>
  </si>
  <si>
    <t>capiq-sales-drivers-M5_2026-10-24.md L69-L84</t>
  </si>
  <si>
    <t>capiq-sales-drivers-M5_2026-10-24.md L149-L164</t>
  </si>
  <si>
    <t>capiq-sales-drivers-M5_2026-10-24.md L229-L244</t>
  </si>
  <si>
    <t>capiq-sales-drivers-E1_2026-10-24.md L58-L73</t>
  </si>
  <si>
    <t>capiq-sales-drivers-E1_2026-10-24.md L138-L153</t>
  </si>
  <si>
    <t>capiq-sales-drivers-E1_2026-10-24.md L218-L233</t>
  </si>
  <si>
    <t>capiq-sales-drivers-E1_2026-10-24.md L298-L313</t>
  </si>
  <si>
    <t>capiq-sales-drivers-E2_2026-10-24.md L57-L72</t>
  </si>
  <si>
    <t>capiq-sales-drivers-E2_2026-10-24.md L137-L152</t>
  </si>
  <si>
    <t>capiq-sales-drivers-E2_2026-10-24.md L217-L232</t>
  </si>
  <si>
    <t>capiq-sales-drivers-E2_2026-10-24.md L297-L312</t>
  </si>
  <si>
    <t>capiq-sales-drivers-E3_2026-10-24.md L63-L78</t>
  </si>
  <si>
    <t>capiq-sales-drivers-E3_2026-10-24.md L143-L158</t>
  </si>
  <si>
    <t>capiq-sales-drivers-E3_2026-10-24.md L223-L238</t>
  </si>
  <si>
    <t>capiq-sales-drivers-E3_2026-10-24.md L303-L318</t>
  </si>
  <si>
    <t>capiq-sales-drivers-E4_2026-10-24.md L63-L78</t>
  </si>
  <si>
    <t>capiq-sales-drivers-E4_2026-10-24.md L143-L158</t>
  </si>
  <si>
    <t>capiq-sales-drivers-E4_2026-10-24.md L223-L238</t>
  </si>
  <si>
    <t>capiq-sales-drivers-E5_2026-10-24.md L64-L79</t>
  </si>
  <si>
    <t>capiq-sales-drivers-E5_2026-10-24.md L144-L159</t>
  </si>
  <si>
    <t>capiq-sales-drivers-E5_2026-10-24.md L224-L239</t>
  </si>
  <si>
    <t>Informacion_BIMBO_macro.txt L648-L663</t>
  </si>
  <si>
    <t>Informacion_BIMBO_macro.txt L748-L763</t>
  </si>
  <si>
    <t>Informacion_BIMBO_macro.txt L848-L863</t>
  </si>
  <si>
    <t>Informacion_BIMBO_macro.txt L948-L963</t>
  </si>
  <si>
    <t>Cumulative 3-year inflation ending in each year [calc] = (1+CPI t-2)(1+CPI t-1)(1+CPI t) - 1; orange = 100% or more (IAS 29 para 3(e))</t>
  </si>
  <si>
    <t>Local currency per USD, annual average [sourced]: BIMBOA/research/Informacion_BIMBO_macro.txt (2015-2025 Banxico FIX for MXN, and CAD/GBP/EUR from 2019, else Capital IQ; 2026-2030 Capital IQ forecast). USD = 1 by definition</t>
  </si>
  <si>
    <t>currency</t>
  </si>
  <si>
    <t>source lines</t>
  </si>
  <si>
    <t>ARS</t>
  </si>
  <si>
    <t>L1028 (2015-2025), L1131 (2026-2030)</t>
  </si>
  <si>
    <t>BRL</t>
  </si>
  <si>
    <t>L1027 (2015-2025), L1130 (2026-2030)</t>
  </si>
  <si>
    <t>CAD</t>
  </si>
  <si>
    <t>L1026 (2015-2025), L1129 (2026-2030)</t>
  </si>
  <si>
    <t>CHF</t>
  </si>
  <si>
    <t>L1039 (2015-2025), L1142 (2026-2030)</t>
  </si>
  <si>
    <t>CLP</t>
  </si>
  <si>
    <t>L1029 (2015-2025), L1132 (2026-2030)</t>
  </si>
  <si>
    <t>CNY</t>
  </si>
  <si>
    <t>L1045 (2015-2025), L1148 (2026-2030)</t>
  </si>
  <si>
    <t>COP</t>
  </si>
  <si>
    <t>L1030 (2015-2025), L1133 (2026-2030)</t>
  </si>
  <si>
    <t>CRC</t>
  </si>
  <si>
    <t>L1036 (2015-2025), L1139 (2026-2030)</t>
  </si>
  <si>
    <t>EUR</t>
  </si>
  <si>
    <t>L1052 (2015-2025), L1155 (2026-2030)</t>
  </si>
  <si>
    <t>GBP</t>
  </si>
  <si>
    <t>L1038 (2015-2025), L1141 (2026-2030)</t>
  </si>
  <si>
    <t>GTQ</t>
  </si>
  <si>
    <t>L1034 (2015-2025), L1137 (2026-2030)</t>
  </si>
  <si>
    <t>HNL</t>
  </si>
  <si>
    <t>L1035 (2015-2025), L1138 (2026-2030)</t>
  </si>
  <si>
    <t>INR</t>
  </si>
  <si>
    <t>L1046 (2015-2025), L1149 (2026-2030)</t>
  </si>
  <si>
    <t>KRW</t>
  </si>
  <si>
    <t>L1047 (2015-2025), L1150 (2026-2030)</t>
  </si>
  <si>
    <t>KZT</t>
  </si>
  <si>
    <t>L1048 (2015-2025), L1151 (2026-2030)</t>
  </si>
  <si>
    <t>MAD</t>
  </si>
  <si>
    <t>L1050 (2015-2025), L1153 (2026-2030)</t>
  </si>
  <si>
    <t>not in source: no FX</t>
  </si>
  <si>
    <t>MXN</t>
  </si>
  <si>
    <t>L1025 (2015-2025), L1128 (2026-2030)</t>
  </si>
  <si>
    <t>NIO</t>
  </si>
  <si>
    <t>L1037 (2015-2025), L1140 (2026-2030)</t>
  </si>
  <si>
    <t>PEN</t>
  </si>
  <si>
    <t>L1031 (2015-2025), L1134 (2026-2030)</t>
  </si>
  <si>
    <t>PYG</t>
  </si>
  <si>
    <t>L1033 (2015-2025), L1136 (2026-2030)</t>
  </si>
  <si>
    <t>RON</t>
  </si>
  <si>
    <t>L1040 (2015-2025), L1143 (2026-2030)</t>
  </si>
  <si>
    <t>RSD</t>
  </si>
  <si>
    <t>L1041 (2015-2025), L1144 (2026-2030)</t>
  </si>
  <si>
    <t>RUB</t>
  </si>
  <si>
    <t>L1043 (2015-2025), L1146 (2026-2030)</t>
  </si>
  <si>
    <t>TND</t>
  </si>
  <si>
    <t>L1051 (2015-2025), L1154 (2026-2030)</t>
  </si>
  <si>
    <t>TRY</t>
  </si>
  <si>
    <t>L1042 (2015-2025), L1145 (2026-2030)</t>
  </si>
  <si>
    <t>UAH</t>
  </si>
  <si>
    <t>L1044 (2015-2025), L1147 (2026-2030)</t>
  </si>
  <si>
    <t>USD</t>
  </si>
  <si>
    <t>UYU</t>
  </si>
  <si>
    <t>L1032 (2015-2025), L1135 (2026-2030)</t>
  </si>
  <si>
    <t>VES</t>
  </si>
  <si>
    <t>ZAR</t>
  </si>
  <si>
    <t>L1049 (2015-2025), L1152 (2026-2030)</t>
  </si>
  <si>
    <t>Regional nominal GDP growth, local currency, constant prior-year FX (same logic as Bimbo ex-FX growth) [calc]. include = 1/0 (team can toggle). GDP USD bn = level (x1000 when stored in trillions: CHL, COL, PRY, KOR) / FX</t>
  </si>
  <si>
    <t>include</t>
  </si>
  <si>
    <t>note</t>
  </si>
  <si>
    <t>GDP USD bn 2015</t>
  </si>
  <si>
    <t>GDP USD bn 2016</t>
  </si>
  <si>
    <t>GDP USD bn 2017</t>
  </si>
  <si>
    <t>GDP USD bn 2018</t>
  </si>
  <si>
    <t>GDP USD bn 2019</t>
  </si>
  <si>
    <t>GDP USD bn 2020</t>
  </si>
  <si>
    <t>GDP USD bn 2021</t>
  </si>
  <si>
    <t>GDP USD bn 2022</t>
  </si>
  <si>
    <t>GDP USD bn 2023</t>
  </si>
  <si>
    <t>GDP USD bn 2024</t>
  </si>
  <si>
    <t>GDP USD bn 2025</t>
  </si>
  <si>
    <t>GDP USD bn 2026</t>
  </si>
  <si>
    <t>GDP USD bn 2027</t>
  </si>
  <si>
    <t>GDP USD bn 2028</t>
  </si>
  <si>
    <t>GDP USD bn 2029</t>
  </si>
  <si>
    <t>GDP USD bn 2030</t>
  </si>
  <si>
    <t>excluded: not consolidated by Bimbo since 1-Jun-2017 (fair-value instrument) [sourced] wiki bimbo-history-2014-2020; GDP also unusable</t>
  </si>
  <si>
    <t>excluded: no MKD FX in source, cannot weight [unverified]</t>
  </si>
  <si>
    <t>Weight inside its region used for year t = included GDP USD t-1 / region total t-1 [calc]</t>
  </si>
  <si>
    <t>Regional nominal GDP growth, local currency, constant FX [calc] = sum(weight x Data growth)</t>
  </si>
  <si>
    <t>Historical ratio = Bimbo ex-FX net sales growth / regional nominal GDP growth in local currency (Regional_agg) [calc]. Team picks the forward ratio; this is the evidence</t>
  </si>
  <si>
    <t>Bimbo ex-FX 2023 [sourced]</t>
  </si>
  <si>
    <t>Bimbo ex-FX 2024 [sourced]</t>
  </si>
  <si>
    <t>Bimbo ex-FX 2025 [sourced]</t>
  </si>
  <si>
    <t>GDP 2023 [calc]</t>
  </si>
  <si>
    <t>GDP 2024 [calc]</t>
  </si>
  <si>
    <t>GDP 2025 [calc]</t>
  </si>
  <si>
    <t>ratio 2023 [calc]</t>
  </si>
  <si>
    <t>ratio 2024 [calc]</t>
  </si>
  <si>
    <t>ratio 2025 [calc]</t>
  </si>
  <si>
    <t>Bimbo CAGR 23-25</t>
  </si>
  <si>
    <t>GDP CAGR 23-25</t>
  </si>
  <si>
    <t>ratio of CAGRs [calc]</t>
  </si>
  <si>
    <t>Sources Bimbo: 4Q23 release p.2 (FY2023), 4Q24 release p.2 (FY2024), RA25 p.132 (FY2025), via wiki bimbo-income-statement-fy21-fy25 §3b.</t>
  </si>
  <si>
    <t>FY2021-FY2022: Bimbo gives no ex-FX growth by region in a table (4Q22 release p.4); FY2021 also restated for Ricolino. Not used.</t>
  </si>
  <si>
    <t>Ex-FX growth is NOT organic: it includes acquisitions (EAA and Latin America mainly; US sourdough in North America 2025). Bimbo does not quantify the split (S2).</t>
  </si>
  <si>
    <t>FY2023 North America and group growth is held down by the 53rd week in FY2022 (group 10.7% reported vs 11.4% without it, 4Q23 release p.1).</t>
  </si>
  <si>
    <t>Latin America and EAA GDP include ARG and TUR at local-currency (hyperinflation) growth, weighted by prior-year GDP in USD.</t>
  </si>
  <si>
    <t>North America ratio: 1Q26-3Q26 ex-FX net sales growth / US nominal GDP growth 2026 (team decision 2026-10-25)</t>
  </si>
  <si>
    <t>quarter</t>
  </si>
  <si>
    <t>net sales MXN m [sourced]</t>
  </si>
  <si>
    <t>prior-year quarter MXN m [sourced]</t>
  </si>
  <si>
    <t>growth in MXN [calc]</t>
  </si>
  <si>
    <t>ex-FX growth [sourced]</t>
  </si>
  <si>
    <t>1Q26</t>
  </si>
  <si>
    <t>1T26 release p.3</t>
  </si>
  <si>
    <t>2Q26</t>
  </si>
  <si>
    <t>2T26 release p.3</t>
  </si>
  <si>
    <t>3Q26</t>
  </si>
  <si>
    <t>3T26 release p.3</t>
  </si>
  <si>
    <t>9M26 ex-FX growth [calc] (quarters weighted by prior-year quarter sales, the constant-currency basis)</t>
  </si>
  <si>
    <t>US nominal GDP growth 2026, local currency [calc] (Data, USA 2026)</t>
  </si>
  <si>
    <t>North America ratio [calc]; adopted by the team as the FY2027E-FY2030E ratio [assumption]</t>
  </si>
  <si>
    <t>Implied North America ex-FX growth = ratio x US nominal GDP growth [calc]</t>
  </si>
  <si>
    <t>US nominal GDP growth [calc]</t>
  </si>
  <si>
    <t>North America ex-FX growth [calc]</t>
  </si>
  <si>
    <t>Why this base: North America ex-FX sales fell nine quarters in a row (4Q23-4Q25) and turned positive in 1Q26-3Q26; Bimbo cites US share gains and better price mix (1T26 p.3; 2T26 p.5). FY2023-FY2025 history (ratio -0.13) reflects the decline phase.</t>
  </si>
  <si>
    <t>Limits: three quarters only; 2Q26 helped by the football World Cup (2T26 p.5); 2026 laps a weak 2025 base; quarterly year-on-year growth is compared with a full-year 2026 GDP forecast (quarterly US GDP not in the data); Canada (about 7% of the region GDP weight) left out by choice.</t>
  </si>
  <si>
    <t>Mexico: evidence for the ratio (team decides). Peso business, so growth in MXN = ex-FX growth</t>
  </si>
  <si>
    <t>A. Annual</t>
  </si>
  <si>
    <t>Bimbo Mexico growth</t>
  </si>
  <si>
    <t>Mexico nominal GDP growth [calc]</t>
  </si>
  <si>
    <t>ratio [calc]</t>
  </si>
  <si>
    <t>[calc] segment sales FY22 130,401 (RA23 p.358) / FY21 restated 109,089 (RA22 p.313)</t>
  </si>
  <si>
    <t>[sourced] 4Q23 release p.2</t>
  </si>
  <si>
    <t>[sourced] 4Q24 release p.2</t>
  </si>
  <si>
    <t>[sourced] RA25 p.132</t>
  </si>
  <si>
    <t>B. Quarterly, year on year</t>
  </si>
  <si>
    <t>prior-year quarter [sourced]</t>
  </si>
  <si>
    <t>growth [calc]</t>
  </si>
  <si>
    <t>growth as published [sourced]</t>
  </si>
  <si>
    <t>trailing 4Q growth [calc]</t>
  </si>
  <si>
    <t>3Q23</t>
  </si>
  <si>
    <t>3T23 p.3</t>
  </si>
  <si>
    <t>4Q23</t>
  </si>
  <si>
    <t>4T23 p.3</t>
  </si>
  <si>
    <t>1Q24</t>
  </si>
  <si>
    <t>1T24 p.3</t>
  </si>
  <si>
    <t>2Q24</t>
  </si>
  <si>
    <t>2T24 p.3</t>
  </si>
  <si>
    <t>3Q24</t>
  </si>
  <si>
    <t>3T24 p.3</t>
  </si>
  <si>
    <t>4Q24</t>
  </si>
  <si>
    <t>4T24 p.3</t>
  </si>
  <si>
    <t>1Q25</t>
  </si>
  <si>
    <t>1T25 p.3</t>
  </si>
  <si>
    <t>2Q25</t>
  </si>
  <si>
    <t>2T25 p.3</t>
  </si>
  <si>
    <t>3Q25</t>
  </si>
  <si>
    <t>3T25 p.3</t>
  </si>
  <si>
    <t>4Q25</t>
  </si>
  <si>
    <t>4T25 p.4</t>
  </si>
  <si>
    <t>1T26 p.3</t>
  </si>
  <si>
    <t>2T26 p.3</t>
  </si>
  <si>
    <t>3T26 p.3</t>
  </si>
  <si>
    <t>C. Candidate ratios (evidence only; team picks one or another with a written reason)</t>
  </si>
  <si>
    <t>candidate</t>
  </si>
  <si>
    <t>ratio</t>
  </si>
  <si>
    <t>9M26 (1Q26-3Q26 growth / Mexico GDP 2026)</t>
  </si>
  <si>
    <t>Trailing 4Q to 3Q26 / Mexico GDP 2026</t>
  </si>
  <si>
    <t>Two-year 9M26 vs 9M24, annualised / GDP 2025-2026 annualised (strips the weak-2025 base)</t>
  </si>
  <si>
    <t>FY2025 / GDP 2025</t>
  </si>
  <si>
    <t>FY2023-FY2025 compound (backward-looking)</t>
  </si>
  <si>
    <t>Bimbo on Mexico 2026: volume up and favourable mix, growth across categories and channels (1T26 p.4); mix and volume, partly helped by World Cup consumption (2T26 p.3); categories, channels, mix, positive volumes, execution, service and innovation (3T26 p.3) [sourced]. Volumes are not quantified.</t>
  </si>
  <si>
    <t>No acquisitions named in Mexico 2024-2026 (handoff, S2 block), so Mexico growth is close to organic [guidance, unverified].</t>
  </si>
  <si>
    <t>FY2022 is a high-inflation year and its base is restated for the Ricolino sale; shown for context.</t>
  </si>
  <si>
    <t>TEAM DECISION 2026-10-25: Mexico ratio = 9M26 candidate (same base as North America, for consistency) [assumption]. Compound and two-year candidates rejected by the team.</t>
  </si>
  <si>
    <t>Ratios on one base for all regions: 1Q26-3Q26 ex-FX net sales growth / nominal GDP growth 2026 (team decision 2026-10-25, consistency pass)</t>
  </si>
  <si>
    <t>Summary</t>
  </si>
  <si>
    <t>9M26 ex-FX growth [calc]</t>
  </si>
  <si>
    <t>GDP growth 2026 [calc]</t>
  </si>
  <si>
    <t>GDP used</t>
  </si>
  <si>
    <t>implied 2027 [calc]</t>
  </si>
  <si>
    <t>implied 2028 [calc]</t>
  </si>
  <si>
    <t>implied 2029 [calc]</t>
  </si>
  <si>
    <t>implied 2030 [calc]</t>
  </si>
  <si>
    <t>US only (team choice)</t>
  </si>
  <si>
    <t>regional aggregate, prior-year FX</t>
  </si>
  <si>
    <t>Not organic: 9M26 includes acquisitions whose sales Bimbo does not disclose: Stone House (North America, closed 2-Jun-2025, inorganic in 1Q26 and Apr-May 2026); Wickbold (Latin America, closed 6-Oct-2025, inorganic in all of 1Q26-3Q26, comparable from 4Q26); Don Don and Karamolegos (EAA, about Jun-2025, inorganic in 1Q26); Bonel (EAA, 7-Apr-2026, inorganic in 2Q26-3Q26) [sourced] wiki bimbo-acquisitions; releases 1T26 p.4, 2T26 p.4, 3T26 p.4.</t>
  </si>
  <si>
    <t>Prior-year quarters are the comparatives printed in the 2026 releases; some differ from the figures first reported in 2025 (e.g. Latin America 1Q25: 10,902 in 1T26 vs 11,176 in 1T25), so the 2026 releases are used for consistency with the published growth.</t>
  </si>
  <si>
    <t>EAA 2026 GDP uses real GDP growth + CPI for KAZ, KOR, MAR and UKR (H-02 fix: their stored 2026 level steps are likely series breaks); local-currency GDP includes hyperinflation for ARG (Latin America) and TUR (EAA) (see IAS29_test).</t>
  </si>
  <si>
    <t>Next (team plan): redo all four regions on Alan's organic-only rule and compare with this table.</t>
  </si>
  <si>
    <t>Organic pass: acquisition points per quarter = 2026 ex-FX growth - same quarter 2025 [assumption: organic growth in the deal quarters = the 2025 pace]; flag 1 = deduct</t>
  </si>
  <si>
    <t>prior-year quarter sales</t>
  </si>
  <si>
    <t>reported ex-FX 2026</t>
  </si>
  <si>
    <t>same quarter 2025 [sourced]</t>
  </si>
  <si>
    <t>before/after points [calc]</t>
  </si>
  <si>
    <t>deduct? (1/0)</t>
  </si>
  <si>
    <t>organic growth [calc]</t>
  </si>
  <si>
    <t>organic 9M26 [calc]</t>
  </si>
  <si>
    <t>GDP 2026 [calc]</t>
  </si>
  <si>
    <t>organic ratio [calc]</t>
  </si>
  <si>
    <t>consistency ratio (Ratios_9M26)</t>
  </si>
  <si>
    <t>why</t>
  </si>
  <si>
    <t>Stone House (2-Jun-2025) inorganic in 1Q26 and Apr-May 2026, size not disclosed. Not deducted: the before/after points (+5.6, +5.9) are the turnaround Bimbo attributes to share gains and price mix (1T26 p.3, 2T26 p.5), not the deal.</t>
  </si>
  <si>
    <t>No acquisitions named; growth is organic.</t>
  </si>
  <si>
    <t>Wickbold (6-Oct-2025) inorganic in all of 1Q26-3Q26; 1Q25-3Q25 have no Wickbold. Deducted every quarter.</t>
  </si>
  <si>
    <t>Don Don, Karamolegos (~Jun-2025) inorganic in 1Q26 and Apr-May 2026; Bonel (7-Apr-2026) in 2Q26-3Q26. 3Q26 not deducted: its 2025 base (17.3%) already contains Don Don and Karamolegos, so the difference is negative and measures nothing.</t>
  </si>
  <si>
    <t>Limits: the method assumes nothing else changed between the two quarters; any organic acceleration (price, volume, Argentina) is counted as acquisition. 2025 quarters also carry older deals (Pagnifique Sep-2024 and La Zarcerena 1Q25 in Latin America), so the 2025 pace is not fully organic either.</t>
  </si>
  <si>
    <t>Long-history cross-check: Bimbo growth / nominal GDP growth per year. Reported growth incl. acquisitions; summary = median of valid years (not a compound rate)</t>
  </si>
  <si>
    <t>A. FY2022 from quarters [calc]</t>
  </si>
  <si>
    <t>prior 1Q21</t>
  </si>
  <si>
    <t>g 1Q22</t>
  </si>
  <si>
    <t>prior 2Q21</t>
  </si>
  <si>
    <t>g 2Q22</t>
  </si>
  <si>
    <t>prior 3Q21</t>
  </si>
  <si>
    <t>g 3Q22</t>
  </si>
  <si>
    <t>prior 4Q21</t>
  </si>
  <si>
    <t>g 4Q22</t>
  </si>
  <si>
    <t>FY2022 [calc]</t>
  </si>
  <si>
    <t>Sources: prior-year quarters 1T22 p.3, 2T22 p.3, 3T22 p.3, 4T22 p.5; growth: North America in US dollars through 2Q23, others ex-FX (narrative). 4Q22 North America includes a 53rd week.</t>
  </si>
  <si>
    <t>B. North America sales in USD m [calc] = segment sales MXN m [sourced] / MXN per USD average (FX)</t>
  </si>
  <si>
    <t>segment sales MXN m</t>
  </si>
  <si>
    <t>MXN per USD</t>
  </si>
  <si>
    <t>sales USD m</t>
  </si>
  <si>
    <t>growth in USD</t>
  </si>
  <si>
    <t>Segment sales: RA18 p.373 (FY15-FY17, recast), RA20 p.286-287 (FY18-FY20; FY18 reclassified, overstates FY18 growth ~0.5 pt), RA21 p.304 (FY21 as first reported, same pre-Ricolino basis as FY20), via wiki bimbo-income-statement-fy14-fy20 and -fy21-fy25. Canada is translated through USD too.</t>
  </si>
  <si>
    <t>C. Yearly ratios. Bimbo growth: Mexico in pesos (= ex-FX), North America in USD, Latin America and EAA ex-FX</t>
  </si>
  <si>
    <t>row</t>
  </si>
  <si>
    <t>median of valid years [calc]</t>
  </si>
  <si>
    <t>valid years</t>
  </si>
  <si>
    <t>9M26 organic ratio (Organic_pass)</t>
  </si>
  <si>
    <t>North America: Bimbo growth</t>
  </si>
  <si>
    <t>North America: GDP growth</t>
  </si>
  <si>
    <t>North America: ratio</t>
  </si>
  <si>
    <t>Mexico: Bimbo growth</t>
  </si>
  <si>
    <t>Mexico: GDP growth</t>
  </si>
  <si>
    <t>Mexico: ratio</t>
  </si>
  <si>
    <t>Latin America: Bimbo growth</t>
  </si>
  <si>
    <t>Latin America: GDP growth</t>
  </si>
  <si>
    <t>Latin America: ratio</t>
  </si>
  <si>
    <t>EAA: Bimbo growth</t>
  </si>
  <si>
    <t>EAA: GDP growth</t>
  </si>
  <si>
    <t>EAA: ratio</t>
  </si>
  <si>
    <t>Mexico growth sources: FY16-FY17 segment sales (RA18 p.373); FY18 company-reported +10.5% (4T18 p.3); FY19-FY20 RA20 p.286-287; FY21 RA21 p.304 vs FY20 (both include Ricolino); FY22 from quarters (Ricolino excluded); FY23-FY25 4Q23 p.2, 4Q24 p.2, RA25 p.132.</t>
  </si>
  <si>
    <t>Breaks to keep in mind: Ricolino (confectionery) inside Mexico until FY21, outside from FY22; China moved from Mexico to EAA in 2017 (FY15-FY17 recast); 53rd week in North America in FY15 and FY22; COVID 2020-2021; acquisitions throughout (e.g. Canada Bread 2014, Saputo Bakery 2015, East Balt/Bimbo QSR Oct-2017 in North America).</t>
  </si>
  <si>
    <t>Latin America and EAA before FY2022: no ex-FX growth by region in the 4Q14-4Q21 releases or the FY2018/FY2020 BMV annual reports (searched 2026-10-25); only scattered quarter remarks (e.g. EAA 4Q19 local currency +2%, 4T19 p.4). Not usable as a series.</t>
  </si>
  <si>
    <t>Regional FX, local currency to USD [calc]: FX ratio = local currency per USD t-1 / t (above 1 = the currency gains vs USD); region factor = sum(weight x (1 + GDP growth) x FX ratio) / sum(weight x (1 + GDP growth)), weights and growth as in Regional_agg</t>
  </si>
  <si>
    <t>FX ratio 2027</t>
  </si>
  <si>
    <t>FX ratio 2028</t>
  </si>
  <si>
    <t>FX ratio 2029</t>
  </si>
  <si>
    <t>FX ratio 2030</t>
  </si>
  <si>
    <t>Region factor, local currency to USD [calc] (Mexico = 1: peso business; North America = USA only, the team choice for GDP, so 1)</t>
  </si>
  <si>
    <t>Limits: weights are GDP, not Bimbo sales by country (not disclosed): China is the largest EAA weight and Brazil the largest Latin America weight. Annual-average FX; Bimbo translates hyperinflationary Argentina at the closing rate (IAS 29, EEFF25 p.23, p.26). Capital IQ FX forecasts [sourced] via sheet FX.</t>
  </si>
  <si>
    <t>Terminal FX, local currency to USD, by purchasing power parity 2030 [calc]: PPP ratio = (1 + US CPI) / (1 + currency CPI); below 1 = the currency loses vs USD. CPI from IAS29_test (Capital IQ) [sourced]. USD countries = 1; EUR = GDP-weighted CPI of the euro countries</t>
  </si>
  <si>
    <t>CPI 2030</t>
  </si>
  <si>
    <t>currency CPI 2030</t>
  </si>
  <si>
    <t>PPP ratio 2030</t>
  </si>
  <si>
    <t>Region factor 2030, local currency to USD, PPP [calc] = sum(weight x (1 + GDP growth) x PPP ratio) / sum(weight x (1 + GDP growth)), as Regional_FX</t>
  </si>
  <si>
    <t>Mexico and North America = 1 here: the USD/MXN PPP step is applied in the statements workbook ((1 + Mexico CPI) / (1 + US CPI)). Limits: GDP weights, not Bimbo sales by country; annual-average CPI; one year (2030) as the long-run proxy.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</si>
</sst>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"/>
    <numFmt numFmtId="166" formatCode="0.00\x"/>
    <numFmt numFmtId="167" formatCode="0.0000"/>
  </numFmts>
  <fonts count="3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0" xfId="0" applyFont="1" applyFill="1"/>
    <xf numFmtId="4" fontId="0" fillId="0" borderId="0" xfId="0" applyNumberFormat="1"/>
    <xf numFmtId="10" fontId="0" fillId="0" borderId="0" xfId="0" applyNumberFormat="1"/>
    <xf numFmtId="0" fontId="0" fillId="3" borderId="0" xfId="0" applyFill="1"/>
    <xf numFmtId="4" fontId="0" fillId="3" borderId="0" xfId="0" applyNumberFormat="1" applyFill="1"/>
    <xf numFmtId="10" fontId="0" fillId="3" borderId="0" xfId="0" applyNumberFormat="1" applyFill="1"/>
    <xf numFmtId="0" fontId="0" fillId="4" borderId="0" xfId="0" applyFill="1"/>
    <xf numFmtId="4" fontId="0" fillId="4" borderId="0" xfId="0" applyNumberFormat="1" applyFill="1"/>
    <xf numFmtId="10" fontId="0" fillId="4" borderId="0" xfId="0" applyNumberFormat="1" applyFill="1"/>
    <xf numFmtId="164" fontId="0" fillId="0" borderId="0" xfId="0" applyNumberFormat="1"/>
    <xf numFmtId="164" fontId="0" fillId="3" borderId="0" xfId="0" applyNumberFormat="1" applyFill="1"/>
    <xf numFmtId="0" fontId="2" fillId="0" borderId="0" xfId="0" applyFont="1"/>
    <xf numFmtId="9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7265625" defaultRowHeight="14.5" x14ac:dyDescent="0.35"/>
  <cols>
    <col min="1" max="1" width="14" customWidth="1"/>
    <col min="2" max="2" width="140" customWidth="1"/>
  </cols>
  <sheetData>
    <row r="1" spans="1:2" ht="17" x14ac:dyDescent="0.4">
      <c r="A1" s="1" t="s">
        <v>0</v>
      </c>
    </row>
    <row r="3" spans="1:2" x14ac:dyDescent="0.35">
      <c r="A3" t="s">
        <v>1</v>
      </c>
      <c r="B3" t="s">
        <v>2</v>
      </c>
    </row>
    <row r="4" spans="1:2" x14ac:dyDescent="0.35">
      <c r="A4" t="s">
        <v>3</v>
      </c>
      <c r="B4" t="s">
        <v>4</v>
      </c>
    </row>
    <row r="5" spans="1:2" x14ac:dyDescent="0.35">
      <c r="A5" t="s">
        <v>5</v>
      </c>
      <c r="B5" t="s">
        <v>6</v>
      </c>
    </row>
    <row r="6" spans="1:2" x14ac:dyDescent="0.35">
      <c r="A6" t="s">
        <v>7</v>
      </c>
      <c r="B6" t="s">
        <v>8</v>
      </c>
    </row>
    <row r="7" spans="1:2" x14ac:dyDescent="0.35">
      <c r="A7" t="s">
        <v>9</v>
      </c>
      <c r="B7" t="s">
        <v>10</v>
      </c>
    </row>
    <row r="8" spans="1:2" x14ac:dyDescent="0.35">
      <c r="A8" t="s">
        <v>11</v>
      </c>
      <c r="B8" t="s">
        <v>12</v>
      </c>
    </row>
    <row r="9" spans="1:2" x14ac:dyDescent="0.35">
      <c r="A9" t="s">
        <v>13</v>
      </c>
      <c r="B9" t="s">
        <v>14</v>
      </c>
    </row>
    <row r="10" spans="1:2" x14ac:dyDescent="0.35">
      <c r="A10" t="s">
        <v>15</v>
      </c>
      <c r="B10" t="s">
        <v>16</v>
      </c>
    </row>
    <row r="11" spans="1:2" x14ac:dyDescent="0.35">
      <c r="A11" t="s">
        <v>17</v>
      </c>
      <c r="B11" t="s">
        <v>18</v>
      </c>
    </row>
    <row r="12" spans="1:2" x14ac:dyDescent="0.35">
      <c r="A12" t="s">
        <v>19</v>
      </c>
      <c r="B12" t="s">
        <v>20</v>
      </c>
    </row>
    <row r="13" spans="1:2" x14ac:dyDescent="0.35">
      <c r="A13" t="s">
        <v>21</v>
      </c>
      <c r="B13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41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6" customWidth="1"/>
    <col min="2" max="2" width="14" customWidth="1"/>
    <col min="3" max="3" width="6" customWidth="1"/>
    <col min="4" max="4" width="14" customWidth="1"/>
    <col min="5" max="5" width="8" customWidth="1"/>
    <col min="6" max="6" width="22" customWidth="1"/>
    <col min="7" max="7" width="12" customWidth="1"/>
    <col min="8" max="8" width="38" customWidth="1"/>
    <col min="9" max="9" width="8" customWidth="1"/>
    <col min="10" max="10" width="9" customWidth="1"/>
    <col min="11" max="11" width="20" customWidth="1"/>
  </cols>
  <sheetData>
    <row r="1" spans="1:13" x14ac:dyDescent="0.35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</row>
    <row r="2" spans="1:13" x14ac:dyDescent="0.35">
      <c r="A2" t="s">
        <v>36</v>
      </c>
      <c r="B2" t="s">
        <v>37</v>
      </c>
      <c r="C2">
        <v>2015</v>
      </c>
      <c r="D2" s="3">
        <v>19228.61</v>
      </c>
      <c r="E2" t="s">
        <v>38</v>
      </c>
      <c r="F2" t="s">
        <v>39</v>
      </c>
      <c r="G2" t="s">
        <v>40</v>
      </c>
      <c r="H2" t="s">
        <v>41</v>
      </c>
      <c r="I2">
        <v>26</v>
      </c>
      <c r="K2" t="s">
        <v>42</v>
      </c>
    </row>
    <row r="3" spans="1:13" x14ac:dyDescent="0.35">
      <c r="A3" t="s">
        <v>36</v>
      </c>
      <c r="B3" t="s">
        <v>37</v>
      </c>
      <c r="C3">
        <v>2016</v>
      </c>
      <c r="D3" s="3">
        <v>20758.79</v>
      </c>
      <c r="E3" t="s">
        <v>38</v>
      </c>
      <c r="F3" t="s">
        <v>39</v>
      </c>
      <c r="G3" t="s">
        <v>40</v>
      </c>
      <c r="H3" t="s">
        <v>41</v>
      </c>
      <c r="I3">
        <v>27</v>
      </c>
      <c r="J3" s="4">
        <f t="shared" ref="J3:J17" si="0">IF(D2=0,"",D3/D2-1)</f>
        <v>7.9578295050968251E-2</v>
      </c>
      <c r="K3" t="s">
        <v>43</v>
      </c>
    </row>
    <row r="4" spans="1:13" x14ac:dyDescent="0.35">
      <c r="A4" t="s">
        <v>36</v>
      </c>
      <c r="B4" t="s">
        <v>37</v>
      </c>
      <c r="C4">
        <v>2017</v>
      </c>
      <c r="D4" s="3">
        <v>22536.21</v>
      </c>
      <c r="E4" t="s">
        <v>38</v>
      </c>
      <c r="F4" t="s">
        <v>39</v>
      </c>
      <c r="G4" t="s">
        <v>40</v>
      </c>
      <c r="H4" t="s">
        <v>41</v>
      </c>
      <c r="I4">
        <v>28</v>
      </c>
      <c r="J4" s="4">
        <f t="shared" si="0"/>
        <v>8.5622524241538045E-2</v>
      </c>
      <c r="K4" t="s">
        <v>43</v>
      </c>
    </row>
    <row r="5" spans="1:13" x14ac:dyDescent="0.35">
      <c r="A5" t="s">
        <v>36</v>
      </c>
      <c r="B5" t="s">
        <v>37</v>
      </c>
      <c r="C5">
        <v>2018</v>
      </c>
      <c r="D5" s="3">
        <v>24176.67</v>
      </c>
      <c r="E5" t="s">
        <v>38</v>
      </c>
      <c r="F5" t="s">
        <v>39</v>
      </c>
      <c r="G5" t="s">
        <v>40</v>
      </c>
      <c r="H5" t="s">
        <v>41</v>
      </c>
      <c r="I5">
        <v>29</v>
      </c>
      <c r="J5" s="4">
        <f t="shared" si="0"/>
        <v>7.2792186441287043E-2</v>
      </c>
      <c r="K5" t="s">
        <v>43</v>
      </c>
    </row>
    <row r="6" spans="1:13" x14ac:dyDescent="0.35">
      <c r="A6" t="s">
        <v>36</v>
      </c>
      <c r="B6" t="s">
        <v>37</v>
      </c>
      <c r="C6">
        <v>2019</v>
      </c>
      <c r="D6" s="3">
        <v>25121.82</v>
      </c>
      <c r="E6" t="s">
        <v>38</v>
      </c>
      <c r="F6" t="s">
        <v>39</v>
      </c>
      <c r="G6" t="s">
        <v>40</v>
      </c>
      <c r="H6" t="s">
        <v>41</v>
      </c>
      <c r="I6">
        <v>30</v>
      </c>
      <c r="J6" s="4">
        <f t="shared" si="0"/>
        <v>3.9093473170622728E-2</v>
      </c>
      <c r="K6" t="s">
        <v>43</v>
      </c>
    </row>
    <row r="7" spans="1:13" x14ac:dyDescent="0.35">
      <c r="A7" t="s">
        <v>36</v>
      </c>
      <c r="B7" t="s">
        <v>37</v>
      </c>
      <c r="C7">
        <v>2020</v>
      </c>
      <c r="D7" s="3">
        <v>24086.76</v>
      </c>
      <c r="E7" t="s">
        <v>38</v>
      </c>
      <c r="F7" t="s">
        <v>39</v>
      </c>
      <c r="G7" t="s">
        <v>40</v>
      </c>
      <c r="H7" t="s">
        <v>41</v>
      </c>
      <c r="I7">
        <v>31</v>
      </c>
      <c r="J7" s="4">
        <f t="shared" si="0"/>
        <v>-4.1201632684256251E-2</v>
      </c>
      <c r="K7" t="s">
        <v>43</v>
      </c>
    </row>
    <row r="8" spans="1:13" x14ac:dyDescent="0.35">
      <c r="A8" t="s">
        <v>36</v>
      </c>
      <c r="B8" t="s">
        <v>37</v>
      </c>
      <c r="C8">
        <v>2021</v>
      </c>
      <c r="D8" s="3">
        <v>26690.03</v>
      </c>
      <c r="E8" t="s">
        <v>38</v>
      </c>
      <c r="F8" t="s">
        <v>39</v>
      </c>
      <c r="G8" t="s">
        <v>40</v>
      </c>
      <c r="H8" t="s">
        <v>41</v>
      </c>
      <c r="I8">
        <v>32</v>
      </c>
      <c r="J8" s="4">
        <f t="shared" si="0"/>
        <v>0.10807887818868123</v>
      </c>
      <c r="K8" t="s">
        <v>43</v>
      </c>
    </row>
    <row r="9" spans="1:13" x14ac:dyDescent="0.35">
      <c r="A9" t="s">
        <v>36</v>
      </c>
      <c r="B9" t="s">
        <v>37</v>
      </c>
      <c r="C9">
        <v>2022</v>
      </c>
      <c r="D9" s="3">
        <v>29525.51</v>
      </c>
      <c r="E9" t="s">
        <v>38</v>
      </c>
      <c r="F9" t="s">
        <v>39</v>
      </c>
      <c r="G9" t="s">
        <v>40</v>
      </c>
      <c r="H9" t="s">
        <v>41</v>
      </c>
      <c r="I9">
        <v>33</v>
      </c>
      <c r="J9" s="4">
        <f t="shared" si="0"/>
        <v>0.10623742273800363</v>
      </c>
      <c r="K9" t="s">
        <v>43</v>
      </c>
    </row>
    <row r="10" spans="1:13" x14ac:dyDescent="0.35">
      <c r="A10" t="s">
        <v>36</v>
      </c>
      <c r="B10" t="s">
        <v>37</v>
      </c>
      <c r="C10">
        <v>2023</v>
      </c>
      <c r="D10" s="3">
        <v>31871.09</v>
      </c>
      <c r="E10" t="s">
        <v>38</v>
      </c>
      <c r="F10" t="s">
        <v>39</v>
      </c>
      <c r="G10" t="s">
        <v>40</v>
      </c>
      <c r="H10" t="s">
        <v>41</v>
      </c>
      <c r="I10">
        <v>34</v>
      </c>
      <c r="J10" s="4">
        <f t="shared" si="0"/>
        <v>7.9442488885035356E-2</v>
      </c>
      <c r="K10" t="s">
        <v>43</v>
      </c>
    </row>
    <row r="11" spans="1:13" x14ac:dyDescent="0.35">
      <c r="A11" t="s">
        <v>36</v>
      </c>
      <c r="B11" t="s">
        <v>37</v>
      </c>
      <c r="C11">
        <v>2024</v>
      </c>
      <c r="D11" s="3">
        <v>33582.9</v>
      </c>
      <c r="E11" t="s">
        <v>38</v>
      </c>
      <c r="F11" t="s">
        <v>39</v>
      </c>
      <c r="G11" t="s">
        <v>40</v>
      </c>
      <c r="H11" t="s">
        <v>41</v>
      </c>
      <c r="I11">
        <v>35</v>
      </c>
      <c r="J11" s="4">
        <f t="shared" si="0"/>
        <v>5.3710431616866616E-2</v>
      </c>
      <c r="K11" t="s">
        <v>43</v>
      </c>
    </row>
    <row r="12" spans="1:13" x14ac:dyDescent="0.35">
      <c r="A12" t="s">
        <v>36</v>
      </c>
      <c r="B12" t="s">
        <v>37</v>
      </c>
      <c r="C12">
        <v>2025</v>
      </c>
      <c r="D12" s="3">
        <v>35301.589999999997</v>
      </c>
      <c r="E12" t="s">
        <v>38</v>
      </c>
      <c r="F12" t="s">
        <v>39</v>
      </c>
      <c r="G12" t="s">
        <v>40</v>
      </c>
      <c r="H12" t="s">
        <v>41</v>
      </c>
      <c r="I12">
        <v>36</v>
      </c>
      <c r="J12" s="4">
        <f t="shared" si="0"/>
        <v>5.1177533804406261E-2</v>
      </c>
      <c r="K12" t="s">
        <v>43</v>
      </c>
    </row>
    <row r="13" spans="1:13" x14ac:dyDescent="0.35">
      <c r="A13" t="s">
        <v>36</v>
      </c>
      <c r="B13" t="s">
        <v>37</v>
      </c>
      <c r="C13">
        <v>2026</v>
      </c>
      <c r="D13" s="3">
        <v>37481.449999999997</v>
      </c>
      <c r="E13" t="s">
        <v>38</v>
      </c>
      <c r="F13" t="s">
        <v>44</v>
      </c>
      <c r="G13" t="s">
        <v>40</v>
      </c>
      <c r="H13" t="s">
        <v>45</v>
      </c>
      <c r="I13">
        <v>24</v>
      </c>
      <c r="J13" s="4">
        <f t="shared" si="0"/>
        <v>6.1749626574893579E-2</v>
      </c>
      <c r="K13" t="s">
        <v>43</v>
      </c>
    </row>
    <row r="14" spans="1:13" x14ac:dyDescent="0.35">
      <c r="A14" t="s">
        <v>36</v>
      </c>
      <c r="B14" t="s">
        <v>37</v>
      </c>
      <c r="C14">
        <v>2027</v>
      </c>
      <c r="D14" s="3">
        <v>39990.58</v>
      </c>
      <c r="E14" t="s">
        <v>38</v>
      </c>
      <c r="F14" t="s">
        <v>44</v>
      </c>
      <c r="G14" t="s">
        <v>40</v>
      </c>
      <c r="H14" t="s">
        <v>45</v>
      </c>
      <c r="I14">
        <v>25</v>
      </c>
      <c r="J14" s="4">
        <f t="shared" si="0"/>
        <v>6.6943247926641192E-2</v>
      </c>
      <c r="K14" t="s">
        <v>43</v>
      </c>
    </row>
    <row r="15" spans="1:13" x14ac:dyDescent="0.35">
      <c r="A15" t="s">
        <v>36</v>
      </c>
      <c r="B15" t="s">
        <v>37</v>
      </c>
      <c r="C15">
        <v>2028</v>
      </c>
      <c r="D15" s="3">
        <v>42392.37</v>
      </c>
      <c r="E15" t="s">
        <v>38</v>
      </c>
      <c r="F15" t="s">
        <v>44</v>
      </c>
      <c r="G15" t="s">
        <v>40</v>
      </c>
      <c r="H15" t="s">
        <v>45</v>
      </c>
      <c r="I15">
        <v>26</v>
      </c>
      <c r="J15" s="4">
        <f t="shared" si="0"/>
        <v>6.0058893869506358E-2</v>
      </c>
      <c r="K15" t="s">
        <v>43</v>
      </c>
    </row>
    <row r="16" spans="1:13" x14ac:dyDescent="0.35">
      <c r="A16" t="s">
        <v>36</v>
      </c>
      <c r="B16" t="s">
        <v>37</v>
      </c>
      <c r="C16">
        <v>2029</v>
      </c>
      <c r="D16" s="3">
        <v>44852.69</v>
      </c>
      <c r="E16" t="s">
        <v>38</v>
      </c>
      <c r="F16" t="s">
        <v>44</v>
      </c>
      <c r="G16" t="s">
        <v>40</v>
      </c>
      <c r="H16" t="s">
        <v>45</v>
      </c>
      <c r="I16">
        <v>27</v>
      </c>
      <c r="J16" s="4">
        <f t="shared" si="0"/>
        <v>5.8036858991370455E-2</v>
      </c>
      <c r="K16" t="s">
        <v>43</v>
      </c>
    </row>
    <row r="17" spans="1:11" x14ac:dyDescent="0.35">
      <c r="A17" t="s">
        <v>36</v>
      </c>
      <c r="B17" t="s">
        <v>37</v>
      </c>
      <c r="C17">
        <v>2030</v>
      </c>
      <c r="D17" s="3">
        <v>47039.53</v>
      </c>
      <c r="E17" t="s">
        <v>38</v>
      </c>
      <c r="F17" t="s">
        <v>44</v>
      </c>
      <c r="G17" t="s">
        <v>40</v>
      </c>
      <c r="H17" t="s">
        <v>45</v>
      </c>
      <c r="I17">
        <v>28</v>
      </c>
      <c r="J17" s="4">
        <f t="shared" si="0"/>
        <v>4.8756050083060609E-2</v>
      </c>
      <c r="K17" t="s">
        <v>43</v>
      </c>
    </row>
    <row r="18" spans="1:11" x14ac:dyDescent="0.35">
      <c r="A18" t="s">
        <v>46</v>
      </c>
      <c r="B18" t="s">
        <v>47</v>
      </c>
      <c r="C18">
        <v>2015</v>
      </c>
      <c r="D18" s="3">
        <v>18295.02</v>
      </c>
      <c r="E18" t="s">
        <v>48</v>
      </c>
      <c r="F18" t="s">
        <v>39</v>
      </c>
      <c r="G18" t="s">
        <v>49</v>
      </c>
      <c r="H18" t="s">
        <v>41</v>
      </c>
      <c r="I18">
        <v>48</v>
      </c>
      <c r="K18" t="s">
        <v>42</v>
      </c>
    </row>
    <row r="19" spans="1:11" x14ac:dyDescent="0.35">
      <c r="A19" t="s">
        <v>46</v>
      </c>
      <c r="B19" t="s">
        <v>47</v>
      </c>
      <c r="C19">
        <v>2016</v>
      </c>
      <c r="D19" s="3">
        <v>18804.91</v>
      </c>
      <c r="E19" t="s">
        <v>48</v>
      </c>
      <c r="F19" t="s">
        <v>39</v>
      </c>
      <c r="G19" t="s">
        <v>49</v>
      </c>
      <c r="H19" t="s">
        <v>41</v>
      </c>
      <c r="I19">
        <v>49</v>
      </c>
      <c r="J19" s="4">
        <f t="shared" ref="J19:J33" si="1">IF(D18=0,"",D19/D18-1)</f>
        <v>2.7870425941048493E-2</v>
      </c>
      <c r="K19" t="s">
        <v>43</v>
      </c>
    </row>
    <row r="20" spans="1:11" x14ac:dyDescent="0.35">
      <c r="A20" t="s">
        <v>46</v>
      </c>
      <c r="B20" t="s">
        <v>47</v>
      </c>
      <c r="C20">
        <v>2017</v>
      </c>
      <c r="D20" s="3">
        <v>19612.099999999999</v>
      </c>
      <c r="E20" t="s">
        <v>48</v>
      </c>
      <c r="F20" t="s">
        <v>39</v>
      </c>
      <c r="G20" t="s">
        <v>49</v>
      </c>
      <c r="H20" t="s">
        <v>41</v>
      </c>
      <c r="I20">
        <v>50</v>
      </c>
      <c r="J20" s="4">
        <f t="shared" si="1"/>
        <v>4.292442771595284E-2</v>
      </c>
      <c r="K20" t="s">
        <v>43</v>
      </c>
    </row>
    <row r="21" spans="1:11" x14ac:dyDescent="0.35">
      <c r="A21" t="s">
        <v>46</v>
      </c>
      <c r="B21" t="s">
        <v>47</v>
      </c>
      <c r="C21">
        <v>2018</v>
      </c>
      <c r="D21" s="3">
        <v>20656.52</v>
      </c>
      <c r="E21" t="s">
        <v>48</v>
      </c>
      <c r="F21" t="s">
        <v>39</v>
      </c>
      <c r="G21" t="s">
        <v>49</v>
      </c>
      <c r="H21" t="s">
        <v>41</v>
      </c>
      <c r="I21">
        <v>51</v>
      </c>
      <c r="J21" s="4">
        <f t="shared" si="1"/>
        <v>5.3253858587300806E-2</v>
      </c>
      <c r="K21" t="s">
        <v>43</v>
      </c>
    </row>
    <row r="22" spans="1:11" x14ac:dyDescent="0.35">
      <c r="A22" t="s">
        <v>46</v>
      </c>
      <c r="B22" t="s">
        <v>47</v>
      </c>
      <c r="C22">
        <v>2019</v>
      </c>
      <c r="D22" s="3">
        <v>21539.98</v>
      </c>
      <c r="E22" t="s">
        <v>48</v>
      </c>
      <c r="F22" t="s">
        <v>39</v>
      </c>
      <c r="G22" t="s">
        <v>49</v>
      </c>
      <c r="H22" t="s">
        <v>41</v>
      </c>
      <c r="I22">
        <v>52</v>
      </c>
      <c r="J22" s="4">
        <f t="shared" si="1"/>
        <v>4.2769062746290221E-2</v>
      </c>
      <c r="K22" t="s">
        <v>43</v>
      </c>
    </row>
    <row r="23" spans="1:11" x14ac:dyDescent="0.35">
      <c r="A23" t="s">
        <v>46</v>
      </c>
      <c r="B23" t="s">
        <v>47</v>
      </c>
      <c r="C23">
        <v>2020</v>
      </c>
      <c r="D23" s="3">
        <v>21375.279999999999</v>
      </c>
      <c r="E23" t="s">
        <v>48</v>
      </c>
      <c r="F23" t="s">
        <v>39</v>
      </c>
      <c r="G23" t="s">
        <v>40</v>
      </c>
      <c r="H23" t="s">
        <v>41</v>
      </c>
      <c r="I23">
        <v>53</v>
      </c>
      <c r="J23" s="4">
        <f t="shared" si="1"/>
        <v>-7.6462466538966822E-3</v>
      </c>
      <c r="K23" t="s">
        <v>43</v>
      </c>
    </row>
    <row r="24" spans="1:11" x14ac:dyDescent="0.35">
      <c r="A24" t="s">
        <v>46</v>
      </c>
      <c r="B24" t="s">
        <v>47</v>
      </c>
      <c r="C24">
        <v>2021</v>
      </c>
      <c r="D24" s="3">
        <v>23745.85</v>
      </c>
      <c r="E24" t="s">
        <v>48</v>
      </c>
      <c r="F24" t="s">
        <v>39</v>
      </c>
      <c r="G24" t="s">
        <v>40</v>
      </c>
      <c r="H24" t="s">
        <v>41</v>
      </c>
      <c r="I24">
        <v>54</v>
      </c>
      <c r="J24" s="4">
        <f t="shared" si="1"/>
        <v>0.11090240689244779</v>
      </c>
      <c r="K24" t="s">
        <v>43</v>
      </c>
    </row>
    <row r="25" spans="1:11" x14ac:dyDescent="0.35">
      <c r="A25" t="s">
        <v>46</v>
      </c>
      <c r="B25" t="s">
        <v>47</v>
      </c>
      <c r="C25">
        <v>2022</v>
      </c>
      <c r="D25" s="3">
        <v>26059.71</v>
      </c>
      <c r="E25" t="s">
        <v>48</v>
      </c>
      <c r="F25" t="s">
        <v>39</v>
      </c>
      <c r="G25" t="s">
        <v>40</v>
      </c>
      <c r="H25" t="s">
        <v>41</v>
      </c>
      <c r="I25">
        <v>55</v>
      </c>
      <c r="J25" s="4">
        <f t="shared" si="1"/>
        <v>9.7442711042140084E-2</v>
      </c>
      <c r="K25" t="s">
        <v>43</v>
      </c>
    </row>
    <row r="26" spans="1:11" x14ac:dyDescent="0.35">
      <c r="A26" t="s">
        <v>46</v>
      </c>
      <c r="B26" t="s">
        <v>47</v>
      </c>
      <c r="C26">
        <v>2023</v>
      </c>
      <c r="D26" s="3">
        <v>27825.89</v>
      </c>
      <c r="E26" t="s">
        <v>48</v>
      </c>
      <c r="F26" t="s">
        <v>39</v>
      </c>
      <c r="G26" t="s">
        <v>40</v>
      </c>
      <c r="H26" t="s">
        <v>41</v>
      </c>
      <c r="I26">
        <v>56</v>
      </c>
      <c r="J26" s="4">
        <f t="shared" si="1"/>
        <v>6.777435359027395E-2</v>
      </c>
      <c r="K26" t="s">
        <v>43</v>
      </c>
    </row>
    <row r="27" spans="1:11" x14ac:dyDescent="0.35">
      <c r="A27" t="s">
        <v>46</v>
      </c>
      <c r="B27" t="s">
        <v>47</v>
      </c>
      <c r="C27">
        <v>2024</v>
      </c>
      <c r="D27" s="3">
        <v>29380.99</v>
      </c>
      <c r="E27" t="s">
        <v>48</v>
      </c>
      <c r="F27" t="s">
        <v>39</v>
      </c>
      <c r="G27" t="s">
        <v>40</v>
      </c>
      <c r="H27" t="s">
        <v>41</v>
      </c>
      <c r="I27">
        <v>57</v>
      </c>
      <c r="J27" s="4">
        <f t="shared" si="1"/>
        <v>5.5886801823769261E-2</v>
      </c>
      <c r="K27" t="s">
        <v>43</v>
      </c>
    </row>
    <row r="28" spans="1:11" x14ac:dyDescent="0.35">
      <c r="A28" t="s">
        <v>46</v>
      </c>
      <c r="B28" t="s">
        <v>47</v>
      </c>
      <c r="C28">
        <v>2025</v>
      </c>
      <c r="D28" s="3">
        <v>30861.29</v>
      </c>
      <c r="E28" t="s">
        <v>48</v>
      </c>
      <c r="F28" t="s">
        <v>39</v>
      </c>
      <c r="G28" t="s">
        <v>40</v>
      </c>
      <c r="H28" t="s">
        <v>41</v>
      </c>
      <c r="I28">
        <v>58</v>
      </c>
      <c r="J28" s="4">
        <f t="shared" si="1"/>
        <v>5.0382917662066484E-2</v>
      </c>
      <c r="K28" t="s">
        <v>43</v>
      </c>
    </row>
    <row r="29" spans="1:11" x14ac:dyDescent="0.35">
      <c r="A29" t="s">
        <v>46</v>
      </c>
      <c r="B29" t="s">
        <v>47</v>
      </c>
      <c r="C29">
        <v>2026</v>
      </c>
      <c r="D29" s="3">
        <v>32710.81</v>
      </c>
      <c r="E29" t="s">
        <v>48</v>
      </c>
      <c r="F29" t="s">
        <v>44</v>
      </c>
      <c r="G29" t="s">
        <v>40</v>
      </c>
      <c r="H29" t="s">
        <v>45</v>
      </c>
      <c r="I29">
        <v>39</v>
      </c>
      <c r="J29" s="4">
        <f t="shared" si="1"/>
        <v>5.9930093654542604E-2</v>
      </c>
      <c r="K29" t="s">
        <v>43</v>
      </c>
    </row>
    <row r="30" spans="1:11" x14ac:dyDescent="0.35">
      <c r="A30" t="s">
        <v>46</v>
      </c>
      <c r="B30" t="s">
        <v>47</v>
      </c>
      <c r="C30">
        <v>2027</v>
      </c>
      <c r="D30" s="3">
        <v>34488.980000000003</v>
      </c>
      <c r="E30" t="s">
        <v>48</v>
      </c>
      <c r="F30" t="s">
        <v>44</v>
      </c>
      <c r="G30" t="s">
        <v>40</v>
      </c>
      <c r="H30" t="s">
        <v>45</v>
      </c>
      <c r="I30">
        <v>40</v>
      </c>
      <c r="J30" s="4">
        <f t="shared" si="1"/>
        <v>5.4360316971667766E-2</v>
      </c>
      <c r="K30" t="s">
        <v>43</v>
      </c>
    </row>
    <row r="31" spans="1:11" x14ac:dyDescent="0.35">
      <c r="A31" t="s">
        <v>46</v>
      </c>
      <c r="B31" t="s">
        <v>47</v>
      </c>
      <c r="C31">
        <v>2028</v>
      </c>
      <c r="D31" s="3">
        <v>36128.720000000001</v>
      </c>
      <c r="E31" t="s">
        <v>48</v>
      </c>
      <c r="F31" t="s">
        <v>44</v>
      </c>
      <c r="G31" t="s">
        <v>40</v>
      </c>
      <c r="H31" t="s">
        <v>45</v>
      </c>
      <c r="I31">
        <v>41</v>
      </c>
      <c r="J31" s="4">
        <f t="shared" si="1"/>
        <v>4.7543882132785598E-2</v>
      </c>
      <c r="K31" t="s">
        <v>43</v>
      </c>
    </row>
    <row r="32" spans="1:11" x14ac:dyDescent="0.35">
      <c r="A32" t="s">
        <v>46</v>
      </c>
      <c r="B32" t="s">
        <v>47</v>
      </c>
      <c r="C32">
        <v>2029</v>
      </c>
      <c r="D32" s="3">
        <v>37639.61</v>
      </c>
      <c r="E32" t="s">
        <v>48</v>
      </c>
      <c r="F32" t="s">
        <v>44</v>
      </c>
      <c r="G32" t="s">
        <v>40</v>
      </c>
      <c r="H32" t="s">
        <v>45</v>
      </c>
      <c r="I32">
        <v>42</v>
      </c>
      <c r="J32" s="4">
        <f t="shared" si="1"/>
        <v>4.1819638226873179E-2</v>
      </c>
      <c r="K32" t="s">
        <v>43</v>
      </c>
    </row>
    <row r="33" spans="1:11" x14ac:dyDescent="0.35">
      <c r="A33" t="s">
        <v>46</v>
      </c>
      <c r="B33" t="s">
        <v>47</v>
      </c>
      <c r="C33">
        <v>2030</v>
      </c>
      <c r="D33" s="3">
        <v>39193.65</v>
      </c>
      <c r="E33" t="s">
        <v>48</v>
      </c>
      <c r="F33" t="s">
        <v>44</v>
      </c>
      <c r="G33" t="s">
        <v>40</v>
      </c>
      <c r="H33" t="s">
        <v>45</v>
      </c>
      <c r="I33">
        <v>43</v>
      </c>
      <c r="J33" s="4">
        <f t="shared" si="1"/>
        <v>4.1287356590570479E-2</v>
      </c>
      <c r="K33" t="s">
        <v>43</v>
      </c>
    </row>
    <row r="34" spans="1:11" x14ac:dyDescent="0.35">
      <c r="A34" t="s">
        <v>50</v>
      </c>
      <c r="B34" t="s">
        <v>47</v>
      </c>
      <c r="C34">
        <v>2015</v>
      </c>
      <c r="D34" s="3">
        <v>1990.44</v>
      </c>
      <c r="E34" t="s">
        <v>51</v>
      </c>
      <c r="F34" t="s">
        <v>39</v>
      </c>
      <c r="G34" t="s">
        <v>52</v>
      </c>
      <c r="H34" t="s">
        <v>41</v>
      </c>
      <c r="I34">
        <v>70</v>
      </c>
      <c r="K34" t="s">
        <v>42</v>
      </c>
    </row>
    <row r="35" spans="1:11" x14ac:dyDescent="0.35">
      <c r="A35" t="s">
        <v>50</v>
      </c>
      <c r="B35" t="s">
        <v>47</v>
      </c>
      <c r="C35">
        <v>2016</v>
      </c>
      <c r="D35" s="3">
        <v>2025.54</v>
      </c>
      <c r="E35" t="s">
        <v>51</v>
      </c>
      <c r="F35" t="s">
        <v>39</v>
      </c>
      <c r="G35" t="s">
        <v>52</v>
      </c>
      <c r="H35" t="s">
        <v>41</v>
      </c>
      <c r="I35">
        <v>71</v>
      </c>
      <c r="J35" s="4">
        <f t="shared" ref="J35:J49" si="2">IF(D34=0,"",D35/D34-1)</f>
        <v>1.7634291915355371E-2</v>
      </c>
      <c r="K35" t="s">
        <v>43</v>
      </c>
    </row>
    <row r="36" spans="1:11" x14ac:dyDescent="0.35">
      <c r="A36" t="s">
        <v>50</v>
      </c>
      <c r="B36" t="s">
        <v>47</v>
      </c>
      <c r="C36">
        <v>2017</v>
      </c>
      <c r="D36" s="3">
        <v>2140.64</v>
      </c>
      <c r="E36" t="s">
        <v>51</v>
      </c>
      <c r="F36" t="s">
        <v>39</v>
      </c>
      <c r="G36" t="s">
        <v>52</v>
      </c>
      <c r="H36" t="s">
        <v>41</v>
      </c>
      <c r="I36">
        <v>72</v>
      </c>
      <c r="J36" s="4">
        <f t="shared" si="2"/>
        <v>5.6824353012036255E-2</v>
      </c>
      <c r="K36" t="s">
        <v>43</v>
      </c>
    </row>
    <row r="37" spans="1:11" x14ac:dyDescent="0.35">
      <c r="A37" t="s">
        <v>50</v>
      </c>
      <c r="B37" t="s">
        <v>47</v>
      </c>
      <c r="C37">
        <v>2018</v>
      </c>
      <c r="D37" s="3">
        <v>2235.6799999999998</v>
      </c>
      <c r="E37" t="s">
        <v>51</v>
      </c>
      <c r="F37" t="s">
        <v>39</v>
      </c>
      <c r="G37" t="s">
        <v>52</v>
      </c>
      <c r="H37" t="s">
        <v>41</v>
      </c>
      <c r="I37">
        <v>73</v>
      </c>
      <c r="J37" s="4">
        <f t="shared" si="2"/>
        <v>4.4397937065550508E-2</v>
      </c>
      <c r="K37" t="s">
        <v>43</v>
      </c>
    </row>
    <row r="38" spans="1:11" x14ac:dyDescent="0.35">
      <c r="A38" t="s">
        <v>50</v>
      </c>
      <c r="B38" t="s">
        <v>47</v>
      </c>
      <c r="C38">
        <v>2019</v>
      </c>
      <c r="D38" s="3">
        <v>2313.56</v>
      </c>
      <c r="E38" t="s">
        <v>51</v>
      </c>
      <c r="F38" t="s">
        <v>39</v>
      </c>
      <c r="G38" t="s">
        <v>52</v>
      </c>
      <c r="H38" t="s">
        <v>41</v>
      </c>
      <c r="I38">
        <v>74</v>
      </c>
      <c r="J38" s="4">
        <f t="shared" si="2"/>
        <v>3.4835039003793034E-2</v>
      </c>
      <c r="K38" t="s">
        <v>43</v>
      </c>
    </row>
    <row r="39" spans="1:11" x14ac:dyDescent="0.35">
      <c r="A39" t="s">
        <v>50</v>
      </c>
      <c r="B39" t="s">
        <v>47</v>
      </c>
      <c r="C39">
        <v>2020</v>
      </c>
      <c r="D39" s="3">
        <v>2220.5300000000002</v>
      </c>
      <c r="E39" t="s">
        <v>51</v>
      </c>
      <c r="F39" t="s">
        <v>39</v>
      </c>
      <c r="G39" t="s">
        <v>52</v>
      </c>
      <c r="H39" t="s">
        <v>41</v>
      </c>
      <c r="I39">
        <v>75</v>
      </c>
      <c r="J39" s="4">
        <f t="shared" si="2"/>
        <v>-4.0210757447396994E-2</v>
      </c>
      <c r="K39" t="s">
        <v>43</v>
      </c>
    </row>
    <row r="40" spans="1:11" x14ac:dyDescent="0.35">
      <c r="A40" t="s">
        <v>50</v>
      </c>
      <c r="B40" t="s">
        <v>47</v>
      </c>
      <c r="C40">
        <v>2021</v>
      </c>
      <c r="D40" s="3">
        <v>2535.8200000000002</v>
      </c>
      <c r="E40" t="s">
        <v>51</v>
      </c>
      <c r="F40" t="s">
        <v>39</v>
      </c>
      <c r="G40" t="s">
        <v>52</v>
      </c>
      <c r="H40" t="s">
        <v>41</v>
      </c>
      <c r="I40">
        <v>76</v>
      </c>
      <c r="J40" s="4">
        <f t="shared" si="2"/>
        <v>0.14198862433743287</v>
      </c>
      <c r="K40" t="s">
        <v>43</v>
      </c>
    </row>
    <row r="41" spans="1:11" x14ac:dyDescent="0.35">
      <c r="A41" t="s">
        <v>50</v>
      </c>
      <c r="B41" t="s">
        <v>47</v>
      </c>
      <c r="C41">
        <v>2022</v>
      </c>
      <c r="D41" s="3">
        <v>2864.16</v>
      </c>
      <c r="E41" t="s">
        <v>51</v>
      </c>
      <c r="F41" t="s">
        <v>39</v>
      </c>
      <c r="G41" t="s">
        <v>52</v>
      </c>
      <c r="H41" t="s">
        <v>41</v>
      </c>
      <c r="I41">
        <v>77</v>
      </c>
      <c r="J41" s="4">
        <f t="shared" si="2"/>
        <v>0.12948079911034682</v>
      </c>
      <c r="K41" t="s">
        <v>43</v>
      </c>
    </row>
    <row r="42" spans="1:11" x14ac:dyDescent="0.35">
      <c r="A42" t="s">
        <v>50</v>
      </c>
      <c r="B42" t="s">
        <v>47</v>
      </c>
      <c r="C42">
        <v>2023</v>
      </c>
      <c r="D42" s="3">
        <v>2965.2</v>
      </c>
      <c r="E42" t="s">
        <v>51</v>
      </c>
      <c r="F42" t="s">
        <v>39</v>
      </c>
      <c r="G42" t="s">
        <v>52</v>
      </c>
      <c r="H42" t="s">
        <v>41</v>
      </c>
      <c r="I42">
        <v>78</v>
      </c>
      <c r="J42" s="4">
        <f t="shared" si="2"/>
        <v>3.527735880677052E-2</v>
      </c>
      <c r="K42" t="s">
        <v>43</v>
      </c>
    </row>
    <row r="43" spans="1:11" x14ac:dyDescent="0.35">
      <c r="A43" t="s">
        <v>50</v>
      </c>
      <c r="B43" t="s">
        <v>47</v>
      </c>
      <c r="C43">
        <v>2024</v>
      </c>
      <c r="D43" s="3">
        <v>3108.55</v>
      </c>
      <c r="E43" t="s">
        <v>51</v>
      </c>
      <c r="F43" t="s">
        <v>39</v>
      </c>
      <c r="G43" t="s">
        <v>52</v>
      </c>
      <c r="H43" t="s">
        <v>41</v>
      </c>
      <c r="I43">
        <v>79</v>
      </c>
      <c r="J43" s="4">
        <f t="shared" si="2"/>
        <v>4.8344125185485032E-2</v>
      </c>
      <c r="K43" t="s">
        <v>43</v>
      </c>
    </row>
    <row r="44" spans="1:11" x14ac:dyDescent="0.35">
      <c r="A44" t="s">
        <v>50</v>
      </c>
      <c r="B44" t="s">
        <v>47</v>
      </c>
      <c r="C44">
        <v>2025</v>
      </c>
      <c r="D44" s="3">
        <v>3245.26</v>
      </c>
      <c r="E44" t="s">
        <v>51</v>
      </c>
      <c r="F44" t="s">
        <v>39</v>
      </c>
      <c r="G44" t="s">
        <v>52</v>
      </c>
      <c r="H44" t="s">
        <v>41</v>
      </c>
      <c r="I44">
        <v>80</v>
      </c>
      <c r="J44" s="4">
        <f t="shared" si="2"/>
        <v>4.3978703897315397E-2</v>
      </c>
      <c r="K44" t="s">
        <v>43</v>
      </c>
    </row>
    <row r="45" spans="1:11" x14ac:dyDescent="0.35">
      <c r="A45" t="s">
        <v>50</v>
      </c>
      <c r="B45" t="s">
        <v>47</v>
      </c>
      <c r="C45">
        <v>2026</v>
      </c>
      <c r="D45" s="3">
        <v>3428.37</v>
      </c>
      <c r="E45" t="s">
        <v>51</v>
      </c>
      <c r="F45" t="s">
        <v>44</v>
      </c>
      <c r="G45" t="s">
        <v>40</v>
      </c>
      <c r="H45" t="s">
        <v>45</v>
      </c>
      <c r="I45">
        <v>54</v>
      </c>
      <c r="J45" s="4">
        <f t="shared" si="2"/>
        <v>5.642383044809951E-2</v>
      </c>
      <c r="K45" t="s">
        <v>43</v>
      </c>
    </row>
    <row r="46" spans="1:11" x14ac:dyDescent="0.35">
      <c r="A46" t="s">
        <v>50</v>
      </c>
      <c r="B46" t="s">
        <v>47</v>
      </c>
      <c r="C46">
        <v>2027</v>
      </c>
      <c r="D46" s="3">
        <v>3650.48</v>
      </c>
      <c r="E46" t="s">
        <v>51</v>
      </c>
      <c r="F46" t="s">
        <v>44</v>
      </c>
      <c r="G46" t="s">
        <v>40</v>
      </c>
      <c r="H46" t="s">
        <v>45</v>
      </c>
      <c r="I46">
        <v>55</v>
      </c>
      <c r="J46" s="4">
        <f t="shared" si="2"/>
        <v>6.4785889504341831E-2</v>
      </c>
      <c r="K46" t="s">
        <v>43</v>
      </c>
    </row>
    <row r="47" spans="1:11" x14ac:dyDescent="0.35">
      <c r="A47" t="s">
        <v>50</v>
      </c>
      <c r="B47" t="s">
        <v>47</v>
      </c>
      <c r="C47">
        <v>2028</v>
      </c>
      <c r="D47" s="3">
        <v>3822.84</v>
      </c>
      <c r="E47" t="s">
        <v>51</v>
      </c>
      <c r="F47" t="s">
        <v>44</v>
      </c>
      <c r="G47" t="s">
        <v>40</v>
      </c>
      <c r="H47" t="s">
        <v>45</v>
      </c>
      <c r="I47">
        <v>56</v>
      </c>
      <c r="J47" s="4">
        <f t="shared" si="2"/>
        <v>4.7215708619140484E-2</v>
      </c>
      <c r="K47" t="s">
        <v>43</v>
      </c>
    </row>
    <row r="48" spans="1:11" x14ac:dyDescent="0.35">
      <c r="A48" t="s">
        <v>50</v>
      </c>
      <c r="B48" t="s">
        <v>47</v>
      </c>
      <c r="C48">
        <v>2029</v>
      </c>
      <c r="D48" s="3">
        <v>3961.8</v>
      </c>
      <c r="E48" t="s">
        <v>51</v>
      </c>
      <c r="F48" t="s">
        <v>44</v>
      </c>
      <c r="G48" t="s">
        <v>40</v>
      </c>
      <c r="H48" t="s">
        <v>45</v>
      </c>
      <c r="I48">
        <v>57</v>
      </c>
      <c r="J48" s="4">
        <f t="shared" si="2"/>
        <v>3.6349938788963199E-2</v>
      </c>
      <c r="K48" t="s">
        <v>43</v>
      </c>
    </row>
    <row r="49" spans="1:11" x14ac:dyDescent="0.35">
      <c r="A49" t="s">
        <v>50</v>
      </c>
      <c r="B49" t="s">
        <v>47</v>
      </c>
      <c r="C49">
        <v>2030</v>
      </c>
      <c r="D49" s="3">
        <v>4123.68</v>
      </c>
      <c r="E49" t="s">
        <v>51</v>
      </c>
      <c r="F49" t="s">
        <v>44</v>
      </c>
      <c r="G49" t="s">
        <v>40</v>
      </c>
      <c r="H49" t="s">
        <v>45</v>
      </c>
      <c r="I49">
        <v>58</v>
      </c>
      <c r="J49" s="4">
        <f t="shared" si="2"/>
        <v>4.086021505376336E-2</v>
      </c>
      <c r="K49" t="s">
        <v>43</v>
      </c>
    </row>
    <row r="50" spans="1:11" x14ac:dyDescent="0.35">
      <c r="A50" t="s">
        <v>53</v>
      </c>
      <c r="B50" t="s">
        <v>54</v>
      </c>
      <c r="C50">
        <v>2015</v>
      </c>
      <c r="D50" s="3">
        <v>5954.51</v>
      </c>
      <c r="E50" t="s">
        <v>55</v>
      </c>
      <c r="F50" t="s">
        <v>39</v>
      </c>
      <c r="G50" t="s">
        <v>40</v>
      </c>
      <c r="H50" t="s">
        <v>41</v>
      </c>
      <c r="I50">
        <v>92</v>
      </c>
      <c r="K50" t="s">
        <v>42</v>
      </c>
    </row>
    <row r="51" spans="1:11" x14ac:dyDescent="0.35">
      <c r="A51" t="s">
        <v>53</v>
      </c>
      <c r="B51" t="s">
        <v>54</v>
      </c>
      <c r="C51">
        <v>2016</v>
      </c>
      <c r="D51" s="3">
        <v>8228.16</v>
      </c>
      <c r="E51" t="s">
        <v>55</v>
      </c>
      <c r="F51" t="s">
        <v>39</v>
      </c>
      <c r="G51" t="s">
        <v>40</v>
      </c>
      <c r="H51" t="s">
        <v>41</v>
      </c>
      <c r="I51">
        <v>93</v>
      </c>
      <c r="J51" s="4">
        <f t="shared" ref="J51:J65" si="3">IF(D50=0,"",D51/D50-1)</f>
        <v>0.38183662467608581</v>
      </c>
      <c r="K51" t="s">
        <v>43</v>
      </c>
    </row>
    <row r="52" spans="1:11" x14ac:dyDescent="0.35">
      <c r="A52" t="s">
        <v>53</v>
      </c>
      <c r="B52" t="s">
        <v>54</v>
      </c>
      <c r="C52">
        <v>2017</v>
      </c>
      <c r="D52" s="3">
        <v>10660.23</v>
      </c>
      <c r="E52" t="s">
        <v>55</v>
      </c>
      <c r="F52" t="s">
        <v>39</v>
      </c>
      <c r="G52" t="s">
        <v>40</v>
      </c>
      <c r="H52" t="s">
        <v>41</v>
      </c>
      <c r="I52">
        <v>94</v>
      </c>
      <c r="J52" s="4">
        <f t="shared" si="3"/>
        <v>0.29557884144207214</v>
      </c>
      <c r="K52" t="s">
        <v>43</v>
      </c>
    </row>
    <row r="53" spans="1:11" x14ac:dyDescent="0.35">
      <c r="A53" t="s">
        <v>53</v>
      </c>
      <c r="B53" t="s">
        <v>54</v>
      </c>
      <c r="C53">
        <v>2018</v>
      </c>
      <c r="D53" s="3">
        <v>14744.81</v>
      </c>
      <c r="E53" t="s">
        <v>55</v>
      </c>
      <c r="F53" t="s">
        <v>39</v>
      </c>
      <c r="G53" t="s">
        <v>40</v>
      </c>
      <c r="H53" t="s">
        <v>41</v>
      </c>
      <c r="I53">
        <v>95</v>
      </c>
      <c r="J53" s="4">
        <f t="shared" si="3"/>
        <v>0.38316058846760348</v>
      </c>
      <c r="K53" t="s">
        <v>43</v>
      </c>
    </row>
    <row r="54" spans="1:11" x14ac:dyDescent="0.35">
      <c r="A54" t="s">
        <v>53</v>
      </c>
      <c r="B54" t="s">
        <v>54</v>
      </c>
      <c r="C54">
        <v>2019</v>
      </c>
      <c r="D54" s="3">
        <v>21558.44</v>
      </c>
      <c r="E54" t="s">
        <v>55</v>
      </c>
      <c r="F54" t="s">
        <v>39</v>
      </c>
      <c r="G54" t="s">
        <v>40</v>
      </c>
      <c r="H54" t="s">
        <v>41</v>
      </c>
      <c r="I54">
        <v>96</v>
      </c>
      <c r="J54" s="4">
        <f t="shared" si="3"/>
        <v>0.46210361476343187</v>
      </c>
      <c r="K54" t="s">
        <v>43</v>
      </c>
    </row>
    <row r="55" spans="1:11" x14ac:dyDescent="0.35">
      <c r="A55" t="s">
        <v>53</v>
      </c>
      <c r="B55" t="s">
        <v>54</v>
      </c>
      <c r="C55">
        <v>2020</v>
      </c>
      <c r="D55" s="3">
        <v>27209.81</v>
      </c>
      <c r="E55" t="s">
        <v>55</v>
      </c>
      <c r="F55" t="s">
        <v>39</v>
      </c>
      <c r="G55" t="s">
        <v>40</v>
      </c>
      <c r="H55" t="s">
        <v>41</v>
      </c>
      <c r="I55">
        <v>97</v>
      </c>
      <c r="J55" s="4">
        <f t="shared" si="3"/>
        <v>0.26214188039579867</v>
      </c>
      <c r="K55" t="s">
        <v>43</v>
      </c>
    </row>
    <row r="56" spans="1:11" x14ac:dyDescent="0.35">
      <c r="A56" t="s">
        <v>53</v>
      </c>
      <c r="B56" t="s">
        <v>54</v>
      </c>
      <c r="C56">
        <v>2021</v>
      </c>
      <c r="D56" s="3">
        <v>46219.08</v>
      </c>
      <c r="E56" t="s">
        <v>55</v>
      </c>
      <c r="F56" t="s">
        <v>39</v>
      </c>
      <c r="G56" t="s">
        <v>40</v>
      </c>
      <c r="H56" t="s">
        <v>41</v>
      </c>
      <c r="I56">
        <v>98</v>
      </c>
      <c r="J56" s="4">
        <f t="shared" si="3"/>
        <v>0.69861825569528047</v>
      </c>
      <c r="K56" t="s">
        <v>43</v>
      </c>
    </row>
    <row r="57" spans="1:11" x14ac:dyDescent="0.35">
      <c r="A57" t="s">
        <v>53</v>
      </c>
      <c r="B57" t="s">
        <v>54</v>
      </c>
      <c r="C57">
        <v>2022</v>
      </c>
      <c r="D57" s="3">
        <v>82810.05</v>
      </c>
      <c r="E57" t="s">
        <v>55</v>
      </c>
      <c r="F57" t="s">
        <v>39</v>
      </c>
      <c r="G57" t="s">
        <v>40</v>
      </c>
      <c r="H57" t="s">
        <v>41</v>
      </c>
      <c r="I57">
        <v>99</v>
      </c>
      <c r="J57" s="4">
        <f t="shared" si="3"/>
        <v>0.79168538188124904</v>
      </c>
      <c r="K57" t="s">
        <v>43</v>
      </c>
    </row>
    <row r="58" spans="1:11" x14ac:dyDescent="0.35">
      <c r="A58" t="s">
        <v>53</v>
      </c>
      <c r="B58" t="s">
        <v>54</v>
      </c>
      <c r="C58">
        <v>2023</v>
      </c>
      <c r="D58" s="3">
        <v>193946.18</v>
      </c>
      <c r="E58" t="s">
        <v>55</v>
      </c>
      <c r="F58" t="s">
        <v>39</v>
      </c>
      <c r="G58" t="s">
        <v>40</v>
      </c>
      <c r="H58" t="s">
        <v>41</v>
      </c>
      <c r="I58">
        <v>100</v>
      </c>
      <c r="J58" s="4">
        <f t="shared" si="3"/>
        <v>1.342060897197864</v>
      </c>
      <c r="K58" t="s">
        <v>43</v>
      </c>
    </row>
    <row r="59" spans="1:11" x14ac:dyDescent="0.35">
      <c r="A59" t="s">
        <v>53</v>
      </c>
      <c r="B59" t="s">
        <v>54</v>
      </c>
      <c r="C59">
        <v>2024</v>
      </c>
      <c r="D59" s="3">
        <v>584377.01</v>
      </c>
      <c r="E59" t="s">
        <v>55</v>
      </c>
      <c r="F59" t="s">
        <v>39</v>
      </c>
      <c r="G59" t="s">
        <v>40</v>
      </c>
      <c r="H59" t="s">
        <v>41</v>
      </c>
      <c r="I59">
        <v>101</v>
      </c>
      <c r="J59" s="4">
        <f t="shared" si="3"/>
        <v>2.0130885279617265</v>
      </c>
      <c r="K59" t="s">
        <v>43</v>
      </c>
    </row>
    <row r="60" spans="1:11" x14ac:dyDescent="0.35">
      <c r="A60" t="s">
        <v>53</v>
      </c>
      <c r="B60" t="s">
        <v>54</v>
      </c>
      <c r="C60">
        <v>2025</v>
      </c>
      <c r="D60" s="3">
        <v>850239.8</v>
      </c>
      <c r="E60" t="s">
        <v>55</v>
      </c>
      <c r="F60" t="s">
        <v>39</v>
      </c>
      <c r="G60" t="s">
        <v>40</v>
      </c>
      <c r="H60" t="s">
        <v>41</v>
      </c>
      <c r="I60">
        <v>102</v>
      </c>
      <c r="J60" s="4">
        <f t="shared" si="3"/>
        <v>0.45495080307830738</v>
      </c>
      <c r="K60" t="s">
        <v>43</v>
      </c>
    </row>
    <row r="61" spans="1:11" x14ac:dyDescent="0.35">
      <c r="A61" t="s">
        <v>53</v>
      </c>
      <c r="B61" t="s">
        <v>54</v>
      </c>
      <c r="C61">
        <v>2026</v>
      </c>
      <c r="D61" s="3">
        <v>1135307.06</v>
      </c>
      <c r="E61" t="s">
        <v>55</v>
      </c>
      <c r="F61" t="s">
        <v>44</v>
      </c>
      <c r="G61" t="s">
        <v>40</v>
      </c>
      <c r="H61" t="s">
        <v>56</v>
      </c>
      <c r="I61">
        <v>27</v>
      </c>
      <c r="J61" s="4">
        <f t="shared" si="3"/>
        <v>0.33527865903242815</v>
      </c>
      <c r="K61" t="s">
        <v>43</v>
      </c>
    </row>
    <row r="62" spans="1:11" x14ac:dyDescent="0.35">
      <c r="A62" t="s">
        <v>53</v>
      </c>
      <c r="B62" t="s">
        <v>54</v>
      </c>
      <c r="C62">
        <v>2027</v>
      </c>
      <c r="D62" s="3">
        <v>1341238.95</v>
      </c>
      <c r="E62" t="s">
        <v>55</v>
      </c>
      <c r="F62" t="s">
        <v>44</v>
      </c>
      <c r="G62" t="s">
        <v>40</v>
      </c>
      <c r="H62" t="s">
        <v>56</v>
      </c>
      <c r="I62">
        <v>28</v>
      </c>
      <c r="J62" s="4">
        <f t="shared" si="3"/>
        <v>0.18138871610646001</v>
      </c>
      <c r="K62" t="s">
        <v>43</v>
      </c>
    </row>
    <row r="63" spans="1:11" x14ac:dyDescent="0.35">
      <c r="A63" t="s">
        <v>53</v>
      </c>
      <c r="B63" t="s">
        <v>54</v>
      </c>
      <c r="C63">
        <v>2028</v>
      </c>
      <c r="D63" s="3">
        <v>1476757.32</v>
      </c>
      <c r="E63" t="s">
        <v>55</v>
      </c>
      <c r="F63" t="s">
        <v>44</v>
      </c>
      <c r="G63" t="s">
        <v>40</v>
      </c>
      <c r="H63" t="s">
        <v>56</v>
      </c>
      <c r="I63">
        <v>29</v>
      </c>
      <c r="J63" s="4">
        <f t="shared" si="3"/>
        <v>0.10103969169699423</v>
      </c>
      <c r="K63" t="s">
        <v>43</v>
      </c>
    </row>
    <row r="64" spans="1:11" x14ac:dyDescent="0.35">
      <c r="A64" t="s">
        <v>53</v>
      </c>
      <c r="B64" t="s">
        <v>54</v>
      </c>
      <c r="C64">
        <v>2029</v>
      </c>
      <c r="D64" s="3">
        <v>1594813.98</v>
      </c>
      <c r="E64" t="s">
        <v>55</v>
      </c>
      <c r="F64" t="s">
        <v>44</v>
      </c>
      <c r="G64" t="s">
        <v>40</v>
      </c>
      <c r="H64" t="s">
        <v>56</v>
      </c>
      <c r="I64">
        <v>30</v>
      </c>
      <c r="J64" s="4">
        <f t="shared" si="3"/>
        <v>7.994316899678533E-2</v>
      </c>
      <c r="K64" t="s">
        <v>43</v>
      </c>
    </row>
    <row r="65" spans="1:11" x14ac:dyDescent="0.35">
      <c r="A65" t="s">
        <v>53</v>
      </c>
      <c r="B65" t="s">
        <v>54</v>
      </c>
      <c r="C65">
        <v>2030</v>
      </c>
      <c r="D65" s="3">
        <v>1719120.61</v>
      </c>
      <c r="E65" t="s">
        <v>55</v>
      </c>
      <c r="F65" t="s">
        <v>44</v>
      </c>
      <c r="G65" t="s">
        <v>40</v>
      </c>
      <c r="H65" t="s">
        <v>56</v>
      </c>
      <c r="I65">
        <v>31</v>
      </c>
      <c r="J65" s="4">
        <f t="shared" si="3"/>
        <v>7.7944281627127632E-2</v>
      </c>
      <c r="K65" t="s">
        <v>43</v>
      </c>
    </row>
    <row r="66" spans="1:11" x14ac:dyDescent="0.35">
      <c r="A66" t="s">
        <v>57</v>
      </c>
      <c r="B66" t="s">
        <v>54</v>
      </c>
      <c r="C66">
        <v>2015</v>
      </c>
      <c r="D66" s="3">
        <v>5995.79</v>
      </c>
      <c r="E66" t="s">
        <v>58</v>
      </c>
      <c r="F66" t="s">
        <v>39</v>
      </c>
      <c r="G66" t="s">
        <v>59</v>
      </c>
      <c r="H66" t="s">
        <v>41</v>
      </c>
      <c r="I66">
        <v>114</v>
      </c>
      <c r="K66" t="s">
        <v>42</v>
      </c>
    </row>
    <row r="67" spans="1:11" x14ac:dyDescent="0.35">
      <c r="A67" t="s">
        <v>57</v>
      </c>
      <c r="B67" t="s">
        <v>54</v>
      </c>
      <c r="C67">
        <v>2016</v>
      </c>
      <c r="D67" s="3">
        <v>6269.33</v>
      </c>
      <c r="E67" t="s">
        <v>58</v>
      </c>
      <c r="F67" t="s">
        <v>39</v>
      </c>
      <c r="G67" t="s">
        <v>40</v>
      </c>
      <c r="H67" t="s">
        <v>41</v>
      </c>
      <c r="I67">
        <v>115</v>
      </c>
      <c r="J67" s="4">
        <f t="shared" ref="J67:J81" si="4">IF(D66=0,"",D67/D66-1)</f>
        <v>4.5622011444697019E-2</v>
      </c>
      <c r="K67" t="s">
        <v>43</v>
      </c>
    </row>
    <row r="68" spans="1:11" x14ac:dyDescent="0.35">
      <c r="A68" t="s">
        <v>57</v>
      </c>
      <c r="B68" t="s">
        <v>54</v>
      </c>
      <c r="C68">
        <v>2017</v>
      </c>
      <c r="D68" s="3">
        <v>6585.48</v>
      </c>
      <c r="E68" t="s">
        <v>58</v>
      </c>
      <c r="F68" t="s">
        <v>39</v>
      </c>
      <c r="G68" t="s">
        <v>40</v>
      </c>
      <c r="H68" t="s">
        <v>41</v>
      </c>
      <c r="I68">
        <v>116</v>
      </c>
      <c r="J68" s="4">
        <f t="shared" si="4"/>
        <v>5.0428036169734236E-2</v>
      </c>
      <c r="K68" t="s">
        <v>43</v>
      </c>
    </row>
    <row r="69" spans="1:11" x14ac:dyDescent="0.35">
      <c r="A69" t="s">
        <v>57</v>
      </c>
      <c r="B69" t="s">
        <v>54</v>
      </c>
      <c r="C69">
        <v>2018</v>
      </c>
      <c r="D69" s="3">
        <v>7004.14</v>
      </c>
      <c r="E69" t="s">
        <v>58</v>
      </c>
      <c r="F69" t="s">
        <v>39</v>
      </c>
      <c r="G69" t="s">
        <v>40</v>
      </c>
      <c r="H69" t="s">
        <v>41</v>
      </c>
      <c r="I69">
        <v>117</v>
      </c>
      <c r="J69" s="4">
        <f t="shared" si="4"/>
        <v>6.3573194360927454E-2</v>
      </c>
      <c r="K69" t="s">
        <v>43</v>
      </c>
    </row>
    <row r="70" spans="1:11" x14ac:dyDescent="0.35">
      <c r="A70" t="s">
        <v>57</v>
      </c>
      <c r="B70" t="s">
        <v>54</v>
      </c>
      <c r="C70">
        <v>2019</v>
      </c>
      <c r="D70" s="3">
        <v>7389.13</v>
      </c>
      <c r="E70" t="s">
        <v>58</v>
      </c>
      <c r="F70" t="s">
        <v>39</v>
      </c>
      <c r="G70" t="s">
        <v>40</v>
      </c>
      <c r="H70" t="s">
        <v>41</v>
      </c>
      <c r="I70">
        <v>118</v>
      </c>
      <c r="J70" s="4">
        <f t="shared" si="4"/>
        <v>5.4966062928496484E-2</v>
      </c>
      <c r="K70" t="s">
        <v>43</v>
      </c>
    </row>
    <row r="71" spans="1:11" x14ac:dyDescent="0.35">
      <c r="A71" t="s">
        <v>57</v>
      </c>
      <c r="B71" t="s">
        <v>54</v>
      </c>
      <c r="C71">
        <v>2020</v>
      </c>
      <c r="D71" s="3">
        <v>7609.6</v>
      </c>
      <c r="E71" t="s">
        <v>58</v>
      </c>
      <c r="F71" t="s">
        <v>39</v>
      </c>
      <c r="G71" t="s">
        <v>40</v>
      </c>
      <c r="H71" t="s">
        <v>41</v>
      </c>
      <c r="I71">
        <v>119</v>
      </c>
      <c r="J71" s="4">
        <f t="shared" si="4"/>
        <v>2.983707148202841E-2</v>
      </c>
      <c r="K71" t="s">
        <v>43</v>
      </c>
    </row>
    <row r="72" spans="1:11" x14ac:dyDescent="0.35">
      <c r="A72" t="s">
        <v>57</v>
      </c>
      <c r="B72" t="s">
        <v>54</v>
      </c>
      <c r="C72">
        <v>2021</v>
      </c>
      <c r="D72" s="3">
        <v>9012.14</v>
      </c>
      <c r="E72" t="s">
        <v>58</v>
      </c>
      <c r="F72" t="s">
        <v>39</v>
      </c>
      <c r="G72" t="s">
        <v>40</v>
      </c>
      <c r="H72" t="s">
        <v>41</v>
      </c>
      <c r="I72">
        <v>120</v>
      </c>
      <c r="J72" s="4">
        <f t="shared" si="4"/>
        <v>0.1843119217830107</v>
      </c>
      <c r="K72" t="s">
        <v>43</v>
      </c>
    </row>
    <row r="73" spans="1:11" x14ac:dyDescent="0.35">
      <c r="A73" t="s">
        <v>57</v>
      </c>
      <c r="B73" t="s">
        <v>54</v>
      </c>
      <c r="C73">
        <v>2022</v>
      </c>
      <c r="D73" s="3">
        <v>10079.68</v>
      </c>
      <c r="E73" t="s">
        <v>58</v>
      </c>
      <c r="F73" t="s">
        <v>39</v>
      </c>
      <c r="G73" t="s">
        <v>40</v>
      </c>
      <c r="H73" t="s">
        <v>41</v>
      </c>
      <c r="I73">
        <v>121</v>
      </c>
      <c r="J73" s="4">
        <f t="shared" si="4"/>
        <v>0.11845577188104062</v>
      </c>
      <c r="K73" t="s">
        <v>43</v>
      </c>
    </row>
    <row r="74" spans="1:11" x14ac:dyDescent="0.35">
      <c r="A74" t="s">
        <v>57</v>
      </c>
      <c r="B74" t="s">
        <v>54</v>
      </c>
      <c r="C74">
        <v>2023</v>
      </c>
      <c r="D74" s="3">
        <v>10943.34</v>
      </c>
      <c r="E74" t="s">
        <v>58</v>
      </c>
      <c r="F74" t="s">
        <v>39</v>
      </c>
      <c r="G74" t="s">
        <v>40</v>
      </c>
      <c r="H74" t="s">
        <v>41</v>
      </c>
      <c r="I74">
        <v>122</v>
      </c>
      <c r="J74" s="4">
        <f t="shared" si="4"/>
        <v>8.56832756595447E-2</v>
      </c>
      <c r="K74" t="s">
        <v>43</v>
      </c>
    </row>
    <row r="75" spans="1:11" x14ac:dyDescent="0.35">
      <c r="A75" t="s">
        <v>57</v>
      </c>
      <c r="B75" t="s">
        <v>54</v>
      </c>
      <c r="C75">
        <v>2024</v>
      </c>
      <c r="D75" s="3">
        <v>11779.25</v>
      </c>
      <c r="E75" t="s">
        <v>58</v>
      </c>
      <c r="F75" t="s">
        <v>39</v>
      </c>
      <c r="G75" t="s">
        <v>40</v>
      </c>
      <c r="H75" t="s">
        <v>41</v>
      </c>
      <c r="I75">
        <v>123</v>
      </c>
      <c r="J75" s="4">
        <f t="shared" si="4"/>
        <v>7.6385271772603236E-2</v>
      </c>
      <c r="K75" t="s">
        <v>43</v>
      </c>
    </row>
    <row r="76" spans="1:11" x14ac:dyDescent="0.35">
      <c r="A76" t="s">
        <v>57</v>
      </c>
      <c r="B76" t="s">
        <v>54</v>
      </c>
      <c r="C76">
        <v>2025</v>
      </c>
      <c r="D76" s="3">
        <v>12738.57</v>
      </c>
      <c r="E76" t="s">
        <v>58</v>
      </c>
      <c r="F76" t="s">
        <v>39</v>
      </c>
      <c r="G76" t="s">
        <v>40</v>
      </c>
      <c r="H76" t="s">
        <v>41</v>
      </c>
      <c r="I76">
        <v>124</v>
      </c>
      <c r="J76" s="4">
        <f t="shared" si="4"/>
        <v>8.1441517923467099E-2</v>
      </c>
      <c r="K76" t="s">
        <v>43</v>
      </c>
    </row>
    <row r="77" spans="1:11" x14ac:dyDescent="0.35">
      <c r="A77" t="s">
        <v>57</v>
      </c>
      <c r="B77" t="s">
        <v>54</v>
      </c>
      <c r="C77">
        <v>2026</v>
      </c>
      <c r="D77" s="3">
        <v>13657.02</v>
      </c>
      <c r="E77" t="s">
        <v>58</v>
      </c>
      <c r="F77" t="s">
        <v>44</v>
      </c>
      <c r="G77" t="s">
        <v>40</v>
      </c>
      <c r="H77" t="s">
        <v>56</v>
      </c>
      <c r="I77">
        <v>42</v>
      </c>
      <c r="J77" s="4">
        <f t="shared" si="4"/>
        <v>7.2099929583932854E-2</v>
      </c>
      <c r="K77" t="s">
        <v>43</v>
      </c>
    </row>
    <row r="78" spans="1:11" x14ac:dyDescent="0.35">
      <c r="A78" t="s">
        <v>57</v>
      </c>
      <c r="B78" t="s">
        <v>54</v>
      </c>
      <c r="C78">
        <v>2027</v>
      </c>
      <c r="D78" s="3">
        <v>14425.98</v>
      </c>
      <c r="E78" t="s">
        <v>58</v>
      </c>
      <c r="F78" t="s">
        <v>44</v>
      </c>
      <c r="G78" t="s">
        <v>40</v>
      </c>
      <c r="H78" t="s">
        <v>56</v>
      </c>
      <c r="I78">
        <v>43</v>
      </c>
      <c r="J78" s="4">
        <f t="shared" si="4"/>
        <v>5.630510902085506E-2</v>
      </c>
      <c r="K78" t="s">
        <v>43</v>
      </c>
    </row>
    <row r="79" spans="1:11" x14ac:dyDescent="0.35">
      <c r="A79" t="s">
        <v>57</v>
      </c>
      <c r="B79" t="s">
        <v>54</v>
      </c>
      <c r="C79">
        <v>2028</v>
      </c>
      <c r="D79" s="3">
        <v>15184.45</v>
      </c>
      <c r="E79" t="s">
        <v>58</v>
      </c>
      <c r="F79" t="s">
        <v>44</v>
      </c>
      <c r="G79" t="s">
        <v>40</v>
      </c>
      <c r="H79" t="s">
        <v>56</v>
      </c>
      <c r="I79">
        <v>44</v>
      </c>
      <c r="J79" s="4">
        <f t="shared" si="4"/>
        <v>5.2576670701054651E-2</v>
      </c>
      <c r="K79" t="s">
        <v>43</v>
      </c>
    </row>
    <row r="80" spans="1:11" x14ac:dyDescent="0.35">
      <c r="A80" t="s">
        <v>57</v>
      </c>
      <c r="B80" t="s">
        <v>54</v>
      </c>
      <c r="C80">
        <v>2029</v>
      </c>
      <c r="D80" s="3">
        <v>16144.95</v>
      </c>
      <c r="E80" t="s">
        <v>58</v>
      </c>
      <c r="F80" t="s">
        <v>44</v>
      </c>
      <c r="G80" t="s">
        <v>40</v>
      </c>
      <c r="H80" t="s">
        <v>56</v>
      </c>
      <c r="I80">
        <v>45</v>
      </c>
      <c r="J80" s="4">
        <f t="shared" si="4"/>
        <v>6.325550151635384E-2</v>
      </c>
      <c r="K80" t="s">
        <v>43</v>
      </c>
    </row>
    <row r="81" spans="1:11" x14ac:dyDescent="0.35">
      <c r="A81" t="s">
        <v>57</v>
      </c>
      <c r="B81" t="s">
        <v>54</v>
      </c>
      <c r="C81">
        <v>2030</v>
      </c>
      <c r="D81" s="3">
        <v>17294.03</v>
      </c>
      <c r="E81" t="s">
        <v>58</v>
      </c>
      <c r="F81" t="s">
        <v>44</v>
      </c>
      <c r="G81" t="s">
        <v>40</v>
      </c>
      <c r="H81" t="s">
        <v>56</v>
      </c>
      <c r="I81">
        <v>46</v>
      </c>
      <c r="J81" s="4">
        <f t="shared" si="4"/>
        <v>7.1172719642984328E-2</v>
      </c>
      <c r="K81" t="s">
        <v>43</v>
      </c>
    </row>
    <row r="82" spans="1:11" x14ac:dyDescent="0.35">
      <c r="A82" t="s">
        <v>60</v>
      </c>
      <c r="B82" t="s">
        <v>54</v>
      </c>
      <c r="C82">
        <v>2015</v>
      </c>
      <c r="D82" s="3">
        <v>158.62</v>
      </c>
      <c r="E82" t="s">
        <v>61</v>
      </c>
      <c r="F82" t="s">
        <v>39</v>
      </c>
      <c r="G82" t="s">
        <v>59</v>
      </c>
      <c r="H82" t="s">
        <v>41</v>
      </c>
      <c r="I82">
        <v>136</v>
      </c>
      <c r="K82" t="s">
        <v>42</v>
      </c>
    </row>
    <row r="83" spans="1:11" x14ac:dyDescent="0.35">
      <c r="A83" t="s">
        <v>60</v>
      </c>
      <c r="B83" t="s">
        <v>54</v>
      </c>
      <c r="C83">
        <v>2016</v>
      </c>
      <c r="D83" s="3">
        <v>168.76</v>
      </c>
      <c r="E83" t="s">
        <v>61</v>
      </c>
      <c r="F83" t="s">
        <v>39</v>
      </c>
      <c r="G83" t="s">
        <v>59</v>
      </c>
      <c r="H83" t="s">
        <v>41</v>
      </c>
      <c r="I83">
        <v>137</v>
      </c>
      <c r="J83" s="4">
        <f t="shared" ref="J83:J97" si="5">IF(D82=0,"",D83/D82-1)</f>
        <v>6.3926364897238575E-2</v>
      </c>
      <c r="K83" t="s">
        <v>43</v>
      </c>
    </row>
    <row r="84" spans="1:11" x14ac:dyDescent="0.35">
      <c r="A84" t="s">
        <v>60</v>
      </c>
      <c r="B84" t="s">
        <v>54</v>
      </c>
      <c r="C84">
        <v>2017</v>
      </c>
      <c r="D84" s="3">
        <v>179.31</v>
      </c>
      <c r="E84" t="s">
        <v>61</v>
      </c>
      <c r="F84" t="s">
        <v>39</v>
      </c>
      <c r="G84" t="s">
        <v>59</v>
      </c>
      <c r="H84" t="s">
        <v>41</v>
      </c>
      <c r="I84">
        <v>138</v>
      </c>
      <c r="J84" s="4">
        <f t="shared" si="5"/>
        <v>6.2514813936952018E-2</v>
      </c>
      <c r="K84" t="s">
        <v>43</v>
      </c>
    </row>
    <row r="85" spans="1:11" x14ac:dyDescent="0.35">
      <c r="A85" t="s">
        <v>60</v>
      </c>
      <c r="B85" t="s">
        <v>54</v>
      </c>
      <c r="C85">
        <v>2018</v>
      </c>
      <c r="D85" s="3">
        <v>189.43</v>
      </c>
      <c r="E85" t="s">
        <v>61</v>
      </c>
      <c r="F85" t="s">
        <v>39</v>
      </c>
      <c r="G85" t="s">
        <v>59</v>
      </c>
      <c r="H85" t="s">
        <v>41</v>
      </c>
      <c r="I85">
        <v>139</v>
      </c>
      <c r="J85" s="4">
        <f t="shared" si="5"/>
        <v>5.6438570074173189E-2</v>
      </c>
      <c r="K85" t="s">
        <v>43</v>
      </c>
    </row>
    <row r="86" spans="1:11" x14ac:dyDescent="0.35">
      <c r="A86" t="s">
        <v>60</v>
      </c>
      <c r="B86" t="s">
        <v>54</v>
      </c>
      <c r="C86">
        <v>2019</v>
      </c>
      <c r="D86" s="3">
        <v>195.55</v>
      </c>
      <c r="E86" t="s">
        <v>61</v>
      </c>
      <c r="F86" t="s">
        <v>39</v>
      </c>
      <c r="G86" t="s">
        <v>59</v>
      </c>
      <c r="H86" t="s">
        <v>41</v>
      </c>
      <c r="I86">
        <v>140</v>
      </c>
      <c r="J86" s="4">
        <f t="shared" si="5"/>
        <v>3.2307448661774929E-2</v>
      </c>
      <c r="K86" t="s">
        <v>43</v>
      </c>
    </row>
    <row r="87" spans="1:11" x14ac:dyDescent="0.35">
      <c r="A87" t="s">
        <v>60</v>
      </c>
      <c r="B87" t="s">
        <v>54</v>
      </c>
      <c r="C87">
        <v>2020</v>
      </c>
      <c r="D87" s="3">
        <v>201.31</v>
      </c>
      <c r="E87" t="s">
        <v>61</v>
      </c>
      <c r="F87" t="s">
        <v>39</v>
      </c>
      <c r="G87" t="s">
        <v>62</v>
      </c>
      <c r="H87" t="s">
        <v>41</v>
      </c>
      <c r="I87">
        <v>141</v>
      </c>
      <c r="J87" s="4">
        <f t="shared" si="5"/>
        <v>2.9455382255177742E-2</v>
      </c>
      <c r="K87" t="s">
        <v>43</v>
      </c>
    </row>
    <row r="88" spans="1:11" x14ac:dyDescent="0.35">
      <c r="A88" t="s">
        <v>60</v>
      </c>
      <c r="B88" t="s">
        <v>54</v>
      </c>
      <c r="C88">
        <v>2021</v>
      </c>
      <c r="D88" s="3">
        <v>239.56</v>
      </c>
      <c r="E88" t="s">
        <v>61</v>
      </c>
      <c r="F88" t="s">
        <v>39</v>
      </c>
      <c r="G88" t="s">
        <v>59</v>
      </c>
      <c r="H88" t="s">
        <v>41</v>
      </c>
      <c r="I88">
        <v>142</v>
      </c>
      <c r="J88" s="4">
        <f t="shared" si="5"/>
        <v>0.19000546420942821</v>
      </c>
      <c r="K88" t="s">
        <v>43</v>
      </c>
    </row>
    <row r="89" spans="1:11" x14ac:dyDescent="0.35">
      <c r="A89" t="s">
        <v>60</v>
      </c>
      <c r="B89" t="s">
        <v>54</v>
      </c>
      <c r="C89">
        <v>2022</v>
      </c>
      <c r="D89" s="3">
        <v>262.95</v>
      </c>
      <c r="E89" t="s">
        <v>61</v>
      </c>
      <c r="F89" t="s">
        <v>39</v>
      </c>
      <c r="G89" t="s">
        <v>59</v>
      </c>
      <c r="H89" t="s">
        <v>41</v>
      </c>
      <c r="I89">
        <v>143</v>
      </c>
      <c r="J89" s="4">
        <f t="shared" si="5"/>
        <v>9.7637335114376222E-2</v>
      </c>
      <c r="K89" t="s">
        <v>43</v>
      </c>
    </row>
    <row r="90" spans="1:11" x14ac:dyDescent="0.35">
      <c r="A90" t="s">
        <v>60</v>
      </c>
      <c r="B90" t="s">
        <v>54</v>
      </c>
      <c r="C90">
        <v>2023</v>
      </c>
      <c r="D90" s="3">
        <v>282.10000000000002</v>
      </c>
      <c r="E90" t="s">
        <v>61</v>
      </c>
      <c r="F90" t="s">
        <v>39</v>
      </c>
      <c r="G90" t="s">
        <v>59</v>
      </c>
      <c r="H90" t="s">
        <v>41</v>
      </c>
      <c r="I90">
        <v>144</v>
      </c>
      <c r="J90" s="4">
        <f t="shared" si="5"/>
        <v>7.2827533751663953E-2</v>
      </c>
      <c r="K90" t="s">
        <v>43</v>
      </c>
    </row>
    <row r="91" spans="1:11" x14ac:dyDescent="0.35">
      <c r="A91" t="s">
        <v>60</v>
      </c>
      <c r="B91" t="s">
        <v>54</v>
      </c>
      <c r="C91">
        <v>2024</v>
      </c>
      <c r="D91" s="3">
        <v>310.68</v>
      </c>
      <c r="E91" t="s">
        <v>61</v>
      </c>
      <c r="F91" t="s">
        <v>39</v>
      </c>
      <c r="G91" t="s">
        <v>62</v>
      </c>
      <c r="H91" t="s">
        <v>41</v>
      </c>
      <c r="I91">
        <v>145</v>
      </c>
      <c r="J91" s="4">
        <f t="shared" si="5"/>
        <v>0.10131159163417225</v>
      </c>
      <c r="K91" t="s">
        <v>43</v>
      </c>
    </row>
    <row r="92" spans="1:11" x14ac:dyDescent="0.35">
      <c r="A92" t="s">
        <v>60</v>
      </c>
      <c r="B92" t="s">
        <v>54</v>
      </c>
      <c r="C92">
        <v>2025</v>
      </c>
      <c r="D92" s="3">
        <v>339.98</v>
      </c>
      <c r="E92" t="s">
        <v>61</v>
      </c>
      <c r="F92" t="s">
        <v>39</v>
      </c>
      <c r="G92" t="s">
        <v>62</v>
      </c>
      <c r="H92" t="s">
        <v>41</v>
      </c>
      <c r="I92">
        <v>146</v>
      </c>
      <c r="J92" s="4">
        <f t="shared" si="5"/>
        <v>9.4309257113428746E-2</v>
      </c>
      <c r="K92" t="s">
        <v>43</v>
      </c>
    </row>
    <row r="93" spans="1:11" x14ac:dyDescent="0.35">
      <c r="A93" t="s">
        <v>60</v>
      </c>
      <c r="B93" t="s">
        <v>54</v>
      </c>
      <c r="C93">
        <v>2026</v>
      </c>
      <c r="D93" s="3">
        <v>364.88</v>
      </c>
      <c r="E93" t="s">
        <v>61</v>
      </c>
      <c r="F93" t="s">
        <v>44</v>
      </c>
      <c r="G93" t="s">
        <v>40</v>
      </c>
      <c r="H93" t="s">
        <v>56</v>
      </c>
      <c r="I93">
        <v>57</v>
      </c>
      <c r="J93" s="4">
        <f t="shared" si="5"/>
        <v>7.3239602329548736E-2</v>
      </c>
      <c r="K93" t="s">
        <v>43</v>
      </c>
    </row>
    <row r="94" spans="1:11" x14ac:dyDescent="0.35">
      <c r="A94" t="s">
        <v>60</v>
      </c>
      <c r="B94" t="s">
        <v>54</v>
      </c>
      <c r="C94">
        <v>2027</v>
      </c>
      <c r="D94" s="3">
        <v>392.69</v>
      </c>
      <c r="E94" t="s">
        <v>61</v>
      </c>
      <c r="F94" t="s">
        <v>44</v>
      </c>
      <c r="G94" t="s">
        <v>40</v>
      </c>
      <c r="H94" t="s">
        <v>56</v>
      </c>
      <c r="I94">
        <v>58</v>
      </c>
      <c r="J94" s="4">
        <f t="shared" si="5"/>
        <v>7.6216838412628718E-2</v>
      </c>
      <c r="K94" t="s">
        <v>43</v>
      </c>
    </row>
    <row r="95" spans="1:11" x14ac:dyDescent="0.35">
      <c r="A95" t="s">
        <v>60</v>
      </c>
      <c r="B95" t="s">
        <v>54</v>
      </c>
      <c r="C95">
        <v>2028</v>
      </c>
      <c r="D95" s="3">
        <v>416</v>
      </c>
      <c r="E95" t="s">
        <v>61</v>
      </c>
      <c r="F95" t="s">
        <v>44</v>
      </c>
      <c r="G95" t="s">
        <v>40</v>
      </c>
      <c r="H95" t="s">
        <v>56</v>
      </c>
      <c r="I95">
        <v>59</v>
      </c>
      <c r="J95" s="4">
        <f t="shared" si="5"/>
        <v>5.9359800351422187E-2</v>
      </c>
      <c r="K95" t="s">
        <v>43</v>
      </c>
    </row>
    <row r="96" spans="1:11" x14ac:dyDescent="0.35">
      <c r="A96" t="s">
        <v>60</v>
      </c>
      <c r="B96" t="s">
        <v>54</v>
      </c>
      <c r="C96">
        <v>2029</v>
      </c>
      <c r="D96" s="3">
        <v>449.07</v>
      </c>
      <c r="E96" t="s">
        <v>61</v>
      </c>
      <c r="F96" t="s">
        <v>44</v>
      </c>
      <c r="G96" t="s">
        <v>40</v>
      </c>
      <c r="H96" t="s">
        <v>56</v>
      </c>
      <c r="I96">
        <v>60</v>
      </c>
      <c r="J96" s="4">
        <f t="shared" si="5"/>
        <v>7.9495192307692308E-2</v>
      </c>
      <c r="K96" t="s">
        <v>43</v>
      </c>
    </row>
    <row r="97" spans="1:11" x14ac:dyDescent="0.35">
      <c r="A97" t="s">
        <v>60</v>
      </c>
      <c r="B97" t="s">
        <v>54</v>
      </c>
      <c r="C97">
        <v>2030</v>
      </c>
      <c r="D97" s="3">
        <v>485.25</v>
      </c>
      <c r="E97" t="s">
        <v>61</v>
      </c>
      <c r="F97" t="s">
        <v>44</v>
      </c>
      <c r="G97" t="s">
        <v>40</v>
      </c>
      <c r="H97" t="s">
        <v>56</v>
      </c>
      <c r="I97">
        <v>61</v>
      </c>
      <c r="J97" s="4">
        <f t="shared" si="5"/>
        <v>8.0566504108490866E-2</v>
      </c>
      <c r="K97" t="s">
        <v>43</v>
      </c>
    </row>
    <row r="98" spans="1:11" x14ac:dyDescent="0.35">
      <c r="A98" t="s">
        <v>63</v>
      </c>
      <c r="B98" t="s">
        <v>54</v>
      </c>
      <c r="C98">
        <v>2015</v>
      </c>
      <c r="D98" s="3">
        <v>804.69</v>
      </c>
      <c r="E98" t="s">
        <v>64</v>
      </c>
      <c r="F98" t="s">
        <v>39</v>
      </c>
      <c r="G98" t="s">
        <v>40</v>
      </c>
      <c r="H98" t="s">
        <v>41</v>
      </c>
      <c r="I98">
        <v>158</v>
      </c>
      <c r="K98" t="s">
        <v>42</v>
      </c>
    </row>
    <row r="99" spans="1:11" x14ac:dyDescent="0.35">
      <c r="A99" t="s">
        <v>63</v>
      </c>
      <c r="B99" t="s">
        <v>54</v>
      </c>
      <c r="C99">
        <v>2016</v>
      </c>
      <c r="D99" s="3">
        <v>863.78</v>
      </c>
      <c r="E99" t="s">
        <v>64</v>
      </c>
      <c r="F99" t="s">
        <v>39</v>
      </c>
      <c r="G99" t="s">
        <v>40</v>
      </c>
      <c r="H99" t="s">
        <v>41</v>
      </c>
      <c r="I99">
        <v>159</v>
      </c>
      <c r="J99" s="4">
        <f t="shared" ref="J99:J113" si="6">IF(D98=0,"",D99/D98-1)</f>
        <v>7.343200487144097E-2</v>
      </c>
      <c r="K99" t="s">
        <v>43</v>
      </c>
    </row>
    <row r="100" spans="1:11" x14ac:dyDescent="0.35">
      <c r="A100" t="s">
        <v>63</v>
      </c>
      <c r="B100" t="s">
        <v>54</v>
      </c>
      <c r="C100">
        <v>2017</v>
      </c>
      <c r="D100" s="3">
        <v>920.47</v>
      </c>
      <c r="E100" t="s">
        <v>64</v>
      </c>
      <c r="F100" t="s">
        <v>39</v>
      </c>
      <c r="G100" t="s">
        <v>40</v>
      </c>
      <c r="H100" t="s">
        <v>41</v>
      </c>
      <c r="I100">
        <v>160</v>
      </c>
      <c r="J100" s="4">
        <f t="shared" si="6"/>
        <v>6.5630137303480218E-2</v>
      </c>
      <c r="K100" t="s">
        <v>43</v>
      </c>
    </row>
    <row r="101" spans="1:11" x14ac:dyDescent="0.35">
      <c r="A101" t="s">
        <v>63</v>
      </c>
      <c r="B101" t="s">
        <v>54</v>
      </c>
      <c r="C101">
        <v>2018</v>
      </c>
      <c r="D101" s="3">
        <v>987.79</v>
      </c>
      <c r="E101" t="s">
        <v>64</v>
      </c>
      <c r="F101" t="s">
        <v>39</v>
      </c>
      <c r="G101" t="s">
        <v>40</v>
      </c>
      <c r="H101" t="s">
        <v>41</v>
      </c>
      <c r="I101">
        <v>161</v>
      </c>
      <c r="J101" s="4">
        <f t="shared" si="6"/>
        <v>7.31365498060772E-2</v>
      </c>
      <c r="K101" t="s">
        <v>43</v>
      </c>
    </row>
    <row r="102" spans="1:11" x14ac:dyDescent="0.35">
      <c r="A102" t="s">
        <v>63</v>
      </c>
      <c r="B102" t="s">
        <v>54</v>
      </c>
      <c r="C102">
        <v>2019</v>
      </c>
      <c r="D102" s="3">
        <v>1060.07</v>
      </c>
      <c r="E102" t="s">
        <v>64</v>
      </c>
      <c r="F102" t="s">
        <v>39</v>
      </c>
      <c r="G102" t="s">
        <v>40</v>
      </c>
      <c r="H102" t="s">
        <v>41</v>
      </c>
      <c r="I102">
        <v>162</v>
      </c>
      <c r="J102" s="4">
        <f t="shared" si="6"/>
        <v>7.3173447797608704E-2</v>
      </c>
      <c r="K102" t="s">
        <v>43</v>
      </c>
    </row>
    <row r="103" spans="1:11" x14ac:dyDescent="0.35">
      <c r="A103" t="s">
        <v>63</v>
      </c>
      <c r="B103" t="s">
        <v>54</v>
      </c>
      <c r="C103">
        <v>2020</v>
      </c>
      <c r="D103" s="3">
        <v>998.47</v>
      </c>
      <c r="E103" t="s">
        <v>64</v>
      </c>
      <c r="F103" t="s">
        <v>39</v>
      </c>
      <c r="G103" t="s">
        <v>62</v>
      </c>
      <c r="H103" t="s">
        <v>41</v>
      </c>
      <c r="I103">
        <v>163</v>
      </c>
      <c r="J103" s="4">
        <f t="shared" si="6"/>
        <v>-5.8109370135934313E-2</v>
      </c>
      <c r="K103" t="s">
        <v>43</v>
      </c>
    </row>
    <row r="104" spans="1:11" x14ac:dyDescent="0.35">
      <c r="A104" t="s">
        <v>63</v>
      </c>
      <c r="B104" t="s">
        <v>54</v>
      </c>
      <c r="C104">
        <v>2021</v>
      </c>
      <c r="D104" s="3">
        <v>1192.6300000000001</v>
      </c>
      <c r="E104" t="s">
        <v>64</v>
      </c>
      <c r="F104" t="s">
        <v>39</v>
      </c>
      <c r="G104" t="s">
        <v>65</v>
      </c>
      <c r="H104" t="s">
        <v>41</v>
      </c>
      <c r="I104">
        <v>164</v>
      </c>
      <c r="J104" s="4">
        <f t="shared" si="6"/>
        <v>0.19445752000560868</v>
      </c>
      <c r="K104" t="s">
        <v>43</v>
      </c>
    </row>
    <row r="105" spans="1:11" x14ac:dyDescent="0.35">
      <c r="A105" t="s">
        <v>63</v>
      </c>
      <c r="B105" t="s">
        <v>54</v>
      </c>
      <c r="C105">
        <v>2022</v>
      </c>
      <c r="D105" s="3">
        <v>1471.08</v>
      </c>
      <c r="E105" t="s">
        <v>64</v>
      </c>
      <c r="F105" t="s">
        <v>39</v>
      </c>
      <c r="G105" t="s">
        <v>65</v>
      </c>
      <c r="H105" t="s">
        <v>41</v>
      </c>
      <c r="I105">
        <v>165</v>
      </c>
      <c r="J105" s="4">
        <f t="shared" si="6"/>
        <v>0.23347559595180378</v>
      </c>
      <c r="K105" t="s">
        <v>43</v>
      </c>
    </row>
    <row r="106" spans="1:11" x14ac:dyDescent="0.35">
      <c r="A106" t="s">
        <v>63</v>
      </c>
      <c r="B106" t="s">
        <v>54</v>
      </c>
      <c r="C106">
        <v>2023</v>
      </c>
      <c r="D106" s="3">
        <v>1587.2</v>
      </c>
      <c r="E106" t="s">
        <v>64</v>
      </c>
      <c r="F106" t="s">
        <v>39</v>
      </c>
      <c r="G106" t="s">
        <v>62</v>
      </c>
      <c r="H106" t="s">
        <v>41</v>
      </c>
      <c r="I106">
        <v>166</v>
      </c>
      <c r="J106" s="4">
        <f t="shared" si="6"/>
        <v>7.8935204067759779E-2</v>
      </c>
      <c r="K106" t="s">
        <v>43</v>
      </c>
    </row>
    <row r="107" spans="1:11" x14ac:dyDescent="0.35">
      <c r="A107" t="s">
        <v>63</v>
      </c>
      <c r="B107" t="s">
        <v>54</v>
      </c>
      <c r="C107">
        <v>2024</v>
      </c>
      <c r="D107" s="3">
        <v>1713.32</v>
      </c>
      <c r="E107" t="s">
        <v>64</v>
      </c>
      <c r="F107" t="s">
        <v>39</v>
      </c>
      <c r="G107" t="s">
        <v>62</v>
      </c>
      <c r="H107" t="s">
        <v>41</v>
      </c>
      <c r="I107">
        <v>167</v>
      </c>
      <c r="J107" s="4">
        <f t="shared" si="6"/>
        <v>7.9460685483870863E-2</v>
      </c>
      <c r="K107" t="s">
        <v>43</v>
      </c>
    </row>
    <row r="108" spans="1:11" x14ac:dyDescent="0.35">
      <c r="A108" t="s">
        <v>63</v>
      </c>
      <c r="B108" t="s">
        <v>54</v>
      </c>
      <c r="C108">
        <v>2025</v>
      </c>
      <c r="D108" s="3">
        <v>1852.67</v>
      </c>
      <c r="E108" t="s">
        <v>64</v>
      </c>
      <c r="F108" t="s">
        <v>39</v>
      </c>
      <c r="G108" t="s">
        <v>62</v>
      </c>
      <c r="H108" t="s">
        <v>41</v>
      </c>
      <c r="I108">
        <v>168</v>
      </c>
      <c r="J108" s="4">
        <f t="shared" si="6"/>
        <v>8.1333317769009872E-2</v>
      </c>
      <c r="K108" t="s">
        <v>43</v>
      </c>
    </row>
    <row r="109" spans="1:11" x14ac:dyDescent="0.35">
      <c r="A109" t="s">
        <v>63</v>
      </c>
      <c r="B109" t="s">
        <v>54</v>
      </c>
      <c r="C109">
        <v>2026</v>
      </c>
      <c r="D109" s="3">
        <v>2020.92</v>
      </c>
      <c r="E109" t="s">
        <v>64</v>
      </c>
      <c r="F109" t="s">
        <v>44</v>
      </c>
      <c r="G109" t="s">
        <v>40</v>
      </c>
      <c r="H109" t="s">
        <v>56</v>
      </c>
      <c r="I109">
        <v>72</v>
      </c>
      <c r="J109" s="4">
        <f t="shared" si="6"/>
        <v>9.0814877986905351E-2</v>
      </c>
      <c r="K109" t="s">
        <v>43</v>
      </c>
    </row>
    <row r="110" spans="1:11" x14ac:dyDescent="0.35">
      <c r="A110" t="s">
        <v>63</v>
      </c>
      <c r="B110" t="s">
        <v>54</v>
      </c>
      <c r="C110">
        <v>2027</v>
      </c>
      <c r="D110" s="3">
        <v>2191.5</v>
      </c>
      <c r="E110" t="s">
        <v>64</v>
      </c>
      <c r="F110" t="s">
        <v>44</v>
      </c>
      <c r="G110" t="s">
        <v>40</v>
      </c>
      <c r="H110" t="s">
        <v>56</v>
      </c>
      <c r="I110">
        <v>73</v>
      </c>
      <c r="J110" s="4">
        <f t="shared" si="6"/>
        <v>8.4407101716050148E-2</v>
      </c>
      <c r="K110" t="s">
        <v>43</v>
      </c>
    </row>
    <row r="111" spans="1:11" x14ac:dyDescent="0.35">
      <c r="A111" t="s">
        <v>63</v>
      </c>
      <c r="B111" t="s">
        <v>54</v>
      </c>
      <c r="C111">
        <v>2028</v>
      </c>
      <c r="D111" s="3">
        <v>2347.91</v>
      </c>
      <c r="E111" t="s">
        <v>64</v>
      </c>
      <c r="F111" t="s">
        <v>44</v>
      </c>
      <c r="G111" t="s">
        <v>40</v>
      </c>
      <c r="H111" t="s">
        <v>56</v>
      </c>
      <c r="I111">
        <v>74</v>
      </c>
      <c r="J111" s="4">
        <f t="shared" si="6"/>
        <v>7.1371206935888498E-2</v>
      </c>
      <c r="K111" t="s">
        <v>43</v>
      </c>
    </row>
    <row r="112" spans="1:11" x14ac:dyDescent="0.35">
      <c r="A112" t="s">
        <v>63</v>
      </c>
      <c r="B112" t="s">
        <v>54</v>
      </c>
      <c r="C112">
        <v>2029</v>
      </c>
      <c r="D112" s="3">
        <v>2508.19</v>
      </c>
      <c r="E112" t="s">
        <v>64</v>
      </c>
      <c r="F112" t="s">
        <v>44</v>
      </c>
      <c r="G112" t="s">
        <v>40</v>
      </c>
      <c r="H112" t="s">
        <v>56</v>
      </c>
      <c r="I112">
        <v>75</v>
      </c>
      <c r="J112" s="4">
        <f t="shared" si="6"/>
        <v>6.8264967566900037E-2</v>
      </c>
      <c r="K112" t="s">
        <v>43</v>
      </c>
    </row>
    <row r="113" spans="1:11" x14ac:dyDescent="0.35">
      <c r="A113" t="s">
        <v>63</v>
      </c>
      <c r="B113" t="s">
        <v>54</v>
      </c>
      <c r="C113">
        <v>2030</v>
      </c>
      <c r="D113" s="3">
        <v>2684.83</v>
      </c>
      <c r="E113" t="s">
        <v>64</v>
      </c>
      <c r="F113" t="s">
        <v>44</v>
      </c>
      <c r="G113" t="s">
        <v>40</v>
      </c>
      <c r="H113" t="s">
        <v>56</v>
      </c>
      <c r="I113">
        <v>76</v>
      </c>
      <c r="J113" s="4">
        <f t="shared" si="6"/>
        <v>7.0425286760572359E-2</v>
      </c>
      <c r="K113" t="s">
        <v>43</v>
      </c>
    </row>
    <row r="114" spans="1:11" x14ac:dyDescent="0.35">
      <c r="A114" t="s">
        <v>66</v>
      </c>
      <c r="B114" t="s">
        <v>54</v>
      </c>
      <c r="C114">
        <v>2015</v>
      </c>
      <c r="D114" s="3">
        <v>30171.919999999998</v>
      </c>
      <c r="E114" t="s">
        <v>67</v>
      </c>
      <c r="F114" t="s">
        <v>39</v>
      </c>
      <c r="G114" t="s">
        <v>68</v>
      </c>
      <c r="H114" t="s">
        <v>41</v>
      </c>
      <c r="I114">
        <v>180</v>
      </c>
      <c r="K114" t="s">
        <v>42</v>
      </c>
    </row>
    <row r="115" spans="1:11" x14ac:dyDescent="0.35">
      <c r="A115" t="s">
        <v>66</v>
      </c>
      <c r="B115" t="s">
        <v>54</v>
      </c>
      <c r="C115">
        <v>2016</v>
      </c>
      <c r="D115" s="3">
        <v>32056.29</v>
      </c>
      <c r="E115" t="s">
        <v>67</v>
      </c>
      <c r="F115" t="s">
        <v>39</v>
      </c>
      <c r="G115" t="s">
        <v>68</v>
      </c>
      <c r="H115" t="s">
        <v>41</v>
      </c>
      <c r="I115">
        <v>181</v>
      </c>
      <c r="J115" s="4">
        <f t="shared" ref="J115:J129" si="7">IF(D114=0,"",D115/D114-1)</f>
        <v>6.2454427825607395E-2</v>
      </c>
      <c r="K115" t="s">
        <v>43</v>
      </c>
    </row>
    <row r="116" spans="1:11" x14ac:dyDescent="0.35">
      <c r="A116" t="s">
        <v>66</v>
      </c>
      <c r="B116" t="s">
        <v>54</v>
      </c>
      <c r="C116">
        <v>2017</v>
      </c>
      <c r="D116" s="3">
        <v>34343.65</v>
      </c>
      <c r="E116" t="s">
        <v>67</v>
      </c>
      <c r="F116" t="s">
        <v>39</v>
      </c>
      <c r="G116" t="s">
        <v>68</v>
      </c>
      <c r="H116" t="s">
        <v>41</v>
      </c>
      <c r="I116">
        <v>182</v>
      </c>
      <c r="J116" s="4">
        <f t="shared" si="7"/>
        <v>7.1354483004739455E-2</v>
      </c>
      <c r="K116" t="s">
        <v>43</v>
      </c>
    </row>
    <row r="117" spans="1:11" x14ac:dyDescent="0.35">
      <c r="A117" t="s">
        <v>66</v>
      </c>
      <c r="B117" t="s">
        <v>54</v>
      </c>
      <c r="C117">
        <v>2018</v>
      </c>
      <c r="D117" s="3">
        <v>36099.879999999997</v>
      </c>
      <c r="E117" t="s">
        <v>67</v>
      </c>
      <c r="F117" t="s">
        <v>39</v>
      </c>
      <c r="G117" t="s">
        <v>68</v>
      </c>
      <c r="H117" t="s">
        <v>41</v>
      </c>
      <c r="I117">
        <v>183</v>
      </c>
      <c r="J117" s="4">
        <f t="shared" si="7"/>
        <v>5.1136964184063105E-2</v>
      </c>
      <c r="K117" t="s">
        <v>43</v>
      </c>
    </row>
    <row r="118" spans="1:11" x14ac:dyDescent="0.35">
      <c r="A118" t="s">
        <v>66</v>
      </c>
      <c r="B118" t="s">
        <v>54</v>
      </c>
      <c r="C118">
        <v>2019</v>
      </c>
      <c r="D118" s="3">
        <v>38029.379999999997</v>
      </c>
      <c r="E118" t="s">
        <v>67</v>
      </c>
      <c r="F118" t="s">
        <v>39</v>
      </c>
      <c r="G118" t="s">
        <v>68</v>
      </c>
      <c r="H118" t="s">
        <v>41</v>
      </c>
      <c r="I118">
        <v>184</v>
      </c>
      <c r="J118" s="4">
        <f t="shared" si="7"/>
        <v>5.3448931132181077E-2</v>
      </c>
      <c r="K118" t="s">
        <v>43</v>
      </c>
    </row>
    <row r="119" spans="1:11" x14ac:dyDescent="0.35">
      <c r="A119" t="s">
        <v>66</v>
      </c>
      <c r="B119" t="s">
        <v>54</v>
      </c>
      <c r="C119">
        <v>2020</v>
      </c>
      <c r="D119" s="3">
        <v>36735.629999999997</v>
      </c>
      <c r="E119" t="s">
        <v>67</v>
      </c>
      <c r="F119" t="s">
        <v>39</v>
      </c>
      <c r="G119" t="s">
        <v>68</v>
      </c>
      <c r="H119" t="s">
        <v>41</v>
      </c>
      <c r="I119">
        <v>185</v>
      </c>
      <c r="J119" s="4">
        <f t="shared" si="7"/>
        <v>-3.4019749993294712E-2</v>
      </c>
      <c r="K119" t="s">
        <v>43</v>
      </c>
    </row>
    <row r="120" spans="1:11" x14ac:dyDescent="0.35">
      <c r="A120" t="s">
        <v>66</v>
      </c>
      <c r="B120" t="s">
        <v>54</v>
      </c>
      <c r="C120">
        <v>2021</v>
      </c>
      <c r="D120" s="3">
        <v>40716.61</v>
      </c>
      <c r="E120" t="s">
        <v>67</v>
      </c>
      <c r="F120" t="s">
        <v>39</v>
      </c>
      <c r="G120" t="s">
        <v>68</v>
      </c>
      <c r="H120" t="s">
        <v>41</v>
      </c>
      <c r="I120">
        <v>186</v>
      </c>
      <c r="J120" s="4">
        <f t="shared" si="7"/>
        <v>0.10836836063516553</v>
      </c>
      <c r="K120" t="s">
        <v>43</v>
      </c>
    </row>
    <row r="121" spans="1:11" x14ac:dyDescent="0.35">
      <c r="A121" t="s">
        <v>66</v>
      </c>
      <c r="B121" t="s">
        <v>54</v>
      </c>
      <c r="C121">
        <v>2022</v>
      </c>
      <c r="D121" s="3">
        <v>45947.44</v>
      </c>
      <c r="E121" t="s">
        <v>67</v>
      </c>
      <c r="F121" t="s">
        <v>39</v>
      </c>
      <c r="G121" t="s">
        <v>68</v>
      </c>
      <c r="H121" t="s">
        <v>41</v>
      </c>
      <c r="I121">
        <v>187</v>
      </c>
      <c r="J121" s="4">
        <f t="shared" si="7"/>
        <v>0.1284691923026009</v>
      </c>
      <c r="K121" t="s">
        <v>43</v>
      </c>
    </row>
    <row r="122" spans="1:11" x14ac:dyDescent="0.35">
      <c r="A122" t="s">
        <v>66</v>
      </c>
      <c r="B122" t="s">
        <v>54</v>
      </c>
      <c r="C122">
        <v>2023</v>
      </c>
      <c r="D122" s="3">
        <v>47611.32</v>
      </c>
      <c r="E122" t="s">
        <v>67</v>
      </c>
      <c r="F122" t="s">
        <v>39</v>
      </c>
      <c r="G122" t="s">
        <v>68</v>
      </c>
      <c r="H122" t="s">
        <v>41</v>
      </c>
      <c r="I122">
        <v>188</v>
      </c>
      <c r="J122" s="4">
        <f t="shared" si="7"/>
        <v>3.6212681272340674E-2</v>
      </c>
      <c r="K122" t="s">
        <v>43</v>
      </c>
    </row>
    <row r="123" spans="1:11" x14ac:dyDescent="0.35">
      <c r="A123" t="s">
        <v>66</v>
      </c>
      <c r="B123" t="s">
        <v>54</v>
      </c>
      <c r="C123">
        <v>2024</v>
      </c>
      <c r="D123" s="3">
        <v>49819.17</v>
      </c>
      <c r="E123" t="s">
        <v>67</v>
      </c>
      <c r="F123" t="s">
        <v>39</v>
      </c>
      <c r="G123" t="s">
        <v>59</v>
      </c>
      <c r="H123" t="s">
        <v>41</v>
      </c>
      <c r="I123">
        <v>189</v>
      </c>
      <c r="J123" s="4">
        <f t="shared" si="7"/>
        <v>4.6372375309065017E-2</v>
      </c>
      <c r="K123" t="s">
        <v>43</v>
      </c>
    </row>
    <row r="124" spans="1:11" x14ac:dyDescent="0.35">
      <c r="A124" t="s">
        <v>66</v>
      </c>
      <c r="B124" t="s">
        <v>54</v>
      </c>
      <c r="C124">
        <v>2025</v>
      </c>
      <c r="D124" s="3">
        <v>51812.3</v>
      </c>
      <c r="E124" t="s">
        <v>67</v>
      </c>
      <c r="F124" t="s">
        <v>39</v>
      </c>
      <c r="G124" t="s">
        <v>40</v>
      </c>
      <c r="H124" t="s">
        <v>41</v>
      </c>
      <c r="I124">
        <v>190</v>
      </c>
      <c r="J124" s="4">
        <f t="shared" si="7"/>
        <v>4.0007290366339099E-2</v>
      </c>
      <c r="K124" t="s">
        <v>43</v>
      </c>
    </row>
    <row r="125" spans="1:11" x14ac:dyDescent="0.35">
      <c r="A125" t="s">
        <v>66</v>
      </c>
      <c r="B125" t="s">
        <v>54</v>
      </c>
      <c r="C125">
        <v>2026</v>
      </c>
      <c r="D125" s="3">
        <v>53076.66</v>
      </c>
      <c r="E125" t="s">
        <v>67</v>
      </c>
      <c r="F125" t="s">
        <v>44</v>
      </c>
      <c r="G125" t="s">
        <v>40</v>
      </c>
      <c r="H125" t="s">
        <v>69</v>
      </c>
      <c r="I125">
        <v>27</v>
      </c>
      <c r="J125" s="4">
        <f t="shared" si="7"/>
        <v>2.4402699745041279E-2</v>
      </c>
      <c r="K125" t="s">
        <v>43</v>
      </c>
    </row>
    <row r="126" spans="1:11" x14ac:dyDescent="0.35">
      <c r="A126" t="s">
        <v>66</v>
      </c>
      <c r="B126" t="s">
        <v>54</v>
      </c>
      <c r="C126">
        <v>2027</v>
      </c>
      <c r="D126" s="3">
        <v>55718.67</v>
      </c>
      <c r="E126" t="s">
        <v>67</v>
      </c>
      <c r="F126" t="s">
        <v>44</v>
      </c>
      <c r="G126" t="s">
        <v>40</v>
      </c>
      <c r="H126" t="s">
        <v>69</v>
      </c>
      <c r="I126">
        <v>28</v>
      </c>
      <c r="J126" s="4">
        <f t="shared" si="7"/>
        <v>4.9777246722005453E-2</v>
      </c>
      <c r="K126" t="s">
        <v>43</v>
      </c>
    </row>
    <row r="127" spans="1:11" x14ac:dyDescent="0.35">
      <c r="A127" t="s">
        <v>66</v>
      </c>
      <c r="B127" t="s">
        <v>54</v>
      </c>
      <c r="C127">
        <v>2028</v>
      </c>
      <c r="D127" s="3">
        <v>58601.23</v>
      </c>
      <c r="E127" t="s">
        <v>67</v>
      </c>
      <c r="F127" t="s">
        <v>44</v>
      </c>
      <c r="G127" t="s">
        <v>40</v>
      </c>
      <c r="H127" t="s">
        <v>69</v>
      </c>
      <c r="I127">
        <v>29</v>
      </c>
      <c r="J127" s="4">
        <f t="shared" si="7"/>
        <v>5.1734185327826365E-2</v>
      </c>
      <c r="K127" t="s">
        <v>43</v>
      </c>
    </row>
    <row r="128" spans="1:11" x14ac:dyDescent="0.35">
      <c r="A128" t="s">
        <v>66</v>
      </c>
      <c r="B128" t="s">
        <v>54</v>
      </c>
      <c r="C128">
        <v>2029</v>
      </c>
      <c r="D128" s="3">
        <v>61624.71</v>
      </c>
      <c r="E128" t="s">
        <v>67</v>
      </c>
      <c r="F128" t="s">
        <v>44</v>
      </c>
      <c r="G128" t="s">
        <v>40</v>
      </c>
      <c r="H128" t="s">
        <v>69</v>
      </c>
      <c r="I128">
        <v>30</v>
      </c>
      <c r="J128" s="4">
        <f t="shared" si="7"/>
        <v>5.1594138894354158E-2</v>
      </c>
      <c r="K128" t="s">
        <v>43</v>
      </c>
    </row>
    <row r="129" spans="1:11" x14ac:dyDescent="0.35">
      <c r="A129" t="s">
        <v>66</v>
      </c>
      <c r="B129" t="s">
        <v>54</v>
      </c>
      <c r="C129">
        <v>2030</v>
      </c>
      <c r="D129" s="3">
        <v>64830.09</v>
      </c>
      <c r="E129" t="s">
        <v>67</v>
      </c>
      <c r="F129" t="s">
        <v>44</v>
      </c>
      <c r="G129" t="s">
        <v>40</v>
      </c>
      <c r="H129" t="s">
        <v>69</v>
      </c>
      <c r="I129">
        <v>31</v>
      </c>
      <c r="J129" s="4">
        <f t="shared" si="7"/>
        <v>5.2014524693097863E-2</v>
      </c>
      <c r="K129" t="s">
        <v>43</v>
      </c>
    </row>
    <row r="130" spans="1:11" x14ac:dyDescent="0.35">
      <c r="A130" t="s">
        <v>70</v>
      </c>
      <c r="B130" t="s">
        <v>54</v>
      </c>
      <c r="C130">
        <v>2015</v>
      </c>
      <c r="D130" s="3">
        <v>97.21</v>
      </c>
      <c r="E130" t="s">
        <v>48</v>
      </c>
      <c r="F130" t="s">
        <v>39</v>
      </c>
      <c r="G130" t="s">
        <v>59</v>
      </c>
      <c r="H130" t="s">
        <v>41</v>
      </c>
      <c r="I130">
        <v>202</v>
      </c>
      <c r="K130" t="s">
        <v>42</v>
      </c>
    </row>
    <row r="131" spans="1:11" x14ac:dyDescent="0.35">
      <c r="A131" t="s">
        <v>70</v>
      </c>
      <c r="B131" t="s">
        <v>54</v>
      </c>
      <c r="C131">
        <v>2016</v>
      </c>
      <c r="D131" s="3">
        <v>97.67</v>
      </c>
      <c r="E131" t="s">
        <v>48</v>
      </c>
      <c r="F131" t="s">
        <v>39</v>
      </c>
      <c r="G131" t="s">
        <v>59</v>
      </c>
      <c r="H131" t="s">
        <v>41</v>
      </c>
      <c r="I131">
        <v>203</v>
      </c>
      <c r="J131" s="4">
        <f t="shared" ref="J131:J145" si="8">IF(D130=0,"",D131/D130-1)</f>
        <v>4.7320234543772877E-3</v>
      </c>
      <c r="K131" t="s">
        <v>43</v>
      </c>
    </row>
    <row r="132" spans="1:11" x14ac:dyDescent="0.35">
      <c r="A132" t="s">
        <v>70</v>
      </c>
      <c r="B132" t="s">
        <v>54</v>
      </c>
      <c r="C132">
        <v>2017</v>
      </c>
      <c r="D132" s="3">
        <v>104.47</v>
      </c>
      <c r="E132" t="s">
        <v>48</v>
      </c>
      <c r="F132" t="s">
        <v>39</v>
      </c>
      <c r="G132" t="s">
        <v>59</v>
      </c>
      <c r="H132" t="s">
        <v>41</v>
      </c>
      <c r="I132">
        <v>204</v>
      </c>
      <c r="J132" s="4">
        <f t="shared" si="8"/>
        <v>6.9622197194634916E-2</v>
      </c>
      <c r="K132" t="s">
        <v>43</v>
      </c>
    </row>
    <row r="133" spans="1:11" x14ac:dyDescent="0.35">
      <c r="A133" t="s">
        <v>70</v>
      </c>
      <c r="B133" t="s">
        <v>54</v>
      </c>
      <c r="C133">
        <v>2018</v>
      </c>
      <c r="D133" s="3">
        <v>107.48</v>
      </c>
      <c r="E133" t="s">
        <v>48</v>
      </c>
      <c r="F133" t="s">
        <v>39</v>
      </c>
      <c r="G133" t="s">
        <v>59</v>
      </c>
      <c r="H133" t="s">
        <v>41</v>
      </c>
      <c r="I133">
        <v>205</v>
      </c>
      <c r="J133" s="4">
        <f t="shared" si="8"/>
        <v>2.8812099167225158E-2</v>
      </c>
      <c r="K133" t="s">
        <v>43</v>
      </c>
    </row>
    <row r="134" spans="1:11" x14ac:dyDescent="0.35">
      <c r="A134" t="s">
        <v>70</v>
      </c>
      <c r="B134" t="s">
        <v>54</v>
      </c>
      <c r="C134">
        <v>2019</v>
      </c>
      <c r="D134" s="3">
        <v>107.6</v>
      </c>
      <c r="E134" t="s">
        <v>48</v>
      </c>
      <c r="F134" t="s">
        <v>39</v>
      </c>
      <c r="G134" t="s">
        <v>59</v>
      </c>
      <c r="H134" t="s">
        <v>41</v>
      </c>
      <c r="I134">
        <v>206</v>
      </c>
      <c r="J134" s="4">
        <f t="shared" si="8"/>
        <v>1.1164867882396123E-3</v>
      </c>
      <c r="K134" t="s">
        <v>43</v>
      </c>
    </row>
    <row r="135" spans="1:11" x14ac:dyDescent="0.35">
      <c r="A135" t="s">
        <v>70</v>
      </c>
      <c r="B135" t="s">
        <v>54</v>
      </c>
      <c r="C135">
        <v>2020</v>
      </c>
      <c r="D135" s="3">
        <v>95.87</v>
      </c>
      <c r="E135" t="s">
        <v>48</v>
      </c>
      <c r="F135" t="s">
        <v>39</v>
      </c>
      <c r="G135" t="s">
        <v>59</v>
      </c>
      <c r="H135" t="s">
        <v>41</v>
      </c>
      <c r="I135">
        <v>207</v>
      </c>
      <c r="J135" s="4">
        <f t="shared" si="8"/>
        <v>-0.10901486988847575</v>
      </c>
      <c r="K135" t="s">
        <v>43</v>
      </c>
    </row>
    <row r="136" spans="1:11" x14ac:dyDescent="0.35">
      <c r="A136" t="s">
        <v>70</v>
      </c>
      <c r="B136" t="s">
        <v>54</v>
      </c>
      <c r="C136">
        <v>2021</v>
      </c>
      <c r="D136" s="3">
        <v>107.18</v>
      </c>
      <c r="E136" t="s">
        <v>48</v>
      </c>
      <c r="F136" t="s">
        <v>39</v>
      </c>
      <c r="G136" t="s">
        <v>59</v>
      </c>
      <c r="H136" t="s">
        <v>41</v>
      </c>
      <c r="I136">
        <v>208</v>
      </c>
      <c r="J136" s="4">
        <f t="shared" si="8"/>
        <v>0.11797225409408574</v>
      </c>
      <c r="K136" t="s">
        <v>43</v>
      </c>
    </row>
    <row r="137" spans="1:11" x14ac:dyDescent="0.35">
      <c r="A137" t="s">
        <v>70</v>
      </c>
      <c r="B137" t="s">
        <v>54</v>
      </c>
      <c r="C137">
        <v>2022</v>
      </c>
      <c r="D137" s="3">
        <v>116.13</v>
      </c>
      <c r="E137" t="s">
        <v>48</v>
      </c>
      <c r="F137" t="s">
        <v>39</v>
      </c>
      <c r="G137" t="s">
        <v>59</v>
      </c>
      <c r="H137" t="s">
        <v>41</v>
      </c>
      <c r="I137">
        <v>209</v>
      </c>
      <c r="J137" s="4">
        <f t="shared" si="8"/>
        <v>8.3504385146482507E-2</v>
      </c>
      <c r="K137" t="s">
        <v>43</v>
      </c>
    </row>
    <row r="138" spans="1:11" x14ac:dyDescent="0.35">
      <c r="A138" t="s">
        <v>70</v>
      </c>
      <c r="B138" t="s">
        <v>54</v>
      </c>
      <c r="C138">
        <v>2023</v>
      </c>
      <c r="D138" s="3">
        <v>120.79</v>
      </c>
      <c r="E138" t="s">
        <v>48</v>
      </c>
      <c r="F138" t="s">
        <v>39</v>
      </c>
      <c r="G138" t="s">
        <v>59</v>
      </c>
      <c r="H138" t="s">
        <v>41</v>
      </c>
      <c r="I138">
        <v>210</v>
      </c>
      <c r="J138" s="4">
        <f t="shared" si="8"/>
        <v>4.0127443382416361E-2</v>
      </c>
      <c r="K138" t="s">
        <v>43</v>
      </c>
    </row>
    <row r="139" spans="1:11" x14ac:dyDescent="0.35">
      <c r="A139" t="s">
        <v>70</v>
      </c>
      <c r="B139" t="s">
        <v>54</v>
      </c>
      <c r="C139">
        <v>2024</v>
      </c>
      <c r="D139" s="3">
        <v>123.8</v>
      </c>
      <c r="E139" t="s">
        <v>48</v>
      </c>
      <c r="F139" t="s">
        <v>39</v>
      </c>
      <c r="G139" t="s">
        <v>59</v>
      </c>
      <c r="H139" t="s">
        <v>41</v>
      </c>
      <c r="I139">
        <v>211</v>
      </c>
      <c r="J139" s="4">
        <f t="shared" si="8"/>
        <v>2.4919281397466575E-2</v>
      </c>
      <c r="K139" t="s">
        <v>43</v>
      </c>
    </row>
    <row r="140" spans="1:11" x14ac:dyDescent="0.35">
      <c r="A140" t="s">
        <v>70</v>
      </c>
      <c r="B140" t="s">
        <v>54</v>
      </c>
      <c r="C140">
        <v>2025</v>
      </c>
      <c r="D140" s="3">
        <v>130.32</v>
      </c>
      <c r="E140" t="s">
        <v>48</v>
      </c>
      <c r="F140" t="s">
        <v>39</v>
      </c>
      <c r="G140" t="s">
        <v>59</v>
      </c>
      <c r="H140" t="s">
        <v>41</v>
      </c>
      <c r="I140">
        <v>212</v>
      </c>
      <c r="J140" s="4">
        <f t="shared" si="8"/>
        <v>5.2665589660743084E-2</v>
      </c>
      <c r="K140" t="s">
        <v>43</v>
      </c>
    </row>
    <row r="141" spans="1:11" x14ac:dyDescent="0.35">
      <c r="A141" t="s">
        <v>70</v>
      </c>
      <c r="B141" t="s">
        <v>54</v>
      </c>
      <c r="C141">
        <v>2026</v>
      </c>
      <c r="D141" s="3">
        <v>137.63999999999999</v>
      </c>
      <c r="E141" t="s">
        <v>48</v>
      </c>
      <c r="F141" t="s">
        <v>44</v>
      </c>
      <c r="G141" t="s">
        <v>40</v>
      </c>
      <c r="H141" t="s">
        <v>69</v>
      </c>
      <c r="I141">
        <v>42</v>
      </c>
      <c r="J141" s="4">
        <f t="shared" si="8"/>
        <v>5.6169429097605805E-2</v>
      </c>
      <c r="K141" t="s">
        <v>43</v>
      </c>
    </row>
    <row r="142" spans="1:11" x14ac:dyDescent="0.35">
      <c r="A142" t="s">
        <v>70</v>
      </c>
      <c r="B142" t="s">
        <v>54</v>
      </c>
      <c r="C142">
        <v>2027</v>
      </c>
      <c r="D142" s="3">
        <v>144.97999999999999</v>
      </c>
      <c r="E142" t="s">
        <v>48</v>
      </c>
      <c r="F142" t="s">
        <v>44</v>
      </c>
      <c r="G142" t="s">
        <v>40</v>
      </c>
      <c r="H142" t="s">
        <v>69</v>
      </c>
      <c r="I142">
        <v>43</v>
      </c>
      <c r="J142" s="4">
        <f t="shared" si="8"/>
        <v>5.3327521069456596E-2</v>
      </c>
      <c r="K142" t="s">
        <v>43</v>
      </c>
    </row>
    <row r="143" spans="1:11" x14ac:dyDescent="0.35">
      <c r="A143" t="s">
        <v>70</v>
      </c>
      <c r="B143" t="s">
        <v>54</v>
      </c>
      <c r="C143">
        <v>2028</v>
      </c>
      <c r="D143" s="3">
        <v>151.63</v>
      </c>
      <c r="E143" t="s">
        <v>48</v>
      </c>
      <c r="F143" t="s">
        <v>44</v>
      </c>
      <c r="G143" t="s">
        <v>40</v>
      </c>
      <c r="H143" t="s">
        <v>69</v>
      </c>
      <c r="I143">
        <v>44</v>
      </c>
      <c r="J143" s="4">
        <f t="shared" si="8"/>
        <v>4.5868395640778159E-2</v>
      </c>
      <c r="K143" t="s">
        <v>43</v>
      </c>
    </row>
    <row r="144" spans="1:11" x14ac:dyDescent="0.35">
      <c r="A144" t="s">
        <v>70</v>
      </c>
      <c r="B144" t="s">
        <v>54</v>
      </c>
      <c r="C144">
        <v>2029</v>
      </c>
      <c r="D144" s="3">
        <v>158.07</v>
      </c>
      <c r="E144" t="s">
        <v>48</v>
      </c>
      <c r="F144" t="s">
        <v>44</v>
      </c>
      <c r="G144" t="s">
        <v>40</v>
      </c>
      <c r="H144" t="s">
        <v>69</v>
      </c>
      <c r="I144">
        <v>45</v>
      </c>
      <c r="J144" s="4">
        <f t="shared" si="8"/>
        <v>4.247180637077097E-2</v>
      </c>
      <c r="K144" t="s">
        <v>43</v>
      </c>
    </row>
    <row r="145" spans="1:11" x14ac:dyDescent="0.35">
      <c r="A145" t="s">
        <v>70</v>
      </c>
      <c r="B145" t="s">
        <v>54</v>
      </c>
      <c r="C145">
        <v>2030</v>
      </c>
      <c r="D145" s="3">
        <v>164.8</v>
      </c>
      <c r="E145" t="s">
        <v>48</v>
      </c>
      <c r="F145" t="s">
        <v>44</v>
      </c>
      <c r="G145" t="s">
        <v>40</v>
      </c>
      <c r="H145" t="s">
        <v>69</v>
      </c>
      <c r="I145">
        <v>46</v>
      </c>
      <c r="J145" s="4">
        <f t="shared" si="8"/>
        <v>4.2576073891314126E-2</v>
      </c>
      <c r="K145" t="s">
        <v>43</v>
      </c>
    </row>
    <row r="146" spans="1:11" x14ac:dyDescent="0.35">
      <c r="A146" t="s">
        <v>71</v>
      </c>
      <c r="B146" t="s">
        <v>54</v>
      </c>
      <c r="C146">
        <v>2015</v>
      </c>
      <c r="D146" s="3">
        <v>23.44</v>
      </c>
      <c r="E146" t="s">
        <v>48</v>
      </c>
      <c r="F146" t="s">
        <v>39</v>
      </c>
      <c r="G146" t="s">
        <v>59</v>
      </c>
      <c r="H146" t="s">
        <v>41</v>
      </c>
      <c r="I146">
        <v>224</v>
      </c>
      <c r="K146" t="s">
        <v>42</v>
      </c>
    </row>
    <row r="147" spans="1:11" x14ac:dyDescent="0.35">
      <c r="A147" t="s">
        <v>71</v>
      </c>
      <c r="B147" t="s">
        <v>54</v>
      </c>
      <c r="C147">
        <v>2016</v>
      </c>
      <c r="D147" s="3">
        <v>24.19</v>
      </c>
      <c r="E147" t="s">
        <v>48</v>
      </c>
      <c r="F147" t="s">
        <v>39</v>
      </c>
      <c r="G147" t="s">
        <v>59</v>
      </c>
      <c r="H147" t="s">
        <v>41</v>
      </c>
      <c r="I147">
        <v>225</v>
      </c>
      <c r="J147" s="4">
        <f t="shared" ref="J147:J161" si="9">IF(D146=0,"",D147/D146-1)</f>
        <v>3.1996587030716617E-2</v>
      </c>
      <c r="K147" t="s">
        <v>43</v>
      </c>
    </row>
    <row r="148" spans="1:11" x14ac:dyDescent="0.35">
      <c r="A148" t="s">
        <v>71</v>
      </c>
      <c r="B148" t="s">
        <v>54</v>
      </c>
      <c r="C148">
        <v>2017</v>
      </c>
      <c r="D148" s="3">
        <v>24.98</v>
      </c>
      <c r="E148" t="s">
        <v>48</v>
      </c>
      <c r="F148" t="s">
        <v>39</v>
      </c>
      <c r="G148" t="s">
        <v>59</v>
      </c>
      <c r="H148" t="s">
        <v>41</v>
      </c>
      <c r="I148">
        <v>226</v>
      </c>
      <c r="J148" s="4">
        <f t="shared" si="9"/>
        <v>3.2658123191401378E-2</v>
      </c>
      <c r="K148" t="s">
        <v>43</v>
      </c>
    </row>
    <row r="149" spans="1:11" x14ac:dyDescent="0.35">
      <c r="A149" t="s">
        <v>71</v>
      </c>
      <c r="B149" t="s">
        <v>54</v>
      </c>
      <c r="C149">
        <v>2018</v>
      </c>
      <c r="D149" s="3">
        <v>26.02</v>
      </c>
      <c r="E149" t="s">
        <v>48</v>
      </c>
      <c r="F149" t="s">
        <v>39</v>
      </c>
      <c r="G149" t="s">
        <v>59</v>
      </c>
      <c r="H149" t="s">
        <v>41</v>
      </c>
      <c r="I149">
        <v>227</v>
      </c>
      <c r="J149" s="4">
        <f t="shared" si="9"/>
        <v>4.1633306645316281E-2</v>
      </c>
      <c r="K149" t="s">
        <v>43</v>
      </c>
    </row>
    <row r="150" spans="1:11" x14ac:dyDescent="0.35">
      <c r="A150" t="s">
        <v>71</v>
      </c>
      <c r="B150" t="s">
        <v>54</v>
      </c>
      <c r="C150">
        <v>2019</v>
      </c>
      <c r="D150" s="3">
        <v>26.88</v>
      </c>
      <c r="E150" t="s">
        <v>48</v>
      </c>
      <c r="F150" t="s">
        <v>39</v>
      </c>
      <c r="G150" t="s">
        <v>59</v>
      </c>
      <c r="H150" t="s">
        <v>41</v>
      </c>
      <c r="I150">
        <v>228</v>
      </c>
      <c r="J150" s="4">
        <f t="shared" si="9"/>
        <v>3.3051498847040728E-2</v>
      </c>
      <c r="K150" t="s">
        <v>43</v>
      </c>
    </row>
    <row r="151" spans="1:11" x14ac:dyDescent="0.35">
      <c r="A151" t="s">
        <v>71</v>
      </c>
      <c r="B151" t="s">
        <v>54</v>
      </c>
      <c r="C151">
        <v>2020</v>
      </c>
      <c r="D151" s="3">
        <v>24.92</v>
      </c>
      <c r="E151" t="s">
        <v>48</v>
      </c>
      <c r="F151" t="s">
        <v>39</v>
      </c>
      <c r="G151" t="s">
        <v>59</v>
      </c>
      <c r="H151" t="s">
        <v>41</v>
      </c>
      <c r="I151">
        <v>229</v>
      </c>
      <c r="J151" s="4">
        <f t="shared" si="9"/>
        <v>-7.2916666666666519E-2</v>
      </c>
      <c r="K151" t="s">
        <v>43</v>
      </c>
    </row>
    <row r="152" spans="1:11" x14ac:dyDescent="0.35">
      <c r="A152" t="s">
        <v>71</v>
      </c>
      <c r="B152" t="s">
        <v>54</v>
      </c>
      <c r="C152">
        <v>2021</v>
      </c>
      <c r="D152" s="3">
        <v>29.04</v>
      </c>
      <c r="E152" t="s">
        <v>48</v>
      </c>
      <c r="F152" t="s">
        <v>39</v>
      </c>
      <c r="G152" t="s">
        <v>59</v>
      </c>
      <c r="H152" t="s">
        <v>41</v>
      </c>
      <c r="I152">
        <v>230</v>
      </c>
      <c r="J152" s="4">
        <f t="shared" si="9"/>
        <v>0.1653290529695024</v>
      </c>
      <c r="K152" t="s">
        <v>43</v>
      </c>
    </row>
    <row r="153" spans="1:11" x14ac:dyDescent="0.35">
      <c r="A153" t="s">
        <v>71</v>
      </c>
      <c r="B153" t="s">
        <v>54</v>
      </c>
      <c r="C153">
        <v>2022</v>
      </c>
      <c r="D153" s="3">
        <v>31.87</v>
      </c>
      <c r="E153" t="s">
        <v>48</v>
      </c>
      <c r="F153" t="s">
        <v>39</v>
      </c>
      <c r="G153" t="s">
        <v>59</v>
      </c>
      <c r="H153" t="s">
        <v>41</v>
      </c>
      <c r="I153">
        <v>231</v>
      </c>
      <c r="J153" s="4">
        <f t="shared" si="9"/>
        <v>9.7451790633608981E-2</v>
      </c>
      <c r="K153" t="s">
        <v>43</v>
      </c>
    </row>
    <row r="154" spans="1:11" x14ac:dyDescent="0.35">
      <c r="A154" t="s">
        <v>71</v>
      </c>
      <c r="B154" t="s">
        <v>54</v>
      </c>
      <c r="C154">
        <v>2023</v>
      </c>
      <c r="D154" s="3">
        <v>33.57</v>
      </c>
      <c r="E154" t="s">
        <v>48</v>
      </c>
      <c r="F154" t="s">
        <v>39</v>
      </c>
      <c r="G154" t="s">
        <v>59</v>
      </c>
      <c r="H154" t="s">
        <v>41</v>
      </c>
      <c r="I154">
        <v>232</v>
      </c>
      <c r="J154" s="4">
        <f t="shared" si="9"/>
        <v>5.334170065892696E-2</v>
      </c>
      <c r="K154" t="s">
        <v>43</v>
      </c>
    </row>
    <row r="155" spans="1:11" x14ac:dyDescent="0.35">
      <c r="A155" t="s">
        <v>71</v>
      </c>
      <c r="B155" t="s">
        <v>54</v>
      </c>
      <c r="C155">
        <v>2024</v>
      </c>
      <c r="D155" s="3">
        <v>34.880000000000003</v>
      </c>
      <c r="E155" t="s">
        <v>48</v>
      </c>
      <c r="F155" t="s">
        <v>39</v>
      </c>
      <c r="G155" t="s">
        <v>72</v>
      </c>
      <c r="H155" t="s">
        <v>41</v>
      </c>
      <c r="I155">
        <v>233</v>
      </c>
      <c r="J155" s="4">
        <f t="shared" si="9"/>
        <v>3.9022937146261594E-2</v>
      </c>
      <c r="K155" t="s">
        <v>43</v>
      </c>
    </row>
    <row r="156" spans="1:11" x14ac:dyDescent="0.35">
      <c r="A156" t="s">
        <v>71</v>
      </c>
      <c r="B156" t="s">
        <v>54</v>
      </c>
      <c r="C156">
        <v>2025</v>
      </c>
      <c r="D156" s="3">
        <v>36.71</v>
      </c>
      <c r="E156" t="s">
        <v>48</v>
      </c>
      <c r="F156" t="s">
        <v>39</v>
      </c>
      <c r="G156" t="s">
        <v>59</v>
      </c>
      <c r="H156" t="s">
        <v>41</v>
      </c>
      <c r="I156">
        <v>234</v>
      </c>
      <c r="J156" s="4">
        <f t="shared" si="9"/>
        <v>5.2465596330275144E-2</v>
      </c>
      <c r="K156" t="s">
        <v>43</v>
      </c>
    </row>
    <row r="157" spans="1:11" x14ac:dyDescent="0.35">
      <c r="A157" t="s">
        <v>71</v>
      </c>
      <c r="B157" t="s">
        <v>54</v>
      </c>
      <c r="C157">
        <v>2026</v>
      </c>
      <c r="D157" s="3">
        <v>38.369999999999997</v>
      </c>
      <c r="E157" t="s">
        <v>48</v>
      </c>
      <c r="F157" t="s">
        <v>44</v>
      </c>
      <c r="G157" t="s">
        <v>72</v>
      </c>
      <c r="H157" t="s">
        <v>69</v>
      </c>
      <c r="I157">
        <v>57</v>
      </c>
      <c r="J157" s="4">
        <f t="shared" si="9"/>
        <v>4.5219286298011419E-2</v>
      </c>
      <c r="K157" t="s">
        <v>43</v>
      </c>
    </row>
    <row r="158" spans="1:11" x14ac:dyDescent="0.35">
      <c r="A158" t="s">
        <v>71</v>
      </c>
      <c r="B158" t="s">
        <v>54</v>
      </c>
      <c r="C158">
        <v>2027</v>
      </c>
      <c r="D158" s="3">
        <v>40.03</v>
      </c>
      <c r="E158" t="s">
        <v>48</v>
      </c>
      <c r="F158" t="s">
        <v>44</v>
      </c>
      <c r="G158" t="s">
        <v>72</v>
      </c>
      <c r="H158" t="s">
        <v>69</v>
      </c>
      <c r="I158">
        <v>58</v>
      </c>
      <c r="J158" s="4">
        <f t="shared" si="9"/>
        <v>4.3262965858744007E-2</v>
      </c>
      <c r="K158" t="s">
        <v>43</v>
      </c>
    </row>
    <row r="159" spans="1:11" x14ac:dyDescent="0.35">
      <c r="A159" t="s">
        <v>71</v>
      </c>
      <c r="B159" t="s">
        <v>54</v>
      </c>
      <c r="C159">
        <v>2028</v>
      </c>
      <c r="D159" s="3">
        <v>41.6</v>
      </c>
      <c r="E159" t="s">
        <v>48</v>
      </c>
      <c r="F159" t="s">
        <v>44</v>
      </c>
      <c r="G159" t="s">
        <v>72</v>
      </c>
      <c r="H159" t="s">
        <v>69</v>
      </c>
      <c r="I159">
        <v>59</v>
      </c>
      <c r="J159" s="4">
        <f t="shared" si="9"/>
        <v>3.9220584561578731E-2</v>
      </c>
      <c r="K159" t="s">
        <v>43</v>
      </c>
    </row>
    <row r="160" spans="1:11" x14ac:dyDescent="0.35">
      <c r="A160" t="s">
        <v>71</v>
      </c>
      <c r="B160" t="s">
        <v>54</v>
      </c>
      <c r="C160">
        <v>2029</v>
      </c>
      <c r="D160" s="3">
        <v>43.2</v>
      </c>
      <c r="E160" t="s">
        <v>48</v>
      </c>
      <c r="F160" t="s">
        <v>44</v>
      </c>
      <c r="G160" t="s">
        <v>72</v>
      </c>
      <c r="H160" t="s">
        <v>69</v>
      </c>
      <c r="I160">
        <v>60</v>
      </c>
      <c r="J160" s="4">
        <f t="shared" si="9"/>
        <v>3.8461538461538547E-2</v>
      </c>
      <c r="K160" t="s">
        <v>43</v>
      </c>
    </row>
    <row r="161" spans="1:11" x14ac:dyDescent="0.35">
      <c r="A161" t="s">
        <v>71</v>
      </c>
      <c r="B161" t="s">
        <v>54</v>
      </c>
      <c r="C161">
        <v>2030</v>
      </c>
      <c r="D161" s="3">
        <v>44.87</v>
      </c>
      <c r="E161" t="s">
        <v>48</v>
      </c>
      <c r="F161" t="s">
        <v>44</v>
      </c>
      <c r="G161" t="s">
        <v>72</v>
      </c>
      <c r="H161" t="s">
        <v>69</v>
      </c>
      <c r="I161">
        <v>61</v>
      </c>
      <c r="J161" s="4">
        <f t="shared" si="9"/>
        <v>3.8657407407407307E-2</v>
      </c>
      <c r="K161" t="s">
        <v>43</v>
      </c>
    </row>
    <row r="162" spans="1:11" x14ac:dyDescent="0.35">
      <c r="A162" t="s">
        <v>73</v>
      </c>
      <c r="B162" t="s">
        <v>54</v>
      </c>
      <c r="C162">
        <v>2015</v>
      </c>
      <c r="D162" s="3">
        <v>476.02</v>
      </c>
      <c r="E162" t="s">
        <v>74</v>
      </c>
      <c r="F162" t="s">
        <v>39</v>
      </c>
      <c r="G162" t="s">
        <v>59</v>
      </c>
      <c r="H162" t="s">
        <v>41</v>
      </c>
      <c r="I162">
        <v>246</v>
      </c>
      <c r="K162" t="s">
        <v>42</v>
      </c>
    </row>
    <row r="163" spans="1:11" x14ac:dyDescent="0.35">
      <c r="A163" t="s">
        <v>73</v>
      </c>
      <c r="B163" t="s">
        <v>54</v>
      </c>
      <c r="C163">
        <v>2016</v>
      </c>
      <c r="D163" s="3">
        <v>502</v>
      </c>
      <c r="E163" t="s">
        <v>74</v>
      </c>
      <c r="F163" t="s">
        <v>39</v>
      </c>
      <c r="G163" t="s">
        <v>59</v>
      </c>
      <c r="H163" t="s">
        <v>41</v>
      </c>
      <c r="I163">
        <v>247</v>
      </c>
      <c r="J163" s="4">
        <f t="shared" ref="J163:J177" si="10">IF(D162=0,"",D163/D162-1)</f>
        <v>5.457753875887561E-2</v>
      </c>
      <c r="K163" t="s">
        <v>43</v>
      </c>
    </row>
    <row r="164" spans="1:11" x14ac:dyDescent="0.35">
      <c r="A164" t="s">
        <v>73</v>
      </c>
      <c r="B164" t="s">
        <v>54</v>
      </c>
      <c r="C164">
        <v>2017</v>
      </c>
      <c r="D164" s="3">
        <v>526.51</v>
      </c>
      <c r="E164" t="s">
        <v>74</v>
      </c>
      <c r="F164" t="s">
        <v>39</v>
      </c>
      <c r="G164" t="s">
        <v>59</v>
      </c>
      <c r="H164" t="s">
        <v>41</v>
      </c>
      <c r="I164">
        <v>248</v>
      </c>
      <c r="J164" s="4">
        <f t="shared" si="10"/>
        <v>4.88247011952192E-2</v>
      </c>
      <c r="K164" t="s">
        <v>43</v>
      </c>
    </row>
    <row r="165" spans="1:11" x14ac:dyDescent="0.35">
      <c r="A165" t="s">
        <v>73</v>
      </c>
      <c r="B165" t="s">
        <v>54</v>
      </c>
      <c r="C165">
        <v>2018</v>
      </c>
      <c r="D165" s="3">
        <v>551.37</v>
      </c>
      <c r="E165" t="s">
        <v>74</v>
      </c>
      <c r="F165" t="s">
        <v>39</v>
      </c>
      <c r="G165" t="s">
        <v>59</v>
      </c>
      <c r="H165" t="s">
        <v>41</v>
      </c>
      <c r="I165">
        <v>249</v>
      </c>
      <c r="J165" s="4">
        <f t="shared" si="10"/>
        <v>4.7216577083056377E-2</v>
      </c>
      <c r="K165" t="s">
        <v>43</v>
      </c>
    </row>
    <row r="166" spans="1:11" x14ac:dyDescent="0.35">
      <c r="A166" t="s">
        <v>73</v>
      </c>
      <c r="B166" t="s">
        <v>54</v>
      </c>
      <c r="C166">
        <v>2019</v>
      </c>
      <c r="D166" s="3">
        <v>593.97</v>
      </c>
      <c r="E166" t="s">
        <v>74</v>
      </c>
      <c r="F166" t="s">
        <v>39</v>
      </c>
      <c r="G166" t="s">
        <v>59</v>
      </c>
      <c r="H166" t="s">
        <v>41</v>
      </c>
      <c r="I166">
        <v>250</v>
      </c>
      <c r="J166" s="4">
        <f t="shared" si="10"/>
        <v>7.7262092605691279E-2</v>
      </c>
      <c r="K166" t="s">
        <v>43</v>
      </c>
    </row>
    <row r="167" spans="1:11" x14ac:dyDescent="0.35">
      <c r="A167" t="s">
        <v>73</v>
      </c>
      <c r="B167" t="s">
        <v>54</v>
      </c>
      <c r="C167">
        <v>2020</v>
      </c>
      <c r="D167" s="3">
        <v>600.12</v>
      </c>
      <c r="E167" t="s">
        <v>74</v>
      </c>
      <c r="F167" t="s">
        <v>39</v>
      </c>
      <c r="G167" t="s">
        <v>59</v>
      </c>
      <c r="H167" t="s">
        <v>41</v>
      </c>
      <c r="I167">
        <v>251</v>
      </c>
      <c r="J167" s="4">
        <f t="shared" si="10"/>
        <v>1.0354058285771961E-2</v>
      </c>
      <c r="K167" t="s">
        <v>43</v>
      </c>
    </row>
    <row r="168" spans="1:11" x14ac:dyDescent="0.35">
      <c r="A168" t="s">
        <v>73</v>
      </c>
      <c r="B168" t="s">
        <v>54</v>
      </c>
      <c r="C168">
        <v>2021</v>
      </c>
      <c r="D168" s="3">
        <v>668.68</v>
      </c>
      <c r="E168" t="s">
        <v>74</v>
      </c>
      <c r="F168" t="s">
        <v>39</v>
      </c>
      <c r="G168" t="s">
        <v>59</v>
      </c>
      <c r="H168" t="s">
        <v>41</v>
      </c>
      <c r="I168">
        <v>252</v>
      </c>
      <c r="J168" s="4">
        <f t="shared" si="10"/>
        <v>0.11424381790308602</v>
      </c>
      <c r="K168" t="s">
        <v>43</v>
      </c>
    </row>
    <row r="169" spans="1:11" x14ac:dyDescent="0.35">
      <c r="A169" t="s">
        <v>73</v>
      </c>
      <c r="B169" t="s">
        <v>54</v>
      </c>
      <c r="C169">
        <v>2022</v>
      </c>
      <c r="D169" s="3">
        <v>740.81</v>
      </c>
      <c r="E169" t="s">
        <v>74</v>
      </c>
      <c r="F169" t="s">
        <v>39</v>
      </c>
      <c r="G169" t="s">
        <v>59</v>
      </c>
      <c r="H169" t="s">
        <v>41</v>
      </c>
      <c r="I169">
        <v>253</v>
      </c>
      <c r="J169" s="4">
        <f t="shared" si="10"/>
        <v>0.1078692349105701</v>
      </c>
      <c r="K169" t="s">
        <v>43</v>
      </c>
    </row>
    <row r="170" spans="1:11" x14ac:dyDescent="0.35">
      <c r="A170" t="s">
        <v>73</v>
      </c>
      <c r="B170" t="s">
        <v>54</v>
      </c>
      <c r="C170">
        <v>2023</v>
      </c>
      <c r="D170" s="3">
        <v>816.86</v>
      </c>
      <c r="E170" t="s">
        <v>74</v>
      </c>
      <c r="F170" t="s">
        <v>39</v>
      </c>
      <c r="G170" t="s">
        <v>59</v>
      </c>
      <c r="H170" t="s">
        <v>41</v>
      </c>
      <c r="I170">
        <v>254</v>
      </c>
      <c r="J170" s="4">
        <f t="shared" si="10"/>
        <v>0.10265790148621123</v>
      </c>
      <c r="K170" t="s">
        <v>43</v>
      </c>
    </row>
    <row r="171" spans="1:11" x14ac:dyDescent="0.35">
      <c r="A171" t="s">
        <v>73</v>
      </c>
      <c r="B171" t="s">
        <v>54</v>
      </c>
      <c r="C171">
        <v>2024</v>
      </c>
      <c r="D171" s="3">
        <v>878.39</v>
      </c>
      <c r="E171" t="s">
        <v>74</v>
      </c>
      <c r="F171" t="s">
        <v>39</v>
      </c>
      <c r="G171" t="s">
        <v>65</v>
      </c>
      <c r="H171" t="s">
        <v>41</v>
      </c>
      <c r="I171">
        <v>255</v>
      </c>
      <c r="J171" s="4">
        <f t="shared" si="10"/>
        <v>7.5325025096099729E-2</v>
      </c>
      <c r="K171" t="s">
        <v>43</v>
      </c>
    </row>
    <row r="172" spans="1:11" x14ac:dyDescent="0.35">
      <c r="A172" t="s">
        <v>73</v>
      </c>
      <c r="B172" t="s">
        <v>54</v>
      </c>
      <c r="C172">
        <v>2025</v>
      </c>
      <c r="D172" s="3">
        <v>947.01</v>
      </c>
      <c r="E172" t="s">
        <v>74</v>
      </c>
      <c r="F172" t="s">
        <v>39</v>
      </c>
      <c r="G172" t="s">
        <v>40</v>
      </c>
      <c r="H172" t="s">
        <v>41</v>
      </c>
      <c r="I172">
        <v>256</v>
      </c>
      <c r="J172" s="4">
        <f t="shared" si="10"/>
        <v>7.8120197178929596E-2</v>
      </c>
      <c r="K172" t="s">
        <v>43</v>
      </c>
    </row>
    <row r="173" spans="1:11" x14ac:dyDescent="0.35">
      <c r="A173" t="s">
        <v>73</v>
      </c>
      <c r="B173" t="s">
        <v>54</v>
      </c>
      <c r="C173">
        <v>2026</v>
      </c>
      <c r="D173" s="3">
        <v>1016.22</v>
      </c>
      <c r="E173" t="s">
        <v>74</v>
      </c>
      <c r="F173" t="s">
        <v>44</v>
      </c>
      <c r="G173" t="s">
        <v>40</v>
      </c>
      <c r="H173" t="s">
        <v>69</v>
      </c>
      <c r="I173">
        <v>72</v>
      </c>
      <c r="J173" s="4">
        <f t="shared" si="10"/>
        <v>7.3082649602433047E-2</v>
      </c>
      <c r="K173" t="s">
        <v>43</v>
      </c>
    </row>
    <row r="174" spans="1:11" x14ac:dyDescent="0.35">
      <c r="A174" t="s">
        <v>73</v>
      </c>
      <c r="B174" t="s">
        <v>54</v>
      </c>
      <c r="C174">
        <v>2027</v>
      </c>
      <c r="D174" s="3">
        <v>1123.33</v>
      </c>
      <c r="E174" t="s">
        <v>74</v>
      </c>
      <c r="F174" t="s">
        <v>44</v>
      </c>
      <c r="G174" t="s">
        <v>40</v>
      </c>
      <c r="H174" t="s">
        <v>69</v>
      </c>
      <c r="I174">
        <v>73</v>
      </c>
      <c r="J174" s="4">
        <f t="shared" si="10"/>
        <v>0.10540040542402229</v>
      </c>
      <c r="K174" t="s">
        <v>43</v>
      </c>
    </row>
    <row r="175" spans="1:11" x14ac:dyDescent="0.35">
      <c r="A175" t="s">
        <v>73</v>
      </c>
      <c r="B175" t="s">
        <v>54</v>
      </c>
      <c r="C175">
        <v>2028</v>
      </c>
      <c r="D175" s="3">
        <v>1233.6199999999999</v>
      </c>
      <c r="E175" t="s">
        <v>74</v>
      </c>
      <c r="F175" t="s">
        <v>44</v>
      </c>
      <c r="G175" t="s">
        <v>40</v>
      </c>
      <c r="H175" t="s">
        <v>69</v>
      </c>
      <c r="I175">
        <v>74</v>
      </c>
      <c r="J175" s="4">
        <f t="shared" si="10"/>
        <v>9.8181300241247049E-2</v>
      </c>
      <c r="K175" t="s">
        <v>43</v>
      </c>
    </row>
    <row r="176" spans="1:11" x14ac:dyDescent="0.35">
      <c r="A176" t="s">
        <v>73</v>
      </c>
      <c r="B176" t="s">
        <v>54</v>
      </c>
      <c r="C176">
        <v>2029</v>
      </c>
      <c r="D176" s="3">
        <v>1357.33</v>
      </c>
      <c r="E176" t="s">
        <v>74</v>
      </c>
      <c r="F176" t="s">
        <v>44</v>
      </c>
      <c r="G176" t="s">
        <v>40</v>
      </c>
      <c r="H176" t="s">
        <v>69</v>
      </c>
      <c r="I176">
        <v>75</v>
      </c>
      <c r="J176" s="4">
        <f t="shared" si="10"/>
        <v>0.10028209659376475</v>
      </c>
      <c r="K176" t="s">
        <v>43</v>
      </c>
    </row>
    <row r="177" spans="1:11" x14ac:dyDescent="0.35">
      <c r="A177" t="s">
        <v>73</v>
      </c>
      <c r="B177" t="s">
        <v>54</v>
      </c>
      <c r="C177">
        <v>2030</v>
      </c>
      <c r="D177" s="3">
        <v>1492.77</v>
      </c>
      <c r="E177" t="s">
        <v>74</v>
      </c>
      <c r="F177" t="s">
        <v>44</v>
      </c>
      <c r="G177" t="s">
        <v>40</v>
      </c>
      <c r="H177" t="s">
        <v>69</v>
      </c>
      <c r="I177">
        <v>76</v>
      </c>
      <c r="J177" s="4">
        <f t="shared" si="10"/>
        <v>9.9784135029801213E-2</v>
      </c>
      <c r="K177" t="s">
        <v>43</v>
      </c>
    </row>
    <row r="178" spans="1:11" x14ac:dyDescent="0.35">
      <c r="A178" t="s">
        <v>75</v>
      </c>
      <c r="B178" t="s">
        <v>54</v>
      </c>
      <c r="C178">
        <v>2015</v>
      </c>
      <c r="D178" s="3">
        <v>460.41</v>
      </c>
      <c r="E178" t="s">
        <v>76</v>
      </c>
      <c r="F178" t="s">
        <v>39</v>
      </c>
      <c r="G178" t="s">
        <v>59</v>
      </c>
      <c r="H178" t="s">
        <v>41</v>
      </c>
      <c r="I178">
        <v>268</v>
      </c>
      <c r="K178" t="s">
        <v>42</v>
      </c>
    </row>
    <row r="179" spans="1:11" x14ac:dyDescent="0.35">
      <c r="A179" t="s">
        <v>75</v>
      </c>
      <c r="B179" t="s">
        <v>54</v>
      </c>
      <c r="C179">
        <v>2016</v>
      </c>
      <c r="D179" s="3">
        <v>495.92</v>
      </c>
      <c r="E179" t="s">
        <v>76</v>
      </c>
      <c r="F179" t="s">
        <v>39</v>
      </c>
      <c r="G179" t="s">
        <v>59</v>
      </c>
      <c r="H179" t="s">
        <v>41</v>
      </c>
      <c r="I179">
        <v>269</v>
      </c>
      <c r="J179" s="4">
        <f t="shared" ref="J179:J193" si="11">IF(D178=0,"",D179/D178-1)</f>
        <v>7.7126908624921331E-2</v>
      </c>
      <c r="K179" t="s">
        <v>43</v>
      </c>
    </row>
    <row r="180" spans="1:11" x14ac:dyDescent="0.35">
      <c r="A180" t="s">
        <v>75</v>
      </c>
      <c r="B180" t="s">
        <v>54</v>
      </c>
      <c r="C180">
        <v>2017</v>
      </c>
      <c r="D180" s="3">
        <v>543.4</v>
      </c>
      <c r="E180" t="s">
        <v>76</v>
      </c>
      <c r="F180" t="s">
        <v>39</v>
      </c>
      <c r="G180" t="s">
        <v>59</v>
      </c>
      <c r="H180" t="s">
        <v>41</v>
      </c>
      <c r="I180">
        <v>270</v>
      </c>
      <c r="J180" s="4">
        <f t="shared" si="11"/>
        <v>9.5741248588481875E-2</v>
      </c>
      <c r="K180" t="s">
        <v>43</v>
      </c>
    </row>
    <row r="181" spans="1:11" x14ac:dyDescent="0.35">
      <c r="A181" t="s">
        <v>75</v>
      </c>
      <c r="B181" t="s">
        <v>54</v>
      </c>
      <c r="C181">
        <v>2018</v>
      </c>
      <c r="D181" s="3">
        <v>575.28</v>
      </c>
      <c r="E181" t="s">
        <v>76</v>
      </c>
      <c r="F181" t="s">
        <v>39</v>
      </c>
      <c r="G181" t="s">
        <v>59</v>
      </c>
      <c r="H181" t="s">
        <v>41</v>
      </c>
      <c r="I181">
        <v>271</v>
      </c>
      <c r="J181" s="4">
        <f t="shared" si="11"/>
        <v>5.8667648141332407E-2</v>
      </c>
      <c r="K181" t="s">
        <v>43</v>
      </c>
    </row>
    <row r="182" spans="1:11" x14ac:dyDescent="0.35">
      <c r="A182" t="s">
        <v>75</v>
      </c>
      <c r="B182" t="s">
        <v>54</v>
      </c>
      <c r="C182">
        <v>2019</v>
      </c>
      <c r="D182" s="3">
        <v>609.83000000000004</v>
      </c>
      <c r="E182" t="s">
        <v>76</v>
      </c>
      <c r="F182" t="s">
        <v>39</v>
      </c>
      <c r="G182" t="s">
        <v>59</v>
      </c>
      <c r="H182" t="s">
        <v>41</v>
      </c>
      <c r="I182">
        <v>272</v>
      </c>
      <c r="J182" s="4">
        <f t="shared" si="11"/>
        <v>6.0057711027673655E-2</v>
      </c>
      <c r="K182" t="s">
        <v>43</v>
      </c>
    </row>
    <row r="183" spans="1:11" x14ac:dyDescent="0.35">
      <c r="A183" t="s">
        <v>75</v>
      </c>
      <c r="B183" t="s">
        <v>54</v>
      </c>
      <c r="C183">
        <v>2020</v>
      </c>
      <c r="D183" s="3">
        <v>574.04</v>
      </c>
      <c r="E183" t="s">
        <v>76</v>
      </c>
      <c r="F183" t="s">
        <v>39</v>
      </c>
      <c r="G183" t="s">
        <v>59</v>
      </c>
      <c r="H183" t="s">
        <v>41</v>
      </c>
      <c r="I183">
        <v>273</v>
      </c>
      <c r="J183" s="4">
        <f t="shared" si="11"/>
        <v>-5.8688486955381092E-2</v>
      </c>
      <c r="K183" t="s">
        <v>43</v>
      </c>
    </row>
    <row r="184" spans="1:11" x14ac:dyDescent="0.35">
      <c r="A184" t="s">
        <v>75</v>
      </c>
      <c r="B184" t="s">
        <v>54</v>
      </c>
      <c r="C184">
        <v>2021</v>
      </c>
      <c r="D184" s="3">
        <v>675.93</v>
      </c>
      <c r="E184" t="s">
        <v>76</v>
      </c>
      <c r="F184" t="s">
        <v>39</v>
      </c>
      <c r="G184" t="s">
        <v>59</v>
      </c>
      <c r="H184" t="s">
        <v>41</v>
      </c>
      <c r="I184">
        <v>274</v>
      </c>
      <c r="J184" s="4">
        <f t="shared" si="11"/>
        <v>0.17749634171834705</v>
      </c>
      <c r="K184" t="s">
        <v>43</v>
      </c>
    </row>
    <row r="185" spans="1:11" x14ac:dyDescent="0.35">
      <c r="A185" t="s">
        <v>75</v>
      </c>
      <c r="B185" t="s">
        <v>54</v>
      </c>
      <c r="C185">
        <v>2022</v>
      </c>
      <c r="D185" s="3">
        <v>769.49</v>
      </c>
      <c r="E185" t="s">
        <v>76</v>
      </c>
      <c r="F185" t="s">
        <v>39</v>
      </c>
      <c r="G185" t="s">
        <v>59</v>
      </c>
      <c r="H185" t="s">
        <v>41</v>
      </c>
      <c r="I185">
        <v>275</v>
      </c>
      <c r="J185" s="4">
        <f t="shared" si="11"/>
        <v>0.13841669995413741</v>
      </c>
      <c r="K185" t="s">
        <v>43</v>
      </c>
    </row>
    <row r="186" spans="1:11" x14ac:dyDescent="0.35">
      <c r="A186" t="s">
        <v>75</v>
      </c>
      <c r="B186" t="s">
        <v>54</v>
      </c>
      <c r="C186">
        <v>2023</v>
      </c>
      <c r="D186" s="3">
        <v>845.21</v>
      </c>
      <c r="E186" t="s">
        <v>76</v>
      </c>
      <c r="F186" t="s">
        <v>39</v>
      </c>
      <c r="G186" t="s">
        <v>59</v>
      </c>
      <c r="H186" t="s">
        <v>41</v>
      </c>
      <c r="I186">
        <v>276</v>
      </c>
      <c r="J186" s="4">
        <f t="shared" si="11"/>
        <v>9.8402838243512036E-2</v>
      </c>
      <c r="K186" t="s">
        <v>43</v>
      </c>
    </row>
    <row r="187" spans="1:11" x14ac:dyDescent="0.35">
      <c r="A187" t="s">
        <v>75</v>
      </c>
      <c r="B187" t="s">
        <v>54</v>
      </c>
      <c r="C187">
        <v>2024</v>
      </c>
      <c r="D187" s="3">
        <v>917.08</v>
      </c>
      <c r="E187" t="s">
        <v>76</v>
      </c>
      <c r="F187" t="s">
        <v>39</v>
      </c>
      <c r="G187" t="s">
        <v>59</v>
      </c>
      <c r="H187" t="s">
        <v>41</v>
      </c>
      <c r="I187">
        <v>277</v>
      </c>
      <c r="J187" s="4">
        <f t="shared" si="11"/>
        <v>8.5032122194484305E-2</v>
      </c>
      <c r="K187" t="s">
        <v>43</v>
      </c>
    </row>
    <row r="188" spans="1:11" x14ac:dyDescent="0.35">
      <c r="A188" t="s">
        <v>75</v>
      </c>
      <c r="B188" t="s">
        <v>54</v>
      </c>
      <c r="C188">
        <v>2025</v>
      </c>
      <c r="D188" s="3">
        <v>1027.76</v>
      </c>
      <c r="E188" t="s">
        <v>76</v>
      </c>
      <c r="F188" t="s">
        <v>39</v>
      </c>
      <c r="G188" t="s">
        <v>59</v>
      </c>
      <c r="H188" t="s">
        <v>41</v>
      </c>
      <c r="I188">
        <v>278</v>
      </c>
      <c r="J188" s="4">
        <f t="shared" si="11"/>
        <v>0.12068739913638926</v>
      </c>
      <c r="K188" t="s">
        <v>43</v>
      </c>
    </row>
    <row r="189" spans="1:11" x14ac:dyDescent="0.35">
      <c r="A189" t="s">
        <v>75</v>
      </c>
      <c r="B189" t="s">
        <v>54</v>
      </c>
      <c r="C189">
        <v>2026</v>
      </c>
      <c r="D189" s="3">
        <v>1122.3699999999999</v>
      </c>
      <c r="E189" t="s">
        <v>76</v>
      </c>
      <c r="F189" t="s">
        <v>44</v>
      </c>
      <c r="G189" t="s">
        <v>77</v>
      </c>
      <c r="H189" t="s">
        <v>78</v>
      </c>
      <c r="I189">
        <v>79</v>
      </c>
      <c r="J189" s="4">
        <f t="shared" si="11"/>
        <v>9.2054565268155919E-2</v>
      </c>
      <c r="K189" t="s">
        <v>43</v>
      </c>
    </row>
    <row r="190" spans="1:11" x14ac:dyDescent="0.35">
      <c r="A190" t="s">
        <v>75</v>
      </c>
      <c r="B190" t="s">
        <v>54</v>
      </c>
      <c r="C190">
        <v>2027</v>
      </c>
      <c r="D190" s="3">
        <v>1213.54</v>
      </c>
      <c r="E190" t="s">
        <v>76</v>
      </c>
      <c r="F190" t="s">
        <v>44</v>
      </c>
      <c r="G190" t="s">
        <v>77</v>
      </c>
      <c r="H190" t="s">
        <v>78</v>
      </c>
      <c r="I190">
        <v>80</v>
      </c>
      <c r="J190" s="4">
        <f t="shared" si="11"/>
        <v>8.1229897449147881E-2</v>
      </c>
      <c r="K190" t="s">
        <v>43</v>
      </c>
    </row>
    <row r="191" spans="1:11" x14ac:dyDescent="0.35">
      <c r="A191" t="s">
        <v>75</v>
      </c>
      <c r="B191" t="s">
        <v>54</v>
      </c>
      <c r="C191">
        <v>2028</v>
      </c>
      <c r="D191" s="3">
        <v>1302.71</v>
      </c>
      <c r="E191" t="s">
        <v>76</v>
      </c>
      <c r="F191" t="s">
        <v>44</v>
      </c>
      <c r="G191" t="s">
        <v>77</v>
      </c>
      <c r="H191" t="s">
        <v>78</v>
      </c>
      <c r="I191">
        <v>81</v>
      </c>
      <c r="J191" s="4">
        <f t="shared" si="11"/>
        <v>7.3479242546599322E-2</v>
      </c>
      <c r="K191" t="s">
        <v>43</v>
      </c>
    </row>
    <row r="192" spans="1:11" x14ac:dyDescent="0.35">
      <c r="A192" t="s">
        <v>75</v>
      </c>
      <c r="B192" t="s">
        <v>54</v>
      </c>
      <c r="C192">
        <v>2029</v>
      </c>
      <c r="D192" s="3">
        <v>1392.87</v>
      </c>
      <c r="E192" t="s">
        <v>76</v>
      </c>
      <c r="F192" t="s">
        <v>44</v>
      </c>
      <c r="G192" t="s">
        <v>77</v>
      </c>
      <c r="H192" t="s">
        <v>78</v>
      </c>
      <c r="I192">
        <v>82</v>
      </c>
      <c r="J192" s="4">
        <f t="shared" si="11"/>
        <v>6.9209570817756694E-2</v>
      </c>
      <c r="K192" t="s">
        <v>43</v>
      </c>
    </row>
    <row r="193" spans="1:11" x14ac:dyDescent="0.35">
      <c r="A193" t="s">
        <v>75</v>
      </c>
      <c r="B193" t="s">
        <v>54</v>
      </c>
      <c r="C193">
        <v>2030</v>
      </c>
      <c r="D193" s="3">
        <v>1487.14</v>
      </c>
      <c r="E193" t="s">
        <v>76</v>
      </c>
      <c r="F193" t="s">
        <v>44</v>
      </c>
      <c r="G193" t="s">
        <v>77</v>
      </c>
      <c r="H193" t="s">
        <v>78</v>
      </c>
      <c r="I193">
        <v>83</v>
      </c>
      <c r="J193" s="4">
        <f t="shared" si="11"/>
        <v>6.7680400898863624E-2</v>
      </c>
      <c r="K193" t="s">
        <v>43</v>
      </c>
    </row>
    <row r="194" spans="1:11" x14ac:dyDescent="0.35">
      <c r="A194" t="s">
        <v>79</v>
      </c>
      <c r="B194" t="s">
        <v>54</v>
      </c>
      <c r="C194">
        <v>2015</v>
      </c>
      <c r="D194" s="3">
        <v>347.71</v>
      </c>
      <c r="E194" t="s">
        <v>51</v>
      </c>
      <c r="F194" t="s">
        <v>39</v>
      </c>
      <c r="G194" t="s">
        <v>68</v>
      </c>
      <c r="H194" t="s">
        <v>41</v>
      </c>
      <c r="I194">
        <v>290</v>
      </c>
      <c r="K194" t="s">
        <v>42</v>
      </c>
    </row>
    <row r="195" spans="1:11" x14ac:dyDescent="0.35">
      <c r="A195" t="s">
        <v>79</v>
      </c>
      <c r="B195" t="s">
        <v>54</v>
      </c>
      <c r="C195">
        <v>2016</v>
      </c>
      <c r="D195" s="3">
        <v>380.26</v>
      </c>
      <c r="E195" t="s">
        <v>51</v>
      </c>
      <c r="F195" t="s">
        <v>39</v>
      </c>
      <c r="G195" t="s">
        <v>68</v>
      </c>
      <c r="H195" t="s">
        <v>41</v>
      </c>
      <c r="I195">
        <v>291</v>
      </c>
      <c r="J195" s="4">
        <f t="shared" ref="J195:J209" si="12">IF(D194=0,"",D195/D194-1)</f>
        <v>9.3612493169595412E-2</v>
      </c>
      <c r="K195" t="s">
        <v>43</v>
      </c>
    </row>
    <row r="196" spans="1:11" x14ac:dyDescent="0.35">
      <c r="A196" t="s">
        <v>79</v>
      </c>
      <c r="B196" t="s">
        <v>54</v>
      </c>
      <c r="C196">
        <v>2017</v>
      </c>
      <c r="D196" s="3">
        <v>414.28</v>
      </c>
      <c r="E196" t="s">
        <v>51</v>
      </c>
      <c r="F196" t="s">
        <v>39</v>
      </c>
      <c r="G196" t="s">
        <v>68</v>
      </c>
      <c r="H196" t="s">
        <v>41</v>
      </c>
      <c r="I196">
        <v>292</v>
      </c>
      <c r="J196" s="4">
        <f t="shared" si="12"/>
        <v>8.9465102824383358E-2</v>
      </c>
      <c r="K196" t="s">
        <v>43</v>
      </c>
    </row>
    <row r="197" spans="1:11" x14ac:dyDescent="0.35">
      <c r="A197" t="s">
        <v>79</v>
      </c>
      <c r="B197" t="s">
        <v>54</v>
      </c>
      <c r="C197">
        <v>2018</v>
      </c>
      <c r="D197" s="3">
        <v>410.99</v>
      </c>
      <c r="E197" t="s">
        <v>51</v>
      </c>
      <c r="F197" t="s">
        <v>39</v>
      </c>
      <c r="G197" t="s">
        <v>68</v>
      </c>
      <c r="H197" t="s">
        <v>41</v>
      </c>
      <c r="I197">
        <v>293</v>
      </c>
      <c r="J197" s="4">
        <f t="shared" si="12"/>
        <v>-7.9414888481219581E-3</v>
      </c>
      <c r="K197" t="s">
        <v>43</v>
      </c>
    </row>
    <row r="198" spans="1:11" x14ac:dyDescent="0.35">
      <c r="A198" t="s">
        <v>79</v>
      </c>
      <c r="B198" t="s">
        <v>54</v>
      </c>
      <c r="C198">
        <v>2019</v>
      </c>
      <c r="D198" s="3">
        <v>420.61</v>
      </c>
      <c r="E198" t="s">
        <v>51</v>
      </c>
      <c r="F198" t="s">
        <v>39</v>
      </c>
      <c r="G198" t="s">
        <v>68</v>
      </c>
      <c r="H198" t="s">
        <v>41</v>
      </c>
      <c r="I198">
        <v>294</v>
      </c>
      <c r="J198" s="4">
        <f t="shared" si="12"/>
        <v>2.3406895544903827E-2</v>
      </c>
      <c r="K198" t="s">
        <v>43</v>
      </c>
    </row>
    <row r="199" spans="1:11" x14ac:dyDescent="0.35">
      <c r="A199" t="s">
        <v>79</v>
      </c>
      <c r="B199" t="s">
        <v>54</v>
      </c>
      <c r="C199">
        <v>2020</v>
      </c>
      <c r="D199" s="3">
        <v>437.05</v>
      </c>
      <c r="E199" t="s">
        <v>51</v>
      </c>
      <c r="F199" t="s">
        <v>39</v>
      </c>
      <c r="G199" t="s">
        <v>68</v>
      </c>
      <c r="H199" t="s">
        <v>41</v>
      </c>
      <c r="I199">
        <v>295</v>
      </c>
      <c r="J199" s="4">
        <f t="shared" si="12"/>
        <v>3.9086089251325395E-2</v>
      </c>
      <c r="K199" t="s">
        <v>43</v>
      </c>
    </row>
    <row r="200" spans="1:11" x14ac:dyDescent="0.35">
      <c r="A200" t="s">
        <v>79</v>
      </c>
      <c r="B200" t="s">
        <v>54</v>
      </c>
      <c r="C200">
        <v>2021</v>
      </c>
      <c r="D200" s="3">
        <v>499.75</v>
      </c>
      <c r="E200" t="s">
        <v>51</v>
      </c>
      <c r="F200" t="s">
        <v>39</v>
      </c>
      <c r="G200" t="s">
        <v>80</v>
      </c>
      <c r="H200" t="s">
        <v>41</v>
      </c>
      <c r="I200">
        <v>296</v>
      </c>
      <c r="J200" s="4">
        <f t="shared" si="12"/>
        <v>0.14346184647065541</v>
      </c>
      <c r="K200" t="s">
        <v>43</v>
      </c>
    </row>
    <row r="201" spans="1:11" x14ac:dyDescent="0.35">
      <c r="A201" t="s">
        <v>79</v>
      </c>
      <c r="B201" t="s">
        <v>54</v>
      </c>
      <c r="C201">
        <v>2022</v>
      </c>
      <c r="D201" s="3">
        <v>560.88</v>
      </c>
      <c r="E201" t="s">
        <v>51</v>
      </c>
      <c r="F201" t="s">
        <v>39</v>
      </c>
      <c r="G201" t="s">
        <v>80</v>
      </c>
      <c r="H201" t="s">
        <v>41</v>
      </c>
      <c r="I201">
        <v>297</v>
      </c>
      <c r="J201" s="4">
        <f t="shared" si="12"/>
        <v>0.12232116058029008</v>
      </c>
      <c r="K201" t="s">
        <v>43</v>
      </c>
    </row>
    <row r="202" spans="1:11" x14ac:dyDescent="0.35">
      <c r="A202" t="s">
        <v>79</v>
      </c>
      <c r="B202" t="s">
        <v>54</v>
      </c>
      <c r="C202">
        <v>2023</v>
      </c>
      <c r="D202" s="3">
        <v>648.87</v>
      </c>
      <c r="E202" t="s">
        <v>51</v>
      </c>
      <c r="F202" t="s">
        <v>39</v>
      </c>
      <c r="G202" t="s">
        <v>80</v>
      </c>
      <c r="H202" t="s">
        <v>41</v>
      </c>
      <c r="I202">
        <v>298</v>
      </c>
      <c r="J202" s="4">
        <f t="shared" si="12"/>
        <v>0.15687847667950372</v>
      </c>
      <c r="K202" t="s">
        <v>43</v>
      </c>
    </row>
    <row r="203" spans="1:11" x14ac:dyDescent="0.35">
      <c r="A203" t="s">
        <v>79</v>
      </c>
      <c r="B203" t="s">
        <v>54</v>
      </c>
      <c r="C203">
        <v>2024</v>
      </c>
      <c r="D203" s="3">
        <v>721.36</v>
      </c>
      <c r="E203" t="s">
        <v>51</v>
      </c>
      <c r="F203" t="s">
        <v>39</v>
      </c>
      <c r="G203" t="s">
        <v>80</v>
      </c>
      <c r="H203" t="s">
        <v>41</v>
      </c>
      <c r="I203">
        <v>299</v>
      </c>
      <c r="J203" s="4">
        <f t="shared" si="12"/>
        <v>0.11171729314038248</v>
      </c>
      <c r="K203" t="s">
        <v>43</v>
      </c>
    </row>
    <row r="204" spans="1:11" x14ac:dyDescent="0.35">
      <c r="A204" t="s">
        <v>79</v>
      </c>
      <c r="B204" t="s">
        <v>54</v>
      </c>
      <c r="C204">
        <v>2025</v>
      </c>
      <c r="D204" s="3">
        <v>814.42</v>
      </c>
      <c r="E204" t="s">
        <v>51</v>
      </c>
      <c r="F204" t="s">
        <v>39</v>
      </c>
      <c r="G204" t="s">
        <v>80</v>
      </c>
      <c r="H204" t="s">
        <v>41</v>
      </c>
      <c r="I204">
        <v>300</v>
      </c>
      <c r="J204" s="4">
        <f t="shared" si="12"/>
        <v>0.12900632139292445</v>
      </c>
      <c r="K204" t="s">
        <v>43</v>
      </c>
    </row>
    <row r="205" spans="1:11" x14ac:dyDescent="0.35">
      <c r="A205" t="s">
        <v>79</v>
      </c>
      <c r="B205" t="s">
        <v>54</v>
      </c>
      <c r="C205">
        <v>2026</v>
      </c>
      <c r="D205" s="3">
        <v>871.96</v>
      </c>
      <c r="E205" t="s">
        <v>51</v>
      </c>
      <c r="F205" t="s">
        <v>44</v>
      </c>
      <c r="G205" t="s">
        <v>77</v>
      </c>
      <c r="H205" t="s">
        <v>78</v>
      </c>
      <c r="I205">
        <v>137</v>
      </c>
      <c r="J205" s="4">
        <f t="shared" si="12"/>
        <v>7.0651506593649493E-2</v>
      </c>
      <c r="K205" t="s">
        <v>43</v>
      </c>
    </row>
    <row r="206" spans="1:11" x14ac:dyDescent="0.35">
      <c r="A206" t="s">
        <v>79</v>
      </c>
      <c r="B206" t="s">
        <v>54</v>
      </c>
      <c r="C206">
        <v>2027</v>
      </c>
      <c r="D206" s="3">
        <v>929.48</v>
      </c>
      <c r="E206" t="s">
        <v>51</v>
      </c>
      <c r="F206" t="s">
        <v>44</v>
      </c>
      <c r="G206" t="s">
        <v>77</v>
      </c>
      <c r="H206" t="s">
        <v>78</v>
      </c>
      <c r="I206">
        <v>138</v>
      </c>
      <c r="J206" s="4">
        <f t="shared" si="12"/>
        <v>6.5966328730675761E-2</v>
      </c>
      <c r="K206" t="s">
        <v>43</v>
      </c>
    </row>
    <row r="207" spans="1:11" x14ac:dyDescent="0.35">
      <c r="A207" t="s">
        <v>79</v>
      </c>
      <c r="B207" t="s">
        <v>54</v>
      </c>
      <c r="C207">
        <v>2028</v>
      </c>
      <c r="D207" s="3">
        <v>999</v>
      </c>
      <c r="E207" t="s">
        <v>51</v>
      </c>
      <c r="F207" t="s">
        <v>44</v>
      </c>
      <c r="G207" t="s">
        <v>77</v>
      </c>
      <c r="H207" t="s">
        <v>78</v>
      </c>
      <c r="I207">
        <v>139</v>
      </c>
      <c r="J207" s="4">
        <f t="shared" si="12"/>
        <v>7.4794508757584754E-2</v>
      </c>
      <c r="K207" t="s">
        <v>43</v>
      </c>
    </row>
    <row r="208" spans="1:11" x14ac:dyDescent="0.35">
      <c r="A208" t="s">
        <v>79</v>
      </c>
      <c r="B208" t="s">
        <v>54</v>
      </c>
      <c r="C208">
        <v>2029</v>
      </c>
      <c r="D208" s="3">
        <v>1064.8499999999999</v>
      </c>
      <c r="E208" t="s">
        <v>51</v>
      </c>
      <c r="F208" t="s">
        <v>44</v>
      </c>
      <c r="G208" t="s">
        <v>77</v>
      </c>
      <c r="H208" t="s">
        <v>78</v>
      </c>
      <c r="I208">
        <v>140</v>
      </c>
      <c r="J208" s="4">
        <f t="shared" si="12"/>
        <v>6.5915915915915724E-2</v>
      </c>
      <c r="K208" t="s">
        <v>43</v>
      </c>
    </row>
    <row r="209" spans="1:11" x14ac:dyDescent="0.35">
      <c r="A209" t="s">
        <v>79</v>
      </c>
      <c r="B209" t="s">
        <v>54</v>
      </c>
      <c r="C209">
        <v>2030</v>
      </c>
      <c r="D209" s="3">
        <v>1132.25</v>
      </c>
      <c r="E209" t="s">
        <v>51</v>
      </c>
      <c r="F209" t="s">
        <v>44</v>
      </c>
      <c r="G209" t="s">
        <v>77</v>
      </c>
      <c r="H209" t="s">
        <v>78</v>
      </c>
      <c r="I209">
        <v>141</v>
      </c>
      <c r="J209" s="4">
        <f t="shared" si="12"/>
        <v>6.3295299807484717E-2</v>
      </c>
      <c r="K209" t="s">
        <v>43</v>
      </c>
    </row>
    <row r="210" spans="1:11" x14ac:dyDescent="0.35">
      <c r="A210" t="s">
        <v>81</v>
      </c>
      <c r="B210" t="s">
        <v>54</v>
      </c>
      <c r="C210">
        <v>2015</v>
      </c>
      <c r="D210" s="3">
        <v>54.09</v>
      </c>
      <c r="E210" t="s">
        <v>82</v>
      </c>
      <c r="F210" t="s">
        <v>39</v>
      </c>
      <c r="G210" t="s">
        <v>68</v>
      </c>
      <c r="H210" t="s">
        <v>41</v>
      </c>
      <c r="I210">
        <v>312</v>
      </c>
      <c r="K210" t="s">
        <v>42</v>
      </c>
    </row>
    <row r="211" spans="1:11" x14ac:dyDescent="0.35">
      <c r="A211" t="s">
        <v>81</v>
      </c>
      <c r="B211" t="s">
        <v>54</v>
      </c>
      <c r="C211">
        <v>2016</v>
      </c>
      <c r="D211" s="3">
        <v>57.91</v>
      </c>
      <c r="E211" t="s">
        <v>82</v>
      </c>
      <c r="F211" t="s">
        <v>39</v>
      </c>
      <c r="G211" t="s">
        <v>68</v>
      </c>
      <c r="H211" t="s">
        <v>41</v>
      </c>
      <c r="I211">
        <v>313</v>
      </c>
      <c r="J211" s="4">
        <f t="shared" ref="J211:J225" si="13">IF(D210=0,"",D211/D210-1)</f>
        <v>7.0623035681271817E-2</v>
      </c>
      <c r="K211" t="s">
        <v>43</v>
      </c>
    </row>
    <row r="212" spans="1:11" x14ac:dyDescent="0.35">
      <c r="A212" t="s">
        <v>81</v>
      </c>
      <c r="B212" t="s">
        <v>54</v>
      </c>
      <c r="C212">
        <v>2017</v>
      </c>
      <c r="D212" s="3">
        <v>62.2</v>
      </c>
      <c r="E212" t="s">
        <v>82</v>
      </c>
      <c r="F212" t="s">
        <v>39</v>
      </c>
      <c r="G212" t="s">
        <v>68</v>
      </c>
      <c r="H212" t="s">
        <v>41</v>
      </c>
      <c r="I212">
        <v>314</v>
      </c>
      <c r="J212" s="4">
        <f t="shared" si="13"/>
        <v>7.4080469694353335E-2</v>
      </c>
      <c r="K212" t="s">
        <v>43</v>
      </c>
    </row>
    <row r="213" spans="1:11" x14ac:dyDescent="0.35">
      <c r="A213" t="s">
        <v>81</v>
      </c>
      <c r="B213" t="s">
        <v>54</v>
      </c>
      <c r="C213">
        <v>2018</v>
      </c>
      <c r="D213" s="3">
        <v>67.319999999999993</v>
      </c>
      <c r="E213" t="s">
        <v>82</v>
      </c>
      <c r="F213" t="s">
        <v>39</v>
      </c>
      <c r="G213" t="s">
        <v>68</v>
      </c>
      <c r="H213" t="s">
        <v>41</v>
      </c>
      <c r="I213">
        <v>315</v>
      </c>
      <c r="J213" s="4">
        <f t="shared" si="13"/>
        <v>8.2315112540192859E-2</v>
      </c>
      <c r="K213" t="s">
        <v>43</v>
      </c>
    </row>
    <row r="214" spans="1:11" x14ac:dyDescent="0.35">
      <c r="A214" t="s">
        <v>81</v>
      </c>
      <c r="B214" t="s">
        <v>54</v>
      </c>
      <c r="C214">
        <v>2019</v>
      </c>
      <c r="D214" s="3">
        <v>69.78</v>
      </c>
      <c r="E214" t="s">
        <v>82</v>
      </c>
      <c r="F214" t="s">
        <v>39</v>
      </c>
      <c r="G214" t="s">
        <v>68</v>
      </c>
      <c r="H214" t="s">
        <v>41</v>
      </c>
      <c r="I214">
        <v>316</v>
      </c>
      <c r="J214" s="4">
        <f t="shared" si="13"/>
        <v>3.6541889483066026E-2</v>
      </c>
      <c r="K214" t="s">
        <v>43</v>
      </c>
    </row>
    <row r="215" spans="1:11" x14ac:dyDescent="0.35">
      <c r="A215" t="s">
        <v>81</v>
      </c>
      <c r="B215" t="s">
        <v>54</v>
      </c>
      <c r="C215">
        <v>2020</v>
      </c>
      <c r="D215" s="3">
        <v>57.06</v>
      </c>
      <c r="E215" t="s">
        <v>82</v>
      </c>
      <c r="F215" t="s">
        <v>39</v>
      </c>
      <c r="G215" t="s">
        <v>68</v>
      </c>
      <c r="H215" t="s">
        <v>41</v>
      </c>
      <c r="I215">
        <v>317</v>
      </c>
      <c r="J215" s="4">
        <f t="shared" si="13"/>
        <v>-0.18228718830610491</v>
      </c>
      <c r="K215" t="s">
        <v>43</v>
      </c>
    </row>
    <row r="216" spans="1:11" x14ac:dyDescent="0.35">
      <c r="A216" t="s">
        <v>81</v>
      </c>
      <c r="B216" t="s">
        <v>54</v>
      </c>
      <c r="C216">
        <v>2021</v>
      </c>
      <c r="D216" s="3">
        <v>67.400000000000006</v>
      </c>
      <c r="E216" t="s">
        <v>82</v>
      </c>
      <c r="F216" t="s">
        <v>39</v>
      </c>
      <c r="G216" t="s">
        <v>68</v>
      </c>
      <c r="H216" t="s">
        <v>41</v>
      </c>
      <c r="I216">
        <v>318</v>
      </c>
      <c r="J216" s="4">
        <f t="shared" si="13"/>
        <v>0.18121275849982488</v>
      </c>
      <c r="K216" t="s">
        <v>43</v>
      </c>
    </row>
    <row r="217" spans="1:11" x14ac:dyDescent="0.35">
      <c r="A217" t="s">
        <v>81</v>
      </c>
      <c r="B217" t="s">
        <v>54</v>
      </c>
      <c r="C217">
        <v>2022</v>
      </c>
      <c r="D217" s="3">
        <v>76.48</v>
      </c>
      <c r="E217" t="s">
        <v>82</v>
      </c>
      <c r="F217" t="s">
        <v>39</v>
      </c>
      <c r="G217" t="s">
        <v>68</v>
      </c>
      <c r="H217" t="s">
        <v>41</v>
      </c>
      <c r="I217">
        <v>319</v>
      </c>
      <c r="J217" s="4">
        <f t="shared" si="13"/>
        <v>0.13471810089020764</v>
      </c>
      <c r="K217" t="s">
        <v>43</v>
      </c>
    </row>
    <row r="218" spans="1:11" x14ac:dyDescent="0.35">
      <c r="A218" t="s">
        <v>81</v>
      </c>
      <c r="B218" t="s">
        <v>54</v>
      </c>
      <c r="C218">
        <v>2023</v>
      </c>
      <c r="D218" s="3">
        <v>83.82</v>
      </c>
      <c r="E218" t="s">
        <v>82</v>
      </c>
      <c r="F218" t="s">
        <v>39</v>
      </c>
      <c r="G218" t="s">
        <v>40</v>
      </c>
      <c r="H218" t="s">
        <v>41</v>
      </c>
      <c r="I218">
        <v>320</v>
      </c>
      <c r="J218" s="4">
        <f t="shared" si="13"/>
        <v>9.59728033472802E-2</v>
      </c>
      <c r="K218" t="s">
        <v>43</v>
      </c>
    </row>
    <row r="219" spans="1:11" x14ac:dyDescent="0.35">
      <c r="A219" t="s">
        <v>81</v>
      </c>
      <c r="B219" t="s">
        <v>54</v>
      </c>
      <c r="C219">
        <v>2024</v>
      </c>
      <c r="D219" s="3">
        <v>86.56</v>
      </c>
      <c r="E219" t="s">
        <v>82</v>
      </c>
      <c r="F219" t="s">
        <v>39</v>
      </c>
      <c r="G219" t="s">
        <v>40</v>
      </c>
      <c r="H219" t="s">
        <v>41</v>
      </c>
      <c r="I219">
        <v>321</v>
      </c>
      <c r="J219" s="4">
        <f t="shared" si="13"/>
        <v>3.2689095681221803E-2</v>
      </c>
      <c r="K219" t="s">
        <v>43</v>
      </c>
    </row>
    <row r="220" spans="1:11" x14ac:dyDescent="0.35">
      <c r="A220" t="s">
        <v>81</v>
      </c>
      <c r="B220" t="s">
        <v>54</v>
      </c>
      <c r="C220">
        <v>2025</v>
      </c>
      <c r="D220" s="3">
        <v>90.7</v>
      </c>
      <c r="E220" t="s">
        <v>82</v>
      </c>
      <c r="F220" t="s">
        <v>39</v>
      </c>
      <c r="G220" t="s">
        <v>40</v>
      </c>
      <c r="H220" t="s">
        <v>41</v>
      </c>
      <c r="I220">
        <v>322</v>
      </c>
      <c r="J220" s="4">
        <f t="shared" si="13"/>
        <v>4.7828096118299523E-2</v>
      </c>
      <c r="K220" t="s">
        <v>43</v>
      </c>
    </row>
    <row r="221" spans="1:11" x14ac:dyDescent="0.35">
      <c r="A221" t="s">
        <v>81</v>
      </c>
      <c r="B221" t="s">
        <v>54</v>
      </c>
      <c r="C221">
        <v>2026</v>
      </c>
      <c r="D221" s="3">
        <v>96.61</v>
      </c>
      <c r="E221" t="s">
        <v>82</v>
      </c>
      <c r="F221" t="s">
        <v>44</v>
      </c>
      <c r="G221" t="s">
        <v>40</v>
      </c>
      <c r="H221" t="s">
        <v>78</v>
      </c>
      <c r="I221">
        <v>195</v>
      </c>
      <c r="J221" s="4">
        <f t="shared" si="13"/>
        <v>6.5159867695700147E-2</v>
      </c>
      <c r="K221" t="s">
        <v>43</v>
      </c>
    </row>
    <row r="222" spans="1:11" x14ac:dyDescent="0.35">
      <c r="A222" t="s">
        <v>81</v>
      </c>
      <c r="B222" t="s">
        <v>54</v>
      </c>
      <c r="C222">
        <v>2027</v>
      </c>
      <c r="D222" s="3">
        <v>101.83</v>
      </c>
      <c r="E222" t="s">
        <v>82</v>
      </c>
      <c r="F222" t="s">
        <v>44</v>
      </c>
      <c r="G222" t="s">
        <v>40</v>
      </c>
      <c r="H222" t="s">
        <v>78</v>
      </c>
      <c r="I222">
        <v>196</v>
      </c>
      <c r="J222" s="4">
        <f t="shared" si="13"/>
        <v>5.4031673739778574E-2</v>
      </c>
      <c r="K222" t="s">
        <v>43</v>
      </c>
    </row>
    <row r="223" spans="1:11" x14ac:dyDescent="0.35">
      <c r="A223" t="s">
        <v>81</v>
      </c>
      <c r="B223" t="s">
        <v>54</v>
      </c>
      <c r="C223">
        <v>2028</v>
      </c>
      <c r="D223" s="3">
        <v>106.92</v>
      </c>
      <c r="E223" t="s">
        <v>82</v>
      </c>
      <c r="F223" t="s">
        <v>44</v>
      </c>
      <c r="G223" t="s">
        <v>40</v>
      </c>
      <c r="H223" t="s">
        <v>78</v>
      </c>
      <c r="I223">
        <v>197</v>
      </c>
      <c r="J223" s="4">
        <f t="shared" si="13"/>
        <v>4.9985269566925394E-2</v>
      </c>
      <c r="K223" t="s">
        <v>43</v>
      </c>
    </row>
    <row r="224" spans="1:11" x14ac:dyDescent="0.35">
      <c r="A224" t="s">
        <v>81</v>
      </c>
      <c r="B224" t="s">
        <v>54</v>
      </c>
      <c r="C224">
        <v>2029</v>
      </c>
      <c r="D224" s="3">
        <v>112.29</v>
      </c>
      <c r="E224" t="s">
        <v>82</v>
      </c>
      <c r="F224" t="s">
        <v>44</v>
      </c>
      <c r="G224" t="s">
        <v>40</v>
      </c>
      <c r="H224" t="s">
        <v>78</v>
      </c>
      <c r="I224">
        <v>198</v>
      </c>
      <c r="J224" s="4">
        <f t="shared" si="13"/>
        <v>5.0224466891133579E-2</v>
      </c>
      <c r="K224" t="s">
        <v>43</v>
      </c>
    </row>
    <row r="225" spans="1:11" x14ac:dyDescent="0.35">
      <c r="A225" t="s">
        <v>81</v>
      </c>
      <c r="B225" t="s">
        <v>54</v>
      </c>
      <c r="C225">
        <v>2030</v>
      </c>
      <c r="D225" s="3">
        <v>117.91</v>
      </c>
      <c r="E225" t="s">
        <v>82</v>
      </c>
      <c r="F225" t="s">
        <v>44</v>
      </c>
      <c r="G225" t="s">
        <v>40</v>
      </c>
      <c r="H225" t="s">
        <v>78</v>
      </c>
      <c r="I225">
        <v>199</v>
      </c>
      <c r="J225" s="4">
        <f t="shared" si="13"/>
        <v>5.0048980318817327E-2</v>
      </c>
      <c r="K225" t="s">
        <v>43</v>
      </c>
    </row>
    <row r="226" spans="1:11" x14ac:dyDescent="0.35">
      <c r="A226" t="s">
        <v>83</v>
      </c>
      <c r="B226" t="s">
        <v>54</v>
      </c>
      <c r="C226">
        <v>2015</v>
      </c>
      <c r="D226" s="3">
        <v>188.48</v>
      </c>
      <c r="E226" t="s">
        <v>84</v>
      </c>
      <c r="F226" t="s">
        <v>39</v>
      </c>
      <c r="G226" t="s">
        <v>59</v>
      </c>
      <c r="H226" t="s">
        <v>41</v>
      </c>
      <c r="I226">
        <v>334</v>
      </c>
      <c r="K226" t="s">
        <v>42</v>
      </c>
    </row>
    <row r="227" spans="1:11" x14ac:dyDescent="0.35">
      <c r="A227" t="s">
        <v>83</v>
      </c>
      <c r="B227" t="s">
        <v>54</v>
      </c>
      <c r="C227">
        <v>2016</v>
      </c>
      <c r="D227" s="3">
        <v>204.65</v>
      </c>
      <c r="E227" t="s">
        <v>84</v>
      </c>
      <c r="F227" t="s">
        <v>39</v>
      </c>
      <c r="G227" t="s">
        <v>59</v>
      </c>
      <c r="H227" t="s">
        <v>41</v>
      </c>
      <c r="I227">
        <v>335</v>
      </c>
      <c r="J227" s="4">
        <f t="shared" ref="J227:J241" si="14">IF(D226=0,"",D227/D226-1)</f>
        <v>8.5791595925297282E-2</v>
      </c>
      <c r="K227" t="s">
        <v>43</v>
      </c>
    </row>
    <row r="228" spans="1:11" x14ac:dyDescent="0.35">
      <c r="A228" t="s">
        <v>83</v>
      </c>
      <c r="B228" t="s">
        <v>54</v>
      </c>
      <c r="C228">
        <v>2017</v>
      </c>
      <c r="D228" s="3">
        <v>219.12</v>
      </c>
      <c r="E228" t="s">
        <v>84</v>
      </c>
      <c r="F228" t="s">
        <v>39</v>
      </c>
      <c r="G228" t="s">
        <v>59</v>
      </c>
      <c r="H228" t="s">
        <v>41</v>
      </c>
      <c r="I228">
        <v>336</v>
      </c>
      <c r="J228" s="4">
        <f t="shared" si="14"/>
        <v>7.070608355729302E-2</v>
      </c>
      <c r="K228" t="s">
        <v>43</v>
      </c>
    </row>
    <row r="229" spans="1:11" x14ac:dyDescent="0.35">
      <c r="A229" t="s">
        <v>83</v>
      </c>
      <c r="B229" t="s">
        <v>54</v>
      </c>
      <c r="C229">
        <v>2018</v>
      </c>
      <c r="D229" s="3">
        <v>230.58</v>
      </c>
      <c r="E229" t="s">
        <v>84</v>
      </c>
      <c r="F229" t="s">
        <v>39</v>
      </c>
      <c r="G229" t="s">
        <v>59</v>
      </c>
      <c r="H229" t="s">
        <v>41</v>
      </c>
      <c r="I229">
        <v>337</v>
      </c>
      <c r="J229" s="4">
        <f t="shared" si="14"/>
        <v>5.2300109529025196E-2</v>
      </c>
      <c r="K229" t="s">
        <v>43</v>
      </c>
    </row>
    <row r="230" spans="1:11" x14ac:dyDescent="0.35">
      <c r="A230" t="s">
        <v>83</v>
      </c>
      <c r="B230" t="s">
        <v>54</v>
      </c>
      <c r="C230">
        <v>2019</v>
      </c>
      <c r="D230" s="3">
        <v>236.68</v>
      </c>
      <c r="E230" t="s">
        <v>84</v>
      </c>
      <c r="F230" t="s">
        <v>39</v>
      </c>
      <c r="G230" t="s">
        <v>59</v>
      </c>
      <c r="H230" t="s">
        <v>41</v>
      </c>
      <c r="I230">
        <v>338</v>
      </c>
      <c r="J230" s="4">
        <f t="shared" si="14"/>
        <v>2.6455026455026509E-2</v>
      </c>
      <c r="K230" t="s">
        <v>43</v>
      </c>
    </row>
    <row r="231" spans="1:11" x14ac:dyDescent="0.35">
      <c r="A231" t="s">
        <v>83</v>
      </c>
      <c r="B231" t="s">
        <v>54</v>
      </c>
      <c r="C231">
        <v>2020</v>
      </c>
      <c r="D231" s="3">
        <v>239.91</v>
      </c>
      <c r="E231" t="s">
        <v>84</v>
      </c>
      <c r="F231" t="s">
        <v>39</v>
      </c>
      <c r="G231" t="s">
        <v>59</v>
      </c>
      <c r="H231" t="s">
        <v>41</v>
      </c>
      <c r="I231">
        <v>339</v>
      </c>
      <c r="J231" s="4">
        <f t="shared" si="14"/>
        <v>1.3647118472198683E-2</v>
      </c>
      <c r="K231" t="s">
        <v>43</v>
      </c>
    </row>
    <row r="232" spans="1:11" x14ac:dyDescent="0.35">
      <c r="A232" t="s">
        <v>83</v>
      </c>
      <c r="B232" t="s">
        <v>54</v>
      </c>
      <c r="C232">
        <v>2021</v>
      </c>
      <c r="D232" s="3">
        <v>270.54000000000002</v>
      </c>
      <c r="E232" t="s">
        <v>84</v>
      </c>
      <c r="F232" t="s">
        <v>39</v>
      </c>
      <c r="G232" t="s">
        <v>59</v>
      </c>
      <c r="H232" t="s">
        <v>41</v>
      </c>
      <c r="I232">
        <v>340</v>
      </c>
      <c r="J232" s="4">
        <f t="shared" si="14"/>
        <v>0.12767287732899857</v>
      </c>
      <c r="K232" t="s">
        <v>43</v>
      </c>
    </row>
    <row r="233" spans="1:11" x14ac:dyDescent="0.35">
      <c r="A233" t="s">
        <v>83</v>
      </c>
      <c r="B233" t="s">
        <v>54</v>
      </c>
      <c r="C233">
        <v>2022</v>
      </c>
      <c r="D233" s="3">
        <v>292.17</v>
      </c>
      <c r="E233" t="s">
        <v>84</v>
      </c>
      <c r="F233" t="s">
        <v>39</v>
      </c>
      <c r="G233" t="s">
        <v>59</v>
      </c>
      <c r="H233" t="s">
        <v>41</v>
      </c>
      <c r="I233">
        <v>341</v>
      </c>
      <c r="J233" s="4">
        <f t="shared" si="14"/>
        <v>7.9951208693723741E-2</v>
      </c>
      <c r="K233" t="s">
        <v>43</v>
      </c>
    </row>
    <row r="234" spans="1:11" x14ac:dyDescent="0.35">
      <c r="A234" t="s">
        <v>83</v>
      </c>
      <c r="B234" t="s">
        <v>54</v>
      </c>
      <c r="C234">
        <v>2023</v>
      </c>
      <c r="D234" s="3">
        <v>314.45</v>
      </c>
      <c r="E234" t="s">
        <v>84</v>
      </c>
      <c r="F234" t="s">
        <v>39</v>
      </c>
      <c r="G234" t="s">
        <v>59</v>
      </c>
      <c r="H234" t="s">
        <v>41</v>
      </c>
      <c r="I234">
        <v>342</v>
      </c>
      <c r="J234" s="4">
        <f t="shared" si="14"/>
        <v>7.6256973679706963E-2</v>
      </c>
      <c r="K234" t="s">
        <v>43</v>
      </c>
    </row>
    <row r="235" spans="1:11" x14ac:dyDescent="0.35">
      <c r="A235" t="s">
        <v>83</v>
      </c>
      <c r="B235" t="s">
        <v>54</v>
      </c>
      <c r="C235">
        <v>2024</v>
      </c>
      <c r="D235" s="3">
        <v>338.24</v>
      </c>
      <c r="E235" t="s">
        <v>84</v>
      </c>
      <c r="F235" t="s">
        <v>39</v>
      </c>
      <c r="G235" t="s">
        <v>52</v>
      </c>
      <c r="H235" t="s">
        <v>41</v>
      </c>
      <c r="I235">
        <v>343</v>
      </c>
      <c r="J235" s="4">
        <f t="shared" si="14"/>
        <v>7.5655907139449807E-2</v>
      </c>
      <c r="K235" t="s">
        <v>43</v>
      </c>
    </row>
    <row r="236" spans="1:11" x14ac:dyDescent="0.35">
      <c r="A236" t="s">
        <v>83</v>
      </c>
      <c r="B236" t="s">
        <v>54</v>
      </c>
      <c r="C236">
        <v>2025</v>
      </c>
      <c r="D236" s="3">
        <v>371.83</v>
      </c>
      <c r="E236" t="s">
        <v>84</v>
      </c>
      <c r="F236" t="s">
        <v>39</v>
      </c>
      <c r="G236" t="s">
        <v>52</v>
      </c>
      <c r="H236" t="s">
        <v>41</v>
      </c>
      <c r="I236">
        <v>344</v>
      </c>
      <c r="J236" s="4">
        <f t="shared" si="14"/>
        <v>9.9308183538315831E-2</v>
      </c>
      <c r="K236" t="s">
        <v>43</v>
      </c>
    </row>
    <row r="237" spans="1:11" x14ac:dyDescent="0.35">
      <c r="A237" t="s">
        <v>83</v>
      </c>
      <c r="B237" t="s">
        <v>54</v>
      </c>
      <c r="C237">
        <v>2026</v>
      </c>
      <c r="D237" s="3">
        <v>401.18</v>
      </c>
      <c r="E237" t="s">
        <v>84</v>
      </c>
      <c r="F237" t="s">
        <v>39</v>
      </c>
      <c r="G237" t="s">
        <v>40</v>
      </c>
      <c r="H237" t="s">
        <v>78</v>
      </c>
      <c r="I237">
        <v>253</v>
      </c>
      <c r="J237" s="4">
        <f t="shared" si="14"/>
        <v>7.893392141570077E-2</v>
      </c>
      <c r="K237" t="s">
        <v>43</v>
      </c>
    </row>
    <row r="238" spans="1:11" x14ac:dyDescent="0.35">
      <c r="A238" t="s">
        <v>83</v>
      </c>
      <c r="B238" t="s">
        <v>54</v>
      </c>
      <c r="C238">
        <v>2027</v>
      </c>
      <c r="D238" s="3">
        <v>423.55</v>
      </c>
      <c r="E238" t="s">
        <v>84</v>
      </c>
      <c r="F238" t="s">
        <v>44</v>
      </c>
      <c r="G238" t="s">
        <v>40</v>
      </c>
      <c r="H238" t="s">
        <v>78</v>
      </c>
      <c r="I238">
        <v>254</v>
      </c>
      <c r="J238" s="4">
        <f t="shared" si="14"/>
        <v>5.5760506505807772E-2</v>
      </c>
      <c r="K238" t="s">
        <v>43</v>
      </c>
    </row>
    <row r="239" spans="1:11" x14ac:dyDescent="0.35">
      <c r="A239" t="s">
        <v>83</v>
      </c>
      <c r="B239" t="s">
        <v>54</v>
      </c>
      <c r="C239">
        <v>2028</v>
      </c>
      <c r="D239" s="3">
        <v>455.58</v>
      </c>
      <c r="E239" t="s">
        <v>84</v>
      </c>
      <c r="F239" t="s">
        <v>44</v>
      </c>
      <c r="G239" t="s">
        <v>40</v>
      </c>
      <c r="H239" t="s">
        <v>78</v>
      </c>
      <c r="I239">
        <v>255</v>
      </c>
      <c r="J239" s="4">
        <f t="shared" si="14"/>
        <v>7.5622712784795043E-2</v>
      </c>
      <c r="K239" t="s">
        <v>43</v>
      </c>
    </row>
    <row r="240" spans="1:11" x14ac:dyDescent="0.35">
      <c r="A240" t="s">
        <v>83</v>
      </c>
      <c r="B240" t="s">
        <v>54</v>
      </c>
      <c r="C240">
        <v>2029</v>
      </c>
      <c r="D240" s="3">
        <v>486.23</v>
      </c>
      <c r="E240" t="s">
        <v>84</v>
      </c>
      <c r="F240" t="s">
        <v>44</v>
      </c>
      <c r="G240" t="s">
        <v>40</v>
      </c>
      <c r="H240" t="s">
        <v>78</v>
      </c>
      <c r="I240">
        <v>256</v>
      </c>
      <c r="J240" s="4">
        <f t="shared" si="14"/>
        <v>6.7276877826067949E-2</v>
      </c>
      <c r="K240" t="s">
        <v>43</v>
      </c>
    </row>
    <row r="241" spans="1:11" x14ac:dyDescent="0.35">
      <c r="A241" t="s">
        <v>83</v>
      </c>
      <c r="B241" t="s">
        <v>54</v>
      </c>
      <c r="C241">
        <v>2030</v>
      </c>
      <c r="D241" s="3">
        <v>518.04</v>
      </c>
      <c r="E241" t="s">
        <v>84</v>
      </c>
      <c r="F241" t="s">
        <v>44</v>
      </c>
      <c r="G241" t="s">
        <v>40</v>
      </c>
      <c r="H241" t="s">
        <v>78</v>
      </c>
      <c r="I241">
        <v>257</v>
      </c>
      <c r="J241" s="4">
        <f t="shared" si="14"/>
        <v>6.5421714003660814E-2</v>
      </c>
      <c r="K241" t="s">
        <v>43</v>
      </c>
    </row>
    <row r="242" spans="1:11" x14ac:dyDescent="0.35">
      <c r="A242" t="s">
        <v>85</v>
      </c>
      <c r="B242" t="s">
        <v>54</v>
      </c>
      <c r="C242">
        <v>2015</v>
      </c>
      <c r="D242" s="3">
        <v>619.29</v>
      </c>
      <c r="E242" t="s">
        <v>86</v>
      </c>
      <c r="F242" t="s">
        <v>39</v>
      </c>
      <c r="G242" t="s">
        <v>40</v>
      </c>
      <c r="H242" t="s">
        <v>87</v>
      </c>
      <c r="I242">
        <v>53</v>
      </c>
      <c r="K242" t="s">
        <v>42</v>
      </c>
    </row>
    <row r="243" spans="1:11" x14ac:dyDescent="0.35">
      <c r="A243" t="s">
        <v>85</v>
      </c>
      <c r="B243" t="s">
        <v>54</v>
      </c>
      <c r="C243">
        <v>2016</v>
      </c>
      <c r="D243" s="3">
        <v>671.56</v>
      </c>
      <c r="E243" t="s">
        <v>86</v>
      </c>
      <c r="F243" t="s">
        <v>39</v>
      </c>
      <c r="G243" t="s">
        <v>40</v>
      </c>
      <c r="H243" t="s">
        <v>87</v>
      </c>
      <c r="I243">
        <v>54</v>
      </c>
      <c r="J243" s="4">
        <f t="shared" ref="J243:J257" si="15">IF(D242=0,"",D243/D242-1)</f>
        <v>8.4403106783574655E-2</v>
      </c>
      <c r="K243" t="s">
        <v>43</v>
      </c>
    </row>
    <row r="244" spans="1:11" x14ac:dyDescent="0.35">
      <c r="A244" t="s">
        <v>85</v>
      </c>
      <c r="B244" t="s">
        <v>54</v>
      </c>
      <c r="C244">
        <v>2017</v>
      </c>
      <c r="D244" s="3">
        <v>715.87</v>
      </c>
      <c r="E244" t="s">
        <v>86</v>
      </c>
      <c r="F244" t="s">
        <v>39</v>
      </c>
      <c r="G244" t="s">
        <v>40</v>
      </c>
      <c r="H244" t="s">
        <v>87</v>
      </c>
      <c r="I244">
        <v>55</v>
      </c>
      <c r="J244" s="4">
        <f t="shared" si="15"/>
        <v>6.5980701649889895E-2</v>
      </c>
      <c r="K244" t="s">
        <v>43</v>
      </c>
    </row>
    <row r="245" spans="1:11" x14ac:dyDescent="0.35">
      <c r="A245" t="s">
        <v>85</v>
      </c>
      <c r="B245" t="s">
        <v>54</v>
      </c>
      <c r="C245">
        <v>2018</v>
      </c>
      <c r="D245" s="3">
        <v>755.47</v>
      </c>
      <c r="E245" t="s">
        <v>86</v>
      </c>
      <c r="F245" t="s">
        <v>39</v>
      </c>
      <c r="G245" t="s">
        <v>40</v>
      </c>
      <c r="H245" t="s">
        <v>87</v>
      </c>
      <c r="I245">
        <v>56</v>
      </c>
      <c r="J245" s="4">
        <f t="shared" si="15"/>
        <v>5.5317306214815565E-2</v>
      </c>
      <c r="K245" t="s">
        <v>43</v>
      </c>
    </row>
    <row r="246" spans="1:11" x14ac:dyDescent="0.35">
      <c r="A246" t="s">
        <v>85</v>
      </c>
      <c r="B246" t="s">
        <v>54</v>
      </c>
      <c r="C246">
        <v>2019</v>
      </c>
      <c r="D246" s="3">
        <v>788.91</v>
      </c>
      <c r="E246" t="s">
        <v>86</v>
      </c>
      <c r="F246" t="s">
        <v>39</v>
      </c>
      <c r="G246" t="s">
        <v>40</v>
      </c>
      <c r="H246" t="s">
        <v>87</v>
      </c>
      <c r="I246">
        <v>57</v>
      </c>
      <c r="J246" s="4">
        <f t="shared" si="15"/>
        <v>4.4263835757872405E-2</v>
      </c>
      <c r="K246" t="s">
        <v>43</v>
      </c>
    </row>
    <row r="247" spans="1:11" x14ac:dyDescent="0.35">
      <c r="A247" t="s">
        <v>85</v>
      </c>
      <c r="B247" t="s">
        <v>54</v>
      </c>
      <c r="C247">
        <v>2020</v>
      </c>
      <c r="D247" s="3">
        <v>733.98</v>
      </c>
      <c r="E247" t="s">
        <v>86</v>
      </c>
      <c r="F247" t="s">
        <v>39</v>
      </c>
      <c r="G247" t="s">
        <v>40</v>
      </c>
      <c r="H247" t="s">
        <v>87</v>
      </c>
      <c r="I247">
        <v>58</v>
      </c>
      <c r="J247" s="4">
        <f t="shared" si="15"/>
        <v>-6.9627714187930123E-2</v>
      </c>
      <c r="K247" t="s">
        <v>43</v>
      </c>
    </row>
    <row r="248" spans="1:11" x14ac:dyDescent="0.35">
      <c r="A248" t="s">
        <v>85</v>
      </c>
      <c r="B248" t="s">
        <v>54</v>
      </c>
      <c r="C248">
        <v>2021</v>
      </c>
      <c r="D248" s="3">
        <v>892.25</v>
      </c>
      <c r="E248" t="s">
        <v>86</v>
      </c>
      <c r="F248" t="s">
        <v>39</v>
      </c>
      <c r="G248" t="s">
        <v>40</v>
      </c>
      <c r="H248" t="s">
        <v>87</v>
      </c>
      <c r="I248">
        <v>59</v>
      </c>
      <c r="J248" s="4">
        <f t="shared" si="15"/>
        <v>0.21563257854437445</v>
      </c>
      <c r="K248" t="s">
        <v>43</v>
      </c>
    </row>
    <row r="249" spans="1:11" x14ac:dyDescent="0.35">
      <c r="A249" t="s">
        <v>85</v>
      </c>
      <c r="B249" t="s">
        <v>54</v>
      </c>
      <c r="C249">
        <v>2022</v>
      </c>
      <c r="D249" s="3">
        <v>952.4</v>
      </c>
      <c r="E249" t="s">
        <v>86</v>
      </c>
      <c r="F249" t="s">
        <v>39</v>
      </c>
      <c r="G249" t="s">
        <v>40</v>
      </c>
      <c r="H249" t="s">
        <v>87</v>
      </c>
      <c r="I249">
        <v>60</v>
      </c>
      <c r="J249" s="4">
        <f t="shared" si="15"/>
        <v>6.7413841412160336E-2</v>
      </c>
      <c r="K249" t="s">
        <v>43</v>
      </c>
    </row>
    <row r="250" spans="1:11" x14ac:dyDescent="0.35">
      <c r="A250" t="s">
        <v>85</v>
      </c>
      <c r="B250" t="s">
        <v>54</v>
      </c>
      <c r="C250">
        <v>2023</v>
      </c>
      <c r="D250" s="3">
        <v>1018.13</v>
      </c>
      <c r="E250" t="s">
        <v>86</v>
      </c>
      <c r="F250" t="s">
        <v>39</v>
      </c>
      <c r="G250" t="s">
        <v>88</v>
      </c>
      <c r="H250" t="s">
        <v>87</v>
      </c>
      <c r="I250">
        <v>61</v>
      </c>
      <c r="J250" s="4">
        <f t="shared" si="15"/>
        <v>6.9015119697606098E-2</v>
      </c>
      <c r="K250" t="s">
        <v>43</v>
      </c>
    </row>
    <row r="251" spans="1:11" x14ac:dyDescent="0.35">
      <c r="A251" t="s">
        <v>85</v>
      </c>
      <c r="B251" t="s">
        <v>54</v>
      </c>
      <c r="C251">
        <v>2024</v>
      </c>
      <c r="D251" s="3">
        <v>1109.22</v>
      </c>
      <c r="E251" t="s">
        <v>86</v>
      </c>
      <c r="F251" t="s">
        <v>39</v>
      </c>
      <c r="G251" t="s">
        <v>40</v>
      </c>
      <c r="H251" t="s">
        <v>87</v>
      </c>
      <c r="I251">
        <v>62</v>
      </c>
      <c r="J251" s="4">
        <f t="shared" si="15"/>
        <v>8.9467946136544407E-2</v>
      </c>
      <c r="K251" t="s">
        <v>43</v>
      </c>
    </row>
    <row r="252" spans="1:11" x14ac:dyDescent="0.35">
      <c r="A252" t="s">
        <v>85</v>
      </c>
      <c r="B252" t="s">
        <v>54</v>
      </c>
      <c r="C252">
        <v>2025</v>
      </c>
      <c r="D252" s="3">
        <v>1213.9000000000001</v>
      </c>
      <c r="E252" t="s">
        <v>86</v>
      </c>
      <c r="F252" t="s">
        <v>39</v>
      </c>
      <c r="G252" t="s">
        <v>89</v>
      </c>
      <c r="H252" t="s">
        <v>87</v>
      </c>
      <c r="I252">
        <v>63</v>
      </c>
      <c r="J252" s="4">
        <f t="shared" si="15"/>
        <v>9.4372622202989476E-2</v>
      </c>
      <c r="K252" t="s">
        <v>43</v>
      </c>
    </row>
    <row r="253" spans="1:11" x14ac:dyDescent="0.35">
      <c r="A253" t="s">
        <v>85</v>
      </c>
      <c r="B253" t="s">
        <v>54</v>
      </c>
      <c r="C253">
        <v>2026</v>
      </c>
      <c r="D253" s="3">
        <v>1343.24</v>
      </c>
      <c r="E253" t="s">
        <v>86</v>
      </c>
      <c r="F253" t="s">
        <v>44</v>
      </c>
      <c r="G253" t="s">
        <v>40</v>
      </c>
      <c r="H253" t="s">
        <v>87</v>
      </c>
      <c r="I253">
        <v>64</v>
      </c>
      <c r="J253" s="4">
        <f t="shared" si="15"/>
        <v>0.10654913913831443</v>
      </c>
      <c r="K253" t="s">
        <v>43</v>
      </c>
    </row>
    <row r="254" spans="1:11" x14ac:dyDescent="0.35">
      <c r="A254" t="s">
        <v>85</v>
      </c>
      <c r="B254" t="s">
        <v>54</v>
      </c>
      <c r="C254">
        <v>2027</v>
      </c>
      <c r="D254" s="3">
        <v>1422.81</v>
      </c>
      <c r="E254" t="s">
        <v>86</v>
      </c>
      <c r="F254" t="s">
        <v>44</v>
      </c>
      <c r="G254" t="s">
        <v>40</v>
      </c>
      <c r="H254" t="s">
        <v>87</v>
      </c>
      <c r="I254">
        <v>65</v>
      </c>
      <c r="J254" s="4">
        <f t="shared" si="15"/>
        <v>5.9237366367886457E-2</v>
      </c>
      <c r="K254" t="s">
        <v>43</v>
      </c>
    </row>
    <row r="255" spans="1:11" x14ac:dyDescent="0.35">
      <c r="A255" t="s">
        <v>85</v>
      </c>
      <c r="B255" t="s">
        <v>54</v>
      </c>
      <c r="C255">
        <v>2028</v>
      </c>
      <c r="D255" s="3">
        <v>1496.79</v>
      </c>
      <c r="E255" t="s">
        <v>86</v>
      </c>
      <c r="F255" t="s">
        <v>44</v>
      </c>
      <c r="G255" t="s">
        <v>40</v>
      </c>
      <c r="H255" t="s">
        <v>87</v>
      </c>
      <c r="I255">
        <v>66</v>
      </c>
      <c r="J255" s="4">
        <f t="shared" si="15"/>
        <v>5.1995698652666178E-2</v>
      </c>
      <c r="K255" t="s">
        <v>43</v>
      </c>
    </row>
    <row r="256" spans="1:11" x14ac:dyDescent="0.35">
      <c r="A256" t="s">
        <v>85</v>
      </c>
      <c r="B256" t="s">
        <v>54</v>
      </c>
      <c r="C256">
        <v>2029</v>
      </c>
      <c r="D256" s="3">
        <v>1572.11</v>
      </c>
      <c r="E256" t="s">
        <v>86</v>
      </c>
      <c r="F256" t="s">
        <v>44</v>
      </c>
      <c r="G256" t="s">
        <v>40</v>
      </c>
      <c r="H256" t="s">
        <v>87</v>
      </c>
      <c r="I256">
        <v>67</v>
      </c>
      <c r="J256" s="4">
        <f t="shared" si="15"/>
        <v>5.0321020316811182E-2</v>
      </c>
      <c r="K256" t="s">
        <v>43</v>
      </c>
    </row>
    <row r="257" spans="1:11" x14ac:dyDescent="0.35">
      <c r="A257" t="s">
        <v>85</v>
      </c>
      <c r="B257" t="s">
        <v>54</v>
      </c>
      <c r="C257">
        <v>2030</v>
      </c>
      <c r="D257" s="3">
        <v>1658.78</v>
      </c>
      <c r="E257" t="s">
        <v>86</v>
      </c>
      <c r="F257" t="s">
        <v>44</v>
      </c>
      <c r="G257" t="s">
        <v>40</v>
      </c>
      <c r="H257" t="s">
        <v>87</v>
      </c>
      <c r="I257">
        <v>68</v>
      </c>
      <c r="J257" s="4">
        <f t="shared" si="15"/>
        <v>5.5129730107944086E-2</v>
      </c>
      <c r="K257" t="s">
        <v>43</v>
      </c>
    </row>
    <row r="258" spans="1:11" x14ac:dyDescent="0.35">
      <c r="A258" t="s">
        <v>90</v>
      </c>
      <c r="B258" t="s">
        <v>54</v>
      </c>
      <c r="C258">
        <v>2015</v>
      </c>
      <c r="D258" s="3">
        <v>1620.07</v>
      </c>
      <c r="E258" t="s">
        <v>48</v>
      </c>
      <c r="F258" t="s">
        <v>39</v>
      </c>
      <c r="G258" t="s">
        <v>40</v>
      </c>
      <c r="H258" t="s">
        <v>87</v>
      </c>
      <c r="I258">
        <v>133</v>
      </c>
      <c r="K258" t="s">
        <v>42</v>
      </c>
    </row>
    <row r="259" spans="1:11" x14ac:dyDescent="0.35">
      <c r="A259" t="s">
        <v>90</v>
      </c>
      <c r="B259" t="s">
        <v>54</v>
      </c>
      <c r="C259">
        <v>2016</v>
      </c>
      <c r="D259" s="3">
        <v>1733.77</v>
      </c>
      <c r="E259" t="s">
        <v>48</v>
      </c>
      <c r="F259" t="s">
        <v>39</v>
      </c>
      <c r="G259" t="s">
        <v>40</v>
      </c>
      <c r="H259" t="s">
        <v>87</v>
      </c>
      <c r="I259">
        <v>134</v>
      </c>
      <c r="J259" s="4">
        <f t="shared" ref="J259:J273" si="16">IF(D258=0,"",D259/D258-1)</f>
        <v>7.0182152623034844E-2</v>
      </c>
      <c r="K259" t="s">
        <v>43</v>
      </c>
    </row>
    <row r="260" spans="1:11" x14ac:dyDescent="0.35">
      <c r="A260" t="s">
        <v>90</v>
      </c>
      <c r="B260" t="s">
        <v>54</v>
      </c>
      <c r="C260">
        <v>2017</v>
      </c>
      <c r="D260" s="3">
        <v>1864.14</v>
      </c>
      <c r="E260" t="s">
        <v>48</v>
      </c>
      <c r="F260" t="s">
        <v>39</v>
      </c>
      <c r="G260" t="s">
        <v>40</v>
      </c>
      <c r="H260" t="s">
        <v>87</v>
      </c>
      <c r="I260">
        <v>135</v>
      </c>
      <c r="J260" s="4">
        <f t="shared" si="16"/>
        <v>7.5194518304042779E-2</v>
      </c>
      <c r="K260" t="s">
        <v>43</v>
      </c>
    </row>
    <row r="261" spans="1:11" x14ac:dyDescent="0.35">
      <c r="A261" t="s">
        <v>90</v>
      </c>
      <c r="B261" t="s">
        <v>54</v>
      </c>
      <c r="C261">
        <v>2018</v>
      </c>
      <c r="D261" s="3">
        <v>2007.73</v>
      </c>
      <c r="E261" t="s">
        <v>48</v>
      </c>
      <c r="F261" t="s">
        <v>39</v>
      </c>
      <c r="G261" t="s">
        <v>40</v>
      </c>
      <c r="H261" t="s">
        <v>87</v>
      </c>
      <c r="I261">
        <v>136</v>
      </c>
      <c r="J261" s="4">
        <f t="shared" si="16"/>
        <v>7.702747647708863E-2</v>
      </c>
      <c r="K261" t="s">
        <v>43</v>
      </c>
    </row>
    <row r="262" spans="1:11" x14ac:dyDescent="0.35">
      <c r="A262" t="s">
        <v>90</v>
      </c>
      <c r="B262" t="s">
        <v>54</v>
      </c>
      <c r="C262">
        <v>2019</v>
      </c>
      <c r="D262" s="3">
        <v>2193.67</v>
      </c>
      <c r="E262" t="s">
        <v>48</v>
      </c>
      <c r="F262" t="s">
        <v>39</v>
      </c>
      <c r="G262" t="s">
        <v>40</v>
      </c>
      <c r="H262" t="s">
        <v>87</v>
      </c>
      <c r="I262">
        <v>137</v>
      </c>
      <c r="J262" s="4">
        <f t="shared" si="16"/>
        <v>9.2612054409706435E-2</v>
      </c>
      <c r="K262" t="s">
        <v>43</v>
      </c>
    </row>
    <row r="263" spans="1:11" x14ac:dyDescent="0.35">
      <c r="A263" t="s">
        <v>90</v>
      </c>
      <c r="B263" t="s">
        <v>54</v>
      </c>
      <c r="C263">
        <v>2020</v>
      </c>
      <c r="D263" s="3">
        <v>2250.1999999999998</v>
      </c>
      <c r="E263" t="s">
        <v>48</v>
      </c>
      <c r="F263" t="s">
        <v>39</v>
      </c>
      <c r="G263" t="s">
        <v>40</v>
      </c>
      <c r="H263" t="s">
        <v>87</v>
      </c>
      <c r="I263">
        <v>138</v>
      </c>
      <c r="J263" s="4">
        <f t="shared" si="16"/>
        <v>2.5769600714783847E-2</v>
      </c>
      <c r="K263" t="s">
        <v>43</v>
      </c>
    </row>
    <row r="264" spans="1:11" x14ac:dyDescent="0.35">
      <c r="A264" t="s">
        <v>90</v>
      </c>
      <c r="B264" t="s">
        <v>54</v>
      </c>
      <c r="C264">
        <v>2021</v>
      </c>
      <c r="D264" s="3">
        <v>2645.46</v>
      </c>
      <c r="E264" t="s">
        <v>48</v>
      </c>
      <c r="F264" t="s">
        <v>39</v>
      </c>
      <c r="G264" t="s">
        <v>40</v>
      </c>
      <c r="H264" t="s">
        <v>87</v>
      </c>
      <c r="I264">
        <v>139</v>
      </c>
      <c r="J264" s="4">
        <f t="shared" si="16"/>
        <v>0.17565549728912999</v>
      </c>
      <c r="K264" t="s">
        <v>43</v>
      </c>
    </row>
    <row r="265" spans="1:11" x14ac:dyDescent="0.35">
      <c r="A265" t="s">
        <v>90</v>
      </c>
      <c r="B265" t="s">
        <v>54</v>
      </c>
      <c r="C265">
        <v>2022</v>
      </c>
      <c r="D265" s="3">
        <v>2933.06</v>
      </c>
      <c r="E265" t="s">
        <v>48</v>
      </c>
      <c r="F265" t="s">
        <v>39</v>
      </c>
      <c r="G265" t="s">
        <v>40</v>
      </c>
      <c r="H265" t="s">
        <v>87</v>
      </c>
      <c r="I265">
        <v>140</v>
      </c>
      <c r="J265" s="4">
        <f t="shared" si="16"/>
        <v>0.10871455247858597</v>
      </c>
      <c r="K265" t="s">
        <v>43</v>
      </c>
    </row>
    <row r="266" spans="1:11" x14ac:dyDescent="0.35">
      <c r="A266" t="s">
        <v>90</v>
      </c>
      <c r="B266" t="s">
        <v>54</v>
      </c>
      <c r="C266">
        <v>2023</v>
      </c>
      <c r="D266" s="3">
        <v>3075.19</v>
      </c>
      <c r="E266" t="s">
        <v>48</v>
      </c>
      <c r="F266" t="s">
        <v>39</v>
      </c>
      <c r="G266" t="s">
        <v>88</v>
      </c>
      <c r="H266" t="s">
        <v>87</v>
      </c>
      <c r="I266">
        <v>141</v>
      </c>
      <c r="J266" s="4">
        <f t="shared" si="16"/>
        <v>4.8457924488418236E-2</v>
      </c>
      <c r="K266" t="s">
        <v>43</v>
      </c>
    </row>
    <row r="267" spans="1:11" x14ac:dyDescent="0.35">
      <c r="A267" t="s">
        <v>90</v>
      </c>
      <c r="B267" t="s">
        <v>54</v>
      </c>
      <c r="C267">
        <v>2024</v>
      </c>
      <c r="D267" s="3">
        <v>3310.43</v>
      </c>
      <c r="E267" t="s">
        <v>48</v>
      </c>
      <c r="F267" t="s">
        <v>39</v>
      </c>
      <c r="G267" t="s">
        <v>88</v>
      </c>
      <c r="H267" t="s">
        <v>87</v>
      </c>
      <c r="I267">
        <v>142</v>
      </c>
      <c r="J267" s="4">
        <f t="shared" si="16"/>
        <v>7.649608642067629E-2</v>
      </c>
      <c r="K267" t="s">
        <v>43</v>
      </c>
    </row>
    <row r="268" spans="1:11" x14ac:dyDescent="0.35">
      <c r="A268" t="s">
        <v>90</v>
      </c>
      <c r="B268" t="s">
        <v>54</v>
      </c>
      <c r="C268">
        <v>2025</v>
      </c>
      <c r="D268" s="3">
        <v>3515.52</v>
      </c>
      <c r="E268" t="s">
        <v>48</v>
      </c>
      <c r="F268" t="s">
        <v>39</v>
      </c>
      <c r="G268" t="s">
        <v>88</v>
      </c>
      <c r="H268" t="s">
        <v>87</v>
      </c>
      <c r="I268">
        <v>143</v>
      </c>
      <c r="J268" s="4">
        <f t="shared" si="16"/>
        <v>6.1952676842585541E-2</v>
      </c>
      <c r="K268" t="s">
        <v>43</v>
      </c>
    </row>
    <row r="269" spans="1:11" x14ac:dyDescent="0.35">
      <c r="A269" t="s">
        <v>90</v>
      </c>
      <c r="B269" t="s">
        <v>54</v>
      </c>
      <c r="C269">
        <v>2026</v>
      </c>
      <c r="D269" s="3">
        <v>3688.2</v>
      </c>
      <c r="E269" t="s">
        <v>48</v>
      </c>
      <c r="F269" t="s">
        <v>44</v>
      </c>
      <c r="G269" t="s">
        <v>40</v>
      </c>
      <c r="H269" t="s">
        <v>87</v>
      </c>
      <c r="I269">
        <v>144</v>
      </c>
      <c r="J269" s="4">
        <f t="shared" si="16"/>
        <v>4.9119333697433154E-2</v>
      </c>
      <c r="K269" t="s">
        <v>43</v>
      </c>
    </row>
    <row r="270" spans="1:11" x14ac:dyDescent="0.35">
      <c r="A270" t="s">
        <v>90</v>
      </c>
      <c r="B270" t="s">
        <v>54</v>
      </c>
      <c r="C270">
        <v>2027</v>
      </c>
      <c r="D270" s="3">
        <v>3922.7</v>
      </c>
      <c r="E270" t="s">
        <v>48</v>
      </c>
      <c r="F270" t="s">
        <v>44</v>
      </c>
      <c r="G270" t="s">
        <v>40</v>
      </c>
      <c r="H270" t="s">
        <v>87</v>
      </c>
      <c r="I270">
        <v>145</v>
      </c>
      <c r="J270" s="4">
        <f t="shared" si="16"/>
        <v>6.3581150696816913E-2</v>
      </c>
      <c r="K270" t="s">
        <v>43</v>
      </c>
    </row>
    <row r="271" spans="1:11" x14ac:dyDescent="0.35">
      <c r="A271" t="s">
        <v>90</v>
      </c>
      <c r="B271" t="s">
        <v>54</v>
      </c>
      <c r="C271">
        <v>2028</v>
      </c>
      <c r="D271" s="3">
        <v>4210.25</v>
      </c>
      <c r="E271" t="s">
        <v>48</v>
      </c>
      <c r="F271" t="s">
        <v>44</v>
      </c>
      <c r="G271" t="s">
        <v>40</v>
      </c>
      <c r="H271" t="s">
        <v>87</v>
      </c>
      <c r="I271">
        <v>146</v>
      </c>
      <c r="J271" s="4">
        <f t="shared" si="16"/>
        <v>7.3304101766640484E-2</v>
      </c>
      <c r="K271" t="s">
        <v>43</v>
      </c>
    </row>
    <row r="272" spans="1:11" x14ac:dyDescent="0.35">
      <c r="A272" t="s">
        <v>90</v>
      </c>
      <c r="B272" t="s">
        <v>54</v>
      </c>
      <c r="C272">
        <v>2029</v>
      </c>
      <c r="D272" s="3">
        <v>4523.67</v>
      </c>
      <c r="E272" t="s">
        <v>48</v>
      </c>
      <c r="F272" t="s">
        <v>44</v>
      </c>
      <c r="G272" t="s">
        <v>40</v>
      </c>
      <c r="H272" t="s">
        <v>87</v>
      </c>
      <c r="I272">
        <v>147</v>
      </c>
      <c r="J272" s="4">
        <f t="shared" si="16"/>
        <v>7.4442135265126774E-2</v>
      </c>
      <c r="K272" t="s">
        <v>43</v>
      </c>
    </row>
    <row r="273" spans="1:11" x14ac:dyDescent="0.35">
      <c r="A273" t="s">
        <v>90</v>
      </c>
      <c r="B273" t="s">
        <v>54</v>
      </c>
      <c r="C273">
        <v>2030</v>
      </c>
      <c r="D273" s="3">
        <v>4854.6000000000004</v>
      </c>
      <c r="E273" t="s">
        <v>48</v>
      </c>
      <c r="F273" t="s">
        <v>44</v>
      </c>
      <c r="G273" t="s">
        <v>40</v>
      </c>
      <c r="H273" t="s">
        <v>87</v>
      </c>
      <c r="I273">
        <v>148</v>
      </c>
      <c r="J273" s="4">
        <f t="shared" si="16"/>
        <v>7.3155203628912036E-2</v>
      </c>
      <c r="K273" t="s">
        <v>43</v>
      </c>
    </row>
    <row r="274" spans="1:11" x14ac:dyDescent="0.35">
      <c r="A274" t="s">
        <v>91</v>
      </c>
      <c r="B274" t="s">
        <v>54</v>
      </c>
      <c r="C274">
        <v>2015</v>
      </c>
      <c r="D274" s="3">
        <v>0.08</v>
      </c>
      <c r="E274" t="s">
        <v>92</v>
      </c>
      <c r="F274" t="s">
        <v>39</v>
      </c>
      <c r="G274" t="s">
        <v>77</v>
      </c>
      <c r="H274" t="s">
        <v>87</v>
      </c>
      <c r="I274">
        <v>213</v>
      </c>
      <c r="K274" t="s">
        <v>42</v>
      </c>
    </row>
    <row r="275" spans="1:11" x14ac:dyDescent="0.35">
      <c r="A275" s="5" t="s">
        <v>91</v>
      </c>
      <c r="B275" s="5" t="s">
        <v>54</v>
      </c>
      <c r="C275" s="5">
        <v>2016</v>
      </c>
      <c r="D275" s="6">
        <v>0.28000000000000003</v>
      </c>
      <c r="E275" s="5" t="s">
        <v>92</v>
      </c>
      <c r="F275" s="5" t="s">
        <v>39</v>
      </c>
      <c r="G275" s="5" t="s">
        <v>77</v>
      </c>
      <c r="H275" s="5" t="s">
        <v>87</v>
      </c>
      <c r="I275" s="5">
        <v>214</v>
      </c>
      <c r="J275" s="7">
        <f t="shared" ref="J275:J289" si="17">IF(D274=0,"",D275/D274-1)</f>
        <v>2.5000000000000004</v>
      </c>
      <c r="K275" s="5" t="s">
        <v>11</v>
      </c>
    </row>
    <row r="276" spans="1:11" x14ac:dyDescent="0.35">
      <c r="A276" s="5" t="s">
        <v>91</v>
      </c>
      <c r="B276" s="5" t="s">
        <v>54</v>
      </c>
      <c r="C276" s="5">
        <v>2017</v>
      </c>
      <c r="D276" s="6">
        <v>2.0099999999999998</v>
      </c>
      <c r="E276" s="5" t="s">
        <v>92</v>
      </c>
      <c r="F276" s="5" t="s">
        <v>39</v>
      </c>
      <c r="G276" s="5" t="s">
        <v>77</v>
      </c>
      <c r="H276" s="5" t="s">
        <v>87</v>
      </c>
      <c r="I276" s="5">
        <v>215</v>
      </c>
      <c r="J276" s="7">
        <f t="shared" si="17"/>
        <v>6.178571428571427</v>
      </c>
      <c r="K276" s="5" t="s">
        <v>11</v>
      </c>
    </row>
    <row r="277" spans="1:11" x14ac:dyDescent="0.35">
      <c r="A277" s="5" t="s">
        <v>91</v>
      </c>
      <c r="B277" s="5" t="s">
        <v>54</v>
      </c>
      <c r="C277" s="5">
        <v>2018</v>
      </c>
      <c r="D277" s="6">
        <v>0</v>
      </c>
      <c r="E277" s="5" t="s">
        <v>92</v>
      </c>
      <c r="F277" s="5" t="s">
        <v>44</v>
      </c>
      <c r="G277" s="5" t="s">
        <v>77</v>
      </c>
      <c r="H277" s="5" t="s">
        <v>87</v>
      </c>
      <c r="I277" s="5">
        <v>216</v>
      </c>
      <c r="J277" s="7">
        <f t="shared" si="17"/>
        <v>-1</v>
      </c>
      <c r="K277" s="5" t="s">
        <v>11</v>
      </c>
    </row>
    <row r="278" spans="1:11" x14ac:dyDescent="0.35">
      <c r="A278" s="5" t="s">
        <v>91</v>
      </c>
      <c r="B278" s="5" t="s">
        <v>54</v>
      </c>
      <c r="C278" s="5">
        <v>2019</v>
      </c>
      <c r="D278" s="6">
        <v>0.31</v>
      </c>
      <c r="E278" s="5" t="s">
        <v>92</v>
      </c>
      <c r="F278" s="5" t="s">
        <v>44</v>
      </c>
      <c r="G278" s="5" t="s">
        <v>72</v>
      </c>
      <c r="H278" s="5" t="s">
        <v>87</v>
      </c>
      <c r="I278" s="5">
        <v>217</v>
      </c>
      <c r="J278" s="7" t="str">
        <f t="shared" si="17"/>
        <v/>
      </c>
      <c r="K278" s="5" t="s">
        <v>11</v>
      </c>
    </row>
    <row r="279" spans="1:11" x14ac:dyDescent="0.35">
      <c r="A279" s="5" t="s">
        <v>91</v>
      </c>
      <c r="B279" s="5" t="s">
        <v>54</v>
      </c>
      <c r="C279" s="5">
        <v>2020</v>
      </c>
      <c r="D279" s="6">
        <v>12.97</v>
      </c>
      <c r="E279" s="5" t="s">
        <v>92</v>
      </c>
      <c r="F279" s="5" t="s">
        <v>44</v>
      </c>
      <c r="G279" s="5" t="s">
        <v>77</v>
      </c>
      <c r="H279" s="5" t="s">
        <v>87</v>
      </c>
      <c r="I279" s="5">
        <v>218</v>
      </c>
      <c r="J279" s="7">
        <f t="shared" si="17"/>
        <v>40.838709677419359</v>
      </c>
      <c r="K279" s="5" t="s">
        <v>11</v>
      </c>
    </row>
    <row r="280" spans="1:11" x14ac:dyDescent="0.35">
      <c r="A280" s="5" t="s">
        <v>91</v>
      </c>
      <c r="B280" s="5" t="s">
        <v>54</v>
      </c>
      <c r="C280" s="5">
        <v>2021</v>
      </c>
      <c r="D280" s="6">
        <v>213.28</v>
      </c>
      <c r="E280" s="5" t="s">
        <v>92</v>
      </c>
      <c r="F280" s="5" t="s">
        <v>44</v>
      </c>
      <c r="G280" s="5" t="s">
        <v>77</v>
      </c>
      <c r="H280" s="5" t="s">
        <v>87</v>
      </c>
      <c r="I280" s="5">
        <v>219</v>
      </c>
      <c r="J280" s="7">
        <f t="shared" si="17"/>
        <v>15.444101773323052</v>
      </c>
      <c r="K280" s="5" t="s">
        <v>11</v>
      </c>
    </row>
    <row r="281" spans="1:11" x14ac:dyDescent="0.35">
      <c r="A281" s="5" t="s">
        <v>91</v>
      </c>
      <c r="B281" s="5" t="s">
        <v>54</v>
      </c>
      <c r="C281" s="5">
        <v>2022</v>
      </c>
      <c r="D281" s="6">
        <v>733.24</v>
      </c>
      <c r="E281" s="5" t="s">
        <v>92</v>
      </c>
      <c r="F281" s="5" t="s">
        <v>44</v>
      </c>
      <c r="G281" s="5" t="s">
        <v>77</v>
      </c>
      <c r="H281" s="5" t="s">
        <v>87</v>
      </c>
      <c r="I281" s="5">
        <v>220</v>
      </c>
      <c r="J281" s="7">
        <f t="shared" si="17"/>
        <v>2.437921980495124</v>
      </c>
      <c r="K281" s="5" t="s">
        <v>11</v>
      </c>
    </row>
    <row r="282" spans="1:11" x14ac:dyDescent="0.35">
      <c r="A282" s="5" t="s">
        <v>91</v>
      </c>
      <c r="B282" s="5" t="s">
        <v>54</v>
      </c>
      <c r="C282" s="5">
        <v>2023</v>
      </c>
      <c r="D282" s="6">
        <v>2172.21</v>
      </c>
      <c r="E282" s="5" t="s">
        <v>92</v>
      </c>
      <c r="F282" s="5" t="s">
        <v>44</v>
      </c>
      <c r="G282" s="5" t="s">
        <v>77</v>
      </c>
      <c r="H282" s="5" t="s">
        <v>87</v>
      </c>
      <c r="I282" s="5">
        <v>221</v>
      </c>
      <c r="J282" s="7">
        <f t="shared" si="17"/>
        <v>1.9624815885658173</v>
      </c>
      <c r="K282" s="5" t="s">
        <v>11</v>
      </c>
    </row>
    <row r="283" spans="1:11" x14ac:dyDescent="0.35">
      <c r="A283" s="5" t="s">
        <v>91</v>
      </c>
      <c r="B283" s="5" t="s">
        <v>54</v>
      </c>
      <c r="C283" s="5">
        <v>2024</v>
      </c>
      <c r="D283" s="6">
        <v>4376.58</v>
      </c>
      <c r="E283" s="5" t="s">
        <v>92</v>
      </c>
      <c r="F283" s="5" t="s">
        <v>44</v>
      </c>
      <c r="G283" s="5" t="s">
        <v>77</v>
      </c>
      <c r="H283" s="5" t="s">
        <v>87</v>
      </c>
      <c r="I283" s="5">
        <v>222</v>
      </c>
      <c r="J283" s="7">
        <f t="shared" si="17"/>
        <v>1.0148051983924207</v>
      </c>
      <c r="K283" s="5" t="s">
        <v>11</v>
      </c>
    </row>
    <row r="284" spans="1:11" x14ac:dyDescent="0.35">
      <c r="A284" s="5" t="s">
        <v>91</v>
      </c>
      <c r="B284" s="5" t="s">
        <v>54</v>
      </c>
      <c r="C284" s="5">
        <v>2025</v>
      </c>
      <c r="D284" s="6">
        <v>16671.53</v>
      </c>
      <c r="E284" s="5" t="s">
        <v>92</v>
      </c>
      <c r="F284" s="5" t="s">
        <v>44</v>
      </c>
      <c r="G284" s="5" t="s">
        <v>77</v>
      </c>
      <c r="H284" s="5" t="s">
        <v>87</v>
      </c>
      <c r="I284" s="5">
        <v>223</v>
      </c>
      <c r="J284" s="7">
        <f t="shared" si="17"/>
        <v>2.8092597416247389</v>
      </c>
      <c r="K284" s="5" t="s">
        <v>11</v>
      </c>
    </row>
    <row r="285" spans="1:11" x14ac:dyDescent="0.35">
      <c r="A285" s="5" t="s">
        <v>91</v>
      </c>
      <c r="B285" s="5" t="s">
        <v>54</v>
      </c>
      <c r="C285" s="5">
        <v>2026</v>
      </c>
      <c r="D285" s="6">
        <v>79820.160000000003</v>
      </c>
      <c r="E285" s="5" t="s">
        <v>92</v>
      </c>
      <c r="F285" s="5" t="s">
        <v>44</v>
      </c>
      <c r="G285" s="5" t="s">
        <v>77</v>
      </c>
      <c r="H285" s="5" t="s">
        <v>87</v>
      </c>
      <c r="I285" s="5">
        <v>224</v>
      </c>
      <c r="J285" s="7">
        <f t="shared" si="17"/>
        <v>3.7878125163077421</v>
      </c>
      <c r="K285" s="5" t="s">
        <v>11</v>
      </c>
    </row>
    <row r="286" spans="1:11" x14ac:dyDescent="0.35">
      <c r="A286" s="5" t="s">
        <v>91</v>
      </c>
      <c r="B286" s="5" t="s">
        <v>54</v>
      </c>
      <c r="C286" s="5">
        <v>2027</v>
      </c>
      <c r="D286" s="6">
        <v>145644.4</v>
      </c>
      <c r="E286" s="5" t="s">
        <v>92</v>
      </c>
      <c r="F286" s="5" t="s">
        <v>44</v>
      </c>
      <c r="G286" s="5" t="s">
        <v>77</v>
      </c>
      <c r="H286" s="5" t="s">
        <v>87</v>
      </c>
      <c r="I286" s="5">
        <v>225</v>
      </c>
      <c r="J286" s="7">
        <f t="shared" si="17"/>
        <v>0.82465682855058153</v>
      </c>
      <c r="K286" s="5" t="s">
        <v>11</v>
      </c>
    </row>
    <row r="287" spans="1:11" x14ac:dyDescent="0.35">
      <c r="A287" s="5" t="s">
        <v>91</v>
      </c>
      <c r="B287" s="5" t="s">
        <v>54</v>
      </c>
      <c r="C287" s="5">
        <v>2028</v>
      </c>
      <c r="D287" s="6">
        <v>201725.77</v>
      </c>
      <c r="E287" s="5" t="s">
        <v>92</v>
      </c>
      <c r="F287" s="5" t="s">
        <v>44</v>
      </c>
      <c r="G287" s="5" t="s">
        <v>77</v>
      </c>
      <c r="H287" s="5" t="s">
        <v>87</v>
      </c>
      <c r="I287" s="5">
        <v>226</v>
      </c>
      <c r="J287" s="7">
        <f t="shared" si="17"/>
        <v>0.38505682333134672</v>
      </c>
      <c r="K287" s="5" t="s">
        <v>11</v>
      </c>
    </row>
    <row r="288" spans="1:11" x14ac:dyDescent="0.35">
      <c r="A288" s="5" t="s">
        <v>91</v>
      </c>
      <c r="B288" s="5" t="s">
        <v>54</v>
      </c>
      <c r="C288" s="5">
        <v>2029</v>
      </c>
      <c r="D288" s="6">
        <v>253313.66</v>
      </c>
      <c r="E288" s="5" t="s">
        <v>92</v>
      </c>
      <c r="F288" s="5" t="s">
        <v>44</v>
      </c>
      <c r="G288" s="5" t="s">
        <v>77</v>
      </c>
      <c r="H288" s="5" t="s">
        <v>87</v>
      </c>
      <c r="I288" s="5">
        <v>227</v>
      </c>
      <c r="J288" s="7">
        <f t="shared" si="17"/>
        <v>0.25573277028512531</v>
      </c>
      <c r="K288" s="5" t="s">
        <v>11</v>
      </c>
    </row>
    <row r="289" spans="1:11" x14ac:dyDescent="0.35">
      <c r="A289" s="5" t="s">
        <v>91</v>
      </c>
      <c r="B289" s="5" t="s">
        <v>54</v>
      </c>
      <c r="C289" s="5">
        <v>2030</v>
      </c>
      <c r="D289" s="6">
        <v>296875.64</v>
      </c>
      <c r="E289" s="5" t="s">
        <v>92</v>
      </c>
      <c r="F289" s="5" t="s">
        <v>44</v>
      </c>
      <c r="G289" s="5" t="s">
        <v>77</v>
      </c>
      <c r="H289" s="5" t="s">
        <v>87</v>
      </c>
      <c r="I289" s="5">
        <v>228</v>
      </c>
      <c r="J289" s="7">
        <f t="shared" si="17"/>
        <v>0.17196853892522035</v>
      </c>
      <c r="K289" s="5" t="s">
        <v>11</v>
      </c>
    </row>
    <row r="290" spans="1:11" x14ac:dyDescent="0.35">
      <c r="A290" t="s">
        <v>93</v>
      </c>
      <c r="B290" t="s">
        <v>94</v>
      </c>
      <c r="C290">
        <v>2015</v>
      </c>
      <c r="D290" s="3">
        <v>1928.92</v>
      </c>
      <c r="E290" t="s">
        <v>95</v>
      </c>
      <c r="F290" t="s">
        <v>39</v>
      </c>
      <c r="G290" t="s">
        <v>40</v>
      </c>
      <c r="H290" t="s">
        <v>96</v>
      </c>
      <c r="I290">
        <v>42</v>
      </c>
      <c r="K290" t="s">
        <v>42</v>
      </c>
    </row>
    <row r="291" spans="1:11" x14ac:dyDescent="0.35">
      <c r="A291" t="s">
        <v>93</v>
      </c>
      <c r="B291" t="s">
        <v>94</v>
      </c>
      <c r="C291">
        <v>2016</v>
      </c>
      <c r="D291" s="3">
        <v>2005.53</v>
      </c>
      <c r="E291" t="s">
        <v>95</v>
      </c>
      <c r="F291" t="s">
        <v>39</v>
      </c>
      <c r="G291" t="s">
        <v>40</v>
      </c>
      <c r="H291" t="s">
        <v>96</v>
      </c>
      <c r="I291">
        <v>43</v>
      </c>
      <c r="J291" s="4">
        <f t="shared" ref="J291:J305" si="18">IF(D290=0,"",D291/D290-1)</f>
        <v>3.971652530949954E-2</v>
      </c>
      <c r="K291" t="s">
        <v>43</v>
      </c>
    </row>
    <row r="292" spans="1:11" x14ac:dyDescent="0.35">
      <c r="A292" t="s">
        <v>93</v>
      </c>
      <c r="B292" t="s">
        <v>94</v>
      </c>
      <c r="C292">
        <v>2017</v>
      </c>
      <c r="D292" s="3">
        <v>2102.41</v>
      </c>
      <c r="E292" t="s">
        <v>95</v>
      </c>
      <c r="F292" t="s">
        <v>39</v>
      </c>
      <c r="G292" t="s">
        <v>40</v>
      </c>
      <c r="H292" t="s">
        <v>96</v>
      </c>
      <c r="I292">
        <v>44</v>
      </c>
      <c r="J292" s="4">
        <f t="shared" si="18"/>
        <v>4.8306432713546954E-2</v>
      </c>
      <c r="K292" t="s">
        <v>43</v>
      </c>
    </row>
    <row r="293" spans="1:11" x14ac:dyDescent="0.35">
      <c r="A293" t="s">
        <v>93</v>
      </c>
      <c r="B293" t="s">
        <v>94</v>
      </c>
      <c r="C293">
        <v>2018</v>
      </c>
      <c r="D293" s="3">
        <v>2178.1</v>
      </c>
      <c r="E293" t="s">
        <v>95</v>
      </c>
      <c r="F293" t="s">
        <v>39</v>
      </c>
      <c r="G293" t="s">
        <v>40</v>
      </c>
      <c r="H293" t="s">
        <v>96</v>
      </c>
      <c r="I293">
        <v>45</v>
      </c>
      <c r="J293" s="4">
        <f t="shared" si="18"/>
        <v>3.6001541088560352E-2</v>
      </c>
      <c r="K293" t="s">
        <v>43</v>
      </c>
    </row>
    <row r="294" spans="1:11" x14ac:dyDescent="0.35">
      <c r="A294" t="s">
        <v>93</v>
      </c>
      <c r="B294" t="s">
        <v>94</v>
      </c>
      <c r="C294">
        <v>2019</v>
      </c>
      <c r="D294" s="3">
        <v>2263.4299999999998</v>
      </c>
      <c r="E294" t="s">
        <v>95</v>
      </c>
      <c r="F294" t="s">
        <v>39</v>
      </c>
      <c r="G294" t="s">
        <v>40</v>
      </c>
      <c r="H294" t="s">
        <v>96</v>
      </c>
      <c r="I294">
        <v>46</v>
      </c>
      <c r="J294" s="4">
        <f t="shared" si="18"/>
        <v>3.917634635691658E-2</v>
      </c>
      <c r="K294" t="s">
        <v>43</v>
      </c>
    </row>
    <row r="295" spans="1:11" x14ac:dyDescent="0.35">
      <c r="A295" t="s">
        <v>93</v>
      </c>
      <c r="B295" t="s">
        <v>94</v>
      </c>
      <c r="C295">
        <v>2020</v>
      </c>
      <c r="D295" s="3">
        <v>2131.73</v>
      </c>
      <c r="E295" t="s">
        <v>95</v>
      </c>
      <c r="F295" t="s">
        <v>39</v>
      </c>
      <c r="G295" t="s">
        <v>40</v>
      </c>
      <c r="H295" t="s">
        <v>96</v>
      </c>
      <c r="I295">
        <v>47</v>
      </c>
      <c r="J295" s="4">
        <f t="shared" si="18"/>
        <v>-5.8186027400891516E-2</v>
      </c>
      <c r="K295" t="s">
        <v>43</v>
      </c>
    </row>
    <row r="296" spans="1:11" x14ac:dyDescent="0.35">
      <c r="A296" t="s">
        <v>93</v>
      </c>
      <c r="B296" t="s">
        <v>94</v>
      </c>
      <c r="C296">
        <v>2021</v>
      </c>
      <c r="D296" s="3">
        <v>2332.85</v>
      </c>
      <c r="E296" t="s">
        <v>95</v>
      </c>
      <c r="F296" t="s">
        <v>39</v>
      </c>
      <c r="G296" t="s">
        <v>40</v>
      </c>
      <c r="H296" t="s">
        <v>96</v>
      </c>
      <c r="I296">
        <v>48</v>
      </c>
      <c r="J296" s="4">
        <f t="shared" si="18"/>
        <v>9.4345906845613614E-2</v>
      </c>
      <c r="K296" t="s">
        <v>43</v>
      </c>
    </row>
    <row r="297" spans="1:11" x14ac:dyDescent="0.35">
      <c r="A297" t="s">
        <v>93</v>
      </c>
      <c r="B297" t="s">
        <v>94</v>
      </c>
      <c r="C297">
        <v>2022</v>
      </c>
      <c r="D297" s="3">
        <v>2590.7600000000002</v>
      </c>
      <c r="E297" t="s">
        <v>95</v>
      </c>
      <c r="F297" t="s">
        <v>39</v>
      </c>
      <c r="G297" t="s">
        <v>40</v>
      </c>
      <c r="H297" t="s">
        <v>96</v>
      </c>
      <c r="I297">
        <v>49</v>
      </c>
      <c r="J297" s="4">
        <f t="shared" si="18"/>
        <v>0.11055575797843842</v>
      </c>
      <c r="K297" t="s">
        <v>43</v>
      </c>
    </row>
    <row r="298" spans="1:11" x14ac:dyDescent="0.35">
      <c r="A298" t="s">
        <v>93</v>
      </c>
      <c r="B298" t="s">
        <v>94</v>
      </c>
      <c r="C298">
        <v>2023</v>
      </c>
      <c r="D298" s="3">
        <v>2766.45</v>
      </c>
      <c r="E298" t="s">
        <v>95</v>
      </c>
      <c r="F298" t="s">
        <v>39</v>
      </c>
      <c r="G298" t="s">
        <v>40</v>
      </c>
      <c r="H298" t="s">
        <v>96</v>
      </c>
      <c r="I298">
        <v>50</v>
      </c>
      <c r="J298" s="4">
        <f t="shared" si="18"/>
        <v>6.7814077722367028E-2</v>
      </c>
      <c r="K298" t="s">
        <v>43</v>
      </c>
    </row>
    <row r="299" spans="1:11" x14ac:dyDescent="0.35">
      <c r="A299" t="s">
        <v>93</v>
      </c>
      <c r="B299" t="s">
        <v>94</v>
      </c>
      <c r="C299">
        <v>2024</v>
      </c>
      <c r="D299" s="3">
        <v>2904.95</v>
      </c>
      <c r="E299" t="s">
        <v>95</v>
      </c>
      <c r="F299" t="s">
        <v>39</v>
      </c>
      <c r="G299" t="s">
        <v>40</v>
      </c>
      <c r="H299" t="s">
        <v>96</v>
      </c>
      <c r="I299">
        <v>51</v>
      </c>
      <c r="J299" s="4">
        <f t="shared" si="18"/>
        <v>5.0064161651213634E-2</v>
      </c>
      <c r="K299" t="s">
        <v>43</v>
      </c>
    </row>
    <row r="300" spans="1:11" x14ac:dyDescent="0.35">
      <c r="A300" t="s">
        <v>93</v>
      </c>
      <c r="B300" t="s">
        <v>94</v>
      </c>
      <c r="C300">
        <v>2025</v>
      </c>
      <c r="D300" s="3">
        <v>3044.59</v>
      </c>
      <c r="E300" t="s">
        <v>95</v>
      </c>
      <c r="F300" t="s">
        <v>39</v>
      </c>
      <c r="G300" t="s">
        <v>40</v>
      </c>
      <c r="H300" t="s">
        <v>96</v>
      </c>
      <c r="I300">
        <v>52</v>
      </c>
      <c r="J300" s="4">
        <f t="shared" si="18"/>
        <v>4.8069674176836275E-2</v>
      </c>
      <c r="K300" t="s">
        <v>43</v>
      </c>
    </row>
    <row r="301" spans="1:11" x14ac:dyDescent="0.35">
      <c r="A301" t="s">
        <v>93</v>
      </c>
      <c r="B301" t="s">
        <v>94</v>
      </c>
      <c r="C301">
        <v>2026</v>
      </c>
      <c r="D301" s="3">
        <v>3163.8</v>
      </c>
      <c r="E301" t="s">
        <v>95</v>
      </c>
      <c r="F301" t="s">
        <v>44</v>
      </c>
      <c r="G301" t="s">
        <v>40</v>
      </c>
      <c r="H301" t="s">
        <v>96</v>
      </c>
      <c r="I301">
        <v>53</v>
      </c>
      <c r="J301" s="4">
        <f t="shared" si="18"/>
        <v>3.9154697348411371E-2</v>
      </c>
      <c r="K301" t="s">
        <v>43</v>
      </c>
    </row>
    <row r="302" spans="1:11" x14ac:dyDescent="0.35">
      <c r="A302" t="s">
        <v>93</v>
      </c>
      <c r="B302" t="s">
        <v>94</v>
      </c>
      <c r="C302">
        <v>2027</v>
      </c>
      <c r="D302" s="3">
        <v>3274.7</v>
      </c>
      <c r="E302" t="s">
        <v>95</v>
      </c>
      <c r="F302" t="s">
        <v>44</v>
      </c>
      <c r="G302" t="s">
        <v>40</v>
      </c>
      <c r="H302" t="s">
        <v>96</v>
      </c>
      <c r="I302">
        <v>54</v>
      </c>
      <c r="J302" s="4">
        <f t="shared" si="18"/>
        <v>3.5052784626082412E-2</v>
      </c>
      <c r="K302" t="s">
        <v>43</v>
      </c>
    </row>
    <row r="303" spans="1:11" x14ac:dyDescent="0.35">
      <c r="A303" t="s">
        <v>93</v>
      </c>
      <c r="B303" t="s">
        <v>94</v>
      </c>
      <c r="C303">
        <v>2028</v>
      </c>
      <c r="D303" s="3">
        <v>3403.83</v>
      </c>
      <c r="E303" t="s">
        <v>95</v>
      </c>
      <c r="F303" t="s">
        <v>44</v>
      </c>
      <c r="G303" t="s">
        <v>40</v>
      </c>
      <c r="H303" t="s">
        <v>96</v>
      </c>
      <c r="I303">
        <v>55</v>
      </c>
      <c r="J303" s="4">
        <f t="shared" si="18"/>
        <v>3.9432619781964773E-2</v>
      </c>
      <c r="K303" t="s">
        <v>43</v>
      </c>
    </row>
    <row r="304" spans="1:11" x14ac:dyDescent="0.35">
      <c r="A304" t="s">
        <v>93</v>
      </c>
      <c r="B304" t="s">
        <v>94</v>
      </c>
      <c r="C304">
        <v>2029</v>
      </c>
      <c r="D304" s="3">
        <v>3543.98</v>
      </c>
      <c r="E304" t="s">
        <v>95</v>
      </c>
      <c r="F304" t="s">
        <v>44</v>
      </c>
      <c r="G304" t="s">
        <v>40</v>
      </c>
      <c r="H304" t="s">
        <v>96</v>
      </c>
      <c r="I304">
        <v>56</v>
      </c>
      <c r="J304" s="4">
        <f t="shared" si="18"/>
        <v>4.1174206702449867E-2</v>
      </c>
      <c r="K304" t="s">
        <v>43</v>
      </c>
    </row>
    <row r="305" spans="1:11" x14ac:dyDescent="0.35">
      <c r="A305" t="s">
        <v>93</v>
      </c>
      <c r="B305" t="s">
        <v>94</v>
      </c>
      <c r="C305">
        <v>2030</v>
      </c>
      <c r="D305" s="3">
        <v>3688.44</v>
      </c>
      <c r="E305" t="s">
        <v>95</v>
      </c>
      <c r="F305" t="s">
        <v>44</v>
      </c>
      <c r="G305" t="s">
        <v>40</v>
      </c>
      <c r="H305" t="s">
        <v>96</v>
      </c>
      <c r="I305">
        <v>57</v>
      </c>
      <c r="J305" s="4">
        <f t="shared" si="18"/>
        <v>4.0762081050118804E-2</v>
      </c>
      <c r="K305" t="s">
        <v>43</v>
      </c>
    </row>
    <row r="306" spans="1:11" x14ac:dyDescent="0.35">
      <c r="A306" t="s">
        <v>97</v>
      </c>
      <c r="B306" t="s">
        <v>94</v>
      </c>
      <c r="C306">
        <v>2015</v>
      </c>
      <c r="D306" s="3">
        <v>679.63</v>
      </c>
      <c r="E306" t="s">
        <v>98</v>
      </c>
      <c r="F306" t="s">
        <v>39</v>
      </c>
      <c r="G306" t="s">
        <v>40</v>
      </c>
      <c r="H306" t="s">
        <v>96</v>
      </c>
      <c r="I306">
        <v>122</v>
      </c>
      <c r="K306" t="s">
        <v>42</v>
      </c>
    </row>
    <row r="307" spans="1:11" x14ac:dyDescent="0.35">
      <c r="A307" t="s">
        <v>97</v>
      </c>
      <c r="B307" t="s">
        <v>94</v>
      </c>
      <c r="C307">
        <v>2016</v>
      </c>
      <c r="D307" s="3">
        <v>688.4</v>
      </c>
      <c r="E307" t="s">
        <v>98</v>
      </c>
      <c r="F307" t="s">
        <v>39</v>
      </c>
      <c r="G307" t="s">
        <v>40</v>
      </c>
      <c r="H307" t="s">
        <v>96</v>
      </c>
      <c r="I307">
        <v>123</v>
      </c>
      <c r="J307" s="4">
        <f t="shared" ref="J307:J321" si="19">IF(D306=0,"",D307/D306-1)</f>
        <v>1.2904080161264098E-2</v>
      </c>
      <c r="K307" t="s">
        <v>43</v>
      </c>
    </row>
    <row r="308" spans="1:11" x14ac:dyDescent="0.35">
      <c r="A308" t="s">
        <v>97</v>
      </c>
      <c r="B308" t="s">
        <v>94</v>
      </c>
      <c r="C308">
        <v>2017</v>
      </c>
      <c r="D308" s="3">
        <v>695.84</v>
      </c>
      <c r="E308" t="s">
        <v>98</v>
      </c>
      <c r="F308" t="s">
        <v>39</v>
      </c>
      <c r="G308" t="s">
        <v>40</v>
      </c>
      <c r="H308" t="s">
        <v>96</v>
      </c>
      <c r="I308">
        <v>124</v>
      </c>
      <c r="J308" s="4">
        <f t="shared" si="19"/>
        <v>1.0807669959326027E-2</v>
      </c>
      <c r="K308" t="s">
        <v>43</v>
      </c>
    </row>
    <row r="309" spans="1:11" x14ac:dyDescent="0.35">
      <c r="A309" t="s">
        <v>97</v>
      </c>
      <c r="B309" t="s">
        <v>94</v>
      </c>
      <c r="C309">
        <v>2018</v>
      </c>
      <c r="D309" s="3">
        <v>724.38</v>
      </c>
      <c r="E309" t="s">
        <v>98</v>
      </c>
      <c r="F309" t="s">
        <v>39</v>
      </c>
      <c r="G309" t="s">
        <v>40</v>
      </c>
      <c r="H309" t="s">
        <v>96</v>
      </c>
      <c r="I309">
        <v>125</v>
      </c>
      <c r="J309" s="4">
        <f t="shared" si="19"/>
        <v>4.1015175902506362E-2</v>
      </c>
      <c r="K309" t="s">
        <v>43</v>
      </c>
    </row>
    <row r="310" spans="1:11" x14ac:dyDescent="0.35">
      <c r="A310" t="s">
        <v>97</v>
      </c>
      <c r="B310" t="s">
        <v>94</v>
      </c>
      <c r="C310">
        <v>2019</v>
      </c>
      <c r="D310" s="3">
        <v>731.8</v>
      </c>
      <c r="E310" t="s">
        <v>98</v>
      </c>
      <c r="F310" t="s">
        <v>39</v>
      </c>
      <c r="G310" t="s">
        <v>40</v>
      </c>
      <c r="H310" t="s">
        <v>96</v>
      </c>
      <c r="I310">
        <v>126</v>
      </c>
      <c r="J310" s="4">
        <f t="shared" si="19"/>
        <v>1.024324249703179E-2</v>
      </c>
      <c r="K310" t="s">
        <v>43</v>
      </c>
    </row>
    <row r="311" spans="1:11" x14ac:dyDescent="0.35">
      <c r="A311" t="s">
        <v>97</v>
      </c>
      <c r="B311" t="s">
        <v>94</v>
      </c>
      <c r="C311">
        <v>2020</v>
      </c>
      <c r="D311" s="3">
        <v>709.85</v>
      </c>
      <c r="E311" t="s">
        <v>98</v>
      </c>
      <c r="F311" t="s">
        <v>39</v>
      </c>
      <c r="G311" t="s">
        <v>40</v>
      </c>
      <c r="H311" t="s">
        <v>96</v>
      </c>
      <c r="I311">
        <v>127</v>
      </c>
      <c r="J311" s="4">
        <f t="shared" si="19"/>
        <v>-2.9994534025689967E-2</v>
      </c>
      <c r="K311" t="s">
        <v>43</v>
      </c>
    </row>
    <row r="312" spans="1:11" x14ac:dyDescent="0.35">
      <c r="A312" t="s">
        <v>97</v>
      </c>
      <c r="B312" t="s">
        <v>94</v>
      </c>
      <c r="C312">
        <v>2021</v>
      </c>
      <c r="D312" s="3">
        <v>768.28</v>
      </c>
      <c r="E312" t="s">
        <v>98</v>
      </c>
      <c r="F312" t="s">
        <v>39</v>
      </c>
      <c r="G312" t="s">
        <v>40</v>
      </c>
      <c r="H312" t="s">
        <v>96</v>
      </c>
      <c r="I312">
        <v>128</v>
      </c>
      <c r="J312" s="4">
        <f t="shared" si="19"/>
        <v>8.2313164753116785E-2</v>
      </c>
      <c r="K312" t="s">
        <v>43</v>
      </c>
    </row>
    <row r="313" spans="1:11" x14ac:dyDescent="0.35">
      <c r="A313" t="s">
        <v>97</v>
      </c>
      <c r="B313" t="s">
        <v>94</v>
      </c>
      <c r="C313">
        <v>2022</v>
      </c>
      <c r="D313" s="3">
        <v>819.7</v>
      </c>
      <c r="E313" t="s">
        <v>98</v>
      </c>
      <c r="F313" t="s">
        <v>39</v>
      </c>
      <c r="G313" t="s">
        <v>40</v>
      </c>
      <c r="H313" t="s">
        <v>96</v>
      </c>
      <c r="I313">
        <v>129</v>
      </c>
      <c r="J313" s="4">
        <f t="shared" si="19"/>
        <v>6.6928723902743847E-2</v>
      </c>
      <c r="K313" t="s">
        <v>43</v>
      </c>
    </row>
    <row r="314" spans="1:11" x14ac:dyDescent="0.35">
      <c r="A314" t="s">
        <v>97</v>
      </c>
      <c r="B314" t="s">
        <v>94</v>
      </c>
      <c r="C314">
        <v>2023</v>
      </c>
      <c r="D314" s="3">
        <v>837.16</v>
      </c>
      <c r="E314" t="s">
        <v>98</v>
      </c>
      <c r="F314" t="s">
        <v>39</v>
      </c>
      <c r="G314" t="s">
        <v>40</v>
      </c>
      <c r="H314" t="s">
        <v>96</v>
      </c>
      <c r="I314">
        <v>130</v>
      </c>
      <c r="J314" s="4">
        <f t="shared" si="19"/>
        <v>2.1300475783823325E-2</v>
      </c>
      <c r="K314" t="s">
        <v>43</v>
      </c>
    </row>
    <row r="315" spans="1:11" x14ac:dyDescent="0.35">
      <c r="A315" t="s">
        <v>97</v>
      </c>
      <c r="B315" t="s">
        <v>94</v>
      </c>
      <c r="C315">
        <v>2024</v>
      </c>
      <c r="D315" s="3">
        <v>860.93</v>
      </c>
      <c r="E315" t="s">
        <v>98</v>
      </c>
      <c r="F315" t="s">
        <v>39</v>
      </c>
      <c r="G315" t="s">
        <v>40</v>
      </c>
      <c r="H315" t="s">
        <v>96</v>
      </c>
      <c r="I315">
        <v>131</v>
      </c>
      <c r="J315" s="4">
        <f t="shared" si="19"/>
        <v>2.8393616512972342E-2</v>
      </c>
      <c r="K315" t="s">
        <v>43</v>
      </c>
    </row>
    <row r="316" spans="1:11" x14ac:dyDescent="0.35">
      <c r="A316" t="s">
        <v>97</v>
      </c>
      <c r="B316" t="s">
        <v>94</v>
      </c>
      <c r="C316">
        <v>2025</v>
      </c>
      <c r="D316" s="3">
        <v>881.57</v>
      </c>
      <c r="E316" t="s">
        <v>98</v>
      </c>
      <c r="F316" t="s">
        <v>39</v>
      </c>
      <c r="G316" t="s">
        <v>40</v>
      </c>
      <c r="H316" t="s">
        <v>96</v>
      </c>
      <c r="I316">
        <v>132</v>
      </c>
      <c r="J316" s="4">
        <f t="shared" si="19"/>
        <v>2.3974074547292057E-2</v>
      </c>
      <c r="K316" t="s">
        <v>43</v>
      </c>
    </row>
    <row r="317" spans="1:11" x14ac:dyDescent="0.35">
      <c r="A317" t="s">
        <v>97</v>
      </c>
      <c r="B317" t="s">
        <v>94</v>
      </c>
      <c r="C317">
        <v>2026</v>
      </c>
      <c r="D317" s="3">
        <v>898.56</v>
      </c>
      <c r="E317" t="s">
        <v>98</v>
      </c>
      <c r="F317" t="s">
        <v>44</v>
      </c>
      <c r="G317" t="s">
        <v>40</v>
      </c>
      <c r="H317" t="s">
        <v>96</v>
      </c>
      <c r="I317">
        <v>133</v>
      </c>
      <c r="J317" s="4">
        <f t="shared" si="19"/>
        <v>1.9272434406796934E-2</v>
      </c>
      <c r="K317" t="s">
        <v>43</v>
      </c>
    </row>
    <row r="318" spans="1:11" x14ac:dyDescent="0.35">
      <c r="A318" t="s">
        <v>97</v>
      </c>
      <c r="B318" t="s">
        <v>94</v>
      </c>
      <c r="C318">
        <v>2027</v>
      </c>
      <c r="D318" s="3">
        <v>921.85</v>
      </c>
      <c r="E318" t="s">
        <v>98</v>
      </c>
      <c r="F318" t="s">
        <v>44</v>
      </c>
      <c r="G318" t="s">
        <v>40</v>
      </c>
      <c r="H318" t="s">
        <v>96</v>
      </c>
      <c r="I318">
        <v>134</v>
      </c>
      <c r="J318" s="4">
        <f t="shared" si="19"/>
        <v>2.5919248575498655E-2</v>
      </c>
      <c r="K318" t="s">
        <v>43</v>
      </c>
    </row>
    <row r="319" spans="1:11" x14ac:dyDescent="0.35">
      <c r="A319" t="s">
        <v>97</v>
      </c>
      <c r="B319" t="s">
        <v>94</v>
      </c>
      <c r="C319">
        <v>2028</v>
      </c>
      <c r="D319" s="3">
        <v>947.21</v>
      </c>
      <c r="E319" t="s">
        <v>98</v>
      </c>
      <c r="F319" t="s">
        <v>44</v>
      </c>
      <c r="G319" t="s">
        <v>40</v>
      </c>
      <c r="H319" t="s">
        <v>96</v>
      </c>
      <c r="I319">
        <v>135</v>
      </c>
      <c r="J319" s="4">
        <f t="shared" si="19"/>
        <v>2.7509898573520708E-2</v>
      </c>
      <c r="K319" t="s">
        <v>43</v>
      </c>
    </row>
    <row r="320" spans="1:11" x14ac:dyDescent="0.35">
      <c r="A320" t="s">
        <v>97</v>
      </c>
      <c r="B320" t="s">
        <v>94</v>
      </c>
      <c r="C320">
        <v>2029</v>
      </c>
      <c r="D320" s="3">
        <v>971.37</v>
      </c>
      <c r="E320" t="s">
        <v>98</v>
      </c>
      <c r="F320" t="s">
        <v>44</v>
      </c>
      <c r="G320" t="s">
        <v>40</v>
      </c>
      <c r="H320" t="s">
        <v>96</v>
      </c>
      <c r="I320">
        <v>136</v>
      </c>
      <c r="J320" s="4">
        <f t="shared" si="19"/>
        <v>2.5506487473738737E-2</v>
      </c>
      <c r="K320" t="s">
        <v>43</v>
      </c>
    </row>
    <row r="321" spans="1:11" x14ac:dyDescent="0.35">
      <c r="A321" t="s">
        <v>97</v>
      </c>
      <c r="B321" t="s">
        <v>94</v>
      </c>
      <c r="C321">
        <v>2030</v>
      </c>
      <c r="D321" s="3">
        <v>991.86</v>
      </c>
      <c r="E321" t="s">
        <v>98</v>
      </c>
      <c r="F321" t="s">
        <v>44</v>
      </c>
      <c r="G321" t="s">
        <v>40</v>
      </c>
      <c r="H321" t="s">
        <v>96</v>
      </c>
      <c r="I321">
        <v>137</v>
      </c>
      <c r="J321" s="4">
        <f t="shared" si="19"/>
        <v>2.1093918898051234E-2</v>
      </c>
      <c r="K321" t="s">
        <v>43</v>
      </c>
    </row>
    <row r="322" spans="1:11" x14ac:dyDescent="0.35">
      <c r="A322" t="s">
        <v>99</v>
      </c>
      <c r="B322" t="s">
        <v>94</v>
      </c>
      <c r="C322">
        <v>2015</v>
      </c>
      <c r="D322" s="3">
        <v>712.55</v>
      </c>
      <c r="E322" t="s">
        <v>100</v>
      </c>
      <c r="F322" t="s">
        <v>39</v>
      </c>
      <c r="G322" t="s">
        <v>40</v>
      </c>
      <c r="H322" t="s">
        <v>96</v>
      </c>
      <c r="I322">
        <v>202</v>
      </c>
      <c r="K322" t="s">
        <v>42</v>
      </c>
    </row>
    <row r="323" spans="1:11" x14ac:dyDescent="0.35">
      <c r="A323" t="s">
        <v>99</v>
      </c>
      <c r="B323" t="s">
        <v>94</v>
      </c>
      <c r="C323">
        <v>2016</v>
      </c>
      <c r="D323" s="3">
        <v>752.13</v>
      </c>
      <c r="E323" t="s">
        <v>100</v>
      </c>
      <c r="F323" t="s">
        <v>39</v>
      </c>
      <c r="G323" t="s">
        <v>40</v>
      </c>
      <c r="H323" t="s">
        <v>96</v>
      </c>
      <c r="I323">
        <v>203</v>
      </c>
      <c r="J323" s="4">
        <f t="shared" ref="J323:J337" si="20">IF(D322=0,"",D323/D322-1)</f>
        <v>5.5546979159357246E-2</v>
      </c>
      <c r="K323" t="s">
        <v>43</v>
      </c>
    </row>
    <row r="324" spans="1:11" x14ac:dyDescent="0.35">
      <c r="A324" t="s">
        <v>99</v>
      </c>
      <c r="B324" t="s">
        <v>94</v>
      </c>
      <c r="C324">
        <v>2017</v>
      </c>
      <c r="D324" s="3">
        <v>851.62</v>
      </c>
      <c r="E324" t="s">
        <v>100</v>
      </c>
      <c r="F324" t="s">
        <v>39</v>
      </c>
      <c r="G324" t="s">
        <v>40</v>
      </c>
      <c r="H324" t="s">
        <v>96</v>
      </c>
      <c r="I324">
        <v>204</v>
      </c>
      <c r="J324" s="4">
        <f t="shared" si="20"/>
        <v>0.13227766476539959</v>
      </c>
      <c r="K324" t="s">
        <v>43</v>
      </c>
    </row>
    <row r="325" spans="1:11" x14ac:dyDescent="0.35">
      <c r="A325" t="s">
        <v>99</v>
      </c>
      <c r="B325" t="s">
        <v>94</v>
      </c>
      <c r="C325">
        <v>2018</v>
      </c>
      <c r="D325" s="3">
        <v>952.39</v>
      </c>
      <c r="E325" t="s">
        <v>100</v>
      </c>
      <c r="F325" t="s">
        <v>39</v>
      </c>
      <c r="G325" t="s">
        <v>40</v>
      </c>
      <c r="H325" t="s">
        <v>96</v>
      </c>
      <c r="I325">
        <v>205</v>
      </c>
      <c r="J325" s="4">
        <f t="shared" si="20"/>
        <v>0.11832742302905053</v>
      </c>
      <c r="K325" t="s">
        <v>43</v>
      </c>
    </row>
    <row r="326" spans="1:11" x14ac:dyDescent="0.35">
      <c r="A326" t="s">
        <v>99</v>
      </c>
      <c r="B326" t="s">
        <v>94</v>
      </c>
      <c r="C326">
        <v>2019</v>
      </c>
      <c r="D326" s="3">
        <v>1053.19</v>
      </c>
      <c r="E326" t="s">
        <v>100</v>
      </c>
      <c r="F326" t="s">
        <v>39</v>
      </c>
      <c r="G326" t="s">
        <v>40</v>
      </c>
      <c r="H326" t="s">
        <v>96</v>
      </c>
      <c r="I326">
        <v>206</v>
      </c>
      <c r="J326" s="4">
        <f t="shared" si="20"/>
        <v>0.10583899452955214</v>
      </c>
      <c r="K326" t="s">
        <v>43</v>
      </c>
    </row>
    <row r="327" spans="1:11" x14ac:dyDescent="0.35">
      <c r="A327" t="s">
        <v>99</v>
      </c>
      <c r="B327" t="s">
        <v>94</v>
      </c>
      <c r="C327">
        <v>2020</v>
      </c>
      <c r="D327" s="3">
        <v>1056.3</v>
      </c>
      <c r="E327" t="s">
        <v>100</v>
      </c>
      <c r="F327" t="s">
        <v>39</v>
      </c>
      <c r="G327" t="s">
        <v>40</v>
      </c>
      <c r="H327" t="s">
        <v>96</v>
      </c>
      <c r="I327">
        <v>207</v>
      </c>
      <c r="J327" s="4">
        <f t="shared" si="20"/>
        <v>2.9529334687947717E-3</v>
      </c>
      <c r="K327" t="s">
        <v>43</v>
      </c>
    </row>
    <row r="328" spans="1:11" x14ac:dyDescent="0.35">
      <c r="A328" t="s">
        <v>99</v>
      </c>
      <c r="B328" t="s">
        <v>94</v>
      </c>
      <c r="C328">
        <v>2021</v>
      </c>
      <c r="D328" s="3">
        <v>1179.83</v>
      </c>
      <c r="E328" t="s">
        <v>100</v>
      </c>
      <c r="F328" t="s">
        <v>39</v>
      </c>
      <c r="G328" t="s">
        <v>40</v>
      </c>
      <c r="H328" t="s">
        <v>96</v>
      </c>
      <c r="I328">
        <v>208</v>
      </c>
      <c r="J328" s="4">
        <f t="shared" si="20"/>
        <v>0.11694594338729525</v>
      </c>
      <c r="K328" t="s">
        <v>43</v>
      </c>
    </row>
    <row r="329" spans="1:11" x14ac:dyDescent="0.35">
      <c r="A329" t="s">
        <v>99</v>
      </c>
      <c r="B329" t="s">
        <v>94</v>
      </c>
      <c r="C329">
        <v>2022</v>
      </c>
      <c r="D329" s="3">
        <v>1378.46</v>
      </c>
      <c r="E329" t="s">
        <v>100</v>
      </c>
      <c r="F329" t="s">
        <v>39</v>
      </c>
      <c r="G329" t="s">
        <v>40</v>
      </c>
      <c r="H329" t="s">
        <v>96</v>
      </c>
      <c r="I329">
        <v>209</v>
      </c>
      <c r="J329" s="4">
        <f t="shared" si="20"/>
        <v>0.16835476297432694</v>
      </c>
      <c r="K329" t="s">
        <v>43</v>
      </c>
    </row>
    <row r="330" spans="1:11" x14ac:dyDescent="0.35">
      <c r="A330" t="s">
        <v>99</v>
      </c>
      <c r="B330" t="s">
        <v>94</v>
      </c>
      <c r="C330">
        <v>2023</v>
      </c>
      <c r="D330" s="3">
        <v>1587.96</v>
      </c>
      <c r="E330" t="s">
        <v>100</v>
      </c>
      <c r="F330" t="s">
        <v>39</v>
      </c>
      <c r="G330" t="s">
        <v>40</v>
      </c>
      <c r="H330" t="s">
        <v>96</v>
      </c>
      <c r="I330">
        <v>210</v>
      </c>
      <c r="J330" s="4">
        <f t="shared" si="20"/>
        <v>0.15198119640758523</v>
      </c>
      <c r="K330" t="s">
        <v>43</v>
      </c>
    </row>
    <row r="331" spans="1:11" x14ac:dyDescent="0.35">
      <c r="A331" t="s">
        <v>99</v>
      </c>
      <c r="B331" t="s">
        <v>94</v>
      </c>
      <c r="C331">
        <v>2024</v>
      </c>
      <c r="D331" s="3">
        <v>1767.52</v>
      </c>
      <c r="E331" t="s">
        <v>100</v>
      </c>
      <c r="F331" t="s">
        <v>39</v>
      </c>
      <c r="G331" t="s">
        <v>40</v>
      </c>
      <c r="H331" t="s">
        <v>96</v>
      </c>
      <c r="I331">
        <v>211</v>
      </c>
      <c r="J331" s="4">
        <f t="shared" si="20"/>
        <v>0.11307589611829005</v>
      </c>
      <c r="K331" t="s">
        <v>43</v>
      </c>
    </row>
    <row r="332" spans="1:11" x14ac:dyDescent="0.35">
      <c r="A332" t="s">
        <v>99</v>
      </c>
      <c r="B332" t="s">
        <v>94</v>
      </c>
      <c r="C332">
        <v>2025</v>
      </c>
      <c r="D332" s="3">
        <v>1929.93</v>
      </c>
      <c r="E332" t="s">
        <v>100</v>
      </c>
      <c r="F332" t="s">
        <v>39</v>
      </c>
      <c r="G332" t="s">
        <v>40</v>
      </c>
      <c r="H332" t="s">
        <v>96</v>
      </c>
      <c r="I332">
        <v>212</v>
      </c>
      <c r="J332" s="4">
        <f t="shared" si="20"/>
        <v>9.1885806101204004E-2</v>
      </c>
      <c r="K332" t="s">
        <v>43</v>
      </c>
    </row>
    <row r="333" spans="1:11" x14ac:dyDescent="0.35">
      <c r="A333" t="s">
        <v>99</v>
      </c>
      <c r="B333" t="s">
        <v>94</v>
      </c>
      <c r="C333">
        <v>2026</v>
      </c>
      <c r="D333" s="3">
        <v>2096.65</v>
      </c>
      <c r="E333" t="s">
        <v>100</v>
      </c>
      <c r="F333" t="s">
        <v>44</v>
      </c>
      <c r="G333" t="s">
        <v>40</v>
      </c>
      <c r="H333" t="s">
        <v>96</v>
      </c>
      <c r="I333">
        <v>213</v>
      </c>
      <c r="J333" s="4">
        <f t="shared" si="20"/>
        <v>8.6386552880156176E-2</v>
      </c>
      <c r="K333" t="s">
        <v>43</v>
      </c>
    </row>
    <row r="334" spans="1:11" x14ac:dyDescent="0.35">
      <c r="A334" t="s">
        <v>99</v>
      </c>
      <c r="B334" t="s">
        <v>94</v>
      </c>
      <c r="C334">
        <v>2027</v>
      </c>
      <c r="D334" s="3">
        <v>2255.59</v>
      </c>
      <c r="E334" t="s">
        <v>100</v>
      </c>
      <c r="F334" t="s">
        <v>44</v>
      </c>
      <c r="G334" t="s">
        <v>40</v>
      </c>
      <c r="H334" t="s">
        <v>96</v>
      </c>
      <c r="I334">
        <v>214</v>
      </c>
      <c r="J334" s="4">
        <f t="shared" si="20"/>
        <v>7.5806643931986661E-2</v>
      </c>
      <c r="K334" t="s">
        <v>43</v>
      </c>
    </row>
    <row r="335" spans="1:11" x14ac:dyDescent="0.35">
      <c r="A335" t="s">
        <v>99</v>
      </c>
      <c r="B335" t="s">
        <v>94</v>
      </c>
      <c r="C335">
        <v>2028</v>
      </c>
      <c r="D335" s="3">
        <v>2384.19</v>
      </c>
      <c r="E335" t="s">
        <v>100</v>
      </c>
      <c r="F335" t="s">
        <v>44</v>
      </c>
      <c r="G335" t="s">
        <v>40</v>
      </c>
      <c r="H335" t="s">
        <v>96</v>
      </c>
      <c r="I335">
        <v>215</v>
      </c>
      <c r="J335" s="4">
        <f t="shared" si="20"/>
        <v>5.7013907669390296E-2</v>
      </c>
      <c r="K335" t="s">
        <v>43</v>
      </c>
    </row>
    <row r="336" spans="1:11" x14ac:dyDescent="0.35">
      <c r="A336" t="s">
        <v>99</v>
      </c>
      <c r="B336" t="s">
        <v>94</v>
      </c>
      <c r="C336">
        <v>2029</v>
      </c>
      <c r="D336" s="3">
        <v>2560.14</v>
      </c>
      <c r="E336" t="s">
        <v>100</v>
      </c>
      <c r="F336" t="s">
        <v>44</v>
      </c>
      <c r="G336" t="s">
        <v>40</v>
      </c>
      <c r="H336" t="s">
        <v>96</v>
      </c>
      <c r="I336">
        <v>216</v>
      </c>
      <c r="J336" s="4">
        <f t="shared" si="20"/>
        <v>7.3798648597636962E-2</v>
      </c>
      <c r="K336" t="s">
        <v>43</v>
      </c>
    </row>
    <row r="337" spans="1:11" x14ac:dyDescent="0.35">
      <c r="A337" t="s">
        <v>99</v>
      </c>
      <c r="B337" t="s">
        <v>94</v>
      </c>
      <c r="C337">
        <v>2030</v>
      </c>
      <c r="D337" s="3">
        <v>2743.74</v>
      </c>
      <c r="E337" t="s">
        <v>100</v>
      </c>
      <c r="F337" t="s">
        <v>44</v>
      </c>
      <c r="G337" t="s">
        <v>40</v>
      </c>
      <c r="H337" t="s">
        <v>96</v>
      </c>
      <c r="I337">
        <v>217</v>
      </c>
      <c r="J337" s="4">
        <f t="shared" si="20"/>
        <v>7.1714828095338579E-2</v>
      </c>
      <c r="K337" t="s">
        <v>43</v>
      </c>
    </row>
    <row r="338" spans="1:11" x14ac:dyDescent="0.35">
      <c r="A338" t="s">
        <v>101</v>
      </c>
      <c r="B338" t="s">
        <v>94</v>
      </c>
      <c r="C338">
        <v>2015</v>
      </c>
      <c r="D338" s="3">
        <v>4493.63</v>
      </c>
      <c r="E338" t="s">
        <v>102</v>
      </c>
      <c r="F338" t="s">
        <v>39</v>
      </c>
      <c r="G338" t="s">
        <v>40</v>
      </c>
      <c r="H338" t="s">
        <v>96</v>
      </c>
      <c r="I338">
        <v>282</v>
      </c>
      <c r="K338" t="s">
        <v>42</v>
      </c>
    </row>
    <row r="339" spans="1:11" x14ac:dyDescent="0.35">
      <c r="A339" t="s">
        <v>101</v>
      </c>
      <c r="B339" t="s">
        <v>94</v>
      </c>
      <c r="C339">
        <v>2016</v>
      </c>
      <c r="D339" s="3">
        <v>4698.76</v>
      </c>
      <c r="E339" t="s">
        <v>102</v>
      </c>
      <c r="F339" t="s">
        <v>39</v>
      </c>
      <c r="G339" t="s">
        <v>40</v>
      </c>
      <c r="H339" t="s">
        <v>96</v>
      </c>
      <c r="I339">
        <v>283</v>
      </c>
      <c r="J339" s="4">
        <f t="shared" ref="J339:J353" si="21">IF(D338=0,"",D339/D338-1)</f>
        <v>4.5649063229504794E-2</v>
      </c>
      <c r="K339" t="s">
        <v>43</v>
      </c>
    </row>
    <row r="340" spans="1:11" x14ac:dyDescent="0.35">
      <c r="A340" t="s">
        <v>101</v>
      </c>
      <c r="B340" t="s">
        <v>94</v>
      </c>
      <c r="C340">
        <v>2017</v>
      </c>
      <c r="D340" s="3">
        <v>4953.9799999999996</v>
      </c>
      <c r="E340" t="s">
        <v>102</v>
      </c>
      <c r="F340" t="s">
        <v>39</v>
      </c>
      <c r="G340" t="s">
        <v>40</v>
      </c>
      <c r="H340" t="s">
        <v>96</v>
      </c>
      <c r="I340">
        <v>284</v>
      </c>
      <c r="J340" s="4">
        <f t="shared" si="21"/>
        <v>5.4316457959120878E-2</v>
      </c>
      <c r="K340" t="s">
        <v>43</v>
      </c>
    </row>
    <row r="341" spans="1:11" x14ac:dyDescent="0.35">
      <c r="A341" t="s">
        <v>101</v>
      </c>
      <c r="B341" t="s">
        <v>94</v>
      </c>
      <c r="C341">
        <v>2018</v>
      </c>
      <c r="D341" s="3">
        <v>5287.99</v>
      </c>
      <c r="E341" t="s">
        <v>102</v>
      </c>
      <c r="F341" t="s">
        <v>39</v>
      </c>
      <c r="G341" t="s">
        <v>40</v>
      </c>
      <c r="H341" t="s">
        <v>96</v>
      </c>
      <c r="I341">
        <v>285</v>
      </c>
      <c r="J341" s="4">
        <f t="shared" si="21"/>
        <v>6.7422557216621826E-2</v>
      </c>
      <c r="K341" t="s">
        <v>43</v>
      </c>
    </row>
    <row r="342" spans="1:11" x14ac:dyDescent="0.35">
      <c r="A342" t="s">
        <v>101</v>
      </c>
      <c r="B342" t="s">
        <v>94</v>
      </c>
      <c r="C342">
        <v>2019</v>
      </c>
      <c r="D342" s="3">
        <v>5669.24</v>
      </c>
      <c r="E342" t="s">
        <v>102</v>
      </c>
      <c r="F342" t="s">
        <v>39</v>
      </c>
      <c r="G342" t="s">
        <v>40</v>
      </c>
      <c r="H342" t="s">
        <v>96</v>
      </c>
      <c r="I342">
        <v>286</v>
      </c>
      <c r="J342" s="4">
        <f t="shared" si="21"/>
        <v>7.2097337551697338E-2</v>
      </c>
      <c r="K342" t="s">
        <v>43</v>
      </c>
    </row>
    <row r="343" spans="1:11" x14ac:dyDescent="0.35">
      <c r="A343" t="s">
        <v>101</v>
      </c>
      <c r="B343" t="s">
        <v>94</v>
      </c>
      <c r="C343">
        <v>2020</v>
      </c>
      <c r="D343" s="3">
        <v>5764.15</v>
      </c>
      <c r="E343" t="s">
        <v>102</v>
      </c>
      <c r="F343" t="s">
        <v>39</v>
      </c>
      <c r="G343" t="s">
        <v>40</v>
      </c>
      <c r="H343" t="s">
        <v>96</v>
      </c>
      <c r="I343">
        <v>287</v>
      </c>
      <c r="J343" s="4">
        <f t="shared" si="21"/>
        <v>1.6741221045501575E-2</v>
      </c>
      <c r="K343" t="s">
        <v>43</v>
      </c>
    </row>
    <row r="344" spans="1:11" x14ac:dyDescent="0.35">
      <c r="A344" t="s">
        <v>101</v>
      </c>
      <c r="B344" t="s">
        <v>94</v>
      </c>
      <c r="C344">
        <v>2021</v>
      </c>
      <c r="D344" s="3">
        <v>6576.02</v>
      </c>
      <c r="E344" t="s">
        <v>102</v>
      </c>
      <c r="F344" t="s">
        <v>39</v>
      </c>
      <c r="G344" t="s">
        <v>40</v>
      </c>
      <c r="H344" t="s">
        <v>96</v>
      </c>
      <c r="I344">
        <v>288</v>
      </c>
      <c r="J344" s="4">
        <f t="shared" si="21"/>
        <v>0.14084817362490587</v>
      </c>
      <c r="K344" t="s">
        <v>43</v>
      </c>
    </row>
    <row r="345" spans="1:11" x14ac:dyDescent="0.35">
      <c r="A345" t="s">
        <v>101</v>
      </c>
      <c r="B345" t="s">
        <v>94</v>
      </c>
      <c r="C345">
        <v>2022</v>
      </c>
      <c r="D345" s="3">
        <v>7460.14</v>
      </c>
      <c r="E345" t="s">
        <v>102</v>
      </c>
      <c r="F345" t="s">
        <v>39</v>
      </c>
      <c r="G345" t="s">
        <v>40</v>
      </c>
      <c r="H345" t="s">
        <v>96</v>
      </c>
      <c r="I345">
        <v>289</v>
      </c>
      <c r="J345" s="4">
        <f t="shared" si="21"/>
        <v>0.13444606312024598</v>
      </c>
      <c r="K345" t="s">
        <v>43</v>
      </c>
    </row>
    <row r="346" spans="1:11" x14ac:dyDescent="0.35">
      <c r="A346" t="s">
        <v>101</v>
      </c>
      <c r="B346" t="s">
        <v>94</v>
      </c>
      <c r="C346">
        <v>2023</v>
      </c>
      <c r="D346" s="3">
        <v>8817.91</v>
      </c>
      <c r="E346" t="s">
        <v>102</v>
      </c>
      <c r="F346" t="s">
        <v>39</v>
      </c>
      <c r="G346" t="s">
        <v>40</v>
      </c>
      <c r="H346" t="s">
        <v>96</v>
      </c>
      <c r="I346">
        <v>290</v>
      </c>
      <c r="J346" s="4">
        <f t="shared" si="21"/>
        <v>0.18200328680158817</v>
      </c>
      <c r="K346" t="s">
        <v>43</v>
      </c>
    </row>
    <row r="347" spans="1:11" x14ac:dyDescent="0.35">
      <c r="A347" t="s">
        <v>101</v>
      </c>
      <c r="B347" t="s">
        <v>94</v>
      </c>
      <c r="C347">
        <v>2024</v>
      </c>
      <c r="D347" s="3">
        <v>9748.26</v>
      </c>
      <c r="E347" t="s">
        <v>102</v>
      </c>
      <c r="F347" t="s">
        <v>39</v>
      </c>
      <c r="G347" t="s">
        <v>40</v>
      </c>
      <c r="H347" t="s">
        <v>96</v>
      </c>
      <c r="I347">
        <v>291</v>
      </c>
      <c r="J347" s="4">
        <f t="shared" si="21"/>
        <v>0.10550686046920421</v>
      </c>
      <c r="K347" t="s">
        <v>43</v>
      </c>
    </row>
    <row r="348" spans="1:11" x14ac:dyDescent="0.35">
      <c r="A348" t="s">
        <v>101</v>
      </c>
      <c r="B348" t="s">
        <v>94</v>
      </c>
      <c r="C348">
        <v>2025</v>
      </c>
      <c r="D348" s="3">
        <v>10392.69</v>
      </c>
      <c r="E348" t="s">
        <v>102</v>
      </c>
      <c r="F348" t="s">
        <v>39</v>
      </c>
      <c r="G348" t="s">
        <v>40</v>
      </c>
      <c r="H348" t="s">
        <v>96</v>
      </c>
      <c r="I348">
        <v>292</v>
      </c>
      <c r="J348" s="4">
        <f t="shared" si="21"/>
        <v>6.6107182204824255E-2</v>
      </c>
      <c r="K348" t="s">
        <v>43</v>
      </c>
    </row>
    <row r="349" spans="1:11" x14ac:dyDescent="0.35">
      <c r="A349" t="s">
        <v>101</v>
      </c>
      <c r="B349" t="s">
        <v>94</v>
      </c>
      <c r="C349">
        <v>2026</v>
      </c>
      <c r="D349" s="3">
        <v>11179.15</v>
      </c>
      <c r="E349" t="s">
        <v>102</v>
      </c>
      <c r="F349" t="s">
        <v>44</v>
      </c>
      <c r="G349" t="s">
        <v>40</v>
      </c>
      <c r="H349" t="s">
        <v>96</v>
      </c>
      <c r="I349">
        <v>293</v>
      </c>
      <c r="J349" s="4">
        <f t="shared" si="21"/>
        <v>7.5674344178456199E-2</v>
      </c>
      <c r="K349" t="s">
        <v>43</v>
      </c>
    </row>
    <row r="350" spans="1:11" x14ac:dyDescent="0.35">
      <c r="A350" t="s">
        <v>101</v>
      </c>
      <c r="B350" t="s">
        <v>94</v>
      </c>
      <c r="C350">
        <v>2027</v>
      </c>
      <c r="D350" s="3">
        <v>11738.74</v>
      </c>
      <c r="E350" t="s">
        <v>102</v>
      </c>
      <c r="F350" t="s">
        <v>44</v>
      </c>
      <c r="G350" t="s">
        <v>40</v>
      </c>
      <c r="H350" t="s">
        <v>96</v>
      </c>
      <c r="I350">
        <v>294</v>
      </c>
      <c r="J350" s="4">
        <f t="shared" si="21"/>
        <v>5.0056578541302299E-2</v>
      </c>
      <c r="K350" t="s">
        <v>43</v>
      </c>
    </row>
    <row r="351" spans="1:11" x14ac:dyDescent="0.35">
      <c r="A351" t="s">
        <v>101</v>
      </c>
      <c r="B351" t="s">
        <v>94</v>
      </c>
      <c r="C351">
        <v>2028</v>
      </c>
      <c r="D351" s="3">
        <v>12379.97</v>
      </c>
      <c r="E351" t="s">
        <v>102</v>
      </c>
      <c r="F351" t="s">
        <v>44</v>
      </c>
      <c r="G351" t="s">
        <v>40</v>
      </c>
      <c r="H351" t="s">
        <v>96</v>
      </c>
      <c r="I351">
        <v>295</v>
      </c>
      <c r="J351" s="4">
        <f t="shared" si="21"/>
        <v>5.4625113087094501E-2</v>
      </c>
      <c r="K351" t="s">
        <v>43</v>
      </c>
    </row>
    <row r="352" spans="1:11" x14ac:dyDescent="0.35">
      <c r="A352" t="s">
        <v>101</v>
      </c>
      <c r="B352" t="s">
        <v>94</v>
      </c>
      <c r="C352">
        <v>2029</v>
      </c>
      <c r="D352" s="3">
        <v>12987.74</v>
      </c>
      <c r="E352" t="s">
        <v>102</v>
      </c>
      <c r="F352" t="s">
        <v>44</v>
      </c>
      <c r="G352" t="s">
        <v>40</v>
      </c>
      <c r="H352" t="s">
        <v>96</v>
      </c>
      <c r="I352">
        <v>296</v>
      </c>
      <c r="J352" s="4">
        <f t="shared" si="21"/>
        <v>4.9093010726197317E-2</v>
      </c>
      <c r="K352" t="s">
        <v>43</v>
      </c>
    </row>
    <row r="353" spans="1:11" x14ac:dyDescent="0.35">
      <c r="A353" t="s">
        <v>101</v>
      </c>
      <c r="B353" t="s">
        <v>94</v>
      </c>
      <c r="C353">
        <v>2030</v>
      </c>
      <c r="D353" s="3">
        <v>13433.3</v>
      </c>
      <c r="E353" t="s">
        <v>102</v>
      </c>
      <c r="F353" t="s">
        <v>44</v>
      </c>
      <c r="G353" t="s">
        <v>40</v>
      </c>
      <c r="H353" t="s">
        <v>96</v>
      </c>
      <c r="I353">
        <v>297</v>
      </c>
      <c r="J353" s="4">
        <f t="shared" si="21"/>
        <v>3.4306199538949755E-2</v>
      </c>
      <c r="K353" t="s">
        <v>43</v>
      </c>
    </row>
    <row r="354" spans="1:11" x14ac:dyDescent="0.35">
      <c r="A354" t="s">
        <v>103</v>
      </c>
      <c r="B354" t="s">
        <v>94</v>
      </c>
      <c r="C354">
        <v>2015</v>
      </c>
      <c r="D354" s="3">
        <v>38.49</v>
      </c>
      <c r="E354" t="s">
        <v>104</v>
      </c>
      <c r="F354" t="s">
        <v>39</v>
      </c>
      <c r="G354" t="s">
        <v>65</v>
      </c>
      <c r="H354" t="s">
        <v>105</v>
      </c>
      <c r="I354">
        <v>41</v>
      </c>
      <c r="K354" t="s">
        <v>42</v>
      </c>
    </row>
    <row r="355" spans="1:11" x14ac:dyDescent="0.35">
      <c r="A355" t="s">
        <v>103</v>
      </c>
      <c r="B355" t="s">
        <v>94</v>
      </c>
      <c r="C355">
        <v>2016</v>
      </c>
      <c r="D355" s="3">
        <v>40.01</v>
      </c>
      <c r="E355" t="s">
        <v>104</v>
      </c>
      <c r="F355" t="s">
        <v>39</v>
      </c>
      <c r="G355" t="s">
        <v>65</v>
      </c>
      <c r="H355" t="s">
        <v>105</v>
      </c>
      <c r="I355">
        <v>42</v>
      </c>
      <c r="J355" s="4">
        <f t="shared" ref="J355:J369" si="22">IF(D354=0,"",D355/D354-1)</f>
        <v>3.9490776825149343E-2</v>
      </c>
      <c r="K355" t="s">
        <v>43</v>
      </c>
    </row>
    <row r="356" spans="1:11" x14ac:dyDescent="0.35">
      <c r="A356" t="s">
        <v>103</v>
      </c>
      <c r="B356" t="s">
        <v>94</v>
      </c>
      <c r="C356">
        <v>2017</v>
      </c>
      <c r="D356" s="3">
        <v>42.63</v>
      </c>
      <c r="E356" t="s">
        <v>104</v>
      </c>
      <c r="F356" t="s">
        <v>39</v>
      </c>
      <c r="G356" t="s">
        <v>65</v>
      </c>
      <c r="H356" t="s">
        <v>105</v>
      </c>
      <c r="I356">
        <v>43</v>
      </c>
      <c r="J356" s="4">
        <f t="shared" si="22"/>
        <v>6.548362909272698E-2</v>
      </c>
      <c r="K356" t="s">
        <v>43</v>
      </c>
    </row>
    <row r="357" spans="1:11" x14ac:dyDescent="0.35">
      <c r="A357" t="s">
        <v>103</v>
      </c>
      <c r="B357" t="s">
        <v>94</v>
      </c>
      <c r="C357">
        <v>2018</v>
      </c>
      <c r="D357" s="3">
        <v>45.46</v>
      </c>
      <c r="E357" t="s">
        <v>104</v>
      </c>
      <c r="F357" t="s">
        <v>39</v>
      </c>
      <c r="G357" t="s">
        <v>65</v>
      </c>
      <c r="H357" t="s">
        <v>105</v>
      </c>
      <c r="I357">
        <v>44</v>
      </c>
      <c r="J357" s="4">
        <f t="shared" si="22"/>
        <v>6.6385174759558963E-2</v>
      </c>
      <c r="K357" t="s">
        <v>43</v>
      </c>
    </row>
    <row r="358" spans="1:11" x14ac:dyDescent="0.35">
      <c r="A358" t="s">
        <v>103</v>
      </c>
      <c r="B358" t="s">
        <v>94</v>
      </c>
      <c r="C358">
        <v>2019</v>
      </c>
      <c r="D358" s="3">
        <v>48.16</v>
      </c>
      <c r="E358" t="s">
        <v>104</v>
      </c>
      <c r="F358" t="s">
        <v>39</v>
      </c>
      <c r="G358" t="s">
        <v>65</v>
      </c>
      <c r="H358" t="s">
        <v>105</v>
      </c>
      <c r="I358">
        <v>45</v>
      </c>
      <c r="J358" s="4">
        <f t="shared" si="22"/>
        <v>5.9392872855257295E-2</v>
      </c>
      <c r="K358" t="s">
        <v>43</v>
      </c>
    </row>
    <row r="359" spans="1:11" x14ac:dyDescent="0.35">
      <c r="A359" t="s">
        <v>103</v>
      </c>
      <c r="B359" t="s">
        <v>94</v>
      </c>
      <c r="C359">
        <v>2020</v>
      </c>
      <c r="D359" s="3">
        <v>46.74</v>
      </c>
      <c r="E359" t="s">
        <v>104</v>
      </c>
      <c r="F359" t="s">
        <v>39</v>
      </c>
      <c r="G359" t="s">
        <v>65</v>
      </c>
      <c r="H359" t="s">
        <v>105</v>
      </c>
      <c r="I359">
        <v>46</v>
      </c>
      <c r="J359" s="4">
        <f t="shared" si="22"/>
        <v>-2.9485049833886889E-2</v>
      </c>
      <c r="K359" t="s">
        <v>43</v>
      </c>
    </row>
    <row r="360" spans="1:11" x14ac:dyDescent="0.35">
      <c r="A360" t="s">
        <v>103</v>
      </c>
      <c r="B360" t="s">
        <v>94</v>
      </c>
      <c r="C360">
        <v>2021</v>
      </c>
      <c r="D360" s="3">
        <v>52.03</v>
      </c>
      <c r="E360" t="s">
        <v>104</v>
      </c>
      <c r="F360" t="s">
        <v>39</v>
      </c>
      <c r="G360" t="s">
        <v>65</v>
      </c>
      <c r="H360" t="s">
        <v>105</v>
      </c>
      <c r="I360">
        <v>47</v>
      </c>
      <c r="J360" s="4">
        <f t="shared" si="22"/>
        <v>0.1131792896876338</v>
      </c>
      <c r="K360" t="s">
        <v>43</v>
      </c>
    </row>
    <row r="361" spans="1:11" x14ac:dyDescent="0.35">
      <c r="A361" t="s">
        <v>103</v>
      </c>
      <c r="B361" t="s">
        <v>94</v>
      </c>
      <c r="C361">
        <v>2022</v>
      </c>
      <c r="D361" s="3">
        <v>56.9</v>
      </c>
      <c r="E361" t="s">
        <v>104</v>
      </c>
      <c r="F361" t="s">
        <v>39</v>
      </c>
      <c r="G361" t="s">
        <v>65</v>
      </c>
      <c r="H361" t="s">
        <v>105</v>
      </c>
      <c r="I361">
        <v>48</v>
      </c>
      <c r="J361" s="4">
        <f t="shared" si="22"/>
        <v>9.3599846242552243E-2</v>
      </c>
      <c r="K361" t="s">
        <v>43</v>
      </c>
    </row>
    <row r="362" spans="1:11" x14ac:dyDescent="0.35">
      <c r="A362" t="s">
        <v>103</v>
      </c>
      <c r="B362" t="s">
        <v>94</v>
      </c>
      <c r="C362">
        <v>2023</v>
      </c>
      <c r="D362" s="3">
        <v>64.12</v>
      </c>
      <c r="E362" t="s">
        <v>104</v>
      </c>
      <c r="F362" t="s">
        <v>39</v>
      </c>
      <c r="G362" t="s">
        <v>65</v>
      </c>
      <c r="H362" t="s">
        <v>105</v>
      </c>
      <c r="I362">
        <v>49</v>
      </c>
      <c r="J362" s="4">
        <f t="shared" si="22"/>
        <v>0.12688927943760997</v>
      </c>
      <c r="K362" t="s">
        <v>43</v>
      </c>
    </row>
    <row r="363" spans="1:11" x14ac:dyDescent="0.35">
      <c r="A363" t="s">
        <v>103</v>
      </c>
      <c r="B363" t="s">
        <v>94</v>
      </c>
      <c r="C363">
        <v>2024</v>
      </c>
      <c r="D363" s="3">
        <v>67.48</v>
      </c>
      <c r="E363" t="s">
        <v>104</v>
      </c>
      <c r="F363" t="s">
        <v>39</v>
      </c>
      <c r="G363" t="s">
        <v>65</v>
      </c>
      <c r="H363" t="s">
        <v>105</v>
      </c>
      <c r="I363">
        <v>50</v>
      </c>
      <c r="J363" s="4">
        <f t="shared" si="22"/>
        <v>5.240174672489073E-2</v>
      </c>
      <c r="K363" t="s">
        <v>43</v>
      </c>
    </row>
    <row r="364" spans="1:11" x14ac:dyDescent="0.35">
      <c r="A364" s="5" t="s">
        <v>103</v>
      </c>
      <c r="B364" s="5" t="s">
        <v>94</v>
      </c>
      <c r="C364" s="5">
        <v>2025</v>
      </c>
      <c r="D364" s="6">
        <v>71.17</v>
      </c>
      <c r="E364" s="5" t="s">
        <v>104</v>
      </c>
      <c r="F364" s="5" t="s">
        <v>39</v>
      </c>
      <c r="G364" s="5" t="s">
        <v>65</v>
      </c>
      <c r="H364" s="5" t="s">
        <v>105</v>
      </c>
      <c r="I364" s="5">
        <v>51</v>
      </c>
      <c r="J364" s="7">
        <f t="shared" si="22"/>
        <v>5.4682868998221723E-2</v>
      </c>
      <c r="K364" s="5" t="s">
        <v>11</v>
      </c>
    </row>
    <row r="365" spans="1:11" x14ac:dyDescent="0.35">
      <c r="A365" t="s">
        <v>103</v>
      </c>
      <c r="B365" t="s">
        <v>94</v>
      </c>
      <c r="C365">
        <v>2026</v>
      </c>
      <c r="D365" s="3">
        <v>74.760000000000005</v>
      </c>
      <c r="E365" t="s">
        <v>104</v>
      </c>
      <c r="F365" t="s">
        <v>44</v>
      </c>
      <c r="G365" t="s">
        <v>40</v>
      </c>
      <c r="H365" t="s">
        <v>105</v>
      </c>
      <c r="I365">
        <v>52</v>
      </c>
      <c r="J365" s="4">
        <f t="shared" si="22"/>
        <v>5.0442602220036603E-2</v>
      </c>
      <c r="K365" t="s">
        <v>43</v>
      </c>
    </row>
    <row r="366" spans="1:11" x14ac:dyDescent="0.35">
      <c r="A366" t="s">
        <v>103</v>
      </c>
      <c r="B366" t="s">
        <v>94</v>
      </c>
      <c r="C366">
        <v>2027</v>
      </c>
      <c r="D366" s="3">
        <v>79.67</v>
      </c>
      <c r="E366" t="s">
        <v>104</v>
      </c>
      <c r="F366" t="s">
        <v>44</v>
      </c>
      <c r="G366" t="s">
        <v>40</v>
      </c>
      <c r="H366" t="s">
        <v>105</v>
      </c>
      <c r="I366">
        <v>53</v>
      </c>
      <c r="J366" s="4">
        <f t="shared" si="22"/>
        <v>6.5676832530765061E-2</v>
      </c>
      <c r="K366" t="s">
        <v>43</v>
      </c>
    </row>
    <row r="367" spans="1:11" x14ac:dyDescent="0.35">
      <c r="A367" t="s">
        <v>103</v>
      </c>
      <c r="B367" t="s">
        <v>94</v>
      </c>
      <c r="C367">
        <v>2028</v>
      </c>
      <c r="D367" s="3">
        <v>83.82</v>
      </c>
      <c r="E367" t="s">
        <v>104</v>
      </c>
      <c r="F367" t="s">
        <v>44</v>
      </c>
      <c r="G367" t="s">
        <v>40</v>
      </c>
      <c r="H367" t="s">
        <v>105</v>
      </c>
      <c r="I367">
        <v>54</v>
      </c>
      <c r="J367" s="4">
        <f t="shared" si="22"/>
        <v>5.2089870716706344E-2</v>
      </c>
      <c r="K367" t="s">
        <v>43</v>
      </c>
    </row>
    <row r="368" spans="1:11" x14ac:dyDescent="0.35">
      <c r="A368" t="s">
        <v>103</v>
      </c>
      <c r="B368" t="s">
        <v>94</v>
      </c>
      <c r="C368">
        <v>2029</v>
      </c>
      <c r="D368" s="3">
        <v>88.13</v>
      </c>
      <c r="E368" t="s">
        <v>104</v>
      </c>
      <c r="F368" t="s">
        <v>44</v>
      </c>
      <c r="G368" t="s">
        <v>40</v>
      </c>
      <c r="H368" t="s">
        <v>105</v>
      </c>
      <c r="I368">
        <v>55</v>
      </c>
      <c r="J368" s="4">
        <f t="shared" si="22"/>
        <v>5.1419708900023897E-2</v>
      </c>
      <c r="K368" t="s">
        <v>43</v>
      </c>
    </row>
    <row r="369" spans="1:11" x14ac:dyDescent="0.35">
      <c r="A369" t="s">
        <v>103</v>
      </c>
      <c r="B369" t="s">
        <v>94</v>
      </c>
      <c r="C369">
        <v>2030</v>
      </c>
      <c r="D369" s="3">
        <v>92.64</v>
      </c>
      <c r="E369" t="s">
        <v>104</v>
      </c>
      <c r="F369" t="s">
        <v>44</v>
      </c>
      <c r="G369" t="s">
        <v>40</v>
      </c>
      <c r="H369" t="s">
        <v>105</v>
      </c>
      <c r="I369">
        <v>56</v>
      </c>
      <c r="J369" s="4">
        <f t="shared" si="22"/>
        <v>5.117440145239982E-2</v>
      </c>
      <c r="K369" t="s">
        <v>43</v>
      </c>
    </row>
    <row r="370" spans="1:11" x14ac:dyDescent="0.35">
      <c r="A370" t="s">
        <v>106</v>
      </c>
      <c r="B370" t="s">
        <v>94</v>
      </c>
      <c r="C370">
        <v>2015</v>
      </c>
      <c r="D370" s="3">
        <v>45.97</v>
      </c>
      <c r="E370" t="s">
        <v>107</v>
      </c>
      <c r="F370" t="s">
        <v>39</v>
      </c>
      <c r="G370" t="s">
        <v>65</v>
      </c>
      <c r="H370" t="s">
        <v>105</v>
      </c>
      <c r="I370">
        <v>121</v>
      </c>
      <c r="K370" t="s">
        <v>42</v>
      </c>
    </row>
    <row r="371" spans="1:11" x14ac:dyDescent="0.35">
      <c r="A371" t="s">
        <v>106</v>
      </c>
      <c r="B371" t="s">
        <v>94</v>
      </c>
      <c r="C371">
        <v>2016</v>
      </c>
      <c r="D371" s="3">
        <v>47.57</v>
      </c>
      <c r="E371" t="s">
        <v>107</v>
      </c>
      <c r="F371" t="s">
        <v>39</v>
      </c>
      <c r="G371" t="s">
        <v>65</v>
      </c>
      <c r="H371" t="s">
        <v>105</v>
      </c>
      <c r="I371">
        <v>122</v>
      </c>
      <c r="J371" s="4">
        <f t="shared" ref="J371:J385" si="23">IF(D370=0,"",D371/D370-1)</f>
        <v>3.4805307809441022E-2</v>
      </c>
      <c r="K371" t="s">
        <v>43</v>
      </c>
    </row>
    <row r="372" spans="1:11" x14ac:dyDescent="0.35">
      <c r="A372" t="s">
        <v>106</v>
      </c>
      <c r="B372" t="s">
        <v>94</v>
      </c>
      <c r="C372">
        <v>2017</v>
      </c>
      <c r="D372" s="3">
        <v>49.73</v>
      </c>
      <c r="E372" t="s">
        <v>107</v>
      </c>
      <c r="F372" t="s">
        <v>39</v>
      </c>
      <c r="G372" t="s">
        <v>65</v>
      </c>
      <c r="H372" t="s">
        <v>105</v>
      </c>
      <c r="I372">
        <v>123</v>
      </c>
      <c r="J372" s="4">
        <f t="shared" si="23"/>
        <v>4.5406768972041212E-2</v>
      </c>
      <c r="K372" t="s">
        <v>43</v>
      </c>
    </row>
    <row r="373" spans="1:11" x14ac:dyDescent="0.35">
      <c r="A373" t="s">
        <v>106</v>
      </c>
      <c r="B373" t="s">
        <v>94</v>
      </c>
      <c r="C373">
        <v>2018</v>
      </c>
      <c r="D373" s="3">
        <v>52.22</v>
      </c>
      <c r="E373" t="s">
        <v>107</v>
      </c>
      <c r="F373" t="s">
        <v>39</v>
      </c>
      <c r="G373" t="s">
        <v>65</v>
      </c>
      <c r="H373" t="s">
        <v>105</v>
      </c>
      <c r="I373">
        <v>124</v>
      </c>
      <c r="J373" s="4">
        <f t="shared" si="23"/>
        <v>5.0070380052282371E-2</v>
      </c>
      <c r="K373" t="s">
        <v>43</v>
      </c>
    </row>
    <row r="374" spans="1:11" x14ac:dyDescent="0.35">
      <c r="A374" t="s">
        <v>106</v>
      </c>
      <c r="B374" t="s">
        <v>94</v>
      </c>
      <c r="C374">
        <v>2019</v>
      </c>
      <c r="D374" s="3">
        <v>54.91</v>
      </c>
      <c r="E374" t="s">
        <v>107</v>
      </c>
      <c r="F374" t="s">
        <v>39</v>
      </c>
      <c r="G374" t="s">
        <v>65</v>
      </c>
      <c r="H374" t="s">
        <v>105</v>
      </c>
      <c r="I374">
        <v>125</v>
      </c>
      <c r="J374" s="4">
        <f t="shared" si="23"/>
        <v>5.1512830333205528E-2</v>
      </c>
      <c r="K374" t="s">
        <v>43</v>
      </c>
    </row>
    <row r="375" spans="1:11" x14ac:dyDescent="0.35">
      <c r="A375" t="s">
        <v>106</v>
      </c>
      <c r="B375" t="s">
        <v>94</v>
      </c>
      <c r="C375">
        <v>2020</v>
      </c>
      <c r="D375" s="3">
        <v>50.74</v>
      </c>
      <c r="E375" t="s">
        <v>107</v>
      </c>
      <c r="F375" t="s">
        <v>39</v>
      </c>
      <c r="G375" t="s">
        <v>65</v>
      </c>
      <c r="H375" t="s">
        <v>105</v>
      </c>
      <c r="I375">
        <v>126</v>
      </c>
      <c r="J375" s="4">
        <f t="shared" si="23"/>
        <v>-7.5942451283919077E-2</v>
      </c>
      <c r="K375" t="s">
        <v>43</v>
      </c>
    </row>
    <row r="376" spans="1:11" x14ac:dyDescent="0.35">
      <c r="A376" t="s">
        <v>106</v>
      </c>
      <c r="B376" t="s">
        <v>94</v>
      </c>
      <c r="C376">
        <v>2021</v>
      </c>
      <c r="D376" s="3">
        <v>58.34</v>
      </c>
      <c r="E376" t="s">
        <v>107</v>
      </c>
      <c r="F376" t="s">
        <v>39</v>
      </c>
      <c r="G376" t="s">
        <v>65</v>
      </c>
      <c r="H376" t="s">
        <v>105</v>
      </c>
      <c r="I376">
        <v>127</v>
      </c>
      <c r="J376" s="4">
        <f t="shared" si="23"/>
        <v>0.14978320851399296</v>
      </c>
      <c r="K376" t="s">
        <v>43</v>
      </c>
    </row>
    <row r="377" spans="1:11" x14ac:dyDescent="0.35">
      <c r="A377" t="s">
        <v>106</v>
      </c>
      <c r="B377" t="s">
        <v>94</v>
      </c>
      <c r="C377">
        <v>2022</v>
      </c>
      <c r="D377" s="3">
        <v>67.61</v>
      </c>
      <c r="E377" t="s">
        <v>107</v>
      </c>
      <c r="F377" t="s">
        <v>39</v>
      </c>
      <c r="G377" t="s">
        <v>65</v>
      </c>
      <c r="H377" t="s">
        <v>105</v>
      </c>
      <c r="I377">
        <v>128</v>
      </c>
      <c r="J377" s="4">
        <f t="shared" si="23"/>
        <v>0.15889612615701054</v>
      </c>
      <c r="K377" t="s">
        <v>43</v>
      </c>
    </row>
    <row r="378" spans="1:11" x14ac:dyDescent="0.35">
      <c r="A378" t="s">
        <v>106</v>
      </c>
      <c r="B378" t="s">
        <v>94</v>
      </c>
      <c r="C378">
        <v>2023</v>
      </c>
      <c r="D378" s="3">
        <v>79.19</v>
      </c>
      <c r="E378" t="s">
        <v>107</v>
      </c>
      <c r="F378" t="s">
        <v>39</v>
      </c>
      <c r="G378" t="s">
        <v>65</v>
      </c>
      <c r="H378" t="s">
        <v>105</v>
      </c>
      <c r="I378">
        <v>129</v>
      </c>
      <c r="J378" s="4">
        <f t="shared" si="23"/>
        <v>0.17127643839668694</v>
      </c>
      <c r="K378" t="s">
        <v>43</v>
      </c>
    </row>
    <row r="379" spans="1:11" x14ac:dyDescent="0.35">
      <c r="A379" t="s">
        <v>106</v>
      </c>
      <c r="B379" t="s">
        <v>94</v>
      </c>
      <c r="C379">
        <v>2024</v>
      </c>
      <c r="D379" s="3">
        <v>85.91</v>
      </c>
      <c r="E379" t="s">
        <v>107</v>
      </c>
      <c r="F379" t="s">
        <v>39</v>
      </c>
      <c r="G379" t="s">
        <v>65</v>
      </c>
      <c r="H379" t="s">
        <v>105</v>
      </c>
      <c r="I379">
        <v>130</v>
      </c>
      <c r="J379" s="4">
        <f t="shared" si="23"/>
        <v>8.4859199393862772E-2</v>
      </c>
      <c r="K379" t="s">
        <v>43</v>
      </c>
    </row>
    <row r="380" spans="1:11" x14ac:dyDescent="0.35">
      <c r="A380" t="s">
        <v>106</v>
      </c>
      <c r="B380" t="s">
        <v>94</v>
      </c>
      <c r="C380">
        <v>2025</v>
      </c>
      <c r="D380" s="3">
        <v>92.98</v>
      </c>
      <c r="E380" t="s">
        <v>107</v>
      </c>
      <c r="F380" t="s">
        <v>39</v>
      </c>
      <c r="G380" t="s">
        <v>65</v>
      </c>
      <c r="H380" t="s">
        <v>105</v>
      </c>
      <c r="I380">
        <v>131</v>
      </c>
      <c r="J380" s="4">
        <f t="shared" si="23"/>
        <v>8.2295425445233494E-2</v>
      </c>
      <c r="K380" t="s">
        <v>43</v>
      </c>
    </row>
    <row r="381" spans="1:11" x14ac:dyDescent="0.35">
      <c r="A381" t="s">
        <v>106</v>
      </c>
      <c r="B381" t="s">
        <v>94</v>
      </c>
      <c r="C381">
        <v>2026</v>
      </c>
      <c r="D381" s="3">
        <v>99.07</v>
      </c>
      <c r="E381" t="s">
        <v>107</v>
      </c>
      <c r="F381" t="s">
        <v>44</v>
      </c>
      <c r="G381" t="s">
        <v>40</v>
      </c>
      <c r="H381" t="s">
        <v>105</v>
      </c>
      <c r="I381">
        <v>132</v>
      </c>
      <c r="J381" s="4">
        <f t="shared" si="23"/>
        <v>6.5497956549795511E-2</v>
      </c>
      <c r="K381" t="s">
        <v>43</v>
      </c>
    </row>
    <row r="382" spans="1:11" x14ac:dyDescent="0.35">
      <c r="A382" t="s">
        <v>106</v>
      </c>
      <c r="B382" t="s">
        <v>94</v>
      </c>
      <c r="C382">
        <v>2027</v>
      </c>
      <c r="D382" s="3">
        <v>104.63</v>
      </c>
      <c r="E382" t="s">
        <v>107</v>
      </c>
      <c r="F382" t="s">
        <v>44</v>
      </c>
      <c r="G382" t="s">
        <v>40</v>
      </c>
      <c r="H382" t="s">
        <v>105</v>
      </c>
      <c r="I382">
        <v>133</v>
      </c>
      <c r="J382" s="4">
        <f t="shared" si="23"/>
        <v>5.6121933986070571E-2</v>
      </c>
      <c r="K382" t="s">
        <v>43</v>
      </c>
    </row>
    <row r="383" spans="1:11" x14ac:dyDescent="0.35">
      <c r="A383" t="s">
        <v>106</v>
      </c>
      <c r="B383" t="s">
        <v>94</v>
      </c>
      <c r="C383">
        <v>2028</v>
      </c>
      <c r="D383" s="3">
        <v>110</v>
      </c>
      <c r="E383" t="s">
        <v>107</v>
      </c>
      <c r="F383" t="s">
        <v>44</v>
      </c>
      <c r="G383" t="s">
        <v>40</v>
      </c>
      <c r="H383" t="s">
        <v>105</v>
      </c>
      <c r="I383">
        <v>134</v>
      </c>
      <c r="J383" s="4">
        <f t="shared" si="23"/>
        <v>5.1323712128452659E-2</v>
      </c>
      <c r="K383" t="s">
        <v>43</v>
      </c>
    </row>
    <row r="384" spans="1:11" x14ac:dyDescent="0.35">
      <c r="A384" t="s">
        <v>106</v>
      </c>
      <c r="B384" t="s">
        <v>94</v>
      </c>
      <c r="C384">
        <v>2029</v>
      </c>
      <c r="D384" s="3">
        <v>115.71</v>
      </c>
      <c r="E384" t="s">
        <v>107</v>
      </c>
      <c r="F384" t="s">
        <v>44</v>
      </c>
      <c r="G384" t="s">
        <v>40</v>
      </c>
      <c r="H384" t="s">
        <v>105</v>
      </c>
      <c r="I384">
        <v>135</v>
      </c>
      <c r="J384" s="4">
        <f t="shared" si="23"/>
        <v>5.1909090909090905E-2</v>
      </c>
      <c r="K384" t="s">
        <v>43</v>
      </c>
    </row>
    <row r="385" spans="1:11" x14ac:dyDescent="0.35">
      <c r="A385" t="s">
        <v>106</v>
      </c>
      <c r="B385" t="s">
        <v>94</v>
      </c>
      <c r="C385">
        <v>2030</v>
      </c>
      <c r="D385" s="3">
        <v>121.25</v>
      </c>
      <c r="E385" t="s">
        <v>107</v>
      </c>
      <c r="F385" t="s">
        <v>44</v>
      </c>
      <c r="G385" t="s">
        <v>40</v>
      </c>
      <c r="H385" t="s">
        <v>105</v>
      </c>
      <c r="I385">
        <v>136</v>
      </c>
      <c r="J385" s="4">
        <f t="shared" si="23"/>
        <v>4.7878316480857386E-2</v>
      </c>
      <c r="K385" t="s">
        <v>43</v>
      </c>
    </row>
    <row r="386" spans="1:11" x14ac:dyDescent="0.35">
      <c r="A386" t="s">
        <v>108</v>
      </c>
      <c r="B386" t="s">
        <v>94</v>
      </c>
      <c r="C386">
        <v>2015</v>
      </c>
      <c r="D386" s="3">
        <v>3.61</v>
      </c>
      <c r="E386" t="s">
        <v>104</v>
      </c>
      <c r="F386" t="s">
        <v>39</v>
      </c>
      <c r="G386" t="s">
        <v>72</v>
      </c>
      <c r="H386" t="s">
        <v>105</v>
      </c>
      <c r="I386">
        <v>201</v>
      </c>
      <c r="K386" t="s">
        <v>42</v>
      </c>
    </row>
    <row r="387" spans="1:11" x14ac:dyDescent="0.35">
      <c r="A387" t="s">
        <v>108</v>
      </c>
      <c r="B387" t="s">
        <v>94</v>
      </c>
      <c r="C387">
        <v>2016</v>
      </c>
      <c r="D387" s="3">
        <v>3.94</v>
      </c>
      <c r="E387" t="s">
        <v>104</v>
      </c>
      <c r="F387" t="s">
        <v>39</v>
      </c>
      <c r="G387" t="s">
        <v>72</v>
      </c>
      <c r="H387" t="s">
        <v>105</v>
      </c>
      <c r="I387">
        <v>202</v>
      </c>
      <c r="J387" s="4">
        <f t="shared" ref="J387:J401" si="24">IF(D386=0,"",D387/D386-1)</f>
        <v>9.1412742382271484E-2</v>
      </c>
      <c r="K387" t="s">
        <v>43</v>
      </c>
    </row>
    <row r="388" spans="1:11" x14ac:dyDescent="0.35">
      <c r="A388" t="s">
        <v>108</v>
      </c>
      <c r="B388" t="s">
        <v>94</v>
      </c>
      <c r="C388">
        <v>2017</v>
      </c>
      <c r="D388" s="3">
        <v>4.25</v>
      </c>
      <c r="E388" t="s">
        <v>104</v>
      </c>
      <c r="F388" t="s">
        <v>39</v>
      </c>
      <c r="G388" t="s">
        <v>72</v>
      </c>
      <c r="H388" t="s">
        <v>105</v>
      </c>
      <c r="I388">
        <v>203</v>
      </c>
      <c r="J388" s="4">
        <f t="shared" si="24"/>
        <v>7.8680203045685237E-2</v>
      </c>
      <c r="K388" t="s">
        <v>43</v>
      </c>
    </row>
    <row r="389" spans="1:11" x14ac:dyDescent="0.35">
      <c r="A389" t="s">
        <v>108</v>
      </c>
      <c r="B389" t="s">
        <v>94</v>
      </c>
      <c r="C389">
        <v>2018</v>
      </c>
      <c r="D389" s="3">
        <v>4.5999999999999996</v>
      </c>
      <c r="E389" t="s">
        <v>104</v>
      </c>
      <c r="F389" t="s">
        <v>39</v>
      </c>
      <c r="G389" t="s">
        <v>72</v>
      </c>
      <c r="H389" t="s">
        <v>105</v>
      </c>
      <c r="I389">
        <v>204</v>
      </c>
      <c r="J389" s="4">
        <f t="shared" si="24"/>
        <v>8.2352941176470518E-2</v>
      </c>
      <c r="K389" t="s">
        <v>43</v>
      </c>
    </row>
    <row r="390" spans="1:11" x14ac:dyDescent="0.35">
      <c r="A390" t="s">
        <v>108</v>
      </c>
      <c r="B390" t="s">
        <v>94</v>
      </c>
      <c r="C390">
        <v>2019</v>
      </c>
      <c r="D390" s="3">
        <v>4.9000000000000004</v>
      </c>
      <c r="E390" t="s">
        <v>104</v>
      </c>
      <c r="F390" t="s">
        <v>39</v>
      </c>
      <c r="G390" t="s">
        <v>72</v>
      </c>
      <c r="H390" t="s">
        <v>105</v>
      </c>
      <c r="I390">
        <v>205</v>
      </c>
      <c r="J390" s="4">
        <f t="shared" si="24"/>
        <v>6.5217391304347894E-2</v>
      </c>
      <c r="K390" t="s">
        <v>43</v>
      </c>
    </row>
    <row r="391" spans="1:11" x14ac:dyDescent="0.35">
      <c r="A391" t="s">
        <v>108</v>
      </c>
      <c r="B391" t="s">
        <v>94</v>
      </c>
      <c r="C391">
        <v>2020</v>
      </c>
      <c r="D391" s="3">
        <v>4.1399999999999997</v>
      </c>
      <c r="E391" t="s">
        <v>104</v>
      </c>
      <c r="F391" t="s">
        <v>39</v>
      </c>
      <c r="G391" t="s">
        <v>72</v>
      </c>
      <c r="H391" t="s">
        <v>105</v>
      </c>
      <c r="I391">
        <v>206</v>
      </c>
      <c r="J391" s="4">
        <f t="shared" si="24"/>
        <v>-0.15510204081632661</v>
      </c>
      <c r="K391" t="s">
        <v>43</v>
      </c>
    </row>
    <row r="392" spans="1:11" x14ac:dyDescent="0.35">
      <c r="A392" t="s">
        <v>108</v>
      </c>
      <c r="B392" t="s">
        <v>94</v>
      </c>
      <c r="C392">
        <v>2021</v>
      </c>
      <c r="D392" s="3">
        <v>4.92</v>
      </c>
      <c r="E392" t="s">
        <v>104</v>
      </c>
      <c r="F392" t="s">
        <v>39</v>
      </c>
      <c r="G392" t="s">
        <v>72</v>
      </c>
      <c r="H392" t="s">
        <v>105</v>
      </c>
      <c r="I392">
        <v>207</v>
      </c>
      <c r="J392" s="4">
        <f t="shared" si="24"/>
        <v>0.18840579710144945</v>
      </c>
      <c r="K392" t="s">
        <v>43</v>
      </c>
    </row>
    <row r="393" spans="1:11" x14ac:dyDescent="0.35">
      <c r="A393" t="s">
        <v>108</v>
      </c>
      <c r="B393" t="s">
        <v>94</v>
      </c>
      <c r="C393">
        <v>2022</v>
      </c>
      <c r="D393" s="3">
        <v>5.94</v>
      </c>
      <c r="E393" t="s">
        <v>104</v>
      </c>
      <c r="F393" t="s">
        <v>39</v>
      </c>
      <c r="G393" t="s">
        <v>72</v>
      </c>
      <c r="H393" t="s">
        <v>105</v>
      </c>
      <c r="I393">
        <v>208</v>
      </c>
      <c r="J393" s="4">
        <f t="shared" si="24"/>
        <v>0.20731707317073189</v>
      </c>
      <c r="K393" t="s">
        <v>43</v>
      </c>
    </row>
    <row r="394" spans="1:11" x14ac:dyDescent="0.35">
      <c r="A394" t="s">
        <v>108</v>
      </c>
      <c r="B394" t="s">
        <v>94</v>
      </c>
      <c r="C394">
        <v>2023</v>
      </c>
      <c r="D394" s="3">
        <v>7.07</v>
      </c>
      <c r="E394" t="s">
        <v>104</v>
      </c>
      <c r="F394" t="s">
        <v>39</v>
      </c>
      <c r="G394" t="s">
        <v>72</v>
      </c>
      <c r="H394" t="s">
        <v>105</v>
      </c>
      <c r="I394">
        <v>209</v>
      </c>
      <c r="J394" s="4">
        <f t="shared" si="24"/>
        <v>0.19023569023569031</v>
      </c>
      <c r="K394" t="s">
        <v>43</v>
      </c>
    </row>
    <row r="395" spans="1:11" x14ac:dyDescent="0.35">
      <c r="A395" t="s">
        <v>108</v>
      </c>
      <c r="B395" t="s">
        <v>94</v>
      </c>
      <c r="C395">
        <v>2024</v>
      </c>
      <c r="D395" s="3">
        <v>7.64</v>
      </c>
      <c r="E395" t="s">
        <v>104</v>
      </c>
      <c r="F395" t="s">
        <v>39</v>
      </c>
      <c r="G395" t="s">
        <v>72</v>
      </c>
      <c r="H395" t="s">
        <v>105</v>
      </c>
      <c r="I395">
        <v>210</v>
      </c>
      <c r="J395" s="4">
        <f t="shared" si="24"/>
        <v>8.0622347949080631E-2</v>
      </c>
      <c r="K395" t="s">
        <v>43</v>
      </c>
    </row>
    <row r="396" spans="1:11" x14ac:dyDescent="0.35">
      <c r="A396" t="s">
        <v>108</v>
      </c>
      <c r="B396" t="s">
        <v>94</v>
      </c>
      <c r="C396">
        <v>2025</v>
      </c>
      <c r="D396" s="3">
        <v>8.27</v>
      </c>
      <c r="E396" t="s">
        <v>104</v>
      </c>
      <c r="F396" t="s">
        <v>39</v>
      </c>
      <c r="G396" t="s">
        <v>72</v>
      </c>
      <c r="H396" t="s">
        <v>105</v>
      </c>
      <c r="I396">
        <v>211</v>
      </c>
      <c r="J396" s="4">
        <f t="shared" si="24"/>
        <v>8.2460732984293239E-2</v>
      </c>
      <c r="K396" t="s">
        <v>43</v>
      </c>
    </row>
    <row r="397" spans="1:11" x14ac:dyDescent="0.35">
      <c r="A397" t="s">
        <v>108</v>
      </c>
      <c r="B397" t="s">
        <v>94</v>
      </c>
      <c r="C397">
        <v>2026</v>
      </c>
      <c r="D397" s="3">
        <v>8.7200000000000006</v>
      </c>
      <c r="E397" t="s">
        <v>104</v>
      </c>
      <c r="F397" t="s">
        <v>44</v>
      </c>
      <c r="G397" t="s">
        <v>72</v>
      </c>
      <c r="H397" t="s">
        <v>105</v>
      </c>
      <c r="I397">
        <v>212</v>
      </c>
      <c r="J397" s="4">
        <f t="shared" si="24"/>
        <v>5.4413542926239566E-2</v>
      </c>
      <c r="K397" t="s">
        <v>43</v>
      </c>
    </row>
    <row r="398" spans="1:11" x14ac:dyDescent="0.35">
      <c r="A398" t="s">
        <v>108</v>
      </c>
      <c r="B398" t="s">
        <v>94</v>
      </c>
      <c r="C398">
        <v>2027</v>
      </c>
      <c r="D398" s="3">
        <v>9.2799999999999994</v>
      </c>
      <c r="E398" t="s">
        <v>104</v>
      </c>
      <c r="F398" t="s">
        <v>44</v>
      </c>
      <c r="G398" t="s">
        <v>72</v>
      </c>
      <c r="H398" t="s">
        <v>105</v>
      </c>
      <c r="I398">
        <v>213</v>
      </c>
      <c r="J398" s="4">
        <f t="shared" si="24"/>
        <v>6.4220183486238369E-2</v>
      </c>
      <c r="K398" t="s">
        <v>43</v>
      </c>
    </row>
    <row r="399" spans="1:11" x14ac:dyDescent="0.35">
      <c r="A399" t="s">
        <v>108</v>
      </c>
      <c r="B399" t="s">
        <v>94</v>
      </c>
      <c r="C399">
        <v>2028</v>
      </c>
      <c r="D399" s="3">
        <v>9.85</v>
      </c>
      <c r="E399" t="s">
        <v>104</v>
      </c>
      <c r="F399" t="s">
        <v>44</v>
      </c>
      <c r="G399" t="s">
        <v>72</v>
      </c>
      <c r="H399" t="s">
        <v>105</v>
      </c>
      <c r="I399">
        <v>214</v>
      </c>
      <c r="J399" s="4">
        <f t="shared" si="24"/>
        <v>6.1422413793103425E-2</v>
      </c>
      <c r="K399" t="s">
        <v>43</v>
      </c>
    </row>
    <row r="400" spans="1:11" x14ac:dyDescent="0.35">
      <c r="A400" t="s">
        <v>108</v>
      </c>
      <c r="B400" t="s">
        <v>94</v>
      </c>
      <c r="C400">
        <v>2029</v>
      </c>
      <c r="D400" s="3">
        <v>10.44</v>
      </c>
      <c r="E400" t="s">
        <v>104</v>
      </c>
      <c r="F400" t="s">
        <v>44</v>
      </c>
      <c r="G400" t="s">
        <v>72</v>
      </c>
      <c r="H400" t="s">
        <v>105</v>
      </c>
      <c r="I400">
        <v>215</v>
      </c>
      <c r="J400" s="4">
        <f t="shared" si="24"/>
        <v>5.9898477157360297E-2</v>
      </c>
      <c r="K400" t="s">
        <v>43</v>
      </c>
    </row>
    <row r="401" spans="1:11" x14ac:dyDescent="0.35">
      <c r="A401" t="s">
        <v>108</v>
      </c>
      <c r="B401" t="s">
        <v>94</v>
      </c>
      <c r="C401">
        <v>2030</v>
      </c>
      <c r="D401" s="3">
        <v>11.05</v>
      </c>
      <c r="E401" t="s">
        <v>104</v>
      </c>
      <c r="F401" t="s">
        <v>44</v>
      </c>
      <c r="G401" t="s">
        <v>72</v>
      </c>
      <c r="H401" t="s">
        <v>105</v>
      </c>
      <c r="I401">
        <v>216</v>
      </c>
      <c r="J401" s="4">
        <f t="shared" si="24"/>
        <v>5.842911877394652E-2</v>
      </c>
      <c r="K401" t="s">
        <v>43</v>
      </c>
    </row>
    <row r="402" spans="1:11" x14ac:dyDescent="0.35">
      <c r="A402" t="s">
        <v>109</v>
      </c>
      <c r="B402" t="s">
        <v>94</v>
      </c>
      <c r="C402">
        <v>2015</v>
      </c>
      <c r="D402" s="3">
        <v>558.95000000000005</v>
      </c>
      <c r="E402" t="s">
        <v>110</v>
      </c>
      <c r="F402" t="s">
        <v>39</v>
      </c>
      <c r="G402" t="s">
        <v>72</v>
      </c>
      <c r="H402" t="s">
        <v>105</v>
      </c>
      <c r="I402">
        <v>281</v>
      </c>
      <c r="K402" t="s">
        <v>42</v>
      </c>
    </row>
    <row r="403" spans="1:11" x14ac:dyDescent="0.35">
      <c r="A403" t="s">
        <v>109</v>
      </c>
      <c r="B403" t="s">
        <v>94</v>
      </c>
      <c r="C403">
        <v>2016</v>
      </c>
      <c r="D403" s="3">
        <v>594.79</v>
      </c>
      <c r="E403" t="s">
        <v>110</v>
      </c>
      <c r="F403" t="s">
        <v>39</v>
      </c>
      <c r="G403" t="s">
        <v>72</v>
      </c>
      <c r="H403" t="s">
        <v>105</v>
      </c>
      <c r="I403">
        <v>282</v>
      </c>
      <c r="J403" s="4">
        <f t="shared" ref="J403:J417" si="25">IF(D402=0,"",D403/D402-1)</f>
        <v>6.4120225422667376E-2</v>
      </c>
      <c r="K403" t="s">
        <v>43</v>
      </c>
    </row>
    <row r="404" spans="1:11" x14ac:dyDescent="0.35">
      <c r="A404" t="s">
        <v>109</v>
      </c>
      <c r="B404" t="s">
        <v>94</v>
      </c>
      <c r="C404">
        <v>2017</v>
      </c>
      <c r="D404" s="3">
        <v>618.11</v>
      </c>
      <c r="E404" t="s">
        <v>110</v>
      </c>
      <c r="F404" t="s">
        <v>39</v>
      </c>
      <c r="G404" t="s">
        <v>72</v>
      </c>
      <c r="H404" t="s">
        <v>105</v>
      </c>
      <c r="I404">
        <v>283</v>
      </c>
      <c r="J404" s="4">
        <f t="shared" si="25"/>
        <v>3.9207115116259628E-2</v>
      </c>
      <c r="K404" t="s">
        <v>43</v>
      </c>
    </row>
    <row r="405" spans="1:11" x14ac:dyDescent="0.35">
      <c r="A405" t="s">
        <v>109</v>
      </c>
      <c r="B405" t="s">
        <v>94</v>
      </c>
      <c r="C405">
        <v>2018</v>
      </c>
      <c r="D405" s="3">
        <v>660.88</v>
      </c>
      <c r="E405" t="s">
        <v>110</v>
      </c>
      <c r="F405" t="s">
        <v>39</v>
      </c>
      <c r="G405" t="s">
        <v>72</v>
      </c>
      <c r="H405" t="s">
        <v>105</v>
      </c>
      <c r="I405">
        <v>284</v>
      </c>
      <c r="J405" s="4">
        <f t="shared" si="25"/>
        <v>6.9194803513937586E-2</v>
      </c>
      <c r="K405" t="s">
        <v>43</v>
      </c>
    </row>
    <row r="406" spans="1:11" x14ac:dyDescent="0.35">
      <c r="A406" t="s">
        <v>109</v>
      </c>
      <c r="B406" t="s">
        <v>94</v>
      </c>
      <c r="C406">
        <v>2019</v>
      </c>
      <c r="D406" s="3">
        <v>692.68</v>
      </c>
      <c r="E406" t="s">
        <v>110</v>
      </c>
      <c r="F406" t="s">
        <v>39</v>
      </c>
      <c r="G406" t="s">
        <v>72</v>
      </c>
      <c r="H406" t="s">
        <v>105</v>
      </c>
      <c r="I406">
        <v>285</v>
      </c>
      <c r="J406" s="4">
        <f t="shared" si="25"/>
        <v>4.8117661300084658E-2</v>
      </c>
      <c r="K406" t="s">
        <v>43</v>
      </c>
    </row>
    <row r="407" spans="1:11" x14ac:dyDescent="0.35">
      <c r="A407" t="s">
        <v>109</v>
      </c>
      <c r="B407" t="s">
        <v>94</v>
      </c>
      <c r="C407">
        <v>2020</v>
      </c>
      <c r="D407" s="3">
        <v>669.28</v>
      </c>
      <c r="E407" t="s">
        <v>110</v>
      </c>
      <c r="F407" t="s">
        <v>39</v>
      </c>
      <c r="G407" t="s">
        <v>72</v>
      </c>
      <c r="H407" t="s">
        <v>105</v>
      </c>
      <c r="I407">
        <v>286</v>
      </c>
      <c r="J407" s="4">
        <f t="shared" si="25"/>
        <v>-3.378183288098402E-2</v>
      </c>
      <c r="K407" t="s">
        <v>43</v>
      </c>
    </row>
    <row r="408" spans="1:11" x14ac:dyDescent="0.35">
      <c r="A408" t="s">
        <v>109</v>
      </c>
      <c r="B408" t="s">
        <v>94</v>
      </c>
      <c r="C408">
        <v>2021</v>
      </c>
      <c r="D408" s="3">
        <v>729.44</v>
      </c>
      <c r="E408" t="s">
        <v>110</v>
      </c>
      <c r="F408" t="s">
        <v>39</v>
      </c>
      <c r="G408" t="s">
        <v>72</v>
      </c>
      <c r="H408" t="s">
        <v>105</v>
      </c>
      <c r="I408">
        <v>287</v>
      </c>
      <c r="J408" s="4">
        <f t="shared" si="25"/>
        <v>8.9887640449438422E-2</v>
      </c>
      <c r="K408" t="s">
        <v>43</v>
      </c>
    </row>
    <row r="409" spans="1:11" x14ac:dyDescent="0.35">
      <c r="A409" t="s">
        <v>109</v>
      </c>
      <c r="B409" t="s">
        <v>94</v>
      </c>
      <c r="C409">
        <v>2022</v>
      </c>
      <c r="D409" s="3">
        <v>816.08</v>
      </c>
      <c r="E409" t="s">
        <v>110</v>
      </c>
      <c r="F409" t="s">
        <v>39</v>
      </c>
      <c r="G409" t="s">
        <v>72</v>
      </c>
      <c r="H409" t="s">
        <v>105</v>
      </c>
      <c r="I409">
        <v>288</v>
      </c>
      <c r="J409" s="4">
        <f t="shared" si="25"/>
        <v>0.11877604737881109</v>
      </c>
      <c r="K409" t="s">
        <v>43</v>
      </c>
    </row>
    <row r="410" spans="1:11" x14ac:dyDescent="0.35">
      <c r="A410" t="s">
        <v>109</v>
      </c>
      <c r="B410" t="s">
        <v>94</v>
      </c>
      <c r="C410">
        <v>2023</v>
      </c>
      <c r="D410" s="3">
        <v>902.91</v>
      </c>
      <c r="E410" t="s">
        <v>110</v>
      </c>
      <c r="F410" t="s">
        <v>39</v>
      </c>
      <c r="G410" t="s">
        <v>72</v>
      </c>
      <c r="H410" t="s">
        <v>105</v>
      </c>
      <c r="I410">
        <v>289</v>
      </c>
      <c r="J410" s="4">
        <f t="shared" si="25"/>
        <v>0.10639888246250351</v>
      </c>
      <c r="K410" t="s">
        <v>43</v>
      </c>
    </row>
    <row r="411" spans="1:11" x14ac:dyDescent="0.35">
      <c r="A411" t="s">
        <v>109</v>
      </c>
      <c r="B411" t="s">
        <v>94</v>
      </c>
      <c r="C411">
        <v>2024</v>
      </c>
      <c r="D411" s="3">
        <v>964.09</v>
      </c>
      <c r="E411" t="s">
        <v>110</v>
      </c>
      <c r="F411" t="s">
        <v>39</v>
      </c>
      <c r="G411" t="s">
        <v>72</v>
      </c>
      <c r="H411" t="s">
        <v>105</v>
      </c>
      <c r="I411">
        <v>290</v>
      </c>
      <c r="J411" s="4">
        <f t="shared" si="25"/>
        <v>6.7758691342437283E-2</v>
      </c>
      <c r="K411" t="s">
        <v>43</v>
      </c>
    </row>
    <row r="412" spans="1:11" x14ac:dyDescent="0.35">
      <c r="A412" t="s">
        <v>109</v>
      </c>
      <c r="B412" t="s">
        <v>94</v>
      </c>
      <c r="C412">
        <v>2025</v>
      </c>
      <c r="D412" s="3">
        <v>1043.8800000000001</v>
      </c>
      <c r="E412" t="s">
        <v>110</v>
      </c>
      <c r="F412" t="s">
        <v>39</v>
      </c>
      <c r="G412" t="s">
        <v>72</v>
      </c>
      <c r="H412" t="s">
        <v>105</v>
      </c>
      <c r="I412">
        <v>291</v>
      </c>
      <c r="J412" s="4">
        <f t="shared" si="25"/>
        <v>8.2761982802435519E-2</v>
      </c>
      <c r="K412" t="s">
        <v>43</v>
      </c>
    </row>
    <row r="413" spans="1:11" x14ac:dyDescent="0.35">
      <c r="A413" t="s">
        <v>109</v>
      </c>
      <c r="B413" t="s">
        <v>94</v>
      </c>
      <c r="C413">
        <v>2026</v>
      </c>
      <c r="D413" s="3">
        <v>1119.6300000000001</v>
      </c>
      <c r="E413" t="s">
        <v>110</v>
      </c>
      <c r="F413" t="s">
        <v>44</v>
      </c>
      <c r="G413" t="s">
        <v>72</v>
      </c>
      <c r="H413" t="s">
        <v>105</v>
      </c>
      <c r="I413">
        <v>292</v>
      </c>
      <c r="J413" s="4">
        <f t="shared" si="25"/>
        <v>7.2565812162317611E-2</v>
      </c>
      <c r="K413" t="s">
        <v>43</v>
      </c>
    </row>
    <row r="414" spans="1:11" x14ac:dyDescent="0.35">
      <c r="A414" t="s">
        <v>109</v>
      </c>
      <c r="B414" t="s">
        <v>94</v>
      </c>
      <c r="C414">
        <v>2027</v>
      </c>
      <c r="D414" s="3">
        <v>1197.48</v>
      </c>
      <c r="E414" t="s">
        <v>110</v>
      </c>
      <c r="F414" t="s">
        <v>44</v>
      </c>
      <c r="G414" t="s">
        <v>72</v>
      </c>
      <c r="H414" t="s">
        <v>105</v>
      </c>
      <c r="I414">
        <v>293</v>
      </c>
      <c r="J414" s="4">
        <f t="shared" si="25"/>
        <v>6.9531898930896618E-2</v>
      </c>
      <c r="K414" t="s">
        <v>43</v>
      </c>
    </row>
    <row r="415" spans="1:11" x14ac:dyDescent="0.35">
      <c r="A415" t="s">
        <v>109</v>
      </c>
      <c r="B415" t="s">
        <v>94</v>
      </c>
      <c r="C415">
        <v>2028</v>
      </c>
      <c r="D415" s="3">
        <v>1263.51</v>
      </c>
      <c r="E415" t="s">
        <v>110</v>
      </c>
      <c r="F415" t="s">
        <v>44</v>
      </c>
      <c r="G415" t="s">
        <v>72</v>
      </c>
      <c r="H415" t="s">
        <v>105</v>
      </c>
      <c r="I415">
        <v>294</v>
      </c>
      <c r="J415" s="4">
        <f t="shared" si="25"/>
        <v>5.5140795670908904E-2</v>
      </c>
      <c r="K415" t="s">
        <v>43</v>
      </c>
    </row>
    <row r="416" spans="1:11" x14ac:dyDescent="0.35">
      <c r="A416" t="s">
        <v>109</v>
      </c>
      <c r="B416" t="s">
        <v>94</v>
      </c>
      <c r="C416">
        <v>2029</v>
      </c>
      <c r="D416" s="3">
        <v>1331.58</v>
      </c>
      <c r="E416" t="s">
        <v>110</v>
      </c>
      <c r="F416" t="s">
        <v>44</v>
      </c>
      <c r="G416" t="s">
        <v>72</v>
      </c>
      <c r="H416" t="s">
        <v>105</v>
      </c>
      <c r="I416">
        <v>295</v>
      </c>
      <c r="J416" s="4">
        <f t="shared" si="25"/>
        <v>5.3873732697010679E-2</v>
      </c>
      <c r="K416" t="s">
        <v>43</v>
      </c>
    </row>
    <row r="417" spans="1:11" x14ac:dyDescent="0.35">
      <c r="A417" t="s">
        <v>109</v>
      </c>
      <c r="B417" t="s">
        <v>94</v>
      </c>
      <c r="C417">
        <v>2030</v>
      </c>
      <c r="D417" s="3">
        <v>1400.05</v>
      </c>
      <c r="E417" t="s">
        <v>110</v>
      </c>
      <c r="F417" t="s">
        <v>44</v>
      </c>
      <c r="G417" t="s">
        <v>72</v>
      </c>
      <c r="H417" t="s">
        <v>105</v>
      </c>
      <c r="I417">
        <v>296</v>
      </c>
      <c r="J417" s="4">
        <f t="shared" si="25"/>
        <v>5.142011745445263E-2</v>
      </c>
      <c r="K417" t="s">
        <v>43</v>
      </c>
    </row>
    <row r="418" spans="1:11" x14ac:dyDescent="0.35">
      <c r="A418" t="s">
        <v>111</v>
      </c>
      <c r="B418" t="s">
        <v>94</v>
      </c>
      <c r="C418">
        <v>2015</v>
      </c>
      <c r="D418" s="3">
        <v>83087.360000000001</v>
      </c>
      <c r="E418" t="s">
        <v>112</v>
      </c>
      <c r="F418" t="s">
        <v>39</v>
      </c>
      <c r="G418" t="s">
        <v>59</v>
      </c>
      <c r="H418" t="s">
        <v>113</v>
      </c>
      <c r="I418">
        <v>47</v>
      </c>
      <c r="K418" t="s">
        <v>42</v>
      </c>
    </row>
    <row r="419" spans="1:11" x14ac:dyDescent="0.35">
      <c r="A419" t="s">
        <v>111</v>
      </c>
      <c r="B419" t="s">
        <v>94</v>
      </c>
      <c r="C419">
        <v>2016</v>
      </c>
      <c r="D419" s="3">
        <v>85616.08</v>
      </c>
      <c r="E419" t="s">
        <v>112</v>
      </c>
      <c r="F419" t="s">
        <v>39</v>
      </c>
      <c r="G419" t="s">
        <v>40</v>
      </c>
      <c r="H419" t="s">
        <v>113</v>
      </c>
      <c r="I419">
        <v>48</v>
      </c>
      <c r="J419" s="4">
        <f t="shared" ref="J419:J433" si="26">IF(D418=0,"",D419/D418-1)</f>
        <v>3.0434472824747427E-2</v>
      </c>
      <c r="K419" t="s">
        <v>43</v>
      </c>
    </row>
    <row r="420" spans="1:11" x14ac:dyDescent="0.35">
      <c r="A420" t="s">
        <v>111</v>
      </c>
      <c r="B420" t="s">
        <v>94</v>
      </c>
      <c r="C420">
        <v>2017</v>
      </c>
      <c r="D420" s="3">
        <v>91843.15</v>
      </c>
      <c r="E420" t="s">
        <v>112</v>
      </c>
      <c r="F420" t="s">
        <v>39</v>
      </c>
      <c r="G420" t="s">
        <v>59</v>
      </c>
      <c r="H420" t="s">
        <v>113</v>
      </c>
      <c r="I420">
        <v>49</v>
      </c>
      <c r="J420" s="4">
        <f t="shared" si="26"/>
        <v>7.2732482029076673E-2</v>
      </c>
      <c r="K420" t="s">
        <v>43</v>
      </c>
    </row>
    <row r="421" spans="1:11" x14ac:dyDescent="0.35">
      <c r="A421" t="s">
        <v>111</v>
      </c>
      <c r="B421" t="s">
        <v>94</v>
      </c>
      <c r="C421">
        <v>2018</v>
      </c>
      <c r="D421" s="3">
        <v>103861.65</v>
      </c>
      <c r="E421" t="s">
        <v>112</v>
      </c>
      <c r="F421" t="s">
        <v>39</v>
      </c>
      <c r="G421" t="s">
        <v>59</v>
      </c>
      <c r="H421" t="s">
        <v>113</v>
      </c>
      <c r="I421">
        <v>50</v>
      </c>
      <c r="J421" s="4">
        <f t="shared" si="26"/>
        <v>0.1308589698850704</v>
      </c>
      <c r="K421" t="s">
        <v>43</v>
      </c>
    </row>
    <row r="422" spans="1:11" x14ac:dyDescent="0.35">
      <c r="A422" t="s">
        <v>111</v>
      </c>
      <c r="B422" t="s">
        <v>94</v>
      </c>
      <c r="C422">
        <v>2019</v>
      </c>
      <c r="D422" s="3">
        <v>109608.31</v>
      </c>
      <c r="E422" t="s">
        <v>112</v>
      </c>
      <c r="F422" t="s">
        <v>39</v>
      </c>
      <c r="G422" t="s">
        <v>59</v>
      </c>
      <c r="H422" t="s">
        <v>113</v>
      </c>
      <c r="I422">
        <v>51</v>
      </c>
      <c r="J422" s="4">
        <f t="shared" si="26"/>
        <v>5.5329950949171369E-2</v>
      </c>
      <c r="K422" t="s">
        <v>43</v>
      </c>
    </row>
    <row r="423" spans="1:11" x14ac:dyDescent="0.35">
      <c r="A423" t="s">
        <v>111</v>
      </c>
      <c r="B423" t="s">
        <v>94</v>
      </c>
      <c r="C423">
        <v>2020</v>
      </c>
      <c r="D423" s="3">
        <v>107658.13</v>
      </c>
      <c r="E423" t="s">
        <v>112</v>
      </c>
      <c r="F423" t="s">
        <v>39</v>
      </c>
      <c r="G423" t="s">
        <v>40</v>
      </c>
      <c r="H423" t="s">
        <v>113</v>
      </c>
      <c r="I423">
        <v>52</v>
      </c>
      <c r="J423" s="4">
        <f t="shared" si="26"/>
        <v>-1.7792264108442035E-2</v>
      </c>
      <c r="K423" t="s">
        <v>43</v>
      </c>
    </row>
    <row r="424" spans="1:11" x14ac:dyDescent="0.35">
      <c r="A424" t="s">
        <v>111</v>
      </c>
      <c r="B424" t="s">
        <v>94</v>
      </c>
      <c r="C424">
        <v>2021</v>
      </c>
      <c r="D424" s="3">
        <v>134727.47</v>
      </c>
      <c r="E424" t="s">
        <v>112</v>
      </c>
      <c r="F424" t="s">
        <v>39</v>
      </c>
      <c r="G424" t="s">
        <v>40</v>
      </c>
      <c r="H424" t="s">
        <v>113</v>
      </c>
      <c r="I424">
        <v>53</v>
      </c>
      <c r="J424" s="4">
        <f t="shared" si="26"/>
        <v>0.25143795456971052</v>
      </c>
      <c r="K424" t="s">
        <v>43</v>
      </c>
    </row>
    <row r="425" spans="1:11" x14ac:dyDescent="0.35">
      <c r="A425" t="s">
        <v>111</v>
      </c>
      <c r="B425" t="s">
        <v>94</v>
      </c>
      <c r="C425">
        <v>2022</v>
      </c>
      <c r="D425" s="3">
        <v>157001.39000000001</v>
      </c>
      <c r="E425" t="s">
        <v>112</v>
      </c>
      <c r="F425" t="s">
        <v>39</v>
      </c>
      <c r="G425" t="s">
        <v>59</v>
      </c>
      <c r="H425" t="s">
        <v>113</v>
      </c>
      <c r="I425">
        <v>54</v>
      </c>
      <c r="J425" s="4">
        <f t="shared" si="26"/>
        <v>0.1653257498266687</v>
      </c>
      <c r="K425" t="s">
        <v>43</v>
      </c>
    </row>
    <row r="426" spans="1:11" x14ac:dyDescent="0.35">
      <c r="A426" t="s">
        <v>111</v>
      </c>
      <c r="B426" t="s">
        <v>94</v>
      </c>
      <c r="C426">
        <v>2023</v>
      </c>
      <c r="D426" s="3">
        <v>174265.73</v>
      </c>
      <c r="E426" t="s">
        <v>112</v>
      </c>
      <c r="F426" t="s">
        <v>39</v>
      </c>
      <c r="G426" t="s">
        <v>52</v>
      </c>
      <c r="H426" t="s">
        <v>113</v>
      </c>
      <c r="I426">
        <v>55</v>
      </c>
      <c r="J426" s="4">
        <f t="shared" si="26"/>
        <v>0.10996297548703238</v>
      </c>
      <c r="K426" t="s">
        <v>43</v>
      </c>
    </row>
    <row r="427" spans="1:11" x14ac:dyDescent="0.35">
      <c r="A427" t="s">
        <v>111</v>
      </c>
      <c r="B427" t="s">
        <v>94</v>
      </c>
      <c r="C427">
        <v>2024</v>
      </c>
      <c r="D427" s="3">
        <v>202320.46</v>
      </c>
      <c r="E427" t="s">
        <v>112</v>
      </c>
      <c r="F427" t="s">
        <v>39</v>
      </c>
      <c r="G427" t="s">
        <v>40</v>
      </c>
      <c r="H427" t="s">
        <v>113</v>
      </c>
      <c r="I427">
        <v>56</v>
      </c>
      <c r="J427" s="4">
        <f t="shared" si="26"/>
        <v>0.16098822183799411</v>
      </c>
      <c r="K427" t="s">
        <v>43</v>
      </c>
    </row>
    <row r="428" spans="1:11" x14ac:dyDescent="0.35">
      <c r="A428" t="s">
        <v>111</v>
      </c>
      <c r="B428" t="s">
        <v>94</v>
      </c>
      <c r="C428">
        <v>2025</v>
      </c>
      <c r="D428" s="3">
        <v>214261.02</v>
      </c>
      <c r="E428" t="s">
        <v>112</v>
      </c>
      <c r="F428" t="s">
        <v>39</v>
      </c>
      <c r="G428" t="s">
        <v>40</v>
      </c>
      <c r="H428" t="s">
        <v>113</v>
      </c>
      <c r="I428">
        <v>57</v>
      </c>
      <c r="J428" s="4">
        <f t="shared" si="26"/>
        <v>5.9018054822532529E-2</v>
      </c>
      <c r="K428" t="s">
        <v>43</v>
      </c>
    </row>
    <row r="429" spans="1:11" x14ac:dyDescent="0.35">
      <c r="A429" t="s">
        <v>111</v>
      </c>
      <c r="B429" t="s">
        <v>94</v>
      </c>
      <c r="C429">
        <v>2026</v>
      </c>
      <c r="D429" s="3">
        <v>235874.07</v>
      </c>
      <c r="E429" t="s">
        <v>112</v>
      </c>
      <c r="F429" t="s">
        <v>44</v>
      </c>
      <c r="G429" t="s">
        <v>40</v>
      </c>
      <c r="H429" t="s">
        <v>113</v>
      </c>
      <c r="I429">
        <v>58</v>
      </c>
      <c r="J429" s="4">
        <f t="shared" si="26"/>
        <v>0.10087252454972928</v>
      </c>
      <c r="K429" t="s">
        <v>43</v>
      </c>
    </row>
    <row r="430" spans="1:11" x14ac:dyDescent="0.35">
      <c r="A430" t="s">
        <v>111</v>
      </c>
      <c r="B430" t="s">
        <v>94</v>
      </c>
      <c r="C430">
        <v>2027</v>
      </c>
      <c r="D430" s="3">
        <v>252967.26</v>
      </c>
      <c r="E430" t="s">
        <v>112</v>
      </c>
      <c r="F430" t="s">
        <v>44</v>
      </c>
      <c r="G430" t="s">
        <v>40</v>
      </c>
      <c r="H430" t="s">
        <v>113</v>
      </c>
      <c r="I430">
        <v>59</v>
      </c>
      <c r="J430" s="4">
        <f t="shared" si="26"/>
        <v>7.2467439935216316E-2</v>
      </c>
      <c r="K430" t="s">
        <v>43</v>
      </c>
    </row>
    <row r="431" spans="1:11" x14ac:dyDescent="0.35">
      <c r="A431" t="s">
        <v>111</v>
      </c>
      <c r="B431" t="s">
        <v>94</v>
      </c>
      <c r="C431">
        <v>2028</v>
      </c>
      <c r="D431" s="3">
        <v>264796.94</v>
      </c>
      <c r="E431" t="s">
        <v>112</v>
      </c>
      <c r="F431" t="s">
        <v>44</v>
      </c>
      <c r="G431" t="s">
        <v>40</v>
      </c>
      <c r="H431" t="s">
        <v>113</v>
      </c>
      <c r="I431">
        <v>60</v>
      </c>
      <c r="J431" s="4">
        <f t="shared" si="26"/>
        <v>4.6763680011397524E-2</v>
      </c>
      <c r="K431" t="s">
        <v>43</v>
      </c>
    </row>
    <row r="432" spans="1:11" x14ac:dyDescent="0.35">
      <c r="A432" t="s">
        <v>111</v>
      </c>
      <c r="B432" t="s">
        <v>94</v>
      </c>
      <c r="C432">
        <v>2029</v>
      </c>
      <c r="D432" s="3">
        <v>283444.40999999997</v>
      </c>
      <c r="E432" t="s">
        <v>112</v>
      </c>
      <c r="F432" t="s">
        <v>44</v>
      </c>
      <c r="G432" t="s">
        <v>40</v>
      </c>
      <c r="H432" t="s">
        <v>113</v>
      </c>
      <c r="I432">
        <v>61</v>
      </c>
      <c r="J432" s="4">
        <f t="shared" si="26"/>
        <v>7.0421773000850951E-2</v>
      </c>
      <c r="K432" t="s">
        <v>43</v>
      </c>
    </row>
    <row r="433" spans="1:13" x14ac:dyDescent="0.35">
      <c r="A433" t="s">
        <v>111</v>
      </c>
      <c r="B433" t="s">
        <v>94</v>
      </c>
      <c r="C433">
        <v>2030</v>
      </c>
      <c r="D433" s="3">
        <v>304547.14</v>
      </c>
      <c r="E433" t="s">
        <v>112</v>
      </c>
      <c r="F433" t="s">
        <v>44</v>
      </c>
      <c r="G433" t="s">
        <v>40</v>
      </c>
      <c r="H433" t="s">
        <v>113</v>
      </c>
      <c r="I433">
        <v>62</v>
      </c>
      <c r="J433" s="4">
        <f t="shared" si="26"/>
        <v>7.4451036095578793E-2</v>
      </c>
      <c r="K433" t="s">
        <v>43</v>
      </c>
    </row>
    <row r="434" spans="1:13" x14ac:dyDescent="0.35">
      <c r="A434" t="s">
        <v>114</v>
      </c>
      <c r="B434" t="s">
        <v>94</v>
      </c>
      <c r="C434">
        <v>2015</v>
      </c>
      <c r="D434" s="3">
        <v>1988.54</v>
      </c>
      <c r="E434" t="s">
        <v>115</v>
      </c>
      <c r="F434" t="s">
        <v>39</v>
      </c>
      <c r="G434" t="s">
        <v>62</v>
      </c>
      <c r="H434" t="s">
        <v>113</v>
      </c>
      <c r="I434">
        <v>127</v>
      </c>
      <c r="K434" t="s">
        <v>42</v>
      </c>
    </row>
    <row r="435" spans="1:13" x14ac:dyDescent="0.35">
      <c r="A435" t="s">
        <v>114</v>
      </c>
      <c r="B435" t="s">
        <v>94</v>
      </c>
      <c r="C435">
        <v>2016</v>
      </c>
      <c r="D435" s="3">
        <v>2385.37</v>
      </c>
      <c r="E435" t="s">
        <v>115</v>
      </c>
      <c r="F435" t="s">
        <v>39</v>
      </c>
      <c r="G435" t="s">
        <v>62</v>
      </c>
      <c r="H435" t="s">
        <v>113</v>
      </c>
      <c r="I435">
        <v>128</v>
      </c>
      <c r="J435" s="4">
        <f t="shared" ref="J435:J444" si="27">IF(D434=0,"",D435/D434-1)</f>
        <v>0.19955847003329064</v>
      </c>
      <c r="K435" t="s">
        <v>43</v>
      </c>
    </row>
    <row r="436" spans="1:13" x14ac:dyDescent="0.35">
      <c r="A436" t="s">
        <v>114</v>
      </c>
      <c r="B436" t="s">
        <v>94</v>
      </c>
      <c r="C436">
        <v>2017</v>
      </c>
      <c r="D436" s="3">
        <v>2981.23</v>
      </c>
      <c r="E436" t="s">
        <v>115</v>
      </c>
      <c r="F436" t="s">
        <v>39</v>
      </c>
      <c r="G436" t="s">
        <v>62</v>
      </c>
      <c r="H436" t="s">
        <v>113</v>
      </c>
      <c r="I436">
        <v>129</v>
      </c>
      <c r="J436" s="4">
        <f t="shared" si="27"/>
        <v>0.2497977253004775</v>
      </c>
      <c r="K436" t="s">
        <v>43</v>
      </c>
    </row>
    <row r="437" spans="1:13" x14ac:dyDescent="0.35">
      <c r="A437" t="s">
        <v>114</v>
      </c>
      <c r="B437" t="s">
        <v>94</v>
      </c>
      <c r="C437">
        <v>2018</v>
      </c>
      <c r="D437" s="3">
        <v>3560.3</v>
      </c>
      <c r="E437" t="s">
        <v>115</v>
      </c>
      <c r="F437" t="s">
        <v>39</v>
      </c>
      <c r="G437" t="s">
        <v>62</v>
      </c>
      <c r="H437" t="s">
        <v>113</v>
      </c>
      <c r="I437">
        <v>130</v>
      </c>
      <c r="J437" s="4">
        <f t="shared" si="27"/>
        <v>0.19423861963015265</v>
      </c>
      <c r="K437" t="s">
        <v>43</v>
      </c>
    </row>
    <row r="438" spans="1:13" x14ac:dyDescent="0.35">
      <c r="A438" t="s">
        <v>114</v>
      </c>
      <c r="B438" t="s">
        <v>94</v>
      </c>
      <c r="C438">
        <v>2019</v>
      </c>
      <c r="D438" s="3">
        <v>3977.2</v>
      </c>
      <c r="E438" t="s">
        <v>115</v>
      </c>
      <c r="F438" t="s">
        <v>39</v>
      </c>
      <c r="G438" t="s">
        <v>62</v>
      </c>
      <c r="H438" t="s">
        <v>113</v>
      </c>
      <c r="I438">
        <v>131</v>
      </c>
      <c r="J438" s="4">
        <f t="shared" si="27"/>
        <v>0.11709687385894441</v>
      </c>
      <c r="K438" t="s">
        <v>43</v>
      </c>
    </row>
    <row r="439" spans="1:13" x14ac:dyDescent="0.35">
      <c r="A439" t="s">
        <v>114</v>
      </c>
      <c r="B439" t="s">
        <v>94</v>
      </c>
      <c r="C439">
        <v>2020</v>
      </c>
      <c r="D439" s="3">
        <v>4222.03</v>
      </c>
      <c r="E439" t="s">
        <v>115</v>
      </c>
      <c r="F439" t="s">
        <v>39</v>
      </c>
      <c r="G439" t="s">
        <v>62</v>
      </c>
      <c r="H439" t="s">
        <v>113</v>
      </c>
      <c r="I439">
        <v>132</v>
      </c>
      <c r="J439" s="4">
        <f t="shared" si="27"/>
        <v>6.1558382781856658E-2</v>
      </c>
      <c r="K439" t="s">
        <v>43</v>
      </c>
    </row>
    <row r="440" spans="1:13" x14ac:dyDescent="0.35">
      <c r="A440" t="s">
        <v>114</v>
      </c>
      <c r="B440" t="s">
        <v>94</v>
      </c>
      <c r="C440">
        <v>2021</v>
      </c>
      <c r="D440" s="3">
        <v>5450.85</v>
      </c>
      <c r="E440" t="s">
        <v>115</v>
      </c>
      <c r="F440" t="s">
        <v>39</v>
      </c>
      <c r="G440" t="s">
        <v>62</v>
      </c>
      <c r="H440" t="s">
        <v>113</v>
      </c>
      <c r="I440">
        <v>133</v>
      </c>
      <c r="J440" s="4">
        <f t="shared" si="27"/>
        <v>0.29104956620393518</v>
      </c>
      <c r="K440" t="s">
        <v>43</v>
      </c>
    </row>
    <row r="441" spans="1:13" x14ac:dyDescent="0.35">
      <c r="A441" t="s">
        <v>114</v>
      </c>
      <c r="B441" t="s">
        <v>94</v>
      </c>
      <c r="C441">
        <v>2022</v>
      </c>
      <c r="D441" s="3">
        <v>5239.1099999999997</v>
      </c>
      <c r="E441" t="s">
        <v>115</v>
      </c>
      <c r="F441" t="s">
        <v>39</v>
      </c>
      <c r="G441" t="s">
        <v>62</v>
      </c>
      <c r="H441" t="s">
        <v>113</v>
      </c>
      <c r="I441">
        <v>134</v>
      </c>
      <c r="J441" s="4">
        <f t="shared" si="27"/>
        <v>-3.8845317702743687E-2</v>
      </c>
      <c r="K441" t="s">
        <v>43</v>
      </c>
    </row>
    <row r="442" spans="1:13" x14ac:dyDescent="0.35">
      <c r="A442" t="s">
        <v>114</v>
      </c>
      <c r="B442" t="s">
        <v>94</v>
      </c>
      <c r="C442">
        <v>2023</v>
      </c>
      <c r="D442" s="3">
        <v>6627.96</v>
      </c>
      <c r="E442" t="s">
        <v>115</v>
      </c>
      <c r="F442" t="s">
        <v>39</v>
      </c>
      <c r="G442" t="s">
        <v>62</v>
      </c>
      <c r="H442" t="s">
        <v>113</v>
      </c>
      <c r="I442">
        <v>135</v>
      </c>
      <c r="J442" s="4">
        <f t="shared" si="27"/>
        <v>0.2650927352164778</v>
      </c>
      <c r="K442" t="s">
        <v>43</v>
      </c>
    </row>
    <row r="443" spans="1:13" x14ac:dyDescent="0.35">
      <c r="A443" t="s">
        <v>114</v>
      </c>
      <c r="B443" t="s">
        <v>94</v>
      </c>
      <c r="C443">
        <v>2024</v>
      </c>
      <c r="D443" s="3">
        <v>7662.38</v>
      </c>
      <c r="E443" t="s">
        <v>115</v>
      </c>
      <c r="F443" t="s">
        <v>39</v>
      </c>
      <c r="G443" t="s">
        <v>62</v>
      </c>
      <c r="H443" t="s">
        <v>113</v>
      </c>
      <c r="I443">
        <v>136</v>
      </c>
      <c r="J443" s="4">
        <f t="shared" si="27"/>
        <v>0.15606913741181305</v>
      </c>
      <c r="K443" t="s">
        <v>43</v>
      </c>
    </row>
    <row r="444" spans="1:13" x14ac:dyDescent="0.35">
      <c r="A444" t="s">
        <v>114</v>
      </c>
      <c r="B444" t="s">
        <v>94</v>
      </c>
      <c r="C444">
        <v>2025</v>
      </c>
      <c r="D444" s="3">
        <v>8931.19</v>
      </c>
      <c r="E444" t="s">
        <v>115</v>
      </c>
      <c r="F444" t="s">
        <v>39</v>
      </c>
      <c r="G444" t="s">
        <v>40</v>
      </c>
      <c r="H444" t="s">
        <v>113</v>
      </c>
      <c r="I444">
        <v>137</v>
      </c>
      <c r="J444" s="4">
        <f t="shared" si="27"/>
        <v>0.16558954267473025</v>
      </c>
      <c r="K444" t="s">
        <v>43</v>
      </c>
    </row>
    <row r="445" spans="1:13" x14ac:dyDescent="0.35">
      <c r="A445" s="8" t="s">
        <v>114</v>
      </c>
      <c r="B445" s="8" t="s">
        <v>94</v>
      </c>
      <c r="C445" s="8">
        <v>2026</v>
      </c>
      <c r="D445" s="9">
        <v>10919.5</v>
      </c>
      <c r="E445" s="8" t="s">
        <v>115</v>
      </c>
      <c r="F445" s="8" t="s">
        <v>44</v>
      </c>
      <c r="G445" s="8" t="s">
        <v>40</v>
      </c>
      <c r="H445" s="8" t="s">
        <v>113</v>
      </c>
      <c r="I445" s="8">
        <v>138</v>
      </c>
      <c r="J445" s="10">
        <f>(1+L445)*(1+IAS29_test!N30)-1</f>
        <v>9.6239499999999811E-2</v>
      </c>
      <c r="K445" s="8" t="s">
        <v>116</v>
      </c>
      <c r="L445" s="10">
        <v>8.5000000000000006E-3</v>
      </c>
      <c r="M445" s="8" t="s">
        <v>117</v>
      </c>
    </row>
    <row r="446" spans="1:13" x14ac:dyDescent="0.35">
      <c r="A446" s="5" t="s">
        <v>114</v>
      </c>
      <c r="B446" s="5" t="s">
        <v>94</v>
      </c>
      <c r="C446" s="5">
        <v>2027</v>
      </c>
      <c r="D446" s="6">
        <v>12956.07</v>
      </c>
      <c r="E446" s="5" t="s">
        <v>115</v>
      </c>
      <c r="F446" s="5" t="s">
        <v>44</v>
      </c>
      <c r="G446" s="5" t="s">
        <v>40</v>
      </c>
      <c r="H446" s="5" t="s">
        <v>113</v>
      </c>
      <c r="I446" s="5">
        <v>139</v>
      </c>
      <c r="J446" s="7">
        <f>IF(D445=0,"",D446/D445-1)</f>
        <v>0.18650762397545662</v>
      </c>
      <c r="K446" s="5" t="s">
        <v>11</v>
      </c>
    </row>
    <row r="447" spans="1:13" x14ac:dyDescent="0.35">
      <c r="A447" t="s">
        <v>114</v>
      </c>
      <c r="B447" t="s">
        <v>94</v>
      </c>
      <c r="C447">
        <v>2028</v>
      </c>
      <c r="D447" s="3">
        <v>15512.05</v>
      </c>
      <c r="E447" t="s">
        <v>115</v>
      </c>
      <c r="F447" t="s">
        <v>44</v>
      </c>
      <c r="G447" t="s">
        <v>40</v>
      </c>
      <c r="H447" t="s">
        <v>113</v>
      </c>
      <c r="I447">
        <v>140</v>
      </c>
      <c r="J447" s="4">
        <f>IF(D446=0,"",D447/D446-1)</f>
        <v>0.19728050249805684</v>
      </c>
      <c r="K447" t="s">
        <v>43</v>
      </c>
    </row>
    <row r="448" spans="1:13" x14ac:dyDescent="0.35">
      <c r="A448" t="s">
        <v>114</v>
      </c>
      <c r="B448" t="s">
        <v>94</v>
      </c>
      <c r="C448">
        <v>2029</v>
      </c>
      <c r="D448" s="3">
        <v>18699.75</v>
      </c>
      <c r="E448" t="s">
        <v>115</v>
      </c>
      <c r="F448" t="s">
        <v>44</v>
      </c>
      <c r="G448" t="s">
        <v>40</v>
      </c>
      <c r="H448" t="s">
        <v>113</v>
      </c>
      <c r="I448">
        <v>141</v>
      </c>
      <c r="J448" s="4">
        <f>IF(D447=0,"",D448/D447-1)</f>
        <v>0.2054983061555371</v>
      </c>
      <c r="K448" t="s">
        <v>43</v>
      </c>
    </row>
    <row r="449" spans="1:11" x14ac:dyDescent="0.35">
      <c r="A449" t="s">
        <v>114</v>
      </c>
      <c r="B449" t="s">
        <v>94</v>
      </c>
      <c r="C449">
        <v>2030</v>
      </c>
      <c r="D449" s="3">
        <v>22158.36</v>
      </c>
      <c r="E449" t="s">
        <v>115</v>
      </c>
      <c r="F449" t="s">
        <v>44</v>
      </c>
      <c r="G449" t="s">
        <v>40</v>
      </c>
      <c r="H449" t="s">
        <v>113</v>
      </c>
      <c r="I449">
        <v>142</v>
      </c>
      <c r="J449" s="4">
        <f>IF(D448=0,"",D449/D448-1)</f>
        <v>0.18495487907592345</v>
      </c>
      <c r="K449" t="s">
        <v>43</v>
      </c>
    </row>
    <row r="450" spans="1:11" x14ac:dyDescent="0.35">
      <c r="A450" t="s">
        <v>118</v>
      </c>
      <c r="B450" t="s">
        <v>94</v>
      </c>
      <c r="C450">
        <v>2015</v>
      </c>
      <c r="D450" s="3">
        <v>2354.06</v>
      </c>
      <c r="E450" t="s">
        <v>119</v>
      </c>
      <c r="F450" t="s">
        <v>39</v>
      </c>
      <c r="G450" t="s">
        <v>59</v>
      </c>
      <c r="H450" t="s">
        <v>113</v>
      </c>
      <c r="I450">
        <v>207</v>
      </c>
      <c r="K450" t="s">
        <v>42</v>
      </c>
    </row>
    <row r="451" spans="1:11" x14ac:dyDescent="0.35">
      <c r="A451" t="s">
        <v>118</v>
      </c>
      <c r="B451" t="s">
        <v>94</v>
      </c>
      <c r="C451">
        <v>2016</v>
      </c>
      <c r="D451" s="3">
        <v>2629.99</v>
      </c>
      <c r="E451" t="s">
        <v>119</v>
      </c>
      <c r="F451" t="s">
        <v>39</v>
      </c>
      <c r="G451" t="s">
        <v>59</v>
      </c>
      <c r="H451" t="s">
        <v>113</v>
      </c>
      <c r="I451">
        <v>208</v>
      </c>
      <c r="J451" s="4">
        <f t="shared" ref="J451:J465" si="28">IF(D450=0,"",D451/D450-1)</f>
        <v>0.11721451449835607</v>
      </c>
      <c r="K451" t="s">
        <v>43</v>
      </c>
    </row>
    <row r="452" spans="1:11" x14ac:dyDescent="0.35">
      <c r="A452" t="s">
        <v>118</v>
      </c>
      <c r="B452" t="s">
        <v>94</v>
      </c>
      <c r="C452">
        <v>2017</v>
      </c>
      <c r="D452" s="3">
        <v>3151.53</v>
      </c>
      <c r="E452" t="s">
        <v>119</v>
      </c>
      <c r="F452" t="s">
        <v>39</v>
      </c>
      <c r="G452" t="s">
        <v>59</v>
      </c>
      <c r="H452" t="s">
        <v>113</v>
      </c>
      <c r="I452">
        <v>209</v>
      </c>
      <c r="J452" s="4">
        <f t="shared" si="28"/>
        <v>0.19830493652067127</v>
      </c>
      <c r="K452" t="s">
        <v>43</v>
      </c>
    </row>
    <row r="453" spans="1:11" x14ac:dyDescent="0.35">
      <c r="A453" t="s">
        <v>118</v>
      </c>
      <c r="B453" t="s">
        <v>94</v>
      </c>
      <c r="C453">
        <v>2018</v>
      </c>
      <c r="D453" s="3">
        <v>3806.48</v>
      </c>
      <c r="E453" t="s">
        <v>119</v>
      </c>
      <c r="F453" t="s">
        <v>39</v>
      </c>
      <c r="G453" t="s">
        <v>59</v>
      </c>
      <c r="H453" t="s">
        <v>113</v>
      </c>
      <c r="I453">
        <v>210</v>
      </c>
      <c r="J453" s="4">
        <f t="shared" si="28"/>
        <v>0.20781969392644206</v>
      </c>
      <c r="K453" t="s">
        <v>43</v>
      </c>
    </row>
    <row r="454" spans="1:11" x14ac:dyDescent="0.35">
      <c r="A454" t="s">
        <v>118</v>
      </c>
      <c r="B454" t="s">
        <v>94</v>
      </c>
      <c r="C454">
        <v>2019</v>
      </c>
      <c r="D454" s="3">
        <v>4402.05</v>
      </c>
      <c r="E454" t="s">
        <v>119</v>
      </c>
      <c r="F454" t="s">
        <v>39</v>
      </c>
      <c r="G454" t="s">
        <v>59</v>
      </c>
      <c r="H454" t="s">
        <v>113</v>
      </c>
      <c r="I454">
        <v>211</v>
      </c>
      <c r="J454" s="4">
        <f t="shared" si="28"/>
        <v>0.15646213824846056</v>
      </c>
      <c r="K454" t="s">
        <v>43</v>
      </c>
    </row>
    <row r="455" spans="1:11" x14ac:dyDescent="0.35">
      <c r="A455" t="s">
        <v>118</v>
      </c>
      <c r="B455" t="s">
        <v>94</v>
      </c>
      <c r="C455">
        <v>2020</v>
      </c>
      <c r="D455" s="3">
        <v>5141.71</v>
      </c>
      <c r="E455" t="s">
        <v>119</v>
      </c>
      <c r="F455" t="s">
        <v>39</v>
      </c>
      <c r="G455" t="s">
        <v>62</v>
      </c>
      <c r="H455" t="s">
        <v>113</v>
      </c>
      <c r="I455">
        <v>212</v>
      </c>
      <c r="J455" s="4">
        <f t="shared" si="28"/>
        <v>0.16802626049227065</v>
      </c>
      <c r="K455" t="s">
        <v>43</v>
      </c>
    </row>
    <row r="456" spans="1:11" x14ac:dyDescent="0.35">
      <c r="A456" t="s">
        <v>118</v>
      </c>
      <c r="B456" t="s">
        <v>94</v>
      </c>
      <c r="C456">
        <v>2021</v>
      </c>
      <c r="D456" s="3">
        <v>7433.8</v>
      </c>
      <c r="E456" t="s">
        <v>119</v>
      </c>
      <c r="F456" t="s">
        <v>39</v>
      </c>
      <c r="G456" t="s">
        <v>62</v>
      </c>
      <c r="H456" t="s">
        <v>113</v>
      </c>
      <c r="I456">
        <v>213</v>
      </c>
      <c r="J456" s="4">
        <f t="shared" si="28"/>
        <v>0.44578360117548455</v>
      </c>
      <c r="K456" t="s">
        <v>43</v>
      </c>
    </row>
    <row r="457" spans="1:11" x14ac:dyDescent="0.35">
      <c r="A457" t="s">
        <v>118</v>
      </c>
      <c r="B457" t="s">
        <v>94</v>
      </c>
      <c r="C457">
        <v>2022</v>
      </c>
      <c r="D457" s="3">
        <v>15325.86</v>
      </c>
      <c r="E457" t="s">
        <v>119</v>
      </c>
      <c r="F457" t="s">
        <v>39</v>
      </c>
      <c r="G457" t="s">
        <v>59</v>
      </c>
      <c r="H457" t="s">
        <v>113</v>
      </c>
      <c r="I457">
        <v>214</v>
      </c>
      <c r="J457" s="4">
        <f t="shared" si="28"/>
        <v>1.0616454572358687</v>
      </c>
      <c r="K457" t="s">
        <v>43</v>
      </c>
    </row>
    <row r="458" spans="1:11" x14ac:dyDescent="0.35">
      <c r="A458" t="s">
        <v>118</v>
      </c>
      <c r="B458" t="s">
        <v>94</v>
      </c>
      <c r="C458">
        <v>2023</v>
      </c>
      <c r="D458" s="3">
        <v>27091.47</v>
      </c>
      <c r="E458" t="s">
        <v>119</v>
      </c>
      <c r="F458" t="s">
        <v>39</v>
      </c>
      <c r="G458" t="s">
        <v>62</v>
      </c>
      <c r="H458" t="s">
        <v>113</v>
      </c>
      <c r="I458">
        <v>215</v>
      </c>
      <c r="J458" s="4">
        <f t="shared" si="28"/>
        <v>0.76769655993203645</v>
      </c>
      <c r="K458" t="s">
        <v>43</v>
      </c>
    </row>
    <row r="459" spans="1:11" x14ac:dyDescent="0.35">
      <c r="A459" t="s">
        <v>118</v>
      </c>
      <c r="B459" t="s">
        <v>94</v>
      </c>
      <c r="C459">
        <v>2024</v>
      </c>
      <c r="D459" s="3">
        <v>44675.97</v>
      </c>
      <c r="E459" t="s">
        <v>119</v>
      </c>
      <c r="F459" t="s">
        <v>39</v>
      </c>
      <c r="G459" t="s">
        <v>62</v>
      </c>
      <c r="H459" t="s">
        <v>113</v>
      </c>
      <c r="I459">
        <v>216</v>
      </c>
      <c r="J459" s="4">
        <f t="shared" si="28"/>
        <v>0.64907884289778295</v>
      </c>
      <c r="K459" t="s">
        <v>43</v>
      </c>
    </row>
    <row r="460" spans="1:11" x14ac:dyDescent="0.35">
      <c r="A460" t="s">
        <v>118</v>
      </c>
      <c r="B460" t="s">
        <v>94</v>
      </c>
      <c r="C460">
        <v>2025</v>
      </c>
      <c r="D460" s="3">
        <v>63240.52</v>
      </c>
      <c r="E460" t="s">
        <v>119</v>
      </c>
      <c r="F460" t="s">
        <v>39</v>
      </c>
      <c r="G460" t="s">
        <v>62</v>
      </c>
      <c r="H460" t="s">
        <v>113</v>
      </c>
      <c r="I460">
        <v>217</v>
      </c>
      <c r="J460" s="4">
        <f t="shared" si="28"/>
        <v>0.41553770404985046</v>
      </c>
      <c r="K460" t="s">
        <v>43</v>
      </c>
    </row>
    <row r="461" spans="1:11" x14ac:dyDescent="0.35">
      <c r="A461" t="s">
        <v>118</v>
      </c>
      <c r="B461" t="s">
        <v>94</v>
      </c>
      <c r="C461">
        <v>2026</v>
      </c>
      <c r="D461" s="3">
        <v>82633.399999999994</v>
      </c>
      <c r="E461" t="s">
        <v>119</v>
      </c>
      <c r="F461" t="s">
        <v>44</v>
      </c>
      <c r="G461" t="s">
        <v>40</v>
      </c>
      <c r="H461" t="s">
        <v>113</v>
      </c>
      <c r="I461">
        <v>218</v>
      </c>
      <c r="J461" s="4">
        <f t="shared" si="28"/>
        <v>0.30665275997098052</v>
      </c>
      <c r="K461" t="s">
        <v>43</v>
      </c>
    </row>
    <row r="462" spans="1:11" x14ac:dyDescent="0.35">
      <c r="A462" t="s">
        <v>118</v>
      </c>
      <c r="B462" t="s">
        <v>94</v>
      </c>
      <c r="C462">
        <v>2027</v>
      </c>
      <c r="D462" s="3">
        <v>99611.14</v>
      </c>
      <c r="E462" t="s">
        <v>119</v>
      </c>
      <c r="F462" t="s">
        <v>44</v>
      </c>
      <c r="G462" t="s">
        <v>40</v>
      </c>
      <c r="H462" t="s">
        <v>113</v>
      </c>
      <c r="I462">
        <v>219</v>
      </c>
      <c r="J462" s="4">
        <f t="shared" si="28"/>
        <v>0.20545856760099435</v>
      </c>
      <c r="K462" t="s">
        <v>43</v>
      </c>
    </row>
    <row r="463" spans="1:11" x14ac:dyDescent="0.35">
      <c r="A463" t="s">
        <v>118</v>
      </c>
      <c r="B463" t="s">
        <v>94</v>
      </c>
      <c r="C463">
        <v>2028</v>
      </c>
      <c r="D463" s="3">
        <v>115455.42</v>
      </c>
      <c r="E463" t="s">
        <v>119</v>
      </c>
      <c r="F463" t="s">
        <v>44</v>
      </c>
      <c r="G463" t="s">
        <v>40</v>
      </c>
      <c r="H463" t="s">
        <v>113</v>
      </c>
      <c r="I463">
        <v>220</v>
      </c>
      <c r="J463" s="4">
        <f t="shared" si="28"/>
        <v>0.15906132587178501</v>
      </c>
      <c r="K463" t="s">
        <v>43</v>
      </c>
    </row>
    <row r="464" spans="1:11" x14ac:dyDescent="0.35">
      <c r="A464" t="s">
        <v>118</v>
      </c>
      <c r="B464" t="s">
        <v>94</v>
      </c>
      <c r="C464">
        <v>2029</v>
      </c>
      <c r="D464" s="3">
        <v>131198.18</v>
      </c>
      <c r="E464" t="s">
        <v>119</v>
      </c>
      <c r="F464" t="s">
        <v>44</v>
      </c>
      <c r="G464" t="s">
        <v>40</v>
      </c>
      <c r="H464" t="s">
        <v>113</v>
      </c>
      <c r="I464">
        <v>221</v>
      </c>
      <c r="J464" s="4">
        <f t="shared" si="28"/>
        <v>0.13635358132169095</v>
      </c>
      <c r="K464" t="s">
        <v>43</v>
      </c>
    </row>
    <row r="465" spans="1:13" x14ac:dyDescent="0.35">
      <c r="A465" t="s">
        <v>118</v>
      </c>
      <c r="B465" t="s">
        <v>94</v>
      </c>
      <c r="C465">
        <v>2030</v>
      </c>
      <c r="D465" s="3">
        <v>148922.32</v>
      </c>
      <c r="E465" t="s">
        <v>119</v>
      </c>
      <c r="F465" t="s">
        <v>44</v>
      </c>
      <c r="G465" t="s">
        <v>40</v>
      </c>
      <c r="H465" t="s">
        <v>113</v>
      </c>
      <c r="I465">
        <v>222</v>
      </c>
      <c r="J465" s="4">
        <f t="shared" si="28"/>
        <v>0.13509440451079446</v>
      </c>
      <c r="K465" t="s">
        <v>43</v>
      </c>
    </row>
    <row r="466" spans="1:13" x14ac:dyDescent="0.35">
      <c r="A466" t="s">
        <v>120</v>
      </c>
      <c r="B466" t="s">
        <v>94</v>
      </c>
      <c r="C466">
        <v>2015</v>
      </c>
      <c r="D466" s="3">
        <v>40884.129999999997</v>
      </c>
      <c r="E466" t="s">
        <v>121</v>
      </c>
      <c r="F466" t="s">
        <v>39</v>
      </c>
      <c r="G466" t="s">
        <v>52</v>
      </c>
      <c r="H466" t="s">
        <v>113</v>
      </c>
      <c r="I466">
        <v>287</v>
      </c>
      <c r="K466" t="s">
        <v>42</v>
      </c>
    </row>
    <row r="467" spans="1:13" x14ac:dyDescent="0.35">
      <c r="A467" t="s">
        <v>120</v>
      </c>
      <c r="B467" t="s">
        <v>94</v>
      </c>
      <c r="C467">
        <v>2016</v>
      </c>
      <c r="D467" s="3">
        <v>46971.15</v>
      </c>
      <c r="E467" t="s">
        <v>121</v>
      </c>
      <c r="F467" t="s">
        <v>39</v>
      </c>
      <c r="G467" t="s">
        <v>59</v>
      </c>
      <c r="H467" t="s">
        <v>113</v>
      </c>
      <c r="I467">
        <v>288</v>
      </c>
      <c r="J467" s="4">
        <f t="shared" ref="J467:J476" si="29">IF(D466=0,"",D467/D466-1)</f>
        <v>0.14888466502772602</v>
      </c>
      <c r="K467" t="s">
        <v>43</v>
      </c>
    </row>
    <row r="468" spans="1:13" x14ac:dyDescent="0.35">
      <c r="A468" t="s">
        <v>120</v>
      </c>
      <c r="B468" t="s">
        <v>94</v>
      </c>
      <c r="C468">
        <v>2017</v>
      </c>
      <c r="D468" s="3">
        <v>54378.86</v>
      </c>
      <c r="E468" t="s">
        <v>121</v>
      </c>
      <c r="F468" t="s">
        <v>39</v>
      </c>
      <c r="G468" t="s">
        <v>59</v>
      </c>
      <c r="H468" t="s">
        <v>113</v>
      </c>
      <c r="I468">
        <v>289</v>
      </c>
      <c r="J468" s="4">
        <f t="shared" si="29"/>
        <v>0.15770765672120013</v>
      </c>
      <c r="K468" t="s">
        <v>43</v>
      </c>
    </row>
    <row r="469" spans="1:13" x14ac:dyDescent="0.35">
      <c r="A469" t="s">
        <v>120</v>
      </c>
      <c r="B469" t="s">
        <v>94</v>
      </c>
      <c r="C469">
        <v>2018</v>
      </c>
      <c r="D469" s="3">
        <v>61819.54</v>
      </c>
      <c r="E469" t="s">
        <v>121</v>
      </c>
      <c r="F469" t="s">
        <v>39</v>
      </c>
      <c r="G469" t="s">
        <v>40</v>
      </c>
      <c r="H469" t="s">
        <v>113</v>
      </c>
      <c r="I469">
        <v>290</v>
      </c>
      <c r="J469" s="4">
        <f t="shared" si="29"/>
        <v>0.13683037856990743</v>
      </c>
      <c r="K469" t="s">
        <v>43</v>
      </c>
    </row>
    <row r="470" spans="1:13" x14ac:dyDescent="0.35">
      <c r="A470" t="s">
        <v>120</v>
      </c>
      <c r="B470" t="s">
        <v>94</v>
      </c>
      <c r="C470">
        <v>2019</v>
      </c>
      <c r="D470" s="3">
        <v>69532.63</v>
      </c>
      <c r="E470" t="s">
        <v>121</v>
      </c>
      <c r="F470" t="s">
        <v>39</v>
      </c>
      <c r="G470" t="s">
        <v>59</v>
      </c>
      <c r="H470" t="s">
        <v>113</v>
      </c>
      <c r="I470">
        <v>291</v>
      </c>
      <c r="J470" s="4">
        <f t="shared" si="29"/>
        <v>0.12476783230674315</v>
      </c>
      <c r="K470" t="s">
        <v>43</v>
      </c>
    </row>
    <row r="471" spans="1:13" x14ac:dyDescent="0.35">
      <c r="A471" t="s">
        <v>120</v>
      </c>
      <c r="B471" t="s">
        <v>94</v>
      </c>
      <c r="C471">
        <v>2020</v>
      </c>
      <c r="D471" s="3">
        <v>70649.03</v>
      </c>
      <c r="E471" t="s">
        <v>121</v>
      </c>
      <c r="F471" t="s">
        <v>39</v>
      </c>
      <c r="G471" t="s">
        <v>59</v>
      </c>
      <c r="H471" t="s">
        <v>113</v>
      </c>
      <c r="I471">
        <v>292</v>
      </c>
      <c r="J471" s="4">
        <f t="shared" si="29"/>
        <v>1.6055771225681914E-2</v>
      </c>
      <c r="K471" t="s">
        <v>43</v>
      </c>
    </row>
    <row r="472" spans="1:13" x14ac:dyDescent="0.35">
      <c r="A472" t="s">
        <v>120</v>
      </c>
      <c r="B472" t="s">
        <v>94</v>
      </c>
      <c r="C472">
        <v>2021</v>
      </c>
      <c r="D472" s="3">
        <v>83951.59</v>
      </c>
      <c r="E472" t="s">
        <v>121</v>
      </c>
      <c r="F472" t="s">
        <v>39</v>
      </c>
      <c r="G472" t="s">
        <v>40</v>
      </c>
      <c r="H472" t="s">
        <v>113</v>
      </c>
      <c r="I472">
        <v>293</v>
      </c>
      <c r="J472" s="4">
        <f t="shared" si="29"/>
        <v>0.1882907663417317</v>
      </c>
      <c r="K472" t="s">
        <v>43</v>
      </c>
    </row>
    <row r="473" spans="1:13" x14ac:dyDescent="0.35">
      <c r="A473" t="s">
        <v>120</v>
      </c>
      <c r="B473" t="s">
        <v>94</v>
      </c>
      <c r="C473">
        <v>2022</v>
      </c>
      <c r="D473" s="3">
        <v>103765.52</v>
      </c>
      <c r="E473" t="s">
        <v>121</v>
      </c>
      <c r="F473" t="s">
        <v>39</v>
      </c>
      <c r="G473" t="s">
        <v>59</v>
      </c>
      <c r="H473" t="s">
        <v>113</v>
      </c>
      <c r="I473">
        <v>294</v>
      </c>
      <c r="J473" s="4">
        <f t="shared" si="29"/>
        <v>0.23601613739537286</v>
      </c>
      <c r="K473" t="s">
        <v>43</v>
      </c>
    </row>
    <row r="474" spans="1:13" x14ac:dyDescent="0.35">
      <c r="A474" t="s">
        <v>120</v>
      </c>
      <c r="B474" t="s">
        <v>94</v>
      </c>
      <c r="C474">
        <v>2023</v>
      </c>
      <c r="D474" s="3">
        <v>119442.29</v>
      </c>
      <c r="E474" t="s">
        <v>121</v>
      </c>
      <c r="F474" t="s">
        <v>39</v>
      </c>
      <c r="G474" t="s">
        <v>59</v>
      </c>
      <c r="H474" t="s">
        <v>113</v>
      </c>
      <c r="I474">
        <v>295</v>
      </c>
      <c r="J474" s="4">
        <f t="shared" si="29"/>
        <v>0.15107879765841292</v>
      </c>
      <c r="K474" t="s">
        <v>43</v>
      </c>
    </row>
    <row r="475" spans="1:13" x14ac:dyDescent="0.35">
      <c r="A475" t="s">
        <v>120</v>
      </c>
      <c r="B475" t="s">
        <v>94</v>
      </c>
      <c r="C475">
        <v>2024</v>
      </c>
      <c r="D475" s="3">
        <v>136693.32</v>
      </c>
      <c r="E475" t="s">
        <v>121</v>
      </c>
      <c r="F475" t="s">
        <v>39</v>
      </c>
      <c r="G475" t="s">
        <v>59</v>
      </c>
      <c r="H475" t="s">
        <v>113</v>
      </c>
      <c r="I475">
        <v>296</v>
      </c>
      <c r="J475" s="4">
        <f t="shared" si="29"/>
        <v>0.14442983301810441</v>
      </c>
      <c r="K475" t="s">
        <v>43</v>
      </c>
    </row>
    <row r="476" spans="1:13" x14ac:dyDescent="0.35">
      <c r="A476" t="s">
        <v>120</v>
      </c>
      <c r="B476" t="s">
        <v>94</v>
      </c>
      <c r="C476">
        <v>2025</v>
      </c>
      <c r="D476" s="3">
        <v>159608.54999999999</v>
      </c>
      <c r="E476" t="s">
        <v>121</v>
      </c>
      <c r="F476" t="s">
        <v>39</v>
      </c>
      <c r="G476" t="s">
        <v>40</v>
      </c>
      <c r="H476" t="s">
        <v>113</v>
      </c>
      <c r="I476">
        <v>297</v>
      </c>
      <c r="J476" s="4">
        <f t="shared" si="29"/>
        <v>0.16763972079981659</v>
      </c>
      <c r="K476" t="s">
        <v>43</v>
      </c>
    </row>
    <row r="477" spans="1:13" x14ac:dyDescent="0.35">
      <c r="A477" s="8" t="s">
        <v>120</v>
      </c>
      <c r="B477" s="8" t="s">
        <v>94</v>
      </c>
      <c r="C477" s="8">
        <v>2026</v>
      </c>
      <c r="D477" s="9">
        <v>204522.84</v>
      </c>
      <c r="E477" s="8" t="s">
        <v>121</v>
      </c>
      <c r="F477" s="8" t="s">
        <v>44</v>
      </c>
      <c r="G477" s="8" t="s">
        <v>40</v>
      </c>
      <c r="H477" s="8" t="s">
        <v>113</v>
      </c>
      <c r="I477" s="8">
        <v>298</v>
      </c>
      <c r="J477" s="10">
        <f>(1+L477)*(1+IAS29_test!N32)-1</f>
        <v>0.15262335999999999</v>
      </c>
      <c r="K477" s="8" t="s">
        <v>116</v>
      </c>
      <c r="L477" s="10">
        <v>4.4800000000000013E-2</v>
      </c>
      <c r="M477" s="8" t="s">
        <v>122</v>
      </c>
    </row>
    <row r="478" spans="1:13" x14ac:dyDescent="0.35">
      <c r="A478" t="s">
        <v>120</v>
      </c>
      <c r="B478" t="s">
        <v>94</v>
      </c>
      <c r="C478">
        <v>2027</v>
      </c>
      <c r="D478" s="3">
        <v>229840.23</v>
      </c>
      <c r="E478" t="s">
        <v>121</v>
      </c>
      <c r="F478" t="s">
        <v>44</v>
      </c>
      <c r="G478" t="s">
        <v>40</v>
      </c>
      <c r="H478" t="s">
        <v>113</v>
      </c>
      <c r="I478">
        <v>299</v>
      </c>
      <c r="J478" s="4">
        <f>IF(D477=0,"",D478/D477-1)</f>
        <v>0.12378759262290706</v>
      </c>
      <c r="K478" t="s">
        <v>43</v>
      </c>
    </row>
    <row r="479" spans="1:13" x14ac:dyDescent="0.35">
      <c r="A479" t="s">
        <v>120</v>
      </c>
      <c r="B479" t="s">
        <v>94</v>
      </c>
      <c r="C479">
        <v>2028</v>
      </c>
      <c r="D479" s="3">
        <v>258423.42</v>
      </c>
      <c r="E479" t="s">
        <v>121</v>
      </c>
      <c r="F479" t="s">
        <v>44</v>
      </c>
      <c r="G479" t="s">
        <v>40</v>
      </c>
      <c r="H479" t="s">
        <v>113</v>
      </c>
      <c r="I479">
        <v>300</v>
      </c>
      <c r="J479" s="4">
        <f>IF(D478=0,"",D479/D478-1)</f>
        <v>0.12436112685755663</v>
      </c>
      <c r="K479" t="s">
        <v>43</v>
      </c>
    </row>
    <row r="480" spans="1:13" x14ac:dyDescent="0.35">
      <c r="A480" t="s">
        <v>120</v>
      </c>
      <c r="B480" t="s">
        <v>94</v>
      </c>
      <c r="C480">
        <v>2029</v>
      </c>
      <c r="D480" s="3">
        <v>288127.31</v>
      </c>
      <c r="E480" t="s">
        <v>121</v>
      </c>
      <c r="F480" t="s">
        <v>44</v>
      </c>
      <c r="G480" t="s">
        <v>40</v>
      </c>
      <c r="H480" t="s">
        <v>113</v>
      </c>
      <c r="I480">
        <v>301</v>
      </c>
      <c r="J480" s="4">
        <f>IF(D479=0,"",D480/D479-1)</f>
        <v>0.11494271687914348</v>
      </c>
      <c r="K480" t="s">
        <v>43</v>
      </c>
    </row>
    <row r="481" spans="1:11" x14ac:dyDescent="0.35">
      <c r="A481" t="s">
        <v>120</v>
      </c>
      <c r="B481" t="s">
        <v>94</v>
      </c>
      <c r="C481">
        <v>2030</v>
      </c>
      <c r="D481" s="3">
        <v>319116.01</v>
      </c>
      <c r="E481" t="s">
        <v>121</v>
      </c>
      <c r="F481" t="s">
        <v>44</v>
      </c>
      <c r="G481" t="s">
        <v>40</v>
      </c>
      <c r="H481" t="s">
        <v>113</v>
      </c>
      <c r="I481">
        <v>302</v>
      </c>
      <c r="J481" s="4">
        <f>IF(D480=0,"",D481/D480-1)</f>
        <v>0.10755210951714367</v>
      </c>
      <c r="K481" t="s">
        <v>43</v>
      </c>
    </row>
    <row r="482" spans="1:11" x14ac:dyDescent="0.35">
      <c r="A482" t="s">
        <v>123</v>
      </c>
      <c r="B482" t="s">
        <v>94</v>
      </c>
      <c r="C482">
        <v>2015</v>
      </c>
      <c r="D482" s="3">
        <v>70251.149999999994</v>
      </c>
      <c r="E482" t="s">
        <v>124</v>
      </c>
      <c r="F482" t="s">
        <v>39</v>
      </c>
      <c r="G482" t="s">
        <v>125</v>
      </c>
      <c r="H482" t="s">
        <v>126</v>
      </c>
      <c r="I482">
        <v>47</v>
      </c>
      <c r="K482" t="s">
        <v>42</v>
      </c>
    </row>
    <row r="483" spans="1:11" x14ac:dyDescent="0.35">
      <c r="A483" t="s">
        <v>123</v>
      </c>
      <c r="B483" t="s">
        <v>94</v>
      </c>
      <c r="C483">
        <v>2016</v>
      </c>
      <c r="D483" s="3">
        <v>76119.3</v>
      </c>
      <c r="E483" t="s">
        <v>124</v>
      </c>
      <c r="F483" t="s">
        <v>39</v>
      </c>
      <c r="G483" t="s">
        <v>125</v>
      </c>
      <c r="H483" t="s">
        <v>126</v>
      </c>
      <c r="I483">
        <v>48</v>
      </c>
      <c r="J483" s="4">
        <f t="shared" ref="J483:J497" si="30">IF(D482=0,"",D483/D482-1)</f>
        <v>8.3531016929972113E-2</v>
      </c>
      <c r="K483" t="s">
        <v>43</v>
      </c>
    </row>
    <row r="484" spans="1:11" x14ac:dyDescent="0.35">
      <c r="A484" t="s">
        <v>123</v>
      </c>
      <c r="B484" t="s">
        <v>94</v>
      </c>
      <c r="C484">
        <v>2017</v>
      </c>
      <c r="D484" s="3">
        <v>84738.29</v>
      </c>
      <c r="E484" t="s">
        <v>124</v>
      </c>
      <c r="F484" t="s">
        <v>39</v>
      </c>
      <c r="G484" t="s">
        <v>125</v>
      </c>
      <c r="H484" t="s">
        <v>126</v>
      </c>
      <c r="I484">
        <v>49</v>
      </c>
      <c r="J484" s="4">
        <f t="shared" si="30"/>
        <v>0.11323002182100983</v>
      </c>
      <c r="K484" t="s">
        <v>43</v>
      </c>
    </row>
    <row r="485" spans="1:11" x14ac:dyDescent="0.35">
      <c r="A485" t="s">
        <v>123</v>
      </c>
      <c r="B485" t="s">
        <v>94</v>
      </c>
      <c r="C485">
        <v>2018</v>
      </c>
      <c r="D485" s="3">
        <v>93601.01</v>
      </c>
      <c r="E485" t="s">
        <v>124</v>
      </c>
      <c r="F485" t="s">
        <v>39</v>
      </c>
      <c r="G485" t="s">
        <v>125</v>
      </c>
      <c r="H485" t="s">
        <v>126</v>
      </c>
      <c r="I485">
        <v>50</v>
      </c>
      <c r="J485" s="4">
        <f t="shared" si="30"/>
        <v>0.10458931847692465</v>
      </c>
      <c r="K485" t="s">
        <v>43</v>
      </c>
    </row>
    <row r="486" spans="1:11" x14ac:dyDescent="0.35">
      <c r="A486" t="s">
        <v>123</v>
      </c>
      <c r="B486" t="s">
        <v>94</v>
      </c>
      <c r="C486">
        <v>2019</v>
      </c>
      <c r="D486" s="3">
        <v>100587.24</v>
      </c>
      <c r="E486" t="s">
        <v>124</v>
      </c>
      <c r="F486" t="s">
        <v>39</v>
      </c>
      <c r="G486" t="s">
        <v>125</v>
      </c>
      <c r="H486" t="s">
        <v>126</v>
      </c>
      <c r="I486">
        <v>51</v>
      </c>
      <c r="J486" s="4">
        <f t="shared" si="30"/>
        <v>7.4638404008674719E-2</v>
      </c>
      <c r="K486" t="s">
        <v>43</v>
      </c>
    </row>
    <row r="487" spans="1:11" x14ac:dyDescent="0.35">
      <c r="A487" t="s">
        <v>123</v>
      </c>
      <c r="B487" t="s">
        <v>94</v>
      </c>
      <c r="C487">
        <v>2020</v>
      </c>
      <c r="D487" s="3">
        <v>103486.76</v>
      </c>
      <c r="E487" t="s">
        <v>124</v>
      </c>
      <c r="F487" t="s">
        <v>39</v>
      </c>
      <c r="G487" t="s">
        <v>127</v>
      </c>
      <c r="H487" t="s">
        <v>126</v>
      </c>
      <c r="I487">
        <v>52</v>
      </c>
      <c r="J487" s="4">
        <f t="shared" si="30"/>
        <v>2.8825922651819269E-2</v>
      </c>
      <c r="K487" t="s">
        <v>43</v>
      </c>
    </row>
    <row r="488" spans="1:11" x14ac:dyDescent="0.35">
      <c r="A488" t="s">
        <v>123</v>
      </c>
      <c r="B488" t="s">
        <v>94</v>
      </c>
      <c r="C488">
        <v>2021</v>
      </c>
      <c r="D488" s="3">
        <v>117382.3</v>
      </c>
      <c r="E488" t="s">
        <v>124</v>
      </c>
      <c r="F488" t="s">
        <v>39</v>
      </c>
      <c r="G488" t="s">
        <v>127</v>
      </c>
      <c r="H488" t="s">
        <v>126</v>
      </c>
      <c r="I488">
        <v>53</v>
      </c>
      <c r="J488" s="4">
        <f t="shared" si="30"/>
        <v>0.13427360176316294</v>
      </c>
      <c r="K488" t="s">
        <v>43</v>
      </c>
    </row>
    <row r="489" spans="1:11" x14ac:dyDescent="0.35">
      <c r="A489" t="s">
        <v>123</v>
      </c>
      <c r="B489" t="s">
        <v>94</v>
      </c>
      <c r="C489">
        <v>2022</v>
      </c>
      <c r="D489" s="3">
        <v>123402.94</v>
      </c>
      <c r="E489" t="s">
        <v>124</v>
      </c>
      <c r="F489" t="s">
        <v>39</v>
      </c>
      <c r="G489" t="s">
        <v>127</v>
      </c>
      <c r="H489" t="s">
        <v>126</v>
      </c>
      <c r="I489">
        <v>54</v>
      </c>
      <c r="J489" s="4">
        <f t="shared" si="30"/>
        <v>5.1290867532839179E-2</v>
      </c>
      <c r="K489" t="s">
        <v>43</v>
      </c>
    </row>
    <row r="490" spans="1:11" x14ac:dyDescent="0.35">
      <c r="A490" t="s">
        <v>123</v>
      </c>
      <c r="B490" t="s">
        <v>94</v>
      </c>
      <c r="C490">
        <v>2023</v>
      </c>
      <c r="D490" s="3">
        <v>129427.17</v>
      </c>
      <c r="E490" t="s">
        <v>124</v>
      </c>
      <c r="F490" t="s">
        <v>39</v>
      </c>
      <c r="G490" t="s">
        <v>127</v>
      </c>
      <c r="H490" t="s">
        <v>126</v>
      </c>
      <c r="I490">
        <v>55</v>
      </c>
      <c r="J490" s="4">
        <f t="shared" si="30"/>
        <v>4.8817556534714646E-2</v>
      </c>
      <c r="K490" t="s">
        <v>43</v>
      </c>
    </row>
    <row r="491" spans="1:11" x14ac:dyDescent="0.35">
      <c r="A491" t="s">
        <v>123</v>
      </c>
      <c r="B491" t="s">
        <v>94</v>
      </c>
      <c r="C491">
        <v>2024</v>
      </c>
      <c r="D491" s="3">
        <v>134806.62</v>
      </c>
      <c r="E491" t="s">
        <v>124</v>
      </c>
      <c r="F491" t="s">
        <v>39</v>
      </c>
      <c r="G491" t="s">
        <v>127</v>
      </c>
      <c r="H491" t="s">
        <v>126</v>
      </c>
      <c r="I491">
        <v>56</v>
      </c>
      <c r="J491" s="4">
        <f t="shared" si="30"/>
        <v>4.1563529512389064E-2</v>
      </c>
      <c r="K491" t="s">
        <v>43</v>
      </c>
    </row>
    <row r="492" spans="1:11" x14ac:dyDescent="0.35">
      <c r="A492" t="s">
        <v>123</v>
      </c>
      <c r="B492" t="s">
        <v>94</v>
      </c>
      <c r="C492">
        <v>2025</v>
      </c>
      <c r="D492" s="3">
        <v>140187.92000000001</v>
      </c>
      <c r="E492" t="s">
        <v>124</v>
      </c>
      <c r="F492" t="s">
        <v>39</v>
      </c>
      <c r="G492" t="s">
        <v>127</v>
      </c>
      <c r="H492" t="s">
        <v>126</v>
      </c>
      <c r="I492">
        <v>57</v>
      </c>
      <c r="J492" s="4">
        <f t="shared" si="30"/>
        <v>3.9918662748164913E-2</v>
      </c>
      <c r="K492" t="s">
        <v>43</v>
      </c>
    </row>
    <row r="493" spans="1:11" x14ac:dyDescent="0.35">
      <c r="A493" t="s">
        <v>123</v>
      </c>
      <c r="B493" t="s">
        <v>94</v>
      </c>
      <c r="C493">
        <v>2026</v>
      </c>
      <c r="D493" s="3">
        <v>148336.79</v>
      </c>
      <c r="E493" t="s">
        <v>124</v>
      </c>
      <c r="F493" t="s">
        <v>44</v>
      </c>
      <c r="G493" t="s">
        <v>128</v>
      </c>
      <c r="H493" t="s">
        <v>126</v>
      </c>
      <c r="I493">
        <v>58</v>
      </c>
      <c r="J493" s="4">
        <f t="shared" si="30"/>
        <v>5.8128189647153494E-2</v>
      </c>
      <c r="K493" t="s">
        <v>43</v>
      </c>
    </row>
    <row r="494" spans="1:11" x14ac:dyDescent="0.35">
      <c r="A494" t="s">
        <v>123</v>
      </c>
      <c r="B494" t="s">
        <v>94</v>
      </c>
      <c r="C494">
        <v>2027</v>
      </c>
      <c r="D494" s="3">
        <v>156685.84</v>
      </c>
      <c r="E494" t="s">
        <v>124</v>
      </c>
      <c r="F494" t="s">
        <v>44</v>
      </c>
      <c r="G494" t="s">
        <v>128</v>
      </c>
      <c r="H494" t="s">
        <v>126</v>
      </c>
      <c r="I494">
        <v>59</v>
      </c>
      <c r="J494" s="4">
        <f t="shared" si="30"/>
        <v>5.6284418720399687E-2</v>
      </c>
      <c r="K494" t="s">
        <v>43</v>
      </c>
    </row>
    <row r="495" spans="1:11" x14ac:dyDescent="0.35">
      <c r="A495" t="s">
        <v>123</v>
      </c>
      <c r="B495" t="s">
        <v>94</v>
      </c>
      <c r="C495">
        <v>2028</v>
      </c>
      <c r="D495" s="3">
        <v>165320.91</v>
      </c>
      <c r="E495" t="s">
        <v>124</v>
      </c>
      <c r="F495" t="s">
        <v>44</v>
      </c>
      <c r="G495" t="s">
        <v>128</v>
      </c>
      <c r="H495" t="s">
        <v>126</v>
      </c>
      <c r="I495">
        <v>60</v>
      </c>
      <c r="J495" s="4">
        <f t="shared" si="30"/>
        <v>5.5110723470608525E-2</v>
      </c>
      <c r="K495" t="s">
        <v>43</v>
      </c>
    </row>
    <row r="496" spans="1:11" x14ac:dyDescent="0.35">
      <c r="A496" t="s">
        <v>123</v>
      </c>
      <c r="B496" t="s">
        <v>94</v>
      </c>
      <c r="C496">
        <v>2029</v>
      </c>
      <c r="D496" s="3">
        <v>174512.25</v>
      </c>
      <c r="E496" t="s">
        <v>124</v>
      </c>
      <c r="F496" t="s">
        <v>44</v>
      </c>
      <c r="G496" t="s">
        <v>128</v>
      </c>
      <c r="H496" t="s">
        <v>126</v>
      </c>
      <c r="I496">
        <v>61</v>
      </c>
      <c r="J496" s="4">
        <f t="shared" si="30"/>
        <v>5.5596959876400343E-2</v>
      </c>
      <c r="K496" t="s">
        <v>43</v>
      </c>
    </row>
    <row r="497" spans="1:11" x14ac:dyDescent="0.35">
      <c r="A497" t="s">
        <v>123</v>
      </c>
      <c r="B497" t="s">
        <v>94</v>
      </c>
      <c r="C497">
        <v>2030</v>
      </c>
      <c r="D497" s="3">
        <v>184342.9</v>
      </c>
      <c r="E497" t="s">
        <v>124</v>
      </c>
      <c r="F497" t="s">
        <v>44</v>
      </c>
      <c r="G497" t="s">
        <v>128</v>
      </c>
      <c r="H497" t="s">
        <v>126</v>
      </c>
      <c r="I497">
        <v>62</v>
      </c>
      <c r="J497" s="4">
        <f t="shared" si="30"/>
        <v>5.6332148602748378E-2</v>
      </c>
      <c r="K497" t="s">
        <v>43</v>
      </c>
    </row>
    <row r="498" spans="1:11" x14ac:dyDescent="0.35">
      <c r="A498" t="s">
        <v>129</v>
      </c>
      <c r="B498" t="s">
        <v>94</v>
      </c>
      <c r="C498">
        <v>2015</v>
      </c>
      <c r="D498" s="3">
        <v>133907.26999999999</v>
      </c>
      <c r="E498" t="s">
        <v>130</v>
      </c>
      <c r="F498" t="s">
        <v>39</v>
      </c>
      <c r="G498" t="s">
        <v>131</v>
      </c>
      <c r="H498" t="s">
        <v>126</v>
      </c>
      <c r="I498">
        <v>127</v>
      </c>
      <c r="K498" t="s">
        <v>42</v>
      </c>
    </row>
    <row r="499" spans="1:11" x14ac:dyDescent="0.35">
      <c r="A499" t="s">
        <v>129</v>
      </c>
      <c r="B499" t="s">
        <v>94</v>
      </c>
      <c r="C499">
        <v>2016</v>
      </c>
      <c r="D499" s="3">
        <v>149647.12</v>
      </c>
      <c r="E499" t="s">
        <v>130</v>
      </c>
      <c r="F499" t="s">
        <v>39</v>
      </c>
      <c r="G499" t="s">
        <v>131</v>
      </c>
      <c r="H499" t="s">
        <v>126</v>
      </c>
      <c r="I499">
        <v>128</v>
      </c>
      <c r="J499" s="4">
        <f t="shared" ref="J499:J513" si="31">IF(D498=0,"",D499/D498-1)</f>
        <v>0.11754290861131</v>
      </c>
      <c r="K499" t="s">
        <v>43</v>
      </c>
    </row>
    <row r="500" spans="1:11" x14ac:dyDescent="0.35">
      <c r="A500" t="s">
        <v>129</v>
      </c>
      <c r="B500" t="s">
        <v>94</v>
      </c>
      <c r="C500">
        <v>2017</v>
      </c>
      <c r="D500" s="3">
        <v>166281.26999999999</v>
      </c>
      <c r="E500" t="s">
        <v>130</v>
      </c>
      <c r="F500" t="s">
        <v>39</v>
      </c>
      <c r="G500" t="s">
        <v>131</v>
      </c>
      <c r="H500" t="s">
        <v>126</v>
      </c>
      <c r="I500">
        <v>129</v>
      </c>
      <c r="J500" s="4">
        <f t="shared" si="31"/>
        <v>0.11115583113126393</v>
      </c>
      <c r="K500" t="s">
        <v>43</v>
      </c>
    </row>
    <row r="501" spans="1:11" x14ac:dyDescent="0.35">
      <c r="A501" t="s">
        <v>129</v>
      </c>
      <c r="B501" t="s">
        <v>94</v>
      </c>
      <c r="C501">
        <v>2018</v>
      </c>
      <c r="D501" s="3">
        <v>186830.7</v>
      </c>
      <c r="E501" t="s">
        <v>130</v>
      </c>
      <c r="F501" t="s">
        <v>39</v>
      </c>
      <c r="G501" t="s">
        <v>131</v>
      </c>
      <c r="H501" t="s">
        <v>126</v>
      </c>
      <c r="I501">
        <v>130</v>
      </c>
      <c r="J501" s="4">
        <f t="shared" si="31"/>
        <v>0.12358234935299706</v>
      </c>
      <c r="K501" t="s">
        <v>43</v>
      </c>
    </row>
    <row r="502" spans="1:11" x14ac:dyDescent="0.35">
      <c r="A502" t="s">
        <v>129</v>
      </c>
      <c r="B502" t="s">
        <v>94</v>
      </c>
      <c r="C502">
        <v>2019</v>
      </c>
      <c r="D502" s="3">
        <v>197561.44</v>
      </c>
      <c r="E502" t="s">
        <v>130</v>
      </c>
      <c r="F502" t="s">
        <v>39</v>
      </c>
      <c r="G502" t="s">
        <v>131</v>
      </c>
      <c r="H502" t="s">
        <v>126</v>
      </c>
      <c r="I502">
        <v>131</v>
      </c>
      <c r="J502" s="4">
        <f t="shared" si="31"/>
        <v>5.7435635578092947E-2</v>
      </c>
      <c r="K502" t="s">
        <v>43</v>
      </c>
    </row>
    <row r="503" spans="1:11" x14ac:dyDescent="0.35">
      <c r="A503" t="s">
        <v>129</v>
      </c>
      <c r="B503" t="s">
        <v>94</v>
      </c>
      <c r="C503">
        <v>2020</v>
      </c>
      <c r="D503" s="3">
        <v>192451.28</v>
      </c>
      <c r="E503" t="s">
        <v>130</v>
      </c>
      <c r="F503" t="s">
        <v>39</v>
      </c>
      <c r="G503" t="s">
        <v>131</v>
      </c>
      <c r="H503" t="s">
        <v>126</v>
      </c>
      <c r="I503">
        <v>132</v>
      </c>
      <c r="J503" s="4">
        <f t="shared" si="31"/>
        <v>-2.5866181173816116E-2</v>
      </c>
      <c r="K503" t="s">
        <v>43</v>
      </c>
    </row>
    <row r="504" spans="1:11" x14ac:dyDescent="0.35">
      <c r="A504" t="s">
        <v>129</v>
      </c>
      <c r="B504" t="s">
        <v>94</v>
      </c>
      <c r="C504">
        <v>2021</v>
      </c>
      <c r="D504" s="3">
        <v>228315.09</v>
      </c>
      <c r="E504" t="s">
        <v>130</v>
      </c>
      <c r="F504" t="s">
        <v>39</v>
      </c>
      <c r="G504" t="s">
        <v>131</v>
      </c>
      <c r="H504" t="s">
        <v>126</v>
      </c>
      <c r="I504">
        <v>133</v>
      </c>
      <c r="J504" s="4">
        <f t="shared" si="31"/>
        <v>0.18635267066033534</v>
      </c>
      <c r="K504" t="s">
        <v>43</v>
      </c>
    </row>
    <row r="505" spans="1:11" x14ac:dyDescent="0.35">
      <c r="A505" t="s">
        <v>129</v>
      </c>
      <c r="B505" t="s">
        <v>94</v>
      </c>
      <c r="C505">
        <v>2022</v>
      </c>
      <c r="D505" s="3">
        <v>255196.93</v>
      </c>
      <c r="E505" t="s">
        <v>130</v>
      </c>
      <c r="F505" t="s">
        <v>39</v>
      </c>
      <c r="G505" t="s">
        <v>131</v>
      </c>
      <c r="H505" t="s">
        <v>126</v>
      </c>
      <c r="I505">
        <v>134</v>
      </c>
      <c r="J505" s="4">
        <f t="shared" si="31"/>
        <v>0.11774009330701696</v>
      </c>
      <c r="K505" t="s">
        <v>43</v>
      </c>
    </row>
    <row r="506" spans="1:11" x14ac:dyDescent="0.35">
      <c r="A506" t="s">
        <v>129</v>
      </c>
      <c r="B506" t="s">
        <v>94</v>
      </c>
      <c r="C506">
        <v>2023</v>
      </c>
      <c r="D506" s="3">
        <v>282618.84000000003</v>
      </c>
      <c r="E506" t="s">
        <v>130</v>
      </c>
      <c r="F506" t="s">
        <v>39</v>
      </c>
      <c r="G506" t="s">
        <v>131</v>
      </c>
      <c r="H506" t="s">
        <v>126</v>
      </c>
      <c r="I506">
        <v>135</v>
      </c>
      <c r="J506" s="4">
        <f t="shared" si="31"/>
        <v>0.10745391803890447</v>
      </c>
      <c r="K506" t="s">
        <v>43</v>
      </c>
    </row>
    <row r="507" spans="1:11" x14ac:dyDescent="0.35">
      <c r="A507" t="s">
        <v>129</v>
      </c>
      <c r="B507" t="s">
        <v>94</v>
      </c>
      <c r="C507">
        <v>2024</v>
      </c>
      <c r="D507" s="3">
        <v>311180.11</v>
      </c>
      <c r="E507" t="s">
        <v>130</v>
      </c>
      <c r="F507" t="s">
        <v>39</v>
      </c>
      <c r="G507" t="s">
        <v>131</v>
      </c>
      <c r="H507" t="s">
        <v>126</v>
      </c>
      <c r="I507">
        <v>136</v>
      </c>
      <c r="J507" s="4">
        <f t="shared" si="31"/>
        <v>0.10105932782117422</v>
      </c>
      <c r="K507" t="s">
        <v>43</v>
      </c>
    </row>
    <row r="508" spans="1:11" x14ac:dyDescent="0.35">
      <c r="A508" t="s">
        <v>129</v>
      </c>
      <c r="B508" t="s">
        <v>94</v>
      </c>
      <c r="C508">
        <v>2025</v>
      </c>
      <c r="D508" s="3">
        <v>337425.63</v>
      </c>
      <c r="E508" t="s">
        <v>130</v>
      </c>
      <c r="F508" t="s">
        <v>39</v>
      </c>
      <c r="G508" t="s">
        <v>131</v>
      </c>
      <c r="H508" t="s">
        <v>126</v>
      </c>
      <c r="I508">
        <v>137</v>
      </c>
      <c r="J508" s="4">
        <f t="shared" si="31"/>
        <v>8.4341894473910939E-2</v>
      </c>
      <c r="K508" t="s">
        <v>43</v>
      </c>
    </row>
    <row r="509" spans="1:11" x14ac:dyDescent="0.35">
      <c r="A509" t="s">
        <v>129</v>
      </c>
      <c r="B509" t="s">
        <v>94</v>
      </c>
      <c r="C509">
        <v>2026</v>
      </c>
      <c r="D509" s="3">
        <v>383341.54</v>
      </c>
      <c r="E509" t="s">
        <v>130</v>
      </c>
      <c r="F509" t="s">
        <v>44</v>
      </c>
      <c r="G509" t="s">
        <v>128</v>
      </c>
      <c r="H509" t="s">
        <v>126</v>
      </c>
      <c r="I509">
        <v>138</v>
      </c>
      <c r="J509" s="4">
        <f t="shared" si="31"/>
        <v>0.13607712609145906</v>
      </c>
      <c r="K509" t="s">
        <v>43</v>
      </c>
    </row>
    <row r="510" spans="1:11" x14ac:dyDescent="0.35">
      <c r="A510" t="s">
        <v>129</v>
      </c>
      <c r="B510" t="s">
        <v>94</v>
      </c>
      <c r="C510">
        <v>2027</v>
      </c>
      <c r="D510" s="3">
        <v>432787.46</v>
      </c>
      <c r="E510" t="s">
        <v>130</v>
      </c>
      <c r="F510" t="s">
        <v>44</v>
      </c>
      <c r="G510" t="s">
        <v>128</v>
      </c>
      <c r="H510" t="s">
        <v>126</v>
      </c>
      <c r="I510">
        <v>139</v>
      </c>
      <c r="J510" s="4">
        <f t="shared" si="31"/>
        <v>0.12898659508698174</v>
      </c>
      <c r="K510" t="s">
        <v>43</v>
      </c>
    </row>
    <row r="511" spans="1:11" x14ac:dyDescent="0.35">
      <c r="A511" t="s">
        <v>129</v>
      </c>
      <c r="B511" t="s">
        <v>94</v>
      </c>
      <c r="C511">
        <v>2028</v>
      </c>
      <c r="D511" s="3">
        <v>489811.42</v>
      </c>
      <c r="E511" t="s">
        <v>130</v>
      </c>
      <c r="F511" t="s">
        <v>44</v>
      </c>
      <c r="G511" t="s">
        <v>128</v>
      </c>
      <c r="H511" t="s">
        <v>126</v>
      </c>
      <c r="I511">
        <v>140</v>
      </c>
      <c r="J511" s="4">
        <f t="shared" si="31"/>
        <v>0.13175973259483986</v>
      </c>
      <c r="K511" t="s">
        <v>43</v>
      </c>
    </row>
    <row r="512" spans="1:11" x14ac:dyDescent="0.35">
      <c r="A512" t="s">
        <v>129</v>
      </c>
      <c r="B512" t="s">
        <v>94</v>
      </c>
      <c r="C512">
        <v>2029</v>
      </c>
      <c r="D512" s="3">
        <v>549509.74</v>
      </c>
      <c r="E512" t="s">
        <v>130</v>
      </c>
      <c r="F512" t="s">
        <v>44</v>
      </c>
      <c r="G512" t="s">
        <v>128</v>
      </c>
      <c r="H512" t="s">
        <v>126</v>
      </c>
      <c r="I512">
        <v>141</v>
      </c>
      <c r="J512" s="4">
        <f t="shared" si="31"/>
        <v>0.12188021259283821</v>
      </c>
      <c r="K512" t="s">
        <v>43</v>
      </c>
    </row>
    <row r="513" spans="1:13" x14ac:dyDescent="0.35">
      <c r="A513" t="s">
        <v>129</v>
      </c>
      <c r="B513" t="s">
        <v>94</v>
      </c>
      <c r="C513">
        <v>2030</v>
      </c>
      <c r="D513" s="3">
        <v>610071.19999999995</v>
      </c>
      <c r="E513" t="s">
        <v>130</v>
      </c>
      <c r="F513" t="s">
        <v>44</v>
      </c>
      <c r="G513" t="s">
        <v>128</v>
      </c>
      <c r="H513" t="s">
        <v>126</v>
      </c>
      <c r="I513">
        <v>142</v>
      </c>
      <c r="J513" s="4">
        <f t="shared" si="31"/>
        <v>0.1102099846310276</v>
      </c>
      <c r="K513" t="s">
        <v>43</v>
      </c>
    </row>
    <row r="514" spans="1:13" x14ac:dyDescent="0.35">
      <c r="A514" t="s">
        <v>132</v>
      </c>
      <c r="B514" t="s">
        <v>94</v>
      </c>
      <c r="C514">
        <v>2015</v>
      </c>
      <c r="D514" s="3">
        <v>1740.78</v>
      </c>
      <c r="E514" t="s">
        <v>133</v>
      </c>
      <c r="F514" t="s">
        <v>39</v>
      </c>
      <c r="G514" t="s">
        <v>134</v>
      </c>
      <c r="H514" t="s">
        <v>126</v>
      </c>
      <c r="I514">
        <v>207</v>
      </c>
      <c r="K514" t="s">
        <v>42</v>
      </c>
    </row>
    <row r="515" spans="1:13" x14ac:dyDescent="0.35">
      <c r="A515" t="s">
        <v>132</v>
      </c>
      <c r="B515" t="s">
        <v>94</v>
      </c>
      <c r="C515">
        <v>2016</v>
      </c>
      <c r="D515" s="3">
        <v>1833.03</v>
      </c>
      <c r="E515" t="s">
        <v>133</v>
      </c>
      <c r="F515" t="s">
        <v>39</v>
      </c>
      <c r="G515" t="s">
        <v>134</v>
      </c>
      <c r="H515" t="s">
        <v>126</v>
      </c>
      <c r="I515">
        <v>208</v>
      </c>
      <c r="J515" s="4">
        <f t="shared" ref="J515:J524" si="32">IF(D514=0,"",D515/D514-1)</f>
        <v>5.2993485678833663E-2</v>
      </c>
      <c r="K515" t="s">
        <v>43</v>
      </c>
    </row>
    <row r="516" spans="1:13" x14ac:dyDescent="0.35">
      <c r="A516" t="s">
        <v>132</v>
      </c>
      <c r="B516" t="s">
        <v>94</v>
      </c>
      <c r="C516">
        <v>2017</v>
      </c>
      <c r="D516" s="3">
        <v>1934.23</v>
      </c>
      <c r="E516" t="s">
        <v>133</v>
      </c>
      <c r="F516" t="s">
        <v>39</v>
      </c>
      <c r="G516" t="s">
        <v>134</v>
      </c>
      <c r="H516" t="s">
        <v>126</v>
      </c>
      <c r="I516">
        <v>209</v>
      </c>
      <c r="J516" s="4">
        <f t="shared" si="32"/>
        <v>5.5209134602270504E-2</v>
      </c>
      <c r="K516" t="s">
        <v>43</v>
      </c>
    </row>
    <row r="517" spans="1:13" x14ac:dyDescent="0.35">
      <c r="A517" t="s">
        <v>132</v>
      </c>
      <c r="B517" t="s">
        <v>94</v>
      </c>
      <c r="C517">
        <v>2018</v>
      </c>
      <c r="D517" s="3">
        <v>2006.97</v>
      </c>
      <c r="E517" t="s">
        <v>133</v>
      </c>
      <c r="F517" t="s">
        <v>39</v>
      </c>
      <c r="G517" t="s">
        <v>134</v>
      </c>
      <c r="H517" t="s">
        <v>126</v>
      </c>
      <c r="I517">
        <v>210</v>
      </c>
      <c r="J517" s="4">
        <f t="shared" si="32"/>
        <v>3.7606696204691259E-2</v>
      </c>
      <c r="K517" t="s">
        <v>43</v>
      </c>
    </row>
    <row r="518" spans="1:13" x14ac:dyDescent="0.35">
      <c r="A518" t="s">
        <v>132</v>
      </c>
      <c r="B518" t="s">
        <v>94</v>
      </c>
      <c r="C518">
        <v>2019</v>
      </c>
      <c r="D518" s="3">
        <v>2040.59</v>
      </c>
      <c r="E518" t="s">
        <v>133</v>
      </c>
      <c r="F518" t="s">
        <v>39</v>
      </c>
      <c r="G518" t="s">
        <v>134</v>
      </c>
      <c r="H518" t="s">
        <v>126</v>
      </c>
      <c r="I518">
        <v>211</v>
      </c>
      <c r="J518" s="4">
        <f t="shared" si="32"/>
        <v>1.6751620602201367E-2</v>
      </c>
      <c r="K518" t="s">
        <v>43</v>
      </c>
    </row>
    <row r="519" spans="1:13" x14ac:dyDescent="0.35">
      <c r="A519" t="s">
        <v>132</v>
      </c>
      <c r="B519" t="s">
        <v>94</v>
      </c>
      <c r="C519">
        <v>2020</v>
      </c>
      <c r="D519" s="3">
        <v>2058.4699999999998</v>
      </c>
      <c r="E519" t="s">
        <v>133</v>
      </c>
      <c r="F519" t="s">
        <v>39</v>
      </c>
      <c r="G519" t="s">
        <v>134</v>
      </c>
      <c r="H519" t="s">
        <v>126</v>
      </c>
      <c r="I519">
        <v>212</v>
      </c>
      <c r="J519" s="4">
        <f t="shared" si="32"/>
        <v>8.762171724844281E-3</v>
      </c>
      <c r="K519" t="s">
        <v>43</v>
      </c>
    </row>
    <row r="520" spans="1:13" x14ac:dyDescent="0.35">
      <c r="A520" t="s">
        <v>132</v>
      </c>
      <c r="B520" t="s">
        <v>94</v>
      </c>
      <c r="C520">
        <v>2021</v>
      </c>
      <c r="D520" s="3">
        <v>2223.7199999999998</v>
      </c>
      <c r="E520" t="s">
        <v>133</v>
      </c>
      <c r="F520" t="s">
        <v>39</v>
      </c>
      <c r="G520" t="s">
        <v>134</v>
      </c>
      <c r="H520" t="s">
        <v>126</v>
      </c>
      <c r="I520">
        <v>213</v>
      </c>
      <c r="J520" s="4">
        <f t="shared" si="32"/>
        <v>8.0278070605838359E-2</v>
      </c>
      <c r="K520" t="s">
        <v>43</v>
      </c>
    </row>
    <row r="521" spans="1:13" x14ac:dyDescent="0.35">
      <c r="A521" t="s">
        <v>132</v>
      </c>
      <c r="B521" t="s">
        <v>94</v>
      </c>
      <c r="C521">
        <v>2022</v>
      </c>
      <c r="D521" s="3">
        <v>2328.17</v>
      </c>
      <c r="E521" t="s">
        <v>133</v>
      </c>
      <c r="F521" t="s">
        <v>39</v>
      </c>
      <c r="G521" t="s">
        <v>134</v>
      </c>
      <c r="H521" t="s">
        <v>126</v>
      </c>
      <c r="I521">
        <v>214</v>
      </c>
      <c r="J521" s="4">
        <f t="shared" si="32"/>
        <v>4.6970841652726136E-2</v>
      </c>
      <c r="K521" t="s">
        <v>43</v>
      </c>
    </row>
    <row r="522" spans="1:13" x14ac:dyDescent="0.35">
      <c r="A522" t="s">
        <v>132</v>
      </c>
      <c r="B522" t="s">
        <v>94</v>
      </c>
      <c r="C522">
        <v>2023</v>
      </c>
      <c r="D522" s="3">
        <v>2407.58</v>
      </c>
      <c r="E522" t="s">
        <v>133</v>
      </c>
      <c r="F522" t="s">
        <v>39</v>
      </c>
      <c r="G522" t="s">
        <v>134</v>
      </c>
      <c r="H522" t="s">
        <v>126</v>
      </c>
      <c r="I522">
        <v>215</v>
      </c>
      <c r="J522" s="4">
        <f t="shared" si="32"/>
        <v>3.4108334013409625E-2</v>
      </c>
      <c r="K522" t="s">
        <v>43</v>
      </c>
    </row>
    <row r="523" spans="1:13" x14ac:dyDescent="0.35">
      <c r="A523" t="s">
        <v>132</v>
      </c>
      <c r="B523" t="s">
        <v>94</v>
      </c>
      <c r="C523">
        <v>2024</v>
      </c>
      <c r="D523" s="3">
        <v>2564.1999999999998</v>
      </c>
      <c r="E523" t="s">
        <v>133</v>
      </c>
      <c r="F523" t="s">
        <v>39</v>
      </c>
      <c r="G523" t="s">
        <v>134</v>
      </c>
      <c r="H523" t="s">
        <v>126</v>
      </c>
      <c r="I523">
        <v>216</v>
      </c>
      <c r="J523" s="4">
        <f t="shared" si="32"/>
        <v>6.5052874670831207E-2</v>
      </c>
      <c r="K523" t="s">
        <v>43</v>
      </c>
    </row>
    <row r="524" spans="1:13" x14ac:dyDescent="0.35">
      <c r="A524" t="s">
        <v>132</v>
      </c>
      <c r="B524" t="s">
        <v>94</v>
      </c>
      <c r="C524">
        <v>2025</v>
      </c>
      <c r="D524" s="3">
        <v>2676.67</v>
      </c>
      <c r="E524" t="s">
        <v>133</v>
      </c>
      <c r="F524" t="s">
        <v>39</v>
      </c>
      <c r="G524" t="s">
        <v>134</v>
      </c>
      <c r="H524" t="s">
        <v>126</v>
      </c>
      <c r="I524">
        <v>217</v>
      </c>
      <c r="J524" s="4">
        <f t="shared" si="32"/>
        <v>4.3861633257936239E-2</v>
      </c>
      <c r="K524" t="s">
        <v>43</v>
      </c>
    </row>
    <row r="525" spans="1:13" x14ac:dyDescent="0.35">
      <c r="A525" s="8" t="s">
        <v>132</v>
      </c>
      <c r="B525" s="8" t="s">
        <v>94</v>
      </c>
      <c r="C525" s="8">
        <v>2026</v>
      </c>
      <c r="D525" s="9">
        <v>3277.04</v>
      </c>
      <c r="E525" s="8" t="s">
        <v>133</v>
      </c>
      <c r="F525" s="8" t="s">
        <v>44</v>
      </c>
      <c r="G525" s="8" t="s">
        <v>128</v>
      </c>
      <c r="H525" s="8" t="s">
        <v>126</v>
      </c>
      <c r="I525" s="8">
        <v>218</v>
      </c>
      <c r="J525" s="10">
        <f>(1+L525)*(1+IAS29_test!N35)-1</f>
        <v>5.9556359999999975E-2</v>
      </c>
      <c r="K525" s="8" t="s">
        <v>116</v>
      </c>
      <c r="L525" s="10">
        <v>3.1600000000000003E-2</v>
      </c>
      <c r="M525" s="8" t="s">
        <v>135</v>
      </c>
    </row>
    <row r="526" spans="1:13" x14ac:dyDescent="0.35">
      <c r="A526" t="s">
        <v>132</v>
      </c>
      <c r="B526" t="s">
        <v>94</v>
      </c>
      <c r="C526">
        <v>2027</v>
      </c>
      <c r="D526" s="3">
        <v>3434.73</v>
      </c>
      <c r="E526" t="s">
        <v>133</v>
      </c>
      <c r="F526" t="s">
        <v>44</v>
      </c>
      <c r="G526" t="s">
        <v>128</v>
      </c>
      <c r="H526" t="s">
        <v>126</v>
      </c>
      <c r="I526">
        <v>219</v>
      </c>
      <c r="J526" s="4">
        <f>IF(D525=0,"",D526/D525-1)</f>
        <v>4.8119644557283348E-2</v>
      </c>
      <c r="K526" t="s">
        <v>43</v>
      </c>
    </row>
    <row r="527" spans="1:13" x14ac:dyDescent="0.35">
      <c r="A527" t="s">
        <v>132</v>
      </c>
      <c r="B527" t="s">
        <v>94</v>
      </c>
      <c r="C527">
        <v>2028</v>
      </c>
      <c r="D527" s="3">
        <v>3569.81</v>
      </c>
      <c r="E527" t="s">
        <v>133</v>
      </c>
      <c r="F527" t="s">
        <v>44</v>
      </c>
      <c r="G527" t="s">
        <v>128</v>
      </c>
      <c r="H527" t="s">
        <v>126</v>
      </c>
      <c r="I527">
        <v>220</v>
      </c>
      <c r="J527" s="4">
        <f>IF(D526=0,"",D527/D526-1)</f>
        <v>3.932769096843125E-2</v>
      </c>
      <c r="K527" t="s">
        <v>43</v>
      </c>
    </row>
    <row r="528" spans="1:13" x14ac:dyDescent="0.35">
      <c r="A528" t="s">
        <v>132</v>
      </c>
      <c r="B528" t="s">
        <v>94</v>
      </c>
      <c r="C528">
        <v>2029</v>
      </c>
      <c r="D528" s="3">
        <v>3697.2</v>
      </c>
      <c r="E528" t="s">
        <v>133</v>
      </c>
      <c r="F528" t="s">
        <v>44</v>
      </c>
      <c r="G528" t="s">
        <v>128</v>
      </c>
      <c r="H528" t="s">
        <v>126</v>
      </c>
      <c r="I528">
        <v>221</v>
      </c>
      <c r="J528" s="4">
        <f>IF(D527=0,"",D528/D527-1)</f>
        <v>3.5685372610867239E-2</v>
      </c>
      <c r="K528" t="s">
        <v>43</v>
      </c>
    </row>
    <row r="529" spans="1:11" x14ac:dyDescent="0.35">
      <c r="A529" t="s">
        <v>132</v>
      </c>
      <c r="B529" t="s">
        <v>94</v>
      </c>
      <c r="C529">
        <v>2030</v>
      </c>
      <c r="D529" s="3">
        <v>3824.81</v>
      </c>
      <c r="E529" t="s">
        <v>133</v>
      </c>
      <c r="F529" t="s">
        <v>44</v>
      </c>
      <c r="G529" t="s">
        <v>128</v>
      </c>
      <c r="H529" t="s">
        <v>126</v>
      </c>
      <c r="I529">
        <v>222</v>
      </c>
      <c r="J529" s="4">
        <f>IF(D528=0,"",D529/D528-1)</f>
        <v>3.4515308882397511E-2</v>
      </c>
      <c r="K529" t="s">
        <v>43</v>
      </c>
    </row>
    <row r="530" spans="1:11" x14ac:dyDescent="0.35">
      <c r="A530" t="s">
        <v>136</v>
      </c>
      <c r="B530" t="s">
        <v>94</v>
      </c>
      <c r="C530">
        <v>2015</v>
      </c>
      <c r="D530" s="3">
        <v>4420.79</v>
      </c>
      <c r="E530" t="s">
        <v>137</v>
      </c>
      <c r="F530" t="s">
        <v>39</v>
      </c>
      <c r="G530" t="s">
        <v>65</v>
      </c>
      <c r="H530" t="s">
        <v>138</v>
      </c>
      <c r="I530">
        <v>48</v>
      </c>
      <c r="K530" t="s">
        <v>42</v>
      </c>
    </row>
    <row r="531" spans="1:11" x14ac:dyDescent="0.35">
      <c r="A531" t="s">
        <v>136</v>
      </c>
      <c r="B531" t="s">
        <v>94</v>
      </c>
      <c r="C531">
        <v>2016</v>
      </c>
      <c r="D531" s="3">
        <v>4759.55</v>
      </c>
      <c r="E531" t="s">
        <v>137</v>
      </c>
      <c r="F531" t="s">
        <v>39</v>
      </c>
      <c r="G531" t="s">
        <v>65</v>
      </c>
      <c r="H531" t="s">
        <v>138</v>
      </c>
      <c r="I531">
        <v>49</v>
      </c>
      <c r="J531" s="4">
        <f t="shared" ref="J531:J545" si="33">IF(D530=0,"",D531/D530-1)</f>
        <v>7.6628837832152241E-2</v>
      </c>
      <c r="K531" t="s">
        <v>43</v>
      </c>
    </row>
    <row r="532" spans="1:11" x14ac:dyDescent="0.35">
      <c r="A532" t="s">
        <v>136</v>
      </c>
      <c r="B532" t="s">
        <v>94</v>
      </c>
      <c r="C532">
        <v>2017</v>
      </c>
      <c r="D532" s="3">
        <v>5078.1899999999996</v>
      </c>
      <c r="E532" t="s">
        <v>137</v>
      </c>
      <c r="F532" t="s">
        <v>39</v>
      </c>
      <c r="G532" t="s">
        <v>65</v>
      </c>
      <c r="H532" t="s">
        <v>138</v>
      </c>
      <c r="I532">
        <v>50</v>
      </c>
      <c r="J532" s="4">
        <f t="shared" si="33"/>
        <v>6.6947505541490093E-2</v>
      </c>
      <c r="K532" t="s">
        <v>43</v>
      </c>
    </row>
    <row r="533" spans="1:11" x14ac:dyDescent="0.35">
      <c r="A533" t="s">
        <v>136</v>
      </c>
      <c r="B533" t="s">
        <v>94</v>
      </c>
      <c r="C533">
        <v>2018</v>
      </c>
      <c r="D533" s="3">
        <v>5363.19</v>
      </c>
      <c r="E533" t="s">
        <v>137</v>
      </c>
      <c r="F533" t="s">
        <v>39</v>
      </c>
      <c r="G533" t="s">
        <v>65</v>
      </c>
      <c r="H533" t="s">
        <v>138</v>
      </c>
      <c r="I533">
        <v>51</v>
      </c>
      <c r="J533" s="4">
        <f t="shared" si="33"/>
        <v>5.6122358556887297E-2</v>
      </c>
      <c r="K533" t="s">
        <v>43</v>
      </c>
    </row>
    <row r="534" spans="1:11" x14ac:dyDescent="0.35">
      <c r="A534" t="s">
        <v>136</v>
      </c>
      <c r="B534" t="s">
        <v>94</v>
      </c>
      <c r="C534">
        <v>2019</v>
      </c>
      <c r="D534" s="3">
        <v>5625.21</v>
      </c>
      <c r="E534" t="s">
        <v>137</v>
      </c>
      <c r="F534" t="s">
        <v>39</v>
      </c>
      <c r="G534" t="s">
        <v>65</v>
      </c>
      <c r="H534" t="s">
        <v>138</v>
      </c>
      <c r="I534">
        <v>52</v>
      </c>
      <c r="J534" s="4">
        <f t="shared" si="33"/>
        <v>4.8855252191326581E-2</v>
      </c>
      <c r="K534" t="s">
        <v>43</v>
      </c>
    </row>
    <row r="535" spans="1:11" x14ac:dyDescent="0.35">
      <c r="A535" t="s">
        <v>136</v>
      </c>
      <c r="B535" t="s">
        <v>94</v>
      </c>
      <c r="C535">
        <v>2020</v>
      </c>
      <c r="D535" s="3">
        <v>5562.76</v>
      </c>
      <c r="E535" t="s">
        <v>137</v>
      </c>
      <c r="F535" t="s">
        <v>39</v>
      </c>
      <c r="G535" t="s">
        <v>40</v>
      </c>
      <c r="H535" t="s">
        <v>138</v>
      </c>
      <c r="I535">
        <v>53</v>
      </c>
      <c r="J535" s="4">
        <f t="shared" si="33"/>
        <v>-1.1101807754732684E-2</v>
      </c>
      <c r="K535" t="s">
        <v>43</v>
      </c>
    </row>
    <row r="536" spans="1:11" x14ac:dyDescent="0.35">
      <c r="A536" t="s">
        <v>136</v>
      </c>
      <c r="B536" t="s">
        <v>94</v>
      </c>
      <c r="C536">
        <v>2021</v>
      </c>
      <c r="D536" s="3">
        <v>6206.84</v>
      </c>
      <c r="E536" t="s">
        <v>137</v>
      </c>
      <c r="F536" t="s">
        <v>39</v>
      </c>
      <c r="G536" t="s">
        <v>40</v>
      </c>
      <c r="H536" t="s">
        <v>138</v>
      </c>
      <c r="I536">
        <v>54</v>
      </c>
      <c r="J536" s="4">
        <f t="shared" si="33"/>
        <v>0.1157842509833249</v>
      </c>
      <c r="K536" t="s">
        <v>43</v>
      </c>
    </row>
    <row r="537" spans="1:11" x14ac:dyDescent="0.35">
      <c r="A537" t="s">
        <v>136</v>
      </c>
      <c r="B537" t="s">
        <v>94</v>
      </c>
      <c r="C537">
        <v>2022</v>
      </c>
      <c r="D537" s="3">
        <v>6666.58</v>
      </c>
      <c r="E537" t="s">
        <v>137</v>
      </c>
      <c r="F537" t="s">
        <v>39</v>
      </c>
      <c r="G537" t="s">
        <v>40</v>
      </c>
      <c r="H537" t="s">
        <v>138</v>
      </c>
      <c r="I537">
        <v>55</v>
      </c>
      <c r="J537" s="4">
        <f t="shared" si="33"/>
        <v>7.406989708128453E-2</v>
      </c>
      <c r="K537" t="s">
        <v>43</v>
      </c>
    </row>
    <row r="538" spans="1:11" x14ac:dyDescent="0.35">
      <c r="A538" t="s">
        <v>136</v>
      </c>
      <c r="B538" t="s">
        <v>94</v>
      </c>
      <c r="C538">
        <v>2023</v>
      </c>
      <c r="D538" s="3">
        <v>7037.67</v>
      </c>
      <c r="E538" t="s">
        <v>137</v>
      </c>
      <c r="F538" t="s">
        <v>39</v>
      </c>
      <c r="G538" t="s">
        <v>40</v>
      </c>
      <c r="H538" t="s">
        <v>138</v>
      </c>
      <c r="I538">
        <v>56</v>
      </c>
      <c r="J538" s="4">
        <f t="shared" si="33"/>
        <v>5.5664223634907195E-2</v>
      </c>
      <c r="K538" t="s">
        <v>43</v>
      </c>
    </row>
    <row r="539" spans="1:11" x14ac:dyDescent="0.35">
      <c r="A539" t="s">
        <v>136</v>
      </c>
      <c r="B539" t="s">
        <v>94</v>
      </c>
      <c r="C539">
        <v>2024</v>
      </c>
      <c r="D539" s="3">
        <v>7352.45</v>
      </c>
      <c r="E539" t="s">
        <v>137</v>
      </c>
      <c r="F539" t="s">
        <v>39</v>
      </c>
      <c r="G539" t="s">
        <v>40</v>
      </c>
      <c r="H539" t="s">
        <v>138</v>
      </c>
      <c r="I539">
        <v>57</v>
      </c>
      <c r="J539" s="4">
        <f t="shared" si="33"/>
        <v>4.4727871582498135E-2</v>
      </c>
      <c r="K539" t="s">
        <v>43</v>
      </c>
    </row>
    <row r="540" spans="1:11" x14ac:dyDescent="0.35">
      <c r="A540" t="s">
        <v>136</v>
      </c>
      <c r="B540" t="s">
        <v>94</v>
      </c>
      <c r="C540">
        <v>2025</v>
      </c>
      <c r="D540" s="3">
        <v>7641.79</v>
      </c>
      <c r="E540" t="s">
        <v>137</v>
      </c>
      <c r="F540" t="s">
        <v>39</v>
      </c>
      <c r="G540" t="s">
        <v>40</v>
      </c>
      <c r="H540" t="s">
        <v>138</v>
      </c>
      <c r="I540">
        <v>58</v>
      </c>
      <c r="J540" s="4">
        <f t="shared" si="33"/>
        <v>3.935286877163402E-2</v>
      </c>
      <c r="K540" t="s">
        <v>43</v>
      </c>
    </row>
    <row r="541" spans="1:11" x14ac:dyDescent="0.35">
      <c r="A541" t="s">
        <v>136</v>
      </c>
      <c r="B541" t="s">
        <v>94</v>
      </c>
      <c r="C541">
        <v>2026</v>
      </c>
      <c r="D541" s="3">
        <v>8078.77</v>
      </c>
      <c r="E541" t="s">
        <v>137</v>
      </c>
      <c r="F541" t="s">
        <v>44</v>
      </c>
      <c r="G541" t="s">
        <v>40</v>
      </c>
      <c r="H541" t="s">
        <v>138</v>
      </c>
      <c r="I541">
        <v>59</v>
      </c>
      <c r="J541" s="4">
        <f t="shared" si="33"/>
        <v>5.7182937505479758E-2</v>
      </c>
      <c r="K541" t="s">
        <v>43</v>
      </c>
    </row>
    <row r="542" spans="1:11" x14ac:dyDescent="0.35">
      <c r="A542" t="s">
        <v>136</v>
      </c>
      <c r="B542" t="s">
        <v>94</v>
      </c>
      <c r="C542">
        <v>2027</v>
      </c>
      <c r="D542" s="3">
        <v>8503.4</v>
      </c>
      <c r="E542" t="s">
        <v>137</v>
      </c>
      <c r="F542" t="s">
        <v>44</v>
      </c>
      <c r="G542" t="s">
        <v>40</v>
      </c>
      <c r="H542" t="s">
        <v>138</v>
      </c>
      <c r="I542">
        <v>60</v>
      </c>
      <c r="J542" s="4">
        <f t="shared" si="33"/>
        <v>5.2561219096471268E-2</v>
      </c>
      <c r="K542" t="s">
        <v>43</v>
      </c>
    </row>
    <row r="543" spans="1:11" x14ac:dyDescent="0.35">
      <c r="A543" t="s">
        <v>136</v>
      </c>
      <c r="B543" t="s">
        <v>94</v>
      </c>
      <c r="C543">
        <v>2028</v>
      </c>
      <c r="D543" s="3">
        <v>8985.6299999999992</v>
      </c>
      <c r="E543" t="s">
        <v>137</v>
      </c>
      <c r="F543" t="s">
        <v>44</v>
      </c>
      <c r="G543" t="s">
        <v>40</v>
      </c>
      <c r="H543" t="s">
        <v>138</v>
      </c>
      <c r="I543">
        <v>61</v>
      </c>
      <c r="J543" s="4">
        <f t="shared" si="33"/>
        <v>5.6710257073641079E-2</v>
      </c>
      <c r="K543" t="s">
        <v>43</v>
      </c>
    </row>
    <row r="544" spans="1:11" x14ac:dyDescent="0.35">
      <c r="A544" t="s">
        <v>136</v>
      </c>
      <c r="B544" t="s">
        <v>94</v>
      </c>
      <c r="C544">
        <v>2029</v>
      </c>
      <c r="D544" s="3">
        <v>9568.1</v>
      </c>
      <c r="E544" t="s">
        <v>137</v>
      </c>
      <c r="F544" t="s">
        <v>44</v>
      </c>
      <c r="G544" t="s">
        <v>40</v>
      </c>
      <c r="H544" t="s">
        <v>138</v>
      </c>
      <c r="I544">
        <v>62</v>
      </c>
      <c r="J544" s="4">
        <f t="shared" si="33"/>
        <v>6.4822388636077921E-2</v>
      </c>
      <c r="K544" t="s">
        <v>43</v>
      </c>
    </row>
    <row r="545" spans="1:13" x14ac:dyDescent="0.35">
      <c r="A545" t="s">
        <v>136</v>
      </c>
      <c r="B545" t="s">
        <v>94</v>
      </c>
      <c r="C545">
        <v>2030</v>
      </c>
      <c r="D545" s="3">
        <v>10219.44</v>
      </c>
      <c r="E545" t="s">
        <v>137</v>
      </c>
      <c r="F545" t="s">
        <v>44</v>
      </c>
      <c r="G545" t="s">
        <v>40</v>
      </c>
      <c r="H545" t="s">
        <v>138</v>
      </c>
      <c r="I545">
        <v>63</v>
      </c>
      <c r="J545" s="4">
        <f t="shared" si="33"/>
        <v>6.8074121298899559E-2</v>
      </c>
      <c r="K545" t="s">
        <v>43</v>
      </c>
    </row>
    <row r="546" spans="1:13" x14ac:dyDescent="0.35">
      <c r="A546" t="s">
        <v>139</v>
      </c>
      <c r="B546" t="s">
        <v>94</v>
      </c>
      <c r="C546">
        <v>2015</v>
      </c>
      <c r="D546" s="3">
        <v>1078.1199999999999</v>
      </c>
      <c r="E546" t="s">
        <v>140</v>
      </c>
      <c r="F546" t="s">
        <v>39</v>
      </c>
      <c r="G546" t="s">
        <v>59</v>
      </c>
      <c r="H546" t="s">
        <v>138</v>
      </c>
      <c r="I546">
        <v>128</v>
      </c>
      <c r="K546" t="s">
        <v>42</v>
      </c>
    </row>
    <row r="547" spans="1:13" x14ac:dyDescent="0.35">
      <c r="A547" t="s">
        <v>139</v>
      </c>
      <c r="B547" t="s">
        <v>94</v>
      </c>
      <c r="C547">
        <v>2016</v>
      </c>
      <c r="D547" s="3">
        <v>1094.25</v>
      </c>
      <c r="E547" t="s">
        <v>140</v>
      </c>
      <c r="F547" t="s">
        <v>39</v>
      </c>
      <c r="G547" t="s">
        <v>52</v>
      </c>
      <c r="H547" t="s">
        <v>138</v>
      </c>
      <c r="I547">
        <v>129</v>
      </c>
      <c r="J547" s="4">
        <f t="shared" ref="J547:J556" si="34">IF(D546=0,"",D547/D546-1)</f>
        <v>1.4961228805698834E-2</v>
      </c>
      <c r="K547" t="s">
        <v>43</v>
      </c>
    </row>
    <row r="548" spans="1:13" x14ac:dyDescent="0.35">
      <c r="A548" t="s">
        <v>139</v>
      </c>
      <c r="B548" t="s">
        <v>94</v>
      </c>
      <c r="C548">
        <v>2017</v>
      </c>
      <c r="D548" s="3">
        <v>1148.9000000000001</v>
      </c>
      <c r="E548" t="s">
        <v>140</v>
      </c>
      <c r="F548" t="s">
        <v>39</v>
      </c>
      <c r="G548" t="s">
        <v>59</v>
      </c>
      <c r="H548" t="s">
        <v>138</v>
      </c>
      <c r="I548">
        <v>130</v>
      </c>
      <c r="J548" s="4">
        <f t="shared" si="34"/>
        <v>4.994288325336993E-2</v>
      </c>
      <c r="K548" t="s">
        <v>43</v>
      </c>
    </row>
    <row r="549" spans="1:13" x14ac:dyDescent="0.35">
      <c r="A549" t="s">
        <v>139</v>
      </c>
      <c r="B549" t="s">
        <v>94</v>
      </c>
      <c r="C549">
        <v>2018</v>
      </c>
      <c r="D549" s="3">
        <v>1195.24</v>
      </c>
      <c r="E549" t="s">
        <v>140</v>
      </c>
      <c r="F549" t="s">
        <v>39</v>
      </c>
      <c r="G549" t="s">
        <v>52</v>
      </c>
      <c r="H549" t="s">
        <v>138</v>
      </c>
      <c r="I549">
        <v>131</v>
      </c>
      <c r="J549" s="4">
        <f t="shared" si="34"/>
        <v>4.0334232744364096E-2</v>
      </c>
      <c r="K549" t="s">
        <v>43</v>
      </c>
    </row>
    <row r="550" spans="1:13" x14ac:dyDescent="0.35">
      <c r="A550" t="s">
        <v>139</v>
      </c>
      <c r="B550" t="s">
        <v>94</v>
      </c>
      <c r="C550">
        <v>2019</v>
      </c>
      <c r="D550" s="3">
        <v>1239.8399999999999</v>
      </c>
      <c r="E550" t="s">
        <v>140</v>
      </c>
      <c r="F550" t="s">
        <v>39</v>
      </c>
      <c r="G550" t="s">
        <v>59</v>
      </c>
      <c r="H550" t="s">
        <v>138</v>
      </c>
      <c r="I550">
        <v>132</v>
      </c>
      <c r="J550" s="4">
        <f t="shared" si="34"/>
        <v>3.7314681570228547E-2</v>
      </c>
      <c r="K550" t="s">
        <v>43</v>
      </c>
    </row>
    <row r="551" spans="1:13" x14ac:dyDescent="0.35">
      <c r="A551" t="s">
        <v>139</v>
      </c>
      <c r="B551" t="s">
        <v>94</v>
      </c>
      <c r="C551">
        <v>2020</v>
      </c>
      <c r="D551" s="3">
        <v>1152.48</v>
      </c>
      <c r="E551" t="s">
        <v>140</v>
      </c>
      <c r="F551" t="s">
        <v>39</v>
      </c>
      <c r="G551" t="s">
        <v>52</v>
      </c>
      <c r="H551" t="s">
        <v>138</v>
      </c>
      <c r="I551">
        <v>133</v>
      </c>
      <c r="J551" s="4">
        <f t="shared" si="34"/>
        <v>-7.046070460704601E-2</v>
      </c>
      <c r="K551" t="s">
        <v>43</v>
      </c>
    </row>
    <row r="552" spans="1:13" x14ac:dyDescent="0.35">
      <c r="A552" t="s">
        <v>139</v>
      </c>
      <c r="B552" t="s">
        <v>94</v>
      </c>
      <c r="C552">
        <v>2021</v>
      </c>
      <c r="D552" s="3">
        <v>1276.56</v>
      </c>
      <c r="E552" t="s">
        <v>140</v>
      </c>
      <c r="F552" t="s">
        <v>39</v>
      </c>
      <c r="G552" t="s">
        <v>52</v>
      </c>
      <c r="H552" t="s">
        <v>138</v>
      </c>
      <c r="I552">
        <v>134</v>
      </c>
      <c r="J552" s="4">
        <f t="shared" si="34"/>
        <v>0.10766347355268624</v>
      </c>
      <c r="K552" t="s">
        <v>43</v>
      </c>
    </row>
    <row r="553" spans="1:13" x14ac:dyDescent="0.35">
      <c r="A553" t="s">
        <v>139</v>
      </c>
      <c r="B553" t="s">
        <v>94</v>
      </c>
      <c r="C553">
        <v>2022</v>
      </c>
      <c r="D553" s="3">
        <v>1333.54</v>
      </c>
      <c r="E553" t="s">
        <v>140</v>
      </c>
      <c r="F553" t="s">
        <v>39</v>
      </c>
      <c r="G553" t="s">
        <v>59</v>
      </c>
      <c r="H553" t="s">
        <v>138</v>
      </c>
      <c r="I553">
        <v>135</v>
      </c>
      <c r="J553" s="4">
        <f t="shared" si="34"/>
        <v>4.4635583129660983E-2</v>
      </c>
      <c r="K553" t="s">
        <v>43</v>
      </c>
    </row>
    <row r="554" spans="1:13" x14ac:dyDescent="0.35">
      <c r="A554" t="s">
        <v>139</v>
      </c>
      <c r="B554" t="s">
        <v>94</v>
      </c>
      <c r="C554">
        <v>2023</v>
      </c>
      <c r="D554" s="3">
        <v>1485.64</v>
      </c>
      <c r="E554" t="s">
        <v>140</v>
      </c>
      <c r="F554" t="s">
        <v>39</v>
      </c>
      <c r="G554" t="s">
        <v>52</v>
      </c>
      <c r="H554" t="s">
        <v>138</v>
      </c>
      <c r="I554">
        <v>136</v>
      </c>
      <c r="J554" s="4">
        <f t="shared" si="34"/>
        <v>0.11405732111522715</v>
      </c>
      <c r="K554" t="s">
        <v>43</v>
      </c>
    </row>
    <row r="555" spans="1:13" x14ac:dyDescent="0.35">
      <c r="A555" t="s">
        <v>139</v>
      </c>
      <c r="B555" t="s">
        <v>94</v>
      </c>
      <c r="C555">
        <v>2024</v>
      </c>
      <c r="D555" s="3">
        <v>1614.57</v>
      </c>
      <c r="E555" t="s">
        <v>140</v>
      </c>
      <c r="F555" t="s">
        <v>39</v>
      </c>
      <c r="G555" t="s">
        <v>52</v>
      </c>
      <c r="H555" t="s">
        <v>138</v>
      </c>
      <c r="I555">
        <v>137</v>
      </c>
      <c r="J555" s="4">
        <f t="shared" si="34"/>
        <v>8.6784146899652637E-2</v>
      </c>
      <c r="K555" t="s">
        <v>43</v>
      </c>
    </row>
    <row r="556" spans="1:13" x14ac:dyDescent="0.35">
      <c r="A556" t="s">
        <v>139</v>
      </c>
      <c r="B556" t="s">
        <v>94</v>
      </c>
      <c r="C556">
        <v>2025</v>
      </c>
      <c r="D556" s="3">
        <v>1720.2</v>
      </c>
      <c r="E556" t="s">
        <v>140</v>
      </c>
      <c r="F556" t="s">
        <v>39</v>
      </c>
      <c r="G556" t="s">
        <v>52</v>
      </c>
      <c r="H556" t="s">
        <v>138</v>
      </c>
      <c r="I556">
        <v>138</v>
      </c>
      <c r="J556" s="4">
        <f t="shared" si="34"/>
        <v>6.5422991880191184E-2</v>
      </c>
      <c r="K556" t="s">
        <v>43</v>
      </c>
    </row>
    <row r="557" spans="1:13" x14ac:dyDescent="0.35">
      <c r="A557" s="8" t="s">
        <v>139</v>
      </c>
      <c r="B557" s="8" t="s">
        <v>94</v>
      </c>
      <c r="C557" s="8">
        <v>2026</v>
      </c>
      <c r="D557" s="9">
        <v>1901.43</v>
      </c>
      <c r="E557" s="8" t="s">
        <v>140</v>
      </c>
      <c r="F557" s="8" t="s">
        <v>44</v>
      </c>
      <c r="G557" s="8" t="s">
        <v>40</v>
      </c>
      <c r="H557" s="8" t="s">
        <v>138</v>
      </c>
      <c r="I557" s="8">
        <v>139</v>
      </c>
      <c r="J557" s="10">
        <f>(1+L557)*(1+IAS29_test!N37)-1</f>
        <v>5.3181399999999934E-2</v>
      </c>
      <c r="K557" s="8" t="s">
        <v>116</v>
      </c>
      <c r="L557" s="10">
        <v>4.6899999999999997E-2</v>
      </c>
      <c r="M557" s="8" t="s">
        <v>141</v>
      </c>
    </row>
    <row r="558" spans="1:13" x14ac:dyDescent="0.35">
      <c r="A558" t="s">
        <v>139</v>
      </c>
      <c r="B558" t="s">
        <v>94</v>
      </c>
      <c r="C558">
        <v>2027</v>
      </c>
      <c r="D558" s="3">
        <v>1992.36</v>
      </c>
      <c r="E558" t="s">
        <v>140</v>
      </c>
      <c r="F558" t="s">
        <v>44</v>
      </c>
      <c r="G558" t="s">
        <v>40</v>
      </c>
      <c r="H558" t="s">
        <v>138</v>
      </c>
      <c r="I558">
        <v>140</v>
      </c>
      <c r="J558" s="4">
        <f>IF(D557=0,"",D558/D557-1)</f>
        <v>4.7821902462883203E-2</v>
      </c>
      <c r="K558" t="s">
        <v>43</v>
      </c>
    </row>
    <row r="559" spans="1:13" x14ac:dyDescent="0.35">
      <c r="A559" t="s">
        <v>139</v>
      </c>
      <c r="B559" t="s">
        <v>94</v>
      </c>
      <c r="C559">
        <v>2028</v>
      </c>
      <c r="D559" s="3">
        <v>2096.66</v>
      </c>
      <c r="E559" t="s">
        <v>140</v>
      </c>
      <c r="F559" t="s">
        <v>44</v>
      </c>
      <c r="G559" t="s">
        <v>40</v>
      </c>
      <c r="H559" t="s">
        <v>138</v>
      </c>
      <c r="I559">
        <v>141</v>
      </c>
      <c r="J559" s="4">
        <f>IF(D558=0,"",D559/D558-1)</f>
        <v>5.2349976911802987E-2</v>
      </c>
      <c r="K559" t="s">
        <v>43</v>
      </c>
    </row>
    <row r="560" spans="1:13" x14ac:dyDescent="0.35">
      <c r="A560" t="s">
        <v>139</v>
      </c>
      <c r="B560" t="s">
        <v>94</v>
      </c>
      <c r="C560">
        <v>2029</v>
      </c>
      <c r="D560" s="3">
        <v>2208.83</v>
      </c>
      <c r="E560" t="s">
        <v>140</v>
      </c>
      <c r="F560" t="s">
        <v>44</v>
      </c>
      <c r="G560" t="s">
        <v>40</v>
      </c>
      <c r="H560" t="s">
        <v>138</v>
      </c>
      <c r="I560">
        <v>142</v>
      </c>
      <c r="J560" s="4">
        <f>IF(D559=0,"",D560/D559-1)</f>
        <v>5.3499375196741417E-2</v>
      </c>
      <c r="K560" t="s">
        <v>43</v>
      </c>
    </row>
    <row r="561" spans="1:11" x14ac:dyDescent="0.35">
      <c r="A561" t="s">
        <v>139</v>
      </c>
      <c r="B561" t="s">
        <v>94</v>
      </c>
      <c r="C561">
        <v>2030</v>
      </c>
      <c r="D561" s="3">
        <v>2372.3200000000002</v>
      </c>
      <c r="E561" t="s">
        <v>140</v>
      </c>
      <c r="F561" t="s">
        <v>44</v>
      </c>
      <c r="G561" t="s">
        <v>40</v>
      </c>
      <c r="H561" t="s">
        <v>138</v>
      </c>
      <c r="I561">
        <v>143</v>
      </c>
      <c r="J561" s="4">
        <f>IF(D560=0,"",D561/D560-1)</f>
        <v>7.4016560803683573E-2</v>
      </c>
      <c r="K561" t="s">
        <v>43</v>
      </c>
    </row>
    <row r="562" spans="1:11" x14ac:dyDescent="0.35">
      <c r="A562" t="s">
        <v>142</v>
      </c>
      <c r="B562" t="s">
        <v>94</v>
      </c>
      <c r="C562">
        <v>2015</v>
      </c>
      <c r="D562" s="3">
        <v>89.8</v>
      </c>
      <c r="E562" t="s">
        <v>143</v>
      </c>
      <c r="F562" t="s">
        <v>39</v>
      </c>
      <c r="G562" t="s">
        <v>59</v>
      </c>
      <c r="H562" t="s">
        <v>138</v>
      </c>
      <c r="I562">
        <v>208</v>
      </c>
      <c r="K562" t="s">
        <v>42</v>
      </c>
    </row>
    <row r="563" spans="1:11" x14ac:dyDescent="0.35">
      <c r="A563" t="s">
        <v>142</v>
      </c>
      <c r="B563" t="s">
        <v>94</v>
      </c>
      <c r="C563">
        <v>2016</v>
      </c>
      <c r="D563" s="3">
        <v>95.29</v>
      </c>
      <c r="E563" t="s">
        <v>143</v>
      </c>
      <c r="F563" t="s">
        <v>39</v>
      </c>
      <c r="G563" t="s">
        <v>59</v>
      </c>
      <c r="H563" t="s">
        <v>138</v>
      </c>
      <c r="I563">
        <v>209</v>
      </c>
      <c r="J563" s="4">
        <f t="shared" ref="J563:J577" si="35">IF(D562=0,"",D563/D562-1)</f>
        <v>6.1135857461024568E-2</v>
      </c>
      <c r="K563" t="s">
        <v>43</v>
      </c>
    </row>
    <row r="564" spans="1:11" x14ac:dyDescent="0.35">
      <c r="A564" t="s">
        <v>142</v>
      </c>
      <c r="B564" t="s">
        <v>94</v>
      </c>
      <c r="C564">
        <v>2017</v>
      </c>
      <c r="D564" s="3">
        <v>102.01</v>
      </c>
      <c r="E564" t="s">
        <v>143</v>
      </c>
      <c r="F564" t="s">
        <v>39</v>
      </c>
      <c r="G564" t="s">
        <v>59</v>
      </c>
      <c r="H564" t="s">
        <v>138</v>
      </c>
      <c r="I564">
        <v>210</v>
      </c>
      <c r="J564" s="4">
        <f t="shared" si="35"/>
        <v>7.0521565746668013E-2</v>
      </c>
      <c r="K564" t="s">
        <v>43</v>
      </c>
    </row>
    <row r="565" spans="1:11" x14ac:dyDescent="0.35">
      <c r="A565" t="s">
        <v>142</v>
      </c>
      <c r="B565" t="s">
        <v>94</v>
      </c>
      <c r="C565">
        <v>2018</v>
      </c>
      <c r="D565" s="3">
        <v>112.99</v>
      </c>
      <c r="E565" t="s">
        <v>143</v>
      </c>
      <c r="F565" t="s">
        <v>39</v>
      </c>
      <c r="G565" t="s">
        <v>59</v>
      </c>
      <c r="H565" t="s">
        <v>138</v>
      </c>
      <c r="I565">
        <v>211</v>
      </c>
      <c r="J565" s="4">
        <f t="shared" si="35"/>
        <v>0.10763650622487986</v>
      </c>
      <c r="K565" t="s">
        <v>43</v>
      </c>
    </row>
    <row r="566" spans="1:11" x14ac:dyDescent="0.35">
      <c r="A566" t="s">
        <v>142</v>
      </c>
      <c r="B566" t="s">
        <v>94</v>
      </c>
      <c r="C566">
        <v>2019</v>
      </c>
      <c r="D566" s="3">
        <v>122.97</v>
      </c>
      <c r="E566" t="s">
        <v>143</v>
      </c>
      <c r="F566" t="s">
        <v>39</v>
      </c>
      <c r="G566" t="s">
        <v>59</v>
      </c>
      <c r="H566" t="s">
        <v>138</v>
      </c>
      <c r="I566">
        <v>212</v>
      </c>
      <c r="J566" s="4">
        <f t="shared" si="35"/>
        <v>8.8326400566421936E-2</v>
      </c>
      <c r="K566" t="s">
        <v>43</v>
      </c>
    </row>
    <row r="567" spans="1:11" x14ac:dyDescent="0.35">
      <c r="A567" t="s">
        <v>142</v>
      </c>
      <c r="B567" t="s">
        <v>94</v>
      </c>
      <c r="C567">
        <v>2020</v>
      </c>
      <c r="D567" s="3">
        <v>119.5</v>
      </c>
      <c r="E567" t="s">
        <v>143</v>
      </c>
      <c r="F567" t="s">
        <v>39</v>
      </c>
      <c r="G567" t="s">
        <v>59</v>
      </c>
      <c r="H567" t="s">
        <v>138</v>
      </c>
      <c r="I567">
        <v>213</v>
      </c>
      <c r="J567" s="4">
        <f t="shared" si="35"/>
        <v>-2.8218264617386302E-2</v>
      </c>
      <c r="K567" t="s">
        <v>43</v>
      </c>
    </row>
    <row r="568" spans="1:11" x14ac:dyDescent="0.35">
      <c r="A568" t="s">
        <v>142</v>
      </c>
      <c r="B568" t="s">
        <v>94</v>
      </c>
      <c r="C568">
        <v>2021</v>
      </c>
      <c r="D568" s="3">
        <v>131.54</v>
      </c>
      <c r="E568" t="s">
        <v>143</v>
      </c>
      <c r="F568" t="s">
        <v>39</v>
      </c>
      <c r="G568" t="s">
        <v>59</v>
      </c>
      <c r="H568" t="s">
        <v>138</v>
      </c>
      <c r="I568">
        <v>214</v>
      </c>
      <c r="J568" s="4">
        <f t="shared" si="35"/>
        <v>0.10075313807531372</v>
      </c>
      <c r="K568" t="s">
        <v>43</v>
      </c>
    </row>
    <row r="569" spans="1:11" x14ac:dyDescent="0.35">
      <c r="A569" t="s">
        <v>142</v>
      </c>
      <c r="B569" t="s">
        <v>94</v>
      </c>
      <c r="C569">
        <v>2022</v>
      </c>
      <c r="D569" s="3">
        <v>139.44</v>
      </c>
      <c r="E569" t="s">
        <v>143</v>
      </c>
      <c r="F569" t="s">
        <v>39</v>
      </c>
      <c r="G569" t="s">
        <v>59</v>
      </c>
      <c r="H569" t="s">
        <v>138</v>
      </c>
      <c r="I569">
        <v>215</v>
      </c>
      <c r="J569" s="4">
        <f t="shared" si="35"/>
        <v>6.0057777102022314E-2</v>
      </c>
      <c r="K569" t="s">
        <v>43</v>
      </c>
    </row>
    <row r="570" spans="1:11" x14ac:dyDescent="0.35">
      <c r="A570" t="s">
        <v>142</v>
      </c>
      <c r="B570" t="s">
        <v>94</v>
      </c>
      <c r="C570">
        <v>2023</v>
      </c>
      <c r="D570" s="3">
        <v>149.79</v>
      </c>
      <c r="E570" t="s">
        <v>143</v>
      </c>
      <c r="F570" t="s">
        <v>39</v>
      </c>
      <c r="G570" t="s">
        <v>59</v>
      </c>
      <c r="H570" t="s">
        <v>138</v>
      </c>
      <c r="I570">
        <v>216</v>
      </c>
      <c r="J570" s="4">
        <f t="shared" si="35"/>
        <v>7.4225473321858804E-2</v>
      </c>
      <c r="K570" t="s">
        <v>43</v>
      </c>
    </row>
    <row r="571" spans="1:11" x14ac:dyDescent="0.35">
      <c r="A571" t="s">
        <v>142</v>
      </c>
      <c r="B571" t="s">
        <v>94</v>
      </c>
      <c r="C571">
        <v>2024</v>
      </c>
      <c r="D571" s="3">
        <v>159.85</v>
      </c>
      <c r="E571" t="s">
        <v>143</v>
      </c>
      <c r="F571" t="s">
        <v>39</v>
      </c>
      <c r="G571" t="s">
        <v>59</v>
      </c>
      <c r="H571" t="s">
        <v>138</v>
      </c>
      <c r="I571">
        <v>217</v>
      </c>
      <c r="J571" s="4">
        <f t="shared" si="35"/>
        <v>6.7160691634955638E-2</v>
      </c>
      <c r="K571" t="s">
        <v>43</v>
      </c>
    </row>
    <row r="572" spans="1:11" x14ac:dyDescent="0.35">
      <c r="A572" t="s">
        <v>142</v>
      </c>
      <c r="B572" t="s">
        <v>94</v>
      </c>
      <c r="C572">
        <v>2025</v>
      </c>
      <c r="D572" s="3">
        <v>171.64</v>
      </c>
      <c r="E572" t="s">
        <v>143</v>
      </c>
      <c r="F572" t="s">
        <v>39</v>
      </c>
      <c r="G572" t="s">
        <v>59</v>
      </c>
      <c r="H572" t="s">
        <v>138</v>
      </c>
      <c r="I572">
        <v>218</v>
      </c>
      <c r="J572" s="4">
        <f t="shared" si="35"/>
        <v>7.375664685642791E-2</v>
      </c>
      <c r="K572" t="s">
        <v>43</v>
      </c>
    </row>
    <row r="573" spans="1:11" x14ac:dyDescent="0.35">
      <c r="A573" t="s">
        <v>142</v>
      </c>
      <c r="B573" t="s">
        <v>94</v>
      </c>
      <c r="C573">
        <v>2026</v>
      </c>
      <c r="D573" s="3">
        <v>181.53</v>
      </c>
      <c r="E573" t="s">
        <v>143</v>
      </c>
      <c r="F573" t="s">
        <v>44</v>
      </c>
      <c r="G573" t="s">
        <v>65</v>
      </c>
      <c r="H573" t="s">
        <v>138</v>
      </c>
      <c r="I573">
        <v>219</v>
      </c>
      <c r="J573" s="4">
        <f t="shared" si="35"/>
        <v>5.7620601258447923E-2</v>
      </c>
      <c r="K573" t="s">
        <v>43</v>
      </c>
    </row>
    <row r="574" spans="1:11" x14ac:dyDescent="0.35">
      <c r="A574" t="s">
        <v>142</v>
      </c>
      <c r="B574" t="s">
        <v>94</v>
      </c>
      <c r="C574">
        <v>2027</v>
      </c>
      <c r="D574" s="3">
        <v>198.23</v>
      </c>
      <c r="E574" t="s">
        <v>143</v>
      </c>
      <c r="F574" t="s">
        <v>44</v>
      </c>
      <c r="G574" t="s">
        <v>65</v>
      </c>
      <c r="H574" t="s">
        <v>138</v>
      </c>
      <c r="I574">
        <v>220</v>
      </c>
      <c r="J574" s="4">
        <f t="shared" si="35"/>
        <v>9.1995813364182055E-2</v>
      </c>
      <c r="K574" t="s">
        <v>43</v>
      </c>
    </row>
    <row r="575" spans="1:11" x14ac:dyDescent="0.35">
      <c r="A575" t="s">
        <v>142</v>
      </c>
      <c r="B575" t="s">
        <v>94</v>
      </c>
      <c r="C575">
        <v>2028</v>
      </c>
      <c r="D575" s="3">
        <v>214.54</v>
      </c>
      <c r="E575" t="s">
        <v>143</v>
      </c>
      <c r="F575" t="s">
        <v>44</v>
      </c>
      <c r="G575" t="s">
        <v>65</v>
      </c>
      <c r="H575" t="s">
        <v>138</v>
      </c>
      <c r="I575">
        <v>221</v>
      </c>
      <c r="J575" s="4">
        <f t="shared" si="35"/>
        <v>8.2278161731322186E-2</v>
      </c>
      <c r="K575" t="s">
        <v>43</v>
      </c>
    </row>
    <row r="576" spans="1:11" x14ac:dyDescent="0.35">
      <c r="A576" t="s">
        <v>142</v>
      </c>
      <c r="B576" t="s">
        <v>94</v>
      </c>
      <c r="C576">
        <v>2029</v>
      </c>
      <c r="D576" s="3">
        <v>228.84</v>
      </c>
      <c r="E576" t="s">
        <v>143</v>
      </c>
      <c r="F576" t="s">
        <v>44</v>
      </c>
      <c r="G576" t="s">
        <v>65</v>
      </c>
      <c r="H576" t="s">
        <v>138</v>
      </c>
      <c r="I576">
        <v>222</v>
      </c>
      <c r="J576" s="4">
        <f t="shared" si="35"/>
        <v>6.6654236972126357E-2</v>
      </c>
      <c r="K576" t="s">
        <v>43</v>
      </c>
    </row>
    <row r="577" spans="1:11" x14ac:dyDescent="0.35">
      <c r="A577" t="s">
        <v>142</v>
      </c>
      <c r="B577" t="s">
        <v>94</v>
      </c>
      <c r="C577">
        <v>2030</v>
      </c>
      <c r="D577" s="3">
        <v>240.03</v>
      </c>
      <c r="E577" t="s">
        <v>143</v>
      </c>
      <c r="F577" t="s">
        <v>44</v>
      </c>
      <c r="G577" t="s">
        <v>65</v>
      </c>
      <c r="H577" t="s">
        <v>138</v>
      </c>
      <c r="I577">
        <v>223</v>
      </c>
      <c r="J577" s="4">
        <f t="shared" si="35"/>
        <v>4.8898793917147243E-2</v>
      </c>
      <c r="K577" t="s">
        <v>43</v>
      </c>
    </row>
    <row r="578" spans="1:11" x14ac:dyDescent="0.35">
      <c r="A578" t="s">
        <v>144</v>
      </c>
      <c r="B578" t="s">
        <v>94</v>
      </c>
      <c r="C578">
        <v>2015</v>
      </c>
      <c r="D578" s="3">
        <v>1087.1099999999999</v>
      </c>
      <c r="E578" t="s">
        <v>104</v>
      </c>
      <c r="F578" t="s">
        <v>145</v>
      </c>
      <c r="G578" t="s">
        <v>62</v>
      </c>
      <c r="H578" t="s">
        <v>146</v>
      </c>
      <c r="I578">
        <v>616</v>
      </c>
      <c r="K578" t="s">
        <v>42</v>
      </c>
    </row>
    <row r="579" spans="1:11" x14ac:dyDescent="0.35">
      <c r="A579" t="s">
        <v>144</v>
      </c>
      <c r="B579" t="s">
        <v>94</v>
      </c>
      <c r="C579">
        <v>2016</v>
      </c>
      <c r="D579" s="3">
        <v>1122.97</v>
      </c>
      <c r="E579" t="s">
        <v>104</v>
      </c>
      <c r="F579" t="s">
        <v>145</v>
      </c>
      <c r="G579" t="s">
        <v>62</v>
      </c>
      <c r="H579" t="s">
        <v>146</v>
      </c>
      <c r="I579">
        <v>617</v>
      </c>
      <c r="J579" s="4">
        <f t="shared" ref="J579:J593" si="36">IF(D578=0,"",D579/D578-1)</f>
        <v>3.2986542300227351E-2</v>
      </c>
      <c r="K579" t="s">
        <v>43</v>
      </c>
    </row>
    <row r="580" spans="1:11" x14ac:dyDescent="0.35">
      <c r="A580" t="s">
        <v>144</v>
      </c>
      <c r="B580" t="s">
        <v>94</v>
      </c>
      <c r="C580">
        <v>2017</v>
      </c>
      <c r="D580" s="3">
        <v>1170.02</v>
      </c>
      <c r="E580" t="s">
        <v>104</v>
      </c>
      <c r="F580" t="s">
        <v>145</v>
      </c>
      <c r="G580" t="s">
        <v>62</v>
      </c>
      <c r="H580" t="s">
        <v>146</v>
      </c>
      <c r="I580">
        <v>618</v>
      </c>
      <c r="J580" s="4">
        <f t="shared" si="36"/>
        <v>4.1897824518909665E-2</v>
      </c>
      <c r="K580" t="s">
        <v>43</v>
      </c>
    </row>
    <row r="581" spans="1:11" x14ac:dyDescent="0.35">
      <c r="A581" t="s">
        <v>144</v>
      </c>
      <c r="B581" t="s">
        <v>94</v>
      </c>
      <c r="C581">
        <v>2018</v>
      </c>
      <c r="D581" s="3">
        <v>1212.28</v>
      </c>
      <c r="E581" t="s">
        <v>104</v>
      </c>
      <c r="F581" t="s">
        <v>145</v>
      </c>
      <c r="G581" t="s">
        <v>62</v>
      </c>
      <c r="H581" t="s">
        <v>146</v>
      </c>
      <c r="I581">
        <v>619</v>
      </c>
      <c r="J581" s="4">
        <f t="shared" si="36"/>
        <v>3.6119040700159033E-2</v>
      </c>
      <c r="K581" t="s">
        <v>43</v>
      </c>
    </row>
    <row r="582" spans="1:11" x14ac:dyDescent="0.35">
      <c r="A582" t="s">
        <v>144</v>
      </c>
      <c r="B582" t="s">
        <v>94</v>
      </c>
      <c r="C582">
        <v>2019</v>
      </c>
      <c r="D582" s="3">
        <v>1253.71</v>
      </c>
      <c r="E582" t="s">
        <v>104</v>
      </c>
      <c r="F582" t="s">
        <v>145</v>
      </c>
      <c r="G582" t="s">
        <v>62</v>
      </c>
      <c r="H582" t="s">
        <v>146</v>
      </c>
      <c r="I582">
        <v>620</v>
      </c>
      <c r="J582" s="4">
        <f t="shared" si="36"/>
        <v>3.4175273039231957E-2</v>
      </c>
      <c r="K582" t="s">
        <v>43</v>
      </c>
    </row>
    <row r="583" spans="1:11" x14ac:dyDescent="0.35">
      <c r="A583" t="s">
        <v>144</v>
      </c>
      <c r="B583" t="s">
        <v>94</v>
      </c>
      <c r="C583">
        <v>2020</v>
      </c>
      <c r="D583" s="3">
        <v>1129.21</v>
      </c>
      <c r="E583" t="s">
        <v>104</v>
      </c>
      <c r="F583" t="s">
        <v>145</v>
      </c>
      <c r="G583" t="s">
        <v>59</v>
      </c>
      <c r="H583" t="s">
        <v>146</v>
      </c>
      <c r="I583">
        <v>621</v>
      </c>
      <c r="J583" s="4">
        <f t="shared" si="36"/>
        <v>-9.9305261982436166E-2</v>
      </c>
      <c r="K583" t="s">
        <v>43</v>
      </c>
    </row>
    <row r="584" spans="1:11" x14ac:dyDescent="0.35">
      <c r="A584" t="s">
        <v>144</v>
      </c>
      <c r="B584" t="s">
        <v>94</v>
      </c>
      <c r="C584">
        <v>2021</v>
      </c>
      <c r="D584" s="3">
        <v>1235.47</v>
      </c>
      <c r="E584" t="s">
        <v>104</v>
      </c>
      <c r="F584" t="s">
        <v>145</v>
      </c>
      <c r="G584" t="s">
        <v>59</v>
      </c>
      <c r="H584" t="s">
        <v>146</v>
      </c>
      <c r="I584">
        <v>622</v>
      </c>
      <c r="J584" s="4">
        <f t="shared" si="36"/>
        <v>9.4101185784752239E-2</v>
      </c>
      <c r="K584" t="s">
        <v>43</v>
      </c>
    </row>
    <row r="585" spans="1:11" x14ac:dyDescent="0.35">
      <c r="A585" t="s">
        <v>144</v>
      </c>
      <c r="B585" t="s">
        <v>94</v>
      </c>
      <c r="C585">
        <v>2022</v>
      </c>
      <c r="D585" s="3">
        <v>1375.86</v>
      </c>
      <c r="E585" t="s">
        <v>104</v>
      </c>
      <c r="F585" t="s">
        <v>145</v>
      </c>
      <c r="G585" t="s">
        <v>59</v>
      </c>
      <c r="H585" t="s">
        <v>146</v>
      </c>
      <c r="I585">
        <v>623</v>
      </c>
      <c r="J585" s="4">
        <f t="shared" si="36"/>
        <v>0.1136328684630139</v>
      </c>
      <c r="K585" t="s">
        <v>43</v>
      </c>
    </row>
    <row r="586" spans="1:11" x14ac:dyDescent="0.35">
      <c r="A586" t="s">
        <v>144</v>
      </c>
      <c r="B586" t="s">
        <v>94</v>
      </c>
      <c r="C586">
        <v>2023</v>
      </c>
      <c r="D586" s="3">
        <v>1496.28</v>
      </c>
      <c r="E586" t="s">
        <v>104</v>
      </c>
      <c r="F586" t="s">
        <v>145</v>
      </c>
      <c r="G586" t="s">
        <v>40</v>
      </c>
      <c r="H586" t="s">
        <v>146</v>
      </c>
      <c r="I586">
        <v>624</v>
      </c>
      <c r="J586" s="4">
        <f t="shared" si="36"/>
        <v>8.7523439884872101E-2</v>
      </c>
      <c r="K586" t="s">
        <v>43</v>
      </c>
    </row>
    <row r="587" spans="1:11" x14ac:dyDescent="0.35">
      <c r="A587" t="s">
        <v>144</v>
      </c>
      <c r="B587" t="s">
        <v>94</v>
      </c>
      <c r="C587">
        <v>2024</v>
      </c>
      <c r="D587" s="3">
        <v>1598.59</v>
      </c>
      <c r="E587" t="s">
        <v>104</v>
      </c>
      <c r="F587" t="s">
        <v>145</v>
      </c>
      <c r="G587" t="s">
        <v>40</v>
      </c>
      <c r="H587" t="s">
        <v>146</v>
      </c>
      <c r="I587">
        <v>625</v>
      </c>
      <c r="J587" s="4">
        <f t="shared" si="36"/>
        <v>6.8376239741224865E-2</v>
      </c>
      <c r="K587" t="s">
        <v>43</v>
      </c>
    </row>
    <row r="588" spans="1:11" x14ac:dyDescent="0.35">
      <c r="A588" t="s">
        <v>144</v>
      </c>
      <c r="B588" t="s">
        <v>94</v>
      </c>
      <c r="C588">
        <v>2025</v>
      </c>
      <c r="D588" s="3">
        <v>1690.01</v>
      </c>
      <c r="E588" t="s">
        <v>104</v>
      </c>
      <c r="F588" t="s">
        <v>145</v>
      </c>
      <c r="G588" t="s">
        <v>40</v>
      </c>
      <c r="H588" t="s">
        <v>146</v>
      </c>
      <c r="I588">
        <v>626</v>
      </c>
      <c r="J588" s="4">
        <f t="shared" si="36"/>
        <v>5.7187896834085095E-2</v>
      </c>
      <c r="K588" t="s">
        <v>43</v>
      </c>
    </row>
    <row r="589" spans="1:11" x14ac:dyDescent="0.35">
      <c r="A589" t="s">
        <v>144</v>
      </c>
      <c r="B589" t="s">
        <v>94</v>
      </c>
      <c r="C589">
        <v>2026</v>
      </c>
      <c r="D589" s="3">
        <v>1778.97</v>
      </c>
      <c r="E589" t="s">
        <v>104</v>
      </c>
      <c r="F589" t="s">
        <v>147</v>
      </c>
      <c r="G589" t="s">
        <v>40</v>
      </c>
      <c r="H589" t="s">
        <v>146</v>
      </c>
      <c r="I589">
        <v>627</v>
      </c>
      <c r="J589" s="4">
        <f t="shared" si="36"/>
        <v>5.263874178259309E-2</v>
      </c>
      <c r="K589" t="s">
        <v>43</v>
      </c>
    </row>
    <row r="590" spans="1:11" x14ac:dyDescent="0.35">
      <c r="A590" t="s">
        <v>144</v>
      </c>
      <c r="B590" t="s">
        <v>94</v>
      </c>
      <c r="C590">
        <v>2027</v>
      </c>
      <c r="D590" s="3">
        <v>1852.62</v>
      </c>
      <c r="E590" t="s">
        <v>104</v>
      </c>
      <c r="F590" t="s">
        <v>147</v>
      </c>
      <c r="G590" t="s">
        <v>40</v>
      </c>
      <c r="H590" t="s">
        <v>146</v>
      </c>
      <c r="I590">
        <v>628</v>
      </c>
      <c r="J590" s="4">
        <f t="shared" si="36"/>
        <v>4.1400360882982712E-2</v>
      </c>
      <c r="K590" t="s">
        <v>43</v>
      </c>
    </row>
    <row r="591" spans="1:11" x14ac:dyDescent="0.35">
      <c r="A591" t="s">
        <v>144</v>
      </c>
      <c r="B591" t="s">
        <v>94</v>
      </c>
      <c r="C591">
        <v>2028</v>
      </c>
      <c r="D591" s="3">
        <v>1921.75</v>
      </c>
      <c r="E591" t="s">
        <v>104</v>
      </c>
      <c r="F591" t="s">
        <v>147</v>
      </c>
      <c r="G591" t="s">
        <v>40</v>
      </c>
      <c r="H591" t="s">
        <v>146</v>
      </c>
      <c r="I591">
        <v>629</v>
      </c>
      <c r="J591" s="4">
        <f t="shared" si="36"/>
        <v>3.7314721853375366E-2</v>
      </c>
      <c r="K591" t="s">
        <v>43</v>
      </c>
    </row>
    <row r="592" spans="1:11" x14ac:dyDescent="0.35">
      <c r="A592" t="s">
        <v>144</v>
      </c>
      <c r="B592" t="s">
        <v>94</v>
      </c>
      <c r="C592">
        <v>2029</v>
      </c>
      <c r="D592" s="3">
        <v>1995.81</v>
      </c>
      <c r="E592" t="s">
        <v>104</v>
      </c>
      <c r="F592" t="s">
        <v>147</v>
      </c>
      <c r="G592" t="s">
        <v>40</v>
      </c>
      <c r="H592" t="s">
        <v>146</v>
      </c>
      <c r="I592">
        <v>630</v>
      </c>
      <c r="J592" s="4">
        <f t="shared" si="36"/>
        <v>3.8537791075842209E-2</v>
      </c>
      <c r="K592" t="s">
        <v>43</v>
      </c>
    </row>
    <row r="593" spans="1:11" x14ac:dyDescent="0.35">
      <c r="A593" t="s">
        <v>144</v>
      </c>
      <c r="B593" t="s">
        <v>94</v>
      </c>
      <c r="C593">
        <v>2030</v>
      </c>
      <c r="D593" s="3">
        <v>2074.19</v>
      </c>
      <c r="E593" t="s">
        <v>104</v>
      </c>
      <c r="F593" t="s">
        <v>147</v>
      </c>
      <c r="G593" t="s">
        <v>40</v>
      </c>
      <c r="H593" t="s">
        <v>146</v>
      </c>
      <c r="I593">
        <v>631</v>
      </c>
      <c r="J593" s="4">
        <f t="shared" si="36"/>
        <v>3.9272275416998736E-2</v>
      </c>
      <c r="K593" t="s">
        <v>43</v>
      </c>
    </row>
    <row r="594" spans="1:11" x14ac:dyDescent="0.35">
      <c r="A594" t="s">
        <v>148</v>
      </c>
      <c r="B594" t="s">
        <v>94</v>
      </c>
      <c r="C594">
        <v>2015</v>
      </c>
      <c r="D594" s="3">
        <v>179.39</v>
      </c>
      <c r="E594" t="s">
        <v>104</v>
      </c>
      <c r="F594" t="s">
        <v>145</v>
      </c>
      <c r="G594" t="s">
        <v>40</v>
      </c>
      <c r="H594" t="s">
        <v>146</v>
      </c>
      <c r="I594">
        <v>716</v>
      </c>
      <c r="K594" t="s">
        <v>42</v>
      </c>
    </row>
    <row r="595" spans="1:11" x14ac:dyDescent="0.35">
      <c r="A595" t="s">
        <v>148</v>
      </c>
      <c r="B595" t="s">
        <v>94</v>
      </c>
      <c r="C595">
        <v>2016</v>
      </c>
      <c r="D595" s="3">
        <v>186.38</v>
      </c>
      <c r="E595" t="s">
        <v>104</v>
      </c>
      <c r="F595" t="s">
        <v>145</v>
      </c>
      <c r="G595" t="s">
        <v>40</v>
      </c>
      <c r="H595" t="s">
        <v>146</v>
      </c>
      <c r="I595">
        <v>717</v>
      </c>
      <c r="J595" s="4">
        <f t="shared" ref="J595:J609" si="37">IF(D594=0,"",D595/D594-1)</f>
        <v>3.8965382685768546E-2</v>
      </c>
      <c r="K595" t="s">
        <v>43</v>
      </c>
    </row>
    <row r="596" spans="1:11" x14ac:dyDescent="0.35">
      <c r="A596" t="s">
        <v>148</v>
      </c>
      <c r="B596" t="s">
        <v>94</v>
      </c>
      <c r="C596">
        <v>2017</v>
      </c>
      <c r="D596" s="3">
        <v>195.51</v>
      </c>
      <c r="E596" t="s">
        <v>104</v>
      </c>
      <c r="F596" t="s">
        <v>145</v>
      </c>
      <c r="G596" t="s">
        <v>40</v>
      </c>
      <c r="H596" t="s">
        <v>146</v>
      </c>
      <c r="I596">
        <v>718</v>
      </c>
      <c r="J596" s="4">
        <f t="shared" si="37"/>
        <v>4.8985942697714391E-2</v>
      </c>
      <c r="K596" t="s">
        <v>43</v>
      </c>
    </row>
    <row r="597" spans="1:11" x14ac:dyDescent="0.35">
      <c r="A597" t="s">
        <v>148</v>
      </c>
      <c r="B597" t="s">
        <v>94</v>
      </c>
      <c r="C597">
        <v>2018</v>
      </c>
      <c r="D597" s="3">
        <v>205</v>
      </c>
      <c r="E597" t="s">
        <v>104</v>
      </c>
      <c r="F597" t="s">
        <v>145</v>
      </c>
      <c r="G597" t="s">
        <v>40</v>
      </c>
      <c r="H597" t="s">
        <v>146</v>
      </c>
      <c r="I597">
        <v>719</v>
      </c>
      <c r="J597" s="4">
        <f t="shared" si="37"/>
        <v>4.8539716638535069E-2</v>
      </c>
      <c r="K597" t="s">
        <v>43</v>
      </c>
    </row>
    <row r="598" spans="1:11" x14ac:dyDescent="0.35">
      <c r="A598" t="s">
        <v>148</v>
      </c>
      <c r="B598" t="s">
        <v>94</v>
      </c>
      <c r="C598">
        <v>2019</v>
      </c>
      <c r="D598" s="3">
        <v>214.49</v>
      </c>
      <c r="E598" t="s">
        <v>104</v>
      </c>
      <c r="F598" t="s">
        <v>145</v>
      </c>
      <c r="G598" t="s">
        <v>40</v>
      </c>
      <c r="H598" t="s">
        <v>146</v>
      </c>
      <c r="I598">
        <v>720</v>
      </c>
      <c r="J598" s="4">
        <f t="shared" si="37"/>
        <v>4.6292682926829309E-2</v>
      </c>
      <c r="K598" t="s">
        <v>43</v>
      </c>
    </row>
    <row r="599" spans="1:11" x14ac:dyDescent="0.35">
      <c r="A599" t="s">
        <v>148</v>
      </c>
      <c r="B599" t="s">
        <v>94</v>
      </c>
      <c r="C599">
        <v>2020</v>
      </c>
      <c r="D599" s="3">
        <v>201.03</v>
      </c>
      <c r="E599" t="s">
        <v>104</v>
      </c>
      <c r="F599" t="s">
        <v>145</v>
      </c>
      <c r="G599" t="s">
        <v>40</v>
      </c>
      <c r="H599" t="s">
        <v>146</v>
      </c>
      <c r="I599">
        <v>721</v>
      </c>
      <c r="J599" s="4">
        <f t="shared" si="37"/>
        <v>-6.2753508322066276E-2</v>
      </c>
      <c r="K599" t="s">
        <v>43</v>
      </c>
    </row>
    <row r="600" spans="1:11" x14ac:dyDescent="0.35">
      <c r="A600" t="s">
        <v>148</v>
      </c>
      <c r="B600" t="s">
        <v>94</v>
      </c>
      <c r="C600">
        <v>2021</v>
      </c>
      <c r="D600" s="3">
        <v>216.49</v>
      </c>
      <c r="E600" t="s">
        <v>104</v>
      </c>
      <c r="F600" t="s">
        <v>145</v>
      </c>
      <c r="G600" t="s">
        <v>40</v>
      </c>
      <c r="H600" t="s">
        <v>146</v>
      </c>
      <c r="I600">
        <v>722</v>
      </c>
      <c r="J600" s="4">
        <f t="shared" si="37"/>
        <v>7.6903944684872938E-2</v>
      </c>
      <c r="K600" t="s">
        <v>43</v>
      </c>
    </row>
    <row r="601" spans="1:11" x14ac:dyDescent="0.35">
      <c r="A601" t="s">
        <v>148</v>
      </c>
      <c r="B601" t="s">
        <v>94</v>
      </c>
      <c r="C601">
        <v>2022</v>
      </c>
      <c r="D601" s="3">
        <v>243.96</v>
      </c>
      <c r="E601" t="s">
        <v>104</v>
      </c>
      <c r="F601" t="s">
        <v>145</v>
      </c>
      <c r="G601" t="s">
        <v>40</v>
      </c>
      <c r="H601" t="s">
        <v>146</v>
      </c>
      <c r="I601">
        <v>723</v>
      </c>
      <c r="J601" s="4">
        <f t="shared" si="37"/>
        <v>0.12688807797126889</v>
      </c>
      <c r="K601" t="s">
        <v>43</v>
      </c>
    </row>
    <row r="602" spans="1:11" x14ac:dyDescent="0.35">
      <c r="A602" t="s">
        <v>148</v>
      </c>
      <c r="B602" t="s">
        <v>94</v>
      </c>
      <c r="C602">
        <v>2023</v>
      </c>
      <c r="D602" s="3">
        <v>270.35000000000002</v>
      </c>
      <c r="E602" t="s">
        <v>104</v>
      </c>
      <c r="F602" t="s">
        <v>145</v>
      </c>
      <c r="G602" t="s">
        <v>40</v>
      </c>
      <c r="H602" t="s">
        <v>146</v>
      </c>
      <c r="I602">
        <v>724</v>
      </c>
      <c r="J602" s="4">
        <f t="shared" si="37"/>
        <v>0.10817347106082975</v>
      </c>
      <c r="K602" t="s">
        <v>43</v>
      </c>
    </row>
    <row r="603" spans="1:11" x14ac:dyDescent="0.35">
      <c r="A603" t="s">
        <v>148</v>
      </c>
      <c r="B603" t="s">
        <v>94</v>
      </c>
      <c r="C603">
        <v>2024</v>
      </c>
      <c r="D603" s="3">
        <v>291.14999999999998</v>
      </c>
      <c r="E603" t="s">
        <v>104</v>
      </c>
      <c r="F603" t="s">
        <v>145</v>
      </c>
      <c r="G603" t="s">
        <v>40</v>
      </c>
      <c r="H603" t="s">
        <v>146</v>
      </c>
      <c r="I603">
        <v>725</v>
      </c>
      <c r="J603" s="4">
        <f t="shared" si="37"/>
        <v>7.6937303495468568E-2</v>
      </c>
      <c r="K603" t="s">
        <v>43</v>
      </c>
    </row>
    <row r="604" spans="1:11" x14ac:dyDescent="0.35">
      <c r="A604" t="s">
        <v>148</v>
      </c>
      <c r="B604" t="s">
        <v>94</v>
      </c>
      <c r="C604">
        <v>2025</v>
      </c>
      <c r="D604" s="3">
        <v>308.54000000000002</v>
      </c>
      <c r="E604" t="s">
        <v>104</v>
      </c>
      <c r="F604" t="s">
        <v>145</v>
      </c>
      <c r="G604" t="s">
        <v>40</v>
      </c>
      <c r="H604" t="s">
        <v>146</v>
      </c>
      <c r="I604">
        <v>726</v>
      </c>
      <c r="J604" s="4">
        <f t="shared" si="37"/>
        <v>5.9728662201614435E-2</v>
      </c>
      <c r="K604" t="s">
        <v>43</v>
      </c>
    </row>
    <row r="605" spans="1:11" x14ac:dyDescent="0.35">
      <c r="A605" t="s">
        <v>148</v>
      </c>
      <c r="B605" t="s">
        <v>94</v>
      </c>
      <c r="C605">
        <v>2026</v>
      </c>
      <c r="D605" s="3">
        <v>322.55</v>
      </c>
      <c r="E605" t="s">
        <v>104</v>
      </c>
      <c r="F605" t="s">
        <v>147</v>
      </c>
      <c r="G605" t="s">
        <v>40</v>
      </c>
      <c r="H605" t="s">
        <v>146</v>
      </c>
      <c r="I605">
        <v>727</v>
      </c>
      <c r="J605" s="4">
        <f t="shared" si="37"/>
        <v>4.5407402605820879E-2</v>
      </c>
      <c r="K605" t="s">
        <v>43</v>
      </c>
    </row>
    <row r="606" spans="1:11" x14ac:dyDescent="0.35">
      <c r="A606" t="s">
        <v>148</v>
      </c>
      <c r="B606" t="s">
        <v>94</v>
      </c>
      <c r="C606">
        <v>2027</v>
      </c>
      <c r="D606" s="3">
        <v>334.61</v>
      </c>
      <c r="E606" t="s">
        <v>104</v>
      </c>
      <c r="F606" t="s">
        <v>147</v>
      </c>
      <c r="G606" t="s">
        <v>40</v>
      </c>
      <c r="H606" t="s">
        <v>146</v>
      </c>
      <c r="I606">
        <v>728</v>
      </c>
      <c r="J606" s="4">
        <f t="shared" si="37"/>
        <v>3.7389552007440763E-2</v>
      </c>
      <c r="K606" t="s">
        <v>43</v>
      </c>
    </row>
    <row r="607" spans="1:11" x14ac:dyDescent="0.35">
      <c r="A607" t="s">
        <v>148</v>
      </c>
      <c r="B607" t="s">
        <v>94</v>
      </c>
      <c r="C607">
        <v>2028</v>
      </c>
      <c r="D607" s="3">
        <v>347.53</v>
      </c>
      <c r="E607" t="s">
        <v>104</v>
      </c>
      <c r="F607" t="s">
        <v>147</v>
      </c>
      <c r="G607" t="s">
        <v>40</v>
      </c>
      <c r="H607" t="s">
        <v>146</v>
      </c>
      <c r="I607">
        <v>729</v>
      </c>
      <c r="J607" s="4">
        <f t="shared" si="37"/>
        <v>3.8612115597262298E-2</v>
      </c>
      <c r="K607" t="s">
        <v>43</v>
      </c>
    </row>
    <row r="608" spans="1:11" x14ac:dyDescent="0.35">
      <c r="A608" t="s">
        <v>148</v>
      </c>
      <c r="B608" t="s">
        <v>94</v>
      </c>
      <c r="C608">
        <v>2029</v>
      </c>
      <c r="D608" s="3">
        <v>362.75</v>
      </c>
      <c r="E608" t="s">
        <v>104</v>
      </c>
      <c r="F608" t="s">
        <v>147</v>
      </c>
      <c r="G608" t="s">
        <v>40</v>
      </c>
      <c r="H608" t="s">
        <v>146</v>
      </c>
      <c r="I608">
        <v>730</v>
      </c>
      <c r="J608" s="4">
        <f t="shared" si="37"/>
        <v>4.3794780306736225E-2</v>
      </c>
      <c r="K608" t="s">
        <v>43</v>
      </c>
    </row>
    <row r="609" spans="1:11" x14ac:dyDescent="0.35">
      <c r="A609" t="s">
        <v>148</v>
      </c>
      <c r="B609" t="s">
        <v>94</v>
      </c>
      <c r="C609">
        <v>2030</v>
      </c>
      <c r="D609" s="3">
        <v>377.13</v>
      </c>
      <c r="E609" t="s">
        <v>104</v>
      </c>
      <c r="F609" t="s">
        <v>147</v>
      </c>
      <c r="G609" t="s">
        <v>40</v>
      </c>
      <c r="H609" t="s">
        <v>146</v>
      </c>
      <c r="I609">
        <v>731</v>
      </c>
      <c r="J609" s="4">
        <f t="shared" si="37"/>
        <v>3.9641626464507196E-2</v>
      </c>
      <c r="K609" t="s">
        <v>43</v>
      </c>
    </row>
    <row r="610" spans="1:11" x14ac:dyDescent="0.35">
      <c r="A610" t="s">
        <v>149</v>
      </c>
      <c r="B610" t="s">
        <v>94</v>
      </c>
      <c r="C610">
        <v>2015</v>
      </c>
      <c r="D610" s="3">
        <v>2201.4</v>
      </c>
      <c r="E610" t="s">
        <v>104</v>
      </c>
      <c r="F610" t="s">
        <v>145</v>
      </c>
      <c r="G610" t="s">
        <v>62</v>
      </c>
      <c r="H610" t="s">
        <v>146</v>
      </c>
      <c r="I610">
        <v>816</v>
      </c>
      <c r="K610" t="s">
        <v>42</v>
      </c>
    </row>
    <row r="611" spans="1:11" x14ac:dyDescent="0.35">
      <c r="A611" t="s">
        <v>149</v>
      </c>
      <c r="B611" t="s">
        <v>94</v>
      </c>
      <c r="C611">
        <v>2016</v>
      </c>
      <c r="D611" s="3">
        <v>2231.8200000000002</v>
      </c>
      <c r="E611" t="s">
        <v>104</v>
      </c>
      <c r="F611" t="s">
        <v>145</v>
      </c>
      <c r="G611" t="s">
        <v>62</v>
      </c>
      <c r="H611" t="s">
        <v>146</v>
      </c>
      <c r="I611">
        <v>817</v>
      </c>
      <c r="J611" s="4">
        <f t="shared" ref="J611:J625" si="38">IF(D610=0,"",D611/D610-1)</f>
        <v>1.3818479149632079E-2</v>
      </c>
      <c r="K611" t="s">
        <v>43</v>
      </c>
    </row>
    <row r="612" spans="1:11" x14ac:dyDescent="0.35">
      <c r="A612" t="s">
        <v>149</v>
      </c>
      <c r="B612" t="s">
        <v>94</v>
      </c>
      <c r="C612">
        <v>2017</v>
      </c>
      <c r="D612" s="3">
        <v>2291.6799999999998</v>
      </c>
      <c r="E612" t="s">
        <v>104</v>
      </c>
      <c r="F612" t="s">
        <v>145</v>
      </c>
      <c r="G612" t="s">
        <v>62</v>
      </c>
      <c r="H612" t="s">
        <v>146</v>
      </c>
      <c r="I612">
        <v>818</v>
      </c>
      <c r="J612" s="4">
        <f t="shared" si="38"/>
        <v>2.6821159412497186E-2</v>
      </c>
      <c r="K612" t="s">
        <v>43</v>
      </c>
    </row>
    <row r="613" spans="1:11" x14ac:dyDescent="0.35">
      <c r="A613" t="s">
        <v>149</v>
      </c>
      <c r="B613" t="s">
        <v>94</v>
      </c>
      <c r="C613">
        <v>2018</v>
      </c>
      <c r="D613" s="3">
        <v>2355.36</v>
      </c>
      <c r="E613" t="s">
        <v>104</v>
      </c>
      <c r="F613" t="s">
        <v>145</v>
      </c>
      <c r="G613" t="s">
        <v>62</v>
      </c>
      <c r="H613" t="s">
        <v>146</v>
      </c>
      <c r="I613">
        <v>819</v>
      </c>
      <c r="J613" s="4">
        <f t="shared" si="38"/>
        <v>2.7787474691056469E-2</v>
      </c>
      <c r="K613" t="s">
        <v>43</v>
      </c>
    </row>
    <row r="614" spans="1:11" x14ac:dyDescent="0.35">
      <c r="A614" t="s">
        <v>149</v>
      </c>
      <c r="B614" t="s">
        <v>94</v>
      </c>
      <c r="C614">
        <v>2019</v>
      </c>
      <c r="D614" s="3">
        <v>2432.21</v>
      </c>
      <c r="E614" t="s">
        <v>104</v>
      </c>
      <c r="F614" t="s">
        <v>145</v>
      </c>
      <c r="G614" t="s">
        <v>62</v>
      </c>
      <c r="H614" t="s">
        <v>146</v>
      </c>
      <c r="I614">
        <v>820</v>
      </c>
      <c r="J614" s="4">
        <f t="shared" si="38"/>
        <v>3.2627708715440518E-2</v>
      </c>
      <c r="K614" t="s">
        <v>43</v>
      </c>
    </row>
    <row r="615" spans="1:11" x14ac:dyDescent="0.35">
      <c r="A615" t="s">
        <v>149</v>
      </c>
      <c r="B615" t="s">
        <v>94</v>
      </c>
      <c r="C615">
        <v>2020</v>
      </c>
      <c r="D615" s="3">
        <v>2318.2800000000002</v>
      </c>
      <c r="E615" t="s">
        <v>104</v>
      </c>
      <c r="F615" t="s">
        <v>145</v>
      </c>
      <c r="G615" t="s">
        <v>62</v>
      </c>
      <c r="H615" t="s">
        <v>146</v>
      </c>
      <c r="I615">
        <v>821</v>
      </c>
      <c r="J615" s="4">
        <f t="shared" si="38"/>
        <v>-4.6842172345315514E-2</v>
      </c>
      <c r="K615" t="s">
        <v>43</v>
      </c>
    </row>
    <row r="616" spans="1:11" x14ac:dyDescent="0.35">
      <c r="A616" t="s">
        <v>149</v>
      </c>
      <c r="B616" t="s">
        <v>94</v>
      </c>
      <c r="C616">
        <v>2021</v>
      </c>
      <c r="D616" s="3">
        <v>2508.1</v>
      </c>
      <c r="E616" t="s">
        <v>104</v>
      </c>
      <c r="F616" t="s">
        <v>145</v>
      </c>
      <c r="G616" t="s">
        <v>62</v>
      </c>
      <c r="H616" t="s">
        <v>146</v>
      </c>
      <c r="I616">
        <v>822</v>
      </c>
      <c r="J616" s="4">
        <f t="shared" si="38"/>
        <v>8.1879669410079847E-2</v>
      </c>
      <c r="K616" t="s">
        <v>43</v>
      </c>
    </row>
    <row r="617" spans="1:11" x14ac:dyDescent="0.35">
      <c r="A617" t="s">
        <v>149</v>
      </c>
      <c r="B617" t="s">
        <v>94</v>
      </c>
      <c r="C617">
        <v>2022</v>
      </c>
      <c r="D617" s="3">
        <v>2654</v>
      </c>
      <c r="E617" t="s">
        <v>104</v>
      </c>
      <c r="F617" t="s">
        <v>145</v>
      </c>
      <c r="G617" t="s">
        <v>62</v>
      </c>
      <c r="H617" t="s">
        <v>146</v>
      </c>
      <c r="I617">
        <v>823</v>
      </c>
      <c r="J617" s="4">
        <f t="shared" si="38"/>
        <v>5.8171524261393159E-2</v>
      </c>
      <c r="K617" t="s">
        <v>43</v>
      </c>
    </row>
    <row r="618" spans="1:11" x14ac:dyDescent="0.35">
      <c r="A618" t="s">
        <v>149</v>
      </c>
      <c r="B618" t="s">
        <v>94</v>
      </c>
      <c r="C618">
        <v>2023</v>
      </c>
      <c r="D618" s="3">
        <v>2833.83</v>
      </c>
      <c r="E618" t="s">
        <v>104</v>
      </c>
      <c r="F618" t="s">
        <v>145</v>
      </c>
      <c r="G618" t="s">
        <v>65</v>
      </c>
      <c r="H618" t="s">
        <v>146</v>
      </c>
      <c r="I618">
        <v>824</v>
      </c>
      <c r="J618" s="4">
        <f t="shared" si="38"/>
        <v>6.7758100979653291E-2</v>
      </c>
      <c r="K618" t="s">
        <v>43</v>
      </c>
    </row>
    <row r="619" spans="1:11" x14ac:dyDescent="0.35">
      <c r="A619" t="s">
        <v>149</v>
      </c>
      <c r="B619" t="s">
        <v>94</v>
      </c>
      <c r="C619">
        <v>2024</v>
      </c>
      <c r="D619" s="3">
        <v>2935.24</v>
      </c>
      <c r="E619" t="s">
        <v>104</v>
      </c>
      <c r="F619" t="s">
        <v>145</v>
      </c>
      <c r="G619" t="s">
        <v>62</v>
      </c>
      <c r="H619" t="s">
        <v>146</v>
      </c>
      <c r="I619">
        <v>825</v>
      </c>
      <c r="J619" s="4">
        <f t="shared" si="38"/>
        <v>3.5785491719686702E-2</v>
      </c>
      <c r="K619" t="s">
        <v>43</v>
      </c>
    </row>
    <row r="620" spans="1:11" x14ac:dyDescent="0.35">
      <c r="A620" t="s">
        <v>149</v>
      </c>
      <c r="B620" t="s">
        <v>94</v>
      </c>
      <c r="C620">
        <v>2025</v>
      </c>
      <c r="D620" s="3">
        <v>2991.06</v>
      </c>
      <c r="E620" t="s">
        <v>104</v>
      </c>
      <c r="F620" t="s">
        <v>145</v>
      </c>
      <c r="G620" t="s">
        <v>62</v>
      </c>
      <c r="H620" t="s">
        <v>146</v>
      </c>
      <c r="I620">
        <v>826</v>
      </c>
      <c r="J620" s="4">
        <f t="shared" si="38"/>
        <v>1.9017184284760402E-2</v>
      </c>
      <c r="K620" t="s">
        <v>43</v>
      </c>
    </row>
    <row r="621" spans="1:11" x14ac:dyDescent="0.35">
      <c r="A621" t="s">
        <v>149</v>
      </c>
      <c r="B621" t="s">
        <v>94</v>
      </c>
      <c r="C621">
        <v>2026</v>
      </c>
      <c r="D621" s="3">
        <v>3069.18</v>
      </c>
      <c r="E621" t="s">
        <v>104</v>
      </c>
      <c r="F621" t="s">
        <v>147</v>
      </c>
      <c r="G621" t="s">
        <v>40</v>
      </c>
      <c r="H621" t="s">
        <v>146</v>
      </c>
      <c r="I621">
        <v>827</v>
      </c>
      <c r="J621" s="4">
        <f t="shared" si="38"/>
        <v>2.6117831136787562E-2</v>
      </c>
      <c r="K621" t="s">
        <v>43</v>
      </c>
    </row>
    <row r="622" spans="1:11" x14ac:dyDescent="0.35">
      <c r="A622" t="s">
        <v>149</v>
      </c>
      <c r="B622" t="s">
        <v>94</v>
      </c>
      <c r="C622">
        <v>2027</v>
      </c>
      <c r="D622" s="3">
        <v>3154.91</v>
      </c>
      <c r="E622" t="s">
        <v>104</v>
      </c>
      <c r="F622" t="s">
        <v>147</v>
      </c>
      <c r="G622" t="s">
        <v>40</v>
      </c>
      <c r="H622" t="s">
        <v>146</v>
      </c>
      <c r="I622">
        <v>828</v>
      </c>
      <c r="J622" s="4">
        <f t="shared" si="38"/>
        <v>2.7932542242553371E-2</v>
      </c>
      <c r="K622" t="s">
        <v>43</v>
      </c>
    </row>
    <row r="623" spans="1:11" x14ac:dyDescent="0.35">
      <c r="A623" t="s">
        <v>149</v>
      </c>
      <c r="B623" t="s">
        <v>94</v>
      </c>
      <c r="C623">
        <v>2028</v>
      </c>
      <c r="D623" s="3">
        <v>3249.29</v>
      </c>
      <c r="E623" t="s">
        <v>104</v>
      </c>
      <c r="F623" t="s">
        <v>147</v>
      </c>
      <c r="G623" t="s">
        <v>40</v>
      </c>
      <c r="H623" t="s">
        <v>146</v>
      </c>
      <c r="I623">
        <v>829</v>
      </c>
      <c r="J623" s="4">
        <f t="shared" si="38"/>
        <v>2.9915274920679247E-2</v>
      </c>
      <c r="K623" t="s">
        <v>43</v>
      </c>
    </row>
    <row r="624" spans="1:11" x14ac:dyDescent="0.35">
      <c r="A624" t="s">
        <v>149</v>
      </c>
      <c r="B624" t="s">
        <v>94</v>
      </c>
      <c r="C624">
        <v>2029</v>
      </c>
      <c r="D624" s="3">
        <v>3359.21</v>
      </c>
      <c r="E624" t="s">
        <v>104</v>
      </c>
      <c r="F624" t="s">
        <v>147</v>
      </c>
      <c r="G624" t="s">
        <v>40</v>
      </c>
      <c r="H624" t="s">
        <v>146</v>
      </c>
      <c r="I624">
        <v>830</v>
      </c>
      <c r="J624" s="4">
        <f t="shared" si="38"/>
        <v>3.3828928781364676E-2</v>
      </c>
      <c r="K624" t="s">
        <v>43</v>
      </c>
    </row>
    <row r="625" spans="1:11" x14ac:dyDescent="0.35">
      <c r="A625" t="s">
        <v>149</v>
      </c>
      <c r="B625" t="s">
        <v>94</v>
      </c>
      <c r="C625">
        <v>2030</v>
      </c>
      <c r="D625" s="3">
        <v>3470.29</v>
      </c>
      <c r="E625" t="s">
        <v>104</v>
      </c>
      <c r="F625" t="s">
        <v>147</v>
      </c>
      <c r="G625" t="s">
        <v>40</v>
      </c>
      <c r="H625" t="s">
        <v>146</v>
      </c>
      <c r="I625">
        <v>831</v>
      </c>
      <c r="J625" s="4">
        <f t="shared" si="38"/>
        <v>3.3067298561268776E-2</v>
      </c>
      <c r="K625" t="s">
        <v>43</v>
      </c>
    </row>
    <row r="626" spans="1:11" x14ac:dyDescent="0.35">
      <c r="A626" t="s">
        <v>150</v>
      </c>
      <c r="B626" t="s">
        <v>94</v>
      </c>
      <c r="C626">
        <v>2015</v>
      </c>
      <c r="D626" s="3">
        <v>1663.28</v>
      </c>
      <c r="E626" t="s">
        <v>104</v>
      </c>
      <c r="F626" t="s">
        <v>145</v>
      </c>
      <c r="G626" t="s">
        <v>59</v>
      </c>
      <c r="H626" t="s">
        <v>146</v>
      </c>
      <c r="I626">
        <v>916</v>
      </c>
      <c r="K626" t="s">
        <v>42</v>
      </c>
    </row>
    <row r="627" spans="1:11" x14ac:dyDescent="0.35">
      <c r="A627" t="s">
        <v>150</v>
      </c>
      <c r="B627" t="s">
        <v>94</v>
      </c>
      <c r="C627">
        <v>2016</v>
      </c>
      <c r="D627" s="3">
        <v>1704.86</v>
      </c>
      <c r="E627" t="s">
        <v>104</v>
      </c>
      <c r="F627" t="s">
        <v>145</v>
      </c>
      <c r="G627" t="s">
        <v>59</v>
      </c>
      <c r="H627" t="s">
        <v>146</v>
      </c>
      <c r="I627">
        <v>917</v>
      </c>
      <c r="J627" s="4">
        <f t="shared" ref="J627:J641" si="39">IF(D626=0,"",D627/D626-1)</f>
        <v>2.4998797556635033E-2</v>
      </c>
      <c r="K627" t="s">
        <v>43</v>
      </c>
    </row>
    <row r="628" spans="1:11" x14ac:dyDescent="0.35">
      <c r="A628" t="s">
        <v>150</v>
      </c>
      <c r="B628" t="s">
        <v>94</v>
      </c>
      <c r="C628">
        <v>2017</v>
      </c>
      <c r="D628" s="3">
        <v>1744.49</v>
      </c>
      <c r="E628" t="s">
        <v>104</v>
      </c>
      <c r="F628" t="s">
        <v>145</v>
      </c>
      <c r="G628" t="s">
        <v>59</v>
      </c>
      <c r="H628" t="s">
        <v>146</v>
      </c>
      <c r="I628">
        <v>918</v>
      </c>
      <c r="J628" s="4">
        <f t="shared" si="39"/>
        <v>2.324531046537559E-2</v>
      </c>
      <c r="K628" t="s">
        <v>43</v>
      </c>
    </row>
    <row r="629" spans="1:11" x14ac:dyDescent="0.35">
      <c r="A629" t="s">
        <v>150</v>
      </c>
      <c r="B629" t="s">
        <v>94</v>
      </c>
      <c r="C629">
        <v>2018</v>
      </c>
      <c r="D629" s="3">
        <v>1777.74</v>
      </c>
      <c r="E629" t="s">
        <v>104</v>
      </c>
      <c r="F629" t="s">
        <v>145</v>
      </c>
      <c r="G629" t="s">
        <v>59</v>
      </c>
      <c r="H629" t="s">
        <v>146</v>
      </c>
      <c r="I629">
        <v>919</v>
      </c>
      <c r="J629" s="4">
        <f t="shared" si="39"/>
        <v>1.9060011808608834E-2</v>
      </c>
      <c r="K629" t="s">
        <v>43</v>
      </c>
    </row>
    <row r="630" spans="1:11" x14ac:dyDescent="0.35">
      <c r="A630" t="s">
        <v>150</v>
      </c>
      <c r="B630" t="s">
        <v>94</v>
      </c>
      <c r="C630">
        <v>2019</v>
      </c>
      <c r="D630" s="3">
        <v>1804.07</v>
      </c>
      <c r="E630" t="s">
        <v>104</v>
      </c>
      <c r="F630" t="s">
        <v>145</v>
      </c>
      <c r="G630" t="s">
        <v>59</v>
      </c>
      <c r="H630" t="s">
        <v>146</v>
      </c>
      <c r="I630">
        <v>920</v>
      </c>
      <c r="J630" s="4">
        <f t="shared" si="39"/>
        <v>1.4810939732469164E-2</v>
      </c>
      <c r="K630" t="s">
        <v>43</v>
      </c>
    </row>
    <row r="631" spans="1:11" x14ac:dyDescent="0.35">
      <c r="A631" t="s">
        <v>150</v>
      </c>
      <c r="B631" t="s">
        <v>94</v>
      </c>
      <c r="C631">
        <v>2020</v>
      </c>
      <c r="D631" s="3">
        <v>1670.01</v>
      </c>
      <c r="E631" t="s">
        <v>104</v>
      </c>
      <c r="F631" t="s">
        <v>145</v>
      </c>
      <c r="G631" t="s">
        <v>52</v>
      </c>
      <c r="H631" t="s">
        <v>146</v>
      </c>
      <c r="I631">
        <v>921</v>
      </c>
      <c r="J631" s="4">
        <f t="shared" si="39"/>
        <v>-7.4309755164710833E-2</v>
      </c>
      <c r="K631" t="s">
        <v>43</v>
      </c>
    </row>
    <row r="632" spans="1:11" x14ac:dyDescent="0.35">
      <c r="A632" t="s">
        <v>150</v>
      </c>
      <c r="B632" t="s">
        <v>94</v>
      </c>
      <c r="C632">
        <v>2021</v>
      </c>
      <c r="D632" s="3">
        <v>1842.51</v>
      </c>
      <c r="E632" t="s">
        <v>104</v>
      </c>
      <c r="F632" t="s">
        <v>145</v>
      </c>
      <c r="G632" t="s">
        <v>52</v>
      </c>
      <c r="H632" t="s">
        <v>146</v>
      </c>
      <c r="I632">
        <v>922</v>
      </c>
      <c r="J632" s="4">
        <f t="shared" si="39"/>
        <v>0.10329279465392416</v>
      </c>
      <c r="K632" t="s">
        <v>43</v>
      </c>
    </row>
    <row r="633" spans="1:11" x14ac:dyDescent="0.35">
      <c r="A633" t="s">
        <v>150</v>
      </c>
      <c r="B633" t="s">
        <v>94</v>
      </c>
      <c r="C633">
        <v>2022</v>
      </c>
      <c r="D633" s="3">
        <v>1998.07</v>
      </c>
      <c r="E633" t="s">
        <v>104</v>
      </c>
      <c r="F633" t="s">
        <v>145</v>
      </c>
      <c r="G633" t="s">
        <v>62</v>
      </c>
      <c r="H633" t="s">
        <v>146</v>
      </c>
      <c r="I633">
        <v>923</v>
      </c>
      <c r="J633" s="4">
        <f t="shared" si="39"/>
        <v>8.4428307037682337E-2</v>
      </c>
      <c r="K633" t="s">
        <v>43</v>
      </c>
    </row>
    <row r="634" spans="1:11" x14ac:dyDescent="0.35">
      <c r="A634" t="s">
        <v>150</v>
      </c>
      <c r="B634" t="s">
        <v>94</v>
      </c>
      <c r="C634">
        <v>2023</v>
      </c>
      <c r="D634" s="3">
        <v>2142.7399999999998</v>
      </c>
      <c r="E634" t="s">
        <v>104</v>
      </c>
      <c r="F634" t="s">
        <v>145</v>
      </c>
      <c r="G634" t="s">
        <v>62</v>
      </c>
      <c r="H634" t="s">
        <v>146</v>
      </c>
      <c r="I634">
        <v>924</v>
      </c>
      <c r="J634" s="4">
        <f t="shared" si="39"/>
        <v>7.240487070022561E-2</v>
      </c>
      <c r="K634" t="s">
        <v>43</v>
      </c>
    </row>
    <row r="635" spans="1:11" x14ac:dyDescent="0.35">
      <c r="A635" t="s">
        <v>150</v>
      </c>
      <c r="B635" t="s">
        <v>94</v>
      </c>
      <c r="C635">
        <v>2024</v>
      </c>
      <c r="D635" s="3">
        <v>2202.0300000000002</v>
      </c>
      <c r="E635" t="s">
        <v>104</v>
      </c>
      <c r="F635" t="s">
        <v>145</v>
      </c>
      <c r="G635" t="s">
        <v>62</v>
      </c>
      <c r="H635" t="s">
        <v>146</v>
      </c>
      <c r="I635">
        <v>925</v>
      </c>
      <c r="J635" s="4">
        <f t="shared" si="39"/>
        <v>2.7670179303135534E-2</v>
      </c>
      <c r="K635" t="s">
        <v>43</v>
      </c>
    </row>
    <row r="636" spans="1:11" x14ac:dyDescent="0.35">
      <c r="A636" t="s">
        <v>150</v>
      </c>
      <c r="B636" t="s">
        <v>94</v>
      </c>
      <c r="C636">
        <v>2025</v>
      </c>
      <c r="D636" s="3">
        <v>2258.0500000000002</v>
      </c>
      <c r="E636" t="s">
        <v>104</v>
      </c>
      <c r="F636" t="s">
        <v>145</v>
      </c>
      <c r="G636" t="s">
        <v>52</v>
      </c>
      <c r="H636" t="s">
        <v>146</v>
      </c>
      <c r="I636">
        <v>926</v>
      </c>
      <c r="J636" s="4">
        <f t="shared" si="39"/>
        <v>2.544016203230659E-2</v>
      </c>
      <c r="K636" t="s">
        <v>43</v>
      </c>
    </row>
    <row r="637" spans="1:11" x14ac:dyDescent="0.35">
      <c r="A637" t="s">
        <v>150</v>
      </c>
      <c r="B637" t="s">
        <v>94</v>
      </c>
      <c r="C637">
        <v>2026</v>
      </c>
      <c r="D637" s="3">
        <v>2304.58</v>
      </c>
      <c r="E637" t="s">
        <v>104</v>
      </c>
      <c r="F637" t="s">
        <v>147</v>
      </c>
      <c r="G637" t="s">
        <v>40</v>
      </c>
      <c r="H637" t="s">
        <v>146</v>
      </c>
      <c r="I637">
        <v>927</v>
      </c>
      <c r="J637" s="4">
        <f t="shared" si="39"/>
        <v>2.0606275326055634E-2</v>
      </c>
      <c r="K637" t="s">
        <v>43</v>
      </c>
    </row>
    <row r="638" spans="1:11" x14ac:dyDescent="0.35">
      <c r="A638" t="s">
        <v>150</v>
      </c>
      <c r="B638" t="s">
        <v>94</v>
      </c>
      <c r="C638">
        <v>2027</v>
      </c>
      <c r="D638" s="3">
        <v>2343.2399999999998</v>
      </c>
      <c r="E638" t="s">
        <v>104</v>
      </c>
      <c r="F638" t="s">
        <v>147</v>
      </c>
      <c r="G638" t="s">
        <v>40</v>
      </c>
      <c r="H638" t="s">
        <v>146</v>
      </c>
      <c r="I638">
        <v>928</v>
      </c>
      <c r="J638" s="4">
        <f t="shared" si="39"/>
        <v>1.6775290942384169E-2</v>
      </c>
      <c r="K638" t="s">
        <v>43</v>
      </c>
    </row>
    <row r="639" spans="1:11" x14ac:dyDescent="0.35">
      <c r="A639" t="s">
        <v>150</v>
      </c>
      <c r="B639" t="s">
        <v>94</v>
      </c>
      <c r="C639">
        <v>2028</v>
      </c>
      <c r="D639" s="3">
        <v>2393.36</v>
      </c>
      <c r="E639" t="s">
        <v>104</v>
      </c>
      <c r="F639" t="s">
        <v>147</v>
      </c>
      <c r="G639" t="s">
        <v>40</v>
      </c>
      <c r="H639" t="s">
        <v>146</v>
      </c>
      <c r="I639">
        <v>929</v>
      </c>
      <c r="J639" s="4">
        <f t="shared" si="39"/>
        <v>2.1389187620559635E-2</v>
      </c>
      <c r="K639" t="s">
        <v>43</v>
      </c>
    </row>
    <row r="640" spans="1:11" x14ac:dyDescent="0.35">
      <c r="A640" t="s">
        <v>150</v>
      </c>
      <c r="B640" t="s">
        <v>94</v>
      </c>
      <c r="C640">
        <v>2029</v>
      </c>
      <c r="D640" s="3">
        <v>2455.11</v>
      </c>
      <c r="E640" t="s">
        <v>104</v>
      </c>
      <c r="F640" t="s">
        <v>147</v>
      </c>
      <c r="G640" t="s">
        <v>40</v>
      </c>
      <c r="H640" t="s">
        <v>146</v>
      </c>
      <c r="I640">
        <v>930</v>
      </c>
      <c r="J640" s="4">
        <f t="shared" si="39"/>
        <v>2.5800548183307237E-2</v>
      </c>
      <c r="K640" t="s">
        <v>43</v>
      </c>
    </row>
    <row r="641" spans="1:11" x14ac:dyDescent="0.35">
      <c r="A641" t="s">
        <v>150</v>
      </c>
      <c r="B641" t="s">
        <v>94</v>
      </c>
      <c r="C641">
        <v>2030</v>
      </c>
      <c r="D641" s="3">
        <v>2520.8200000000002</v>
      </c>
      <c r="E641" t="s">
        <v>104</v>
      </c>
      <c r="F641" t="s">
        <v>147</v>
      </c>
      <c r="G641" t="s">
        <v>40</v>
      </c>
      <c r="H641" t="s">
        <v>146</v>
      </c>
      <c r="I641">
        <v>931</v>
      </c>
      <c r="J641" s="4">
        <f t="shared" si="39"/>
        <v>2.6764584886217024E-2</v>
      </c>
      <c r="K641" t="s">
        <v>43</v>
      </c>
    </row>
  </sheetData>
  <autoFilter ref="A1:K64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1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7265625" defaultRowHeight="14.5" x14ac:dyDescent="0.35"/>
  <cols>
    <col min="2" max="2" width="14" customWidth="1"/>
  </cols>
  <sheetData>
    <row r="1" spans="1:17" x14ac:dyDescent="0.35">
      <c r="A1" s="2" t="s">
        <v>23</v>
      </c>
      <c r="B1" s="2" t="s">
        <v>24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</row>
    <row r="2" spans="1:17" x14ac:dyDescent="0.35">
      <c r="A2" t="s">
        <v>36</v>
      </c>
      <c r="B2" t="s">
        <v>37</v>
      </c>
      <c r="C2" s="11">
        <f>Data!J3</f>
        <v>7.9578295050968251E-2</v>
      </c>
      <c r="D2" s="11">
        <f>Data!J4</f>
        <v>8.5622524241538045E-2</v>
      </c>
      <c r="E2" s="11">
        <f>Data!J5</f>
        <v>7.2792186441287043E-2</v>
      </c>
      <c r="F2" s="11">
        <f>Data!J6</f>
        <v>3.9093473170622728E-2</v>
      </c>
      <c r="G2" s="11">
        <f>Data!J7</f>
        <v>-4.1201632684256251E-2</v>
      </c>
      <c r="H2" s="11">
        <f>Data!J8</f>
        <v>0.10807887818868123</v>
      </c>
      <c r="I2" s="11">
        <f>Data!J9</f>
        <v>0.10623742273800363</v>
      </c>
      <c r="J2" s="11">
        <f>Data!J10</f>
        <v>7.9442488885035356E-2</v>
      </c>
      <c r="K2" s="11">
        <f>Data!J11</f>
        <v>5.3710431616866616E-2</v>
      </c>
      <c r="L2" s="11">
        <f>Data!J12</f>
        <v>5.1177533804406261E-2</v>
      </c>
      <c r="M2" s="11">
        <f>Data!J13</f>
        <v>6.1749626574893579E-2</v>
      </c>
      <c r="N2" s="11">
        <f>Data!J14</f>
        <v>6.6943247926641192E-2</v>
      </c>
      <c r="O2" s="11">
        <f>Data!J15</f>
        <v>6.0058893869506358E-2</v>
      </c>
      <c r="P2" s="11">
        <f>Data!J16</f>
        <v>5.8036858991370455E-2</v>
      </c>
      <c r="Q2" s="11">
        <f>Data!J17</f>
        <v>4.8756050083060609E-2</v>
      </c>
    </row>
    <row r="3" spans="1:17" x14ac:dyDescent="0.35">
      <c r="A3" t="s">
        <v>46</v>
      </c>
      <c r="B3" t="s">
        <v>47</v>
      </c>
      <c r="C3" s="11">
        <f>Data!J19</f>
        <v>2.7870425941048493E-2</v>
      </c>
      <c r="D3" s="11">
        <f>Data!J20</f>
        <v>4.292442771595284E-2</v>
      </c>
      <c r="E3" s="11">
        <f>Data!J21</f>
        <v>5.3253858587300806E-2</v>
      </c>
      <c r="F3" s="11">
        <f>Data!J22</f>
        <v>4.2769062746290221E-2</v>
      </c>
      <c r="G3" s="11">
        <f>Data!J23</f>
        <v>-7.6462466538966822E-3</v>
      </c>
      <c r="H3" s="11">
        <f>Data!J24</f>
        <v>0.11090240689244779</v>
      </c>
      <c r="I3" s="11">
        <f>Data!J25</f>
        <v>9.7442711042140084E-2</v>
      </c>
      <c r="J3" s="11">
        <f>Data!J26</f>
        <v>6.777435359027395E-2</v>
      </c>
      <c r="K3" s="11">
        <f>Data!J27</f>
        <v>5.5886801823769261E-2</v>
      </c>
      <c r="L3" s="11">
        <f>Data!J28</f>
        <v>5.0382917662066484E-2</v>
      </c>
      <c r="M3" s="11">
        <f>Data!J29</f>
        <v>5.9930093654542604E-2</v>
      </c>
      <c r="N3" s="11">
        <f>Data!J30</f>
        <v>5.4360316971667766E-2</v>
      </c>
      <c r="O3" s="11">
        <f>Data!J31</f>
        <v>4.7543882132785598E-2</v>
      </c>
      <c r="P3" s="11">
        <f>Data!J32</f>
        <v>4.1819638226873179E-2</v>
      </c>
      <c r="Q3" s="11">
        <f>Data!J33</f>
        <v>4.1287356590570479E-2</v>
      </c>
    </row>
    <row r="4" spans="1:17" x14ac:dyDescent="0.35">
      <c r="A4" t="s">
        <v>50</v>
      </c>
      <c r="B4" t="s">
        <v>47</v>
      </c>
      <c r="C4" s="11">
        <f>Data!J35</f>
        <v>1.7634291915355371E-2</v>
      </c>
      <c r="D4" s="11">
        <f>Data!J36</f>
        <v>5.6824353012036255E-2</v>
      </c>
      <c r="E4" s="11">
        <f>Data!J37</f>
        <v>4.4397937065550508E-2</v>
      </c>
      <c r="F4" s="11">
        <f>Data!J38</f>
        <v>3.4835039003793034E-2</v>
      </c>
      <c r="G4" s="11">
        <f>Data!J39</f>
        <v>-4.0210757447396994E-2</v>
      </c>
      <c r="H4" s="11">
        <f>Data!J40</f>
        <v>0.14198862433743287</v>
      </c>
      <c r="I4" s="11">
        <f>Data!J41</f>
        <v>0.12948079911034682</v>
      </c>
      <c r="J4" s="11">
        <f>Data!J42</f>
        <v>3.527735880677052E-2</v>
      </c>
      <c r="K4" s="11">
        <f>Data!J43</f>
        <v>4.8344125185485032E-2</v>
      </c>
      <c r="L4" s="11">
        <f>Data!J44</f>
        <v>4.3978703897315397E-2</v>
      </c>
      <c r="M4" s="11">
        <f>Data!J45</f>
        <v>5.642383044809951E-2</v>
      </c>
      <c r="N4" s="11">
        <f>Data!J46</f>
        <v>6.4785889504341831E-2</v>
      </c>
      <c r="O4" s="11">
        <f>Data!J47</f>
        <v>4.7215708619140484E-2</v>
      </c>
      <c r="P4" s="11">
        <f>Data!J48</f>
        <v>3.6349938788963199E-2</v>
      </c>
      <c r="Q4" s="11">
        <f>Data!J49</f>
        <v>4.086021505376336E-2</v>
      </c>
    </row>
    <row r="5" spans="1:17" x14ac:dyDescent="0.35">
      <c r="A5" t="s">
        <v>53</v>
      </c>
      <c r="B5" t="s">
        <v>54</v>
      </c>
      <c r="C5" s="11">
        <f>Data!J51</f>
        <v>0.38183662467608581</v>
      </c>
      <c r="D5" s="11">
        <f>Data!J52</f>
        <v>0.29557884144207214</v>
      </c>
      <c r="E5" s="11">
        <f>Data!J53</f>
        <v>0.38316058846760348</v>
      </c>
      <c r="F5" s="11">
        <f>Data!J54</f>
        <v>0.46210361476343187</v>
      </c>
      <c r="G5" s="11">
        <f>Data!J55</f>
        <v>0.26214188039579867</v>
      </c>
      <c r="H5" s="11">
        <f>Data!J56</f>
        <v>0.69861825569528047</v>
      </c>
      <c r="I5" s="11">
        <f>Data!J57</f>
        <v>0.79168538188124904</v>
      </c>
      <c r="J5" s="11">
        <f>Data!J58</f>
        <v>1.342060897197864</v>
      </c>
      <c r="K5" s="11">
        <f>Data!J59</f>
        <v>2.0130885279617265</v>
      </c>
      <c r="L5" s="11">
        <f>Data!J60</f>
        <v>0.45495080307830738</v>
      </c>
      <c r="M5" s="11">
        <f>Data!J61</f>
        <v>0.33527865903242815</v>
      </c>
      <c r="N5" s="11">
        <f>Data!J62</f>
        <v>0.18138871610646001</v>
      </c>
      <c r="O5" s="11">
        <f>Data!J63</f>
        <v>0.10103969169699423</v>
      </c>
      <c r="P5" s="11">
        <f>Data!J64</f>
        <v>7.994316899678533E-2</v>
      </c>
      <c r="Q5" s="11">
        <f>Data!J65</f>
        <v>7.7944281627127632E-2</v>
      </c>
    </row>
    <row r="6" spans="1:17" x14ac:dyDescent="0.35">
      <c r="A6" t="s">
        <v>57</v>
      </c>
      <c r="B6" t="s">
        <v>54</v>
      </c>
      <c r="C6" s="11">
        <f>Data!J67</f>
        <v>4.5622011444697019E-2</v>
      </c>
      <c r="D6" s="11">
        <f>Data!J68</f>
        <v>5.0428036169734236E-2</v>
      </c>
      <c r="E6" s="11">
        <f>Data!J69</f>
        <v>6.3573194360927454E-2</v>
      </c>
      <c r="F6" s="11">
        <f>Data!J70</f>
        <v>5.4966062928496484E-2</v>
      </c>
      <c r="G6" s="11">
        <f>Data!J71</f>
        <v>2.983707148202841E-2</v>
      </c>
      <c r="H6" s="11">
        <f>Data!J72</f>
        <v>0.1843119217830107</v>
      </c>
      <c r="I6" s="11">
        <f>Data!J73</f>
        <v>0.11845577188104062</v>
      </c>
      <c r="J6" s="11">
        <f>Data!J74</f>
        <v>8.56832756595447E-2</v>
      </c>
      <c r="K6" s="11">
        <f>Data!J75</f>
        <v>7.6385271772603236E-2</v>
      </c>
      <c r="L6" s="11">
        <f>Data!J76</f>
        <v>8.1441517923467099E-2</v>
      </c>
      <c r="M6" s="11">
        <f>Data!J77</f>
        <v>7.2099929583932854E-2</v>
      </c>
      <c r="N6" s="11">
        <f>Data!J78</f>
        <v>5.630510902085506E-2</v>
      </c>
      <c r="O6" s="11">
        <f>Data!J79</f>
        <v>5.2576670701054651E-2</v>
      </c>
      <c r="P6" s="11">
        <f>Data!J80</f>
        <v>6.325550151635384E-2</v>
      </c>
      <c r="Q6" s="11">
        <f>Data!J81</f>
        <v>7.1172719642984328E-2</v>
      </c>
    </row>
    <row r="7" spans="1:17" x14ac:dyDescent="0.35">
      <c r="A7" t="s">
        <v>60</v>
      </c>
      <c r="B7" t="s">
        <v>54</v>
      </c>
      <c r="C7" s="11">
        <f>Data!J83</f>
        <v>6.3926364897238575E-2</v>
      </c>
      <c r="D7" s="11">
        <f>Data!J84</f>
        <v>6.2514813936952018E-2</v>
      </c>
      <c r="E7" s="11">
        <f>Data!J85</f>
        <v>5.6438570074173189E-2</v>
      </c>
      <c r="F7" s="11">
        <f>Data!J86</f>
        <v>3.2307448661774929E-2</v>
      </c>
      <c r="G7" s="11">
        <f>Data!J87</f>
        <v>2.9455382255177742E-2</v>
      </c>
      <c r="H7" s="11">
        <f>Data!J88</f>
        <v>0.19000546420942821</v>
      </c>
      <c r="I7" s="11">
        <f>Data!J89</f>
        <v>9.7637335114376222E-2</v>
      </c>
      <c r="J7" s="11">
        <f>Data!J90</f>
        <v>7.2827533751663953E-2</v>
      </c>
      <c r="K7" s="11">
        <f>Data!J91</f>
        <v>0.10131159163417225</v>
      </c>
      <c r="L7" s="11">
        <f>Data!J92</f>
        <v>9.4309257113428746E-2</v>
      </c>
      <c r="M7" s="11">
        <f>Data!J93</f>
        <v>7.3239602329548736E-2</v>
      </c>
      <c r="N7" s="11">
        <f>Data!J94</f>
        <v>7.6216838412628718E-2</v>
      </c>
      <c r="O7" s="11">
        <f>Data!J95</f>
        <v>5.9359800351422187E-2</v>
      </c>
      <c r="P7" s="11">
        <f>Data!J96</f>
        <v>7.9495192307692308E-2</v>
      </c>
      <c r="Q7" s="11">
        <f>Data!J97</f>
        <v>8.0566504108490866E-2</v>
      </c>
    </row>
    <row r="8" spans="1:17" x14ac:dyDescent="0.35">
      <c r="A8" t="s">
        <v>63</v>
      </c>
      <c r="B8" t="s">
        <v>54</v>
      </c>
      <c r="C8" s="11">
        <f>Data!J99</f>
        <v>7.343200487144097E-2</v>
      </c>
      <c r="D8" s="11">
        <f>Data!J100</f>
        <v>6.5630137303480218E-2</v>
      </c>
      <c r="E8" s="11">
        <f>Data!J101</f>
        <v>7.31365498060772E-2</v>
      </c>
      <c r="F8" s="11">
        <f>Data!J102</f>
        <v>7.3173447797608704E-2</v>
      </c>
      <c r="G8" s="11">
        <f>Data!J103</f>
        <v>-5.8109370135934313E-2</v>
      </c>
      <c r="H8" s="11">
        <f>Data!J104</f>
        <v>0.19445752000560868</v>
      </c>
      <c r="I8" s="11">
        <f>Data!J105</f>
        <v>0.23347559595180378</v>
      </c>
      <c r="J8" s="11">
        <f>Data!J106</f>
        <v>7.8935204067759779E-2</v>
      </c>
      <c r="K8" s="11">
        <f>Data!J107</f>
        <v>7.9460685483870863E-2</v>
      </c>
      <c r="L8" s="11">
        <f>Data!J108</f>
        <v>8.1333317769009872E-2</v>
      </c>
      <c r="M8" s="11">
        <f>Data!J109</f>
        <v>9.0814877986905351E-2</v>
      </c>
      <c r="N8" s="11">
        <f>Data!J110</f>
        <v>8.4407101716050148E-2</v>
      </c>
      <c r="O8" s="11">
        <f>Data!J111</f>
        <v>7.1371206935888498E-2</v>
      </c>
      <c r="P8" s="11">
        <f>Data!J112</f>
        <v>6.8264967566900037E-2</v>
      </c>
      <c r="Q8" s="11">
        <f>Data!J113</f>
        <v>7.0425286760572359E-2</v>
      </c>
    </row>
    <row r="9" spans="1:17" x14ac:dyDescent="0.35">
      <c r="A9" t="s">
        <v>66</v>
      </c>
      <c r="B9" t="s">
        <v>54</v>
      </c>
      <c r="C9" s="11">
        <f>Data!J115</f>
        <v>6.2454427825607395E-2</v>
      </c>
      <c r="D9" s="11">
        <f>Data!J116</f>
        <v>7.1354483004739455E-2</v>
      </c>
      <c r="E9" s="11">
        <f>Data!J117</f>
        <v>5.1136964184063105E-2</v>
      </c>
      <c r="F9" s="11">
        <f>Data!J118</f>
        <v>5.3448931132181077E-2</v>
      </c>
      <c r="G9" s="11">
        <f>Data!J119</f>
        <v>-3.4019749993294712E-2</v>
      </c>
      <c r="H9" s="11">
        <f>Data!J120</f>
        <v>0.10836836063516553</v>
      </c>
      <c r="I9" s="11">
        <f>Data!J121</f>
        <v>0.1284691923026009</v>
      </c>
      <c r="J9" s="11">
        <f>Data!J122</f>
        <v>3.6212681272340674E-2</v>
      </c>
      <c r="K9" s="11">
        <f>Data!J123</f>
        <v>4.6372375309065017E-2</v>
      </c>
      <c r="L9" s="11">
        <f>Data!J124</f>
        <v>4.0007290366339099E-2</v>
      </c>
      <c r="M9" s="11">
        <f>Data!J125</f>
        <v>2.4402699745041279E-2</v>
      </c>
      <c r="N9" s="11">
        <f>Data!J126</f>
        <v>4.9777246722005453E-2</v>
      </c>
      <c r="O9" s="11">
        <f>Data!J127</f>
        <v>5.1734185327826365E-2</v>
      </c>
      <c r="P9" s="11">
        <f>Data!J128</f>
        <v>5.1594138894354158E-2</v>
      </c>
      <c r="Q9" s="11">
        <f>Data!J129</f>
        <v>5.2014524693097863E-2</v>
      </c>
    </row>
    <row r="10" spans="1:17" x14ac:dyDescent="0.35">
      <c r="A10" t="s">
        <v>70</v>
      </c>
      <c r="B10" t="s">
        <v>54</v>
      </c>
      <c r="C10" s="11">
        <f>Data!J131</f>
        <v>4.7320234543772877E-3</v>
      </c>
      <c r="D10" s="11">
        <f>Data!J132</f>
        <v>6.9622197194634916E-2</v>
      </c>
      <c r="E10" s="11">
        <f>Data!J133</f>
        <v>2.8812099167225158E-2</v>
      </c>
      <c r="F10" s="11">
        <f>Data!J134</f>
        <v>1.1164867882396123E-3</v>
      </c>
      <c r="G10" s="11">
        <f>Data!J135</f>
        <v>-0.10901486988847575</v>
      </c>
      <c r="H10" s="11">
        <f>Data!J136</f>
        <v>0.11797225409408574</v>
      </c>
      <c r="I10" s="11">
        <f>Data!J137</f>
        <v>8.3504385146482507E-2</v>
      </c>
      <c r="J10" s="11">
        <f>Data!J138</f>
        <v>4.0127443382416361E-2</v>
      </c>
      <c r="K10" s="11">
        <f>Data!J139</f>
        <v>2.4919281397466575E-2</v>
      </c>
      <c r="L10" s="11">
        <f>Data!J140</f>
        <v>5.2665589660743084E-2</v>
      </c>
      <c r="M10" s="11">
        <f>Data!J141</f>
        <v>5.6169429097605805E-2</v>
      </c>
      <c r="N10" s="11">
        <f>Data!J142</f>
        <v>5.3327521069456596E-2</v>
      </c>
      <c r="O10" s="11">
        <f>Data!J143</f>
        <v>4.5868395640778159E-2</v>
      </c>
      <c r="P10" s="11">
        <f>Data!J144</f>
        <v>4.247180637077097E-2</v>
      </c>
      <c r="Q10" s="11">
        <f>Data!J145</f>
        <v>4.2576073891314126E-2</v>
      </c>
    </row>
    <row r="11" spans="1:17" x14ac:dyDescent="0.35">
      <c r="A11" t="s">
        <v>71</v>
      </c>
      <c r="B11" t="s">
        <v>54</v>
      </c>
      <c r="C11" s="11">
        <f>Data!J147</f>
        <v>3.1996587030716617E-2</v>
      </c>
      <c r="D11" s="11">
        <f>Data!J148</f>
        <v>3.2658123191401378E-2</v>
      </c>
      <c r="E11" s="11">
        <f>Data!J149</f>
        <v>4.1633306645316281E-2</v>
      </c>
      <c r="F11" s="11">
        <f>Data!J150</f>
        <v>3.3051498847040728E-2</v>
      </c>
      <c r="G11" s="11">
        <f>Data!J151</f>
        <v>-7.2916666666666519E-2</v>
      </c>
      <c r="H11" s="11">
        <f>Data!J152</f>
        <v>0.1653290529695024</v>
      </c>
      <c r="I11" s="11">
        <f>Data!J153</f>
        <v>9.7451790633608981E-2</v>
      </c>
      <c r="J11" s="11">
        <f>Data!J154</f>
        <v>5.334170065892696E-2</v>
      </c>
      <c r="K11" s="11">
        <f>Data!J155</f>
        <v>3.9022937146261594E-2</v>
      </c>
      <c r="L11" s="11">
        <f>Data!J156</f>
        <v>5.2465596330275144E-2</v>
      </c>
      <c r="M11" s="11">
        <f>Data!J157</f>
        <v>4.5219286298011419E-2</v>
      </c>
      <c r="N11" s="11">
        <f>Data!J158</f>
        <v>4.3262965858744007E-2</v>
      </c>
      <c r="O11" s="11">
        <f>Data!J159</f>
        <v>3.9220584561578731E-2</v>
      </c>
      <c r="P11" s="11">
        <f>Data!J160</f>
        <v>3.8461538461538547E-2</v>
      </c>
      <c r="Q11" s="11">
        <f>Data!J161</f>
        <v>3.8657407407407307E-2</v>
      </c>
    </row>
    <row r="12" spans="1:17" x14ac:dyDescent="0.35">
      <c r="A12" t="s">
        <v>73</v>
      </c>
      <c r="B12" t="s">
        <v>54</v>
      </c>
      <c r="C12" s="11">
        <f>Data!J163</f>
        <v>5.457753875887561E-2</v>
      </c>
      <c r="D12" s="11">
        <f>Data!J164</f>
        <v>4.88247011952192E-2</v>
      </c>
      <c r="E12" s="11">
        <f>Data!J165</f>
        <v>4.7216577083056377E-2</v>
      </c>
      <c r="F12" s="11">
        <f>Data!J166</f>
        <v>7.7262092605691279E-2</v>
      </c>
      <c r="G12" s="11">
        <f>Data!J167</f>
        <v>1.0354058285771961E-2</v>
      </c>
      <c r="H12" s="11">
        <f>Data!J168</f>
        <v>0.11424381790308602</v>
      </c>
      <c r="I12" s="11">
        <f>Data!J169</f>
        <v>0.1078692349105701</v>
      </c>
      <c r="J12" s="11">
        <f>Data!J170</f>
        <v>0.10265790148621123</v>
      </c>
      <c r="K12" s="11">
        <f>Data!J171</f>
        <v>7.5325025096099729E-2</v>
      </c>
      <c r="L12" s="11">
        <f>Data!J172</f>
        <v>7.8120197178929596E-2</v>
      </c>
      <c r="M12" s="11">
        <f>Data!J173</f>
        <v>7.3082649602433047E-2</v>
      </c>
      <c r="N12" s="11">
        <f>Data!J174</f>
        <v>0.10540040542402229</v>
      </c>
      <c r="O12" s="11">
        <f>Data!J175</f>
        <v>9.8181300241247049E-2</v>
      </c>
      <c r="P12" s="11">
        <f>Data!J176</f>
        <v>0.10028209659376475</v>
      </c>
      <c r="Q12" s="11">
        <f>Data!J177</f>
        <v>9.9784135029801213E-2</v>
      </c>
    </row>
    <row r="13" spans="1:17" x14ac:dyDescent="0.35">
      <c r="A13" t="s">
        <v>75</v>
      </c>
      <c r="B13" t="s">
        <v>54</v>
      </c>
      <c r="C13" s="11">
        <f>Data!J179</f>
        <v>7.7126908624921331E-2</v>
      </c>
      <c r="D13" s="11">
        <f>Data!J180</f>
        <v>9.5741248588481875E-2</v>
      </c>
      <c r="E13" s="11">
        <f>Data!J181</f>
        <v>5.8667648141332407E-2</v>
      </c>
      <c r="F13" s="11">
        <f>Data!J182</f>
        <v>6.0057711027673655E-2</v>
      </c>
      <c r="G13" s="11">
        <f>Data!J183</f>
        <v>-5.8688486955381092E-2</v>
      </c>
      <c r="H13" s="11">
        <f>Data!J184</f>
        <v>0.17749634171834705</v>
      </c>
      <c r="I13" s="11">
        <f>Data!J185</f>
        <v>0.13841669995413741</v>
      </c>
      <c r="J13" s="11">
        <f>Data!J186</f>
        <v>9.8402838243512036E-2</v>
      </c>
      <c r="K13" s="11">
        <f>Data!J187</f>
        <v>8.5032122194484305E-2</v>
      </c>
      <c r="L13" s="11">
        <f>Data!J188</f>
        <v>0.12068739913638926</v>
      </c>
      <c r="M13" s="11">
        <f>Data!J189</f>
        <v>9.2054565268155919E-2</v>
      </c>
      <c r="N13" s="11">
        <f>Data!J190</f>
        <v>8.1229897449147881E-2</v>
      </c>
      <c r="O13" s="11">
        <f>Data!J191</f>
        <v>7.3479242546599322E-2</v>
      </c>
      <c r="P13" s="11">
        <f>Data!J192</f>
        <v>6.9209570817756694E-2</v>
      </c>
      <c r="Q13" s="11">
        <f>Data!J193</f>
        <v>6.7680400898863624E-2</v>
      </c>
    </row>
    <row r="14" spans="1:17" x14ac:dyDescent="0.35">
      <c r="A14" t="s">
        <v>79</v>
      </c>
      <c r="B14" t="s">
        <v>54</v>
      </c>
      <c r="C14" s="11">
        <f>Data!J195</f>
        <v>9.3612493169595412E-2</v>
      </c>
      <c r="D14" s="11">
        <f>Data!J196</f>
        <v>8.9465102824383358E-2</v>
      </c>
      <c r="E14" s="11">
        <f>Data!J197</f>
        <v>-7.9414888481219581E-3</v>
      </c>
      <c r="F14" s="11">
        <f>Data!J198</f>
        <v>2.3406895544903827E-2</v>
      </c>
      <c r="G14" s="11">
        <f>Data!J199</f>
        <v>3.9086089251325395E-2</v>
      </c>
      <c r="H14" s="11">
        <f>Data!J200</f>
        <v>0.14346184647065541</v>
      </c>
      <c r="I14" s="11">
        <f>Data!J201</f>
        <v>0.12232116058029008</v>
      </c>
      <c r="J14" s="11">
        <f>Data!J202</f>
        <v>0.15687847667950372</v>
      </c>
      <c r="K14" s="11">
        <f>Data!J203</f>
        <v>0.11171729314038248</v>
      </c>
      <c r="L14" s="11">
        <f>Data!J204</f>
        <v>0.12900632139292445</v>
      </c>
      <c r="M14" s="11">
        <f>Data!J205</f>
        <v>7.0651506593649493E-2</v>
      </c>
      <c r="N14" s="11">
        <f>Data!J206</f>
        <v>6.5966328730675761E-2</v>
      </c>
      <c r="O14" s="11">
        <f>Data!J207</f>
        <v>7.4794508757584754E-2</v>
      </c>
      <c r="P14" s="11">
        <f>Data!J208</f>
        <v>6.5915915915915724E-2</v>
      </c>
      <c r="Q14" s="11">
        <f>Data!J209</f>
        <v>6.3295299807484717E-2</v>
      </c>
    </row>
    <row r="15" spans="1:17" x14ac:dyDescent="0.35">
      <c r="A15" t="s">
        <v>81</v>
      </c>
      <c r="B15" t="s">
        <v>54</v>
      </c>
      <c r="C15" s="11">
        <f>Data!J211</f>
        <v>7.0623035681271817E-2</v>
      </c>
      <c r="D15" s="11">
        <f>Data!J212</f>
        <v>7.4080469694353335E-2</v>
      </c>
      <c r="E15" s="11">
        <f>Data!J213</f>
        <v>8.2315112540192859E-2</v>
      </c>
      <c r="F15" s="11">
        <f>Data!J214</f>
        <v>3.6541889483066026E-2</v>
      </c>
      <c r="G15" s="11">
        <f>Data!J215</f>
        <v>-0.18228718830610491</v>
      </c>
      <c r="H15" s="11">
        <f>Data!J216</f>
        <v>0.18121275849982488</v>
      </c>
      <c r="I15" s="11">
        <f>Data!J217</f>
        <v>0.13471810089020764</v>
      </c>
      <c r="J15" s="11">
        <f>Data!J218</f>
        <v>9.59728033472802E-2</v>
      </c>
      <c r="K15" s="11">
        <f>Data!J219</f>
        <v>3.2689095681221803E-2</v>
      </c>
      <c r="L15" s="11">
        <f>Data!J220</f>
        <v>4.7828096118299523E-2</v>
      </c>
      <c r="M15" s="11">
        <f>Data!J221</f>
        <v>6.5159867695700147E-2</v>
      </c>
      <c r="N15" s="11">
        <f>Data!J222</f>
        <v>5.4031673739778574E-2</v>
      </c>
      <c r="O15" s="11">
        <f>Data!J223</f>
        <v>4.9985269566925394E-2</v>
      </c>
      <c r="P15" s="11">
        <f>Data!J224</f>
        <v>5.0224466891133579E-2</v>
      </c>
      <c r="Q15" s="11">
        <f>Data!J225</f>
        <v>5.0048980318817327E-2</v>
      </c>
    </row>
    <row r="16" spans="1:17" x14ac:dyDescent="0.35">
      <c r="A16" t="s">
        <v>83</v>
      </c>
      <c r="B16" t="s">
        <v>54</v>
      </c>
      <c r="C16" s="11">
        <f>Data!J227</f>
        <v>8.5791595925297282E-2</v>
      </c>
      <c r="D16" s="11">
        <f>Data!J228</f>
        <v>7.070608355729302E-2</v>
      </c>
      <c r="E16" s="11">
        <f>Data!J229</f>
        <v>5.2300109529025196E-2</v>
      </c>
      <c r="F16" s="11">
        <f>Data!J230</f>
        <v>2.6455026455026509E-2</v>
      </c>
      <c r="G16" s="11">
        <f>Data!J231</f>
        <v>1.3647118472198683E-2</v>
      </c>
      <c r="H16" s="11">
        <f>Data!J232</f>
        <v>0.12767287732899857</v>
      </c>
      <c r="I16" s="11">
        <f>Data!J233</f>
        <v>7.9951208693723741E-2</v>
      </c>
      <c r="J16" s="11">
        <f>Data!J234</f>
        <v>7.6256973679706963E-2</v>
      </c>
      <c r="K16" s="11">
        <f>Data!J235</f>
        <v>7.5655907139449807E-2</v>
      </c>
      <c r="L16" s="11">
        <f>Data!J236</f>
        <v>9.9308183538315831E-2</v>
      </c>
      <c r="M16" s="11">
        <f>Data!J237</f>
        <v>7.893392141570077E-2</v>
      </c>
      <c r="N16" s="11">
        <f>Data!J238</f>
        <v>5.5760506505807772E-2</v>
      </c>
      <c r="O16" s="11">
        <f>Data!J239</f>
        <v>7.5622712784795043E-2</v>
      </c>
      <c r="P16" s="11">
        <f>Data!J240</f>
        <v>6.7276877826067949E-2</v>
      </c>
      <c r="Q16" s="11">
        <f>Data!J241</f>
        <v>6.5421714003660814E-2</v>
      </c>
    </row>
    <row r="17" spans="1:17" x14ac:dyDescent="0.35">
      <c r="A17" t="s">
        <v>85</v>
      </c>
      <c r="B17" t="s">
        <v>54</v>
      </c>
      <c r="C17" s="11">
        <f>Data!J243</f>
        <v>8.4403106783574655E-2</v>
      </c>
      <c r="D17" s="11">
        <f>Data!J244</f>
        <v>6.5980701649889895E-2</v>
      </c>
      <c r="E17" s="11">
        <f>Data!J245</f>
        <v>5.5317306214815565E-2</v>
      </c>
      <c r="F17" s="11">
        <f>Data!J246</f>
        <v>4.4263835757872405E-2</v>
      </c>
      <c r="G17" s="11">
        <f>Data!J247</f>
        <v>-6.9627714187930123E-2</v>
      </c>
      <c r="H17" s="11">
        <f>Data!J248</f>
        <v>0.21563257854437445</v>
      </c>
      <c r="I17" s="11">
        <f>Data!J249</f>
        <v>6.7413841412160336E-2</v>
      </c>
      <c r="J17" s="11">
        <f>Data!J250</f>
        <v>6.9015119697606098E-2</v>
      </c>
      <c r="K17" s="11">
        <f>Data!J251</f>
        <v>8.9467946136544407E-2</v>
      </c>
      <c r="L17" s="11">
        <f>Data!J252</f>
        <v>9.4372622202989476E-2</v>
      </c>
      <c r="M17" s="11">
        <f>Data!J253</f>
        <v>0.10654913913831443</v>
      </c>
      <c r="N17" s="11">
        <f>Data!J254</f>
        <v>5.9237366367886457E-2</v>
      </c>
      <c r="O17" s="11">
        <f>Data!J255</f>
        <v>5.1995698652666178E-2</v>
      </c>
      <c r="P17" s="11">
        <f>Data!J256</f>
        <v>5.0321020316811182E-2</v>
      </c>
      <c r="Q17" s="11">
        <f>Data!J257</f>
        <v>5.5129730107944086E-2</v>
      </c>
    </row>
    <row r="18" spans="1:17" x14ac:dyDescent="0.35">
      <c r="A18" t="s">
        <v>90</v>
      </c>
      <c r="B18" t="s">
        <v>54</v>
      </c>
      <c r="C18" s="11">
        <f>Data!J259</f>
        <v>7.0182152623034844E-2</v>
      </c>
      <c r="D18" s="11">
        <f>Data!J260</f>
        <v>7.5194518304042779E-2</v>
      </c>
      <c r="E18" s="11">
        <f>Data!J261</f>
        <v>7.702747647708863E-2</v>
      </c>
      <c r="F18" s="11">
        <f>Data!J262</f>
        <v>9.2612054409706435E-2</v>
      </c>
      <c r="G18" s="11">
        <f>Data!J263</f>
        <v>2.5769600714783847E-2</v>
      </c>
      <c r="H18" s="11">
        <f>Data!J264</f>
        <v>0.17565549728912999</v>
      </c>
      <c r="I18" s="11">
        <f>Data!J265</f>
        <v>0.10871455247858597</v>
      </c>
      <c r="J18" s="11">
        <f>Data!J266</f>
        <v>4.8457924488418236E-2</v>
      </c>
      <c r="K18" s="11">
        <f>Data!J267</f>
        <v>7.649608642067629E-2</v>
      </c>
      <c r="L18" s="11">
        <f>Data!J268</f>
        <v>6.1952676842585541E-2</v>
      </c>
      <c r="M18" s="11">
        <f>Data!J269</f>
        <v>4.9119333697433154E-2</v>
      </c>
      <c r="N18" s="11">
        <f>Data!J270</f>
        <v>6.3581150696816913E-2</v>
      </c>
      <c r="O18" s="11">
        <f>Data!J271</f>
        <v>7.3304101766640484E-2</v>
      </c>
      <c r="P18" s="11">
        <f>Data!J272</f>
        <v>7.4442135265126774E-2</v>
      </c>
      <c r="Q18" s="11">
        <f>Data!J273</f>
        <v>7.3155203628912036E-2</v>
      </c>
    </row>
    <row r="19" spans="1:17" x14ac:dyDescent="0.35">
      <c r="A19" t="s">
        <v>91</v>
      </c>
      <c r="B19" t="s">
        <v>54</v>
      </c>
      <c r="C19" s="12">
        <f>Data!J275</f>
        <v>2.5000000000000004</v>
      </c>
      <c r="D19" s="12">
        <f>Data!J276</f>
        <v>6.178571428571427</v>
      </c>
      <c r="E19" s="12">
        <f>Data!J277</f>
        <v>-1</v>
      </c>
      <c r="F19" s="12" t="str">
        <f>Data!J278</f>
        <v/>
      </c>
      <c r="G19" s="12">
        <f>Data!J279</f>
        <v>40.838709677419359</v>
      </c>
      <c r="H19" s="12">
        <f>Data!J280</f>
        <v>15.444101773323052</v>
      </c>
      <c r="I19" s="12">
        <f>Data!J281</f>
        <v>2.437921980495124</v>
      </c>
      <c r="J19" s="12">
        <f>Data!J282</f>
        <v>1.9624815885658173</v>
      </c>
      <c r="K19" s="12">
        <f>Data!J283</f>
        <v>1.0148051983924207</v>
      </c>
      <c r="L19" s="12">
        <f>Data!J284</f>
        <v>2.8092597416247389</v>
      </c>
      <c r="M19" s="12">
        <f>Data!J285</f>
        <v>3.7878125163077421</v>
      </c>
      <c r="N19" s="12">
        <f>Data!J286</f>
        <v>0.82465682855058153</v>
      </c>
      <c r="O19" s="12">
        <f>Data!J287</f>
        <v>0.38505682333134672</v>
      </c>
      <c r="P19" s="12">
        <f>Data!J288</f>
        <v>0.25573277028512531</v>
      </c>
      <c r="Q19" s="12">
        <f>Data!J289</f>
        <v>0.17196853892522035</v>
      </c>
    </row>
    <row r="20" spans="1:17" x14ac:dyDescent="0.35">
      <c r="A20" t="s">
        <v>93</v>
      </c>
      <c r="B20" t="s">
        <v>94</v>
      </c>
      <c r="C20" s="11">
        <f>Data!J291</f>
        <v>3.971652530949954E-2</v>
      </c>
      <c r="D20" s="11">
        <f>Data!J292</f>
        <v>4.8306432713546954E-2</v>
      </c>
      <c r="E20" s="11">
        <f>Data!J293</f>
        <v>3.6001541088560352E-2</v>
      </c>
      <c r="F20" s="11">
        <f>Data!J294</f>
        <v>3.917634635691658E-2</v>
      </c>
      <c r="G20" s="11">
        <f>Data!J295</f>
        <v>-5.8186027400891516E-2</v>
      </c>
      <c r="H20" s="11">
        <f>Data!J296</f>
        <v>9.4345906845613614E-2</v>
      </c>
      <c r="I20" s="11">
        <f>Data!J297</f>
        <v>0.11055575797843842</v>
      </c>
      <c r="J20" s="11">
        <f>Data!J298</f>
        <v>6.7814077722367028E-2</v>
      </c>
      <c r="K20" s="11">
        <f>Data!J299</f>
        <v>5.0064161651213634E-2</v>
      </c>
      <c r="L20" s="11">
        <f>Data!J300</f>
        <v>4.8069674176836275E-2</v>
      </c>
      <c r="M20" s="11">
        <f>Data!J301</f>
        <v>3.9154697348411371E-2</v>
      </c>
      <c r="N20" s="11">
        <f>Data!J302</f>
        <v>3.5052784626082412E-2</v>
      </c>
      <c r="O20" s="11">
        <f>Data!J303</f>
        <v>3.9432619781964773E-2</v>
      </c>
      <c r="P20" s="11">
        <f>Data!J304</f>
        <v>4.1174206702449867E-2</v>
      </c>
      <c r="Q20" s="11">
        <f>Data!J305</f>
        <v>4.0762081050118804E-2</v>
      </c>
    </row>
    <row r="21" spans="1:17" x14ac:dyDescent="0.35">
      <c r="A21" t="s">
        <v>97</v>
      </c>
      <c r="B21" t="s">
        <v>94</v>
      </c>
      <c r="C21" s="11">
        <f>Data!J307</f>
        <v>1.2904080161264098E-2</v>
      </c>
      <c r="D21" s="11">
        <f>Data!J308</f>
        <v>1.0807669959326027E-2</v>
      </c>
      <c r="E21" s="11">
        <f>Data!J309</f>
        <v>4.1015175902506362E-2</v>
      </c>
      <c r="F21" s="11">
        <f>Data!J310</f>
        <v>1.024324249703179E-2</v>
      </c>
      <c r="G21" s="11">
        <f>Data!J311</f>
        <v>-2.9994534025689967E-2</v>
      </c>
      <c r="H21" s="11">
        <f>Data!J312</f>
        <v>8.2313164753116785E-2</v>
      </c>
      <c r="I21" s="11">
        <f>Data!J313</f>
        <v>6.6928723902743847E-2</v>
      </c>
      <c r="J21" s="11">
        <f>Data!J314</f>
        <v>2.1300475783823325E-2</v>
      </c>
      <c r="K21" s="11">
        <f>Data!J315</f>
        <v>2.8393616512972342E-2</v>
      </c>
      <c r="L21" s="11">
        <f>Data!J316</f>
        <v>2.3974074547292057E-2</v>
      </c>
      <c r="M21" s="11">
        <f>Data!J317</f>
        <v>1.9272434406796934E-2</v>
      </c>
      <c r="N21" s="11">
        <f>Data!J318</f>
        <v>2.5919248575498655E-2</v>
      </c>
      <c r="O21" s="11">
        <f>Data!J319</f>
        <v>2.7509898573520708E-2</v>
      </c>
      <c r="P21" s="11">
        <f>Data!J320</f>
        <v>2.5506487473738737E-2</v>
      </c>
      <c r="Q21" s="11">
        <f>Data!J321</f>
        <v>2.1093918898051234E-2</v>
      </c>
    </row>
    <row r="22" spans="1:17" x14ac:dyDescent="0.35">
      <c r="A22" t="s">
        <v>99</v>
      </c>
      <c r="B22" t="s">
        <v>94</v>
      </c>
      <c r="C22" s="11">
        <f>Data!J323</f>
        <v>5.5546979159357246E-2</v>
      </c>
      <c r="D22" s="11">
        <f>Data!J324</f>
        <v>0.13227766476539959</v>
      </c>
      <c r="E22" s="11">
        <f>Data!J325</f>
        <v>0.11832742302905053</v>
      </c>
      <c r="F22" s="11">
        <f>Data!J326</f>
        <v>0.10583899452955214</v>
      </c>
      <c r="G22" s="11">
        <f>Data!J327</f>
        <v>2.9529334687947717E-3</v>
      </c>
      <c r="H22" s="11">
        <f>Data!J328</f>
        <v>0.11694594338729525</v>
      </c>
      <c r="I22" s="11">
        <f>Data!J329</f>
        <v>0.16835476297432694</v>
      </c>
      <c r="J22" s="11">
        <f>Data!J330</f>
        <v>0.15198119640758523</v>
      </c>
      <c r="K22" s="11">
        <f>Data!J331</f>
        <v>0.11307589611829005</v>
      </c>
      <c r="L22" s="11">
        <f>Data!J332</f>
        <v>9.1885806101204004E-2</v>
      </c>
      <c r="M22" s="11">
        <f>Data!J333</f>
        <v>8.6386552880156176E-2</v>
      </c>
      <c r="N22" s="11">
        <f>Data!J334</f>
        <v>7.5806643931986661E-2</v>
      </c>
      <c r="O22" s="11">
        <f>Data!J335</f>
        <v>5.7013907669390296E-2</v>
      </c>
      <c r="P22" s="11">
        <f>Data!J336</f>
        <v>7.3798648597636962E-2</v>
      </c>
      <c r="Q22" s="11">
        <f>Data!J337</f>
        <v>7.1714828095338579E-2</v>
      </c>
    </row>
    <row r="23" spans="1:17" x14ac:dyDescent="0.35">
      <c r="A23" t="s">
        <v>101</v>
      </c>
      <c r="B23" t="s">
        <v>94</v>
      </c>
      <c r="C23" s="11">
        <f>Data!J339</f>
        <v>4.5649063229504794E-2</v>
      </c>
      <c r="D23" s="11">
        <f>Data!J340</f>
        <v>5.4316457959120878E-2</v>
      </c>
      <c r="E23" s="11">
        <f>Data!J341</f>
        <v>6.7422557216621826E-2</v>
      </c>
      <c r="F23" s="11">
        <f>Data!J342</f>
        <v>7.2097337551697338E-2</v>
      </c>
      <c r="G23" s="11">
        <f>Data!J343</f>
        <v>1.6741221045501575E-2</v>
      </c>
      <c r="H23" s="11">
        <f>Data!J344</f>
        <v>0.14084817362490587</v>
      </c>
      <c r="I23" s="11">
        <f>Data!J345</f>
        <v>0.13444606312024598</v>
      </c>
      <c r="J23" s="11">
        <f>Data!J346</f>
        <v>0.18200328680158817</v>
      </c>
      <c r="K23" s="11">
        <f>Data!J347</f>
        <v>0.10550686046920421</v>
      </c>
      <c r="L23" s="11">
        <f>Data!J348</f>
        <v>6.6107182204824255E-2</v>
      </c>
      <c r="M23" s="11">
        <f>Data!J349</f>
        <v>7.5674344178456199E-2</v>
      </c>
      <c r="N23" s="11">
        <f>Data!J350</f>
        <v>5.0056578541302299E-2</v>
      </c>
      <c r="O23" s="11">
        <f>Data!J351</f>
        <v>5.4625113087094501E-2</v>
      </c>
      <c r="P23" s="11">
        <f>Data!J352</f>
        <v>4.9093010726197317E-2</v>
      </c>
      <c r="Q23" s="11">
        <f>Data!J353</f>
        <v>3.4306199538949755E-2</v>
      </c>
    </row>
    <row r="24" spans="1:17" x14ac:dyDescent="0.35">
      <c r="A24" t="s">
        <v>103</v>
      </c>
      <c r="B24" t="s">
        <v>94</v>
      </c>
      <c r="C24" s="11">
        <f>Data!J355</f>
        <v>3.9490776825149343E-2</v>
      </c>
      <c r="D24" s="11">
        <f>Data!J356</f>
        <v>6.548362909272698E-2</v>
      </c>
      <c r="E24" s="11">
        <f>Data!J357</f>
        <v>6.6385174759558963E-2</v>
      </c>
      <c r="F24" s="11">
        <f>Data!J358</f>
        <v>5.9392872855257295E-2</v>
      </c>
      <c r="G24" s="11">
        <f>Data!J359</f>
        <v>-2.9485049833886889E-2</v>
      </c>
      <c r="H24" s="11">
        <f>Data!J360</f>
        <v>0.1131792896876338</v>
      </c>
      <c r="I24" s="11">
        <f>Data!J361</f>
        <v>9.3599846242552243E-2</v>
      </c>
      <c r="J24" s="11">
        <f>Data!J362</f>
        <v>0.12688927943760997</v>
      </c>
      <c r="K24" s="11">
        <f>Data!J363</f>
        <v>5.240174672489073E-2</v>
      </c>
      <c r="L24" s="12">
        <f>Data!J364</f>
        <v>5.4682868998221723E-2</v>
      </c>
      <c r="M24" s="11">
        <f>Data!J365</f>
        <v>5.0442602220036603E-2</v>
      </c>
      <c r="N24" s="11">
        <f>Data!J366</f>
        <v>6.5676832530765061E-2</v>
      </c>
      <c r="O24" s="11">
        <f>Data!J367</f>
        <v>5.2089870716706344E-2</v>
      </c>
      <c r="P24" s="11">
        <f>Data!J368</f>
        <v>5.1419708900023897E-2</v>
      </c>
      <c r="Q24" s="11">
        <f>Data!J369</f>
        <v>5.117440145239982E-2</v>
      </c>
    </row>
    <row r="25" spans="1:17" x14ac:dyDescent="0.35">
      <c r="A25" t="s">
        <v>106</v>
      </c>
      <c r="B25" t="s">
        <v>94</v>
      </c>
      <c r="C25" s="11">
        <f>Data!J371</f>
        <v>3.4805307809441022E-2</v>
      </c>
      <c r="D25" s="11">
        <f>Data!J372</f>
        <v>4.5406768972041212E-2</v>
      </c>
      <c r="E25" s="11">
        <f>Data!J373</f>
        <v>5.0070380052282371E-2</v>
      </c>
      <c r="F25" s="11">
        <f>Data!J374</f>
        <v>5.1512830333205528E-2</v>
      </c>
      <c r="G25" s="11">
        <f>Data!J375</f>
        <v>-7.5942451283919077E-2</v>
      </c>
      <c r="H25" s="11">
        <f>Data!J376</f>
        <v>0.14978320851399296</v>
      </c>
      <c r="I25" s="11">
        <f>Data!J377</f>
        <v>0.15889612615701054</v>
      </c>
      <c r="J25" s="11">
        <f>Data!J378</f>
        <v>0.17127643839668694</v>
      </c>
      <c r="K25" s="11">
        <f>Data!J379</f>
        <v>8.4859199393862772E-2</v>
      </c>
      <c r="L25" s="11">
        <f>Data!J380</f>
        <v>8.2295425445233494E-2</v>
      </c>
      <c r="M25" s="11">
        <f>Data!J381</f>
        <v>6.5497956549795511E-2</v>
      </c>
      <c r="N25" s="11">
        <f>Data!J382</f>
        <v>5.6121933986070571E-2</v>
      </c>
      <c r="O25" s="11">
        <f>Data!J383</f>
        <v>5.1323712128452659E-2</v>
      </c>
      <c r="P25" s="11">
        <f>Data!J384</f>
        <v>5.1909090909090905E-2</v>
      </c>
      <c r="Q25" s="11">
        <f>Data!J385</f>
        <v>4.7878316480857386E-2</v>
      </c>
    </row>
    <row r="26" spans="1:17" x14ac:dyDescent="0.35">
      <c r="A26" t="s">
        <v>108</v>
      </c>
      <c r="B26" t="s">
        <v>94</v>
      </c>
      <c r="C26" s="11">
        <f>Data!J387</f>
        <v>9.1412742382271484E-2</v>
      </c>
      <c r="D26" s="11">
        <f>Data!J388</f>
        <v>7.8680203045685237E-2</v>
      </c>
      <c r="E26" s="11">
        <f>Data!J389</f>
        <v>8.2352941176470518E-2</v>
      </c>
      <c r="F26" s="11">
        <f>Data!J390</f>
        <v>6.5217391304347894E-2</v>
      </c>
      <c r="G26" s="11">
        <f>Data!J391</f>
        <v>-0.15510204081632661</v>
      </c>
      <c r="H26" s="11">
        <f>Data!J392</f>
        <v>0.18840579710144945</v>
      </c>
      <c r="I26" s="11">
        <f>Data!J393</f>
        <v>0.20731707317073189</v>
      </c>
      <c r="J26" s="11">
        <f>Data!J394</f>
        <v>0.19023569023569031</v>
      </c>
      <c r="K26" s="11">
        <f>Data!J395</f>
        <v>8.0622347949080631E-2</v>
      </c>
      <c r="L26" s="11">
        <f>Data!J396</f>
        <v>8.2460732984293239E-2</v>
      </c>
      <c r="M26" s="11">
        <f>Data!J397</f>
        <v>5.4413542926239566E-2</v>
      </c>
      <c r="N26" s="11">
        <f>Data!J398</f>
        <v>6.4220183486238369E-2</v>
      </c>
      <c r="O26" s="11">
        <f>Data!J399</f>
        <v>6.1422413793103425E-2</v>
      </c>
      <c r="P26" s="11">
        <f>Data!J400</f>
        <v>5.9898477157360297E-2</v>
      </c>
      <c r="Q26" s="11">
        <f>Data!J401</f>
        <v>5.842911877394652E-2</v>
      </c>
    </row>
    <row r="27" spans="1:17" x14ac:dyDescent="0.35">
      <c r="A27" t="s">
        <v>109</v>
      </c>
      <c r="B27" t="s">
        <v>94</v>
      </c>
      <c r="C27" s="11">
        <f>Data!J403</f>
        <v>6.4120225422667376E-2</v>
      </c>
      <c r="D27" s="11">
        <f>Data!J404</f>
        <v>3.9207115116259628E-2</v>
      </c>
      <c r="E27" s="11">
        <f>Data!J405</f>
        <v>6.9194803513937586E-2</v>
      </c>
      <c r="F27" s="11">
        <f>Data!J406</f>
        <v>4.8117661300084658E-2</v>
      </c>
      <c r="G27" s="11">
        <f>Data!J407</f>
        <v>-3.378183288098402E-2</v>
      </c>
      <c r="H27" s="11">
        <f>Data!J408</f>
        <v>8.9887640449438422E-2</v>
      </c>
      <c r="I27" s="11">
        <f>Data!J409</f>
        <v>0.11877604737881109</v>
      </c>
      <c r="J27" s="11">
        <f>Data!J410</f>
        <v>0.10639888246250351</v>
      </c>
      <c r="K27" s="11">
        <f>Data!J411</f>
        <v>6.7758691342437283E-2</v>
      </c>
      <c r="L27" s="11">
        <f>Data!J412</f>
        <v>8.2761982802435519E-2</v>
      </c>
      <c r="M27" s="11">
        <f>Data!J413</f>
        <v>7.2565812162317611E-2</v>
      </c>
      <c r="N27" s="11">
        <f>Data!J414</f>
        <v>6.9531898930896618E-2</v>
      </c>
      <c r="O27" s="11">
        <f>Data!J415</f>
        <v>5.5140795670908904E-2</v>
      </c>
      <c r="P27" s="11">
        <f>Data!J416</f>
        <v>5.3873732697010679E-2</v>
      </c>
      <c r="Q27" s="11">
        <f>Data!J417</f>
        <v>5.142011745445263E-2</v>
      </c>
    </row>
    <row r="28" spans="1:17" x14ac:dyDescent="0.35">
      <c r="A28" t="s">
        <v>111</v>
      </c>
      <c r="B28" t="s">
        <v>94</v>
      </c>
      <c r="C28" s="11">
        <f>Data!J419</f>
        <v>3.0434472824747427E-2</v>
      </c>
      <c r="D28" s="11">
        <f>Data!J420</f>
        <v>7.2732482029076673E-2</v>
      </c>
      <c r="E28" s="11">
        <f>Data!J421</f>
        <v>0.1308589698850704</v>
      </c>
      <c r="F28" s="11">
        <f>Data!J422</f>
        <v>5.5329950949171369E-2</v>
      </c>
      <c r="G28" s="11">
        <f>Data!J423</f>
        <v>-1.7792264108442035E-2</v>
      </c>
      <c r="H28" s="11">
        <f>Data!J424</f>
        <v>0.25143795456971052</v>
      </c>
      <c r="I28" s="11">
        <f>Data!J425</f>
        <v>0.1653257498266687</v>
      </c>
      <c r="J28" s="11">
        <f>Data!J426</f>
        <v>0.10996297548703238</v>
      </c>
      <c r="K28" s="11">
        <f>Data!J427</f>
        <v>0.16098822183799411</v>
      </c>
      <c r="L28" s="11">
        <f>Data!J428</f>
        <v>5.9018054822532529E-2</v>
      </c>
      <c r="M28" s="11">
        <f>Data!J429</f>
        <v>0.10087252454972928</v>
      </c>
      <c r="N28" s="11">
        <f>Data!J430</f>
        <v>7.2467439935216316E-2</v>
      </c>
      <c r="O28" s="11">
        <f>Data!J431</f>
        <v>4.6763680011397524E-2</v>
      </c>
      <c r="P28" s="11">
        <f>Data!J432</f>
        <v>7.0421773000850951E-2</v>
      </c>
      <c r="Q28" s="11">
        <f>Data!J433</f>
        <v>7.4451036095578793E-2</v>
      </c>
    </row>
    <row r="29" spans="1:17" x14ac:dyDescent="0.35">
      <c r="A29" t="s">
        <v>114</v>
      </c>
      <c r="B29" t="s">
        <v>94</v>
      </c>
      <c r="C29" s="11">
        <f>Data!J435</f>
        <v>0.19955847003329064</v>
      </c>
      <c r="D29" s="11">
        <f>Data!J436</f>
        <v>0.2497977253004775</v>
      </c>
      <c r="E29" s="11">
        <f>Data!J437</f>
        <v>0.19423861963015265</v>
      </c>
      <c r="F29" s="11">
        <f>Data!J438</f>
        <v>0.11709687385894441</v>
      </c>
      <c r="G29" s="11">
        <f>Data!J439</f>
        <v>6.1558382781856658E-2</v>
      </c>
      <c r="H29" s="11">
        <f>Data!J440</f>
        <v>0.29104956620393518</v>
      </c>
      <c r="I29" s="11">
        <f>Data!J441</f>
        <v>-3.8845317702743687E-2</v>
      </c>
      <c r="J29" s="11">
        <f>Data!J442</f>
        <v>0.2650927352164778</v>
      </c>
      <c r="K29" s="11">
        <f>Data!J443</f>
        <v>0.15606913741181305</v>
      </c>
      <c r="L29" s="11">
        <f>Data!J444</f>
        <v>0.16558954267473025</v>
      </c>
      <c r="M29" s="11">
        <f>Data!J445</f>
        <v>9.6239499999999811E-2</v>
      </c>
      <c r="N29" s="12">
        <f>Data!J446</f>
        <v>0.18650762397545662</v>
      </c>
      <c r="O29" s="11">
        <f>Data!J447</f>
        <v>0.19728050249805684</v>
      </c>
      <c r="P29" s="11">
        <f>Data!J448</f>
        <v>0.2054983061555371</v>
      </c>
      <c r="Q29" s="11">
        <f>Data!J449</f>
        <v>0.18495487907592345</v>
      </c>
    </row>
    <row r="30" spans="1:17" x14ac:dyDescent="0.35">
      <c r="A30" t="s">
        <v>118</v>
      </c>
      <c r="B30" t="s">
        <v>94</v>
      </c>
      <c r="C30" s="11">
        <f>Data!J451</f>
        <v>0.11721451449835607</v>
      </c>
      <c r="D30" s="11">
        <f>Data!J452</f>
        <v>0.19830493652067127</v>
      </c>
      <c r="E30" s="11">
        <f>Data!J453</f>
        <v>0.20781969392644206</v>
      </c>
      <c r="F30" s="11">
        <f>Data!J454</f>
        <v>0.15646213824846056</v>
      </c>
      <c r="G30" s="11">
        <f>Data!J455</f>
        <v>0.16802626049227065</v>
      </c>
      <c r="H30" s="11">
        <f>Data!J456</f>
        <v>0.44578360117548455</v>
      </c>
      <c r="I30" s="11">
        <f>Data!J457</f>
        <v>1.0616454572358687</v>
      </c>
      <c r="J30" s="11">
        <f>Data!J458</f>
        <v>0.76769655993203645</v>
      </c>
      <c r="K30" s="11">
        <f>Data!J459</f>
        <v>0.64907884289778295</v>
      </c>
      <c r="L30" s="11">
        <f>Data!J460</f>
        <v>0.41553770404985046</v>
      </c>
      <c r="M30" s="11">
        <f>Data!J461</f>
        <v>0.30665275997098052</v>
      </c>
      <c r="N30" s="11">
        <f>Data!J462</f>
        <v>0.20545856760099435</v>
      </c>
      <c r="O30" s="11">
        <f>Data!J463</f>
        <v>0.15906132587178501</v>
      </c>
      <c r="P30" s="11">
        <f>Data!J464</f>
        <v>0.13635358132169095</v>
      </c>
      <c r="Q30" s="11">
        <f>Data!J465</f>
        <v>0.13509440451079446</v>
      </c>
    </row>
    <row r="31" spans="1:17" x14ac:dyDescent="0.35">
      <c r="A31" t="s">
        <v>120</v>
      </c>
      <c r="B31" t="s">
        <v>94</v>
      </c>
      <c r="C31" s="11">
        <f>Data!J467</f>
        <v>0.14888466502772602</v>
      </c>
      <c r="D31" s="11">
        <f>Data!J468</f>
        <v>0.15770765672120013</v>
      </c>
      <c r="E31" s="11">
        <f>Data!J469</f>
        <v>0.13683037856990743</v>
      </c>
      <c r="F31" s="11">
        <f>Data!J470</f>
        <v>0.12476783230674315</v>
      </c>
      <c r="G31" s="11">
        <f>Data!J471</f>
        <v>1.6055771225681914E-2</v>
      </c>
      <c r="H31" s="11">
        <f>Data!J472</f>
        <v>0.1882907663417317</v>
      </c>
      <c r="I31" s="11">
        <f>Data!J473</f>
        <v>0.23601613739537286</v>
      </c>
      <c r="J31" s="11">
        <f>Data!J474</f>
        <v>0.15107879765841292</v>
      </c>
      <c r="K31" s="11">
        <f>Data!J475</f>
        <v>0.14442983301810441</v>
      </c>
      <c r="L31" s="11">
        <f>Data!J476</f>
        <v>0.16763972079981659</v>
      </c>
      <c r="M31" s="11">
        <f>Data!J477</f>
        <v>0.15262335999999999</v>
      </c>
      <c r="N31" s="11">
        <f>Data!J478</f>
        <v>0.12378759262290706</v>
      </c>
      <c r="O31" s="11">
        <f>Data!J479</f>
        <v>0.12436112685755663</v>
      </c>
      <c r="P31" s="11">
        <f>Data!J480</f>
        <v>0.11494271687914348</v>
      </c>
      <c r="Q31" s="11">
        <f>Data!J481</f>
        <v>0.10755210951714367</v>
      </c>
    </row>
    <row r="32" spans="1:17" x14ac:dyDescent="0.35">
      <c r="A32" t="s">
        <v>123</v>
      </c>
      <c r="B32" t="s">
        <v>94</v>
      </c>
      <c r="C32" s="11">
        <f>Data!J483</f>
        <v>8.3531016929972113E-2</v>
      </c>
      <c r="D32" s="11">
        <f>Data!J484</f>
        <v>0.11323002182100983</v>
      </c>
      <c r="E32" s="11">
        <f>Data!J485</f>
        <v>0.10458931847692465</v>
      </c>
      <c r="F32" s="11">
        <f>Data!J486</f>
        <v>7.4638404008674719E-2</v>
      </c>
      <c r="G32" s="11">
        <f>Data!J487</f>
        <v>2.8825922651819269E-2</v>
      </c>
      <c r="H32" s="11">
        <f>Data!J488</f>
        <v>0.13427360176316294</v>
      </c>
      <c r="I32" s="11">
        <f>Data!J489</f>
        <v>5.1290867532839179E-2</v>
      </c>
      <c r="J32" s="11">
        <f>Data!J490</f>
        <v>4.8817556534714646E-2</v>
      </c>
      <c r="K32" s="11">
        <f>Data!J491</f>
        <v>4.1563529512389064E-2</v>
      </c>
      <c r="L32" s="11">
        <f>Data!J492</f>
        <v>3.9918662748164913E-2</v>
      </c>
      <c r="M32" s="11">
        <f>Data!J493</f>
        <v>5.8128189647153494E-2</v>
      </c>
      <c r="N32" s="11">
        <f>Data!J494</f>
        <v>5.6284418720399687E-2</v>
      </c>
      <c r="O32" s="11">
        <f>Data!J495</f>
        <v>5.5110723470608525E-2</v>
      </c>
      <c r="P32" s="11">
        <f>Data!J496</f>
        <v>5.5596959876400343E-2</v>
      </c>
      <c r="Q32" s="11">
        <f>Data!J497</f>
        <v>5.6332148602748378E-2</v>
      </c>
    </row>
    <row r="33" spans="1:17" x14ac:dyDescent="0.35">
      <c r="A33" t="s">
        <v>129</v>
      </c>
      <c r="B33" t="s">
        <v>94</v>
      </c>
      <c r="C33" s="11">
        <f>Data!J499</f>
        <v>0.11754290861131</v>
      </c>
      <c r="D33" s="11">
        <f>Data!J500</f>
        <v>0.11115583113126393</v>
      </c>
      <c r="E33" s="11">
        <f>Data!J501</f>
        <v>0.12358234935299706</v>
      </c>
      <c r="F33" s="11">
        <f>Data!J502</f>
        <v>5.7435635578092947E-2</v>
      </c>
      <c r="G33" s="11">
        <f>Data!J503</f>
        <v>-2.5866181173816116E-2</v>
      </c>
      <c r="H33" s="11">
        <f>Data!J504</f>
        <v>0.18635267066033534</v>
      </c>
      <c r="I33" s="11">
        <f>Data!J505</f>
        <v>0.11774009330701696</v>
      </c>
      <c r="J33" s="11">
        <f>Data!J506</f>
        <v>0.10745391803890447</v>
      </c>
      <c r="K33" s="11">
        <f>Data!J507</f>
        <v>0.10105932782117422</v>
      </c>
      <c r="L33" s="11">
        <f>Data!J508</f>
        <v>8.4341894473910939E-2</v>
      </c>
      <c r="M33" s="11">
        <f>Data!J509</f>
        <v>0.13607712609145906</v>
      </c>
      <c r="N33" s="11">
        <f>Data!J510</f>
        <v>0.12898659508698174</v>
      </c>
      <c r="O33" s="11">
        <f>Data!J511</f>
        <v>0.13175973259483986</v>
      </c>
      <c r="P33" s="11">
        <f>Data!J512</f>
        <v>0.12188021259283821</v>
      </c>
      <c r="Q33" s="11">
        <f>Data!J513</f>
        <v>0.1102099846310276</v>
      </c>
    </row>
    <row r="34" spans="1:17" x14ac:dyDescent="0.35">
      <c r="A34" t="s">
        <v>132</v>
      </c>
      <c r="B34" t="s">
        <v>94</v>
      </c>
      <c r="C34" s="11">
        <f>Data!J515</f>
        <v>5.2993485678833663E-2</v>
      </c>
      <c r="D34" s="11">
        <f>Data!J516</f>
        <v>5.5209134602270504E-2</v>
      </c>
      <c r="E34" s="11">
        <f>Data!J517</f>
        <v>3.7606696204691259E-2</v>
      </c>
      <c r="F34" s="11">
        <f>Data!J518</f>
        <v>1.6751620602201367E-2</v>
      </c>
      <c r="G34" s="11">
        <f>Data!J519</f>
        <v>8.762171724844281E-3</v>
      </c>
      <c r="H34" s="11">
        <f>Data!J520</f>
        <v>8.0278070605838359E-2</v>
      </c>
      <c r="I34" s="11">
        <f>Data!J521</f>
        <v>4.6970841652726136E-2</v>
      </c>
      <c r="J34" s="11">
        <f>Data!J522</f>
        <v>3.4108334013409625E-2</v>
      </c>
      <c r="K34" s="11">
        <f>Data!J523</f>
        <v>6.5052874670831207E-2</v>
      </c>
      <c r="L34" s="11">
        <f>Data!J524</f>
        <v>4.3861633257936239E-2</v>
      </c>
      <c r="M34" s="11">
        <f>Data!J525</f>
        <v>5.9556359999999975E-2</v>
      </c>
      <c r="N34" s="11">
        <f>Data!J526</f>
        <v>4.8119644557283348E-2</v>
      </c>
      <c r="O34" s="11">
        <f>Data!J527</f>
        <v>3.932769096843125E-2</v>
      </c>
      <c r="P34" s="11">
        <f>Data!J528</f>
        <v>3.5685372610867239E-2</v>
      </c>
      <c r="Q34" s="11">
        <f>Data!J529</f>
        <v>3.4515308882397511E-2</v>
      </c>
    </row>
    <row r="35" spans="1:17" x14ac:dyDescent="0.35">
      <c r="A35" t="s">
        <v>136</v>
      </c>
      <c r="B35" t="s">
        <v>94</v>
      </c>
      <c r="C35" s="11">
        <f>Data!J531</f>
        <v>7.6628837832152241E-2</v>
      </c>
      <c r="D35" s="11">
        <f>Data!J532</f>
        <v>6.6947505541490093E-2</v>
      </c>
      <c r="E35" s="11">
        <f>Data!J533</f>
        <v>5.6122358556887297E-2</v>
      </c>
      <c r="F35" s="11">
        <f>Data!J534</f>
        <v>4.8855252191326581E-2</v>
      </c>
      <c r="G35" s="11">
        <f>Data!J535</f>
        <v>-1.1101807754732684E-2</v>
      </c>
      <c r="H35" s="11">
        <f>Data!J536</f>
        <v>0.1157842509833249</v>
      </c>
      <c r="I35" s="11">
        <f>Data!J537</f>
        <v>7.406989708128453E-2</v>
      </c>
      <c r="J35" s="11">
        <f>Data!J538</f>
        <v>5.5664223634907195E-2</v>
      </c>
      <c r="K35" s="11">
        <f>Data!J539</f>
        <v>4.4727871582498135E-2</v>
      </c>
      <c r="L35" s="11">
        <f>Data!J540</f>
        <v>3.935286877163402E-2</v>
      </c>
      <c r="M35" s="11">
        <f>Data!J541</f>
        <v>5.7182937505479758E-2</v>
      </c>
      <c r="N35" s="11">
        <f>Data!J542</f>
        <v>5.2561219096471268E-2</v>
      </c>
      <c r="O35" s="11">
        <f>Data!J543</f>
        <v>5.6710257073641079E-2</v>
      </c>
      <c r="P35" s="11">
        <f>Data!J544</f>
        <v>6.4822388636077921E-2</v>
      </c>
      <c r="Q35" s="11">
        <f>Data!J545</f>
        <v>6.8074121298899559E-2</v>
      </c>
    </row>
    <row r="36" spans="1:17" x14ac:dyDescent="0.35">
      <c r="A36" t="s">
        <v>139</v>
      </c>
      <c r="B36" t="s">
        <v>94</v>
      </c>
      <c r="C36" s="11">
        <f>Data!J547</f>
        <v>1.4961228805698834E-2</v>
      </c>
      <c r="D36" s="11">
        <f>Data!J548</f>
        <v>4.994288325336993E-2</v>
      </c>
      <c r="E36" s="11">
        <f>Data!J549</f>
        <v>4.0334232744364096E-2</v>
      </c>
      <c r="F36" s="11">
        <f>Data!J550</f>
        <v>3.7314681570228547E-2</v>
      </c>
      <c r="G36" s="11">
        <f>Data!J551</f>
        <v>-7.046070460704601E-2</v>
      </c>
      <c r="H36" s="11">
        <f>Data!J552</f>
        <v>0.10766347355268624</v>
      </c>
      <c r="I36" s="11">
        <f>Data!J553</f>
        <v>4.4635583129660983E-2</v>
      </c>
      <c r="J36" s="11">
        <f>Data!J554</f>
        <v>0.11405732111522715</v>
      </c>
      <c r="K36" s="11">
        <f>Data!J555</f>
        <v>8.6784146899652637E-2</v>
      </c>
      <c r="L36" s="11">
        <f>Data!J556</f>
        <v>6.5422991880191184E-2</v>
      </c>
      <c r="M36" s="11">
        <f>Data!J557</f>
        <v>5.3181399999999934E-2</v>
      </c>
      <c r="N36" s="11">
        <f>Data!J558</f>
        <v>4.7821902462883203E-2</v>
      </c>
      <c r="O36" s="11">
        <f>Data!J559</f>
        <v>5.2349976911802987E-2</v>
      </c>
      <c r="P36" s="11">
        <f>Data!J560</f>
        <v>5.3499375196741417E-2</v>
      </c>
      <c r="Q36" s="11">
        <f>Data!J561</f>
        <v>7.4016560803683573E-2</v>
      </c>
    </row>
    <row r="37" spans="1:17" x14ac:dyDescent="0.35">
      <c r="A37" t="s">
        <v>142</v>
      </c>
      <c r="B37" t="s">
        <v>94</v>
      </c>
      <c r="C37" s="11">
        <f>Data!J563</f>
        <v>6.1135857461024568E-2</v>
      </c>
      <c r="D37" s="11">
        <f>Data!J564</f>
        <v>7.0521565746668013E-2</v>
      </c>
      <c r="E37" s="11">
        <f>Data!J565</f>
        <v>0.10763650622487986</v>
      </c>
      <c r="F37" s="11">
        <f>Data!J566</f>
        <v>8.8326400566421936E-2</v>
      </c>
      <c r="G37" s="11">
        <f>Data!J567</f>
        <v>-2.8218264617386302E-2</v>
      </c>
      <c r="H37" s="11">
        <f>Data!J568</f>
        <v>0.10075313807531372</v>
      </c>
      <c r="I37" s="11">
        <f>Data!J569</f>
        <v>6.0057777102022314E-2</v>
      </c>
      <c r="J37" s="11">
        <f>Data!J570</f>
        <v>7.4225473321858804E-2</v>
      </c>
      <c r="K37" s="11">
        <f>Data!J571</f>
        <v>6.7160691634955638E-2</v>
      </c>
      <c r="L37" s="11">
        <f>Data!J572</f>
        <v>7.375664685642791E-2</v>
      </c>
      <c r="M37" s="11">
        <f>Data!J573</f>
        <v>5.7620601258447923E-2</v>
      </c>
      <c r="N37" s="11">
        <f>Data!J574</f>
        <v>9.1995813364182055E-2</v>
      </c>
      <c r="O37" s="11">
        <f>Data!J575</f>
        <v>8.2278161731322186E-2</v>
      </c>
      <c r="P37" s="11">
        <f>Data!J576</f>
        <v>6.6654236972126357E-2</v>
      </c>
      <c r="Q37" s="11">
        <f>Data!J577</f>
        <v>4.8898793917147243E-2</v>
      </c>
    </row>
    <row r="38" spans="1:17" x14ac:dyDescent="0.35">
      <c r="A38" t="s">
        <v>144</v>
      </c>
      <c r="B38" t="s">
        <v>94</v>
      </c>
      <c r="C38" s="11">
        <f>Data!J579</f>
        <v>3.2986542300227351E-2</v>
      </c>
      <c r="D38" s="11">
        <f>Data!J580</f>
        <v>4.1897824518909665E-2</v>
      </c>
      <c r="E38" s="11">
        <f>Data!J581</f>
        <v>3.6119040700159033E-2</v>
      </c>
      <c r="F38" s="11">
        <f>Data!J582</f>
        <v>3.4175273039231957E-2</v>
      </c>
      <c r="G38" s="11">
        <f>Data!J583</f>
        <v>-9.9305261982436166E-2</v>
      </c>
      <c r="H38" s="11">
        <f>Data!J584</f>
        <v>9.4101185784752239E-2</v>
      </c>
      <c r="I38" s="11">
        <f>Data!J585</f>
        <v>0.1136328684630139</v>
      </c>
      <c r="J38" s="11">
        <f>Data!J586</f>
        <v>8.7523439884872101E-2</v>
      </c>
      <c r="K38" s="11">
        <f>Data!J587</f>
        <v>6.8376239741224865E-2</v>
      </c>
      <c r="L38" s="11">
        <f>Data!J588</f>
        <v>5.7187896834085095E-2</v>
      </c>
      <c r="M38" s="11">
        <f>Data!J589</f>
        <v>5.263874178259309E-2</v>
      </c>
      <c r="N38" s="11">
        <f>Data!J590</f>
        <v>4.1400360882982712E-2</v>
      </c>
      <c r="O38" s="11">
        <f>Data!J591</f>
        <v>3.7314721853375366E-2</v>
      </c>
      <c r="P38" s="11">
        <f>Data!J592</f>
        <v>3.8537791075842209E-2</v>
      </c>
      <c r="Q38" s="11">
        <f>Data!J593</f>
        <v>3.9272275416998736E-2</v>
      </c>
    </row>
    <row r="39" spans="1:17" x14ac:dyDescent="0.35">
      <c r="A39" t="s">
        <v>148</v>
      </c>
      <c r="B39" t="s">
        <v>94</v>
      </c>
      <c r="C39" s="11">
        <f>Data!J595</f>
        <v>3.8965382685768546E-2</v>
      </c>
      <c r="D39" s="11">
        <f>Data!J596</f>
        <v>4.8985942697714391E-2</v>
      </c>
      <c r="E39" s="11">
        <f>Data!J597</f>
        <v>4.8539716638535069E-2</v>
      </c>
      <c r="F39" s="11">
        <f>Data!J598</f>
        <v>4.6292682926829309E-2</v>
      </c>
      <c r="G39" s="11">
        <f>Data!J599</f>
        <v>-6.2753508322066276E-2</v>
      </c>
      <c r="H39" s="11">
        <f>Data!J600</f>
        <v>7.6903944684872938E-2</v>
      </c>
      <c r="I39" s="11">
        <f>Data!J601</f>
        <v>0.12688807797126889</v>
      </c>
      <c r="J39" s="11">
        <f>Data!J602</f>
        <v>0.10817347106082975</v>
      </c>
      <c r="K39" s="11">
        <f>Data!J603</f>
        <v>7.6937303495468568E-2</v>
      </c>
      <c r="L39" s="11">
        <f>Data!J604</f>
        <v>5.9728662201614435E-2</v>
      </c>
      <c r="M39" s="11">
        <f>Data!J605</f>
        <v>4.5407402605820879E-2</v>
      </c>
      <c r="N39" s="11">
        <f>Data!J606</f>
        <v>3.7389552007440763E-2</v>
      </c>
      <c r="O39" s="11">
        <f>Data!J607</f>
        <v>3.8612115597262298E-2</v>
      </c>
      <c r="P39" s="11">
        <f>Data!J608</f>
        <v>4.3794780306736225E-2</v>
      </c>
      <c r="Q39" s="11">
        <f>Data!J609</f>
        <v>3.9641626464507196E-2</v>
      </c>
    </row>
    <row r="40" spans="1:17" x14ac:dyDescent="0.35">
      <c r="A40" t="s">
        <v>149</v>
      </c>
      <c r="B40" t="s">
        <v>94</v>
      </c>
      <c r="C40" s="11">
        <f>Data!J611</f>
        <v>1.3818479149632079E-2</v>
      </c>
      <c r="D40" s="11">
        <f>Data!J612</f>
        <v>2.6821159412497186E-2</v>
      </c>
      <c r="E40" s="11">
        <f>Data!J613</f>
        <v>2.7787474691056469E-2</v>
      </c>
      <c r="F40" s="11">
        <f>Data!J614</f>
        <v>3.2627708715440518E-2</v>
      </c>
      <c r="G40" s="11">
        <f>Data!J615</f>
        <v>-4.6842172345315514E-2</v>
      </c>
      <c r="H40" s="11">
        <f>Data!J616</f>
        <v>8.1879669410079847E-2</v>
      </c>
      <c r="I40" s="11">
        <f>Data!J617</f>
        <v>5.8171524261393159E-2</v>
      </c>
      <c r="J40" s="11">
        <f>Data!J618</f>
        <v>6.7758100979653291E-2</v>
      </c>
      <c r="K40" s="11">
        <f>Data!J619</f>
        <v>3.5785491719686702E-2</v>
      </c>
      <c r="L40" s="11">
        <f>Data!J620</f>
        <v>1.9017184284760402E-2</v>
      </c>
      <c r="M40" s="11">
        <f>Data!J621</f>
        <v>2.6117831136787562E-2</v>
      </c>
      <c r="N40" s="11">
        <f>Data!J622</f>
        <v>2.7932542242553371E-2</v>
      </c>
      <c r="O40" s="11">
        <f>Data!J623</f>
        <v>2.9915274920679247E-2</v>
      </c>
      <c r="P40" s="11">
        <f>Data!J624</f>
        <v>3.3828928781364676E-2</v>
      </c>
      <c r="Q40" s="11">
        <f>Data!J625</f>
        <v>3.3067298561268776E-2</v>
      </c>
    </row>
    <row r="41" spans="1:17" x14ac:dyDescent="0.35">
      <c r="A41" t="s">
        <v>150</v>
      </c>
      <c r="B41" t="s">
        <v>94</v>
      </c>
      <c r="C41" s="11">
        <f>Data!J627</f>
        <v>2.4998797556635033E-2</v>
      </c>
      <c r="D41" s="11">
        <f>Data!J628</f>
        <v>2.324531046537559E-2</v>
      </c>
      <c r="E41" s="11">
        <f>Data!J629</f>
        <v>1.9060011808608834E-2</v>
      </c>
      <c r="F41" s="11">
        <f>Data!J630</f>
        <v>1.4810939732469164E-2</v>
      </c>
      <c r="G41" s="11">
        <f>Data!J631</f>
        <v>-7.4309755164710833E-2</v>
      </c>
      <c r="H41" s="11">
        <f>Data!J632</f>
        <v>0.10329279465392416</v>
      </c>
      <c r="I41" s="11">
        <f>Data!J633</f>
        <v>8.4428307037682337E-2</v>
      </c>
      <c r="J41" s="11">
        <f>Data!J634</f>
        <v>7.240487070022561E-2</v>
      </c>
      <c r="K41" s="11">
        <f>Data!J635</f>
        <v>2.7670179303135534E-2</v>
      </c>
      <c r="L41" s="11">
        <f>Data!J636</f>
        <v>2.544016203230659E-2</v>
      </c>
      <c r="M41" s="11">
        <f>Data!J637</f>
        <v>2.0606275326055634E-2</v>
      </c>
      <c r="N41" s="11">
        <f>Data!J638</f>
        <v>1.6775290942384169E-2</v>
      </c>
      <c r="O41" s="11">
        <f>Data!J639</f>
        <v>2.1389187620559635E-2</v>
      </c>
      <c r="P41" s="11">
        <f>Data!J640</f>
        <v>2.5800548183307237E-2</v>
      </c>
      <c r="Q41" s="11">
        <f>Data!J641</f>
        <v>2.6764584886217024E-2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85"/>
  <sheetViews>
    <sheetView workbookViewId="0"/>
  </sheetViews>
  <sheetFormatPr baseColWidth="10" defaultColWidth="8.7265625" defaultRowHeight="14.5" x14ac:dyDescent="0.35"/>
  <cols>
    <col min="2" max="2" width="14" customWidth="1"/>
  </cols>
  <sheetData>
    <row r="1" spans="1:19" x14ac:dyDescent="0.35">
      <c r="A1" t="s">
        <v>151</v>
      </c>
    </row>
    <row r="2" spans="1:19" x14ac:dyDescent="0.35">
      <c r="A2" s="2" t="s">
        <v>23</v>
      </c>
      <c r="B2" s="2" t="s">
        <v>24</v>
      </c>
      <c r="C2" s="2">
        <v>2015</v>
      </c>
      <c r="D2" s="2">
        <v>2016</v>
      </c>
      <c r="E2" s="2">
        <v>2017</v>
      </c>
      <c r="F2" s="2">
        <v>2018</v>
      </c>
      <c r="G2" s="2">
        <v>2019</v>
      </c>
      <c r="H2" s="2">
        <v>2020</v>
      </c>
      <c r="I2" s="2">
        <v>2021</v>
      </c>
      <c r="J2" s="2">
        <v>2022</v>
      </c>
      <c r="K2" s="2">
        <v>2023</v>
      </c>
      <c r="L2" s="2">
        <v>2024</v>
      </c>
      <c r="M2" s="2">
        <v>2025</v>
      </c>
      <c r="N2" s="2">
        <v>2026</v>
      </c>
      <c r="O2" s="2">
        <v>2027</v>
      </c>
      <c r="P2" s="2">
        <v>2028</v>
      </c>
      <c r="Q2" s="2">
        <v>2029</v>
      </c>
      <c r="R2" s="2">
        <v>2030</v>
      </c>
      <c r="S2" s="2" t="s">
        <v>152</v>
      </c>
    </row>
    <row r="3" spans="1:19" x14ac:dyDescent="0.35">
      <c r="A3" t="s">
        <v>36</v>
      </c>
      <c r="B3" t="s">
        <v>37</v>
      </c>
      <c r="C3" s="11">
        <v>2.7199999999999998E-2</v>
      </c>
      <c r="D3" s="11">
        <v>2.8199999999999999E-2</v>
      </c>
      <c r="E3" s="11">
        <v>6.0400000000000002E-2</v>
      </c>
      <c r="F3" s="11">
        <v>4.9000000000000002E-2</v>
      </c>
      <c r="G3" s="11">
        <v>3.6400000000000002E-2</v>
      </c>
      <c r="H3" s="11">
        <v>3.4000000000000002E-2</v>
      </c>
      <c r="I3" s="11">
        <v>5.6900000000000013E-2</v>
      </c>
      <c r="J3" s="11">
        <v>7.9000000000000001E-2</v>
      </c>
      <c r="K3" s="11">
        <v>5.5300000000000002E-2</v>
      </c>
      <c r="L3" s="11">
        <v>4.7199999999999999E-2</v>
      </c>
      <c r="M3" s="11">
        <v>3.8100000000000002E-2</v>
      </c>
      <c r="N3" s="11">
        <v>3.7599999999999988E-2</v>
      </c>
      <c r="O3" s="11">
        <v>3.9E-2</v>
      </c>
      <c r="P3" s="11">
        <v>3.7199999999999997E-2</v>
      </c>
      <c r="Q3" s="11">
        <v>3.2099999999999997E-2</v>
      </c>
      <c r="R3" s="11">
        <v>2.5499999999999998E-2</v>
      </c>
      <c r="S3" t="s">
        <v>153</v>
      </c>
    </row>
    <row r="4" spans="1:19" x14ac:dyDescent="0.35">
      <c r="A4" t="s">
        <v>46</v>
      </c>
      <c r="B4" t="s">
        <v>47</v>
      </c>
      <c r="C4" s="11">
        <v>1.1999999999999999E-3</v>
      </c>
      <c r="D4" s="11">
        <v>1.26E-2</v>
      </c>
      <c r="E4" s="11">
        <v>2.1299999999999999E-2</v>
      </c>
      <c r="F4" s="11">
        <v>2.4400000000000002E-2</v>
      </c>
      <c r="G4" s="11">
        <v>1.8100000000000002E-2</v>
      </c>
      <c r="H4" s="11">
        <v>1.23E-2</v>
      </c>
      <c r="I4" s="11">
        <v>4.7E-2</v>
      </c>
      <c r="J4" s="11">
        <v>0.08</v>
      </c>
      <c r="K4" s="11">
        <v>4.1200000000000001E-2</v>
      </c>
      <c r="L4" s="11">
        <v>2.9499999999999998E-2</v>
      </c>
      <c r="M4" s="11">
        <v>2.7099999999999999E-2</v>
      </c>
      <c r="N4" s="11">
        <v>3.3599999999999998E-2</v>
      </c>
      <c r="O4" s="11">
        <v>2.4199999999999999E-2</v>
      </c>
      <c r="P4" s="11">
        <v>2.0799999999999999E-2</v>
      </c>
      <c r="Q4" s="11">
        <v>0.02</v>
      </c>
      <c r="R4" s="11">
        <v>2.06E-2</v>
      </c>
      <c r="S4" t="s">
        <v>154</v>
      </c>
    </row>
    <row r="5" spans="1:19" x14ac:dyDescent="0.35">
      <c r="A5" t="s">
        <v>50</v>
      </c>
      <c r="B5" t="s">
        <v>47</v>
      </c>
      <c r="C5" s="11">
        <v>1.1299999999999999E-2</v>
      </c>
      <c r="D5" s="11">
        <v>1.43E-2</v>
      </c>
      <c r="E5" s="11">
        <v>1.6E-2</v>
      </c>
      <c r="F5" s="11">
        <v>2.2700000000000001E-2</v>
      </c>
      <c r="G5" s="11">
        <v>1.95E-2</v>
      </c>
      <c r="H5" s="11">
        <v>7.1999999999999998E-3</v>
      </c>
      <c r="I5" s="11">
        <v>3.4000000000000002E-2</v>
      </c>
      <c r="J5" s="11">
        <v>6.8000000000000005E-2</v>
      </c>
      <c r="K5" s="11">
        <v>3.8800000000000001E-2</v>
      </c>
      <c r="L5" s="11">
        <v>2.3800000000000002E-2</v>
      </c>
      <c r="M5" s="11">
        <v>2.07E-2</v>
      </c>
      <c r="N5" s="11">
        <v>2.7799999999999998E-2</v>
      </c>
      <c r="O5" s="11">
        <v>2.7900000000000001E-2</v>
      </c>
      <c r="P5" s="11">
        <v>2.06E-2</v>
      </c>
      <c r="Q5" s="11">
        <v>1.8200000000000001E-2</v>
      </c>
      <c r="R5" s="11">
        <v>1.8599999999999998E-2</v>
      </c>
      <c r="S5" t="s">
        <v>155</v>
      </c>
    </row>
    <row r="6" spans="1:19" x14ac:dyDescent="0.35">
      <c r="A6" t="s">
        <v>53</v>
      </c>
      <c r="B6" t="s">
        <v>54</v>
      </c>
      <c r="C6" s="11">
        <v>0.1636</v>
      </c>
      <c r="D6" s="11">
        <v>0.37519999999999998</v>
      </c>
      <c r="E6" s="11">
        <v>0.25280000000000002</v>
      </c>
      <c r="F6" s="11">
        <v>0.34279999999999999</v>
      </c>
      <c r="G6" s="11">
        <v>0.53549999999999998</v>
      </c>
      <c r="H6" s="11">
        <v>0.42020000000000002</v>
      </c>
      <c r="I6" s="11">
        <v>0.48409999999999997</v>
      </c>
      <c r="J6" s="11">
        <v>0.72430000000000005</v>
      </c>
      <c r="K6" s="11">
        <v>1.3349</v>
      </c>
      <c r="L6" s="11">
        <v>2.1987999999999999</v>
      </c>
      <c r="M6" s="11">
        <v>0.41920000000000002</v>
      </c>
      <c r="N6" s="11">
        <v>0.32700000000000001</v>
      </c>
      <c r="O6" s="11">
        <v>0.1779</v>
      </c>
      <c r="P6" s="11">
        <v>8.3000000000000004E-2</v>
      </c>
      <c r="Q6" s="11">
        <v>6.6699999999999995E-2</v>
      </c>
      <c r="R6" s="11">
        <v>7.0900000000000005E-2</v>
      </c>
      <c r="S6" t="s">
        <v>156</v>
      </c>
    </row>
    <row r="7" spans="1:19" x14ac:dyDescent="0.35">
      <c r="A7" t="s">
        <v>57</v>
      </c>
      <c r="B7" t="s">
        <v>54</v>
      </c>
      <c r="C7" s="11">
        <v>9.0299999999999991E-2</v>
      </c>
      <c r="D7" s="11">
        <v>8.7400000000000005E-2</v>
      </c>
      <c r="E7" s="11">
        <v>3.4500000000000003E-2</v>
      </c>
      <c r="F7" s="11">
        <v>3.6600000000000001E-2</v>
      </c>
      <c r="G7" s="11">
        <v>3.73E-2</v>
      </c>
      <c r="H7" s="11">
        <v>3.2099999999999997E-2</v>
      </c>
      <c r="I7" s="11">
        <v>8.3000000000000004E-2</v>
      </c>
      <c r="J7" s="11">
        <v>9.2799999999999994E-2</v>
      </c>
      <c r="K7" s="11">
        <v>4.5900000000000003E-2</v>
      </c>
      <c r="L7" s="11">
        <v>4.3700000000000003E-2</v>
      </c>
      <c r="M7" s="11">
        <v>5.0199999999999988E-2</v>
      </c>
      <c r="N7" s="11">
        <v>4.5900000000000003E-2</v>
      </c>
      <c r="O7" s="11">
        <v>4.87E-2</v>
      </c>
      <c r="P7" s="11">
        <v>3.5099999999999999E-2</v>
      </c>
      <c r="Q7" s="11">
        <v>3.6200000000000003E-2</v>
      </c>
      <c r="R7" s="11">
        <v>3.2099999999999997E-2</v>
      </c>
      <c r="S7" t="s">
        <v>157</v>
      </c>
    </row>
    <row r="8" spans="1:19" x14ac:dyDescent="0.35">
      <c r="A8" t="s">
        <v>60</v>
      </c>
      <c r="B8" t="s">
        <v>54</v>
      </c>
      <c r="C8" s="11">
        <v>4.3499999999999997E-2</v>
      </c>
      <c r="D8" s="11">
        <v>3.78E-2</v>
      </c>
      <c r="E8" s="11">
        <v>2.18E-2</v>
      </c>
      <c r="F8" s="11">
        <v>2.4400000000000002E-2</v>
      </c>
      <c r="G8" s="11">
        <v>2.5600000000000001E-2</v>
      </c>
      <c r="H8" s="11">
        <v>3.0499999999999999E-2</v>
      </c>
      <c r="I8" s="11">
        <v>4.5199999999999997E-2</v>
      </c>
      <c r="J8" s="11">
        <v>0.1164</v>
      </c>
      <c r="K8" s="11">
        <v>7.5800000000000006E-2</v>
      </c>
      <c r="L8" s="11">
        <v>4.2699999999999988E-2</v>
      </c>
      <c r="M8" s="11">
        <v>4.2099999999999999E-2</v>
      </c>
      <c r="N8" s="11">
        <v>3.7499999999999999E-2</v>
      </c>
      <c r="O8" s="11">
        <v>3.6600000000000001E-2</v>
      </c>
      <c r="P8" s="11">
        <v>2.8899999999999999E-2</v>
      </c>
      <c r="Q8" s="11">
        <v>2.7099999999999999E-2</v>
      </c>
      <c r="R8" s="11">
        <v>3.09E-2</v>
      </c>
      <c r="S8" t="s">
        <v>158</v>
      </c>
    </row>
    <row r="9" spans="1:19" x14ac:dyDescent="0.35">
      <c r="A9" t="s">
        <v>63</v>
      </c>
      <c r="B9" t="s">
        <v>54</v>
      </c>
      <c r="C9" s="11">
        <v>4.99E-2</v>
      </c>
      <c r="D9" s="11">
        <v>7.51E-2</v>
      </c>
      <c r="E9" s="11">
        <v>4.3200000000000002E-2</v>
      </c>
      <c r="F9" s="11">
        <v>3.2400000000000012E-2</v>
      </c>
      <c r="G9" s="11">
        <v>3.5200000000000002E-2</v>
      </c>
      <c r="H9" s="11">
        <v>2.53E-2</v>
      </c>
      <c r="I9" s="11">
        <v>3.5000000000000003E-2</v>
      </c>
      <c r="J9" s="11">
        <v>0.1018</v>
      </c>
      <c r="K9" s="11">
        <v>0.1174</v>
      </c>
      <c r="L9" s="11">
        <v>6.6100000000000006E-2</v>
      </c>
      <c r="M9" s="11">
        <v>5.1399999999999987E-2</v>
      </c>
      <c r="N9" s="11">
        <v>0.06</v>
      </c>
      <c r="O9" s="11">
        <v>6.0499999999999998E-2</v>
      </c>
      <c r="P9" s="11">
        <v>3.8199999999999998E-2</v>
      </c>
      <c r="Q9" s="11">
        <v>3.44E-2</v>
      </c>
      <c r="R9" s="11">
        <v>3.3000000000000002E-2</v>
      </c>
      <c r="S9" t="s">
        <v>159</v>
      </c>
    </row>
    <row r="10" spans="1:19" x14ac:dyDescent="0.35">
      <c r="A10" t="s">
        <v>66</v>
      </c>
      <c r="B10" t="s">
        <v>54</v>
      </c>
      <c r="C10" s="11">
        <v>8.0000000000000002E-3</v>
      </c>
      <c r="D10" s="11">
        <v>-2.0000000000000001E-4</v>
      </c>
      <c r="E10" s="11">
        <v>1.6299999999999999E-2</v>
      </c>
      <c r="F10" s="11">
        <v>2.2200000000000001E-2</v>
      </c>
      <c r="G10" s="11">
        <v>2.1000000000000001E-2</v>
      </c>
      <c r="H10" s="11">
        <v>7.1999999999999998E-3</v>
      </c>
      <c r="I10" s="11">
        <v>1.7299999999999999E-2</v>
      </c>
      <c r="J10" s="11">
        <v>8.2699999999999996E-2</v>
      </c>
      <c r="K10" s="11">
        <v>5.3E-3</v>
      </c>
      <c r="L10" s="11">
        <v>-4.0999999999999986E-3</v>
      </c>
      <c r="M10" s="11">
        <v>-7.000000000000001E-4</v>
      </c>
      <c r="N10" s="11">
        <v>-5.6000000000000008E-3</v>
      </c>
      <c r="O10" s="11">
        <v>3.44E-2</v>
      </c>
      <c r="P10" s="11">
        <v>1.95E-2</v>
      </c>
      <c r="Q10" s="11">
        <v>1.7100000000000001E-2</v>
      </c>
      <c r="R10" s="11">
        <v>2.18E-2</v>
      </c>
      <c r="S10" t="s">
        <v>160</v>
      </c>
    </row>
    <row r="11" spans="1:19" x14ac:dyDescent="0.35">
      <c r="A11" t="s">
        <v>70</v>
      </c>
      <c r="B11" t="s">
        <v>54</v>
      </c>
      <c r="C11" s="11">
        <v>3.9699999999999999E-2</v>
      </c>
      <c r="D11" s="11">
        <v>1.7299999999999999E-2</v>
      </c>
      <c r="E11" s="11">
        <v>4.1999999999999997E-3</v>
      </c>
      <c r="F11" s="11">
        <v>-2.2000000000000001E-3</v>
      </c>
      <c r="G11" s="11">
        <v>2.7000000000000001E-3</v>
      </c>
      <c r="H11" s="11">
        <v>-3.3999999999999998E-3</v>
      </c>
      <c r="I11" s="11">
        <v>1.2999999999999999E-3</v>
      </c>
      <c r="J11" s="11">
        <v>3.4700000000000002E-2</v>
      </c>
      <c r="K11" s="11">
        <v>2.2200000000000001E-2</v>
      </c>
      <c r="L11" s="11">
        <v>1.55E-2</v>
      </c>
      <c r="M11" s="11">
        <v>7.1000000000000004E-3</v>
      </c>
      <c r="N11" s="11">
        <v>2.3699999999999999E-2</v>
      </c>
      <c r="O11" s="11">
        <v>2.69E-2</v>
      </c>
      <c r="P11" s="11">
        <v>2.18E-2</v>
      </c>
      <c r="Q11" s="11">
        <v>2.0899999999999998E-2</v>
      </c>
      <c r="R11" s="11">
        <v>2.07E-2</v>
      </c>
      <c r="S11" t="s">
        <v>161</v>
      </c>
    </row>
    <row r="12" spans="1:19" x14ac:dyDescent="0.35">
      <c r="A12" t="s">
        <v>71</v>
      </c>
      <c r="B12" t="s">
        <v>54</v>
      </c>
      <c r="C12" s="11">
        <v>-7.3000000000000001E-3</v>
      </c>
      <c r="D12" s="11">
        <v>6.0000000000000001E-3</v>
      </c>
      <c r="E12" s="11">
        <v>1.01E-2</v>
      </c>
      <c r="F12" s="11">
        <v>1.09E-2</v>
      </c>
      <c r="G12" s="11">
        <v>7.000000000000001E-4</v>
      </c>
      <c r="H12" s="11">
        <v>-3.7000000000000002E-3</v>
      </c>
      <c r="I12" s="11">
        <v>3.4700000000000002E-2</v>
      </c>
      <c r="J12" s="11">
        <v>7.2000000000000008E-2</v>
      </c>
      <c r="K12" s="11">
        <v>4.0500000000000001E-2</v>
      </c>
      <c r="L12" s="11">
        <v>8.5000000000000006E-3</v>
      </c>
      <c r="M12" s="11">
        <v>2.5999999999999999E-3</v>
      </c>
      <c r="N12" s="11">
        <v>2.4199999999999999E-2</v>
      </c>
      <c r="O12" s="11">
        <v>2.6200000000000001E-2</v>
      </c>
      <c r="P12" s="11">
        <v>2.46E-2</v>
      </c>
      <c r="Q12" s="11">
        <v>2.5600000000000001E-2</v>
      </c>
      <c r="R12" s="11">
        <v>2.6499999999999999E-2</v>
      </c>
      <c r="S12" t="s">
        <v>162</v>
      </c>
    </row>
    <row r="13" spans="1:19" x14ac:dyDescent="0.35">
      <c r="A13" t="s">
        <v>73</v>
      </c>
      <c r="B13" t="s">
        <v>54</v>
      </c>
      <c r="C13" s="11">
        <v>2.3900000000000001E-2</v>
      </c>
      <c r="D13" s="11">
        <v>4.4499999999999998E-2</v>
      </c>
      <c r="E13" s="11">
        <v>4.4200000000000003E-2</v>
      </c>
      <c r="F13" s="11">
        <v>3.7499999999999999E-2</v>
      </c>
      <c r="G13" s="11">
        <v>3.7000000000000012E-2</v>
      </c>
      <c r="H13" s="11">
        <v>3.2099999999999997E-2</v>
      </c>
      <c r="I13" s="11">
        <v>4.2599999999999999E-2</v>
      </c>
      <c r="J13" s="11">
        <v>6.8900000000000003E-2</v>
      </c>
      <c r="K13" s="11">
        <v>6.2100000000000002E-2</v>
      </c>
      <c r="L13" s="11">
        <v>2.87E-2</v>
      </c>
      <c r="M13" s="11">
        <v>1.5800000000000002E-2</v>
      </c>
      <c r="N13" s="11">
        <v>3.1E-2</v>
      </c>
      <c r="O13" s="11">
        <v>3.5400000000000001E-2</v>
      </c>
      <c r="P13" s="11">
        <v>3.5499999999999997E-2</v>
      </c>
      <c r="Q13" s="11">
        <v>3.1300000000000001E-2</v>
      </c>
      <c r="R13" s="11">
        <v>3.04E-2</v>
      </c>
      <c r="S13" t="s">
        <v>163</v>
      </c>
    </row>
    <row r="14" spans="1:19" x14ac:dyDescent="0.35">
      <c r="A14" t="s">
        <v>75</v>
      </c>
      <c r="B14" t="s">
        <v>54</v>
      </c>
      <c r="C14" s="11">
        <v>3.1600000000000003E-2</v>
      </c>
      <c r="D14" s="11">
        <v>2.7199999999999998E-2</v>
      </c>
      <c r="E14" s="11">
        <v>3.9300000000000002E-2</v>
      </c>
      <c r="F14" s="11">
        <v>4.3499999999999997E-2</v>
      </c>
      <c r="G14" s="11">
        <v>4.3700000000000003E-2</v>
      </c>
      <c r="H14" s="11">
        <v>3.4700000000000002E-2</v>
      </c>
      <c r="I14" s="11">
        <v>4.4800000000000013E-2</v>
      </c>
      <c r="J14" s="11">
        <v>9.0899999999999995E-2</v>
      </c>
      <c r="K14" s="11">
        <v>6.6600000000000006E-2</v>
      </c>
      <c r="L14" s="11">
        <v>4.6100000000000002E-2</v>
      </c>
      <c r="M14" s="11">
        <v>4.5999999999999999E-2</v>
      </c>
      <c r="N14" s="11">
        <v>5.1200000000000002E-2</v>
      </c>
      <c r="O14" s="11">
        <v>4.36E-2</v>
      </c>
      <c r="P14" s="11">
        <v>4.1799999999999997E-2</v>
      </c>
      <c r="Q14" s="11">
        <v>3.9399999999999998E-2</v>
      </c>
      <c r="R14" s="11">
        <v>3.6600000000000001E-2</v>
      </c>
      <c r="S14" t="s">
        <v>164</v>
      </c>
    </row>
    <row r="15" spans="1:19" x14ac:dyDescent="0.35">
      <c r="A15" t="s">
        <v>79</v>
      </c>
      <c r="B15" t="s">
        <v>54</v>
      </c>
      <c r="C15" s="11">
        <v>0.04</v>
      </c>
      <c r="D15" s="11">
        <v>3.5200000000000002E-2</v>
      </c>
      <c r="E15" s="11">
        <v>3.85E-2</v>
      </c>
      <c r="F15" s="11">
        <v>4.9500000000000002E-2</v>
      </c>
      <c r="G15" s="11">
        <v>5.3800000000000001E-2</v>
      </c>
      <c r="H15" s="11">
        <v>3.6799999999999999E-2</v>
      </c>
      <c r="I15" s="11">
        <v>4.9299999999999997E-2</v>
      </c>
      <c r="J15" s="11">
        <v>0.1047</v>
      </c>
      <c r="K15" s="11">
        <v>8.3900000000000002E-2</v>
      </c>
      <c r="L15" s="11">
        <v>4.6300000000000001E-2</v>
      </c>
      <c r="M15" s="11">
        <v>2.0799999999999999E-2</v>
      </c>
      <c r="N15" s="11">
        <v>3.9E-2</v>
      </c>
      <c r="O15" s="11">
        <v>3.5499999999999997E-2</v>
      </c>
      <c r="P15" s="11">
        <v>4.4499999999999998E-2</v>
      </c>
      <c r="Q15" s="11">
        <v>3.5900000000000001E-2</v>
      </c>
      <c r="R15" s="11">
        <v>3.3500000000000002E-2</v>
      </c>
      <c r="S15" t="s">
        <v>165</v>
      </c>
    </row>
    <row r="16" spans="1:19" x14ac:dyDescent="0.35">
      <c r="A16" t="s">
        <v>81</v>
      </c>
      <c r="B16" t="s">
        <v>54</v>
      </c>
      <c r="C16" s="11">
        <v>1.4E-3</v>
      </c>
      <c r="D16" s="11">
        <v>7.4000000000000003E-3</v>
      </c>
      <c r="E16" s="11">
        <v>8.8000000000000005E-3</v>
      </c>
      <c r="F16" s="11">
        <v>7.6E-3</v>
      </c>
      <c r="G16" s="11">
        <v>-3.5999999999999999E-3</v>
      </c>
      <c r="H16" s="11">
        <v>-1.55E-2</v>
      </c>
      <c r="I16" s="11">
        <v>1.6299999999999999E-2</v>
      </c>
      <c r="J16" s="11">
        <v>2.86E-2</v>
      </c>
      <c r="K16" s="11">
        <v>1.49E-2</v>
      </c>
      <c r="L16" s="11">
        <v>6.8999999999999999E-3</v>
      </c>
      <c r="M16" s="11">
        <v>-2.0999999999999999E-3</v>
      </c>
      <c r="N16" s="11">
        <v>2.1999999999999999E-2</v>
      </c>
      <c r="O16" s="11">
        <v>2.46E-2</v>
      </c>
      <c r="P16" s="11">
        <v>1.9699999999999999E-2</v>
      </c>
      <c r="Q16" s="11">
        <v>1.9599999999999999E-2</v>
      </c>
      <c r="R16" s="11">
        <v>1.9599999999999999E-2</v>
      </c>
      <c r="S16" t="s">
        <v>166</v>
      </c>
    </row>
    <row r="17" spans="1:19" x14ac:dyDescent="0.35">
      <c r="A17" t="s">
        <v>83</v>
      </c>
      <c r="B17" t="s">
        <v>54</v>
      </c>
      <c r="C17" s="11">
        <v>3.1300000000000001E-2</v>
      </c>
      <c r="D17" s="11">
        <v>4.0899999999999999E-2</v>
      </c>
      <c r="E17" s="11">
        <v>3.5999999999999997E-2</v>
      </c>
      <c r="F17" s="11">
        <v>3.9800000000000002E-2</v>
      </c>
      <c r="G17" s="11">
        <v>2.76E-2</v>
      </c>
      <c r="H17" s="11">
        <v>1.77E-2</v>
      </c>
      <c r="I17" s="11">
        <v>4.7899999999999998E-2</v>
      </c>
      <c r="J17" s="11">
        <v>9.7699999999999995E-2</v>
      </c>
      <c r="K17" s="11">
        <v>4.6300000000000001E-2</v>
      </c>
      <c r="L17" s="11">
        <v>3.8399999999999997E-2</v>
      </c>
      <c r="M17" s="11">
        <v>4.0399999999999998E-2</v>
      </c>
      <c r="N17" s="11">
        <v>2.0799999999999999E-2</v>
      </c>
      <c r="O17" s="11">
        <v>2.76E-2</v>
      </c>
      <c r="P17" s="11">
        <v>3.3300000000000003E-2</v>
      </c>
      <c r="Q17" s="11">
        <v>3.2899999999999999E-2</v>
      </c>
      <c r="R17" s="11">
        <v>3.3700000000000001E-2</v>
      </c>
      <c r="S17" t="s">
        <v>167</v>
      </c>
    </row>
    <row r="18" spans="1:19" x14ac:dyDescent="0.35">
      <c r="A18" t="s">
        <v>85</v>
      </c>
      <c r="B18" t="s">
        <v>54</v>
      </c>
      <c r="C18" s="11">
        <v>3.5499999999999997E-2</v>
      </c>
      <c r="D18" s="11">
        <v>3.5900000000000001E-2</v>
      </c>
      <c r="E18" s="11">
        <v>2.8000000000000001E-2</v>
      </c>
      <c r="F18" s="11">
        <v>1.32E-2</v>
      </c>
      <c r="G18" s="11">
        <v>2.1399999999999999E-2</v>
      </c>
      <c r="H18" s="11">
        <v>1.83E-2</v>
      </c>
      <c r="I18" s="11">
        <v>3.9800000000000002E-2</v>
      </c>
      <c r="J18" s="11">
        <v>7.8799999999999995E-2</v>
      </c>
      <c r="K18" s="11">
        <v>6.2600000000000003E-2</v>
      </c>
      <c r="L18" s="11">
        <v>2.35E-2</v>
      </c>
      <c r="M18" s="11">
        <v>1.4999999999999999E-2</v>
      </c>
      <c r="N18" s="11">
        <v>3.8800000000000001E-2</v>
      </c>
      <c r="O18" s="11">
        <v>3.3799999999999997E-2</v>
      </c>
      <c r="P18" s="11">
        <v>2.01E-2</v>
      </c>
      <c r="Q18" s="11">
        <v>2.3400000000000001E-2</v>
      </c>
      <c r="R18" s="11">
        <v>2.7699999999999999E-2</v>
      </c>
      <c r="S18" t="s">
        <v>168</v>
      </c>
    </row>
    <row r="19" spans="1:19" x14ac:dyDescent="0.35">
      <c r="A19" t="s">
        <v>90</v>
      </c>
      <c r="B19" t="s">
        <v>54</v>
      </c>
      <c r="C19" s="11">
        <v>8.6699999999999999E-2</v>
      </c>
      <c r="D19" s="11">
        <v>9.64E-2</v>
      </c>
      <c r="E19" s="11">
        <v>6.2199999999999998E-2</v>
      </c>
      <c r="F19" s="11">
        <v>7.6100000000000001E-2</v>
      </c>
      <c r="G19" s="11">
        <v>7.8799999999999995E-2</v>
      </c>
      <c r="H19" s="11">
        <v>9.7599999999999992E-2</v>
      </c>
      <c r="I19" s="11">
        <v>7.7499999999999999E-2</v>
      </c>
      <c r="J19" s="11">
        <v>9.0999999999999998E-2</v>
      </c>
      <c r="K19" s="11">
        <v>5.8700000000000002E-2</v>
      </c>
      <c r="L19" s="11">
        <v>4.8499999999999988E-2</v>
      </c>
      <c r="M19" s="11">
        <v>4.6500000000000007E-2</v>
      </c>
      <c r="N19" s="11">
        <v>4.99E-2</v>
      </c>
      <c r="O19" s="11">
        <v>5.9200000000000003E-2</v>
      </c>
      <c r="P19" s="11">
        <v>4.7600000000000003E-2</v>
      </c>
      <c r="Q19" s="11">
        <v>3.9600000000000003E-2</v>
      </c>
      <c r="R19" s="11">
        <v>3.1099999999999999E-2</v>
      </c>
      <c r="S19" t="s">
        <v>169</v>
      </c>
    </row>
    <row r="20" spans="1:19" x14ac:dyDescent="0.35">
      <c r="A20" t="s">
        <v>91</v>
      </c>
      <c r="B20" t="s">
        <v>54</v>
      </c>
      <c r="C20" s="11">
        <v>1.2189000000000001</v>
      </c>
      <c r="D20" s="11">
        <v>2.5482</v>
      </c>
      <c r="E20" s="11">
        <v>4.3811999999999998</v>
      </c>
      <c r="F20" s="11">
        <v>653.74080000000004</v>
      </c>
      <c r="G20" s="11">
        <v>199.06290000000001</v>
      </c>
      <c r="H20" s="11">
        <v>23.547899999999998</v>
      </c>
      <c r="I20" s="11">
        <v>15.895200000000001</v>
      </c>
      <c r="J20" s="11">
        <v>1.8665</v>
      </c>
      <c r="K20" s="11">
        <v>3.3746</v>
      </c>
      <c r="L20" s="11">
        <v>0.49390000000000001</v>
      </c>
      <c r="M20" s="11">
        <v>2.5207999999999999</v>
      </c>
      <c r="N20" s="11">
        <v>4.5214999999999996</v>
      </c>
      <c r="O20" s="11">
        <v>0.8498</v>
      </c>
      <c r="P20" s="11">
        <v>0.19850000000000001</v>
      </c>
      <c r="Q20" s="11">
        <v>0.1444</v>
      </c>
      <c r="R20" s="11">
        <v>0.1177</v>
      </c>
      <c r="S20" t="s">
        <v>170</v>
      </c>
    </row>
    <row r="21" spans="1:19" x14ac:dyDescent="0.35">
      <c r="A21" t="s">
        <v>93</v>
      </c>
      <c r="B21" t="s">
        <v>94</v>
      </c>
      <c r="C21" s="11">
        <v>4.0000000000000002E-4</v>
      </c>
      <c r="D21" s="11">
        <v>6.6E-3</v>
      </c>
      <c r="E21" s="11">
        <v>2.6800000000000001E-2</v>
      </c>
      <c r="F21" s="11">
        <v>2.4799999999999999E-2</v>
      </c>
      <c r="G21" s="11">
        <v>1.7899999999999999E-2</v>
      </c>
      <c r="H21" s="11">
        <v>8.5000000000000006E-3</v>
      </c>
      <c r="I21" s="11">
        <v>2.5899999999999999E-2</v>
      </c>
      <c r="J21" s="11">
        <v>9.0700000000000003E-2</v>
      </c>
      <c r="K21" s="11">
        <v>7.2999999999999995E-2</v>
      </c>
      <c r="L21" s="11">
        <v>2.53E-2</v>
      </c>
      <c r="M21" s="11">
        <v>3.3700000000000001E-2</v>
      </c>
      <c r="N21" s="11">
        <v>3.1099999999999999E-2</v>
      </c>
      <c r="O21" s="11">
        <v>3.3000000000000002E-2</v>
      </c>
      <c r="P21" s="11">
        <v>2.3E-2</v>
      </c>
      <c r="Q21" s="11">
        <v>2.3099999999999999E-2</v>
      </c>
      <c r="R21" s="11">
        <v>2.1299999999999999E-2</v>
      </c>
      <c r="S21" t="s">
        <v>171</v>
      </c>
    </row>
    <row r="22" spans="1:19" x14ac:dyDescent="0.35">
      <c r="A22" t="s">
        <v>97</v>
      </c>
      <c r="B22" t="s">
        <v>94</v>
      </c>
      <c r="C22" s="11">
        <v>-1.14E-2</v>
      </c>
      <c r="D22" s="11">
        <v>-4.3E-3</v>
      </c>
      <c r="E22" s="11">
        <v>5.3E-3</v>
      </c>
      <c r="F22" s="11">
        <v>9.3999999999999986E-3</v>
      </c>
      <c r="G22" s="11">
        <v>3.5999999999999999E-3</v>
      </c>
      <c r="H22" s="11">
        <v>-7.3000000000000001E-3</v>
      </c>
      <c r="I22" s="11">
        <v>5.7999999999999996E-3</v>
      </c>
      <c r="J22" s="11">
        <v>2.8400000000000002E-2</v>
      </c>
      <c r="K22" s="11">
        <v>2.1399999999999999E-2</v>
      </c>
      <c r="L22" s="11">
        <v>1.06E-2</v>
      </c>
      <c r="M22" s="11">
        <v>1.5E-3</v>
      </c>
      <c r="N22" s="11">
        <v>6.7999999999999996E-3</v>
      </c>
      <c r="O22" s="11">
        <v>8.6E-3</v>
      </c>
      <c r="P22" s="11">
        <v>1.04E-2</v>
      </c>
      <c r="Q22" s="11">
        <v>8.0000000000000002E-3</v>
      </c>
      <c r="R22" s="11">
        <v>7.4999999999999997E-3</v>
      </c>
      <c r="S22" t="s">
        <v>172</v>
      </c>
    </row>
    <row r="23" spans="1:19" x14ac:dyDescent="0.35">
      <c r="A23" t="s">
        <v>99</v>
      </c>
      <c r="B23" t="s">
        <v>94</v>
      </c>
      <c r="C23" s="11">
        <v>-4.0999999999999986E-3</v>
      </c>
      <c r="D23" s="11">
        <v>-1.0699999999999999E-2</v>
      </c>
      <c r="E23" s="11">
        <v>1.09E-2</v>
      </c>
      <c r="F23" s="11">
        <v>4.07E-2</v>
      </c>
      <c r="G23" s="11">
        <v>3.9100000000000003E-2</v>
      </c>
      <c r="H23" s="11">
        <v>2.3300000000000001E-2</v>
      </c>
      <c r="I23" s="11">
        <v>4.1099999999999998E-2</v>
      </c>
      <c r="J23" s="11">
        <v>0.1202</v>
      </c>
      <c r="K23" s="11">
        <v>9.74E-2</v>
      </c>
      <c r="L23" s="11">
        <v>5.8500000000000003E-2</v>
      </c>
      <c r="M23" s="11">
        <v>6.7699999999999996E-2</v>
      </c>
      <c r="N23" s="11">
        <v>7.9899999999999999E-2</v>
      </c>
      <c r="O23" s="11">
        <v>0.05</v>
      </c>
      <c r="P23" s="11">
        <v>3.4000000000000002E-2</v>
      </c>
      <c r="Q23" s="11">
        <v>3.2199999999999999E-2</v>
      </c>
      <c r="R23" s="11">
        <v>2.98E-2</v>
      </c>
      <c r="S23" t="s">
        <v>173</v>
      </c>
    </row>
    <row r="24" spans="1:19" x14ac:dyDescent="0.35">
      <c r="A24" t="s">
        <v>101</v>
      </c>
      <c r="B24" t="s">
        <v>94</v>
      </c>
      <c r="C24" s="11">
        <v>1.38E-2</v>
      </c>
      <c r="D24" s="11">
        <v>1.12E-2</v>
      </c>
      <c r="E24" s="11">
        <v>3.1699999999999999E-2</v>
      </c>
      <c r="F24" s="11">
        <v>1.9599999999999999E-2</v>
      </c>
      <c r="G24" s="11">
        <v>1.8700000000000001E-2</v>
      </c>
      <c r="H24" s="11">
        <v>1.54E-2</v>
      </c>
      <c r="I24" s="11">
        <v>4.0899999999999999E-2</v>
      </c>
      <c r="J24" s="11">
        <v>0.1197</v>
      </c>
      <c r="K24" s="11">
        <v>0.1236</v>
      </c>
      <c r="L24" s="11">
        <v>4.6799999999999987E-2</v>
      </c>
      <c r="M24" s="11">
        <v>3.9E-2</v>
      </c>
      <c r="N24" s="11">
        <v>2.9899999999999999E-2</v>
      </c>
      <c r="O24" s="11">
        <v>3.2000000000000001E-2</v>
      </c>
      <c r="P24" s="11">
        <v>3.1099999999999999E-2</v>
      </c>
      <c r="Q24" s="11">
        <v>3.0700000000000002E-2</v>
      </c>
      <c r="R24" s="11">
        <v>2.9600000000000001E-2</v>
      </c>
      <c r="S24" t="s">
        <v>174</v>
      </c>
    </row>
    <row r="25" spans="1:19" x14ac:dyDescent="0.35">
      <c r="A25" t="s">
        <v>103</v>
      </c>
      <c r="B25" t="s">
        <v>94</v>
      </c>
      <c r="C25" s="11">
        <v>-7.6E-3</v>
      </c>
      <c r="D25" s="11">
        <v>-1.6000000000000001E-3</v>
      </c>
      <c r="E25" s="11">
        <v>1.5599999999999999E-2</v>
      </c>
      <c r="F25" s="11">
        <v>1.9300000000000001E-2</v>
      </c>
      <c r="G25" s="11">
        <v>1.6899999999999998E-2</v>
      </c>
      <c r="H25" s="11">
        <v>-2.7000000000000001E-3</v>
      </c>
      <c r="I25" s="11">
        <v>2.0500000000000001E-2</v>
      </c>
      <c r="J25" s="11">
        <v>9.3200000000000005E-2</v>
      </c>
      <c r="K25" s="11">
        <v>7.22E-2</v>
      </c>
      <c r="L25" s="11">
        <v>1.9900000000000001E-2</v>
      </c>
      <c r="M25" s="11">
        <v>2.4799999999999999E-2</v>
      </c>
      <c r="N25" s="11">
        <v>3.4799999999999998E-2</v>
      </c>
      <c r="O25" s="11">
        <v>3.1800000000000002E-2</v>
      </c>
      <c r="P25" s="11">
        <v>2.4299999999999999E-2</v>
      </c>
      <c r="Q25" s="11">
        <v>2.3900000000000001E-2</v>
      </c>
      <c r="R25" s="11">
        <v>2.1399999999999999E-2</v>
      </c>
      <c r="S25" t="s">
        <v>175</v>
      </c>
    </row>
    <row r="26" spans="1:19" x14ac:dyDescent="0.35">
      <c r="A26" t="s">
        <v>106</v>
      </c>
      <c r="B26" t="s">
        <v>94</v>
      </c>
      <c r="C26" s="11">
        <v>-2.5999999999999999E-3</v>
      </c>
      <c r="D26" s="11">
        <v>-6.3E-3</v>
      </c>
      <c r="E26" s="11">
        <v>1.2999999999999999E-2</v>
      </c>
      <c r="F26" s="11">
        <v>1.5599999999999999E-2</v>
      </c>
      <c r="G26" s="11">
        <v>7.9000000000000008E-3</v>
      </c>
      <c r="H26" s="11">
        <v>2.0000000000000001E-4</v>
      </c>
      <c r="I26" s="11">
        <v>2.6800000000000001E-2</v>
      </c>
      <c r="J26" s="11">
        <v>0.1066</v>
      </c>
      <c r="K26" s="11">
        <v>8.4000000000000005E-2</v>
      </c>
      <c r="L26" s="11">
        <v>4.0199999999999993E-2</v>
      </c>
      <c r="M26" s="11">
        <v>4.3799999999999999E-2</v>
      </c>
      <c r="N26" s="11">
        <v>4.1300000000000003E-2</v>
      </c>
      <c r="O26" s="11">
        <v>2.9600000000000001E-2</v>
      </c>
      <c r="P26" s="11">
        <v>2.3900000000000001E-2</v>
      </c>
      <c r="Q26" s="11">
        <v>2.2499999999999999E-2</v>
      </c>
      <c r="R26" s="11">
        <v>2.01E-2</v>
      </c>
      <c r="S26" t="s">
        <v>176</v>
      </c>
    </row>
    <row r="27" spans="1:19" x14ac:dyDescent="0.35">
      <c r="A27" t="s">
        <v>108</v>
      </c>
      <c r="B27" t="s">
        <v>94</v>
      </c>
      <c r="C27" s="11">
        <v>1.55E-2</v>
      </c>
      <c r="D27" s="11">
        <v>-2.7000000000000001E-3</v>
      </c>
      <c r="E27" s="11">
        <v>2.3699999999999999E-2</v>
      </c>
      <c r="F27" s="11">
        <v>2.6100000000000002E-2</v>
      </c>
      <c r="G27" s="11">
        <v>3.5999999999999999E-3</v>
      </c>
      <c r="H27" s="11">
        <v>-2.5000000000000001E-3</v>
      </c>
      <c r="I27" s="11">
        <v>2.41E-2</v>
      </c>
      <c r="J27" s="11">
        <v>0.13039999999999999</v>
      </c>
      <c r="K27" s="11">
        <v>8.5800000000000001E-2</v>
      </c>
      <c r="L27" s="11">
        <v>3.3399999999999999E-2</v>
      </c>
      <c r="M27" s="11">
        <v>3.9E-2</v>
      </c>
      <c r="N27" s="11">
        <v>3.7999999999999999E-2</v>
      </c>
      <c r="O27" s="11">
        <v>3.2000000000000001E-2</v>
      </c>
      <c r="P27" s="11">
        <v>2.9000000000000001E-2</v>
      </c>
      <c r="Q27" s="11">
        <v>2.7199999999999998E-2</v>
      </c>
      <c r="R27" s="11">
        <v>2.64E-2</v>
      </c>
      <c r="S27" t="s">
        <v>177</v>
      </c>
    </row>
    <row r="28" spans="1:19" x14ac:dyDescent="0.35">
      <c r="A28" t="s">
        <v>109</v>
      </c>
      <c r="B28" t="s">
        <v>94</v>
      </c>
      <c r="C28" s="11">
        <v>1.2999999999999999E-3</v>
      </c>
      <c r="D28" s="11">
        <v>2.3999999999999998E-3</v>
      </c>
      <c r="E28" s="11">
        <v>1.3599999999999999E-2</v>
      </c>
      <c r="F28" s="11">
        <v>1.4500000000000001E-2</v>
      </c>
      <c r="G28" s="11">
        <v>7.6E-3</v>
      </c>
      <c r="H28" s="11">
        <v>1.2E-2</v>
      </c>
      <c r="I28" s="11">
        <v>3.2199999999999999E-2</v>
      </c>
      <c r="J28" s="11">
        <v>0.14199999999999999</v>
      </c>
      <c r="K28" s="11">
        <v>9.3599999999999989E-2</v>
      </c>
      <c r="L28" s="11">
        <v>3.49E-2</v>
      </c>
      <c r="M28" s="11">
        <v>4.07E-2</v>
      </c>
      <c r="N28" s="11">
        <v>4.0999999999999988E-2</v>
      </c>
      <c r="O28" s="11">
        <v>3.6600000000000001E-2</v>
      </c>
      <c r="P28" s="11">
        <v>2.6700000000000002E-2</v>
      </c>
      <c r="Q28" s="11">
        <v>2.6499999999999999E-2</v>
      </c>
      <c r="R28" s="11">
        <v>2.29E-2</v>
      </c>
      <c r="S28" t="s">
        <v>178</v>
      </c>
    </row>
    <row r="29" spans="1:19" x14ac:dyDescent="0.35">
      <c r="A29" t="s">
        <v>111</v>
      </c>
      <c r="B29" t="s">
        <v>94</v>
      </c>
      <c r="C29" s="11">
        <v>0.15529999999999999</v>
      </c>
      <c r="D29" s="11">
        <v>7.0400000000000004E-2</v>
      </c>
      <c r="E29" s="11">
        <v>3.6799999999999999E-2</v>
      </c>
      <c r="F29" s="11">
        <v>2.8799999999999999E-2</v>
      </c>
      <c r="G29" s="11">
        <v>4.4699999999999997E-2</v>
      </c>
      <c r="H29" s="11">
        <v>3.3799999999999997E-2</v>
      </c>
      <c r="I29" s="11">
        <v>6.6900000000000001E-2</v>
      </c>
      <c r="J29" s="11">
        <v>0.13750000000000001</v>
      </c>
      <c r="K29" s="11">
        <v>5.8600000000000013E-2</v>
      </c>
      <c r="L29" s="11">
        <v>8.4399999999999989E-2</v>
      </c>
      <c r="M29" s="11">
        <v>8.6999999999999994E-2</v>
      </c>
      <c r="N29" s="11">
        <v>6.1400000000000003E-2</v>
      </c>
      <c r="O29" s="11">
        <v>6.1199999999999997E-2</v>
      </c>
      <c r="P29" s="11">
        <v>4.6199999999999998E-2</v>
      </c>
      <c r="Q29" s="11">
        <v>4.9799999999999997E-2</v>
      </c>
      <c r="R29" s="11">
        <v>5.2600000000000001E-2</v>
      </c>
      <c r="S29" t="s">
        <v>179</v>
      </c>
    </row>
    <row r="30" spans="1:19" x14ac:dyDescent="0.35">
      <c r="A30" t="s">
        <v>114</v>
      </c>
      <c r="B30" t="s">
        <v>94</v>
      </c>
      <c r="C30" s="11">
        <v>0.48720000000000002</v>
      </c>
      <c r="D30" s="11">
        <v>0.13919999999999999</v>
      </c>
      <c r="E30" s="11">
        <v>0.14430000000000001</v>
      </c>
      <c r="F30" s="11">
        <v>0.1094</v>
      </c>
      <c r="G30" s="11">
        <v>7.8899999999999998E-2</v>
      </c>
      <c r="H30" s="11">
        <v>2.7400000000000001E-2</v>
      </c>
      <c r="I30" s="11">
        <v>9.3599999999999989E-2</v>
      </c>
      <c r="J30" s="11">
        <v>0.20180000000000001</v>
      </c>
      <c r="K30" s="11">
        <v>0.1285</v>
      </c>
      <c r="L30" s="11">
        <v>6.5000000000000002E-2</v>
      </c>
      <c r="M30" s="11">
        <v>0.1273</v>
      </c>
      <c r="N30" s="11">
        <v>8.6999999999999994E-2</v>
      </c>
      <c r="O30" s="11">
        <v>8.7400000000000005E-2</v>
      </c>
      <c r="P30" s="11">
        <v>8.43E-2</v>
      </c>
      <c r="Q30" s="11">
        <v>7.8E-2</v>
      </c>
      <c r="R30" s="11">
        <v>7.1300000000000002E-2</v>
      </c>
      <c r="S30" t="s">
        <v>180</v>
      </c>
    </row>
    <row r="31" spans="1:19" x14ac:dyDescent="0.35">
      <c r="A31" t="s">
        <v>118</v>
      </c>
      <c r="B31" t="s">
        <v>94</v>
      </c>
      <c r="C31" s="11">
        <v>7.7499999999999999E-2</v>
      </c>
      <c r="D31" s="11">
        <v>7.6600000000000001E-2</v>
      </c>
      <c r="E31" s="11">
        <v>0.1111</v>
      </c>
      <c r="F31" s="11">
        <v>0.16350000000000001</v>
      </c>
      <c r="G31" s="11">
        <v>0.1517</v>
      </c>
      <c r="H31" s="11">
        <v>0.1229</v>
      </c>
      <c r="I31" s="11">
        <v>0.1958</v>
      </c>
      <c r="J31" s="11">
        <v>0.7229000000000001</v>
      </c>
      <c r="K31" s="11">
        <v>0.53979999999999995</v>
      </c>
      <c r="L31" s="11">
        <v>0.58540000000000003</v>
      </c>
      <c r="M31" s="11">
        <v>0.34910000000000002</v>
      </c>
      <c r="N31" s="11">
        <v>0.30659999999999998</v>
      </c>
      <c r="O31" s="11">
        <v>0.21779999999999999</v>
      </c>
      <c r="P31" s="11">
        <v>0.13850000000000001</v>
      </c>
      <c r="Q31" s="11">
        <v>0.10680000000000001</v>
      </c>
      <c r="R31" s="11">
        <v>0.1077</v>
      </c>
      <c r="S31" t="s">
        <v>181</v>
      </c>
    </row>
    <row r="32" spans="1:19" x14ac:dyDescent="0.35">
      <c r="A32" t="s">
        <v>120</v>
      </c>
      <c r="B32" t="s">
        <v>94</v>
      </c>
      <c r="C32" s="11">
        <v>6.6799999999999998E-2</v>
      </c>
      <c r="D32" s="11">
        <v>0.14360000000000001</v>
      </c>
      <c r="E32" s="11">
        <v>7.4400000000000008E-2</v>
      </c>
      <c r="F32" s="11">
        <v>6.1600000000000002E-2</v>
      </c>
      <c r="G32" s="11">
        <v>5.33E-2</v>
      </c>
      <c r="H32" s="11">
        <v>6.7199999999999996E-2</v>
      </c>
      <c r="I32" s="11">
        <v>8.0399999999999985E-2</v>
      </c>
      <c r="J32" s="11">
        <v>0.15029999999999999</v>
      </c>
      <c r="K32" s="11">
        <v>0.1472</v>
      </c>
      <c r="L32" s="11">
        <v>8.9499999999999996E-2</v>
      </c>
      <c r="M32" s="11">
        <v>0.1145</v>
      </c>
      <c r="N32" s="11">
        <v>0.1032</v>
      </c>
      <c r="O32" s="11">
        <v>8.8399999999999992E-2</v>
      </c>
      <c r="P32" s="11">
        <v>8.0199999999999994E-2</v>
      </c>
      <c r="Q32" s="11">
        <v>7.1399999999999991E-2</v>
      </c>
      <c r="R32" s="11">
        <v>6.4899999999999999E-2</v>
      </c>
      <c r="S32" t="s">
        <v>182</v>
      </c>
    </row>
    <row r="33" spans="1:19" x14ac:dyDescent="0.35">
      <c r="A33" t="s">
        <v>123</v>
      </c>
      <c r="B33" t="s">
        <v>94</v>
      </c>
      <c r="C33" s="11">
        <v>1.44E-2</v>
      </c>
      <c r="D33" s="11">
        <v>2.01E-2</v>
      </c>
      <c r="E33" s="11">
        <v>1.55E-2</v>
      </c>
      <c r="F33" s="11">
        <v>2.1100000000000001E-2</v>
      </c>
      <c r="G33" s="11">
        <v>2.9000000000000001E-2</v>
      </c>
      <c r="H33" s="11">
        <v>2.4799999999999999E-2</v>
      </c>
      <c r="I33" s="11">
        <v>9.1000000000000004E-3</v>
      </c>
      <c r="J33" s="11">
        <v>1.9599999999999999E-2</v>
      </c>
      <c r="K33" s="11">
        <v>2.3999999999999998E-3</v>
      </c>
      <c r="L33" s="11">
        <v>2.3999999999999998E-3</v>
      </c>
      <c r="M33" s="11">
        <v>5.0000000000000001E-4</v>
      </c>
      <c r="N33" s="11">
        <v>1.01E-2</v>
      </c>
      <c r="O33" s="11">
        <v>1.0699999999999999E-2</v>
      </c>
      <c r="P33" s="11">
        <v>1.2500000000000001E-2</v>
      </c>
      <c r="Q33" s="11">
        <v>1.55E-2</v>
      </c>
      <c r="R33" s="11">
        <v>1.6400000000000001E-2</v>
      </c>
      <c r="S33" t="s">
        <v>183</v>
      </c>
    </row>
    <row r="34" spans="1:19" x14ac:dyDescent="0.35">
      <c r="A34" t="s">
        <v>129</v>
      </c>
      <c r="B34" t="s">
        <v>94</v>
      </c>
      <c r="C34" s="11">
        <v>4.9099999999999998E-2</v>
      </c>
      <c r="D34" s="11">
        <v>4.9500000000000002E-2</v>
      </c>
      <c r="E34" s="11">
        <v>3.3300000000000003E-2</v>
      </c>
      <c r="F34" s="11">
        <v>3.95E-2</v>
      </c>
      <c r="G34" s="11">
        <v>3.7199999999999997E-2</v>
      </c>
      <c r="H34" s="11">
        <v>6.6199999999999995E-2</v>
      </c>
      <c r="I34" s="11">
        <v>5.1399999999999987E-2</v>
      </c>
      <c r="J34" s="11">
        <v>6.6900000000000001E-2</v>
      </c>
      <c r="K34" s="11">
        <v>5.6500000000000002E-2</v>
      </c>
      <c r="L34" s="11">
        <v>4.9500000000000002E-2</v>
      </c>
      <c r="M34" s="11">
        <v>2.1999999999999999E-2</v>
      </c>
      <c r="N34" s="11">
        <v>4.8499999999999988E-2</v>
      </c>
      <c r="O34" s="11">
        <v>5.8099999999999999E-2</v>
      </c>
      <c r="P34" s="11">
        <v>4.1500000000000002E-2</v>
      </c>
      <c r="Q34" s="11">
        <v>4.7100000000000003E-2</v>
      </c>
      <c r="R34" s="11">
        <v>4.8800000000000003E-2</v>
      </c>
      <c r="S34" t="s">
        <v>184</v>
      </c>
    </row>
    <row r="35" spans="1:19" x14ac:dyDescent="0.35">
      <c r="A35" t="s">
        <v>132</v>
      </c>
      <c r="B35" t="s">
        <v>94</v>
      </c>
      <c r="C35" s="11">
        <v>7.1000000000000004E-3</v>
      </c>
      <c r="D35" s="11">
        <v>9.7000000000000003E-3</v>
      </c>
      <c r="E35" s="11">
        <v>1.9400000000000001E-2</v>
      </c>
      <c r="F35" s="11">
        <v>1.4800000000000001E-2</v>
      </c>
      <c r="G35" s="11">
        <v>3.8E-3</v>
      </c>
      <c r="H35" s="11">
        <v>5.4000000000000003E-3</v>
      </c>
      <c r="I35" s="11">
        <v>2.5000000000000001E-2</v>
      </c>
      <c r="J35" s="11">
        <v>5.0900000000000001E-2</v>
      </c>
      <c r="K35" s="11">
        <v>3.5999999999999997E-2</v>
      </c>
      <c r="L35" s="11">
        <v>2.3199999999999998E-2</v>
      </c>
      <c r="M35" s="11">
        <v>2.12E-2</v>
      </c>
      <c r="N35" s="11">
        <v>2.7099999999999999E-2</v>
      </c>
      <c r="O35" s="11">
        <v>2.23E-2</v>
      </c>
      <c r="P35" s="11">
        <v>1.95E-2</v>
      </c>
      <c r="Q35" s="11">
        <v>1.8800000000000001E-2</v>
      </c>
      <c r="R35" s="11">
        <v>1.8700000000000001E-2</v>
      </c>
      <c r="S35" t="s">
        <v>185</v>
      </c>
    </row>
    <row r="36" spans="1:19" x14ac:dyDescent="0.35">
      <c r="A36" t="s">
        <v>136</v>
      </c>
      <c r="B36" t="s">
        <v>94</v>
      </c>
      <c r="C36" s="11">
        <v>4.5900000000000003E-2</v>
      </c>
      <c r="D36" s="11">
        <v>6.3200000000000006E-2</v>
      </c>
      <c r="E36" s="11">
        <v>5.2900000000000003E-2</v>
      </c>
      <c r="F36" s="11">
        <v>4.5999999999999999E-2</v>
      </c>
      <c r="G36" s="11">
        <v>4.1200000000000001E-2</v>
      </c>
      <c r="H36" s="11">
        <v>3.2899999999999999E-2</v>
      </c>
      <c r="I36" s="11">
        <v>4.5499999999999999E-2</v>
      </c>
      <c r="J36" s="11">
        <v>6.8600000000000008E-2</v>
      </c>
      <c r="K36" s="11">
        <v>5.8999999999999997E-2</v>
      </c>
      <c r="L36" s="11">
        <v>4.4299999999999999E-2</v>
      </c>
      <c r="M36" s="11">
        <v>3.2199999999999999E-2</v>
      </c>
      <c r="N36" s="11">
        <v>4.3499999999999997E-2</v>
      </c>
      <c r="O36" s="11">
        <v>4.3700000000000003E-2</v>
      </c>
      <c r="P36" s="11">
        <v>3.2400000000000012E-2</v>
      </c>
      <c r="Q36" s="11">
        <v>3.0200000000000001E-2</v>
      </c>
      <c r="R36" s="11">
        <v>3.0800000000000001E-2</v>
      </c>
      <c r="S36" t="s">
        <v>186</v>
      </c>
    </row>
    <row r="37" spans="1:19" x14ac:dyDescent="0.35">
      <c r="A37" t="s">
        <v>139</v>
      </c>
      <c r="B37" t="s">
        <v>94</v>
      </c>
      <c r="C37" s="11">
        <v>1.5599999999999999E-2</v>
      </c>
      <c r="D37" s="11">
        <v>1.6400000000000001E-2</v>
      </c>
      <c r="E37" s="11">
        <v>7.4999999999999997E-3</v>
      </c>
      <c r="F37" s="11">
        <v>1.7899999999999999E-2</v>
      </c>
      <c r="G37" s="11">
        <v>3.0999999999999999E-3</v>
      </c>
      <c r="H37" s="11">
        <v>4.0000000000000001E-3</v>
      </c>
      <c r="I37" s="11">
        <v>1.34E-2</v>
      </c>
      <c r="J37" s="11">
        <v>6.6600000000000006E-2</v>
      </c>
      <c r="K37" s="11">
        <v>6.0900000000000003E-2</v>
      </c>
      <c r="L37" s="11">
        <v>9.8999999999999991E-3</v>
      </c>
      <c r="M37" s="11">
        <v>6.9999999999999993E-3</v>
      </c>
      <c r="N37" s="11">
        <v>6.0000000000000001E-3</v>
      </c>
      <c r="O37" s="11">
        <v>1.2E-2</v>
      </c>
      <c r="P37" s="11">
        <v>1.9800000000000002E-2</v>
      </c>
      <c r="Q37" s="11">
        <v>1.67E-2</v>
      </c>
      <c r="R37" s="11">
        <v>1.67E-2</v>
      </c>
      <c r="S37" t="s">
        <v>187</v>
      </c>
    </row>
    <row r="38" spans="1:19" x14ac:dyDescent="0.35">
      <c r="A38" t="s">
        <v>142</v>
      </c>
      <c r="B38" t="s">
        <v>94</v>
      </c>
      <c r="C38" s="11">
        <v>4.8499999999999988E-2</v>
      </c>
      <c r="D38" s="11">
        <v>3.6299999999999999E-2</v>
      </c>
      <c r="E38" s="11">
        <v>5.3099999999999987E-2</v>
      </c>
      <c r="F38" s="11">
        <v>7.3099999999999998E-2</v>
      </c>
      <c r="G38" s="11">
        <v>6.7199999999999996E-2</v>
      </c>
      <c r="H38" s="11">
        <v>5.6300000000000003E-2</v>
      </c>
      <c r="I38" s="11">
        <v>5.7099999999999998E-2</v>
      </c>
      <c r="J38" s="11">
        <v>8.3100000000000007E-2</v>
      </c>
      <c r="K38" s="11">
        <v>9.3200000000000005E-2</v>
      </c>
      <c r="L38" s="11">
        <v>7.0099999999999996E-2</v>
      </c>
      <c r="M38" s="11">
        <v>5.3499999999999999E-2</v>
      </c>
      <c r="N38" s="11">
        <v>5.33E-2</v>
      </c>
      <c r="O38" s="11">
        <v>4.6100000000000002E-2</v>
      </c>
      <c r="P38" s="11">
        <v>4.0399999999999998E-2</v>
      </c>
      <c r="Q38" s="11">
        <v>3.5299999999999998E-2</v>
      </c>
      <c r="R38" s="11">
        <v>2.7799999999999998E-2</v>
      </c>
      <c r="S38" t="s">
        <v>188</v>
      </c>
    </row>
    <row r="39" spans="1:19" x14ac:dyDescent="0.35">
      <c r="A39" t="s">
        <v>144</v>
      </c>
      <c r="B39" t="s">
        <v>94</v>
      </c>
      <c r="C39" s="11">
        <v>-6.3E-3</v>
      </c>
      <c r="D39" s="11">
        <v>-3.3E-3</v>
      </c>
      <c r="E39" s="11">
        <v>2.0400000000000001E-2</v>
      </c>
      <c r="F39" s="11">
        <v>1.7399999999999999E-2</v>
      </c>
      <c r="G39" s="11">
        <v>7.8000000000000014E-3</v>
      </c>
      <c r="H39" s="11">
        <v>-3.3999999999999998E-3</v>
      </c>
      <c r="I39" s="11">
        <v>3.0099999999999998E-2</v>
      </c>
      <c r="J39" s="11">
        <v>8.3199999999999996E-2</v>
      </c>
      <c r="K39" s="11">
        <v>3.4000000000000002E-2</v>
      </c>
      <c r="L39" s="11">
        <v>2.87E-2</v>
      </c>
      <c r="M39" s="11">
        <v>2.69E-2</v>
      </c>
      <c r="N39" s="11">
        <v>3.8899999999999997E-2</v>
      </c>
      <c r="O39" s="11">
        <v>3.1099999999999999E-2</v>
      </c>
      <c r="P39" s="11">
        <v>1.8499999999999999E-2</v>
      </c>
      <c r="Q39" s="11">
        <v>1.9E-2</v>
      </c>
      <c r="R39" s="11">
        <v>2.0299999999999999E-2</v>
      </c>
      <c r="S39" t="s">
        <v>189</v>
      </c>
    </row>
    <row r="40" spans="1:19" x14ac:dyDescent="0.35">
      <c r="A40" t="s">
        <v>148</v>
      </c>
      <c r="B40" t="s">
        <v>94</v>
      </c>
      <c r="C40" s="11">
        <v>5.1000000000000004E-3</v>
      </c>
      <c r="D40" s="11">
        <v>6.4000000000000003E-3</v>
      </c>
      <c r="E40" s="11">
        <v>1.5599999999999999E-2</v>
      </c>
      <c r="F40" s="11">
        <v>1.17E-2</v>
      </c>
      <c r="G40" s="11">
        <v>3.0000000000000001E-3</v>
      </c>
      <c r="H40" s="11">
        <v>-1.1999999999999999E-3</v>
      </c>
      <c r="I40" s="11">
        <v>9.3999999999999986E-3</v>
      </c>
      <c r="J40" s="11">
        <v>8.1000000000000003E-2</v>
      </c>
      <c r="K40" s="11">
        <v>5.2600000000000001E-2</v>
      </c>
      <c r="L40" s="11">
        <v>2.6700000000000002E-2</v>
      </c>
      <c r="M40" s="11">
        <v>2.1899999999999999E-2</v>
      </c>
      <c r="N40" s="11">
        <v>3.15E-2</v>
      </c>
      <c r="O40" s="11">
        <v>2.9399999999999999E-2</v>
      </c>
      <c r="P40" s="11">
        <v>2.06E-2</v>
      </c>
      <c r="Q40" s="11">
        <v>1.89E-2</v>
      </c>
      <c r="R40" s="11">
        <v>1.9900000000000001E-2</v>
      </c>
      <c r="S40" t="s">
        <v>190</v>
      </c>
    </row>
    <row r="41" spans="1:19" x14ac:dyDescent="0.35">
      <c r="A41" t="s">
        <v>149</v>
      </c>
      <c r="B41" t="s">
        <v>94</v>
      </c>
      <c r="C41" s="11">
        <v>8.0000000000000004E-4</v>
      </c>
      <c r="D41" s="11">
        <v>3.0999999999999999E-3</v>
      </c>
      <c r="E41" s="11">
        <v>1.1599999999999999E-2</v>
      </c>
      <c r="F41" s="11">
        <v>2.1000000000000001E-2</v>
      </c>
      <c r="G41" s="11">
        <v>1.2999999999999999E-2</v>
      </c>
      <c r="H41" s="11">
        <v>5.1999999999999998E-3</v>
      </c>
      <c r="I41" s="11">
        <v>2.07E-2</v>
      </c>
      <c r="J41" s="11">
        <v>5.91E-2</v>
      </c>
      <c r="K41" s="11">
        <v>5.6599999999999998E-2</v>
      </c>
      <c r="L41" s="11">
        <v>2.3199999999999998E-2</v>
      </c>
      <c r="M41" s="11">
        <v>9.300000000000001E-3</v>
      </c>
      <c r="N41" s="11">
        <v>2.4199999999999999E-2</v>
      </c>
      <c r="O41" s="11">
        <v>2.3099999999999999E-2</v>
      </c>
      <c r="P41" s="11">
        <v>1.89E-2</v>
      </c>
      <c r="Q41" s="11">
        <v>1.7899999999999999E-2</v>
      </c>
      <c r="R41" s="11">
        <v>1.8499999999999999E-2</v>
      </c>
      <c r="S41" t="s">
        <v>191</v>
      </c>
    </row>
    <row r="42" spans="1:19" x14ac:dyDescent="0.35">
      <c r="A42" t="s">
        <v>150</v>
      </c>
      <c r="B42" t="s">
        <v>94</v>
      </c>
      <c r="C42" s="11">
        <v>1.6000000000000001E-3</v>
      </c>
      <c r="D42" s="11">
        <v>-5.9999999999999995E-4</v>
      </c>
      <c r="E42" s="11">
        <v>1.3299999999999999E-2</v>
      </c>
      <c r="F42" s="11">
        <v>1.24E-2</v>
      </c>
      <c r="G42" s="11">
        <v>6.6E-3</v>
      </c>
      <c r="H42" s="11">
        <v>-1.6999999999999999E-3</v>
      </c>
      <c r="I42" s="11">
        <v>1.95E-2</v>
      </c>
      <c r="J42" s="11">
        <v>8.7499999999999994E-2</v>
      </c>
      <c r="K42" s="11">
        <v>5.91E-2</v>
      </c>
      <c r="L42" s="11">
        <v>1.0800000000000001E-2</v>
      </c>
      <c r="M42" s="11">
        <v>1.6299999999999999E-2</v>
      </c>
      <c r="N42" s="11">
        <v>2.9899999999999999E-2</v>
      </c>
      <c r="O42" s="11">
        <v>2.6100000000000002E-2</v>
      </c>
      <c r="P42" s="11">
        <v>1.5100000000000001E-2</v>
      </c>
      <c r="Q42" s="11">
        <v>1.77E-2</v>
      </c>
      <c r="R42" s="11">
        <v>1.83E-2</v>
      </c>
      <c r="S42" t="s">
        <v>192</v>
      </c>
    </row>
    <row r="44" spans="1:19" x14ac:dyDescent="0.35">
      <c r="A44" s="13" t="s">
        <v>193</v>
      </c>
    </row>
    <row r="45" spans="1:19" x14ac:dyDescent="0.35">
      <c r="A45" s="13" t="s">
        <v>23</v>
      </c>
      <c r="B45" s="13" t="s">
        <v>24</v>
      </c>
      <c r="E45" s="13">
        <v>2017</v>
      </c>
      <c r="F45" s="13">
        <v>2018</v>
      </c>
      <c r="G45" s="13">
        <v>2019</v>
      </c>
      <c r="H45" s="13">
        <v>2020</v>
      </c>
      <c r="I45" s="13">
        <v>2021</v>
      </c>
      <c r="J45" s="13">
        <v>2022</v>
      </c>
      <c r="K45" s="13">
        <v>2023</v>
      </c>
      <c r="L45" s="13">
        <v>2024</v>
      </c>
      <c r="M45" s="13">
        <v>2025</v>
      </c>
      <c r="N45" s="13">
        <v>2026</v>
      </c>
      <c r="O45" s="13">
        <v>2027</v>
      </c>
      <c r="P45" s="13">
        <v>2028</v>
      </c>
      <c r="Q45" s="13">
        <v>2029</v>
      </c>
      <c r="R45" s="13">
        <v>2030</v>
      </c>
    </row>
    <row r="46" spans="1:19" x14ac:dyDescent="0.35">
      <c r="A46" t="s">
        <v>36</v>
      </c>
      <c r="B46" t="s">
        <v>37</v>
      </c>
      <c r="E46" s="14">
        <f t="shared" ref="E46:E85" si="0">IF(COUNT(C3:E3)&lt;3,"",(1+C3)*(1+D3)*(1+E3)-1)</f>
        <v>0.11995952921599984</v>
      </c>
      <c r="F46" s="14">
        <f t="shared" ref="F46:F85" si="1">IF(COUNT(D3:F3)&lt;3,"",(1+D3)*(1+E3)*(1+F3)-1)</f>
        <v>0.14372814071999995</v>
      </c>
      <c r="G46" s="14">
        <f t="shared" ref="G46:G85" si="2">IF(COUNT(E3:G3)&lt;3,"",(1+E3)*(1+F3)*(1+G3)-1)</f>
        <v>0.1528494894400001</v>
      </c>
      <c r="H46" s="14">
        <f t="shared" ref="H46:H85" si="3">IF(COUNT(F3:H3)&lt;3,"",(1+F3)*(1+G3)*(1+H3)-1)</f>
        <v>0.12414784239999999</v>
      </c>
      <c r="I46" s="14">
        <f t="shared" ref="I46:I85" si="4">IF(COUNT(G3:I3)&lt;3,"",(1+G3)*(1+H3)*(1+I3)-1)</f>
        <v>0.13261377943999997</v>
      </c>
      <c r="J46" s="14">
        <f t="shared" ref="J46:J85" si="5">IF(COUNT(H3:J3)&lt;3,"",(1+H3)*(1+I3)*(1+J3)-1)</f>
        <v>0.17916853339999994</v>
      </c>
      <c r="K46" s="14">
        <f t="shared" ref="K46:K85" si="6">IF(COUNT(I3:K3)&lt;3,"",(1+I3)*(1+J3)*(1+K3)-1)</f>
        <v>0.20345894902999984</v>
      </c>
      <c r="L46" s="14">
        <f t="shared" ref="L46:L85" si="7">IF(COUNT(J3:L3)&lt;3,"",(1+J3)*(1+K3)*(1+L3)-1)</f>
        <v>0.1924138626399996</v>
      </c>
      <c r="M46" s="14">
        <f t="shared" ref="M46:M85" si="8">IF(COUNT(K3:M3)&lt;3,"",(1+K3)*(1+L3)*(1+M3)-1)</f>
        <v>0.14721485709599968</v>
      </c>
      <c r="N46" s="14">
        <f t="shared" ref="N46:N85" si="9">IF(COUNT(L3:N3)&lt;3,"",(1+L3)*(1+M3)*(1+N3)-1)</f>
        <v>0.12797321683200003</v>
      </c>
      <c r="O46" s="14">
        <f t="shared" ref="O46:O85" si="10">IF(COUNT(M3:O3)&lt;3,"",(1+M3)*(1+N3)*(1+O3)-1)</f>
        <v>0.11914072984000001</v>
      </c>
      <c r="P46" s="14">
        <f t="shared" ref="P46:P85" si="11">IF(COUNT(N3:P3)&lt;3,"",(1+N3)*(1+O3)*(1+P3)-1)</f>
        <v>0.11817047007999992</v>
      </c>
      <c r="Q46" s="14">
        <f t="shared" ref="Q46:Q85" si="12">IF(COUNT(O3:Q3)&lt;3,"",(1+O3)*(1+P3)*(1+Q3)-1)</f>
        <v>0.11224339067999978</v>
      </c>
      <c r="R46" s="14">
        <f t="shared" ref="R46:R85" si="13">IF(COUNT(P3:R3)&lt;3,"",(1+P3)*(1+Q3)*(1+R3)-1)</f>
        <v>9.7791720060000031E-2</v>
      </c>
    </row>
    <row r="47" spans="1:19" x14ac:dyDescent="0.35">
      <c r="A47" t="s">
        <v>46</v>
      </c>
      <c r="B47" t="s">
        <v>47</v>
      </c>
      <c r="E47" s="14">
        <f t="shared" si="0"/>
        <v>3.5409382056000194E-2</v>
      </c>
      <c r="F47" s="14">
        <f t="shared" si="1"/>
        <v>5.9402088472000125E-2</v>
      </c>
      <c r="G47" s="14">
        <f t="shared" si="2"/>
        <v>6.5156296932000091E-2</v>
      </c>
      <c r="H47" s="14">
        <f t="shared" si="3"/>
        <v>5.5769822171999994E-2</v>
      </c>
      <c r="I47" s="14">
        <f t="shared" si="4"/>
        <v>7.9061893609999823E-2</v>
      </c>
      <c r="J47" s="14">
        <f t="shared" si="5"/>
        <v>0.14466834799999995</v>
      </c>
      <c r="K47" s="14">
        <f t="shared" si="6"/>
        <v>0.17734731199999998</v>
      </c>
      <c r="L47" s="14">
        <f t="shared" si="7"/>
        <v>0.15766863200000003</v>
      </c>
      <c r="M47" s="14">
        <f t="shared" si="8"/>
        <v>0.10096430733999995</v>
      </c>
      <c r="N47" s="14">
        <f t="shared" si="9"/>
        <v>9.2928071520000044E-2</v>
      </c>
      <c r="O47" s="14">
        <f t="shared" si="10"/>
        <v>8.7301535551999931E-2</v>
      </c>
      <c r="P47" s="14">
        <f t="shared" si="11"/>
        <v>8.0632272896000057E-2</v>
      </c>
      <c r="Q47" s="14">
        <f t="shared" si="12"/>
        <v>6.6413427199999875E-2</v>
      </c>
      <c r="R47" s="14">
        <f t="shared" si="13"/>
        <v>6.2665049599999856E-2</v>
      </c>
    </row>
    <row r="48" spans="1:19" x14ac:dyDescent="0.35">
      <c r="A48" t="s">
        <v>50</v>
      </c>
      <c r="B48" t="s">
        <v>47</v>
      </c>
      <c r="E48" s="14">
        <f t="shared" si="0"/>
        <v>4.2173775440000227E-2</v>
      </c>
      <c r="F48" s="14">
        <f t="shared" si="1"/>
        <v>5.3921803759999776E-2</v>
      </c>
      <c r="G48" s="14">
        <f t="shared" si="2"/>
        <v>5.932493240000003E-2</v>
      </c>
      <c r="H48" s="14">
        <f t="shared" si="3"/>
        <v>5.0149677080000288E-2</v>
      </c>
      <c r="I48" s="14">
        <f t="shared" si="4"/>
        <v>6.1752973600000205E-2</v>
      </c>
      <c r="J48" s="14">
        <f t="shared" si="5"/>
        <v>0.11226304640000007</v>
      </c>
      <c r="K48" s="14">
        <f t="shared" si="6"/>
        <v>0.14715930560000023</v>
      </c>
      <c r="L48" s="14">
        <f t="shared" si="7"/>
        <v>0.13584303392000008</v>
      </c>
      <c r="M48" s="14">
        <f t="shared" si="8"/>
        <v>8.5538375207999895E-2</v>
      </c>
      <c r="N48" s="14">
        <f t="shared" si="9"/>
        <v>7.4043455947999881E-2</v>
      </c>
      <c r="O48" s="14">
        <f t="shared" si="10"/>
        <v>7.8344665334000085E-2</v>
      </c>
      <c r="P48" s="14">
        <f t="shared" si="11"/>
        <v>7.8239017772000041E-2</v>
      </c>
      <c r="Q48" s="14">
        <f t="shared" si="12"/>
        <v>6.8167900268000015E-2</v>
      </c>
      <c r="R48" s="14">
        <f t="shared" si="13"/>
        <v>5.8503573511999862E-2</v>
      </c>
    </row>
    <row r="49" spans="1:18" x14ac:dyDescent="0.35">
      <c r="A49" t="s">
        <v>53</v>
      </c>
      <c r="B49" t="s">
        <v>54</v>
      </c>
      <c r="E49" s="14">
        <f t="shared" si="0"/>
        <v>1.004708911616</v>
      </c>
      <c r="F49" s="14">
        <f t="shared" si="1"/>
        <v>1.3134437319680003</v>
      </c>
      <c r="G49" s="14">
        <f t="shared" si="2"/>
        <v>1.5831099843200001</v>
      </c>
      <c r="H49" s="14">
        <f t="shared" si="3"/>
        <v>1.9282669218799997</v>
      </c>
      <c r="I49" s="14">
        <f t="shared" si="4"/>
        <v>2.2364022481099997</v>
      </c>
      <c r="J49" s="14">
        <f t="shared" si="5"/>
        <v>2.6343395613259992</v>
      </c>
      <c r="K49" s="14">
        <f t="shared" si="6"/>
        <v>4.9750876226870009</v>
      </c>
      <c r="L49" s="14">
        <f t="shared" si="7"/>
        <v>11.878586542315999</v>
      </c>
      <c r="M49" s="14">
        <f t="shared" si="8"/>
        <v>9.5998318279040014</v>
      </c>
      <c r="N49" s="14">
        <f t="shared" si="9"/>
        <v>5.0242309459199994</v>
      </c>
      <c r="O49" s="14">
        <f t="shared" si="10"/>
        <v>1.2183136273599997</v>
      </c>
      <c r="P49" s="14">
        <f t="shared" si="11"/>
        <v>0.69280838389999988</v>
      </c>
      <c r="Q49" s="14">
        <f t="shared" si="12"/>
        <v>0.36075260218999983</v>
      </c>
      <c r="R49" s="14">
        <f t="shared" si="13"/>
        <v>0.23714233948999985</v>
      </c>
    </row>
    <row r="50" spans="1:18" x14ac:dyDescent="0.35">
      <c r="A50" t="s">
        <v>57</v>
      </c>
      <c r="B50" t="s">
        <v>54</v>
      </c>
      <c r="E50" s="14">
        <f t="shared" si="0"/>
        <v>0.22649515159</v>
      </c>
      <c r="F50" s="14">
        <f t="shared" si="1"/>
        <v>0.16608719997999977</v>
      </c>
      <c r="G50" s="14">
        <f t="shared" si="2"/>
        <v>0.11236182871000011</v>
      </c>
      <c r="H50" s="14">
        <f t="shared" si="3"/>
        <v>0.10978119227800009</v>
      </c>
      <c r="I50" s="14">
        <f t="shared" si="4"/>
        <v>0.15945690839000015</v>
      </c>
      <c r="J50" s="14">
        <f t="shared" si="5"/>
        <v>0.22149282703999984</v>
      </c>
      <c r="K50" s="14">
        <f t="shared" si="6"/>
        <v>0.23782516015999988</v>
      </c>
      <c r="L50" s="14">
        <f t="shared" si="7"/>
        <v>0.19290685102400018</v>
      </c>
      <c r="M50" s="14">
        <f t="shared" si="8"/>
        <v>0.14640444266600028</v>
      </c>
      <c r="N50" s="14">
        <f t="shared" si="9"/>
        <v>0.14640444266600028</v>
      </c>
      <c r="O50" s="14">
        <f t="shared" si="10"/>
        <v>0.15189646356600006</v>
      </c>
      <c r="P50" s="14">
        <f t="shared" si="11"/>
        <v>0.13533425008299993</v>
      </c>
      <c r="Q50" s="14">
        <f t="shared" si="12"/>
        <v>0.12480480919399972</v>
      </c>
      <c r="R50" s="14">
        <f t="shared" si="13"/>
        <v>0.10700013690199972</v>
      </c>
    </row>
    <row r="51" spans="1:18" x14ac:dyDescent="0.35">
      <c r="A51" t="s">
        <v>60</v>
      </c>
      <c r="B51" t="s">
        <v>54</v>
      </c>
      <c r="E51" s="14">
        <f t="shared" si="0"/>
        <v>0.1065524857400002</v>
      </c>
      <c r="F51" s="14">
        <f t="shared" si="1"/>
        <v>8.6298386576000086E-2</v>
      </c>
      <c r="G51" s="14">
        <f t="shared" si="2"/>
        <v>7.3528257152000176E-2</v>
      </c>
      <c r="H51" s="14">
        <f t="shared" si="3"/>
        <v>8.2668691520000115E-2</v>
      </c>
      <c r="I51" s="14">
        <f t="shared" si="4"/>
        <v>0.10465181215999997</v>
      </c>
      <c r="J51" s="14">
        <f t="shared" si="5"/>
        <v>0.20245054903999993</v>
      </c>
      <c r="K51" s="14">
        <f t="shared" si="6"/>
        <v>0.25530936502400015</v>
      </c>
      <c r="L51" s="14">
        <f t="shared" si="7"/>
        <v>0.25230680722400001</v>
      </c>
      <c r="M51" s="14">
        <f t="shared" si="8"/>
        <v>0.16896177338600005</v>
      </c>
      <c r="N51" s="14">
        <f t="shared" si="9"/>
        <v>0.12734508262499999</v>
      </c>
      <c r="O51" s="14">
        <f t="shared" si="10"/>
        <v>0.1207498922500001</v>
      </c>
      <c r="P51" s="14">
        <f t="shared" si="11"/>
        <v>0.10655365524999993</v>
      </c>
      <c r="Q51" s="14">
        <f t="shared" si="12"/>
        <v>9.5461454753999808E-2</v>
      </c>
      <c r="R51" s="14">
        <f t="shared" si="13"/>
        <v>8.9437790570999764E-2</v>
      </c>
    </row>
    <row r="52" spans="1:18" x14ac:dyDescent="0.35">
      <c r="A52" t="s">
        <v>63</v>
      </c>
      <c r="B52" t="s">
        <v>54</v>
      </c>
      <c r="E52" s="14">
        <f t="shared" si="0"/>
        <v>0.177509381568</v>
      </c>
      <c r="F52" s="14">
        <f t="shared" si="1"/>
        <v>0.15788235596799982</v>
      </c>
      <c r="G52" s="14">
        <f t="shared" si="2"/>
        <v>0.11491006873599985</v>
      </c>
      <c r="H52" s="14">
        <f t="shared" si="3"/>
        <v>9.5779614143999936E-2</v>
      </c>
      <c r="I52" s="14">
        <f t="shared" si="4"/>
        <v>9.8539229599999834E-2</v>
      </c>
      <c r="J52" s="14">
        <f t="shared" si="5"/>
        <v>0.16921418390000009</v>
      </c>
      <c r="K52" s="14">
        <f t="shared" si="6"/>
        <v>0.27424161619999965</v>
      </c>
      <c r="L52" s="14">
        <f t="shared" si="7"/>
        <v>0.31253042225199978</v>
      </c>
      <c r="M52" s="14">
        <f t="shared" si="8"/>
        <v>0.25249091119599987</v>
      </c>
      <c r="N52" s="14">
        <f t="shared" si="9"/>
        <v>0.18815139240000001</v>
      </c>
      <c r="O52" s="14">
        <f t="shared" si="10"/>
        <v>0.18191028200000003</v>
      </c>
      <c r="P52" s="14">
        <f t="shared" si="11"/>
        <v>0.16707176600000007</v>
      </c>
      <c r="Q52" s="14">
        <f t="shared" si="12"/>
        <v>0.13888588184000006</v>
      </c>
      <c r="R52" s="14">
        <f t="shared" si="13"/>
        <v>0.10935324463999985</v>
      </c>
    </row>
    <row r="53" spans="1:18" x14ac:dyDescent="0.35">
      <c r="A53" t="s">
        <v>66</v>
      </c>
      <c r="B53" t="s">
        <v>54</v>
      </c>
      <c r="E53" s="14">
        <f t="shared" si="0"/>
        <v>2.4225513920000052E-2</v>
      </c>
      <c r="F53" s="14">
        <f t="shared" si="1"/>
        <v>3.8654087628000156E-2</v>
      </c>
      <c r="G53" s="14">
        <f t="shared" si="2"/>
        <v>6.0677959059999731E-2</v>
      </c>
      <c r="H53" s="14">
        <f t="shared" si="3"/>
        <v>5.1180596640000076E-2</v>
      </c>
      <c r="I53" s="14">
        <f t="shared" si="4"/>
        <v>4.6141675759999945E-2</v>
      </c>
      <c r="J53" s="14">
        <f t="shared" si="5"/>
        <v>0.10936101111200003</v>
      </c>
      <c r="K53" s="14">
        <f t="shared" si="6"/>
        <v>0.10726829276300021</v>
      </c>
      <c r="L53" s="14">
        <f t="shared" si="7"/>
        <v>8.397571292900019E-2</v>
      </c>
      <c r="M53" s="14">
        <f t="shared" si="8"/>
        <v>4.77445210999905E-4</v>
      </c>
      <c r="N53" s="14">
        <f t="shared" si="9"/>
        <v>-1.0370266072000089E-2</v>
      </c>
      <c r="O53" s="14">
        <f t="shared" si="10"/>
        <v>2.7887334847999989E-2</v>
      </c>
      <c r="P53" s="14">
        <f t="shared" si="11"/>
        <v>4.8665203519999922E-2</v>
      </c>
      <c r="Q53" s="14">
        <f t="shared" si="12"/>
        <v>7.2603960679999968E-2</v>
      </c>
      <c r="R53" s="14">
        <f t="shared" si="13"/>
        <v>5.9538599210000154E-2</v>
      </c>
    </row>
    <row r="54" spans="1:18" x14ac:dyDescent="0.35">
      <c r="A54" t="s">
        <v>70</v>
      </c>
      <c r="B54" t="s">
        <v>54</v>
      </c>
      <c r="E54" s="14">
        <f t="shared" si="0"/>
        <v>6.2129094602000112E-2</v>
      </c>
      <c r="F54" s="14">
        <f t="shared" si="1"/>
        <v>1.932520014800021E-2</v>
      </c>
      <c r="G54" s="14">
        <f t="shared" si="2"/>
        <v>4.696135051999839E-3</v>
      </c>
      <c r="H54" s="14">
        <f t="shared" si="3"/>
        <v>-2.9076198040001167E-3</v>
      </c>
      <c r="I54" s="14">
        <f t="shared" si="4"/>
        <v>5.8989806599996086E-4</v>
      </c>
      <c r="J54" s="14">
        <f t="shared" si="5"/>
        <v>3.2522556626000121E-2</v>
      </c>
      <c r="K54" s="14">
        <f t="shared" si="6"/>
        <v>5.9045311442000203E-2</v>
      </c>
      <c r="L54" s="14">
        <f t="shared" si="7"/>
        <v>7.4064230270000087E-2</v>
      </c>
      <c r="M54" s="14">
        <f t="shared" si="8"/>
        <v>4.5414213110000157E-2</v>
      </c>
      <c r="N54" s="14">
        <f t="shared" si="9"/>
        <v>4.6948278185000136E-2</v>
      </c>
      <c r="O54" s="14">
        <f t="shared" si="10"/>
        <v>5.8701316463000142E-2</v>
      </c>
      <c r="P54" s="14">
        <f t="shared" si="11"/>
        <v>7.4154508154000043E-2</v>
      </c>
      <c r="Q54" s="14">
        <f t="shared" si="12"/>
        <v>7.1216506177999905E-2</v>
      </c>
      <c r="R54" s="14">
        <f t="shared" si="13"/>
        <v>6.474894133400011E-2</v>
      </c>
    </row>
    <row r="55" spans="1:18" x14ac:dyDescent="0.35">
      <c r="A55" t="s">
        <v>71</v>
      </c>
      <c r="B55" t="s">
        <v>54</v>
      </c>
      <c r="E55" s="14">
        <f t="shared" si="0"/>
        <v>8.7426276199999986E-3</v>
      </c>
      <c r="F55" s="14">
        <f t="shared" si="1"/>
        <v>2.7236750539999965E-2</v>
      </c>
      <c r="G55" s="14">
        <f t="shared" si="2"/>
        <v>2.1824867062999687E-2</v>
      </c>
      <c r="H55" s="14">
        <f t="shared" si="3"/>
        <v>7.8646817689997928E-3</v>
      </c>
      <c r="I55" s="14">
        <f t="shared" si="4"/>
        <v>3.1593220126999721E-2</v>
      </c>
      <c r="J55" s="14">
        <f t="shared" si="5"/>
        <v>0.1050943659200001</v>
      </c>
      <c r="K55" s="14">
        <f t="shared" si="6"/>
        <v>0.15412093519999992</v>
      </c>
      <c r="L55" s="14">
        <f t="shared" si="7"/>
        <v>0.12489703599999991</v>
      </c>
      <c r="M55" s="14">
        <f t="shared" si="8"/>
        <v>5.2072545049999697E-2</v>
      </c>
      <c r="N55" s="14">
        <f t="shared" si="9"/>
        <v>3.5591254819999918E-2</v>
      </c>
      <c r="O55" s="14">
        <f t="shared" si="10"/>
        <v>5.3766728503999994E-2</v>
      </c>
      <c r="P55" s="14">
        <f t="shared" si="11"/>
        <v>7.6889477383999871E-2</v>
      </c>
      <c r="Q55" s="14">
        <f t="shared" si="12"/>
        <v>7.8361499712000127E-2</v>
      </c>
      <c r="R55" s="14">
        <f t="shared" si="13"/>
        <v>7.867674863999996E-2</v>
      </c>
    </row>
    <row r="56" spans="1:18" x14ac:dyDescent="0.35">
      <c r="A56" t="s">
        <v>73</v>
      </c>
      <c r="B56" t="s">
        <v>54</v>
      </c>
      <c r="E56" s="14">
        <f t="shared" si="0"/>
        <v>0.11673383891000011</v>
      </c>
      <c r="F56" s="14">
        <f t="shared" si="1"/>
        <v>0.13156690874999999</v>
      </c>
      <c r="G56" s="14">
        <f t="shared" si="2"/>
        <v>0.12344172750000015</v>
      </c>
      <c r="H56" s="14">
        <f t="shared" si="3"/>
        <v>0.11042348875000019</v>
      </c>
      <c r="I56" s="14">
        <f t="shared" si="4"/>
        <v>0.11588195601999995</v>
      </c>
      <c r="J56" s="14">
        <f t="shared" si="5"/>
        <v>0.15020850799399987</v>
      </c>
      <c r="K56" s="14">
        <f t="shared" si="6"/>
        <v>0.18364156219399996</v>
      </c>
      <c r="L56" s="14">
        <f t="shared" si="7"/>
        <v>0.16786118840299991</v>
      </c>
      <c r="M56" s="14">
        <f t="shared" si="8"/>
        <v>0.10984506986600007</v>
      </c>
      <c r="N56" s="14">
        <f t="shared" si="9"/>
        <v>7.7347017259999706E-2</v>
      </c>
      <c r="O56" s="14">
        <f t="shared" si="10"/>
        <v>8.4363858919999979E-2</v>
      </c>
      <c r="P56" s="14">
        <f t="shared" si="11"/>
        <v>0.10539355770000003</v>
      </c>
      <c r="Q56" s="14">
        <f t="shared" si="12"/>
        <v>0.10571520471000051</v>
      </c>
      <c r="R56" s="14">
        <f t="shared" si="13"/>
        <v>0.10037564896000029</v>
      </c>
    </row>
    <row r="57" spans="1:18" x14ac:dyDescent="0.35">
      <c r="A57" t="s">
        <v>75</v>
      </c>
      <c r="B57" t="s">
        <v>54</v>
      </c>
      <c r="E57" s="14">
        <f t="shared" si="0"/>
        <v>0.10130413913599967</v>
      </c>
      <c r="F57" s="14">
        <f t="shared" si="1"/>
        <v>0.11400820975999992</v>
      </c>
      <c r="G57" s="14">
        <f t="shared" si="2"/>
        <v>0.13190261733499997</v>
      </c>
      <c r="H57" s="14">
        <f t="shared" si="3"/>
        <v>0.12689275296500013</v>
      </c>
      <c r="I57" s="14">
        <f t="shared" si="4"/>
        <v>0.12829664427199994</v>
      </c>
      <c r="J57" s="14">
        <f t="shared" si="5"/>
        <v>0.17932241950399996</v>
      </c>
      <c r="K57" s="14">
        <f t="shared" si="6"/>
        <v>0.21568115651199982</v>
      </c>
      <c r="L57" s="14">
        <f t="shared" si="7"/>
        <v>0.21719377663399997</v>
      </c>
      <c r="M57" s="14">
        <f t="shared" si="8"/>
        <v>0.16709569196000018</v>
      </c>
      <c r="N57" s="14">
        <f t="shared" si="9"/>
        <v>0.15024469472000002</v>
      </c>
      <c r="O57" s="14">
        <f t="shared" si="10"/>
        <v>0.14749580672000007</v>
      </c>
      <c r="P57" s="14">
        <f t="shared" si="11"/>
        <v>0.14288827097600021</v>
      </c>
      <c r="Q57" s="14">
        <f t="shared" si="12"/>
        <v>0.13005904571200011</v>
      </c>
      <c r="R57" s="14">
        <f t="shared" si="13"/>
        <v>0.12247911727200012</v>
      </c>
    </row>
    <row r="58" spans="1:18" x14ac:dyDescent="0.35">
      <c r="A58" t="s">
        <v>79</v>
      </c>
      <c r="B58" t="s">
        <v>54</v>
      </c>
      <c r="E58" s="14">
        <f t="shared" si="0"/>
        <v>0.11805740800000009</v>
      </c>
      <c r="F58" s="14">
        <f t="shared" si="1"/>
        <v>0.12827043239999991</v>
      </c>
      <c r="G58" s="14">
        <f t="shared" si="2"/>
        <v>0.14854267934999998</v>
      </c>
      <c r="H58" s="14">
        <f t="shared" si="3"/>
        <v>0.14666254208000007</v>
      </c>
      <c r="I58" s="14">
        <f t="shared" si="4"/>
        <v>0.14644402611199991</v>
      </c>
      <c r="J58" s="14">
        <f t="shared" si="5"/>
        <v>0.20181886092799983</v>
      </c>
      <c r="K58" s="14">
        <f t="shared" si="6"/>
        <v>0.25641537746900012</v>
      </c>
      <c r="L58" s="14">
        <f t="shared" si="7"/>
        <v>0.2528232244790003</v>
      </c>
      <c r="M58" s="14">
        <f t="shared" si="8"/>
        <v>0.15767352905600007</v>
      </c>
      <c r="N58" s="14">
        <f t="shared" si="9"/>
        <v>0.10971749855999979</v>
      </c>
      <c r="O58" s="14">
        <f t="shared" si="10"/>
        <v>9.8262897599999954E-2</v>
      </c>
      <c r="P58" s="14">
        <f t="shared" si="11"/>
        <v>0.12376136024999984</v>
      </c>
      <c r="Q58" s="14">
        <f t="shared" si="12"/>
        <v>0.12040846302500019</v>
      </c>
      <c r="R58" s="14">
        <f t="shared" si="13"/>
        <v>0.1182444679250001</v>
      </c>
    </row>
    <row r="59" spans="1:18" x14ac:dyDescent="0.35">
      <c r="A59" t="s">
        <v>81</v>
      </c>
      <c r="B59" t="s">
        <v>54</v>
      </c>
      <c r="E59" s="14">
        <f t="shared" si="0"/>
        <v>1.7687891168000069E-2</v>
      </c>
      <c r="F59" s="14">
        <f t="shared" si="1"/>
        <v>2.3988734912000043E-2</v>
      </c>
      <c r="G59" s="14">
        <f t="shared" si="2"/>
        <v>1.2807599232000033E-2</v>
      </c>
      <c r="H59" s="14">
        <f t="shared" si="3"/>
        <v>-1.1588935919999988E-2</v>
      </c>
      <c r="I59" s="14">
        <f t="shared" si="4"/>
        <v>-3.0546204599999349E-3</v>
      </c>
      <c r="J59" s="14">
        <f t="shared" si="5"/>
        <v>2.9163004209999954E-2</v>
      </c>
      <c r="K59" s="14">
        <f t="shared" si="6"/>
        <v>6.0942136081999942E-2</v>
      </c>
      <c r="L59" s="14">
        <f t="shared" si="7"/>
        <v>5.1129230365999812E-2</v>
      </c>
      <c r="M59" s="14">
        <f t="shared" si="8"/>
        <v>1.9756814098999875E-2</v>
      </c>
      <c r="N59" s="14">
        <f t="shared" si="9"/>
        <v>2.6890791219999821E-2</v>
      </c>
      <c r="O59" s="14">
        <f t="shared" si="10"/>
        <v>4.4942203479999776E-2</v>
      </c>
      <c r="P59" s="14">
        <f t="shared" si="11"/>
        <v>6.7769881640000085E-2</v>
      </c>
      <c r="Q59" s="14">
        <f t="shared" si="12"/>
        <v>6.5262398552000001E-2</v>
      </c>
      <c r="R59" s="14">
        <f t="shared" si="13"/>
        <v>6.0063967952000086E-2</v>
      </c>
    </row>
    <row r="60" spans="1:18" x14ac:dyDescent="0.35">
      <c r="A60" t="s">
        <v>83</v>
      </c>
      <c r="B60" t="s">
        <v>54</v>
      </c>
      <c r="E60" s="14">
        <f t="shared" si="0"/>
        <v>0.11212545612000002</v>
      </c>
      <c r="F60" s="14">
        <f t="shared" si="1"/>
        <v>0.12129162151999995</v>
      </c>
      <c r="G60" s="14">
        <f t="shared" si="2"/>
        <v>0.10696442528000016</v>
      </c>
      <c r="H60" s="14">
        <f t="shared" si="3"/>
        <v>8.7410903096000192E-2</v>
      </c>
      <c r="I60" s="14">
        <f t="shared" si="4"/>
        <v>9.5881790108000242E-2</v>
      </c>
      <c r="J60" s="14">
        <f t="shared" si="5"/>
        <v>0.17063978299100002</v>
      </c>
      <c r="K60" s="14">
        <f t="shared" si="6"/>
        <v>0.20353778612899998</v>
      </c>
      <c r="L60" s="14">
        <f t="shared" si="7"/>
        <v>0.19262681278400007</v>
      </c>
      <c r="M60" s="14">
        <f t="shared" si="8"/>
        <v>0.13037162796800006</v>
      </c>
      <c r="N60" s="14">
        <f t="shared" si="9"/>
        <v>0.1028226682879998</v>
      </c>
      <c r="O60" s="14">
        <f t="shared" si="10"/>
        <v>9.1352632832000014E-2</v>
      </c>
      <c r="P60" s="14">
        <f t="shared" si="11"/>
        <v>8.3904916864000034E-2</v>
      </c>
      <c r="Q60" s="14">
        <f t="shared" si="12"/>
        <v>9.6752927732000282E-2</v>
      </c>
      <c r="R60" s="14">
        <f t="shared" si="13"/>
        <v>0.10326343070900013</v>
      </c>
    </row>
    <row r="61" spans="1:18" x14ac:dyDescent="0.35">
      <c r="A61" t="s">
        <v>85</v>
      </c>
      <c r="B61" t="s">
        <v>54</v>
      </c>
      <c r="E61" s="14">
        <f t="shared" si="0"/>
        <v>0.10270933460000009</v>
      </c>
      <c r="F61" s="14">
        <f t="shared" si="1"/>
        <v>7.8961948640000168E-2</v>
      </c>
      <c r="G61" s="14">
        <f t="shared" si="2"/>
        <v>6.3859189440000241E-2</v>
      </c>
      <c r="H61" s="14">
        <f t="shared" si="3"/>
        <v>5.3820829384000346E-2</v>
      </c>
      <c r="I61" s="14">
        <f t="shared" si="4"/>
        <v>8.1487266476000242E-2</v>
      </c>
      <c r="J61" s="14">
        <f t="shared" si="5"/>
        <v>0.1422640131920001</v>
      </c>
      <c r="K61" s="14">
        <f t="shared" si="6"/>
        <v>0.19195692862399993</v>
      </c>
      <c r="L61" s="14">
        <f t="shared" si="7"/>
        <v>0.17327170267999992</v>
      </c>
      <c r="M61" s="14">
        <f t="shared" si="8"/>
        <v>0.10388466649999994</v>
      </c>
      <c r="N61" s="14">
        <f t="shared" si="9"/>
        <v>7.9159976999999992E-2</v>
      </c>
      <c r="O61" s="14">
        <f t="shared" si="10"/>
        <v>9.0020111599999897E-2</v>
      </c>
      <c r="P61" s="14">
        <f t="shared" si="11"/>
        <v>9.5497059944000151E-2</v>
      </c>
      <c r="Q61" s="14">
        <f t="shared" si="12"/>
        <v>7.9256537492000234E-2</v>
      </c>
      <c r="R61" s="14">
        <f t="shared" si="13"/>
        <v>7.2888318418000031E-2</v>
      </c>
    </row>
    <row r="62" spans="1:18" x14ac:dyDescent="0.35">
      <c r="A62" t="s">
        <v>90</v>
      </c>
      <c r="B62" t="s">
        <v>54</v>
      </c>
      <c r="E62" s="14">
        <f t="shared" si="0"/>
        <v>0.265566560136</v>
      </c>
      <c r="F62" s="14">
        <f t="shared" si="1"/>
        <v>0.25322184168800033</v>
      </c>
      <c r="G62" s="14">
        <f t="shared" si="2"/>
        <v>0.23310445349600006</v>
      </c>
      <c r="H62" s="14">
        <f t="shared" si="3"/>
        <v>0.27420019596799983</v>
      </c>
      <c r="I62" s="14">
        <f t="shared" si="4"/>
        <v>0.2758579231999998</v>
      </c>
      <c r="J62" s="14">
        <f t="shared" si="5"/>
        <v>0.2902864239999996</v>
      </c>
      <c r="K62" s="14">
        <f t="shared" si="6"/>
        <v>0.24455743174999967</v>
      </c>
      <c r="L62" s="14">
        <f t="shared" si="7"/>
        <v>0.21106122244999992</v>
      </c>
      <c r="M62" s="14">
        <f t="shared" si="8"/>
        <v>0.16166413317499995</v>
      </c>
      <c r="N62" s="14">
        <f t="shared" si="9"/>
        <v>0.15200828697499991</v>
      </c>
      <c r="O62" s="14">
        <f t="shared" si="10"/>
        <v>0.16376459471999993</v>
      </c>
      <c r="P62" s="14">
        <f t="shared" si="11"/>
        <v>0.16498785420800011</v>
      </c>
      <c r="Q62" s="14">
        <f t="shared" si="12"/>
        <v>0.15355878963200009</v>
      </c>
      <c r="R62" s="14">
        <f t="shared" si="13"/>
        <v>0.12295550225600005</v>
      </c>
    </row>
    <row r="63" spans="1:18" x14ac:dyDescent="0.35">
      <c r="A63" t="s">
        <v>91</v>
      </c>
      <c r="B63" t="s">
        <v>54</v>
      </c>
      <c r="E63" s="14">
        <f t="shared" si="0"/>
        <v>41.366730993575999</v>
      </c>
      <c r="F63" s="14">
        <f t="shared" si="1"/>
        <v>12500.341810860671</v>
      </c>
      <c r="G63" s="14">
        <f t="shared" si="2"/>
        <v>704878.85360803723</v>
      </c>
      <c r="H63" s="14">
        <f t="shared" si="3"/>
        <v>3215512.2978489436</v>
      </c>
      <c r="I63" s="14">
        <f t="shared" si="4"/>
        <v>82973.423267677048</v>
      </c>
      <c r="J63" s="14">
        <f t="shared" si="5"/>
        <v>1187.8570259493201</v>
      </c>
      <c r="K63" s="14">
        <f t="shared" si="6"/>
        <v>210.86227521368005</v>
      </c>
      <c r="L63" s="14">
        <f t="shared" si="7"/>
        <v>17.733193625510001</v>
      </c>
      <c r="M63" s="14">
        <f t="shared" si="8"/>
        <v>22.009184760751999</v>
      </c>
      <c r="N63" s="14">
        <f t="shared" si="9"/>
        <v>28.041561207080001</v>
      </c>
      <c r="O63" s="14">
        <f t="shared" si="10"/>
        <v>34.960291800559993</v>
      </c>
      <c r="P63" s="14">
        <f t="shared" si="11"/>
        <v>11.241084333950001</v>
      </c>
      <c r="Q63" s="14">
        <f t="shared" si="12"/>
        <v>1.5371179773200003</v>
      </c>
      <c r="R63" s="14">
        <f t="shared" si="13"/>
        <v>0.53299641218000016</v>
      </c>
    </row>
    <row r="64" spans="1:18" x14ac:dyDescent="0.35">
      <c r="A64" t="s">
        <v>93</v>
      </c>
      <c r="B64" t="s">
        <v>94</v>
      </c>
      <c r="E64" s="14">
        <f t="shared" si="0"/>
        <v>3.3990310751999875E-2</v>
      </c>
      <c r="F64" s="14">
        <f t="shared" si="1"/>
        <v>5.9209586623999666E-2</v>
      </c>
      <c r="G64" s="14">
        <f t="shared" si="2"/>
        <v>7.1100177056000025E-2</v>
      </c>
      <c r="H64" s="14">
        <f t="shared" si="3"/>
        <v>5.2010643319999827E-2</v>
      </c>
      <c r="I64" s="14">
        <f t="shared" si="4"/>
        <v>5.3139850684999823E-2</v>
      </c>
      <c r="J64" s="14">
        <f t="shared" si="5"/>
        <v>0.12846019760500016</v>
      </c>
      <c r="K64" s="14">
        <f t="shared" si="6"/>
        <v>0.20063241648999997</v>
      </c>
      <c r="L64" s="14">
        <f t="shared" si="7"/>
        <v>0.19993022383000003</v>
      </c>
      <c r="M64" s="14">
        <f t="shared" si="8"/>
        <v>0.13722185053000024</v>
      </c>
      <c r="N64" s="14">
        <f t="shared" si="9"/>
        <v>9.2814026170999986E-2</v>
      </c>
      <c r="O64" s="14">
        <f t="shared" si="10"/>
        <v>0.1010210563099998</v>
      </c>
      <c r="P64" s="14">
        <f t="shared" si="11"/>
        <v>8.962420489999956E-2</v>
      </c>
      <c r="Q64" s="14">
        <f t="shared" si="12"/>
        <v>8.1170132899999636E-2</v>
      </c>
      <c r="R64" s="14">
        <f t="shared" si="13"/>
        <v>6.8924546689999922E-2</v>
      </c>
    </row>
    <row r="65" spans="1:18" x14ac:dyDescent="0.35">
      <c r="A65" t="s">
        <v>97</v>
      </c>
      <c r="B65" t="s">
        <v>94</v>
      </c>
      <c r="E65" s="14">
        <f t="shared" si="0"/>
        <v>-1.0433930193999852E-2</v>
      </c>
      <c r="F65" s="14">
        <f t="shared" si="1"/>
        <v>1.0386395774000245E-2</v>
      </c>
      <c r="G65" s="14">
        <f t="shared" si="2"/>
        <v>1.8402919352000335E-2</v>
      </c>
      <c r="H65" s="14">
        <f t="shared" si="3"/>
        <v>5.6386929680001252E-3</v>
      </c>
      <c r="I65" s="14">
        <f t="shared" si="4"/>
        <v>2.0521075760000507E-3</v>
      </c>
      <c r="J65" s="14">
        <f t="shared" si="5"/>
        <v>2.6813857544000008E-2</v>
      </c>
      <c r="K65" s="14">
        <f t="shared" si="6"/>
        <v>5.6500125007999946E-2</v>
      </c>
      <c r="L65" s="14">
        <f t="shared" si="7"/>
        <v>6.1542082255999997E-2</v>
      </c>
      <c r="M65" s="14">
        <f t="shared" si="8"/>
        <v>3.3775180260000148E-2</v>
      </c>
      <c r="N65" s="14">
        <f t="shared" si="9"/>
        <v>1.8998288119999929E-2</v>
      </c>
      <c r="O65" s="14">
        <f t="shared" si="10"/>
        <v>1.6981667719999871E-2</v>
      </c>
      <c r="P65" s="14">
        <f t="shared" si="11"/>
        <v>2.6019248191999855E-2</v>
      </c>
      <c r="Q65" s="14">
        <f t="shared" si="12"/>
        <v>2.7242155519999978E-2</v>
      </c>
      <c r="R65" s="14">
        <f t="shared" si="13"/>
        <v>2.6121824000000071E-2</v>
      </c>
    </row>
    <row r="66" spans="1:18" x14ac:dyDescent="0.35">
      <c r="A66" t="s">
        <v>99</v>
      </c>
      <c r="B66" t="s">
        <v>94</v>
      </c>
      <c r="E66" s="14">
        <f t="shared" si="0"/>
        <v>-4.0169718170002255E-3</v>
      </c>
      <c r="F66" s="14">
        <f t="shared" si="1"/>
        <v>4.0786763158999761E-2</v>
      </c>
      <c r="G66" s="14">
        <f t="shared" si="2"/>
        <v>9.317853593299974E-2</v>
      </c>
      <c r="H66" s="14">
        <f t="shared" si="3"/>
        <v>0.10658778892100007</v>
      </c>
      <c r="I66" s="14">
        <f t="shared" si="4"/>
        <v>0.1070131133329999</v>
      </c>
      <c r="J66" s="14">
        <f t="shared" si="5"/>
        <v>0.19341361712600014</v>
      </c>
      <c r="K66" s="14">
        <f t="shared" si="6"/>
        <v>0.27983201742799979</v>
      </c>
      <c r="L66" s="14">
        <f t="shared" si="7"/>
        <v>0.30122196758000008</v>
      </c>
      <c r="M66" s="14">
        <f t="shared" si="8"/>
        <v>0.24023807782999995</v>
      </c>
      <c r="N66" s="14">
        <f t="shared" si="9"/>
        <v>0.22046026995500023</v>
      </c>
      <c r="O66" s="14">
        <f t="shared" si="10"/>
        <v>0.21065969150000008</v>
      </c>
      <c r="P66" s="14">
        <f t="shared" si="11"/>
        <v>0.17244743000000007</v>
      </c>
      <c r="Q66" s="14">
        <f t="shared" si="12"/>
        <v>0.12065954000000012</v>
      </c>
      <c r="R66" s="14">
        <f t="shared" si="13"/>
        <v>9.9100185039999955E-2</v>
      </c>
    </row>
    <row r="67" spans="1:18" x14ac:dyDescent="0.35">
      <c r="A67" t="s">
        <v>101</v>
      </c>
      <c r="B67" t="s">
        <v>94</v>
      </c>
      <c r="E67" s="14">
        <f t="shared" si="0"/>
        <v>5.7651959552000198E-2</v>
      </c>
      <c r="F67" s="14">
        <f t="shared" si="1"/>
        <v>6.3702838784000404E-2</v>
      </c>
      <c r="G67" s="14">
        <f t="shared" si="2"/>
        <v>7.1592248684000159E-2</v>
      </c>
      <c r="H67" s="14">
        <f t="shared" si="3"/>
        <v>5.4661984408000075E-2</v>
      </c>
      <c r="I67" s="14">
        <f t="shared" si="4"/>
        <v>7.6694448382000013E-2</v>
      </c>
      <c r="J67" s="14">
        <f t="shared" si="5"/>
        <v>0.18344436424200006</v>
      </c>
      <c r="K67" s="14">
        <f t="shared" si="6"/>
        <v>0.30955100222799992</v>
      </c>
      <c r="L67" s="14">
        <f t="shared" si="7"/>
        <v>0.31697376225599982</v>
      </c>
      <c r="M67" s="14">
        <f t="shared" si="8"/>
        <v>0.22205567471999976</v>
      </c>
      <c r="N67" s="14">
        <f t="shared" si="9"/>
        <v>0.12014519347999997</v>
      </c>
      <c r="O67" s="14">
        <f t="shared" si="10"/>
        <v>0.10430821520000011</v>
      </c>
      <c r="P67" s="14">
        <f t="shared" si="11"/>
        <v>9.5911646480000057E-2</v>
      </c>
      <c r="Q67" s="14">
        <f t="shared" si="12"/>
        <v>9.6762922639999749E-2</v>
      </c>
      <c r="R67" s="14">
        <f t="shared" si="13"/>
        <v>9.4212311192000131E-2</v>
      </c>
    </row>
    <row r="68" spans="1:18" x14ac:dyDescent="0.35">
      <c r="A68" t="s">
        <v>103</v>
      </c>
      <c r="B68" t="s">
        <v>94</v>
      </c>
      <c r="E68" s="14">
        <f t="shared" si="0"/>
        <v>6.2688296960000667E-3</v>
      </c>
      <c r="F68" s="14">
        <f t="shared" si="1"/>
        <v>3.3544758272000097E-2</v>
      </c>
      <c r="G68" s="14">
        <f t="shared" si="2"/>
        <v>5.2695978252000231E-2</v>
      </c>
      <c r="H68" s="14">
        <f t="shared" si="3"/>
        <v>3.3727549340999863E-2</v>
      </c>
      <c r="I68" s="14">
        <f t="shared" si="4"/>
        <v>3.4944534584999909E-2</v>
      </c>
      <c r="J68" s="14">
        <f t="shared" si="5"/>
        <v>0.11259845138000002</v>
      </c>
      <c r="K68" s="14">
        <f t="shared" si="6"/>
        <v>0.19615768532</v>
      </c>
      <c r="L68" s="14">
        <f t="shared" si="7"/>
        <v>0.19545440789599988</v>
      </c>
      <c r="M68" s="14">
        <f t="shared" si="8"/>
        <v>0.12065649214399987</v>
      </c>
      <c r="N68" s="14">
        <f t="shared" si="9"/>
        <v>8.1566254495999857E-2</v>
      </c>
      <c r="O68" s="14">
        <f t="shared" si="10"/>
        <v>9.4185764671999905E-2</v>
      </c>
      <c r="P68" s="14">
        <f t="shared" si="11"/>
        <v>9.3651911352000017E-2</v>
      </c>
      <c r="Q68" s="14">
        <f t="shared" si="12"/>
        <v>8.2131998486000057E-2</v>
      </c>
      <c r="R68" s="14">
        <f t="shared" si="13"/>
        <v>7.1224678478000181E-2</v>
      </c>
    </row>
    <row r="69" spans="1:18" x14ac:dyDescent="0.35">
      <c r="A69" t="s">
        <v>106</v>
      </c>
      <c r="B69" t="s">
        <v>94</v>
      </c>
      <c r="E69" s="14">
        <f t="shared" si="0"/>
        <v>4.0008929399999449E-3</v>
      </c>
      <c r="F69" s="14">
        <f t="shared" si="1"/>
        <v>2.2321342359999941E-2</v>
      </c>
      <c r="G69" s="14">
        <f t="shared" si="2"/>
        <v>3.6930342120000015E-2</v>
      </c>
      <c r="H69" s="14">
        <f t="shared" si="3"/>
        <v>2.3827964647999966E-2</v>
      </c>
      <c r="I69" s="14">
        <f t="shared" si="4"/>
        <v>3.511870234399983E-2</v>
      </c>
      <c r="J69" s="14">
        <f t="shared" si="5"/>
        <v>0.13648413137599991</v>
      </c>
      <c r="K69" s="14">
        <f t="shared" si="6"/>
        <v>0.23170245791999999</v>
      </c>
      <c r="L69" s="14">
        <f t="shared" si="7"/>
        <v>0.24777648688000009</v>
      </c>
      <c r="M69" s="14">
        <f t="shared" si="8"/>
        <v>0.1769646638400002</v>
      </c>
      <c r="N69" s="14">
        <f t="shared" si="9"/>
        <v>0.13060267938800019</v>
      </c>
      <c r="O69" s="14">
        <f t="shared" si="10"/>
        <v>0.11908144462400028</v>
      </c>
      <c r="P69" s="14">
        <f t="shared" si="11"/>
        <v>9.7746207272000341E-2</v>
      </c>
      <c r="Q69" s="14">
        <f t="shared" si="12"/>
        <v>7.7927107400000084E-2</v>
      </c>
      <c r="R69" s="14">
        <f t="shared" si="13"/>
        <v>6.7981198774999863E-2</v>
      </c>
    </row>
    <row r="70" spans="1:18" x14ac:dyDescent="0.35">
      <c r="A70" t="s">
        <v>108</v>
      </c>
      <c r="B70" t="s">
        <v>94</v>
      </c>
      <c r="E70" s="14">
        <f t="shared" si="0"/>
        <v>3.6760518155000144E-2</v>
      </c>
      <c r="F70" s="14">
        <f t="shared" si="1"/>
        <v>4.7582439861000081E-2</v>
      </c>
      <c r="G70" s="14">
        <f t="shared" si="2"/>
        <v>5.4200076852000123E-2</v>
      </c>
      <c r="H70" s="14">
        <f t="shared" si="3"/>
        <v>2.7219475100000112E-2</v>
      </c>
      <c r="I70" s="14">
        <f t="shared" si="4"/>
        <v>2.5217293100000093E-2</v>
      </c>
      <c r="J70" s="14">
        <f t="shared" si="5"/>
        <v>0.15474853340000005</v>
      </c>
      <c r="K70" s="14">
        <f t="shared" si="6"/>
        <v>0.25696837851200027</v>
      </c>
      <c r="L70" s="14">
        <f t="shared" si="7"/>
        <v>0.26838308988800041</v>
      </c>
      <c r="M70" s="14">
        <f t="shared" si="8"/>
        <v>0.16582628308000014</v>
      </c>
      <c r="N70" s="14">
        <f t="shared" si="9"/>
        <v>0.1145032988000001</v>
      </c>
      <c r="O70" s="14">
        <f t="shared" si="10"/>
        <v>0.1129934239999999</v>
      </c>
      <c r="P70" s="14">
        <f t="shared" si="11"/>
        <v>0.10228126400000015</v>
      </c>
      <c r="Q70" s="14">
        <f t="shared" si="12"/>
        <v>9.0812441599999794E-2</v>
      </c>
      <c r="R70" s="14">
        <f t="shared" si="13"/>
        <v>8.4893304319999752E-2</v>
      </c>
    </row>
    <row r="71" spans="1:18" x14ac:dyDescent="0.35">
      <c r="A71" t="s">
        <v>109</v>
      </c>
      <c r="B71" t="s">
        <v>94</v>
      </c>
      <c r="E71" s="14">
        <f t="shared" si="0"/>
        <v>1.7353482432000078E-2</v>
      </c>
      <c r="F71" s="14">
        <f t="shared" si="1"/>
        <v>3.0765113279999978E-2</v>
      </c>
      <c r="G71" s="14">
        <f t="shared" si="2"/>
        <v>3.6112258720000012E-2</v>
      </c>
      <c r="H71" s="14">
        <f t="shared" si="3"/>
        <v>3.4476722399999993E-2</v>
      </c>
      <c r="I71" s="14">
        <f t="shared" si="4"/>
        <v>5.2525256640000073E-2</v>
      </c>
      <c r="J71" s="14">
        <f t="shared" si="5"/>
        <v>0.19291766879999983</v>
      </c>
      <c r="K71" s="14">
        <f t="shared" si="6"/>
        <v>0.28910549663999974</v>
      </c>
      <c r="L71" s="14">
        <f t="shared" si="7"/>
        <v>0.29247750287999974</v>
      </c>
      <c r="M71" s="14">
        <f t="shared" si="8"/>
        <v>0.17782954224799985</v>
      </c>
      <c r="N71" s="14">
        <f t="shared" si="9"/>
        <v>0.12117826762999973</v>
      </c>
      <c r="O71" s="14">
        <f t="shared" si="10"/>
        <v>0.12301999441999989</v>
      </c>
      <c r="P71" s="14">
        <f t="shared" si="11"/>
        <v>0.10791258601999987</v>
      </c>
      <c r="Q71" s="14">
        <f t="shared" si="12"/>
        <v>9.2480566329999903E-2</v>
      </c>
      <c r="R71" s="14">
        <f t="shared" si="13"/>
        <v>7.804203289499978E-2</v>
      </c>
    </row>
    <row r="72" spans="1:18" x14ac:dyDescent="0.35">
      <c r="A72" t="s">
        <v>111</v>
      </c>
      <c r="B72" t="s">
        <v>94</v>
      </c>
      <c r="E72" s="14">
        <f t="shared" si="0"/>
        <v>0.28214121881599996</v>
      </c>
      <c r="F72" s="14">
        <f t="shared" si="1"/>
        <v>0.14175269273599977</v>
      </c>
      <c r="G72" s="14">
        <f t="shared" si="2"/>
        <v>0.11433953484799986</v>
      </c>
      <c r="H72" s="14">
        <f t="shared" si="3"/>
        <v>0.11111517276799998</v>
      </c>
      <c r="I72" s="14">
        <f t="shared" si="4"/>
        <v>0.15226358653400007</v>
      </c>
      <c r="J72" s="14">
        <f t="shared" si="5"/>
        <v>0.25461838775000012</v>
      </c>
      <c r="K72" s="14">
        <f t="shared" si="6"/>
        <v>0.28471563674999989</v>
      </c>
      <c r="L72" s="14">
        <f t="shared" si="7"/>
        <v>0.30578839300000005</v>
      </c>
      <c r="M72" s="14">
        <f t="shared" si="8"/>
        <v>0.24781712807999989</v>
      </c>
      <c r="N72" s="14">
        <f t="shared" si="9"/>
        <v>0.25111760791999993</v>
      </c>
      <c r="O72" s="14">
        <f t="shared" si="10"/>
        <v>0.22435079815999992</v>
      </c>
      <c r="P72" s="14">
        <f t="shared" si="11"/>
        <v>0.17839540481599991</v>
      </c>
      <c r="Q72" s="14">
        <f t="shared" si="12"/>
        <v>0.16551676651199987</v>
      </c>
      <c r="R72" s="14">
        <f t="shared" si="13"/>
        <v>0.15607137997600007</v>
      </c>
    </row>
    <row r="73" spans="1:18" x14ac:dyDescent="0.35">
      <c r="A73" t="s">
        <v>114</v>
      </c>
      <c r="B73" t="s">
        <v>94</v>
      </c>
      <c r="E73" s="14">
        <f t="shared" si="0"/>
        <v>0.93869393203200024</v>
      </c>
      <c r="F73" s="14">
        <f t="shared" si="1"/>
        <v>0.4461989296640001</v>
      </c>
      <c r="G73" s="14">
        <f t="shared" si="2"/>
        <v>0.36964889853799998</v>
      </c>
      <c r="H73" s="14">
        <f t="shared" si="3"/>
        <v>0.22972758748400013</v>
      </c>
      <c r="I73" s="14">
        <f t="shared" si="4"/>
        <v>0.212213890096</v>
      </c>
      <c r="J73" s="14">
        <f t="shared" si="5"/>
        <v>0.35029998435199983</v>
      </c>
      <c r="K73" s="14">
        <f t="shared" si="6"/>
        <v>0.48317454967999995</v>
      </c>
      <c r="L73" s="14">
        <f t="shared" si="7"/>
        <v>0.44438633450000009</v>
      </c>
      <c r="M73" s="14">
        <f t="shared" si="8"/>
        <v>0.35484832324999993</v>
      </c>
      <c r="N73" s="14">
        <f t="shared" si="9"/>
        <v>0.30502448149999983</v>
      </c>
      <c r="O73" s="14">
        <f t="shared" si="10"/>
        <v>0.33247288373999995</v>
      </c>
      <c r="P73" s="14">
        <f t="shared" si="11"/>
        <v>0.28164672033999993</v>
      </c>
      <c r="Q73" s="14">
        <f t="shared" si="12"/>
        <v>0.27103510996000013</v>
      </c>
      <c r="R73" s="14">
        <f t="shared" si="13"/>
        <v>0.25221621602000011</v>
      </c>
    </row>
    <row r="74" spans="1:18" x14ac:dyDescent="0.35">
      <c r="A74" t="s">
        <v>118</v>
      </c>
      <c r="B74" t="s">
        <v>94</v>
      </c>
      <c r="E74" s="14">
        <f t="shared" si="0"/>
        <v>0.28891655514999992</v>
      </c>
      <c r="F74" s="14">
        <f t="shared" si="1"/>
        <v>0.39179063750999998</v>
      </c>
      <c r="G74" s="14">
        <f t="shared" si="2"/>
        <v>0.48887727774499989</v>
      </c>
      <c r="H74" s="14">
        <f t="shared" si="3"/>
        <v>0.50468931255499982</v>
      </c>
      <c r="I74" s="14">
        <f t="shared" si="4"/>
        <v>0.54646109149400002</v>
      </c>
      <c r="J74" s="14">
        <f t="shared" si="5"/>
        <v>1.313447785478</v>
      </c>
      <c r="K74" s="14">
        <f t="shared" si="6"/>
        <v>2.1723634340360003</v>
      </c>
      <c r="L74" s="14">
        <f t="shared" si="7"/>
        <v>3.2059416192679997</v>
      </c>
      <c r="M74" s="14">
        <f t="shared" si="8"/>
        <v>2.2934214629720002</v>
      </c>
      <c r="N74" s="14">
        <f t="shared" si="9"/>
        <v>1.7946385787239998</v>
      </c>
      <c r="O74" s="14">
        <f t="shared" si="10"/>
        <v>1.1466575382679998</v>
      </c>
      <c r="P74" s="14">
        <f t="shared" si="11"/>
        <v>0.81155556098000003</v>
      </c>
      <c r="Q74" s="14">
        <f t="shared" si="12"/>
        <v>0.53453979404000007</v>
      </c>
      <c r="R74" s="14">
        <f t="shared" si="13"/>
        <v>0.39580368685999989</v>
      </c>
    </row>
    <row r="75" spans="1:18" x14ac:dyDescent="0.35">
      <c r="A75" t="s">
        <v>120</v>
      </c>
      <c r="B75" t="s">
        <v>94</v>
      </c>
      <c r="E75" s="14">
        <f t="shared" si="0"/>
        <v>0.31075992051199997</v>
      </c>
      <c r="F75" s="14">
        <f t="shared" si="1"/>
        <v>0.30437076454400014</v>
      </c>
      <c r="G75" s="14">
        <f t="shared" si="2"/>
        <v>0.20137611603200001</v>
      </c>
      <c r="H75" s="14">
        <f t="shared" si="3"/>
        <v>0.19332519641599988</v>
      </c>
      <c r="I75" s="14">
        <f t="shared" si="4"/>
        <v>0.214457933504</v>
      </c>
      <c r="J75" s="14">
        <f t="shared" si="5"/>
        <v>0.32629921286399988</v>
      </c>
      <c r="K75" s="14">
        <f t="shared" si="6"/>
        <v>0.42572194246399997</v>
      </c>
      <c r="L75" s="14">
        <f t="shared" si="7"/>
        <v>0.43773052231999987</v>
      </c>
      <c r="M75" s="14">
        <f t="shared" si="8"/>
        <v>0.39298501879999992</v>
      </c>
      <c r="N75" s="14">
        <f t="shared" si="9"/>
        <v>0.3395581178</v>
      </c>
      <c r="O75" s="14">
        <f t="shared" si="10"/>
        <v>0.33820564976000012</v>
      </c>
      <c r="P75" s="14">
        <f t="shared" si="11"/>
        <v>0.29702085497600006</v>
      </c>
      <c r="Q75" s="14">
        <f t="shared" si="12"/>
        <v>0.25963392315199996</v>
      </c>
      <c r="R75" s="14">
        <f t="shared" si="13"/>
        <v>0.23243675557199994</v>
      </c>
    </row>
    <row r="76" spans="1:18" x14ac:dyDescent="0.35">
      <c r="A76" t="s">
        <v>123</v>
      </c>
      <c r="B76" t="s">
        <v>94</v>
      </c>
      <c r="E76" s="14">
        <f t="shared" si="0"/>
        <v>5.0828676320000099E-2</v>
      </c>
      <c r="F76" s="14">
        <f t="shared" si="1"/>
        <v>5.7769283704999896E-2</v>
      </c>
      <c r="G76" s="14">
        <f t="shared" si="2"/>
        <v>6.6997934450000018E-2</v>
      </c>
      <c r="H76" s="14">
        <f t="shared" si="3"/>
        <v>7.6769555119999833E-2</v>
      </c>
      <c r="I76" s="14">
        <f t="shared" si="4"/>
        <v>6.4115324719999922E-2</v>
      </c>
      <c r="J76" s="14">
        <f t="shared" si="5"/>
        <v>5.43945433280002E-2</v>
      </c>
      <c r="K76" s="14">
        <f t="shared" si="6"/>
        <v>3.1347668064000134E-2</v>
      </c>
      <c r="L76" s="14">
        <f t="shared" si="7"/>
        <v>2.4499952896000154E-2</v>
      </c>
      <c r="M76" s="14">
        <f t="shared" si="8"/>
        <v>5.3081628800000225E-3</v>
      </c>
      <c r="N76" s="14">
        <f t="shared" si="9"/>
        <v>1.3030502119999898E-2</v>
      </c>
      <c r="O76" s="14">
        <f t="shared" si="10"/>
        <v>2.1418524034999775E-2</v>
      </c>
      <c r="P76" s="14">
        <f t="shared" si="11"/>
        <v>3.3669420874999911E-2</v>
      </c>
      <c r="Q76" s="14">
        <f t="shared" si="12"/>
        <v>3.9195423125000017E-2</v>
      </c>
      <c r="R76" s="14">
        <f t="shared" si="13"/>
        <v>4.5056127499999876E-2</v>
      </c>
    </row>
    <row r="77" spans="1:18" x14ac:dyDescent="0.35">
      <c r="A77" t="s">
        <v>129</v>
      </c>
      <c r="B77" t="s">
        <v>94</v>
      </c>
      <c r="E77" s="14">
        <f t="shared" si="0"/>
        <v>0.13769476398500013</v>
      </c>
      <c r="F77" s="14">
        <f t="shared" si="1"/>
        <v>0.12728405982500024</v>
      </c>
      <c r="G77" s="14">
        <f t="shared" si="2"/>
        <v>0.11407244102000025</v>
      </c>
      <c r="H77" s="14">
        <f t="shared" si="3"/>
        <v>0.14954421428000009</v>
      </c>
      <c r="I77" s="14">
        <f t="shared" si="4"/>
        <v>0.16270397969599992</v>
      </c>
      <c r="J77" s="14">
        <f t="shared" si="5"/>
        <v>0.19599775929199992</v>
      </c>
      <c r="K77" s="14">
        <f t="shared" si="6"/>
        <v>0.18511689428999989</v>
      </c>
      <c r="L77" s="14">
        <f t="shared" si="7"/>
        <v>0.18297525257499991</v>
      </c>
      <c r="M77" s="14">
        <f t="shared" si="8"/>
        <v>0.13319027850000009</v>
      </c>
      <c r="N77" s="14">
        <f t="shared" si="9"/>
        <v>0.12460956649999999</v>
      </c>
      <c r="O77" s="14">
        <f t="shared" si="10"/>
        <v>0.13382504270000006</v>
      </c>
      <c r="P77" s="14">
        <f t="shared" si="11"/>
        <v>0.15545869077500019</v>
      </c>
      <c r="Q77" s="14">
        <f t="shared" si="12"/>
        <v>0.15391587516500005</v>
      </c>
      <c r="R77" s="14">
        <f t="shared" si="13"/>
        <v>0.14377371691999996</v>
      </c>
    </row>
    <row r="78" spans="1:18" x14ac:dyDescent="0.35">
      <c r="A78" t="s">
        <v>132</v>
      </c>
      <c r="B78" t="s">
        <v>94</v>
      </c>
      <c r="E78" s="14">
        <f t="shared" si="0"/>
        <v>3.6596126078000335E-2</v>
      </c>
      <c r="F78" s="14">
        <f t="shared" si="1"/>
        <v>4.4521645064000248E-2</v>
      </c>
      <c r="G78" s="14">
        <f t="shared" si="2"/>
        <v>3.8418171056000094E-2</v>
      </c>
      <c r="H78" s="14">
        <f t="shared" si="3"/>
        <v>2.4156983696000056E-2</v>
      </c>
      <c r="I78" s="14">
        <f t="shared" si="4"/>
        <v>3.4451033000000075E-2</v>
      </c>
      <c r="J78" s="14">
        <f t="shared" si="5"/>
        <v>8.2989231499999816E-2</v>
      </c>
      <c r="K78" s="14">
        <f t="shared" si="6"/>
        <v>0.1159507099999999</v>
      </c>
      <c r="L78" s="14">
        <f t="shared" si="7"/>
        <v>0.11399099168000015</v>
      </c>
      <c r="M78" s="14">
        <f t="shared" si="8"/>
        <v>8.2507946240000241E-2</v>
      </c>
      <c r="N78" s="14">
        <f t="shared" si="9"/>
        <v>7.3208408864000152E-2</v>
      </c>
      <c r="O78" s="14">
        <f t="shared" si="10"/>
        <v>7.2264421796000011E-2</v>
      </c>
      <c r="P78" s="14">
        <f t="shared" si="11"/>
        <v>7.0479414435000054E-2</v>
      </c>
      <c r="Q78" s="14">
        <f t="shared" si="12"/>
        <v>6.1828865180000081E-2</v>
      </c>
      <c r="R78" s="14">
        <f t="shared" si="13"/>
        <v>5.8089665419999825E-2</v>
      </c>
    </row>
    <row r="79" spans="1:18" x14ac:dyDescent="0.35">
      <c r="A79" t="s">
        <v>136</v>
      </c>
      <c r="B79" t="s">
        <v>94</v>
      </c>
      <c r="E79" s="14">
        <f t="shared" si="0"/>
        <v>0.17082572655200012</v>
      </c>
      <c r="F79" s="14">
        <f t="shared" si="1"/>
        <v>0.17093767087999989</v>
      </c>
      <c r="G79" s="14">
        <f t="shared" si="2"/>
        <v>0.14670833607999989</v>
      </c>
      <c r="H79" s="14">
        <f t="shared" si="3"/>
        <v>0.12492643207999987</v>
      </c>
      <c r="I79" s="14">
        <f t="shared" si="4"/>
        <v>0.12438870433999982</v>
      </c>
      <c r="J79" s="14">
        <f t="shared" si="5"/>
        <v>0.15397788076999985</v>
      </c>
      <c r="K79" s="14">
        <f t="shared" si="6"/>
        <v>0.18313735670000009</v>
      </c>
      <c r="L79" s="14">
        <f t="shared" si="7"/>
        <v>0.18177937981999981</v>
      </c>
      <c r="M79" s="14">
        <f t="shared" si="8"/>
        <v>0.14152412113999979</v>
      </c>
      <c r="N79" s="14">
        <f t="shared" si="9"/>
        <v>0.1248162610100001</v>
      </c>
      <c r="O79" s="14">
        <f t="shared" si="10"/>
        <v>0.12417000059000016</v>
      </c>
      <c r="P79" s="14">
        <f t="shared" si="11"/>
        <v>0.12438782078000021</v>
      </c>
      <c r="Q79" s="14">
        <f t="shared" si="12"/>
        <v>0.11005685957600009</v>
      </c>
      <c r="R79" s="14">
        <f t="shared" si="13"/>
        <v>9.6336697183999842E-2</v>
      </c>
    </row>
    <row r="80" spans="1:18" x14ac:dyDescent="0.35">
      <c r="A80" t="s">
        <v>139</v>
      </c>
      <c r="B80" t="s">
        <v>94</v>
      </c>
      <c r="E80" s="14">
        <f t="shared" si="0"/>
        <v>3.9997758800000005E-2</v>
      </c>
      <c r="F80" s="14">
        <f t="shared" si="1"/>
        <v>4.2353011700000165E-2</v>
      </c>
      <c r="G80" s="14">
        <f t="shared" si="2"/>
        <v>2.8713406175000067E-2</v>
      </c>
      <c r="H80" s="14">
        <f t="shared" si="3"/>
        <v>2.5139711960000088E-2</v>
      </c>
      <c r="I80" s="14">
        <f t="shared" si="4"/>
        <v>2.0607706160000072E-2</v>
      </c>
      <c r="J80" s="14">
        <f t="shared" si="5"/>
        <v>8.52160097600001E-2</v>
      </c>
      <c r="K80" s="14">
        <f t="shared" si="6"/>
        <v>0.14671878959600004</v>
      </c>
      <c r="L80" s="14">
        <f t="shared" si="7"/>
        <v>0.14275834380600005</v>
      </c>
      <c r="M80" s="14">
        <f t="shared" si="8"/>
        <v>7.8902730369999841E-2</v>
      </c>
      <c r="N80" s="14">
        <f t="shared" si="9"/>
        <v>2.3071115799999875E-2</v>
      </c>
      <c r="O80" s="14">
        <f t="shared" si="10"/>
        <v>2.519850400000001E-2</v>
      </c>
      <c r="P80" s="14">
        <f t="shared" si="11"/>
        <v>3.8229825600000211E-2</v>
      </c>
      <c r="Q80" s="14">
        <f t="shared" si="12"/>
        <v>4.9272627919999978E-2</v>
      </c>
      <c r="R80" s="14">
        <f t="shared" si="13"/>
        <v>5.4145732021999793E-2</v>
      </c>
    </row>
    <row r="81" spans="1:18" x14ac:dyDescent="0.35">
      <c r="A81" t="s">
        <v>142</v>
      </c>
      <c r="B81" t="s">
        <v>94</v>
      </c>
      <c r="E81" s="14">
        <f t="shared" si="0"/>
        <v>0.14425691520499995</v>
      </c>
      <c r="F81" s="14">
        <f t="shared" si="1"/>
        <v>0.17110357244299967</v>
      </c>
      <c r="G81" s="14">
        <f t="shared" si="2"/>
        <v>0.20602309419199982</v>
      </c>
      <c r="H81" s="14">
        <f t="shared" si="3"/>
        <v>0.20968777361599988</v>
      </c>
      <c r="I81" s="14">
        <f t="shared" si="4"/>
        <v>0.19165123985599974</v>
      </c>
      <c r="J81" s="14">
        <f t="shared" si="5"/>
        <v>0.20940541406299995</v>
      </c>
      <c r="K81" s="14">
        <f t="shared" si="6"/>
        <v>0.25165388493199981</v>
      </c>
      <c r="L81" s="14">
        <f t="shared" si="7"/>
        <v>0.26704646889199979</v>
      </c>
      <c r="M81" s="14">
        <f t="shared" si="8"/>
        <v>0.23241940262000016</v>
      </c>
      <c r="N81" s="14">
        <f t="shared" si="9"/>
        <v>0.18743812365500001</v>
      </c>
      <c r="O81" s="14">
        <f t="shared" si="10"/>
        <v>0.16080648645500006</v>
      </c>
      <c r="P81" s="14">
        <f t="shared" si="11"/>
        <v>0.14637215805199988</v>
      </c>
      <c r="Q81" s="14">
        <f t="shared" si="12"/>
        <v>0.12678163413199983</v>
      </c>
      <c r="R81" s="14">
        <f t="shared" si="13"/>
        <v>0.10707022613599992</v>
      </c>
    </row>
    <row r="82" spans="1:18" x14ac:dyDescent="0.35">
      <c r="A82" t="s">
        <v>144</v>
      </c>
      <c r="B82" t="s">
        <v>94</v>
      </c>
      <c r="E82" s="14">
        <f t="shared" si="0"/>
        <v>1.0625374116000064E-2</v>
      </c>
      <c r="F82" s="14">
        <f t="shared" si="1"/>
        <v>3.4729048632000215E-2</v>
      </c>
      <c r="G82" s="14">
        <f t="shared" si="2"/>
        <v>4.6252568687999984E-2</v>
      </c>
      <c r="H82" s="14">
        <f t="shared" si="3"/>
        <v>2.1849578552000315E-2</v>
      </c>
      <c r="I82" s="14">
        <f t="shared" si="4"/>
        <v>3.4605121748000123E-2</v>
      </c>
      <c r="J82" s="14">
        <f t="shared" si="5"/>
        <v>0.11201058531199992</v>
      </c>
      <c r="K82" s="14">
        <f t="shared" si="6"/>
        <v>0.15374166687999979</v>
      </c>
      <c r="L82" s="14">
        <f t="shared" si="7"/>
        <v>0.15217362656</v>
      </c>
      <c r="M82" s="14">
        <f t="shared" si="8"/>
        <v>9.2288679019999931E-2</v>
      </c>
      <c r="N82" s="14">
        <f t="shared" si="9"/>
        <v>9.7464901966999751E-2</v>
      </c>
      <c r="O82" s="14">
        <f t="shared" si="10"/>
        <v>0.10002533335099972</v>
      </c>
      <c r="P82" s="14">
        <f t="shared" si="11"/>
        <v>9.1027171114999916E-2</v>
      </c>
      <c r="Q82" s="14">
        <f t="shared" si="12"/>
        <v>7.0128681649999747E-2</v>
      </c>
      <c r="R82" s="14">
        <f t="shared" si="13"/>
        <v>5.8919885449999931E-2</v>
      </c>
    </row>
    <row r="83" spans="1:18" x14ac:dyDescent="0.35">
      <c r="A83" t="s">
        <v>148</v>
      </c>
      <c r="B83" t="s">
        <v>94</v>
      </c>
      <c r="E83" s="14">
        <f t="shared" si="0"/>
        <v>2.7312549184000057E-2</v>
      </c>
      <c r="F83" s="14">
        <f t="shared" si="1"/>
        <v>3.4058408128000206E-2</v>
      </c>
      <c r="G83" s="14">
        <f t="shared" si="2"/>
        <v>3.0564967560000156E-2</v>
      </c>
      <c r="H83" s="14">
        <f t="shared" si="3"/>
        <v>1.3517417879999938E-2</v>
      </c>
      <c r="I83" s="14">
        <f t="shared" si="4"/>
        <v>1.1213286160000058E-2</v>
      </c>
      <c r="J83" s="14">
        <f t="shared" si="5"/>
        <v>8.9852006320000122E-2</v>
      </c>
      <c r="K83" s="14">
        <f t="shared" si="6"/>
        <v>0.14855648964000001</v>
      </c>
      <c r="L83" s="14">
        <f t="shared" si="7"/>
        <v>0.16824147801999989</v>
      </c>
      <c r="M83" s="14">
        <f t="shared" si="8"/>
        <v>0.10437184679799993</v>
      </c>
      <c r="N83" s="14">
        <f t="shared" si="9"/>
        <v>8.2234048994999975E-2</v>
      </c>
      <c r="O83" s="14">
        <f t="shared" si="10"/>
        <v>8.5080091590000295E-2</v>
      </c>
      <c r="P83" s="14">
        <f t="shared" si="11"/>
        <v>8.3699717660000061E-2</v>
      </c>
      <c r="Q83" s="14">
        <f t="shared" si="12"/>
        <v>7.0462086595999951E-2</v>
      </c>
      <c r="R83" s="14">
        <f t="shared" si="13"/>
        <v>6.0583137865999781E-2</v>
      </c>
    </row>
    <row r="84" spans="1:18" x14ac:dyDescent="0.35">
      <c r="A84" t="s">
        <v>149</v>
      </c>
      <c r="B84" t="s">
        <v>94</v>
      </c>
      <c r="E84" s="14">
        <f t="shared" si="0"/>
        <v>1.5547748768000025E-2</v>
      </c>
      <c r="F84" s="14">
        <f t="shared" si="1"/>
        <v>3.6045415160000038E-2</v>
      </c>
      <c r="G84" s="14">
        <f t="shared" si="2"/>
        <v>4.6270566799999857E-2</v>
      </c>
      <c r="H84" s="14">
        <f t="shared" si="3"/>
        <v>3.9651219599999843E-2</v>
      </c>
      <c r="I84" s="14">
        <f t="shared" si="4"/>
        <v>3.9345739319999851E-2</v>
      </c>
      <c r="J84" s="14">
        <f t="shared" si="5"/>
        <v>8.6644691524000006E-2</v>
      </c>
      <c r="K84" s="14">
        <f t="shared" si="6"/>
        <v>0.14220929274199978</v>
      </c>
      <c r="L84" s="14">
        <f t="shared" si="7"/>
        <v>0.14500690539200001</v>
      </c>
      <c r="M84" s="14">
        <f t="shared" si="8"/>
        <v>9.1167472016000284E-2</v>
      </c>
      <c r="N84" s="14">
        <f t="shared" si="9"/>
        <v>5.7707481391999993E-2</v>
      </c>
      <c r="O84" s="14">
        <f t="shared" si="10"/>
        <v>5.7604108885999983E-2</v>
      </c>
      <c r="P84" s="14">
        <f t="shared" si="11"/>
        <v>6.7663555477999848E-2</v>
      </c>
      <c r="Q84" s="14">
        <f t="shared" si="12"/>
        <v>6.1096204960999989E-2</v>
      </c>
      <c r="R84" s="14">
        <f t="shared" si="13"/>
        <v>5.6325368735000048E-2</v>
      </c>
    </row>
    <row r="85" spans="1:18" x14ac:dyDescent="0.35">
      <c r="A85" t="s">
        <v>150</v>
      </c>
      <c r="B85" t="s">
        <v>94</v>
      </c>
      <c r="E85" s="14">
        <f t="shared" si="0"/>
        <v>1.4312327232000044E-2</v>
      </c>
      <c r="F85" s="14">
        <f t="shared" si="1"/>
        <v>2.5249401047999998E-2</v>
      </c>
      <c r="G85" s="14">
        <f t="shared" si="2"/>
        <v>3.2635628471999967E-2</v>
      </c>
      <c r="H85" s="14">
        <f t="shared" si="3"/>
        <v>1.7349400871999876E-2</v>
      </c>
      <c r="I85" s="14">
        <f t="shared" si="4"/>
        <v>2.4484111210000048E-2</v>
      </c>
      <c r="J85" s="14">
        <f t="shared" si="5"/>
        <v>0.10682144937499993</v>
      </c>
      <c r="K85" s="14">
        <f t="shared" si="6"/>
        <v>0.17423078937499992</v>
      </c>
      <c r="L85" s="14">
        <f t="shared" si="7"/>
        <v>0.16421037949999984</v>
      </c>
      <c r="M85" s="14">
        <f t="shared" si="8"/>
        <v>8.798805396399989E-2</v>
      </c>
      <c r="N85" s="14">
        <f t="shared" si="9"/>
        <v>5.7991593595999813E-2</v>
      </c>
      <c r="O85" s="14">
        <f t="shared" si="10"/>
        <v>7.4005910357000104E-2</v>
      </c>
      <c r="P85" s="14">
        <f t="shared" si="11"/>
        <v>7.2737773889000046E-2</v>
      </c>
      <c r="Q85" s="14">
        <f t="shared" si="12"/>
        <v>6.0030325746999846E-2</v>
      </c>
      <c r="R85" s="14">
        <f t="shared" si="13"/>
        <v>5.1972401040999872E-2</v>
      </c>
    </row>
  </sheetData>
  <conditionalFormatting sqref="E46:R85">
    <cfRule type="cellIs" dxfId="0" priority="1" operator="greaterThanOrEqual">
      <formula>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3"/>
  <sheetViews>
    <sheetView workbookViewId="0"/>
  </sheetViews>
  <sheetFormatPr baseColWidth="10" defaultColWidth="8.7265625" defaultRowHeight="14.5" x14ac:dyDescent="0.35"/>
  <cols>
    <col min="18" max="18" width="30" customWidth="1"/>
  </cols>
  <sheetData>
    <row r="1" spans="1:18" x14ac:dyDescent="0.35">
      <c r="A1" t="s">
        <v>194</v>
      </c>
    </row>
    <row r="2" spans="1:18" x14ac:dyDescent="0.35">
      <c r="A2" s="2" t="s">
        <v>195</v>
      </c>
      <c r="B2" s="2">
        <v>2015</v>
      </c>
      <c r="C2" s="2">
        <v>2016</v>
      </c>
      <c r="D2" s="2">
        <v>2017</v>
      </c>
      <c r="E2" s="2">
        <v>2018</v>
      </c>
      <c r="F2" s="2">
        <v>2019</v>
      </c>
      <c r="G2" s="2">
        <v>2020</v>
      </c>
      <c r="H2" s="2">
        <v>2021</v>
      </c>
      <c r="I2" s="2">
        <v>2022</v>
      </c>
      <c r="J2" s="2">
        <v>2023</v>
      </c>
      <c r="K2" s="2">
        <v>2024</v>
      </c>
      <c r="L2" s="2">
        <v>2025</v>
      </c>
      <c r="M2" s="2">
        <v>2026</v>
      </c>
      <c r="N2" s="2">
        <v>2027</v>
      </c>
      <c r="O2" s="2">
        <v>2028</v>
      </c>
      <c r="P2" s="2">
        <v>2029</v>
      </c>
      <c r="Q2" s="2">
        <v>2030</v>
      </c>
      <c r="R2" s="2" t="s">
        <v>196</v>
      </c>
    </row>
    <row r="3" spans="1:18" x14ac:dyDescent="0.35">
      <c r="A3" t="s">
        <v>197</v>
      </c>
      <c r="B3">
        <v>9.23</v>
      </c>
      <c r="C3">
        <v>14.76</v>
      </c>
      <c r="D3">
        <v>16.559999999999999</v>
      </c>
      <c r="E3">
        <v>28.09</v>
      </c>
      <c r="F3">
        <v>48.25</v>
      </c>
      <c r="G3">
        <v>70.64</v>
      </c>
      <c r="H3">
        <v>95.09</v>
      </c>
      <c r="I3">
        <v>130.71</v>
      </c>
      <c r="J3">
        <v>296.52</v>
      </c>
      <c r="K3">
        <v>916.32</v>
      </c>
      <c r="L3">
        <v>1243.79</v>
      </c>
      <c r="M3">
        <v>1472.34</v>
      </c>
      <c r="N3">
        <v>1695.69</v>
      </c>
      <c r="O3">
        <v>1851.17</v>
      </c>
      <c r="P3">
        <v>1907.4</v>
      </c>
      <c r="Q3">
        <v>1974.33</v>
      </c>
      <c r="R3" t="s">
        <v>198</v>
      </c>
    </row>
    <row r="4" spans="1:18" x14ac:dyDescent="0.35">
      <c r="A4" t="s">
        <v>199</v>
      </c>
      <c r="B4">
        <v>3.33</v>
      </c>
      <c r="C4">
        <v>3.49</v>
      </c>
      <c r="D4">
        <v>3.19</v>
      </c>
      <c r="E4">
        <v>3.65</v>
      </c>
      <c r="F4">
        <v>3.94</v>
      </c>
      <c r="G4">
        <v>5.15</v>
      </c>
      <c r="H4">
        <v>5.39</v>
      </c>
      <c r="I4">
        <v>5.16</v>
      </c>
      <c r="J4">
        <v>5</v>
      </c>
      <c r="K4">
        <v>5.39</v>
      </c>
      <c r="L4">
        <v>5.59</v>
      </c>
      <c r="M4">
        <v>5.14</v>
      </c>
      <c r="N4">
        <v>5.18</v>
      </c>
      <c r="O4">
        <v>5.3</v>
      </c>
      <c r="P4">
        <v>5.42</v>
      </c>
      <c r="Q4">
        <v>5.54</v>
      </c>
      <c r="R4" t="s">
        <v>200</v>
      </c>
    </row>
    <row r="5" spans="1:18" x14ac:dyDescent="0.35">
      <c r="A5" t="s">
        <v>201</v>
      </c>
      <c r="B5">
        <v>1.28</v>
      </c>
      <c r="C5">
        <v>1.33</v>
      </c>
      <c r="D5">
        <v>1.3</v>
      </c>
      <c r="E5">
        <v>1.3</v>
      </c>
      <c r="F5">
        <v>1.3269</v>
      </c>
      <c r="G5">
        <v>1.3412999999999999</v>
      </c>
      <c r="H5">
        <v>1.2534000000000001</v>
      </c>
      <c r="I5">
        <v>1.3010999999999999</v>
      </c>
      <c r="J5">
        <v>1.3493999999999999</v>
      </c>
      <c r="K5">
        <v>1.3697999999999999</v>
      </c>
      <c r="L5">
        <v>1.3975</v>
      </c>
      <c r="M5">
        <v>1.39</v>
      </c>
      <c r="N5">
        <v>1.36</v>
      </c>
      <c r="O5">
        <v>1.33</v>
      </c>
      <c r="P5">
        <v>1.29</v>
      </c>
      <c r="Q5">
        <v>1.26</v>
      </c>
      <c r="R5" t="s">
        <v>202</v>
      </c>
    </row>
    <row r="6" spans="1:18" x14ac:dyDescent="0.35">
      <c r="A6" t="s">
        <v>203</v>
      </c>
      <c r="B6">
        <v>0.96</v>
      </c>
      <c r="C6">
        <v>0.99</v>
      </c>
      <c r="D6">
        <v>0.98</v>
      </c>
      <c r="E6">
        <v>0.98</v>
      </c>
      <c r="F6">
        <v>0.99</v>
      </c>
      <c r="G6">
        <v>0.94</v>
      </c>
      <c r="H6">
        <v>0.91</v>
      </c>
      <c r="I6">
        <v>0.95</v>
      </c>
      <c r="J6">
        <v>0.9</v>
      </c>
      <c r="K6">
        <v>0.88</v>
      </c>
      <c r="L6">
        <v>0.83</v>
      </c>
      <c r="M6">
        <v>0.8</v>
      </c>
      <c r="N6">
        <v>0.81</v>
      </c>
      <c r="O6">
        <v>0.81</v>
      </c>
      <c r="P6">
        <v>0.8</v>
      </c>
      <c r="Q6">
        <v>0.79</v>
      </c>
      <c r="R6" t="s">
        <v>204</v>
      </c>
    </row>
    <row r="7" spans="1:18" x14ac:dyDescent="0.35">
      <c r="A7" t="s">
        <v>205</v>
      </c>
      <c r="B7">
        <v>650</v>
      </c>
      <c r="C7">
        <v>680</v>
      </c>
      <c r="D7">
        <v>650</v>
      </c>
      <c r="E7">
        <v>640</v>
      </c>
      <c r="F7">
        <v>700</v>
      </c>
      <c r="G7">
        <v>790</v>
      </c>
      <c r="H7">
        <v>760</v>
      </c>
      <c r="I7">
        <v>870</v>
      </c>
      <c r="J7">
        <v>840</v>
      </c>
      <c r="K7">
        <v>940</v>
      </c>
      <c r="L7">
        <v>950</v>
      </c>
      <c r="M7">
        <v>917</v>
      </c>
      <c r="N7">
        <v>931.8</v>
      </c>
      <c r="O7">
        <v>901.75</v>
      </c>
      <c r="P7">
        <v>906.75</v>
      </c>
      <c r="Q7">
        <v>914.72</v>
      </c>
      <c r="R7" t="s">
        <v>206</v>
      </c>
    </row>
    <row r="8" spans="1:18" x14ac:dyDescent="0.35">
      <c r="A8" t="s">
        <v>207</v>
      </c>
      <c r="B8">
        <v>6.28</v>
      </c>
      <c r="C8">
        <v>6.64</v>
      </c>
      <c r="D8">
        <v>6.76</v>
      </c>
      <c r="E8">
        <v>6.62</v>
      </c>
      <c r="F8">
        <v>6.91</v>
      </c>
      <c r="G8">
        <v>6.9</v>
      </c>
      <c r="H8">
        <v>6.45</v>
      </c>
      <c r="I8">
        <v>6.73</v>
      </c>
      <c r="J8">
        <v>7.08</v>
      </c>
      <c r="K8">
        <v>7.2</v>
      </c>
      <c r="L8">
        <v>7.19</v>
      </c>
      <c r="M8">
        <v>6.79</v>
      </c>
      <c r="N8">
        <v>6.66</v>
      </c>
      <c r="O8">
        <v>6.62</v>
      </c>
      <c r="P8">
        <v>6.59</v>
      </c>
      <c r="Q8">
        <v>6.59</v>
      </c>
      <c r="R8" t="s">
        <v>208</v>
      </c>
    </row>
    <row r="9" spans="1:18" x14ac:dyDescent="0.35">
      <c r="A9" t="s">
        <v>209</v>
      </c>
      <c r="B9">
        <v>2740</v>
      </c>
      <c r="C9">
        <v>3050</v>
      </c>
      <c r="D9">
        <v>2950</v>
      </c>
      <c r="E9">
        <v>2960</v>
      </c>
      <c r="F9">
        <v>3280</v>
      </c>
      <c r="G9">
        <v>3690</v>
      </c>
      <c r="H9">
        <v>3740</v>
      </c>
      <c r="I9">
        <v>4250</v>
      </c>
      <c r="J9">
        <v>4330</v>
      </c>
      <c r="K9">
        <v>4070</v>
      </c>
      <c r="L9">
        <v>4050</v>
      </c>
      <c r="M9">
        <v>3484.23</v>
      </c>
      <c r="N9">
        <v>3445.24</v>
      </c>
      <c r="O9">
        <v>3657.07</v>
      </c>
      <c r="P9">
        <v>3715.25</v>
      </c>
      <c r="Q9">
        <v>3714.47</v>
      </c>
      <c r="R9" t="s">
        <v>210</v>
      </c>
    </row>
    <row r="10" spans="1:18" x14ac:dyDescent="0.35">
      <c r="A10" t="s">
        <v>211</v>
      </c>
      <c r="B10">
        <v>534.57000000000005</v>
      </c>
      <c r="C10">
        <v>544.74</v>
      </c>
      <c r="D10">
        <v>567.51</v>
      </c>
      <c r="E10">
        <v>576.97</v>
      </c>
      <c r="F10">
        <v>584.01</v>
      </c>
      <c r="G10">
        <v>581.66999999999996</v>
      </c>
      <c r="H10">
        <v>617.55999999999995</v>
      </c>
      <c r="I10">
        <v>643.65</v>
      </c>
      <c r="J10">
        <v>540.70000000000005</v>
      </c>
      <c r="K10">
        <v>511.97</v>
      </c>
      <c r="L10">
        <v>500.58</v>
      </c>
      <c r="M10">
        <v>459.37</v>
      </c>
      <c r="N10">
        <v>465.17</v>
      </c>
      <c r="O10">
        <v>476.92</v>
      </c>
      <c r="P10">
        <v>486.67</v>
      </c>
      <c r="Q10">
        <v>500.07</v>
      </c>
      <c r="R10" t="s">
        <v>212</v>
      </c>
    </row>
    <row r="11" spans="1:18" x14ac:dyDescent="0.35">
      <c r="A11" t="s">
        <v>213</v>
      </c>
      <c r="B11">
        <v>0.9</v>
      </c>
      <c r="C11">
        <v>0.9</v>
      </c>
      <c r="D11">
        <v>0.89</v>
      </c>
      <c r="E11">
        <v>0.85</v>
      </c>
      <c r="F11">
        <v>0.89339999999999997</v>
      </c>
      <c r="G11">
        <v>0.87729999999999997</v>
      </c>
      <c r="H11">
        <v>0.8458</v>
      </c>
      <c r="I11">
        <v>0.95150000000000001</v>
      </c>
      <c r="J11">
        <v>0.92490000000000006</v>
      </c>
      <c r="K11">
        <v>0.92410000000000003</v>
      </c>
      <c r="L11">
        <v>0.88629999999999998</v>
      </c>
      <c r="M11">
        <v>0.87</v>
      </c>
      <c r="N11">
        <v>0.89</v>
      </c>
      <c r="O11">
        <v>0.89</v>
      </c>
      <c r="P11">
        <v>0.86</v>
      </c>
      <c r="Q11">
        <v>0.84</v>
      </c>
      <c r="R11" t="s">
        <v>214</v>
      </c>
    </row>
    <row r="12" spans="1:18" x14ac:dyDescent="0.35">
      <c r="A12" t="s">
        <v>215</v>
      </c>
      <c r="B12">
        <v>0.65</v>
      </c>
      <c r="C12">
        <v>0.74</v>
      </c>
      <c r="D12">
        <v>0.78</v>
      </c>
      <c r="E12">
        <v>0.75</v>
      </c>
      <c r="F12">
        <v>0.78439999999999999</v>
      </c>
      <c r="G12">
        <v>0.77980000000000005</v>
      </c>
      <c r="H12">
        <v>0.72689999999999999</v>
      </c>
      <c r="I12">
        <v>0.81179999999999997</v>
      </c>
      <c r="J12">
        <v>0.80410000000000004</v>
      </c>
      <c r="K12">
        <v>0.78239999999999998</v>
      </c>
      <c r="L12">
        <v>0.75890000000000002</v>
      </c>
      <c r="M12">
        <v>0.75</v>
      </c>
      <c r="N12">
        <v>0.75</v>
      </c>
      <c r="O12">
        <v>0.75</v>
      </c>
      <c r="P12">
        <v>0.75</v>
      </c>
      <c r="Q12">
        <v>0.75</v>
      </c>
      <c r="R12" t="s">
        <v>216</v>
      </c>
    </row>
    <row r="13" spans="1:18" x14ac:dyDescent="0.35">
      <c r="A13" t="s">
        <v>217</v>
      </c>
      <c r="B13">
        <v>7.65</v>
      </c>
      <c r="C13">
        <v>7.6</v>
      </c>
      <c r="D13">
        <v>7.35</v>
      </c>
      <c r="E13">
        <v>7.52</v>
      </c>
      <c r="F13">
        <v>7.7</v>
      </c>
      <c r="G13">
        <v>7.72</v>
      </c>
      <c r="H13">
        <v>7.74</v>
      </c>
      <c r="I13">
        <v>7.75</v>
      </c>
      <c r="J13">
        <v>7.83</v>
      </c>
      <c r="K13">
        <v>7.76</v>
      </c>
      <c r="L13">
        <v>7.68</v>
      </c>
      <c r="M13">
        <v>7.64</v>
      </c>
      <c r="N13">
        <v>7.71</v>
      </c>
      <c r="O13">
        <v>7.76</v>
      </c>
      <c r="P13">
        <v>7.83</v>
      </c>
      <c r="Q13">
        <v>7.9</v>
      </c>
      <c r="R13" t="s">
        <v>218</v>
      </c>
    </row>
    <row r="14" spans="1:18" x14ac:dyDescent="0.35">
      <c r="A14" t="s">
        <v>219</v>
      </c>
      <c r="B14">
        <v>21.95</v>
      </c>
      <c r="C14">
        <v>22.84</v>
      </c>
      <c r="D14">
        <v>23.49</v>
      </c>
      <c r="E14">
        <v>23.9</v>
      </c>
      <c r="F14">
        <v>24.59</v>
      </c>
      <c r="G14">
        <v>24.67</v>
      </c>
      <c r="H14">
        <v>24.1</v>
      </c>
      <c r="I14">
        <v>24.56</v>
      </c>
      <c r="J14">
        <v>24.66</v>
      </c>
      <c r="K14">
        <v>24.86</v>
      </c>
      <c r="L14">
        <v>26.02</v>
      </c>
      <c r="M14">
        <v>26.79</v>
      </c>
      <c r="N14">
        <v>27.46</v>
      </c>
      <c r="O14">
        <v>28.13</v>
      </c>
      <c r="P14">
        <v>28.81</v>
      </c>
      <c r="Q14">
        <v>29.51</v>
      </c>
      <c r="R14" t="s">
        <v>220</v>
      </c>
    </row>
    <row r="15" spans="1:18" x14ac:dyDescent="0.35">
      <c r="A15" t="s">
        <v>221</v>
      </c>
      <c r="B15">
        <v>64.150000000000006</v>
      </c>
      <c r="C15">
        <v>67.2</v>
      </c>
      <c r="D15">
        <v>65.12</v>
      </c>
      <c r="E15">
        <v>68.39</v>
      </c>
      <c r="F15">
        <v>70.430000000000007</v>
      </c>
      <c r="G15">
        <v>74.099999999999994</v>
      </c>
      <c r="H15">
        <v>73.92</v>
      </c>
      <c r="I15">
        <v>78.599999999999994</v>
      </c>
      <c r="J15">
        <v>82.6</v>
      </c>
      <c r="K15">
        <v>83.67</v>
      </c>
      <c r="L15">
        <v>87.16</v>
      </c>
      <c r="M15">
        <v>94.56</v>
      </c>
      <c r="N15">
        <v>97.4</v>
      </c>
      <c r="O15">
        <v>96.82</v>
      </c>
      <c r="P15">
        <v>97.56</v>
      </c>
      <c r="Q15">
        <v>99.14</v>
      </c>
      <c r="R15" t="s">
        <v>222</v>
      </c>
    </row>
    <row r="16" spans="1:18" x14ac:dyDescent="0.35">
      <c r="A16" t="s">
        <v>223</v>
      </c>
      <c r="B16">
        <v>1130</v>
      </c>
      <c r="C16">
        <v>1160</v>
      </c>
      <c r="D16">
        <v>1130</v>
      </c>
      <c r="E16">
        <v>1100</v>
      </c>
      <c r="F16">
        <v>1170</v>
      </c>
      <c r="G16">
        <v>1180</v>
      </c>
      <c r="H16">
        <v>1140</v>
      </c>
      <c r="I16">
        <v>1290</v>
      </c>
      <c r="J16">
        <v>1310</v>
      </c>
      <c r="K16">
        <v>1360</v>
      </c>
      <c r="L16">
        <v>1420</v>
      </c>
      <c r="M16">
        <v>1435.44</v>
      </c>
      <c r="N16">
        <v>1363.81</v>
      </c>
      <c r="O16">
        <v>1351.27</v>
      </c>
      <c r="P16">
        <v>1330</v>
      </c>
      <c r="Q16">
        <v>1317.62</v>
      </c>
      <c r="R16" t="s">
        <v>224</v>
      </c>
    </row>
    <row r="17" spans="1:18" x14ac:dyDescent="0.35">
      <c r="A17" t="s">
        <v>225</v>
      </c>
      <c r="B17">
        <v>221.73</v>
      </c>
      <c r="C17">
        <v>341.85</v>
      </c>
      <c r="D17">
        <v>326</v>
      </c>
      <c r="E17">
        <v>344.74</v>
      </c>
      <c r="F17">
        <v>382.78</v>
      </c>
      <c r="G17">
        <v>413.4</v>
      </c>
      <c r="H17">
        <v>425.93</v>
      </c>
      <c r="I17">
        <v>460.29</v>
      </c>
      <c r="J17">
        <v>456.26</v>
      </c>
      <c r="K17">
        <v>468.97</v>
      </c>
      <c r="L17">
        <v>521.08000000000004</v>
      </c>
      <c r="M17">
        <v>469.37</v>
      </c>
      <c r="N17">
        <v>479.64</v>
      </c>
      <c r="O17">
        <v>509.87</v>
      </c>
      <c r="P17">
        <v>511.19</v>
      </c>
      <c r="Q17">
        <v>513.57000000000005</v>
      </c>
      <c r="R17" t="s">
        <v>226</v>
      </c>
    </row>
    <row r="18" spans="1:18" x14ac:dyDescent="0.35">
      <c r="A18" t="s">
        <v>227</v>
      </c>
      <c r="B18">
        <v>9.76</v>
      </c>
      <c r="C18">
        <v>9.81</v>
      </c>
      <c r="D18">
        <v>9.69</v>
      </c>
      <c r="E18">
        <v>9.39</v>
      </c>
      <c r="F18">
        <v>9.6199999999999992</v>
      </c>
      <c r="G18">
        <v>9.49</v>
      </c>
      <c r="H18">
        <v>8.99</v>
      </c>
      <c r="I18">
        <v>10.16</v>
      </c>
      <c r="J18">
        <v>10.130000000000001</v>
      </c>
      <c r="K18">
        <v>9.94</v>
      </c>
      <c r="L18">
        <v>9.35</v>
      </c>
      <c r="M18">
        <v>9.32</v>
      </c>
      <c r="N18">
        <v>9.6199999999999992</v>
      </c>
      <c r="O18">
        <v>9.75</v>
      </c>
      <c r="P18">
        <v>9.65</v>
      </c>
      <c r="Q18">
        <v>9.69</v>
      </c>
      <c r="R18" t="s">
        <v>228</v>
      </c>
    </row>
    <row r="19" spans="1:18" x14ac:dyDescent="0.35">
      <c r="A19" t="s">
        <v>109</v>
      </c>
      <c r="R19" t="s">
        <v>229</v>
      </c>
    </row>
    <row r="20" spans="1:18" x14ac:dyDescent="0.35">
      <c r="A20" t="s">
        <v>230</v>
      </c>
      <c r="B20">
        <v>15.881</v>
      </c>
      <c r="C20">
        <v>18.689</v>
      </c>
      <c r="D20">
        <v>18.907</v>
      </c>
      <c r="E20">
        <v>19.236999999999998</v>
      </c>
      <c r="F20">
        <v>19.257000000000001</v>
      </c>
      <c r="G20">
        <v>21.498000000000001</v>
      </c>
      <c r="H20">
        <v>20.282</v>
      </c>
      <c r="I20">
        <v>20.12</v>
      </c>
      <c r="J20">
        <v>17.734000000000002</v>
      </c>
      <c r="K20">
        <v>18.326000000000001</v>
      </c>
      <c r="L20">
        <v>19.2</v>
      </c>
      <c r="M20">
        <v>17.54</v>
      </c>
      <c r="N20">
        <v>18.21</v>
      </c>
      <c r="O20">
        <v>18.670000000000002</v>
      </c>
      <c r="P20">
        <v>19.03</v>
      </c>
      <c r="Q20">
        <v>19.239999999999998</v>
      </c>
      <c r="R20" t="s">
        <v>231</v>
      </c>
    </row>
    <row r="21" spans="1:18" x14ac:dyDescent="0.35">
      <c r="A21" t="s">
        <v>232</v>
      </c>
      <c r="B21">
        <v>27.26</v>
      </c>
      <c r="C21">
        <v>28.62</v>
      </c>
      <c r="D21">
        <v>30.05</v>
      </c>
      <c r="E21">
        <v>31.55</v>
      </c>
      <c r="F21">
        <v>33.119999999999997</v>
      </c>
      <c r="G21">
        <v>34.340000000000003</v>
      </c>
      <c r="H21">
        <v>35.17</v>
      </c>
      <c r="I21">
        <v>35.869999999999997</v>
      </c>
      <c r="J21">
        <v>36.44</v>
      </c>
      <c r="K21">
        <v>36.619999999999997</v>
      </c>
      <c r="L21">
        <v>36.619999999999997</v>
      </c>
      <c r="M21">
        <v>36.619999999999997</v>
      </c>
      <c r="N21">
        <v>36.67</v>
      </c>
      <c r="O21">
        <v>38.53</v>
      </c>
      <c r="P21">
        <v>40.17</v>
      </c>
      <c r="Q21">
        <v>41.89</v>
      </c>
      <c r="R21" t="s">
        <v>233</v>
      </c>
    </row>
    <row r="22" spans="1:18" x14ac:dyDescent="0.35">
      <c r="A22" t="s">
        <v>234</v>
      </c>
      <c r="B22">
        <v>3.18</v>
      </c>
      <c r="C22">
        <v>3.38</v>
      </c>
      <c r="D22">
        <v>3.26</v>
      </c>
      <c r="E22">
        <v>3.29</v>
      </c>
      <c r="F22">
        <v>3.34</v>
      </c>
      <c r="G22">
        <v>3.5</v>
      </c>
      <c r="H22">
        <v>3.88</v>
      </c>
      <c r="I22">
        <v>3.83</v>
      </c>
      <c r="J22">
        <v>3.74</v>
      </c>
      <c r="K22">
        <v>3.75</v>
      </c>
      <c r="L22">
        <v>3.57</v>
      </c>
      <c r="M22">
        <v>3.41</v>
      </c>
      <c r="N22">
        <v>3.42</v>
      </c>
      <c r="O22">
        <v>3.44</v>
      </c>
      <c r="P22">
        <v>3.45</v>
      </c>
      <c r="Q22">
        <v>3.45</v>
      </c>
      <c r="R22" t="s">
        <v>235</v>
      </c>
    </row>
    <row r="23" spans="1:18" x14ac:dyDescent="0.35">
      <c r="A23" t="s">
        <v>236</v>
      </c>
      <c r="B23">
        <v>5200</v>
      </c>
      <c r="C23">
        <v>5670</v>
      </c>
      <c r="D23">
        <v>5620</v>
      </c>
      <c r="E23">
        <v>5730</v>
      </c>
      <c r="F23">
        <v>6240</v>
      </c>
      <c r="G23">
        <v>6770</v>
      </c>
      <c r="H23">
        <v>6770</v>
      </c>
      <c r="I23">
        <v>6980</v>
      </c>
      <c r="J23">
        <v>7290</v>
      </c>
      <c r="K23">
        <v>7560</v>
      </c>
      <c r="L23">
        <v>7540</v>
      </c>
      <c r="M23">
        <v>6134.11</v>
      </c>
      <c r="N23">
        <v>5972.76</v>
      </c>
      <c r="O23">
        <v>6224.53</v>
      </c>
      <c r="P23">
        <v>6445.97</v>
      </c>
      <c r="Q23">
        <v>6660.27</v>
      </c>
      <c r="R23" t="s">
        <v>237</v>
      </c>
    </row>
    <row r="24" spans="1:18" x14ac:dyDescent="0.35">
      <c r="A24" t="s">
        <v>238</v>
      </c>
      <c r="B24">
        <v>4.01</v>
      </c>
      <c r="C24">
        <v>4.0599999999999996</v>
      </c>
      <c r="D24">
        <v>4.05</v>
      </c>
      <c r="E24">
        <v>3.94</v>
      </c>
      <c r="F24">
        <v>4.24</v>
      </c>
      <c r="G24">
        <v>4.24</v>
      </c>
      <c r="H24">
        <v>4.16</v>
      </c>
      <c r="I24">
        <v>4.6900000000000004</v>
      </c>
      <c r="J24">
        <v>4.57</v>
      </c>
      <c r="K24">
        <v>4.5999999999999996</v>
      </c>
      <c r="L24">
        <v>4.47</v>
      </c>
      <c r="M24">
        <v>4.5199999999999996</v>
      </c>
      <c r="N24">
        <v>4.75</v>
      </c>
      <c r="O24">
        <v>4.7300000000000004</v>
      </c>
      <c r="P24">
        <v>4.58</v>
      </c>
      <c r="Q24">
        <v>4.49</v>
      </c>
      <c r="R24" t="s">
        <v>239</v>
      </c>
    </row>
    <row r="25" spans="1:18" x14ac:dyDescent="0.35">
      <c r="A25" t="s">
        <v>240</v>
      </c>
      <c r="B25">
        <v>108.81</v>
      </c>
      <c r="C25">
        <v>111.28</v>
      </c>
      <c r="D25">
        <v>107.76</v>
      </c>
      <c r="E25">
        <v>100.18</v>
      </c>
      <c r="F25">
        <v>105.25</v>
      </c>
      <c r="G25">
        <v>103.16</v>
      </c>
      <c r="H25">
        <v>99.4</v>
      </c>
      <c r="I25">
        <v>111.66</v>
      </c>
      <c r="J25">
        <v>108.4</v>
      </c>
      <c r="K25">
        <v>108.21</v>
      </c>
      <c r="L25">
        <v>103.97</v>
      </c>
      <c r="M25">
        <v>102.61</v>
      </c>
      <c r="N25">
        <v>102.82</v>
      </c>
      <c r="O25">
        <v>100.67</v>
      </c>
      <c r="P25">
        <v>99.92</v>
      </c>
      <c r="Q25">
        <v>99.68</v>
      </c>
      <c r="R25" t="s">
        <v>241</v>
      </c>
    </row>
    <row r="26" spans="1:18" x14ac:dyDescent="0.35">
      <c r="A26" t="s">
        <v>242</v>
      </c>
      <c r="B26">
        <v>61.11</v>
      </c>
      <c r="C26">
        <v>67.03</v>
      </c>
      <c r="D26">
        <v>58.31</v>
      </c>
      <c r="E26">
        <v>62.74</v>
      </c>
      <c r="F26">
        <v>64.72</v>
      </c>
      <c r="G26">
        <v>72.209999999999994</v>
      </c>
      <c r="H26">
        <v>73.66</v>
      </c>
      <c r="I26">
        <v>68.569999999999993</v>
      </c>
      <c r="J26">
        <v>85.29</v>
      </c>
      <c r="K26">
        <v>92.6</v>
      </c>
      <c r="L26">
        <v>83.55</v>
      </c>
      <c r="M26">
        <v>79.930000000000007</v>
      </c>
      <c r="N26">
        <v>87.56</v>
      </c>
      <c r="O26">
        <v>95.88</v>
      </c>
      <c r="P26">
        <v>100.67</v>
      </c>
      <c r="Q26">
        <v>100.45</v>
      </c>
      <c r="R26" t="s">
        <v>243</v>
      </c>
    </row>
    <row r="27" spans="1:18" x14ac:dyDescent="0.35">
      <c r="A27" t="s">
        <v>244</v>
      </c>
      <c r="B27">
        <v>1.96</v>
      </c>
      <c r="C27">
        <v>2.15</v>
      </c>
      <c r="D27">
        <v>2.42</v>
      </c>
      <c r="E27">
        <v>2.65</v>
      </c>
      <c r="F27">
        <v>2.93</v>
      </c>
      <c r="G27">
        <v>2.81</v>
      </c>
      <c r="H27">
        <v>2.79</v>
      </c>
      <c r="I27">
        <v>3.1</v>
      </c>
      <c r="J27">
        <v>3.11</v>
      </c>
      <c r="K27">
        <v>3.11</v>
      </c>
      <c r="L27">
        <v>3</v>
      </c>
      <c r="M27">
        <v>2.95</v>
      </c>
      <c r="N27">
        <v>3.15</v>
      </c>
      <c r="O27">
        <v>3.29</v>
      </c>
      <c r="P27">
        <v>3.38</v>
      </c>
      <c r="Q27">
        <v>3.45</v>
      </c>
      <c r="R27" t="s">
        <v>245</v>
      </c>
    </row>
    <row r="28" spans="1:18" x14ac:dyDescent="0.35">
      <c r="A28" t="s">
        <v>246</v>
      </c>
      <c r="B28">
        <v>2.72</v>
      </c>
      <c r="C28">
        <v>3.02</v>
      </c>
      <c r="D28">
        <v>3.65</v>
      </c>
      <c r="E28">
        <v>4.83</v>
      </c>
      <c r="F28">
        <v>5.68</v>
      </c>
      <c r="G28">
        <v>7.02</v>
      </c>
      <c r="H28">
        <v>8.86</v>
      </c>
      <c r="I28">
        <v>16.57</v>
      </c>
      <c r="J28">
        <v>23.79</v>
      </c>
      <c r="K28">
        <v>32.83</v>
      </c>
      <c r="L28">
        <v>39.49</v>
      </c>
      <c r="M28">
        <v>46.74</v>
      </c>
      <c r="N28">
        <v>54.83</v>
      </c>
      <c r="O28">
        <v>60.56</v>
      </c>
      <c r="P28">
        <v>64.5</v>
      </c>
      <c r="Q28">
        <v>68.7</v>
      </c>
      <c r="R28" t="s">
        <v>247</v>
      </c>
    </row>
    <row r="29" spans="1:18" x14ac:dyDescent="0.35">
      <c r="A29" t="s">
        <v>248</v>
      </c>
      <c r="B29">
        <v>21.84</v>
      </c>
      <c r="C29">
        <v>25.55</v>
      </c>
      <c r="D29">
        <v>26.6</v>
      </c>
      <c r="E29">
        <v>27.2</v>
      </c>
      <c r="F29">
        <v>25.83</v>
      </c>
      <c r="G29">
        <v>26.96</v>
      </c>
      <c r="H29">
        <v>27.28</v>
      </c>
      <c r="I29">
        <v>32.299999999999997</v>
      </c>
      <c r="J29">
        <v>36.57</v>
      </c>
      <c r="K29">
        <v>40.159999999999997</v>
      </c>
      <c r="L29">
        <v>41.69</v>
      </c>
      <c r="M29">
        <v>44.25</v>
      </c>
      <c r="N29">
        <v>46.55</v>
      </c>
      <c r="O29">
        <v>46.98</v>
      </c>
      <c r="P29">
        <v>46.43</v>
      </c>
      <c r="Q29">
        <v>43.9</v>
      </c>
      <c r="R29" t="s">
        <v>249</v>
      </c>
    </row>
    <row r="30" spans="1:18" x14ac:dyDescent="0.35">
      <c r="A30" t="s">
        <v>250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8" x14ac:dyDescent="0.35">
      <c r="A31" t="s">
        <v>251</v>
      </c>
      <c r="B31">
        <v>27.33</v>
      </c>
      <c r="C31">
        <v>30.16</v>
      </c>
      <c r="D31">
        <v>28.68</v>
      </c>
      <c r="E31">
        <v>30.73</v>
      </c>
      <c r="F31">
        <v>35.25</v>
      </c>
      <c r="G31">
        <v>42.01</v>
      </c>
      <c r="H31">
        <v>43.56</v>
      </c>
      <c r="I31">
        <v>41.18</v>
      </c>
      <c r="J31">
        <v>38.83</v>
      </c>
      <c r="K31">
        <v>40.21</v>
      </c>
      <c r="L31">
        <v>41.09</v>
      </c>
      <c r="M31">
        <v>40.090000000000003</v>
      </c>
      <c r="N31">
        <v>42.63</v>
      </c>
      <c r="O31">
        <v>44.28</v>
      </c>
      <c r="P31">
        <v>45.82</v>
      </c>
      <c r="Q31">
        <v>47.29</v>
      </c>
      <c r="R31" t="s">
        <v>252</v>
      </c>
    </row>
    <row r="32" spans="1:18" x14ac:dyDescent="0.35">
      <c r="A32" t="s">
        <v>253</v>
      </c>
      <c r="R32" t="s">
        <v>229</v>
      </c>
    </row>
    <row r="33" spans="1:18" x14ac:dyDescent="0.35">
      <c r="A33" t="s">
        <v>254</v>
      </c>
      <c r="B33">
        <v>12.76</v>
      </c>
      <c r="C33">
        <v>14.71</v>
      </c>
      <c r="D33">
        <v>13.33</v>
      </c>
      <c r="E33">
        <v>13.24</v>
      </c>
      <c r="F33">
        <v>14.45</v>
      </c>
      <c r="G33">
        <v>16.47</v>
      </c>
      <c r="H33">
        <v>14.78</v>
      </c>
      <c r="I33">
        <v>16.36</v>
      </c>
      <c r="J33">
        <v>18.45</v>
      </c>
      <c r="K33">
        <v>18.329999999999998</v>
      </c>
      <c r="L33">
        <v>17.89</v>
      </c>
      <c r="M33">
        <v>16.39</v>
      </c>
      <c r="N33">
        <v>16.61</v>
      </c>
      <c r="O33">
        <v>16.77</v>
      </c>
      <c r="P33">
        <v>17.05</v>
      </c>
      <c r="Q33">
        <v>17.37</v>
      </c>
      <c r="R33" t="s">
        <v>255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92"/>
  <sheetViews>
    <sheetView workbookViewId="0">
      <pane xSplit="4" ySplit="2" topLeftCell="E3" activePane="bottomRight" state="frozen"/>
      <selection pane="topRight"/>
      <selection pane="bottomLeft"/>
      <selection pane="bottomRight"/>
    </sheetView>
  </sheetViews>
  <sheetFormatPr baseColWidth="10" defaultColWidth="8.7265625" defaultRowHeight="14.5" x14ac:dyDescent="0.35"/>
  <cols>
    <col min="4" max="4" width="40" customWidth="1"/>
  </cols>
  <sheetData>
    <row r="1" spans="1:20" x14ac:dyDescent="0.35">
      <c r="A1" t="s">
        <v>256</v>
      </c>
    </row>
    <row r="2" spans="1:20" x14ac:dyDescent="0.35">
      <c r="A2" s="2" t="s">
        <v>23</v>
      </c>
      <c r="B2" s="2" t="s">
        <v>24</v>
      </c>
      <c r="C2" s="2" t="s">
        <v>257</v>
      </c>
      <c r="D2" s="2" t="s">
        <v>258</v>
      </c>
      <c r="E2" s="2" t="s">
        <v>259</v>
      </c>
      <c r="F2" s="2" t="s">
        <v>260</v>
      </c>
      <c r="G2" s="2" t="s">
        <v>261</v>
      </c>
      <c r="H2" s="2" t="s">
        <v>262</v>
      </c>
      <c r="I2" s="2" t="s">
        <v>263</v>
      </c>
      <c r="J2" s="2" t="s">
        <v>264</v>
      </c>
      <c r="K2" s="2" t="s">
        <v>265</v>
      </c>
      <c r="L2" s="2" t="s">
        <v>266</v>
      </c>
      <c r="M2" s="2" t="s">
        <v>267</v>
      </c>
      <c r="N2" s="2" t="s">
        <v>268</v>
      </c>
      <c r="O2" s="2" t="s">
        <v>269</v>
      </c>
      <c r="P2" s="2" t="s">
        <v>270</v>
      </c>
      <c r="Q2" s="2" t="s">
        <v>271</v>
      </c>
      <c r="R2" s="2" t="s">
        <v>272</v>
      </c>
      <c r="S2" s="2" t="s">
        <v>273</v>
      </c>
      <c r="T2" s="2" t="s">
        <v>274</v>
      </c>
    </row>
    <row r="3" spans="1:20" x14ac:dyDescent="0.35">
      <c r="A3" t="s">
        <v>36</v>
      </c>
      <c r="B3" t="s">
        <v>37</v>
      </c>
      <c r="C3">
        <v>1</v>
      </c>
      <c r="E3" s="15">
        <f>IF(N(FX!B20)=0,"",Data!D2/FX!B20)</f>
        <v>1210.7934009193375</v>
      </c>
      <c r="F3" s="15">
        <f>IF(N(FX!C20)=0,"",Data!D3/FX!C20)</f>
        <v>1110.7491037508696</v>
      </c>
      <c r="G3" s="15">
        <f>IF(N(FX!D20)=0,"",Data!D4/FX!D20)</f>
        <v>1191.9506003067647</v>
      </c>
      <c r="H3" s="15">
        <f>IF(N(FX!E20)=0,"",Data!D5/FX!E20)</f>
        <v>1256.7796433955398</v>
      </c>
      <c r="I3" s="15">
        <f>IF(N(FX!F20)=0,"",Data!D6/FX!F20)</f>
        <v>1304.555226670821</v>
      </c>
      <c r="J3" s="15">
        <f>IF(N(FX!G20)=0,"",Data!D7/FX!G20)</f>
        <v>1120.4186435947529</v>
      </c>
      <c r="K3" s="15">
        <f>IF(N(FX!H20)=0,"",Data!D8/FX!H20)</f>
        <v>1315.9466522039247</v>
      </c>
      <c r="L3" s="15">
        <f>IF(N(FX!I20)=0,"",Data!D9/FX!I20)</f>
        <v>1467.4706759443338</v>
      </c>
      <c r="M3" s="15">
        <f>IF(N(FX!J20)=0,"",Data!D10/FX!J20)</f>
        <v>1797.1743543475807</v>
      </c>
      <c r="N3" s="15">
        <f>IF(N(FX!K20)=0,"",Data!D11/FX!K20)</f>
        <v>1832.5275564771364</v>
      </c>
      <c r="O3" s="15">
        <f>IF(N(FX!L20)=0,"",Data!D12/FX!L20)</f>
        <v>1838.6244791666666</v>
      </c>
      <c r="P3" s="15">
        <f>IF(N(FX!M20)=0,"",Data!D13/FX!M20)</f>
        <v>2136.912770809578</v>
      </c>
      <c r="Q3" s="15">
        <f>IF(N(FX!N20)=0,"",Data!D14/FX!N20)</f>
        <v>2196.0779791323448</v>
      </c>
      <c r="R3" s="15">
        <f>IF(N(FX!O20)=0,"",Data!D15/FX!O20)</f>
        <v>2270.6143545795394</v>
      </c>
      <c r="S3" s="15">
        <f>IF(N(FX!P20)=0,"",Data!D16/FX!P20)</f>
        <v>2356.9464004203887</v>
      </c>
      <c r="T3" s="15">
        <f>IF(N(FX!Q20)=0,"",Data!D17/FX!Q20)</f>
        <v>2444.882016632017</v>
      </c>
    </row>
    <row r="4" spans="1:20" x14ac:dyDescent="0.35">
      <c r="A4" t="s">
        <v>46</v>
      </c>
      <c r="B4" t="s">
        <v>47</v>
      </c>
      <c r="C4">
        <v>1</v>
      </c>
      <c r="E4" s="15">
        <f>IF(N(FX!B30)=0,"",Data!D18/FX!B30)</f>
        <v>18295.02</v>
      </c>
      <c r="F4" s="15">
        <f>IF(N(FX!C30)=0,"",Data!D19/FX!C30)</f>
        <v>18804.91</v>
      </c>
      <c r="G4" s="15">
        <f>IF(N(FX!D30)=0,"",Data!D20/FX!D30)</f>
        <v>19612.099999999999</v>
      </c>
      <c r="H4" s="15">
        <f>IF(N(FX!E30)=0,"",Data!D21/FX!E30)</f>
        <v>20656.52</v>
      </c>
      <c r="I4" s="15">
        <f>IF(N(FX!F30)=0,"",Data!D22/FX!F30)</f>
        <v>21539.98</v>
      </c>
      <c r="J4" s="15">
        <f>IF(N(FX!G30)=0,"",Data!D23/FX!G30)</f>
        <v>21375.279999999999</v>
      </c>
      <c r="K4" s="15">
        <f>IF(N(FX!H30)=0,"",Data!D24/FX!H30)</f>
        <v>23745.85</v>
      </c>
      <c r="L4" s="15">
        <f>IF(N(FX!I30)=0,"",Data!D25/FX!I30)</f>
        <v>26059.71</v>
      </c>
      <c r="M4" s="15">
        <f>IF(N(FX!J30)=0,"",Data!D26/FX!J30)</f>
        <v>27825.89</v>
      </c>
      <c r="N4" s="15">
        <f>IF(N(FX!K30)=0,"",Data!D27/FX!K30)</f>
        <v>29380.99</v>
      </c>
      <c r="O4" s="15">
        <f>IF(N(FX!L30)=0,"",Data!D28/FX!L30)</f>
        <v>30861.29</v>
      </c>
      <c r="P4" s="15">
        <f>IF(N(FX!M30)=0,"",Data!D29/FX!M30)</f>
        <v>32710.81</v>
      </c>
      <c r="Q4" s="15">
        <f>IF(N(FX!N30)=0,"",Data!D30/FX!N30)</f>
        <v>34488.980000000003</v>
      </c>
      <c r="R4" s="15">
        <f>IF(N(FX!O30)=0,"",Data!D31/FX!O30)</f>
        <v>36128.720000000001</v>
      </c>
      <c r="S4" s="15">
        <f>IF(N(FX!P30)=0,"",Data!D32/FX!P30)</f>
        <v>37639.61</v>
      </c>
      <c r="T4" s="15">
        <f>IF(N(FX!Q30)=0,"",Data!D33/FX!Q30)</f>
        <v>39193.65</v>
      </c>
    </row>
    <row r="5" spans="1:20" x14ac:dyDescent="0.35">
      <c r="A5" t="s">
        <v>50</v>
      </c>
      <c r="B5" t="s">
        <v>47</v>
      </c>
      <c r="C5">
        <v>1</v>
      </c>
      <c r="E5" s="15">
        <f>IF(N(FX!B5)=0,"",Data!D34/FX!B5)</f>
        <v>1555.03125</v>
      </c>
      <c r="F5" s="15">
        <f>IF(N(FX!C5)=0,"",Data!D35/FX!C5)</f>
        <v>1522.9624060150375</v>
      </c>
      <c r="G5" s="15">
        <f>IF(N(FX!D5)=0,"",Data!D36/FX!D5)</f>
        <v>1646.6461538461538</v>
      </c>
      <c r="H5" s="15">
        <f>IF(N(FX!E5)=0,"",Data!D37/FX!E5)</f>
        <v>1719.7538461538459</v>
      </c>
      <c r="I5" s="15">
        <f>IF(N(FX!F5)=0,"",Data!D38/FX!F5)</f>
        <v>1743.5827869470193</v>
      </c>
      <c r="J5" s="15">
        <f>IF(N(FX!G5)=0,"",Data!D39/FX!G5)</f>
        <v>1655.5058525311267</v>
      </c>
      <c r="K5" s="15">
        <f>IF(N(FX!H5)=0,"",Data!D40/FX!H5)</f>
        <v>2023.1530237753311</v>
      </c>
      <c r="L5" s="15">
        <f>IF(N(FX!I5)=0,"",Data!D41/FX!I5)</f>
        <v>2201.3373299515792</v>
      </c>
      <c r="M5" s="15">
        <f>IF(N(FX!J5)=0,"",Data!D42/FX!J5)</f>
        <v>2197.4210760337928</v>
      </c>
      <c r="N5" s="15">
        <f>IF(N(FX!K5)=0,"",Data!D43/FX!K5)</f>
        <v>2269.345889910936</v>
      </c>
      <c r="O5" s="15">
        <f>IF(N(FX!L5)=0,"",Data!D44/FX!L5)</f>
        <v>2322.1896243291594</v>
      </c>
      <c r="P5" s="15">
        <f>IF(N(FX!M5)=0,"",Data!D45/FX!M5)</f>
        <v>2466.4532374100722</v>
      </c>
      <c r="Q5" s="15">
        <f>IF(N(FX!N5)=0,"",Data!D46/FX!N5)</f>
        <v>2684.1764705882351</v>
      </c>
      <c r="R5" s="15">
        <f>IF(N(FX!O5)=0,"",Data!D47/FX!O5)</f>
        <v>2874.3157894736842</v>
      </c>
      <c r="S5" s="15">
        <f>IF(N(FX!P5)=0,"",Data!D48/FX!P5)</f>
        <v>3071.1627906976746</v>
      </c>
      <c r="T5" s="15">
        <f>IF(N(FX!Q5)=0,"",Data!D49/FX!Q5)</f>
        <v>3272.761904761905</v>
      </c>
    </row>
    <row r="6" spans="1:20" x14ac:dyDescent="0.35">
      <c r="A6" t="s">
        <v>53</v>
      </c>
      <c r="B6" t="s">
        <v>54</v>
      </c>
      <c r="C6">
        <v>1</v>
      </c>
      <c r="E6" s="15">
        <f>IF(N(FX!B3)=0,"",Data!D50/FX!B3)</f>
        <v>645.12567713976159</v>
      </c>
      <c r="F6" s="15">
        <f>IF(N(FX!C3)=0,"",Data!D51/FX!C3)</f>
        <v>557.46341463414637</v>
      </c>
      <c r="G6" s="15">
        <f>IF(N(FX!D3)=0,"",Data!D52/FX!D3)</f>
        <v>643.73369565217399</v>
      </c>
      <c r="H6" s="15">
        <f>IF(N(FX!E3)=0,"",Data!D53/FX!E3)</f>
        <v>524.91313634745461</v>
      </c>
      <c r="I6" s="15">
        <f>IF(N(FX!F3)=0,"",Data!D54/FX!F3)</f>
        <v>446.8070466321243</v>
      </c>
      <c r="J6" s="15">
        <f>IF(N(FX!G3)=0,"",Data!D55/FX!G3)</f>
        <v>385.18983578708946</v>
      </c>
      <c r="K6" s="15">
        <f>IF(N(FX!H3)=0,"",Data!D56/FX!H3)</f>
        <v>486.0561573246398</v>
      </c>
      <c r="L6" s="15">
        <f>IF(N(FX!I3)=0,"",Data!D57/FX!I3)</f>
        <v>633.54028000918061</v>
      </c>
      <c r="M6" s="15">
        <f>IF(N(FX!J3)=0,"",Data!D58/FX!J3)</f>
        <v>654.07453122892218</v>
      </c>
      <c r="N6" s="15">
        <f>IF(N(FX!K3)=0,"",Data!D59/FX!K3)</f>
        <v>637.74337567661951</v>
      </c>
      <c r="O6" s="15">
        <f>IF(N(FX!L3)=0,"",Data!D60/FX!L3)</f>
        <v>683.58790471060229</v>
      </c>
      <c r="P6" s="15">
        <f>IF(N(FX!M3)=0,"",Data!D61/FX!M3)</f>
        <v>771.09027806077404</v>
      </c>
      <c r="Q6" s="15">
        <f>IF(N(FX!N3)=0,"",Data!D62/FX!N3)</f>
        <v>790.96942837429003</v>
      </c>
      <c r="R6" s="15">
        <f>IF(N(FX!O3)=0,"",Data!D63/FX!O3)</f>
        <v>797.74268165538547</v>
      </c>
      <c r="S6" s="15">
        <f>IF(N(FX!P3)=0,"",Data!D64/FX!P3)</f>
        <v>836.11931424976399</v>
      </c>
      <c r="T6" s="15">
        <f>IF(N(FX!Q3)=0,"",Data!D65/FX!Q3)</f>
        <v>870.73620418065889</v>
      </c>
    </row>
    <row r="7" spans="1:20" x14ac:dyDescent="0.35">
      <c r="A7" t="s">
        <v>57</v>
      </c>
      <c r="B7" t="s">
        <v>54</v>
      </c>
      <c r="C7">
        <v>1</v>
      </c>
      <c r="E7" s="15">
        <f>IF(N(FX!B4)=0,"",Data!D66/FX!B4)</f>
        <v>1800.5375375375374</v>
      </c>
      <c r="F7" s="15">
        <f>IF(N(FX!C4)=0,"",Data!D67/FX!C4)</f>
        <v>1796.3696275071632</v>
      </c>
      <c r="G7" s="15">
        <f>IF(N(FX!D4)=0,"",Data!D68/FX!D4)</f>
        <v>2064.4137931034484</v>
      </c>
      <c r="H7" s="15">
        <f>IF(N(FX!E4)=0,"",Data!D69/FX!E4)</f>
        <v>1918.9424657534248</v>
      </c>
      <c r="I7" s="15">
        <f>IF(N(FX!F4)=0,"",Data!D70/FX!F4)</f>
        <v>1875.4137055837564</v>
      </c>
      <c r="J7" s="15">
        <f>IF(N(FX!G4)=0,"",Data!D71/FX!G4)</f>
        <v>1477.5922330097087</v>
      </c>
      <c r="K7" s="15">
        <f>IF(N(FX!H4)=0,"",Data!D72/FX!H4)</f>
        <v>1672.0111317254175</v>
      </c>
      <c r="L7" s="15">
        <f>IF(N(FX!I4)=0,"",Data!D73/FX!I4)</f>
        <v>1953.4263565891472</v>
      </c>
      <c r="M7" s="15">
        <f>IF(N(FX!J4)=0,"",Data!D74/FX!J4)</f>
        <v>2188.6680000000001</v>
      </c>
      <c r="N7" s="15">
        <f>IF(N(FX!K4)=0,"",Data!D75/FX!K4)</f>
        <v>2185.3896103896104</v>
      </c>
      <c r="O7" s="15">
        <f>IF(N(FX!L4)=0,"",Data!D76/FX!L4)</f>
        <v>2278.8139534883721</v>
      </c>
      <c r="P7" s="15">
        <f>IF(N(FX!M4)=0,"",Data!D77/FX!M4)</f>
        <v>2657.0077821011678</v>
      </c>
      <c r="Q7" s="15">
        <f>IF(N(FX!N4)=0,"",Data!D78/FX!N4)</f>
        <v>2784.9382239382239</v>
      </c>
      <c r="R7" s="15">
        <f>IF(N(FX!O4)=0,"",Data!D79/FX!O4)</f>
        <v>2864.9905660377362</v>
      </c>
      <c r="S7" s="15">
        <f>IF(N(FX!P4)=0,"",Data!D80/FX!P4)</f>
        <v>2978.7730627306273</v>
      </c>
      <c r="T7" s="15">
        <f>IF(N(FX!Q4)=0,"",Data!D81/FX!Q4)</f>
        <v>3121.6660649819491</v>
      </c>
    </row>
    <row r="8" spans="1:20" x14ac:dyDescent="0.35">
      <c r="A8" t="s">
        <v>60</v>
      </c>
      <c r="B8" t="s">
        <v>54</v>
      </c>
      <c r="C8">
        <v>1</v>
      </c>
      <c r="E8" s="15">
        <f>IF(N(FX!B7)=0,"",Data!D82*1000/FX!B7)</f>
        <v>244.03076923076924</v>
      </c>
      <c r="F8" s="15">
        <f>IF(N(FX!C7)=0,"",Data!D83*1000/FX!C7)</f>
        <v>248.1764705882353</v>
      </c>
      <c r="G8" s="15">
        <f>IF(N(FX!D7)=0,"",Data!D84*1000/FX!D7)</f>
        <v>275.86153846153849</v>
      </c>
      <c r="H8" s="15">
        <f>IF(N(FX!E7)=0,"",Data!D85*1000/FX!E7)</f>
        <v>295.984375</v>
      </c>
      <c r="I8" s="15">
        <f>IF(N(FX!F7)=0,"",Data!D86*1000/FX!F7)</f>
        <v>279.35714285714283</v>
      </c>
      <c r="J8" s="15">
        <f>IF(N(FX!G7)=0,"",Data!D87*1000/FX!G7)</f>
        <v>254.82278481012659</v>
      </c>
      <c r="K8" s="15">
        <f>IF(N(FX!H7)=0,"",Data!D88*1000/FX!H7)</f>
        <v>315.21052631578948</v>
      </c>
      <c r="L8" s="15">
        <f>IF(N(FX!I7)=0,"",Data!D89*1000/FX!I7)</f>
        <v>302.24137931034483</v>
      </c>
      <c r="M8" s="15">
        <f>IF(N(FX!J7)=0,"",Data!D90*1000/FX!J7)</f>
        <v>335.83333333333331</v>
      </c>
      <c r="N8" s="15">
        <f>IF(N(FX!K7)=0,"",Data!D91*1000/FX!K7)</f>
        <v>330.51063829787233</v>
      </c>
      <c r="O8" s="15">
        <f>IF(N(FX!L7)=0,"",Data!D92*1000/FX!L7)</f>
        <v>357.87368421052633</v>
      </c>
      <c r="P8" s="15">
        <f>IF(N(FX!M7)=0,"",Data!D93*1000/FX!M7)</f>
        <v>397.90621592148312</v>
      </c>
      <c r="Q8" s="15">
        <f>IF(N(FX!N7)=0,"",Data!D94*1000/FX!N7)</f>
        <v>421.43163769049153</v>
      </c>
      <c r="R8" s="15">
        <f>IF(N(FX!O7)=0,"",Data!D95*1000/FX!O7)</f>
        <v>461.3252009980593</v>
      </c>
      <c r="S8" s="15">
        <f>IF(N(FX!P7)=0,"",Data!D96*1000/FX!P7)</f>
        <v>495.25227460711329</v>
      </c>
      <c r="T8" s="15">
        <f>IF(N(FX!Q7)=0,"",Data!D97*1000/FX!Q7)</f>
        <v>530.49020465278988</v>
      </c>
    </row>
    <row r="9" spans="1:20" x14ac:dyDescent="0.35">
      <c r="A9" t="s">
        <v>63</v>
      </c>
      <c r="B9" t="s">
        <v>54</v>
      </c>
      <c r="C9">
        <v>1</v>
      </c>
      <c r="E9" s="15">
        <f>IF(N(FX!B9)=0,"",Data!D98*1000/FX!B9)</f>
        <v>293.68248175182481</v>
      </c>
      <c r="F9" s="15">
        <f>IF(N(FX!C9)=0,"",Data!D99*1000/FX!C9)</f>
        <v>283.20655737704919</v>
      </c>
      <c r="G9" s="15">
        <f>IF(N(FX!D9)=0,"",Data!D100*1000/FX!D9)</f>
        <v>312.02372881355933</v>
      </c>
      <c r="H9" s="15">
        <f>IF(N(FX!E9)=0,"",Data!D101*1000/FX!E9)</f>
        <v>333.71283783783781</v>
      </c>
      <c r="I9" s="15">
        <f>IF(N(FX!F9)=0,"",Data!D102*1000/FX!F9)</f>
        <v>323.1920731707317</v>
      </c>
      <c r="J9" s="15">
        <f>IF(N(FX!G9)=0,"",Data!D103*1000/FX!G9)</f>
        <v>270.58807588075882</v>
      </c>
      <c r="K9" s="15">
        <f>IF(N(FX!H9)=0,"",Data!D104*1000/FX!H9)</f>
        <v>318.88502673796791</v>
      </c>
      <c r="L9" s="15">
        <f>IF(N(FX!I9)=0,"",Data!D105*1000/FX!I9)</f>
        <v>346.13647058823528</v>
      </c>
      <c r="M9" s="15">
        <f>IF(N(FX!J9)=0,"",Data!D106*1000/FX!J9)</f>
        <v>366.55889145496536</v>
      </c>
      <c r="N9" s="15">
        <f>IF(N(FX!K9)=0,"",Data!D107*1000/FX!K9)</f>
        <v>420.96314496314494</v>
      </c>
      <c r="O9" s="15">
        <f>IF(N(FX!L9)=0,"",Data!D108*1000/FX!L9)</f>
        <v>457.4493827160494</v>
      </c>
      <c r="P9" s="15">
        <f>IF(N(FX!M9)=0,"",Data!D109*1000/FX!M9)</f>
        <v>580.01911469679101</v>
      </c>
      <c r="Q9" s="15">
        <f>IF(N(FX!N9)=0,"",Data!D110*1000/FX!N9)</f>
        <v>636.09501805389471</v>
      </c>
      <c r="R9" s="15">
        <f>IF(N(FX!O9)=0,"",Data!D111*1000/FX!O9)</f>
        <v>642.01943085584901</v>
      </c>
      <c r="S9" s="15">
        <f>IF(N(FX!P9)=0,"",Data!D112*1000/FX!P9)</f>
        <v>675.1066550030281</v>
      </c>
      <c r="T9" s="15">
        <f>IF(N(FX!Q9)=0,"",Data!D113*1000/FX!Q9)</f>
        <v>722.80298400579363</v>
      </c>
    </row>
    <row r="10" spans="1:20" x14ac:dyDescent="0.35">
      <c r="A10" t="s">
        <v>66</v>
      </c>
      <c r="B10" t="s">
        <v>54</v>
      </c>
      <c r="C10">
        <v>1</v>
      </c>
      <c r="E10" s="15">
        <f>IF(N(FX!B10)=0,"",Data!D114/FX!B10)</f>
        <v>56.441476326767301</v>
      </c>
      <c r="F10" s="15">
        <f>IF(N(FX!C10)=0,"",Data!D115/FX!C10)</f>
        <v>58.846954510408636</v>
      </c>
      <c r="G10" s="15">
        <f>IF(N(FX!D10)=0,"",Data!D116/FX!D10)</f>
        <v>60.516378566016463</v>
      </c>
      <c r="H10" s="15">
        <f>IF(N(FX!E10)=0,"",Data!D117/FX!E10)</f>
        <v>62.568036466367396</v>
      </c>
      <c r="I10" s="15">
        <f>IF(N(FX!F10)=0,"",Data!D118/FX!F10)</f>
        <v>65.117686340987305</v>
      </c>
      <c r="J10" s="15">
        <f>IF(N(FX!G10)=0,"",Data!D119/FX!G10)</f>
        <v>63.155448965908505</v>
      </c>
      <c r="K10" s="15">
        <f>IF(N(FX!H10)=0,"",Data!D120/FX!H10)</f>
        <v>65.931423667335977</v>
      </c>
      <c r="L10" s="15">
        <f>IF(N(FX!I10)=0,"",Data!D121/FX!I10)</f>
        <v>71.385753126699299</v>
      </c>
      <c r="M10" s="15">
        <f>IF(N(FX!J10)=0,"",Data!D122/FX!J10)</f>
        <v>88.054965785093387</v>
      </c>
      <c r="N10" s="15">
        <f>IF(N(FX!K10)=0,"",Data!D123/FX!K10)</f>
        <v>97.308768091880381</v>
      </c>
      <c r="O10" s="15">
        <f>IF(N(FX!L10)=0,"",Data!D124/FX!L10)</f>
        <v>103.50453473970195</v>
      </c>
      <c r="P10" s="15">
        <f>IF(N(FX!M10)=0,"",Data!D125/FX!M10)</f>
        <v>115.54228617454341</v>
      </c>
      <c r="Q10" s="15">
        <f>IF(N(FX!N10)=0,"",Data!D126/FX!N10)</f>
        <v>119.7813057591848</v>
      </c>
      <c r="R10" s="15">
        <f>IF(N(FX!O10)=0,"",Data!D127/FX!O10)</f>
        <v>122.87433951186782</v>
      </c>
      <c r="S10" s="15">
        <f>IF(N(FX!P10)=0,"",Data!D128/FX!P10)</f>
        <v>126.62524914212916</v>
      </c>
      <c r="T10" s="15">
        <f>IF(N(FX!Q10)=0,"",Data!D129/FX!Q10)</f>
        <v>129.6420301157838</v>
      </c>
    </row>
    <row r="11" spans="1:20" x14ac:dyDescent="0.35">
      <c r="A11" t="s">
        <v>70</v>
      </c>
      <c r="B11" t="s">
        <v>54</v>
      </c>
      <c r="C11">
        <v>1</v>
      </c>
      <c r="E11" s="15">
        <f>IF(N(FX!B30)=0,"",Data!D130/FX!B30)</f>
        <v>97.21</v>
      </c>
      <c r="F11" s="15">
        <f>IF(N(FX!C30)=0,"",Data!D131/FX!C30)</f>
        <v>97.67</v>
      </c>
      <c r="G11" s="15">
        <f>IF(N(FX!D30)=0,"",Data!D132/FX!D30)</f>
        <v>104.47</v>
      </c>
      <c r="H11" s="15">
        <f>IF(N(FX!E30)=0,"",Data!D133/FX!E30)</f>
        <v>107.48</v>
      </c>
      <c r="I11" s="15">
        <f>IF(N(FX!F30)=0,"",Data!D134/FX!F30)</f>
        <v>107.6</v>
      </c>
      <c r="J11" s="15">
        <f>IF(N(FX!G30)=0,"",Data!D135/FX!G30)</f>
        <v>95.87</v>
      </c>
      <c r="K11" s="15">
        <f>IF(N(FX!H30)=0,"",Data!D136/FX!H30)</f>
        <v>107.18</v>
      </c>
      <c r="L11" s="15">
        <f>IF(N(FX!I30)=0,"",Data!D137/FX!I30)</f>
        <v>116.13</v>
      </c>
      <c r="M11" s="15">
        <f>IF(N(FX!J30)=0,"",Data!D138/FX!J30)</f>
        <v>120.79</v>
      </c>
      <c r="N11" s="15">
        <f>IF(N(FX!K30)=0,"",Data!D139/FX!K30)</f>
        <v>123.8</v>
      </c>
      <c r="O11" s="15">
        <f>IF(N(FX!L30)=0,"",Data!D140/FX!L30)</f>
        <v>130.32</v>
      </c>
      <c r="P11" s="15">
        <f>IF(N(FX!M30)=0,"",Data!D141/FX!M30)</f>
        <v>137.63999999999999</v>
      </c>
      <c r="Q11" s="15">
        <f>IF(N(FX!N30)=0,"",Data!D142/FX!N30)</f>
        <v>144.97999999999999</v>
      </c>
      <c r="R11" s="15">
        <f>IF(N(FX!O30)=0,"",Data!D143/FX!O30)</f>
        <v>151.63</v>
      </c>
      <c r="S11" s="15">
        <f>IF(N(FX!P30)=0,"",Data!D144/FX!P30)</f>
        <v>158.07</v>
      </c>
      <c r="T11" s="15">
        <f>IF(N(FX!Q30)=0,"",Data!D145/FX!Q30)</f>
        <v>164.8</v>
      </c>
    </row>
    <row r="12" spans="1:20" x14ac:dyDescent="0.35">
      <c r="A12" t="s">
        <v>71</v>
      </c>
      <c r="B12" t="s">
        <v>54</v>
      </c>
      <c r="C12">
        <v>1</v>
      </c>
      <c r="E12" s="15">
        <f>IF(N(FX!B30)=0,"",Data!D146/FX!B30)</f>
        <v>23.44</v>
      </c>
      <c r="F12" s="15">
        <f>IF(N(FX!C30)=0,"",Data!D147/FX!C30)</f>
        <v>24.19</v>
      </c>
      <c r="G12" s="15">
        <f>IF(N(FX!D30)=0,"",Data!D148/FX!D30)</f>
        <v>24.98</v>
      </c>
      <c r="H12" s="15">
        <f>IF(N(FX!E30)=0,"",Data!D149/FX!E30)</f>
        <v>26.02</v>
      </c>
      <c r="I12" s="15">
        <f>IF(N(FX!F30)=0,"",Data!D150/FX!F30)</f>
        <v>26.88</v>
      </c>
      <c r="J12" s="15">
        <f>IF(N(FX!G30)=0,"",Data!D151/FX!G30)</f>
        <v>24.92</v>
      </c>
      <c r="K12" s="15">
        <f>IF(N(FX!H30)=0,"",Data!D152/FX!H30)</f>
        <v>29.04</v>
      </c>
      <c r="L12" s="15">
        <f>IF(N(FX!I30)=0,"",Data!D153/FX!I30)</f>
        <v>31.87</v>
      </c>
      <c r="M12" s="15">
        <f>IF(N(FX!J30)=0,"",Data!D154/FX!J30)</f>
        <v>33.57</v>
      </c>
      <c r="N12" s="15">
        <f>IF(N(FX!K30)=0,"",Data!D155/FX!K30)</f>
        <v>34.880000000000003</v>
      </c>
      <c r="O12" s="15">
        <f>IF(N(FX!L30)=0,"",Data!D156/FX!L30)</f>
        <v>36.71</v>
      </c>
      <c r="P12" s="15">
        <f>IF(N(FX!M30)=0,"",Data!D157/FX!M30)</f>
        <v>38.369999999999997</v>
      </c>
      <c r="Q12" s="15">
        <f>IF(N(FX!N30)=0,"",Data!D158/FX!N30)</f>
        <v>40.03</v>
      </c>
      <c r="R12" s="15">
        <f>IF(N(FX!O30)=0,"",Data!D159/FX!O30)</f>
        <v>41.6</v>
      </c>
      <c r="S12" s="15">
        <f>IF(N(FX!P30)=0,"",Data!D160/FX!P30)</f>
        <v>43.2</v>
      </c>
      <c r="T12" s="15">
        <f>IF(N(FX!Q30)=0,"",Data!D161/FX!Q30)</f>
        <v>44.87</v>
      </c>
    </row>
    <row r="13" spans="1:20" x14ac:dyDescent="0.35">
      <c r="A13" t="s">
        <v>73</v>
      </c>
      <c r="B13" t="s">
        <v>54</v>
      </c>
      <c r="C13">
        <v>1</v>
      </c>
      <c r="E13" s="15">
        <f>IF(N(FX!B13)=0,"",Data!D162/FX!B13)</f>
        <v>62.224836601307182</v>
      </c>
      <c r="F13" s="15">
        <f>IF(N(FX!C13)=0,"",Data!D163/FX!C13)</f>
        <v>66.05263157894737</v>
      </c>
      <c r="G13" s="15">
        <f>IF(N(FX!D13)=0,"",Data!D164/FX!D13)</f>
        <v>71.634013605442178</v>
      </c>
      <c r="H13" s="15">
        <f>IF(N(FX!E13)=0,"",Data!D165/FX!E13)</f>
        <v>73.320478723404264</v>
      </c>
      <c r="I13" s="15">
        <f>IF(N(FX!F13)=0,"",Data!D166/FX!F13)</f>
        <v>77.138961038961043</v>
      </c>
      <c r="J13" s="15">
        <f>IF(N(FX!G13)=0,"",Data!D167/FX!G13)</f>
        <v>77.735751295336797</v>
      </c>
      <c r="K13" s="15">
        <f>IF(N(FX!H13)=0,"",Data!D168/FX!H13)</f>
        <v>86.392764857881133</v>
      </c>
      <c r="L13" s="15">
        <f>IF(N(FX!I13)=0,"",Data!D169/FX!I13)</f>
        <v>95.588387096774184</v>
      </c>
      <c r="M13" s="15">
        <f>IF(N(FX!J13)=0,"",Data!D170/FX!J13)</f>
        <v>104.32439335887612</v>
      </c>
      <c r="N13" s="15">
        <f>IF(N(FX!K13)=0,"",Data!D171/FX!K13)</f>
        <v>113.19458762886597</v>
      </c>
      <c r="O13" s="15">
        <f>IF(N(FX!L13)=0,"",Data!D172/FX!L13)</f>
        <v>123.30859375</v>
      </c>
      <c r="P13" s="15">
        <f>IF(N(FX!M13)=0,"",Data!D173/FX!M13)</f>
        <v>133.0130890052356</v>
      </c>
      <c r="Q13" s="15">
        <f>IF(N(FX!N13)=0,"",Data!D174/FX!N13)</f>
        <v>145.69779507133592</v>
      </c>
      <c r="R13" s="15">
        <f>IF(N(FX!O13)=0,"",Data!D175/FX!O13)</f>
        <v>158.97164948453607</v>
      </c>
      <c r="S13" s="15">
        <f>IF(N(FX!P13)=0,"",Data!D176/FX!P13)</f>
        <v>173.34993614303957</v>
      </c>
      <c r="T13" s="15">
        <f>IF(N(FX!Q13)=0,"",Data!D177/FX!Q13)</f>
        <v>188.95822784810125</v>
      </c>
    </row>
    <row r="14" spans="1:20" x14ac:dyDescent="0.35">
      <c r="A14" t="s">
        <v>75</v>
      </c>
      <c r="B14" t="s">
        <v>54</v>
      </c>
      <c r="C14">
        <v>1</v>
      </c>
      <c r="E14" s="15">
        <f>IF(N(FX!B14)=0,"",Data!D178/FX!B14)</f>
        <v>20.975398633257406</v>
      </c>
      <c r="F14" s="15">
        <f>IF(N(FX!C14)=0,"",Data!D179/FX!C14)</f>
        <v>21.71278458844133</v>
      </c>
      <c r="G14" s="15">
        <f>IF(N(FX!D14)=0,"",Data!D180/FX!D14)</f>
        <v>23.133248190719456</v>
      </c>
      <c r="H14" s="15">
        <f>IF(N(FX!E14)=0,"",Data!D181/FX!E14)</f>
        <v>24.070292887029289</v>
      </c>
      <c r="I14" s="15">
        <f>IF(N(FX!F14)=0,"",Data!D182/FX!F14)</f>
        <v>24.799918666124444</v>
      </c>
      <c r="J14" s="15">
        <f>IF(N(FX!G14)=0,"",Data!D183/FX!G14)</f>
        <v>23.268747466558569</v>
      </c>
      <c r="K14" s="15">
        <f>IF(N(FX!H14)=0,"",Data!D184/FX!H14)</f>
        <v>28.046887966804974</v>
      </c>
      <c r="L14" s="15">
        <f>IF(N(FX!I14)=0,"",Data!D185/FX!I14)</f>
        <v>31.331026058631924</v>
      </c>
      <c r="M14" s="15">
        <f>IF(N(FX!J14)=0,"",Data!D186/FX!J14)</f>
        <v>34.274533657745337</v>
      </c>
      <c r="N14" s="15">
        <f>IF(N(FX!K14)=0,"",Data!D187/FX!K14)</f>
        <v>36.889782783588096</v>
      </c>
      <c r="O14" s="15">
        <f>IF(N(FX!L14)=0,"",Data!D188/FX!L14)</f>
        <v>39.498847040737893</v>
      </c>
      <c r="P14" s="15">
        <f>IF(N(FX!M14)=0,"",Data!D189/FX!M14)</f>
        <v>41.895110115714814</v>
      </c>
      <c r="Q14" s="15">
        <f>IF(N(FX!N14)=0,"",Data!D190/FX!N14)</f>
        <v>44.193008011653312</v>
      </c>
      <c r="R14" s="15">
        <f>IF(N(FX!O14)=0,"",Data!D191/FX!O14)</f>
        <v>46.310344827586206</v>
      </c>
      <c r="S14" s="15">
        <f>IF(N(FX!P14)=0,"",Data!D192/FX!P14)</f>
        <v>48.346754599097537</v>
      </c>
      <c r="T14" s="15">
        <f>IF(N(FX!Q14)=0,"",Data!D193/FX!Q14)</f>
        <v>50.394442561843441</v>
      </c>
    </row>
    <row r="15" spans="1:20" x14ac:dyDescent="0.35">
      <c r="A15" t="s">
        <v>79</v>
      </c>
      <c r="B15" t="s">
        <v>54</v>
      </c>
      <c r="C15">
        <v>1</v>
      </c>
      <c r="E15" s="15">
        <f>IF(N(FX!B21)=0,"",Data!D194/FX!B21)</f>
        <v>12.755319148936168</v>
      </c>
      <c r="F15" s="15">
        <f>IF(N(FX!C21)=0,"",Data!D195/FX!C21)</f>
        <v>13.286512928022361</v>
      </c>
      <c r="G15" s="15">
        <f>IF(N(FX!D21)=0,"",Data!D196/FX!D21)</f>
        <v>13.786356073211314</v>
      </c>
      <c r="H15" s="15">
        <f>IF(N(FX!E21)=0,"",Data!D197/FX!E21)</f>
        <v>13.026624405705229</v>
      </c>
      <c r="I15" s="15">
        <f>IF(N(FX!F21)=0,"",Data!D198/FX!F21)</f>
        <v>12.699577294685993</v>
      </c>
      <c r="J15" s="15">
        <f>IF(N(FX!G21)=0,"",Data!D199/FX!G21)</f>
        <v>12.727140361094932</v>
      </c>
      <c r="K15" s="15">
        <f>IF(N(FX!H21)=0,"",Data!D200/FX!H21)</f>
        <v>14.209553596815468</v>
      </c>
      <c r="L15" s="15">
        <f>IF(N(FX!I21)=0,"",Data!D201/FX!I21)</f>
        <v>15.636465012545303</v>
      </c>
      <c r="M15" s="15">
        <f>IF(N(FX!J21)=0,"",Data!D202/FX!J21)</f>
        <v>17.806531284302967</v>
      </c>
      <c r="N15" s="15">
        <f>IF(N(FX!K21)=0,"",Data!D203/FX!K21)</f>
        <v>19.698525395958494</v>
      </c>
      <c r="O15" s="15">
        <f>IF(N(FX!L21)=0,"",Data!D204/FX!L21)</f>
        <v>22.239759694156199</v>
      </c>
      <c r="P15" s="15">
        <f>IF(N(FX!M21)=0,"",Data!D205/FX!M21)</f>
        <v>23.811032222829059</v>
      </c>
      <c r="Q15" s="15">
        <f>IF(N(FX!N21)=0,"",Data!D206/FX!N21)</f>
        <v>25.347150259067355</v>
      </c>
      <c r="R15" s="15">
        <f>IF(N(FX!O21)=0,"",Data!D207/FX!O21)</f>
        <v>25.927848429794963</v>
      </c>
      <c r="S15" s="15">
        <f>IF(N(FX!P21)=0,"",Data!D208/FX!P21)</f>
        <v>26.508588498879757</v>
      </c>
      <c r="T15" s="15">
        <f>IF(N(FX!Q21)=0,"",Data!D209/FX!Q21)</f>
        <v>27.029123895917881</v>
      </c>
    </row>
    <row r="16" spans="1:20" x14ac:dyDescent="0.35">
      <c r="A16" t="s">
        <v>81</v>
      </c>
      <c r="B16" t="s">
        <v>54</v>
      </c>
      <c r="C16">
        <v>1</v>
      </c>
      <c r="E16" s="15">
        <f>IF(N(FX!B30)=0,"",Data!D210/FX!B30)</f>
        <v>54.09</v>
      </c>
      <c r="F16" s="15">
        <f>IF(N(FX!C30)=0,"",Data!D211/FX!C30)</f>
        <v>57.91</v>
      </c>
      <c r="G16" s="15">
        <f>IF(N(FX!D30)=0,"",Data!D212/FX!D30)</f>
        <v>62.2</v>
      </c>
      <c r="H16" s="15">
        <f>IF(N(FX!E30)=0,"",Data!D213/FX!E30)</f>
        <v>67.319999999999993</v>
      </c>
      <c r="I16" s="15">
        <f>IF(N(FX!F30)=0,"",Data!D214/FX!F30)</f>
        <v>69.78</v>
      </c>
      <c r="J16" s="15">
        <f>IF(N(FX!G30)=0,"",Data!D215/FX!G30)</f>
        <v>57.06</v>
      </c>
      <c r="K16" s="15">
        <f>IF(N(FX!H30)=0,"",Data!D216/FX!H30)</f>
        <v>67.400000000000006</v>
      </c>
      <c r="L16" s="15">
        <f>IF(N(FX!I30)=0,"",Data!D217/FX!I30)</f>
        <v>76.48</v>
      </c>
      <c r="M16" s="15">
        <f>IF(N(FX!J30)=0,"",Data!D218/FX!J30)</f>
        <v>83.82</v>
      </c>
      <c r="N16" s="15">
        <f>IF(N(FX!K30)=0,"",Data!D219/FX!K30)</f>
        <v>86.56</v>
      </c>
      <c r="O16" s="15">
        <f>IF(N(FX!L30)=0,"",Data!D220/FX!L30)</f>
        <v>90.7</v>
      </c>
      <c r="P16" s="15">
        <f>IF(N(FX!M30)=0,"",Data!D221/FX!M30)</f>
        <v>96.61</v>
      </c>
      <c r="Q16" s="15">
        <f>IF(N(FX!N30)=0,"",Data!D222/FX!N30)</f>
        <v>101.83</v>
      </c>
      <c r="R16" s="15">
        <f>IF(N(FX!O30)=0,"",Data!D223/FX!O30)</f>
        <v>106.92</v>
      </c>
      <c r="S16" s="15">
        <f>IF(N(FX!P30)=0,"",Data!D224/FX!P30)</f>
        <v>112.29</v>
      </c>
      <c r="T16" s="15">
        <f>IF(N(FX!Q30)=0,"",Data!D225/FX!Q30)</f>
        <v>117.91</v>
      </c>
    </row>
    <row r="17" spans="1:20" x14ac:dyDescent="0.35">
      <c r="A17" t="s">
        <v>83</v>
      </c>
      <c r="B17" t="s">
        <v>54</v>
      </c>
      <c r="C17">
        <v>1</v>
      </c>
      <c r="E17" s="15">
        <f>IF(N(FX!B23)=0,"",Data!D226*1000/FX!B23)</f>
        <v>36.246153846153845</v>
      </c>
      <c r="F17" s="15">
        <f>IF(N(FX!C23)=0,"",Data!D227*1000/FX!C23)</f>
        <v>36.093474426807759</v>
      </c>
      <c r="G17" s="15">
        <f>IF(N(FX!D23)=0,"",Data!D228*1000/FX!D23)</f>
        <v>38.989323843416372</v>
      </c>
      <c r="H17" s="15">
        <f>IF(N(FX!E23)=0,"",Data!D229*1000/FX!E23)</f>
        <v>40.240837696335078</v>
      </c>
      <c r="I17" s="15">
        <f>IF(N(FX!F23)=0,"",Data!D230*1000/FX!F23)</f>
        <v>37.929487179487182</v>
      </c>
      <c r="J17" s="15">
        <f>IF(N(FX!G23)=0,"",Data!D231*1000/FX!G23)</f>
        <v>35.437223042836038</v>
      </c>
      <c r="K17" s="15">
        <f>IF(N(FX!H23)=0,"",Data!D232*1000/FX!H23)</f>
        <v>39.9615952732644</v>
      </c>
      <c r="L17" s="15">
        <f>IF(N(FX!I23)=0,"",Data!D233*1000/FX!I23)</f>
        <v>41.858166189111749</v>
      </c>
      <c r="M17" s="15">
        <f>IF(N(FX!J23)=0,"",Data!D234*1000/FX!J23)</f>
        <v>43.134430727023322</v>
      </c>
      <c r="N17" s="15">
        <f>IF(N(FX!K23)=0,"",Data!D235*1000/FX!K23)</f>
        <v>44.74074074074074</v>
      </c>
      <c r="O17" s="15">
        <f>IF(N(FX!L23)=0,"",Data!D236*1000/FX!L23)</f>
        <v>49.314323607427056</v>
      </c>
      <c r="P17" s="15">
        <f>IF(N(FX!M23)=0,"",Data!D237*1000/FX!M23)</f>
        <v>65.401500788215415</v>
      </c>
      <c r="Q17" s="15">
        <f>IF(N(FX!N23)=0,"",Data!D238*1000/FX!N23)</f>
        <v>70.913614476389469</v>
      </c>
      <c r="R17" s="15">
        <f>IF(N(FX!O23)=0,"",Data!D239*1000/FX!O23)</f>
        <v>73.191068241296932</v>
      </c>
      <c r="S17" s="15">
        <f>IF(N(FX!P23)=0,"",Data!D240*1000/FX!P23)</f>
        <v>75.431626271918731</v>
      </c>
      <c r="T17" s="15">
        <f>IF(N(FX!Q23)=0,"",Data!D241*1000/FX!Q23)</f>
        <v>77.780630514979109</v>
      </c>
    </row>
    <row r="18" spans="1:20" x14ac:dyDescent="0.35">
      <c r="A18" t="s">
        <v>85</v>
      </c>
      <c r="B18" t="s">
        <v>54</v>
      </c>
      <c r="C18">
        <v>1</v>
      </c>
      <c r="E18" s="15">
        <f>IF(N(FX!B22)=0,"",Data!D242/FX!B22)</f>
        <v>194.74528301886789</v>
      </c>
      <c r="F18" s="15">
        <f>IF(N(FX!C22)=0,"",Data!D243/FX!C22)</f>
        <v>198.68639053254438</v>
      </c>
      <c r="G18" s="15">
        <f>IF(N(FX!D22)=0,"",Data!D244/FX!D22)</f>
        <v>219.59202453987731</v>
      </c>
      <c r="H18" s="15">
        <f>IF(N(FX!E22)=0,"",Data!D245/FX!E22)</f>
        <v>229.62613981762919</v>
      </c>
      <c r="I18" s="15">
        <f>IF(N(FX!F22)=0,"",Data!D246/FX!F22)</f>
        <v>236.20059880239521</v>
      </c>
      <c r="J18" s="15">
        <f>IF(N(FX!G22)=0,"",Data!D247/FX!G22)</f>
        <v>209.70857142857145</v>
      </c>
      <c r="K18" s="15">
        <f>IF(N(FX!H22)=0,"",Data!D248/FX!H22)</f>
        <v>229.96134020618558</v>
      </c>
      <c r="L18" s="15">
        <f>IF(N(FX!I22)=0,"",Data!D249/FX!I22)</f>
        <v>248.66840731070496</v>
      </c>
      <c r="M18" s="15">
        <f>IF(N(FX!J22)=0,"",Data!D250/FX!J22)</f>
        <v>272.22727272727269</v>
      </c>
      <c r="N18" s="15">
        <f>IF(N(FX!K22)=0,"",Data!D251/FX!K22)</f>
        <v>295.79200000000003</v>
      </c>
      <c r="O18" s="15">
        <f>IF(N(FX!L22)=0,"",Data!D252/FX!L22)</f>
        <v>340.02801120448186</v>
      </c>
      <c r="P18" s="15">
        <f>IF(N(FX!M22)=0,"",Data!D253/FX!M22)</f>
        <v>393.91202346041052</v>
      </c>
      <c r="Q18" s="15">
        <f>IF(N(FX!N22)=0,"",Data!D254/FX!N22)</f>
        <v>416.0263157894737</v>
      </c>
      <c r="R18" s="15">
        <f>IF(N(FX!O22)=0,"",Data!D255/FX!O22)</f>
        <v>435.11337209302326</v>
      </c>
      <c r="S18" s="15">
        <f>IF(N(FX!P22)=0,"",Data!D256/FX!P22)</f>
        <v>455.68405797101445</v>
      </c>
      <c r="T18" s="15">
        <f>IF(N(FX!Q22)=0,"",Data!D257/FX!Q22)</f>
        <v>480.80579710144923</v>
      </c>
    </row>
    <row r="19" spans="1:20" x14ac:dyDescent="0.35">
      <c r="A19" t="s">
        <v>90</v>
      </c>
      <c r="B19" t="s">
        <v>54</v>
      </c>
      <c r="C19">
        <v>1</v>
      </c>
      <c r="E19" s="15">
        <f>IF(N(FX!B31)=0,"",Data!D258/FX!B31)</f>
        <v>59.278082693011342</v>
      </c>
      <c r="F19" s="15">
        <f>IF(N(FX!C31)=0,"",Data!D259/FX!C31)</f>
        <v>57.485742705570289</v>
      </c>
      <c r="G19" s="15">
        <f>IF(N(FX!D31)=0,"",Data!D260/FX!D31)</f>
        <v>64.9979079497908</v>
      </c>
      <c r="H19" s="15">
        <f>IF(N(FX!E31)=0,"",Data!D261/FX!E31)</f>
        <v>65.334526521314672</v>
      </c>
      <c r="I19" s="15">
        <f>IF(N(FX!F31)=0,"",Data!D262/FX!F31)</f>
        <v>62.23177304964539</v>
      </c>
      <c r="J19" s="15">
        <f>IF(N(FX!G31)=0,"",Data!D263/FX!G31)</f>
        <v>53.563437276838847</v>
      </c>
      <c r="K19" s="15">
        <f>IF(N(FX!H31)=0,"",Data!D264/FX!H31)</f>
        <v>60.731404958677686</v>
      </c>
      <c r="L19" s="15">
        <f>IF(N(FX!I31)=0,"",Data!D265/FX!I31)</f>
        <v>71.225352112676049</v>
      </c>
      <c r="M19" s="15">
        <f>IF(N(FX!J31)=0,"",Data!D266/FX!J31)</f>
        <v>79.19624002060263</v>
      </c>
      <c r="N19" s="15">
        <f>IF(N(FX!K31)=0,"",Data!D267/FX!K31)</f>
        <v>82.328525242476985</v>
      </c>
      <c r="O19" s="15">
        <f>IF(N(FX!L31)=0,"",Data!D268/FX!L31)</f>
        <v>85.556583110245796</v>
      </c>
      <c r="P19" s="15">
        <f>IF(N(FX!M31)=0,"",Data!D269/FX!M31)</f>
        <v>91.998004489897724</v>
      </c>
      <c r="Q19" s="15">
        <f>IF(N(FX!N31)=0,"",Data!D270/FX!N31)</f>
        <v>92.017358667604967</v>
      </c>
      <c r="R19" s="15">
        <f>IF(N(FX!O31)=0,"",Data!D271/FX!O31)</f>
        <v>95.082429990966574</v>
      </c>
      <c r="S19" s="15">
        <f>IF(N(FX!P31)=0,"",Data!D272/FX!P31)</f>
        <v>98.726975120034922</v>
      </c>
      <c r="T19" s="15">
        <f>IF(N(FX!Q31)=0,"",Data!D273/FX!Q31)</f>
        <v>102.65595263269191</v>
      </c>
    </row>
    <row r="20" spans="1:20" x14ac:dyDescent="0.35">
      <c r="A20" t="s">
        <v>91</v>
      </c>
      <c r="B20" t="s">
        <v>54</v>
      </c>
      <c r="C20">
        <v>0</v>
      </c>
      <c r="D20" t="s">
        <v>275</v>
      </c>
      <c r="E20" s="15" t="str">
        <f>IF(N(FX!B32)=0,"",Data!D274/FX!B32)</f>
        <v/>
      </c>
      <c r="F20" s="15" t="str">
        <f>IF(N(FX!C32)=0,"",Data!D275/FX!C32)</f>
        <v/>
      </c>
      <c r="G20" s="15" t="str">
        <f>IF(N(FX!D32)=0,"",Data!D276/FX!D32)</f>
        <v/>
      </c>
      <c r="H20" s="15" t="str">
        <f>IF(N(FX!E32)=0,"",Data!D277/FX!E32)</f>
        <v/>
      </c>
      <c r="I20" s="15" t="str">
        <f>IF(N(FX!F32)=0,"",Data!D278/FX!F32)</f>
        <v/>
      </c>
      <c r="J20" s="15" t="str">
        <f>IF(N(FX!G32)=0,"",Data!D279/FX!G32)</f>
        <v/>
      </c>
      <c r="K20" s="15" t="str">
        <f>IF(N(FX!H32)=0,"",Data!D280/FX!H32)</f>
        <v/>
      </c>
      <c r="L20" s="15" t="str">
        <f>IF(N(FX!I32)=0,"",Data!D281/FX!I32)</f>
        <v/>
      </c>
      <c r="M20" s="15" t="str">
        <f>IF(N(FX!J32)=0,"",Data!D282/FX!J32)</f>
        <v/>
      </c>
      <c r="N20" s="15" t="str">
        <f>IF(N(FX!K32)=0,"",Data!D283/FX!K32)</f>
        <v/>
      </c>
      <c r="O20" s="15" t="str">
        <f>IF(N(FX!L32)=0,"",Data!D284/FX!L32)</f>
        <v/>
      </c>
      <c r="P20" s="15" t="str">
        <f>IF(N(FX!M32)=0,"",Data!D285/FX!M32)</f>
        <v/>
      </c>
      <c r="Q20" s="15" t="str">
        <f>IF(N(FX!N32)=0,"",Data!D286/FX!N32)</f>
        <v/>
      </c>
      <c r="R20" s="15" t="str">
        <f>IF(N(FX!O32)=0,"",Data!D287/FX!O32)</f>
        <v/>
      </c>
      <c r="S20" s="15" t="str">
        <f>IF(N(FX!P32)=0,"",Data!D288/FX!P32)</f>
        <v/>
      </c>
      <c r="T20" s="15" t="str">
        <f>IF(N(FX!Q32)=0,"",Data!D289/FX!Q32)</f>
        <v/>
      </c>
    </row>
    <row r="21" spans="1:20" x14ac:dyDescent="0.35">
      <c r="A21" t="s">
        <v>93</v>
      </c>
      <c r="B21" t="s">
        <v>94</v>
      </c>
      <c r="C21">
        <v>1</v>
      </c>
      <c r="E21" s="15">
        <f>IF(N(FX!B12)=0,"",Data!D290/FX!B12)</f>
        <v>2967.5692307692307</v>
      </c>
      <c r="F21" s="15">
        <f>IF(N(FX!C12)=0,"",Data!D291/FX!C12)</f>
        <v>2710.1756756756758</v>
      </c>
      <c r="G21" s="15">
        <f>IF(N(FX!D12)=0,"",Data!D292/FX!D12)</f>
        <v>2695.3974358974356</v>
      </c>
      <c r="H21" s="15">
        <f>IF(N(FX!E12)=0,"",Data!D293/FX!E12)</f>
        <v>2904.1333333333332</v>
      </c>
      <c r="I21" s="15">
        <f>IF(N(FX!F12)=0,"",Data!D294/FX!F12)</f>
        <v>2885.5558388577256</v>
      </c>
      <c r="J21" s="15">
        <f>IF(N(FX!G12)=0,"",Data!D295/FX!G12)</f>
        <v>2733.6881251602972</v>
      </c>
      <c r="K21" s="15">
        <f>IF(N(FX!H12)=0,"",Data!D296/FX!H12)</f>
        <v>3209.31352318063</v>
      </c>
      <c r="L21" s="15">
        <f>IF(N(FX!I12)=0,"",Data!D297/FX!I12)</f>
        <v>3191.3771864991381</v>
      </c>
      <c r="M21" s="15">
        <f>IF(N(FX!J12)=0,"",Data!D298/FX!J12)</f>
        <v>3440.4302947394599</v>
      </c>
      <c r="N21" s="15">
        <f>IF(N(FX!K12)=0,"",Data!D299/FX!K12)</f>
        <v>3712.8706543967278</v>
      </c>
      <c r="O21" s="15">
        <f>IF(N(FX!L12)=0,"",Data!D300/FX!L12)</f>
        <v>4011.8460930293845</v>
      </c>
      <c r="P21" s="15">
        <f>IF(N(FX!M12)=0,"",Data!D301/FX!M12)</f>
        <v>4218.4000000000005</v>
      </c>
      <c r="Q21" s="15">
        <f>IF(N(FX!N12)=0,"",Data!D302/FX!N12)</f>
        <v>4366.2666666666664</v>
      </c>
      <c r="R21" s="15">
        <f>IF(N(FX!O12)=0,"",Data!D303/FX!O12)</f>
        <v>4538.4399999999996</v>
      </c>
      <c r="S21" s="15">
        <f>IF(N(FX!P12)=0,"",Data!D304/FX!P12)</f>
        <v>4725.3066666666664</v>
      </c>
      <c r="T21" s="15">
        <f>IF(N(FX!Q12)=0,"",Data!D305/FX!Q12)</f>
        <v>4917.92</v>
      </c>
    </row>
    <row r="22" spans="1:20" x14ac:dyDescent="0.35">
      <c r="A22" t="s">
        <v>97</v>
      </c>
      <c r="B22" t="s">
        <v>94</v>
      </c>
      <c r="C22">
        <v>1</v>
      </c>
      <c r="E22" s="15">
        <f>IF(N(FX!B6)=0,"",Data!D306/FX!B6)</f>
        <v>707.94791666666674</v>
      </c>
      <c r="F22" s="15">
        <f>IF(N(FX!C6)=0,"",Data!D307/FX!C6)</f>
        <v>695.35353535353534</v>
      </c>
      <c r="G22" s="15">
        <f>IF(N(FX!D6)=0,"",Data!D308/FX!D6)</f>
        <v>710.0408163265306</v>
      </c>
      <c r="H22" s="15">
        <f>IF(N(FX!E6)=0,"",Data!D309/FX!E6)</f>
        <v>739.16326530612241</v>
      </c>
      <c r="I22" s="15">
        <f>IF(N(FX!F6)=0,"",Data!D310/FX!F6)</f>
        <v>739.19191919191917</v>
      </c>
      <c r="J22" s="15">
        <f>IF(N(FX!G6)=0,"",Data!D311/FX!G6)</f>
        <v>755.15957446808522</v>
      </c>
      <c r="K22" s="15">
        <f>IF(N(FX!H6)=0,"",Data!D312/FX!H6)</f>
        <v>844.26373626373618</v>
      </c>
      <c r="L22" s="15">
        <f>IF(N(FX!I6)=0,"",Data!D313/FX!I6)</f>
        <v>862.84210526315803</v>
      </c>
      <c r="M22" s="15">
        <f>IF(N(FX!J6)=0,"",Data!D314/FX!J6)</f>
        <v>930.17777777777769</v>
      </c>
      <c r="N22" s="15">
        <f>IF(N(FX!K6)=0,"",Data!D315/FX!K6)</f>
        <v>978.32954545454538</v>
      </c>
      <c r="O22" s="15">
        <f>IF(N(FX!L6)=0,"",Data!D316/FX!L6)</f>
        <v>1062.132530120482</v>
      </c>
      <c r="P22" s="15">
        <f>IF(N(FX!M6)=0,"",Data!D317/FX!M6)</f>
        <v>1123.1999999999998</v>
      </c>
      <c r="Q22" s="15">
        <f>IF(N(FX!N6)=0,"",Data!D318/FX!N6)</f>
        <v>1138.0864197530864</v>
      </c>
      <c r="R22" s="15">
        <f>IF(N(FX!O6)=0,"",Data!D319/FX!O6)</f>
        <v>1169.3950617283949</v>
      </c>
      <c r="S22" s="15">
        <f>IF(N(FX!P6)=0,"",Data!D320/FX!P6)</f>
        <v>1214.2124999999999</v>
      </c>
      <c r="T22" s="15">
        <f>IF(N(FX!Q6)=0,"",Data!D321/FX!Q6)</f>
        <v>1255.5189873417721</v>
      </c>
    </row>
    <row r="23" spans="1:20" x14ac:dyDescent="0.35">
      <c r="A23" t="s">
        <v>99</v>
      </c>
      <c r="B23" t="s">
        <v>94</v>
      </c>
      <c r="C23">
        <v>1</v>
      </c>
      <c r="E23" s="15">
        <f>IF(N(FX!B24)=0,"",Data!D322/FX!B24)</f>
        <v>177.69326683291771</v>
      </c>
      <c r="F23" s="15">
        <f>IF(N(FX!C24)=0,"",Data!D323/FX!C24)</f>
        <v>185.2536945812808</v>
      </c>
      <c r="G23" s="15">
        <f>IF(N(FX!D24)=0,"",Data!D324/FX!D24)</f>
        <v>210.27654320987656</v>
      </c>
      <c r="H23" s="15">
        <f>IF(N(FX!E24)=0,"",Data!D325/FX!E24)</f>
        <v>241.7233502538071</v>
      </c>
      <c r="I23" s="15">
        <f>IF(N(FX!F24)=0,"",Data!D326/FX!F24)</f>
        <v>248.39386792452831</v>
      </c>
      <c r="J23" s="15">
        <f>IF(N(FX!G24)=0,"",Data!D327/FX!G24)</f>
        <v>249.12735849056602</v>
      </c>
      <c r="K23" s="15">
        <f>IF(N(FX!H24)=0,"",Data!D328/FX!H24)</f>
        <v>283.61298076923072</v>
      </c>
      <c r="L23" s="15">
        <f>IF(N(FX!I24)=0,"",Data!D329/FX!I24)</f>
        <v>293.91471215351811</v>
      </c>
      <c r="M23" s="15">
        <f>IF(N(FX!J24)=0,"",Data!D330/FX!J24)</f>
        <v>347.47483588621441</v>
      </c>
      <c r="N23" s="15">
        <f>IF(N(FX!K24)=0,"",Data!D331/FX!K24)</f>
        <v>384.24347826086961</v>
      </c>
      <c r="O23" s="15">
        <f>IF(N(FX!L24)=0,"",Data!D332/FX!L24)</f>
        <v>431.75167785234902</v>
      </c>
      <c r="P23" s="15">
        <f>IF(N(FX!M24)=0,"",Data!D333/FX!M24)</f>
        <v>463.86061946902663</v>
      </c>
      <c r="Q23" s="15">
        <f>IF(N(FX!N24)=0,"",Data!D334/FX!N24)</f>
        <v>474.86105263157896</v>
      </c>
      <c r="R23" s="15">
        <f>IF(N(FX!O24)=0,"",Data!D335/FX!O24)</f>
        <v>504.05708245243125</v>
      </c>
      <c r="S23" s="15">
        <f>IF(N(FX!P24)=0,"",Data!D336/FX!P24)</f>
        <v>558.98253275109164</v>
      </c>
      <c r="T23" s="15">
        <f>IF(N(FX!Q24)=0,"",Data!D337/FX!Q24)</f>
        <v>611.07795100222711</v>
      </c>
    </row>
    <row r="24" spans="1:20" x14ac:dyDescent="0.35">
      <c r="A24" t="s">
        <v>101</v>
      </c>
      <c r="B24" t="s">
        <v>94</v>
      </c>
      <c r="C24">
        <v>1</v>
      </c>
      <c r="E24" s="15">
        <f>IF(N(FX!B25)=0,"",Data!D338/FX!B25)</f>
        <v>41.297950556015074</v>
      </c>
      <c r="F24" s="15">
        <f>IF(N(FX!C25)=0,"",Data!D339/FX!C25)</f>
        <v>42.224658519051047</v>
      </c>
      <c r="G24" s="15">
        <f>IF(N(FX!D25)=0,"",Data!D340/FX!D25)</f>
        <v>45.972345953971782</v>
      </c>
      <c r="H24" s="15">
        <f>IF(N(FX!E25)=0,"",Data!D341/FX!E25)</f>
        <v>52.784887203034529</v>
      </c>
      <c r="I24" s="15">
        <f>IF(N(FX!F25)=0,"",Data!D342/FX!F25)</f>
        <v>53.864513064133014</v>
      </c>
      <c r="J24" s="15">
        <f>IF(N(FX!G25)=0,"",Data!D343/FX!G25)</f>
        <v>55.875823962776266</v>
      </c>
      <c r="K24" s="15">
        <f>IF(N(FX!H25)=0,"",Data!D344/FX!H25)</f>
        <v>66.157142857142858</v>
      </c>
      <c r="L24" s="15">
        <f>IF(N(FX!I25)=0,"",Data!D345/FX!I25)</f>
        <v>66.811212609708051</v>
      </c>
      <c r="M24" s="15">
        <f>IF(N(FX!J25)=0,"",Data!D346/FX!J25)</f>
        <v>81.346033210332095</v>
      </c>
      <c r="N24" s="15">
        <f>IF(N(FX!K25)=0,"",Data!D347/FX!K25)</f>
        <v>90.086498475187142</v>
      </c>
      <c r="O24" s="15">
        <f>IF(N(FX!L25)=0,"",Data!D348/FX!L25)</f>
        <v>99.958545734346458</v>
      </c>
      <c r="P24" s="15">
        <f>IF(N(FX!M25)=0,"",Data!D349/FX!M25)</f>
        <v>108.94795828866582</v>
      </c>
      <c r="Q24" s="15">
        <f>IF(N(FX!N25)=0,"",Data!D350/FX!N25)</f>
        <v>114.16786617389613</v>
      </c>
      <c r="R24" s="15">
        <f>IF(N(FX!O25)=0,"",Data!D351/FX!O25)</f>
        <v>122.97576239197377</v>
      </c>
      <c r="S24" s="15">
        <f>IF(N(FX!P25)=0,"",Data!D352/FX!P25)</f>
        <v>129.98138510808647</v>
      </c>
      <c r="T24" s="15">
        <f>IF(N(FX!Q25)=0,"",Data!D353/FX!Q25)</f>
        <v>134.76424558587479</v>
      </c>
    </row>
    <row r="25" spans="1:20" x14ac:dyDescent="0.35">
      <c r="A25" t="s">
        <v>103</v>
      </c>
      <c r="B25" t="s">
        <v>94</v>
      </c>
      <c r="C25">
        <v>1</v>
      </c>
      <c r="E25" s="15">
        <f>IF(N(FX!B11)=0,"",Data!D354/FX!B11)</f>
        <v>42.766666666666666</v>
      </c>
      <c r="F25" s="15">
        <f>IF(N(FX!C11)=0,"",Data!D355/FX!C11)</f>
        <v>44.455555555555556</v>
      </c>
      <c r="G25" s="15">
        <f>IF(N(FX!D11)=0,"",Data!D356/FX!D11)</f>
        <v>47.898876404494381</v>
      </c>
      <c r="H25" s="15">
        <f>IF(N(FX!E11)=0,"",Data!D357/FX!E11)</f>
        <v>53.482352941176472</v>
      </c>
      <c r="I25" s="15">
        <f>IF(N(FX!F11)=0,"",Data!D358/FX!F11)</f>
        <v>53.906424893664649</v>
      </c>
      <c r="J25" s="15">
        <f>IF(N(FX!G11)=0,"",Data!D359/FX!G11)</f>
        <v>53.277100193776363</v>
      </c>
      <c r="K25" s="15">
        <f>IF(N(FX!H11)=0,"",Data!D360/FX!H11)</f>
        <v>61.515724757625918</v>
      </c>
      <c r="L25" s="15">
        <f>IF(N(FX!I11)=0,"",Data!D361/FX!I11)</f>
        <v>59.800315291644772</v>
      </c>
      <c r="M25" s="15">
        <f>IF(N(FX!J11)=0,"",Data!D362/FX!J11)</f>
        <v>69.326413666342305</v>
      </c>
      <c r="N25" s="15">
        <f>IF(N(FX!K11)=0,"",Data!D363/FX!K11)</f>
        <v>73.022400173141435</v>
      </c>
      <c r="O25" s="15">
        <f>IF(N(FX!L11)=0,"",Data!D364/FX!L11)</f>
        <v>80.300124111474673</v>
      </c>
      <c r="P25" s="15">
        <f>IF(N(FX!M11)=0,"",Data!D365/FX!M11)</f>
        <v>85.931034482758633</v>
      </c>
      <c r="Q25" s="15">
        <f>IF(N(FX!N11)=0,"",Data!D366/FX!N11)</f>
        <v>89.516853932584269</v>
      </c>
      <c r="R25" s="15">
        <f>IF(N(FX!O11)=0,"",Data!D367/FX!O11)</f>
        <v>94.179775280898866</v>
      </c>
      <c r="S25" s="15">
        <f>IF(N(FX!P11)=0,"",Data!D368/FX!P11)</f>
        <v>102.4767441860465</v>
      </c>
      <c r="T25" s="15">
        <f>IF(N(FX!Q11)=0,"",Data!D369/FX!Q11)</f>
        <v>110.28571428571429</v>
      </c>
    </row>
    <row r="26" spans="1:20" x14ac:dyDescent="0.35">
      <c r="A26" t="s">
        <v>106</v>
      </c>
      <c r="B26" t="s">
        <v>94</v>
      </c>
      <c r="C26">
        <v>1</v>
      </c>
      <c r="E26" s="15">
        <f>IF(N(FX!B11)=0,"",Data!D370/FX!B11)</f>
        <v>51.077777777777776</v>
      </c>
      <c r="F26" s="15">
        <f>IF(N(FX!C11)=0,"",Data!D371/FX!C11)</f>
        <v>52.855555555555554</v>
      </c>
      <c r="G26" s="15">
        <f>IF(N(FX!D11)=0,"",Data!D372/FX!D11)</f>
        <v>55.876404494382015</v>
      </c>
      <c r="H26" s="15">
        <f>IF(N(FX!E11)=0,"",Data!D373/FX!E11)</f>
        <v>61.435294117647061</v>
      </c>
      <c r="I26" s="15">
        <f>IF(N(FX!F11)=0,"",Data!D374/FX!F11)</f>
        <v>61.461831206626371</v>
      </c>
      <c r="J26" s="15">
        <f>IF(N(FX!G11)=0,"",Data!D375/FX!G11)</f>
        <v>57.836543941639121</v>
      </c>
      <c r="K26" s="15">
        <f>IF(N(FX!H11)=0,"",Data!D376/FX!H11)</f>
        <v>68.976117285410268</v>
      </c>
      <c r="L26" s="15">
        <f>IF(N(FX!I11)=0,"",Data!D377/FX!I11)</f>
        <v>71.056227009984241</v>
      </c>
      <c r="M26" s="15">
        <f>IF(N(FX!J11)=0,"",Data!D378/FX!J11)</f>
        <v>85.620067034273973</v>
      </c>
      <c r="N26" s="15">
        <f>IF(N(FX!K11)=0,"",Data!D379/FX!K11)</f>
        <v>92.966129206795799</v>
      </c>
      <c r="O26" s="15">
        <f>IF(N(FX!L11)=0,"",Data!D380/FX!L11)</f>
        <v>104.90804468013089</v>
      </c>
      <c r="P26" s="15">
        <f>IF(N(FX!M11)=0,"",Data!D381/FX!M11)</f>
        <v>113.8735632183908</v>
      </c>
      <c r="Q26" s="15">
        <f>IF(N(FX!N11)=0,"",Data!D382/FX!N11)</f>
        <v>117.56179775280899</v>
      </c>
      <c r="R26" s="15">
        <f>IF(N(FX!O11)=0,"",Data!D383/FX!O11)</f>
        <v>123.59550561797752</v>
      </c>
      <c r="S26" s="15">
        <f>IF(N(FX!P11)=0,"",Data!D384/FX!P11)</f>
        <v>134.54651162790697</v>
      </c>
      <c r="T26" s="15">
        <f>IF(N(FX!Q11)=0,"",Data!D385/FX!Q11)</f>
        <v>144.3452380952381</v>
      </c>
    </row>
    <row r="27" spans="1:20" x14ac:dyDescent="0.35">
      <c r="A27" t="s">
        <v>108</v>
      </c>
      <c r="B27" t="s">
        <v>94</v>
      </c>
      <c r="C27">
        <v>1</v>
      </c>
      <c r="E27" s="15">
        <f>IF(N(FX!B11)=0,"",Data!D386/FX!B11)</f>
        <v>4.0111111111111111</v>
      </c>
      <c r="F27" s="15">
        <f>IF(N(FX!C11)=0,"",Data!D387/FX!C11)</f>
        <v>4.3777777777777773</v>
      </c>
      <c r="G27" s="15">
        <f>IF(N(FX!D11)=0,"",Data!D388/FX!D11)</f>
        <v>4.7752808988764048</v>
      </c>
      <c r="H27" s="15">
        <f>IF(N(FX!E11)=0,"",Data!D389/FX!E11)</f>
        <v>5.4117647058823524</v>
      </c>
      <c r="I27" s="15">
        <f>IF(N(FX!F11)=0,"",Data!D390/FX!F11)</f>
        <v>5.4846653234833225</v>
      </c>
      <c r="J27" s="15">
        <f>IF(N(FX!G11)=0,"",Data!D391/FX!G11)</f>
        <v>4.7190242790379573</v>
      </c>
      <c r="K27" s="15">
        <f>IF(N(FX!H11)=0,"",Data!D392/FX!H11)</f>
        <v>5.8169780089855756</v>
      </c>
      <c r="L27" s="15">
        <f>IF(N(FX!I11)=0,"",Data!D393/FX!I11)</f>
        <v>6.2427745664739884</v>
      </c>
      <c r="M27" s="15">
        <f>IF(N(FX!J11)=0,"",Data!D394/FX!J11)</f>
        <v>7.6440696291490973</v>
      </c>
      <c r="N27" s="15">
        <f>IF(N(FX!K11)=0,"",Data!D395/FX!K11)</f>
        <v>8.2675035169353954</v>
      </c>
      <c r="O27" s="15">
        <f>IF(N(FX!L11)=0,"",Data!D396/FX!L11)</f>
        <v>9.3309263229154915</v>
      </c>
      <c r="P27" s="15">
        <f>IF(N(FX!M11)=0,"",Data!D397/FX!M11)</f>
        <v>10.022988505747128</v>
      </c>
      <c r="Q27" s="15">
        <f>IF(N(FX!N11)=0,"",Data!D398/FX!N11)</f>
        <v>10.42696629213483</v>
      </c>
      <c r="R27" s="15">
        <f>IF(N(FX!O11)=0,"",Data!D399/FX!O11)</f>
        <v>11.067415730337078</v>
      </c>
      <c r="S27" s="15">
        <f>IF(N(FX!P11)=0,"",Data!D400/FX!P11)</f>
        <v>12.13953488372093</v>
      </c>
      <c r="T27" s="15">
        <f>IF(N(FX!Q11)=0,"",Data!D401/FX!Q11)</f>
        <v>13.154761904761907</v>
      </c>
    </row>
    <row r="28" spans="1:20" x14ac:dyDescent="0.35">
      <c r="A28" t="s">
        <v>109</v>
      </c>
      <c r="B28" t="s">
        <v>94</v>
      </c>
      <c r="C28">
        <v>0</v>
      </c>
      <c r="D28" t="s">
        <v>276</v>
      </c>
      <c r="E28" s="15" t="str">
        <f>IF(N(FX!B19)=0,"",Data!D402/FX!B19)</f>
        <v/>
      </c>
      <c r="F28" s="15" t="str">
        <f>IF(N(FX!C19)=0,"",Data!D403/FX!C19)</f>
        <v/>
      </c>
      <c r="G28" s="15" t="str">
        <f>IF(N(FX!D19)=0,"",Data!D404/FX!D19)</f>
        <v/>
      </c>
      <c r="H28" s="15" t="str">
        <f>IF(N(FX!E19)=0,"",Data!D405/FX!E19)</f>
        <v/>
      </c>
      <c r="I28" s="15" t="str">
        <f>IF(N(FX!F19)=0,"",Data!D406/FX!F19)</f>
        <v/>
      </c>
      <c r="J28" s="15" t="str">
        <f>IF(N(FX!G19)=0,"",Data!D407/FX!G19)</f>
        <v/>
      </c>
      <c r="K28" s="15" t="str">
        <f>IF(N(FX!H19)=0,"",Data!D408/FX!H19)</f>
        <v/>
      </c>
      <c r="L28" s="15" t="str">
        <f>IF(N(FX!I19)=0,"",Data!D409/FX!I19)</f>
        <v/>
      </c>
      <c r="M28" s="15" t="str">
        <f>IF(N(FX!J19)=0,"",Data!D410/FX!J19)</f>
        <v/>
      </c>
      <c r="N28" s="15" t="str">
        <f>IF(N(FX!K19)=0,"",Data!D411/FX!K19)</f>
        <v/>
      </c>
      <c r="O28" s="15" t="str">
        <f>IF(N(FX!L19)=0,"",Data!D412/FX!L19)</f>
        <v/>
      </c>
      <c r="P28" s="15" t="str">
        <f>IF(N(FX!M19)=0,"",Data!D413/FX!M19)</f>
        <v/>
      </c>
      <c r="Q28" s="15" t="str">
        <f>IF(N(FX!N19)=0,"",Data!D414/FX!N19)</f>
        <v/>
      </c>
      <c r="R28" s="15" t="str">
        <f>IF(N(FX!O19)=0,"",Data!D415/FX!O19)</f>
        <v/>
      </c>
      <c r="S28" s="15" t="str">
        <f>IF(N(FX!P19)=0,"",Data!D416/FX!P19)</f>
        <v/>
      </c>
      <c r="T28" s="15" t="str">
        <f>IF(N(FX!Q19)=0,"",Data!D417/FX!Q19)</f>
        <v/>
      </c>
    </row>
    <row r="29" spans="1:20" x14ac:dyDescent="0.35">
      <c r="A29" t="s">
        <v>111</v>
      </c>
      <c r="B29" t="s">
        <v>94</v>
      </c>
      <c r="C29">
        <v>1</v>
      </c>
      <c r="E29" s="15">
        <f>IF(N(FX!B26)=0,"",Data!D418/FX!B26)</f>
        <v>1359.6360661102929</v>
      </c>
      <c r="F29" s="15">
        <f>IF(N(FX!C26)=0,"",Data!D419/FX!C26)</f>
        <v>1277.280023869909</v>
      </c>
      <c r="G29" s="15">
        <f>IF(N(FX!D26)=0,"",Data!D420/FX!D26)</f>
        <v>1575.0840336134452</v>
      </c>
      <c r="H29" s="15">
        <f>IF(N(FX!E26)=0,"",Data!D421/FX!E26)</f>
        <v>1655.4295505259802</v>
      </c>
      <c r="I29" s="15">
        <f>IF(N(FX!F26)=0,"",Data!D422/FX!F26)</f>
        <v>1693.5771013597034</v>
      </c>
      <c r="J29" s="15">
        <f>IF(N(FX!G26)=0,"",Data!D423/FX!G26)</f>
        <v>1490.9033374878827</v>
      </c>
      <c r="K29" s="15">
        <f>IF(N(FX!H26)=0,"",Data!D424/FX!H26)</f>
        <v>1829.0452077111051</v>
      </c>
      <c r="L29" s="15">
        <f>IF(N(FX!I26)=0,"",Data!D425/FX!I26)</f>
        <v>2289.6513052355263</v>
      </c>
      <c r="M29" s="15">
        <f>IF(N(FX!J26)=0,"",Data!D426/FX!J26)</f>
        <v>2043.2140930941493</v>
      </c>
      <c r="N29" s="15">
        <f>IF(N(FX!K26)=0,"",Data!D427/FX!K26)</f>
        <v>2184.8861771058314</v>
      </c>
      <c r="O29" s="15">
        <f>IF(N(FX!L26)=0,"",Data!D428/FX!L26)</f>
        <v>2564.4646319569119</v>
      </c>
      <c r="P29" s="15">
        <f>IF(N(FX!M26)=0,"",Data!D429/FX!M26)</f>
        <v>2951.0080070061304</v>
      </c>
      <c r="Q29" s="15">
        <f>IF(N(FX!N26)=0,"",Data!D430/FX!N26)</f>
        <v>2889.0733211512106</v>
      </c>
      <c r="R29" s="15">
        <f>IF(N(FX!O26)=0,"",Data!D431/FX!O26)</f>
        <v>2761.7536503963288</v>
      </c>
      <c r="S29" s="15">
        <f>IF(N(FX!P26)=0,"",Data!D432/FX!P26)</f>
        <v>2815.5797159034464</v>
      </c>
      <c r="T29" s="15">
        <f>IF(N(FX!Q26)=0,"",Data!D433/FX!Q26)</f>
        <v>3031.8281732205078</v>
      </c>
    </row>
    <row r="30" spans="1:20" x14ac:dyDescent="0.35">
      <c r="A30" t="s">
        <v>114</v>
      </c>
      <c r="B30" t="s">
        <v>94</v>
      </c>
      <c r="C30">
        <v>1</v>
      </c>
      <c r="E30" s="15">
        <f>IF(N(FX!B29)=0,"",Data!D434/FX!B29)</f>
        <v>91.050366300366292</v>
      </c>
      <c r="F30" s="15">
        <f>IF(N(FX!C29)=0,"",Data!D435/FX!C29)</f>
        <v>93.36086105675146</v>
      </c>
      <c r="G30" s="15">
        <f>IF(N(FX!D29)=0,"",Data!D436/FX!D29)</f>
        <v>112.07631578947368</v>
      </c>
      <c r="H30" s="15">
        <f>IF(N(FX!E29)=0,"",Data!D437/FX!E29)</f>
        <v>130.89338235294119</v>
      </c>
      <c r="I30" s="15">
        <f>IF(N(FX!F29)=0,"",Data!D438/FX!F29)</f>
        <v>153.97599690282618</v>
      </c>
      <c r="J30" s="15">
        <f>IF(N(FX!G29)=0,"",Data!D439/FX!G29)</f>
        <v>156.60348664688425</v>
      </c>
      <c r="K30" s="15">
        <f>IF(N(FX!H29)=0,"",Data!D440/FX!H29)</f>
        <v>199.81121700879766</v>
      </c>
      <c r="L30" s="15">
        <f>IF(N(FX!I29)=0,"",Data!D441/FX!I29)</f>
        <v>162.2015479876161</v>
      </c>
      <c r="M30" s="15">
        <f>IF(N(FX!J29)=0,"",Data!D442/FX!J29)</f>
        <v>181.24036095159968</v>
      </c>
      <c r="N30" s="15">
        <f>IF(N(FX!K29)=0,"",Data!D443/FX!K29)</f>
        <v>190.79631474103587</v>
      </c>
      <c r="O30" s="15">
        <f>IF(N(FX!L29)=0,"",Data!D444/FX!L29)</f>
        <v>214.22859198848647</v>
      </c>
      <c r="P30" s="15">
        <f>IF(N(FX!M29)=0,"",Data!D445/FX!M29)</f>
        <v>246.76836158192091</v>
      </c>
      <c r="Q30" s="15">
        <f>IF(N(FX!N29)=0,"",Data!D446/FX!N29)</f>
        <v>278.32588614393126</v>
      </c>
      <c r="R30" s="15">
        <f>IF(N(FX!O29)=0,"",Data!D447/FX!O29)</f>
        <v>330.18412090251172</v>
      </c>
      <c r="S30" s="15">
        <f>IF(N(FX!P29)=0,"",Data!D448/FX!P29)</f>
        <v>402.75145380142152</v>
      </c>
      <c r="T30" s="15">
        <f>IF(N(FX!Q29)=0,"",Data!D449/FX!Q29)</f>
        <v>504.74624145785879</v>
      </c>
    </row>
    <row r="31" spans="1:20" x14ac:dyDescent="0.35">
      <c r="A31" t="s">
        <v>118</v>
      </c>
      <c r="B31" t="s">
        <v>94</v>
      </c>
      <c r="C31">
        <v>1</v>
      </c>
      <c r="E31" s="15">
        <f>IF(N(FX!B28)=0,"",Data!D450/FX!B28)</f>
        <v>865.46323529411757</v>
      </c>
      <c r="F31" s="15">
        <f>IF(N(FX!C28)=0,"",Data!D451/FX!C28)</f>
        <v>870.85761589403967</v>
      </c>
      <c r="G31" s="15">
        <f>IF(N(FX!D28)=0,"",Data!D452/FX!D28)</f>
        <v>863.43287671232883</v>
      </c>
      <c r="H31" s="15">
        <f>IF(N(FX!E28)=0,"",Data!D453/FX!E28)</f>
        <v>788.09109730848866</v>
      </c>
      <c r="I31" s="15">
        <f>IF(N(FX!F28)=0,"",Data!D454/FX!F28)</f>
        <v>775.00880281690149</v>
      </c>
      <c r="J31" s="15">
        <f>IF(N(FX!G28)=0,"",Data!D455/FX!G28)</f>
        <v>732.43732193732194</v>
      </c>
      <c r="K31" s="15">
        <f>IF(N(FX!H28)=0,"",Data!D456/FX!H28)</f>
        <v>839.02934537246063</v>
      </c>
      <c r="L31" s="15">
        <f>IF(N(FX!I28)=0,"",Data!D457/FX!I28)</f>
        <v>924.91611345805677</v>
      </c>
      <c r="M31" s="15">
        <f>IF(N(FX!J28)=0,"",Data!D458/FX!J28)</f>
        <v>1138.7755359394705</v>
      </c>
      <c r="N31" s="15">
        <f>IF(N(FX!K28)=0,"",Data!D459/FX!K28)</f>
        <v>1360.8275967103261</v>
      </c>
      <c r="O31" s="15">
        <f>IF(N(FX!L28)=0,"",Data!D460/FX!L28)</f>
        <v>1601.4312484173206</v>
      </c>
      <c r="P31" s="15">
        <f>IF(N(FX!M28)=0,"",Data!D461/FX!M28)</f>
        <v>1767.9375267436883</v>
      </c>
      <c r="Q31" s="15">
        <f>IF(N(FX!N28)=0,"",Data!D462/FX!N28)</f>
        <v>1816.7269742841511</v>
      </c>
      <c r="R31" s="15">
        <f>IF(N(FX!O28)=0,"",Data!D463/FX!O28)</f>
        <v>1906.4633421400263</v>
      </c>
      <c r="S31" s="15">
        <f>IF(N(FX!P28)=0,"",Data!D464/FX!P28)</f>
        <v>2034.0803100775192</v>
      </c>
      <c r="T31" s="15">
        <f>IF(N(FX!Q28)=0,"",Data!D465/FX!Q28)</f>
        <v>2167.7193595342069</v>
      </c>
    </row>
    <row r="32" spans="1:20" x14ac:dyDescent="0.35">
      <c r="A32" t="s">
        <v>120</v>
      </c>
      <c r="B32" t="s">
        <v>94</v>
      </c>
      <c r="C32">
        <v>1</v>
      </c>
      <c r="E32" s="15">
        <f>IF(N(FX!B17)=0,"",Data!D466/FX!B17)</f>
        <v>184.38700220989492</v>
      </c>
      <c r="F32" s="15">
        <f>IF(N(FX!C17)=0,"",Data!D467/FX!C17)</f>
        <v>137.40280824923212</v>
      </c>
      <c r="G32" s="15">
        <f>IF(N(FX!D17)=0,"",Data!D468/FX!D17)</f>
        <v>166.80631901840491</v>
      </c>
      <c r="H32" s="15">
        <f>IF(N(FX!E17)=0,"",Data!D469/FX!E17)</f>
        <v>179.32221384231593</v>
      </c>
      <c r="I32" s="15">
        <f>IF(N(FX!F17)=0,"",Data!D470/FX!F17)</f>
        <v>181.65167981608238</v>
      </c>
      <c r="J32" s="15">
        <f>IF(N(FX!G17)=0,"",Data!D471/FX!G17)</f>
        <v>170.89750846637639</v>
      </c>
      <c r="K32" s="15">
        <f>IF(N(FX!H17)=0,"",Data!D472/FX!H17)</f>
        <v>197.10184772145658</v>
      </c>
      <c r="L32" s="15">
        <f>IF(N(FX!I17)=0,"",Data!D473/FX!I17)</f>
        <v>225.43509526602793</v>
      </c>
      <c r="M32" s="15">
        <f>IF(N(FX!J17)=0,"",Data!D474/FX!J17)</f>
        <v>261.78558278174722</v>
      </c>
      <c r="N32" s="15">
        <f>IF(N(FX!K17)=0,"",Data!D475/FX!K17)</f>
        <v>291.47561677719256</v>
      </c>
      <c r="O32" s="15">
        <f>IF(N(FX!L17)=0,"",Data!D476/FX!L17)</f>
        <v>306.30335073309277</v>
      </c>
      <c r="P32" s="15">
        <f>IF(N(FX!M17)=0,"",Data!D477/FX!M17)</f>
        <v>435.73905447727805</v>
      </c>
      <c r="Q32" s="15">
        <f>IF(N(FX!N17)=0,"",Data!D478/FX!N17)</f>
        <v>479.19320740555418</v>
      </c>
      <c r="R32" s="15">
        <f>IF(N(FX!O17)=0,"",Data!D479/FX!O17)</f>
        <v>506.84178319963917</v>
      </c>
      <c r="S32" s="15">
        <f>IF(N(FX!P17)=0,"",Data!D480/FX!P17)</f>
        <v>563.64034898961245</v>
      </c>
      <c r="T32" s="15">
        <f>IF(N(FX!Q17)=0,"",Data!D481/FX!Q17)</f>
        <v>621.36809003641179</v>
      </c>
    </row>
    <row r="33" spans="1:20" x14ac:dyDescent="0.35">
      <c r="A33" t="s">
        <v>123</v>
      </c>
      <c r="B33" t="s">
        <v>94</v>
      </c>
      <c r="C33">
        <v>1</v>
      </c>
      <c r="E33" s="15">
        <f>IF(N(FX!B8)=0,"",Data!D482/FX!B8)</f>
        <v>11186.488853503184</v>
      </c>
      <c r="F33" s="15">
        <f>IF(N(FX!C8)=0,"",Data!D483/FX!C8)</f>
        <v>11463.750000000002</v>
      </c>
      <c r="G33" s="15">
        <f>IF(N(FX!D8)=0,"",Data!D484/FX!D8)</f>
        <v>12535.25</v>
      </c>
      <c r="H33" s="15">
        <f>IF(N(FX!E8)=0,"",Data!D485/FX!E8)</f>
        <v>14139.125377643504</v>
      </c>
      <c r="I33" s="15">
        <f>IF(N(FX!F8)=0,"",Data!D486/FX!F8)</f>
        <v>14556.764109985528</v>
      </c>
      <c r="J33" s="15">
        <f>IF(N(FX!G8)=0,"",Data!D487/FX!G8)</f>
        <v>14998.081159420288</v>
      </c>
      <c r="K33" s="15">
        <f>IF(N(FX!H8)=0,"",Data!D488/FX!H8)</f>
        <v>18198.806201550389</v>
      </c>
      <c r="L33" s="15">
        <f>IF(N(FX!I8)=0,"",Data!D489/FX!I8)</f>
        <v>18336.246656760773</v>
      </c>
      <c r="M33" s="15">
        <f>IF(N(FX!J8)=0,"",Data!D490/FX!J8)</f>
        <v>18280.673728813559</v>
      </c>
      <c r="N33" s="15">
        <f>IF(N(FX!K8)=0,"",Data!D491/FX!K8)</f>
        <v>18723.141666666666</v>
      </c>
      <c r="O33" s="15">
        <f>IF(N(FX!L8)=0,"",Data!D492/FX!L8)</f>
        <v>19497.624478442282</v>
      </c>
      <c r="P33" s="15">
        <f>IF(N(FX!M8)=0,"",Data!D493/FX!M8)</f>
        <v>21846.360824742271</v>
      </c>
      <c r="Q33" s="15">
        <f>IF(N(FX!N8)=0,"",Data!D494/FX!N8)</f>
        <v>23526.4024024024</v>
      </c>
      <c r="R33" s="15">
        <f>IF(N(FX!O8)=0,"",Data!D495/FX!O8)</f>
        <v>24972.947129909364</v>
      </c>
      <c r="S33" s="15">
        <f>IF(N(FX!P8)=0,"",Data!D496/FX!P8)</f>
        <v>26481.373292867982</v>
      </c>
      <c r="T33" s="15">
        <f>IF(N(FX!Q8)=0,"",Data!D497/FX!Q8)</f>
        <v>27973.125948406676</v>
      </c>
    </row>
    <row r="34" spans="1:20" x14ac:dyDescent="0.35">
      <c r="A34" t="s">
        <v>129</v>
      </c>
      <c r="B34" t="s">
        <v>94</v>
      </c>
      <c r="C34">
        <v>1</v>
      </c>
      <c r="E34" s="15">
        <f>IF(N(FX!B15)=0,"",Data!D498/FX!B15)</f>
        <v>2087.40872954014</v>
      </c>
      <c r="F34" s="15">
        <f>IF(N(FX!C15)=0,"",Data!D499/FX!C15)</f>
        <v>2226.8916666666664</v>
      </c>
      <c r="G34" s="15">
        <f>IF(N(FX!D15)=0,"",Data!D500/FX!D15)</f>
        <v>2553.4593058968057</v>
      </c>
      <c r="H34" s="15">
        <f>IF(N(FX!E15)=0,"",Data!D501/FX!E15)</f>
        <v>2731.842374616172</v>
      </c>
      <c r="I34" s="15">
        <f>IF(N(FX!F15)=0,"",Data!D502/FX!F15)</f>
        <v>2805.0751100383359</v>
      </c>
      <c r="J34" s="15">
        <f>IF(N(FX!G15)=0,"",Data!D503/FX!G15)</f>
        <v>2597.1832658569501</v>
      </c>
      <c r="K34" s="15">
        <f>IF(N(FX!H15)=0,"",Data!D504/FX!H15)</f>
        <v>3088.6781655844156</v>
      </c>
      <c r="L34" s="15">
        <f>IF(N(FX!I15)=0,"",Data!D505/FX!I15)</f>
        <v>3246.7802798982189</v>
      </c>
      <c r="M34" s="15">
        <f>IF(N(FX!J15)=0,"",Data!D506/FX!J15)</f>
        <v>3421.5355932203397</v>
      </c>
      <c r="N34" s="15">
        <f>IF(N(FX!K15)=0,"",Data!D507/FX!K15)</f>
        <v>3719.136010517509</v>
      </c>
      <c r="O34" s="15">
        <f>IF(N(FX!L15)=0,"",Data!D508/FX!L15)</f>
        <v>3871.3358191831117</v>
      </c>
      <c r="P34" s="15">
        <f>IF(N(FX!M15)=0,"",Data!D509/FX!M15)</f>
        <v>4053.9502961082908</v>
      </c>
      <c r="Q34" s="15">
        <f>IF(N(FX!N15)=0,"",Data!D510/FX!N15)</f>
        <v>4443.4030800821356</v>
      </c>
      <c r="R34" s="15">
        <f>IF(N(FX!O15)=0,"",Data!D511/FX!O15)</f>
        <v>5058.9900846932451</v>
      </c>
      <c r="S34" s="15">
        <f>IF(N(FX!P15)=0,"",Data!D512/FX!P15)</f>
        <v>5632.5311603116024</v>
      </c>
      <c r="T34" s="15">
        <f>IF(N(FX!Q15)=0,"",Data!D513/FX!Q15)</f>
        <v>6153.6332459148671</v>
      </c>
    </row>
    <row r="35" spans="1:20" x14ac:dyDescent="0.35">
      <c r="A35" t="s">
        <v>132</v>
      </c>
      <c r="B35" t="s">
        <v>94</v>
      </c>
      <c r="C35">
        <v>1</v>
      </c>
      <c r="E35" s="15">
        <f>IF(N(FX!B16)=0,"",Data!D514*1000/FX!B16)</f>
        <v>1540.5132743362831</v>
      </c>
      <c r="F35" s="15">
        <f>IF(N(FX!C16)=0,"",Data!D515*1000/FX!C16)</f>
        <v>1580.1982758620691</v>
      </c>
      <c r="G35" s="15">
        <f>IF(N(FX!D16)=0,"",Data!D516*1000/FX!D16)</f>
        <v>1711.7079646017698</v>
      </c>
      <c r="H35" s="15">
        <f>IF(N(FX!E16)=0,"",Data!D517*1000/FX!E16)</f>
        <v>1824.5181818181818</v>
      </c>
      <c r="I35" s="15">
        <f>IF(N(FX!F16)=0,"",Data!D518*1000/FX!F16)</f>
        <v>1744.0940170940171</v>
      </c>
      <c r="J35" s="15">
        <f>IF(N(FX!G16)=0,"",Data!D519*1000/FX!G16)</f>
        <v>1744.4661016949151</v>
      </c>
      <c r="K35" s="15">
        <f>IF(N(FX!H16)=0,"",Data!D520*1000/FX!H16)</f>
        <v>1950.6315789473683</v>
      </c>
      <c r="L35" s="15">
        <f>IF(N(FX!I16)=0,"",Data!D521*1000/FX!I16)</f>
        <v>1804.7829457364342</v>
      </c>
      <c r="M35" s="15">
        <f>IF(N(FX!J16)=0,"",Data!D522*1000/FX!J16)</f>
        <v>1837.8473282442749</v>
      </c>
      <c r="N35" s="15">
        <f>IF(N(FX!K16)=0,"",Data!D523*1000/FX!K16)</f>
        <v>1885.4411764705883</v>
      </c>
      <c r="O35" s="15">
        <f>IF(N(FX!L16)=0,"",Data!D524*1000/FX!L16)</f>
        <v>1884.9788732394366</v>
      </c>
      <c r="P35" s="15">
        <f>IF(N(FX!M16)=0,"",Data!D525*1000/FX!M16)</f>
        <v>2282.9515688569359</v>
      </c>
      <c r="Q35" s="15">
        <f>IF(N(FX!N16)=0,"",Data!D526*1000/FX!N16)</f>
        <v>2518.4813133794296</v>
      </c>
      <c r="R35" s="15">
        <f>IF(N(FX!O16)=0,"",Data!D527*1000/FX!O16)</f>
        <v>2641.8184374699358</v>
      </c>
      <c r="S35" s="15">
        <f>IF(N(FX!P16)=0,"",Data!D528*1000/FX!P16)</f>
        <v>2779.8496240601503</v>
      </c>
      <c r="T35" s="15">
        <f>IF(N(FX!Q16)=0,"",Data!D529*1000/FX!Q16)</f>
        <v>2902.8172007103722</v>
      </c>
    </row>
    <row r="36" spans="1:20" x14ac:dyDescent="0.35">
      <c r="A36" t="s">
        <v>136</v>
      </c>
      <c r="B36" t="s">
        <v>94</v>
      </c>
      <c r="C36">
        <v>1</v>
      </c>
      <c r="E36" s="15">
        <f>IF(N(FX!B33)=0,"",Data!D530/FX!B33)</f>
        <v>346.45689655172413</v>
      </c>
      <c r="F36" s="15">
        <f>IF(N(FX!C33)=0,"",Data!D531/FX!C33)</f>
        <v>323.55880353501021</v>
      </c>
      <c r="G36" s="15">
        <f>IF(N(FX!D33)=0,"",Data!D532/FX!D33)</f>
        <v>380.95948987246811</v>
      </c>
      <c r="H36" s="15">
        <f>IF(N(FX!E33)=0,"",Data!D533/FX!E33)</f>
        <v>405.07477341389722</v>
      </c>
      <c r="I36" s="15">
        <f>IF(N(FX!F33)=0,"",Data!D534/FX!F33)</f>
        <v>389.28788927335643</v>
      </c>
      <c r="J36" s="15">
        <f>IF(N(FX!G33)=0,"",Data!D535/FX!G33)</f>
        <v>337.7510625379478</v>
      </c>
      <c r="K36" s="15">
        <f>IF(N(FX!H33)=0,"",Data!D536/FX!H33)</f>
        <v>419.94857916102842</v>
      </c>
      <c r="L36" s="15">
        <f>IF(N(FX!I33)=0,"",Data!D537/FX!I33)</f>
        <v>407.49266503667485</v>
      </c>
      <c r="M36" s="15">
        <f>IF(N(FX!J33)=0,"",Data!D538/FX!J33)</f>
        <v>381.44552845528455</v>
      </c>
      <c r="N36" s="15">
        <f>IF(N(FX!K33)=0,"",Data!D539/FX!K33)</f>
        <v>401.11565739225318</v>
      </c>
      <c r="O36" s="15">
        <f>IF(N(FX!L33)=0,"",Data!D540/FX!L33)</f>
        <v>427.15427613191724</v>
      </c>
      <c r="P36" s="15">
        <f>IF(N(FX!M33)=0,"",Data!D541/FX!M33)</f>
        <v>492.908480780964</v>
      </c>
      <c r="Q36" s="15">
        <f>IF(N(FX!N33)=0,"",Data!D542/FX!N33)</f>
        <v>511.94461167971099</v>
      </c>
      <c r="R36" s="15">
        <f>IF(N(FX!O33)=0,"",Data!D543/FX!O33)</f>
        <v>535.81574239713768</v>
      </c>
      <c r="S36" s="15">
        <f>IF(N(FX!P33)=0,"",Data!D544/FX!P33)</f>
        <v>561.17888563049848</v>
      </c>
      <c r="T36" s="15">
        <f>IF(N(FX!Q33)=0,"",Data!D545/FX!Q33)</f>
        <v>588.33851468048363</v>
      </c>
    </row>
    <row r="37" spans="1:20" x14ac:dyDescent="0.35">
      <c r="A37" t="s">
        <v>139</v>
      </c>
      <c r="B37" t="s">
        <v>94</v>
      </c>
      <c r="C37">
        <v>1</v>
      </c>
      <c r="E37" s="15">
        <f>IF(N(FX!B18)=0,"",Data!D546/FX!B18)</f>
        <v>110.46311475409836</v>
      </c>
      <c r="F37" s="15">
        <f>IF(N(FX!C18)=0,"",Data!D547/FX!C18)</f>
        <v>111.54434250764525</v>
      </c>
      <c r="G37" s="15">
        <f>IF(N(FX!D18)=0,"",Data!D548/FX!D18)</f>
        <v>118.56553147574822</v>
      </c>
      <c r="H37" s="15">
        <f>IF(N(FX!E18)=0,"",Data!D549/FX!E18)</f>
        <v>127.28860489882854</v>
      </c>
      <c r="I37" s="15">
        <f>IF(N(FX!F18)=0,"",Data!D550/FX!F18)</f>
        <v>128.88149688149687</v>
      </c>
      <c r="J37" s="15">
        <f>IF(N(FX!G18)=0,"",Data!D551/FX!G18)</f>
        <v>121.44151738672286</v>
      </c>
      <c r="K37" s="15">
        <f>IF(N(FX!H18)=0,"",Data!D552/FX!H18)</f>
        <v>141.99777530589543</v>
      </c>
      <c r="L37" s="15">
        <f>IF(N(FX!I18)=0,"",Data!D553/FX!I18)</f>
        <v>131.25393700787401</v>
      </c>
      <c r="M37" s="15">
        <f>IF(N(FX!J18)=0,"",Data!D554/FX!J18)</f>
        <v>146.65745310957553</v>
      </c>
      <c r="N37" s="15">
        <f>IF(N(FX!K18)=0,"",Data!D555/FX!K18)</f>
        <v>162.43158953722335</v>
      </c>
      <c r="O37" s="15">
        <f>IF(N(FX!L18)=0,"",Data!D556/FX!L18)</f>
        <v>183.97860962566847</v>
      </c>
      <c r="P37" s="15">
        <f>IF(N(FX!M18)=0,"",Data!D557/FX!M18)</f>
        <v>204.01609442060087</v>
      </c>
      <c r="Q37" s="15">
        <f>IF(N(FX!N18)=0,"",Data!D558/FX!N18)</f>
        <v>207.10602910602913</v>
      </c>
      <c r="R37" s="15">
        <f>IF(N(FX!O18)=0,"",Data!D559/FX!O18)</f>
        <v>215.04205128205126</v>
      </c>
      <c r="S37" s="15">
        <f>IF(N(FX!P18)=0,"",Data!D560/FX!P18)</f>
        <v>228.89430051813471</v>
      </c>
      <c r="T37" s="15">
        <f>IF(N(FX!Q18)=0,"",Data!D561/FX!Q18)</f>
        <v>244.82146542827661</v>
      </c>
    </row>
    <row r="38" spans="1:20" x14ac:dyDescent="0.35">
      <c r="A38" t="s">
        <v>142</v>
      </c>
      <c r="B38" t="s">
        <v>94</v>
      </c>
      <c r="C38">
        <v>1</v>
      </c>
      <c r="E38" s="15">
        <f>IF(N(FX!B27)=0,"",Data!D562/FX!B27)</f>
        <v>45.816326530612244</v>
      </c>
      <c r="F38" s="15">
        <f>IF(N(FX!C27)=0,"",Data!D563/FX!C27)</f>
        <v>44.320930232558148</v>
      </c>
      <c r="G38" s="15">
        <f>IF(N(FX!D27)=0,"",Data!D564/FX!D27)</f>
        <v>42.152892561983471</v>
      </c>
      <c r="H38" s="15">
        <f>IF(N(FX!E27)=0,"",Data!D565/FX!E27)</f>
        <v>42.637735849056604</v>
      </c>
      <c r="I38" s="15">
        <f>IF(N(FX!F27)=0,"",Data!D566/FX!F27)</f>
        <v>41.969283276450511</v>
      </c>
      <c r="J38" s="15">
        <f>IF(N(FX!G27)=0,"",Data!D567/FX!G27)</f>
        <v>42.526690391459077</v>
      </c>
      <c r="K38" s="15">
        <f>IF(N(FX!H27)=0,"",Data!D568/FX!H27)</f>
        <v>47.146953405017918</v>
      </c>
      <c r="L38" s="15">
        <f>IF(N(FX!I27)=0,"",Data!D569/FX!I27)</f>
        <v>44.980645161290319</v>
      </c>
      <c r="M38" s="15">
        <f>IF(N(FX!J27)=0,"",Data!D570/FX!J27)</f>
        <v>48.163987138263664</v>
      </c>
      <c r="N38" s="15">
        <f>IF(N(FX!K27)=0,"",Data!D571/FX!K27)</f>
        <v>51.39871382636656</v>
      </c>
      <c r="O38" s="15">
        <f>IF(N(FX!L27)=0,"",Data!D572/FX!L27)</f>
        <v>57.213333333333331</v>
      </c>
      <c r="P38" s="15">
        <f>IF(N(FX!M27)=0,"",Data!D573/FX!M27)</f>
        <v>61.535593220338981</v>
      </c>
      <c r="Q38" s="15">
        <f>IF(N(FX!N27)=0,"",Data!D574/FX!N27)</f>
        <v>62.93015873015873</v>
      </c>
      <c r="R38" s="15">
        <f>IF(N(FX!O27)=0,"",Data!D575/FX!O27)</f>
        <v>65.209726443769</v>
      </c>
      <c r="S38" s="15">
        <f>IF(N(FX!P27)=0,"",Data!D576/FX!P27)</f>
        <v>67.704142011834321</v>
      </c>
      <c r="T38" s="15">
        <f>IF(N(FX!Q27)=0,"",Data!D577/FX!Q27)</f>
        <v>69.573913043478257</v>
      </c>
    </row>
    <row r="39" spans="1:20" x14ac:dyDescent="0.35">
      <c r="A39" t="s">
        <v>144</v>
      </c>
      <c r="B39" t="s">
        <v>94</v>
      </c>
      <c r="C39">
        <v>1</v>
      </c>
      <c r="E39" s="15">
        <f>IF(N(FX!B11)=0,"",Data!D578/FX!B11)</f>
        <v>1207.8999999999999</v>
      </c>
      <c r="F39" s="15">
        <f>IF(N(FX!C11)=0,"",Data!D579/FX!C11)</f>
        <v>1247.7444444444445</v>
      </c>
      <c r="G39" s="15">
        <f>IF(N(FX!D11)=0,"",Data!D580/FX!D11)</f>
        <v>1314.629213483146</v>
      </c>
      <c r="H39" s="15">
        <f>IF(N(FX!E11)=0,"",Data!D581/FX!E11)</f>
        <v>1426.2117647058824</v>
      </c>
      <c r="I39" s="15">
        <f>IF(N(FX!F11)=0,"",Data!D582/FX!F11)</f>
        <v>1403.3019923886277</v>
      </c>
      <c r="J39" s="15">
        <f>IF(N(FX!G11)=0,"",Data!D583/FX!G11)</f>
        <v>1287.142368631027</v>
      </c>
      <c r="K39" s="15">
        <f>IF(N(FX!H11)=0,"",Data!D584/FX!H11)</f>
        <v>1460.7117521872783</v>
      </c>
      <c r="L39" s="15">
        <f>IF(N(FX!I11)=0,"",Data!D585/FX!I11)</f>
        <v>1445.9905412506566</v>
      </c>
      <c r="M39" s="15">
        <f>IF(N(FX!J11)=0,"",Data!D586/FX!J11)</f>
        <v>1617.7748945831981</v>
      </c>
      <c r="N39" s="15">
        <f>IF(N(FX!K11)=0,"",Data!D587/FX!K11)</f>
        <v>1729.8885402012768</v>
      </c>
      <c r="O39" s="15">
        <f>IF(N(FX!L11)=0,"",Data!D588/FX!L11)</f>
        <v>1906.8148482455151</v>
      </c>
      <c r="P39" s="15">
        <f>IF(N(FX!M11)=0,"",Data!D589/FX!M11)</f>
        <v>2044.7931034482758</v>
      </c>
      <c r="Q39" s="15">
        <f>IF(N(FX!N11)=0,"",Data!D590/FX!N11)</f>
        <v>2081.5955056179773</v>
      </c>
      <c r="R39" s="15">
        <f>IF(N(FX!O11)=0,"",Data!D591/FX!O11)</f>
        <v>2159.2696629213483</v>
      </c>
      <c r="S39" s="15">
        <f>IF(N(FX!P11)=0,"",Data!D592/FX!P11)</f>
        <v>2320.7093023255816</v>
      </c>
      <c r="T39" s="15">
        <f>IF(N(FX!Q11)=0,"",Data!D593/FX!Q11)</f>
        <v>2469.2738095238096</v>
      </c>
    </row>
    <row r="40" spans="1:20" x14ac:dyDescent="0.35">
      <c r="A40" t="s">
        <v>148</v>
      </c>
      <c r="B40" t="s">
        <v>94</v>
      </c>
      <c r="C40">
        <v>1</v>
      </c>
      <c r="E40" s="15">
        <f>IF(N(FX!B11)=0,"",Data!D594/FX!B11)</f>
        <v>199.32222222222219</v>
      </c>
      <c r="F40" s="15">
        <f>IF(N(FX!C11)=0,"",Data!D595/FX!C11)</f>
        <v>207.08888888888887</v>
      </c>
      <c r="G40" s="15">
        <f>IF(N(FX!D11)=0,"",Data!D596/FX!D11)</f>
        <v>219.67415730337078</v>
      </c>
      <c r="H40" s="15">
        <f>IF(N(FX!E11)=0,"",Data!D597/FX!E11)</f>
        <v>241.1764705882353</v>
      </c>
      <c r="I40" s="15">
        <f>IF(N(FX!F11)=0,"",Data!D598/FX!F11)</f>
        <v>240.08282963957916</v>
      </c>
      <c r="J40" s="15">
        <f>IF(N(FX!G11)=0,"",Data!D599/FX!G11)</f>
        <v>229.14624415821271</v>
      </c>
      <c r="K40" s="15">
        <f>IF(N(FX!H11)=0,"",Data!D600/FX!H11)</f>
        <v>255.95885552139987</v>
      </c>
      <c r="L40" s="15">
        <f>IF(N(FX!I11)=0,"",Data!D601/FX!I11)</f>
        <v>256.39516552811352</v>
      </c>
      <c r="M40" s="15">
        <f>IF(N(FX!J11)=0,"",Data!D602/FX!J11)</f>
        <v>292.30187047248353</v>
      </c>
      <c r="N40" s="15">
        <f>IF(N(FX!K11)=0,"",Data!D603/FX!K11)</f>
        <v>315.06330483713879</v>
      </c>
      <c r="O40" s="15">
        <f>IF(N(FX!L11)=0,"",Data!D604/FX!L11)</f>
        <v>348.12140358794994</v>
      </c>
      <c r="P40" s="15">
        <f>IF(N(FX!M11)=0,"",Data!D605/FX!M11)</f>
        <v>370.74712643678163</v>
      </c>
      <c r="Q40" s="15">
        <f>IF(N(FX!N11)=0,"",Data!D606/FX!N11)</f>
        <v>375.96629213483146</v>
      </c>
      <c r="R40" s="15">
        <f>IF(N(FX!O11)=0,"",Data!D607/FX!O11)</f>
        <v>390.4831460674157</v>
      </c>
      <c r="S40" s="15">
        <f>IF(N(FX!P11)=0,"",Data!D608/FX!P11)</f>
        <v>421.80232558139534</v>
      </c>
      <c r="T40" s="15">
        <f>IF(N(FX!Q11)=0,"",Data!D609/FX!Q11)</f>
        <v>448.96428571428572</v>
      </c>
    </row>
    <row r="41" spans="1:20" x14ac:dyDescent="0.35">
      <c r="A41" t="s">
        <v>149</v>
      </c>
      <c r="B41" t="s">
        <v>94</v>
      </c>
      <c r="C41">
        <v>1</v>
      </c>
      <c r="E41" s="15">
        <f>IF(N(FX!B11)=0,"",Data!D610/FX!B11)</f>
        <v>2446</v>
      </c>
      <c r="F41" s="15">
        <f>IF(N(FX!C11)=0,"",Data!D611/FX!C11)</f>
        <v>2479.8000000000002</v>
      </c>
      <c r="G41" s="15">
        <f>IF(N(FX!D11)=0,"",Data!D612/FX!D11)</f>
        <v>2574.9213483146063</v>
      </c>
      <c r="H41" s="15">
        <f>IF(N(FX!E11)=0,"",Data!D613/FX!E11)</f>
        <v>2771.0117647058828</v>
      </c>
      <c r="I41" s="15">
        <f>IF(N(FX!F11)=0,"",Data!D614/FX!F11)</f>
        <v>2722.4199686590555</v>
      </c>
      <c r="J41" s="15">
        <f>IF(N(FX!G11)=0,"",Data!D615/FX!G11)</f>
        <v>2642.5168129488206</v>
      </c>
      <c r="K41" s="15">
        <f>IF(N(FX!H11)=0,"",Data!D616/FX!H11)</f>
        <v>2965.358240718846</v>
      </c>
      <c r="L41" s="15">
        <f>IF(N(FX!I11)=0,"",Data!D617/FX!I11)</f>
        <v>2789.2800840777718</v>
      </c>
      <c r="M41" s="15">
        <f>IF(N(FX!J11)=0,"",Data!D618/FX!J11)</f>
        <v>3063.9312358092766</v>
      </c>
      <c r="N41" s="15">
        <f>IF(N(FX!K11)=0,"",Data!D619/FX!K11)</f>
        <v>3176.322908776106</v>
      </c>
      <c r="O41" s="15">
        <f>IF(N(FX!L11)=0,"",Data!D620/FX!L11)</f>
        <v>3374.7715220579939</v>
      </c>
      <c r="P41" s="15">
        <f>IF(N(FX!M11)=0,"",Data!D621/FX!M11)</f>
        <v>3527.7931034482758</v>
      </c>
      <c r="Q41" s="15">
        <f>IF(N(FX!N11)=0,"",Data!D622/FX!N11)</f>
        <v>3544.8426966292132</v>
      </c>
      <c r="R41" s="15">
        <f>IF(N(FX!O11)=0,"",Data!D623/FX!O11)</f>
        <v>3650.8876404494381</v>
      </c>
      <c r="S41" s="15">
        <f>IF(N(FX!P11)=0,"",Data!D624/FX!P11)</f>
        <v>3906.058139534884</v>
      </c>
      <c r="T41" s="15">
        <f>IF(N(FX!Q11)=0,"",Data!D625/FX!Q11)</f>
        <v>4131.2976190476193</v>
      </c>
    </row>
    <row r="42" spans="1:20" x14ac:dyDescent="0.35">
      <c r="A42" t="s">
        <v>150</v>
      </c>
      <c r="B42" t="s">
        <v>94</v>
      </c>
      <c r="C42">
        <v>1</v>
      </c>
      <c r="E42" s="15">
        <f>IF(N(FX!B11)=0,"",Data!D626/FX!B11)</f>
        <v>1848.0888888888887</v>
      </c>
      <c r="F42" s="15">
        <f>IF(N(FX!C11)=0,"",Data!D627/FX!C11)</f>
        <v>1894.2888888888888</v>
      </c>
      <c r="G42" s="15">
        <f>IF(N(FX!D11)=0,"",Data!D628/FX!D11)</f>
        <v>1960.1011235955057</v>
      </c>
      <c r="H42" s="15">
        <f>IF(N(FX!E11)=0,"",Data!D629/FX!E11)</f>
        <v>2091.4588235294118</v>
      </c>
      <c r="I42" s="15">
        <f>IF(N(FX!F11)=0,"",Data!D630/FX!F11)</f>
        <v>2019.3306469666443</v>
      </c>
      <c r="J42" s="15">
        <f>IF(N(FX!G11)=0,"",Data!D631/FX!G11)</f>
        <v>1903.5791633420724</v>
      </c>
      <c r="K42" s="15">
        <f>IF(N(FX!H11)=0,"",Data!D632/FX!H11)</f>
        <v>2178.4227949869946</v>
      </c>
      <c r="L42" s="15">
        <f>IF(N(FX!I11)=0,"",Data!D633/FX!I11)</f>
        <v>2099.9159222280609</v>
      </c>
      <c r="M42" s="15">
        <f>IF(N(FX!J11)=0,"",Data!D634/FX!J11)</f>
        <v>2316.7261325548702</v>
      </c>
      <c r="N42" s="15">
        <f>IF(N(FX!K11)=0,"",Data!D635/FX!K11)</f>
        <v>2382.8914619629913</v>
      </c>
      <c r="O42" s="15">
        <f>IF(N(FX!L11)=0,"",Data!D636/FX!L11)</f>
        <v>2547.7265034412731</v>
      </c>
      <c r="P42" s="15">
        <f>IF(N(FX!M11)=0,"",Data!D637/FX!M11)</f>
        <v>2648.9425287356321</v>
      </c>
      <c r="Q42" s="15">
        <f>IF(N(FX!N11)=0,"",Data!D638/FX!N11)</f>
        <v>2632.8539325842694</v>
      </c>
      <c r="R42" s="15">
        <f>IF(N(FX!O11)=0,"",Data!D639/FX!O11)</f>
        <v>2689.1685393258426</v>
      </c>
      <c r="S42" s="15">
        <f>IF(N(FX!P11)=0,"",Data!D640/FX!P11)</f>
        <v>2854.7790697674423</v>
      </c>
      <c r="T42" s="15">
        <f>IF(N(FX!Q11)=0,"",Data!D641/FX!Q11)</f>
        <v>3000.9761904761908</v>
      </c>
    </row>
    <row r="44" spans="1:20" x14ac:dyDescent="0.35">
      <c r="A44" s="13" t="s">
        <v>277</v>
      </c>
    </row>
    <row r="45" spans="1:20" x14ac:dyDescent="0.35">
      <c r="A45" s="13" t="s">
        <v>23</v>
      </c>
      <c r="E45" s="13">
        <v>2016</v>
      </c>
      <c r="F45" s="13">
        <v>2017</v>
      </c>
      <c r="G45" s="13">
        <v>2018</v>
      </c>
      <c r="H45" s="13">
        <v>2019</v>
      </c>
      <c r="I45" s="13">
        <v>2020</v>
      </c>
      <c r="J45" s="13">
        <v>2021</v>
      </c>
      <c r="K45" s="13">
        <v>2022</v>
      </c>
      <c r="L45" s="13">
        <v>2023</v>
      </c>
      <c r="M45" s="13">
        <v>2024</v>
      </c>
      <c r="N45" s="13">
        <v>2025</v>
      </c>
      <c r="O45" s="13">
        <v>2026</v>
      </c>
      <c r="P45" s="13">
        <v>2027</v>
      </c>
      <c r="Q45" s="13">
        <v>2028</v>
      </c>
      <c r="R45" s="13">
        <v>2029</v>
      </c>
      <c r="S45" s="13">
        <v>2030</v>
      </c>
    </row>
    <row r="46" spans="1:20" x14ac:dyDescent="0.35">
      <c r="A46" t="s">
        <v>36</v>
      </c>
      <c r="B46" t="s">
        <v>37</v>
      </c>
      <c r="E46" s="11">
        <f t="shared" ref="E46:S46" si="0">IF($C3=0,0,N(E3)/SUMPRODUCT($C$3:$C$3,E$3:E$3))</f>
        <v>1</v>
      </c>
      <c r="F46" s="11">
        <f t="shared" si="0"/>
        <v>1</v>
      </c>
      <c r="G46" s="11">
        <f t="shared" si="0"/>
        <v>1</v>
      </c>
      <c r="H46" s="11">
        <f t="shared" si="0"/>
        <v>1</v>
      </c>
      <c r="I46" s="11">
        <f t="shared" si="0"/>
        <v>1</v>
      </c>
      <c r="J46" s="11">
        <f t="shared" si="0"/>
        <v>1</v>
      </c>
      <c r="K46" s="11">
        <f t="shared" si="0"/>
        <v>1</v>
      </c>
      <c r="L46" s="11">
        <f t="shared" si="0"/>
        <v>1</v>
      </c>
      <c r="M46" s="11">
        <f t="shared" si="0"/>
        <v>1</v>
      </c>
      <c r="N46" s="11">
        <f t="shared" si="0"/>
        <v>1</v>
      </c>
      <c r="O46" s="11">
        <f t="shared" si="0"/>
        <v>1</v>
      </c>
      <c r="P46" s="11">
        <f t="shared" si="0"/>
        <v>1</v>
      </c>
      <c r="Q46" s="11">
        <f t="shared" si="0"/>
        <v>1</v>
      </c>
      <c r="R46" s="11">
        <f t="shared" si="0"/>
        <v>1</v>
      </c>
      <c r="S46" s="11">
        <f t="shared" si="0"/>
        <v>1</v>
      </c>
    </row>
    <row r="47" spans="1:20" x14ac:dyDescent="0.35">
      <c r="A47" t="s">
        <v>46</v>
      </c>
      <c r="B47" t="s">
        <v>47</v>
      </c>
      <c r="E47" s="11">
        <f t="shared" ref="E47:S47" si="1">IF($C4=0,0,N(E4)/SUMPRODUCT($C$4:$C$5,E$4:E$5))</f>
        <v>0.92166109646694239</v>
      </c>
      <c r="F47" s="11">
        <f t="shared" si="1"/>
        <v>0.92508008828487176</v>
      </c>
      <c r="G47" s="11">
        <f t="shared" si="1"/>
        <v>0.92254264941452147</v>
      </c>
      <c r="H47" s="11">
        <f t="shared" si="1"/>
        <v>0.92314386845737295</v>
      </c>
      <c r="I47" s="11">
        <f t="shared" si="1"/>
        <v>0.92511529258209191</v>
      </c>
      <c r="J47" s="11">
        <f t="shared" si="1"/>
        <v>0.92811770023257012</v>
      </c>
      <c r="K47" s="11">
        <f t="shared" si="1"/>
        <v>0.92148889027997305</v>
      </c>
      <c r="L47" s="11">
        <f t="shared" si="1"/>
        <v>0.92210701520539318</v>
      </c>
      <c r="M47" s="11">
        <f t="shared" si="1"/>
        <v>0.92680950244065885</v>
      </c>
      <c r="N47" s="11">
        <f t="shared" si="1"/>
        <v>0.92829946899128091</v>
      </c>
      <c r="O47" s="11">
        <f t="shared" si="1"/>
        <v>0.93001970707657189</v>
      </c>
      <c r="P47" s="11">
        <f t="shared" si="1"/>
        <v>0.92988501633102982</v>
      </c>
      <c r="Q47" s="11">
        <f t="shared" si="1"/>
        <v>0.92779261366432564</v>
      </c>
      <c r="R47" s="11">
        <f t="shared" si="1"/>
        <v>0.92630533159038297</v>
      </c>
      <c r="S47" s="11">
        <f t="shared" si="1"/>
        <v>0.92456142244002237</v>
      </c>
    </row>
    <row r="48" spans="1:20" x14ac:dyDescent="0.35">
      <c r="A48" t="s">
        <v>50</v>
      </c>
      <c r="B48" t="s">
        <v>47</v>
      </c>
      <c r="E48" s="11">
        <f t="shared" ref="E48:S48" si="2">IF($C5=0,0,N(E5)/SUMPRODUCT($C$4:$C$5,E$4:E$5))</f>
        <v>7.8338903533057627E-2</v>
      </c>
      <c r="F48" s="11">
        <f t="shared" si="2"/>
        <v>7.4919911715128212E-2</v>
      </c>
      <c r="G48" s="11">
        <f t="shared" si="2"/>
        <v>7.7457350585478479E-2</v>
      </c>
      <c r="H48" s="11">
        <f t="shared" si="2"/>
        <v>7.6856131542627076E-2</v>
      </c>
      <c r="I48" s="11">
        <f t="shared" si="2"/>
        <v>7.488470741790805E-2</v>
      </c>
      <c r="J48" s="11">
        <f t="shared" si="2"/>
        <v>7.1882299767429936E-2</v>
      </c>
      <c r="K48" s="11">
        <f t="shared" si="2"/>
        <v>7.851110972002695E-2</v>
      </c>
      <c r="L48" s="11">
        <f t="shared" si="2"/>
        <v>7.7892984794606726E-2</v>
      </c>
      <c r="M48" s="11">
        <f t="shared" si="2"/>
        <v>7.3190497559341205E-2</v>
      </c>
      <c r="N48" s="11">
        <f t="shared" si="2"/>
        <v>7.1700531008719162E-2</v>
      </c>
      <c r="O48" s="11">
        <f t="shared" si="2"/>
        <v>6.9980292923428E-2</v>
      </c>
      <c r="P48" s="11">
        <f t="shared" si="2"/>
        <v>7.0114983668970177E-2</v>
      </c>
      <c r="Q48" s="11">
        <f t="shared" si="2"/>
        <v>7.2207386335674278E-2</v>
      </c>
      <c r="R48" s="11">
        <f t="shared" si="2"/>
        <v>7.3694668409616901E-2</v>
      </c>
      <c r="S48" s="11">
        <f t="shared" si="2"/>
        <v>7.5438577559977668E-2</v>
      </c>
    </row>
    <row r="49" spans="1:19" x14ac:dyDescent="0.35">
      <c r="A49" t="s">
        <v>53</v>
      </c>
      <c r="B49" t="s">
        <v>54</v>
      </c>
      <c r="E49" s="11">
        <f t="shared" ref="E49:S49" si="3">IF($C6=0,0,N(E6)/SUMPRODUCT($C$6:$C$20,E$6:E$20))</f>
        <v>0.17916260832325209</v>
      </c>
      <c r="F49" s="11">
        <f t="shared" si="3"/>
        <v>0.15849859279718767</v>
      </c>
      <c r="G49" s="11">
        <f t="shared" si="3"/>
        <v>0.16172864329636127</v>
      </c>
      <c r="H49" s="11">
        <f t="shared" si="3"/>
        <v>0.13877193510170802</v>
      </c>
      <c r="I49" s="11">
        <f t="shared" si="3"/>
        <v>0.12257583237604822</v>
      </c>
      <c r="J49" s="11">
        <f t="shared" si="3"/>
        <v>0.12663889574432352</v>
      </c>
      <c r="K49" s="11">
        <f t="shared" si="3"/>
        <v>0.13804421993579064</v>
      </c>
      <c r="L49" s="11">
        <f t="shared" si="3"/>
        <v>0.15699106612710748</v>
      </c>
      <c r="M49" s="11">
        <f t="shared" si="3"/>
        <v>0.14790259190146812</v>
      </c>
      <c r="N49" s="11">
        <f t="shared" si="3"/>
        <v>0.14141279396249651</v>
      </c>
      <c r="O49" s="11">
        <f t="shared" si="3"/>
        <v>0.14244662529007437</v>
      </c>
      <c r="P49" s="11">
        <f t="shared" si="3"/>
        <v>0.13908011832107689</v>
      </c>
      <c r="Q49" s="11">
        <f t="shared" si="3"/>
        <v>0.13557343485640999</v>
      </c>
      <c r="R49" s="11">
        <f t="shared" si="3"/>
        <v>0.13243402278968433</v>
      </c>
      <c r="S49" s="11">
        <f t="shared" si="3"/>
        <v>0.13264398682997852</v>
      </c>
    </row>
    <row r="50" spans="1:19" x14ac:dyDescent="0.35">
      <c r="A50" t="s">
        <v>57</v>
      </c>
      <c r="B50" t="s">
        <v>54</v>
      </c>
      <c r="E50" s="11">
        <f t="shared" ref="E50:S50" si="4">IF($C7=0,0,N(E7)/SUMPRODUCT($C$6:$C$20,E$6:E$20))</f>
        <v>0.50004055494951904</v>
      </c>
      <c r="F50" s="11">
        <f t="shared" si="4"/>
        <v>0.51074572900959192</v>
      </c>
      <c r="G50" s="11">
        <f t="shared" si="4"/>
        <v>0.51865366721663264</v>
      </c>
      <c r="H50" s="11">
        <f t="shared" si="4"/>
        <v>0.50731319313978374</v>
      </c>
      <c r="I50" s="11">
        <f t="shared" si="4"/>
        <v>0.5144959054342052</v>
      </c>
      <c r="J50" s="11">
        <f t="shared" si="4"/>
        <v>0.4857881266944129</v>
      </c>
      <c r="K50" s="11">
        <f t="shared" si="4"/>
        <v>0.47486585433549683</v>
      </c>
      <c r="L50" s="11">
        <f t="shared" si="4"/>
        <v>0.48405838744345897</v>
      </c>
      <c r="M50" s="11">
        <f t="shared" si="4"/>
        <v>0.49491251311007861</v>
      </c>
      <c r="N50" s="11">
        <f t="shared" si="4"/>
        <v>0.48458684556923159</v>
      </c>
      <c r="O50" s="11">
        <f t="shared" si="4"/>
        <v>0.47486117747471684</v>
      </c>
      <c r="P50" s="11">
        <f t="shared" si="4"/>
        <v>0.47923954850527523</v>
      </c>
      <c r="Q50" s="11">
        <f t="shared" si="4"/>
        <v>0.4773429001652264</v>
      </c>
      <c r="R50" s="11">
        <f t="shared" si="4"/>
        <v>0.47561981405775866</v>
      </c>
      <c r="S50" s="11">
        <f t="shared" si="4"/>
        <v>0.47255975094519553</v>
      </c>
    </row>
    <row r="51" spans="1:19" x14ac:dyDescent="0.35">
      <c r="A51" t="s">
        <v>60</v>
      </c>
      <c r="B51" t="s">
        <v>54</v>
      </c>
      <c r="E51" s="11">
        <f t="shared" ref="E51:S51" si="5">IF($C8=0,0,N(E8)/SUMPRODUCT($C$6:$C$20,E$6:E$20))</f>
        <v>6.7771584166913215E-2</v>
      </c>
      <c r="F51" s="11">
        <f t="shared" si="5"/>
        <v>7.0561798892978866E-2</v>
      </c>
      <c r="G51" s="11">
        <f t="shared" si="5"/>
        <v>6.9306162865735849E-2</v>
      </c>
      <c r="H51" s="11">
        <f t="shared" si="5"/>
        <v>7.8249755310812741E-2</v>
      </c>
      <c r="I51" s="11">
        <f t="shared" si="5"/>
        <v>7.6638080294427813E-2</v>
      </c>
      <c r="J51" s="11">
        <f t="shared" si="5"/>
        <v>8.3778109079402224E-2</v>
      </c>
      <c r="K51" s="11">
        <f t="shared" si="5"/>
        <v>8.9522559410250571E-2</v>
      </c>
      <c r="L51" s="11">
        <f t="shared" si="5"/>
        <v>7.489531109998393E-2</v>
      </c>
      <c r="M51" s="11">
        <f t="shared" si="5"/>
        <v>7.5940306609378269E-2</v>
      </c>
      <c r="N51" s="11">
        <f t="shared" si="5"/>
        <v>7.3287210151642371E-2</v>
      </c>
      <c r="O51" s="11">
        <f t="shared" si="5"/>
        <v>7.4574020758159554E-2</v>
      </c>
      <c r="P51" s="11">
        <f t="shared" si="5"/>
        <v>7.1769603593277456E-2</v>
      </c>
      <c r="Q51" s="11">
        <f t="shared" si="5"/>
        <v>7.2234061936241531E-2</v>
      </c>
      <c r="R51" s="11">
        <f t="shared" si="5"/>
        <v>7.6585036237066986E-2</v>
      </c>
      <c r="S51" s="11">
        <f t="shared" si="5"/>
        <v>7.8568016634620388E-2</v>
      </c>
    </row>
    <row r="52" spans="1:19" x14ac:dyDescent="0.35">
      <c r="A52" t="s">
        <v>63</v>
      </c>
      <c r="B52" t="s">
        <v>54</v>
      </c>
      <c r="E52" s="11">
        <f t="shared" ref="E52:S52" si="6">IF($C9=0,0,N(E9)/SUMPRODUCT($C$6:$C$20,E$6:E$20))</f>
        <v>8.1560727334224162E-2</v>
      </c>
      <c r="F52" s="11">
        <f t="shared" si="6"/>
        <v>8.0521590541789007E-2</v>
      </c>
      <c r="G52" s="11">
        <f t="shared" si="6"/>
        <v>7.8391382458492989E-2</v>
      </c>
      <c r="H52" s="11">
        <f t="shared" si="6"/>
        <v>8.8224075696184109E-2</v>
      </c>
      <c r="I52" s="11">
        <f t="shared" si="6"/>
        <v>8.8663636092696438E-2</v>
      </c>
      <c r="J52" s="11">
        <f t="shared" si="6"/>
        <v>8.8961265193044481E-2</v>
      </c>
      <c r="K52" s="11">
        <f t="shared" si="6"/>
        <v>9.0566149820102249E-2</v>
      </c>
      <c r="L52" s="11">
        <f t="shared" si="6"/>
        <v>8.5772499804327815E-2</v>
      </c>
      <c r="M52" s="11">
        <f t="shared" si="6"/>
        <v>8.2888122900696415E-2</v>
      </c>
      <c r="N52" s="11">
        <f t="shared" si="6"/>
        <v>9.3344089103739147E-2</v>
      </c>
      <c r="O52" s="11">
        <f t="shared" si="6"/>
        <v>9.5323688965086903E-2</v>
      </c>
      <c r="P52" s="11">
        <f t="shared" si="6"/>
        <v>0.10461696820168956</v>
      </c>
      <c r="Q52" s="11">
        <f t="shared" si="6"/>
        <v>0.10902771131099728</v>
      </c>
      <c r="R52" s="11">
        <f t="shared" si="6"/>
        <v>0.10658225752814048</v>
      </c>
      <c r="S52" s="11">
        <f t="shared" si="6"/>
        <v>0.10710054980060257</v>
      </c>
    </row>
    <row r="53" spans="1:19" x14ac:dyDescent="0.35">
      <c r="A53" t="s">
        <v>66</v>
      </c>
      <c r="B53" t="s">
        <v>54</v>
      </c>
      <c r="E53" s="11">
        <f t="shared" ref="E53:S53" si="7">IF($C10=0,0,N(E10)/SUMPRODUCT($C$6:$C$20,E$6:E$20))</f>
        <v>1.5674778534862106E-2</v>
      </c>
      <c r="F53" s="11">
        <f t="shared" si="7"/>
        <v>1.6731428889232378E-2</v>
      </c>
      <c r="G53" s="11">
        <f t="shared" si="7"/>
        <v>1.520385194808745E-2</v>
      </c>
      <c r="H53" s="11">
        <f t="shared" si="7"/>
        <v>1.6541189188690308E-2</v>
      </c>
      <c r="I53" s="11">
        <f t="shared" si="7"/>
        <v>1.786420931767612E-2</v>
      </c>
      <c r="J53" s="11">
        <f t="shared" si="7"/>
        <v>2.0763622438107185E-2</v>
      </c>
      <c r="K53" s="11">
        <f t="shared" si="7"/>
        <v>1.8725103698942765E-2</v>
      </c>
      <c r="L53" s="11">
        <f t="shared" si="7"/>
        <v>1.7689365369925047E-2</v>
      </c>
      <c r="M53" s="11">
        <f t="shared" si="7"/>
        <v>1.9911427593642596E-2</v>
      </c>
      <c r="N53" s="11">
        <f t="shared" si="7"/>
        <v>2.1577181822268074E-2</v>
      </c>
      <c r="O53" s="11">
        <f t="shared" si="7"/>
        <v>2.1568362421701487E-2</v>
      </c>
      <c r="P53" s="11">
        <f t="shared" si="7"/>
        <v>2.0840147113068235E-2</v>
      </c>
      <c r="Q53" s="11">
        <f t="shared" si="7"/>
        <v>2.0530708862838792E-2</v>
      </c>
      <c r="R53" s="11">
        <f t="shared" si="7"/>
        <v>2.0398486195341528E-2</v>
      </c>
      <c r="S53" s="11">
        <f t="shared" si="7"/>
        <v>2.0088135261678741E-2</v>
      </c>
    </row>
    <row r="54" spans="1:19" x14ac:dyDescent="0.35">
      <c r="A54" t="s">
        <v>70</v>
      </c>
      <c r="B54" t="s">
        <v>54</v>
      </c>
      <c r="E54" s="11">
        <f t="shared" ref="E54:S54" si="8">IF($C11=0,0,N(E11)/SUMPRODUCT($C$6:$C$20,E$6:E$20))</f>
        <v>2.6996905831311695E-2</v>
      </c>
      <c r="F54" s="11">
        <f t="shared" si="8"/>
        <v>2.7769638602491865E-2</v>
      </c>
      <c r="G54" s="11">
        <f t="shared" si="8"/>
        <v>2.6246554249507698E-2</v>
      </c>
      <c r="H54" s="11">
        <f t="shared" si="8"/>
        <v>2.8414620538013718E-2</v>
      </c>
      <c r="I54" s="11">
        <f t="shared" si="8"/>
        <v>2.9518691934422414E-2</v>
      </c>
      <c r="J54" s="11">
        <f t="shared" si="8"/>
        <v>3.1519188221049176E-2</v>
      </c>
      <c r="K54" s="11">
        <f t="shared" si="8"/>
        <v>3.0440061852433205E-2</v>
      </c>
      <c r="L54" s="11">
        <f t="shared" si="8"/>
        <v>2.8776974542292402E-2</v>
      </c>
      <c r="M54" s="11">
        <f t="shared" si="8"/>
        <v>2.7313636631305614E-2</v>
      </c>
      <c r="N54" s="11">
        <f t="shared" si="8"/>
        <v>2.7451330049462232E-2</v>
      </c>
      <c r="O54" s="11">
        <f t="shared" si="8"/>
        <v>2.7156191734640817E-2</v>
      </c>
      <c r="P54" s="11">
        <f t="shared" si="8"/>
        <v>2.4825870628087797E-2</v>
      </c>
      <c r="Q54" s="11">
        <f t="shared" si="8"/>
        <v>2.4849805669330226E-2</v>
      </c>
      <c r="R54" s="11">
        <f t="shared" si="8"/>
        <v>2.5172240795653649E-2</v>
      </c>
      <c r="S54" s="11">
        <f t="shared" si="8"/>
        <v>2.5076606461397293E-2</v>
      </c>
    </row>
    <row r="55" spans="1:19" x14ac:dyDescent="0.35">
      <c r="A55" t="s">
        <v>71</v>
      </c>
      <c r="B55" t="s">
        <v>54</v>
      </c>
      <c r="E55" s="11">
        <f t="shared" ref="E55:S55" si="9">IF($C12=0,0,N(E12)/SUMPRODUCT($C$6:$C$20,E$6:E$20))</f>
        <v>6.5096952235978419E-3</v>
      </c>
      <c r="F55" s="11">
        <f t="shared" si="9"/>
        <v>6.8777266079070153E-3</v>
      </c>
      <c r="G55" s="11">
        <f t="shared" si="9"/>
        <v>6.2758583818579719E-3</v>
      </c>
      <c r="H55" s="11">
        <f t="shared" si="9"/>
        <v>6.8789395831700493E-3</v>
      </c>
      <c r="I55" s="11">
        <f t="shared" si="9"/>
        <v>7.3741862378928855E-3</v>
      </c>
      <c r="J55" s="11">
        <f t="shared" si="9"/>
        <v>8.1929505629346564E-3</v>
      </c>
      <c r="K55" s="11">
        <f t="shared" si="9"/>
        <v>8.2476151912172068E-3</v>
      </c>
      <c r="L55" s="11">
        <f t="shared" si="9"/>
        <v>7.8973751714704107E-3</v>
      </c>
      <c r="M55" s="11">
        <f t="shared" si="9"/>
        <v>7.5910156611716986E-3</v>
      </c>
      <c r="N55" s="11">
        <f t="shared" si="9"/>
        <v>7.7342681108662579E-3</v>
      </c>
      <c r="O55" s="11">
        <f t="shared" si="9"/>
        <v>7.6496608239615136E-3</v>
      </c>
      <c r="P55" s="11">
        <f t="shared" si="9"/>
        <v>6.9207254867751289E-3</v>
      </c>
      <c r="Q55" s="11">
        <f t="shared" si="9"/>
        <v>6.8612065177492687E-3</v>
      </c>
      <c r="R55" s="11">
        <f t="shared" si="9"/>
        <v>6.9060556426775166E-3</v>
      </c>
      <c r="S55" s="11">
        <f t="shared" si="9"/>
        <v>6.8533523067777768E-3</v>
      </c>
    </row>
    <row r="56" spans="1:19" x14ac:dyDescent="0.35">
      <c r="A56" t="s">
        <v>73</v>
      </c>
      <c r="B56" t="s">
        <v>54</v>
      </c>
      <c r="E56" s="11">
        <f t="shared" ref="E56:S56" si="10">IF($C13=0,0,N(E13)/SUMPRODUCT($C$6:$C$20,E$6:E$20))</f>
        <v>1.7280918157537777E-2</v>
      </c>
      <c r="F56" s="11">
        <f t="shared" si="10"/>
        <v>1.8780154680975835E-2</v>
      </c>
      <c r="G56" s="11">
        <f t="shared" si="10"/>
        <v>1.7996994584141002E-2</v>
      </c>
      <c r="H56" s="11">
        <f t="shared" si="10"/>
        <v>1.9383825647478981E-2</v>
      </c>
      <c r="I56" s="11">
        <f t="shared" si="10"/>
        <v>2.1162093188201715E-2</v>
      </c>
      <c r="J56" s="11">
        <f t="shared" si="10"/>
        <v>2.5557189700452572E-2</v>
      </c>
      <c r="K56" s="11">
        <f t="shared" si="10"/>
        <v>2.4536304402655529E-2</v>
      </c>
      <c r="L56" s="11">
        <f t="shared" si="10"/>
        <v>2.3686769844335334E-2</v>
      </c>
      <c r="M56" s="11">
        <f t="shared" si="10"/>
        <v>2.3590351618393367E-2</v>
      </c>
      <c r="N56" s="11">
        <f t="shared" si="10"/>
        <v>2.5099692930636304E-2</v>
      </c>
      <c r="O56" s="11">
        <f t="shared" si="10"/>
        <v>2.5695148974861363E-2</v>
      </c>
      <c r="P56" s="11">
        <f t="shared" si="10"/>
        <v>2.3991323303445992E-2</v>
      </c>
      <c r="Q56" s="11">
        <f t="shared" si="10"/>
        <v>2.4972836901452591E-2</v>
      </c>
      <c r="R56" s="11">
        <f t="shared" si="10"/>
        <v>2.639103502279886E-2</v>
      </c>
      <c r="S56" s="11">
        <f t="shared" si="10"/>
        <v>2.750065242466853E-2</v>
      </c>
    </row>
    <row r="57" spans="1:19" x14ac:dyDescent="0.35">
      <c r="A57" t="s">
        <v>75</v>
      </c>
      <c r="B57" t="s">
        <v>54</v>
      </c>
      <c r="E57" s="11">
        <f t="shared" ref="E57:S57" si="11">IF($C14=0,0,N(E14)/SUMPRODUCT($C$6:$C$20,E$6:E$20))</f>
        <v>5.8252326064836364E-3</v>
      </c>
      <c r="F57" s="11">
        <f t="shared" si="11"/>
        <v>6.1734020791929019E-3</v>
      </c>
      <c r="G57" s="11">
        <f t="shared" si="11"/>
        <v>5.8118890935679526E-3</v>
      </c>
      <c r="H57" s="11">
        <f t="shared" si="11"/>
        <v>6.3634931021937843E-3</v>
      </c>
      <c r="I57" s="11">
        <f t="shared" si="11"/>
        <v>6.803542370855572E-3</v>
      </c>
      <c r="J57" s="11">
        <f t="shared" si="11"/>
        <v>7.650068124194438E-3</v>
      </c>
      <c r="K57" s="11">
        <f t="shared" si="11"/>
        <v>7.9655626467420044E-3</v>
      </c>
      <c r="L57" s="11">
        <f t="shared" si="11"/>
        <v>7.7638176119275877E-3</v>
      </c>
      <c r="M57" s="11">
        <f t="shared" si="11"/>
        <v>7.7503283221716218E-3</v>
      </c>
      <c r="N57" s="11">
        <f t="shared" si="11"/>
        <v>8.1799160149050604E-3</v>
      </c>
      <c r="O57" s="11">
        <f t="shared" si="11"/>
        <v>8.2308031271909783E-3</v>
      </c>
      <c r="P57" s="11">
        <f t="shared" si="11"/>
        <v>7.556543037505292E-3</v>
      </c>
      <c r="Q57" s="11">
        <f t="shared" si="11"/>
        <v>7.5747528006120746E-3</v>
      </c>
      <c r="R57" s="11">
        <f t="shared" si="11"/>
        <v>7.6880244762233957E-3</v>
      </c>
      <c r="S57" s="11">
        <f t="shared" si="11"/>
        <v>7.6698458832625965E-3</v>
      </c>
    </row>
    <row r="58" spans="1:19" x14ac:dyDescent="0.35">
      <c r="A58" t="s">
        <v>79</v>
      </c>
      <c r="B58" t="s">
        <v>54</v>
      </c>
      <c r="E58" s="11">
        <f t="shared" ref="E58:S58" si="12">IF($C15=0,0,N(E15)/SUMPRODUCT($C$6:$C$20,E$6:E$20))</f>
        <v>3.5423737260791748E-3</v>
      </c>
      <c r="F58" s="11">
        <f t="shared" si="12"/>
        <v>3.7776355308540696E-3</v>
      </c>
      <c r="G58" s="11">
        <f t="shared" si="12"/>
        <v>3.4636196283963881E-3</v>
      </c>
      <c r="H58" s="11">
        <f t="shared" si="12"/>
        <v>3.4438648062834255E-3</v>
      </c>
      <c r="I58" s="11">
        <f t="shared" si="12"/>
        <v>3.4839675637474113E-3</v>
      </c>
      <c r="J58" s="11">
        <f t="shared" si="12"/>
        <v>4.1843030411709914E-3</v>
      </c>
      <c r="K58" s="11">
        <f t="shared" si="12"/>
        <v>4.0356380890327259E-3</v>
      </c>
      <c r="L58" s="11">
        <f t="shared" si="12"/>
        <v>3.8747107172777233E-3</v>
      </c>
      <c r="M58" s="11">
        <f t="shared" si="12"/>
        <v>4.0265015743308789E-3</v>
      </c>
      <c r="N58" s="11">
        <f t="shared" si="12"/>
        <v>4.3679379816815049E-3</v>
      </c>
      <c r="O58" s="11">
        <f t="shared" si="12"/>
        <v>4.6343399200954776E-3</v>
      </c>
      <c r="P58" s="11">
        <f t="shared" si="12"/>
        <v>4.2947515655709393E-3</v>
      </c>
      <c r="Q58" s="11">
        <f t="shared" si="12"/>
        <v>4.3445424072916065E-3</v>
      </c>
      <c r="R58" s="11">
        <f t="shared" si="12"/>
        <v>4.3043068257469447E-3</v>
      </c>
      <c r="S58" s="11">
        <f t="shared" si="12"/>
        <v>4.2053864846810281E-3</v>
      </c>
    </row>
    <row r="59" spans="1:19" x14ac:dyDescent="0.35">
      <c r="A59" t="s">
        <v>81</v>
      </c>
      <c r="B59" t="s">
        <v>54</v>
      </c>
      <c r="E59" s="11">
        <f t="shared" ref="E59:S59" si="13">IF($C16=0,0,N(E16)/SUMPRODUCT($C$6:$C$20,E$6:E$20))</f>
        <v>1.5021732706672664E-2</v>
      </c>
      <c r="F59" s="11">
        <f t="shared" si="13"/>
        <v>1.6465032983211874E-2</v>
      </c>
      <c r="G59" s="11">
        <f t="shared" si="13"/>
        <v>1.5626837123761644E-2</v>
      </c>
      <c r="H59" s="11">
        <f t="shared" si="13"/>
        <v>1.7797471665603679E-2</v>
      </c>
      <c r="I59" s="11">
        <f t="shared" si="13"/>
        <v>1.9143255791672826E-2</v>
      </c>
      <c r="J59" s="11">
        <f t="shared" si="13"/>
        <v>1.8759621152530156E-2</v>
      </c>
      <c r="K59" s="11">
        <f t="shared" si="13"/>
        <v>1.9142192282645999E-2</v>
      </c>
      <c r="L59" s="11">
        <f t="shared" si="13"/>
        <v>1.8951718014247162E-2</v>
      </c>
      <c r="M59" s="11">
        <f t="shared" si="13"/>
        <v>1.8953796029770976E-2</v>
      </c>
      <c r="N59" s="11">
        <f t="shared" si="13"/>
        <v>1.9193757100819473E-2</v>
      </c>
      <c r="O59" s="11">
        <f t="shared" si="13"/>
        <v>1.8900142651411312E-2</v>
      </c>
      <c r="P59" s="11">
        <f t="shared" si="13"/>
        <v>1.7425365892034018E-2</v>
      </c>
      <c r="Q59" s="11">
        <f t="shared" si="13"/>
        <v>1.7453826122967975E-2</v>
      </c>
      <c r="R59" s="11">
        <f t="shared" si="13"/>
        <v>1.774989108930481E-2</v>
      </c>
      <c r="S59" s="11">
        <f t="shared" si="13"/>
        <v>1.7813956725186958E-2</v>
      </c>
    </row>
    <row r="60" spans="1:19" x14ac:dyDescent="0.35">
      <c r="A60" t="s">
        <v>83</v>
      </c>
      <c r="B60" t="s">
        <v>54</v>
      </c>
      <c r="E60" s="11">
        <f t="shared" ref="E60:S60" si="14">IF($C17=0,0,N(E17)/SUMPRODUCT($C$6:$C$20,E$6:E$20))</f>
        <v>1.0066186628246597E-2</v>
      </c>
      <c r="F60" s="11">
        <f t="shared" si="14"/>
        <v>1.026213515655507E-2</v>
      </c>
      <c r="G60" s="11">
        <f t="shared" si="14"/>
        <v>9.7954953901392919E-3</v>
      </c>
      <c r="H60" s="11">
        <f t="shared" si="14"/>
        <v>1.0638520034175283E-2</v>
      </c>
      <c r="I60" s="11">
        <f t="shared" si="14"/>
        <v>1.0405472558382032E-2</v>
      </c>
      <c r="J60" s="11">
        <f t="shared" si="14"/>
        <v>1.1650698895571609E-2</v>
      </c>
      <c r="K60" s="11">
        <f t="shared" si="14"/>
        <v>1.1349444223176625E-2</v>
      </c>
      <c r="L60" s="11">
        <f t="shared" si="14"/>
        <v>1.037243935943437E-2</v>
      </c>
      <c r="M60" s="11">
        <f t="shared" si="14"/>
        <v>9.7537723915567393E-3</v>
      </c>
      <c r="N60" s="11">
        <f t="shared" si="14"/>
        <v>9.9207822353109491E-3</v>
      </c>
      <c r="O60" s="11">
        <f t="shared" si="14"/>
        <v>1.0276160429307958E-2</v>
      </c>
      <c r="P60" s="11">
        <f t="shared" si="14"/>
        <v>1.1796346973634249E-2</v>
      </c>
      <c r="Q60" s="11">
        <f t="shared" si="14"/>
        <v>1.2154707815202656E-2</v>
      </c>
      <c r="R60" s="11">
        <f t="shared" si="14"/>
        <v>1.2150518986091438E-2</v>
      </c>
      <c r="S60" s="11">
        <f t="shared" si="14"/>
        <v>1.1966655322098457E-2</v>
      </c>
    </row>
    <row r="61" spans="1:19" x14ac:dyDescent="0.35">
      <c r="A61" t="s">
        <v>85</v>
      </c>
      <c r="B61" t="s">
        <v>54</v>
      </c>
      <c r="E61" s="11">
        <f t="shared" ref="E61:S61" si="15">IF($C18=0,0,N(E18)/SUMPRODUCT($C$6:$C$20,E$6:E$20))</f>
        <v>5.4084148408111522E-2</v>
      </c>
      <c r="F61" s="11">
        <f t="shared" si="15"/>
        <v>5.6490726531404918E-2</v>
      </c>
      <c r="G61" s="11">
        <f t="shared" si="15"/>
        <v>5.5169273330574475E-2</v>
      </c>
      <c r="H61" s="11">
        <f t="shared" si="15"/>
        <v>6.0706546599616822E-2</v>
      </c>
      <c r="I61" s="11">
        <f t="shared" si="15"/>
        <v>6.4798631141022384E-2</v>
      </c>
      <c r="J61" s="11">
        <f t="shared" si="15"/>
        <v>6.894590523025429E-2</v>
      </c>
      <c r="K61" s="11">
        <f t="shared" si="15"/>
        <v>6.5311041421391339E-2</v>
      </c>
      <c r="L61" s="11">
        <f t="shared" si="15"/>
        <v>6.1619946841062208E-2</v>
      </c>
      <c r="M61" s="11">
        <f t="shared" si="15"/>
        <v>6.1557387270503014E-2</v>
      </c>
      <c r="N61" s="11">
        <f t="shared" si="15"/>
        <v>6.5588722277791056E-2</v>
      </c>
      <c r="O61" s="11">
        <f t="shared" si="15"/>
        <v>7.0855324335616227E-2</v>
      </c>
      <c r="P61" s="11">
        <f t="shared" si="15"/>
        <v>7.1049178532958709E-2</v>
      </c>
      <c r="Q61" s="11">
        <f t="shared" si="15"/>
        <v>7.1307581050460964E-2</v>
      </c>
      <c r="R61" s="11">
        <f t="shared" si="15"/>
        <v>7.2233585542006373E-2</v>
      </c>
      <c r="S61" s="11">
        <f t="shared" si="15"/>
        <v>7.2290819209664584E-2</v>
      </c>
    </row>
    <row r="62" spans="1:19" x14ac:dyDescent="0.35">
      <c r="A62" t="s">
        <v>90</v>
      </c>
      <c r="B62" t="s">
        <v>54</v>
      </c>
      <c r="E62" s="11">
        <f t="shared" ref="E62:S62" si="16">IF($C19=0,0,N(E19)/SUMPRODUCT($C$6:$C$20,E$6:E$20))</f>
        <v>1.6462553403188303E-2</v>
      </c>
      <c r="F62" s="11">
        <f t="shared" si="16"/>
        <v>1.6344407696626598E-2</v>
      </c>
      <c r="G62" s="11">
        <f t="shared" si="16"/>
        <v>1.6329770432743293E-2</v>
      </c>
      <c r="H62" s="11">
        <f t="shared" si="16"/>
        <v>1.7272569586285355E-2</v>
      </c>
      <c r="I62" s="11">
        <f t="shared" si="16"/>
        <v>1.7072495698748826E-2</v>
      </c>
      <c r="J62" s="11">
        <f t="shared" si="16"/>
        <v>1.7610055922551847E-2</v>
      </c>
      <c r="K62" s="11">
        <f t="shared" si="16"/>
        <v>1.7248252690122385E-2</v>
      </c>
      <c r="L62" s="11">
        <f t="shared" si="16"/>
        <v>1.7649618053149841E-2</v>
      </c>
      <c r="M62" s="11">
        <f t="shared" si="16"/>
        <v>1.7908248385531945E-2</v>
      </c>
      <c r="N62" s="11">
        <f t="shared" si="16"/>
        <v>1.8255472689149583E-2</v>
      </c>
      <c r="O62" s="11">
        <f t="shared" si="16"/>
        <v>1.7828353093175011E-2</v>
      </c>
      <c r="P62" s="11">
        <f t="shared" si="16"/>
        <v>1.6593508845600416E-2</v>
      </c>
      <c r="Q62" s="11">
        <f t="shared" si="16"/>
        <v>1.5771923583218668E-2</v>
      </c>
      <c r="R62" s="11">
        <f t="shared" si="16"/>
        <v>1.5784724811504919E-2</v>
      </c>
      <c r="S62" s="11">
        <f t="shared" si="16"/>
        <v>1.5662285710187119E-2</v>
      </c>
    </row>
    <row r="63" spans="1:19" x14ac:dyDescent="0.35">
      <c r="A63" t="s">
        <v>91</v>
      </c>
      <c r="B63" t="s">
        <v>54</v>
      </c>
      <c r="E63" s="11">
        <f t="shared" ref="E63:S63" si="17">IF($C20=0,0,N(E20)/SUMPRODUCT($C$6:$C$20,E$6:E$20))</f>
        <v>0</v>
      </c>
      <c r="F63" s="11">
        <f t="shared" si="17"/>
        <v>0</v>
      </c>
      <c r="G63" s="11">
        <f t="shared" si="17"/>
        <v>0</v>
      </c>
      <c r="H63" s="11">
        <f t="shared" si="17"/>
        <v>0</v>
      </c>
      <c r="I63" s="11">
        <f t="shared" si="17"/>
        <v>0</v>
      </c>
      <c r="J63" s="11">
        <f t="shared" si="17"/>
        <v>0</v>
      </c>
      <c r="K63" s="11">
        <f t="shared" si="17"/>
        <v>0</v>
      </c>
      <c r="L63" s="11">
        <f t="shared" si="17"/>
        <v>0</v>
      </c>
      <c r="M63" s="11">
        <f t="shared" si="17"/>
        <v>0</v>
      </c>
      <c r="N63" s="11">
        <f t="shared" si="17"/>
        <v>0</v>
      </c>
      <c r="O63" s="11">
        <f t="shared" si="17"/>
        <v>0</v>
      </c>
      <c r="P63" s="11">
        <f t="shared" si="17"/>
        <v>0</v>
      </c>
      <c r="Q63" s="11">
        <f t="shared" si="17"/>
        <v>0</v>
      </c>
      <c r="R63" s="11">
        <f t="shared" si="17"/>
        <v>0</v>
      </c>
      <c r="S63" s="11">
        <f t="shared" si="17"/>
        <v>0</v>
      </c>
    </row>
    <row r="64" spans="1:19" x14ac:dyDescent="0.35">
      <c r="A64" t="s">
        <v>93</v>
      </c>
      <c r="B64" t="s">
        <v>94</v>
      </c>
      <c r="E64" s="11">
        <f t="shared" ref="E64:S64" si="18">IF($C21=0,0,N(E21)/SUMPRODUCT($C$21:$C$42,E$21:E$42))</f>
        <v>0.10786705382021615</v>
      </c>
      <c r="F64" s="11">
        <f t="shared" si="18"/>
        <v>9.786577165267564E-2</v>
      </c>
      <c r="G64" s="11">
        <f t="shared" si="18"/>
        <v>9.0149910778725209E-2</v>
      </c>
      <c r="H64" s="11">
        <f t="shared" si="18"/>
        <v>8.905047424404576E-2</v>
      </c>
      <c r="I64" s="11">
        <f t="shared" si="18"/>
        <v>8.7698121285295152E-2</v>
      </c>
      <c r="J64" s="11">
        <f t="shared" si="18"/>
        <v>8.446600395227491E-2</v>
      </c>
      <c r="K64" s="11">
        <f t="shared" si="18"/>
        <v>8.3767174717819942E-2</v>
      </c>
      <c r="L64" s="11">
        <f t="shared" si="18"/>
        <v>8.2427535694606383E-2</v>
      </c>
      <c r="M64" s="11">
        <f t="shared" si="18"/>
        <v>8.6023461276447721E-2</v>
      </c>
      <c r="N64" s="11">
        <f t="shared" si="18"/>
        <v>8.8581792347362381E-2</v>
      </c>
      <c r="O64" s="11">
        <f t="shared" si="18"/>
        <v>8.9979193288021161E-2</v>
      </c>
      <c r="P64" s="11">
        <f t="shared" si="18"/>
        <v>8.5985055882865161E-2</v>
      </c>
      <c r="Q64" s="11">
        <f t="shared" si="18"/>
        <v>8.448702054534632E-2</v>
      </c>
      <c r="R64" s="11">
        <f t="shared" si="18"/>
        <v>8.3352761966550448E-2</v>
      </c>
      <c r="S64" s="11">
        <f t="shared" si="18"/>
        <v>8.154309966019628E-2</v>
      </c>
    </row>
    <row r="65" spans="1:19" x14ac:dyDescent="0.35">
      <c r="A65" t="s">
        <v>97</v>
      </c>
      <c r="B65" t="s">
        <v>94</v>
      </c>
      <c r="E65" s="11">
        <f t="shared" ref="E65:S65" si="19">IF($C22=0,0,N(E22)/SUMPRODUCT($C$21:$C$42,E$21:E$42))</f>
        <v>2.5732931598431045E-2</v>
      </c>
      <c r="F65" s="11">
        <f t="shared" si="19"/>
        <v>2.5109556889452888E-2</v>
      </c>
      <c r="G65" s="11">
        <f t="shared" si="19"/>
        <v>2.3747932452780458E-2</v>
      </c>
      <c r="H65" s="11">
        <f t="shared" si="19"/>
        <v>2.2665226339224881E-2</v>
      </c>
      <c r="I65" s="11">
        <f t="shared" si="19"/>
        <v>2.246559976744893E-2</v>
      </c>
      <c r="J65" s="11">
        <f t="shared" si="19"/>
        <v>2.3333060934988444E-2</v>
      </c>
      <c r="K65" s="11">
        <f t="shared" si="19"/>
        <v>2.2036359923300462E-2</v>
      </c>
      <c r="L65" s="11">
        <f t="shared" si="19"/>
        <v>2.2285660476381138E-2</v>
      </c>
      <c r="M65" s="11">
        <f t="shared" si="19"/>
        <v>2.3257879158088992E-2</v>
      </c>
      <c r="N65" s="11">
        <f t="shared" si="19"/>
        <v>2.3341019041457814E-2</v>
      </c>
      <c r="O65" s="11">
        <f t="shared" si="19"/>
        <v>2.382190792195622E-2</v>
      </c>
      <c r="P65" s="11">
        <f t="shared" si="19"/>
        <v>2.2894560678843667E-2</v>
      </c>
      <c r="Q65" s="11">
        <f t="shared" si="19"/>
        <v>2.2021909807324026E-2</v>
      </c>
      <c r="R65" s="11">
        <f t="shared" si="19"/>
        <v>2.1477051194927439E-2</v>
      </c>
      <c r="S65" s="11">
        <f t="shared" si="19"/>
        <v>2.0953275179915534E-2</v>
      </c>
    </row>
    <row r="66" spans="1:19" x14ac:dyDescent="0.35">
      <c r="A66" t="s">
        <v>99</v>
      </c>
      <c r="B66" t="s">
        <v>94</v>
      </c>
      <c r="E66" s="11">
        <f t="shared" ref="E66:S66" si="20">IF($C23=0,0,N(E23)/SUMPRODUCT($C$21:$C$42,E$21:E$42))</f>
        <v>6.4589054833905177E-3</v>
      </c>
      <c r="F66" s="11">
        <f t="shared" si="20"/>
        <v>6.6896016868670839E-3</v>
      </c>
      <c r="G66" s="11">
        <f t="shared" si="20"/>
        <v>7.0328818142982204E-3</v>
      </c>
      <c r="H66" s="11">
        <f t="shared" si="20"/>
        <v>7.4120491400628194E-3</v>
      </c>
      <c r="I66" s="11">
        <f t="shared" si="20"/>
        <v>7.549212967021335E-3</v>
      </c>
      <c r="J66" s="11">
        <f t="shared" si="20"/>
        <v>7.6975834416554215E-3</v>
      </c>
      <c r="K66" s="11">
        <f t="shared" si="20"/>
        <v>7.4026603947353617E-3</v>
      </c>
      <c r="L66" s="11">
        <f t="shared" si="20"/>
        <v>7.591288654218941E-3</v>
      </c>
      <c r="M66" s="11">
        <f t="shared" si="20"/>
        <v>8.68815396001546E-3</v>
      </c>
      <c r="N66" s="11">
        <f t="shared" si="20"/>
        <v>9.1672937654928826E-3</v>
      </c>
      <c r="O66" s="11">
        <f t="shared" si="20"/>
        <v>9.6834890404703805E-3</v>
      </c>
      <c r="P66" s="11">
        <f t="shared" si="20"/>
        <v>9.4550259071934147E-3</v>
      </c>
      <c r="Q66" s="11">
        <f t="shared" si="20"/>
        <v>9.1885353261067417E-3</v>
      </c>
      <c r="R66" s="11">
        <f t="shared" si="20"/>
        <v>9.2574871566466453E-3</v>
      </c>
      <c r="S66" s="11">
        <f t="shared" si="20"/>
        <v>9.6461820558590618E-3</v>
      </c>
    </row>
    <row r="67" spans="1:19" x14ac:dyDescent="0.35">
      <c r="A67" t="s">
        <v>101</v>
      </c>
      <c r="B67" t="s">
        <v>94</v>
      </c>
      <c r="E67" s="11">
        <f t="shared" ref="E67:S67" si="21">IF($C24=0,0,N(E24)/SUMPRODUCT($C$21:$C$42,E$21:E$42))</f>
        <v>1.5011236162923798E-3</v>
      </c>
      <c r="F67" s="11">
        <f t="shared" si="21"/>
        <v>1.5247531094852056E-3</v>
      </c>
      <c r="G67" s="11">
        <f t="shared" si="21"/>
        <v>1.5375850814591881E-3</v>
      </c>
      <c r="H67" s="11">
        <f t="shared" si="21"/>
        <v>1.6185617872280958E-3</v>
      </c>
      <c r="I67" s="11">
        <f t="shared" si="21"/>
        <v>1.6370560347713353E-3</v>
      </c>
      <c r="J67" s="11">
        <f t="shared" si="21"/>
        <v>1.7264615975166261E-3</v>
      </c>
      <c r="K67" s="11">
        <f t="shared" si="21"/>
        <v>1.726785776621099E-3</v>
      </c>
      <c r="L67" s="11">
        <f t="shared" si="21"/>
        <v>1.7256135174130831E-3</v>
      </c>
      <c r="M67" s="11">
        <f t="shared" si="21"/>
        <v>2.0339512033018996E-3</v>
      </c>
      <c r="N67" s="11">
        <f t="shared" si="21"/>
        <v>2.1492866959370578E-3</v>
      </c>
      <c r="O67" s="11">
        <f t="shared" si="21"/>
        <v>2.2419078645733049E-3</v>
      </c>
      <c r="P67" s="11">
        <f t="shared" si="21"/>
        <v>2.2207226156303319E-3</v>
      </c>
      <c r="Q67" s="11">
        <f t="shared" si="21"/>
        <v>2.2091419492745088E-3</v>
      </c>
      <c r="R67" s="11">
        <f t="shared" si="21"/>
        <v>2.258566699199121E-3</v>
      </c>
      <c r="S67" s="11">
        <f t="shared" si="21"/>
        <v>2.2430470205473188E-3</v>
      </c>
    </row>
    <row r="68" spans="1:19" x14ac:dyDescent="0.35">
      <c r="A68" t="s">
        <v>103</v>
      </c>
      <c r="B68" t="s">
        <v>94</v>
      </c>
      <c r="E68" s="11">
        <f t="shared" ref="E68:S68" si="22">IF($C25=0,0,N(E25)/SUMPRODUCT($C$21:$C$42,E$21:E$42))</f>
        <v>1.5545094238117575E-3</v>
      </c>
      <c r="F68" s="11">
        <f t="shared" si="22"/>
        <v>1.6053118946277036E-3</v>
      </c>
      <c r="G68" s="11">
        <f t="shared" si="22"/>
        <v>1.6020195674144231E-3</v>
      </c>
      <c r="H68" s="11">
        <f t="shared" si="22"/>
        <v>1.6399484274479594E-3</v>
      </c>
      <c r="I68" s="11">
        <f t="shared" si="22"/>
        <v>1.6383298235714192E-3</v>
      </c>
      <c r="J68" s="11">
        <f t="shared" si="22"/>
        <v>1.6461657473342483E-3</v>
      </c>
      <c r="K68" s="11">
        <f t="shared" si="22"/>
        <v>1.6056388465775164E-3</v>
      </c>
      <c r="L68" s="11">
        <f t="shared" si="22"/>
        <v>1.54453464294453E-3</v>
      </c>
      <c r="M68" s="11">
        <f t="shared" si="22"/>
        <v>1.7334163318409037E-3</v>
      </c>
      <c r="N68" s="11">
        <f t="shared" si="22"/>
        <v>1.7421708674885731E-3</v>
      </c>
      <c r="O68" s="11">
        <f t="shared" si="22"/>
        <v>1.8010013896177515E-3</v>
      </c>
      <c r="P68" s="11">
        <f t="shared" si="22"/>
        <v>1.751560971475539E-3</v>
      </c>
      <c r="Q68" s="11">
        <f t="shared" si="22"/>
        <v>1.7321462143151311E-3</v>
      </c>
      <c r="R68" s="11">
        <f t="shared" si="22"/>
        <v>1.729701040677408E-3</v>
      </c>
      <c r="S68" s="11">
        <f t="shared" si="22"/>
        <v>1.7684082650047186E-3</v>
      </c>
    </row>
    <row r="69" spans="1:19" x14ac:dyDescent="0.35">
      <c r="A69" t="s">
        <v>106</v>
      </c>
      <c r="B69" t="s">
        <v>94</v>
      </c>
      <c r="E69" s="11">
        <f t="shared" ref="E69:S69" si="23">IF($C26=0,0,N(E26)/SUMPRODUCT($C$21:$C$42,E$21:E$42))</f>
        <v>1.8566068644485969E-3</v>
      </c>
      <c r="F69" s="11">
        <f t="shared" si="23"/>
        <v>1.9086400106833256E-3</v>
      </c>
      <c r="G69" s="11">
        <f t="shared" si="23"/>
        <v>1.868834930507137E-3</v>
      </c>
      <c r="H69" s="11">
        <f t="shared" si="23"/>
        <v>1.883812293914044E-3</v>
      </c>
      <c r="I69" s="11">
        <f t="shared" si="23"/>
        <v>1.8679545392920813E-3</v>
      </c>
      <c r="J69" s="11">
        <f t="shared" si="23"/>
        <v>1.7870442879704697E-3</v>
      </c>
      <c r="K69" s="11">
        <f t="shared" si="23"/>
        <v>1.8003646032929523E-3</v>
      </c>
      <c r="L69" s="11">
        <f t="shared" si="23"/>
        <v>1.835254608250961E-3</v>
      </c>
      <c r="M69" s="11">
        <f t="shared" si="23"/>
        <v>2.1408178309182966E-3</v>
      </c>
      <c r="N69" s="11">
        <f t="shared" si="23"/>
        <v>2.2179890223168837E-3</v>
      </c>
      <c r="O69" s="11">
        <f t="shared" si="23"/>
        <v>2.3529170887545106E-3</v>
      </c>
      <c r="P69" s="11">
        <f t="shared" si="23"/>
        <v>2.321122865758181E-3</v>
      </c>
      <c r="Q69" s="11">
        <f t="shared" si="23"/>
        <v>2.2748143391965879E-3</v>
      </c>
      <c r="R69" s="11">
        <f t="shared" si="23"/>
        <v>2.2699488722800632E-3</v>
      </c>
      <c r="S69" s="11">
        <f t="shared" si="23"/>
        <v>2.3218259428536936E-3</v>
      </c>
    </row>
    <row r="70" spans="1:19" x14ac:dyDescent="0.35">
      <c r="A70" t="s">
        <v>108</v>
      </c>
      <c r="B70" t="s">
        <v>94</v>
      </c>
      <c r="E70" s="11">
        <f t="shared" ref="E70:S70" si="24">IF($C27=0,0,N(E27)/SUMPRODUCT($C$21:$C$42,E$21:E$42))</f>
        <v>1.457983637298115E-4</v>
      </c>
      <c r="F70" s="11">
        <f t="shared" si="24"/>
        <v>1.5808370069565487E-4</v>
      </c>
      <c r="G70" s="11">
        <f t="shared" si="24"/>
        <v>1.597134215695824E-4</v>
      </c>
      <c r="H70" s="11">
        <f t="shared" si="24"/>
        <v>1.6594286771360784E-4</v>
      </c>
      <c r="I70" s="11">
        <f t="shared" si="24"/>
        <v>1.6669053437499908E-4</v>
      </c>
      <c r="J70" s="11">
        <f t="shared" si="24"/>
        <v>1.4580928955848925E-4</v>
      </c>
      <c r="K70" s="11">
        <f t="shared" si="24"/>
        <v>1.5183054247859659E-4</v>
      </c>
      <c r="L70" s="11">
        <f t="shared" si="24"/>
        <v>1.6123964462373477E-4</v>
      </c>
      <c r="M70" s="11">
        <f t="shared" si="24"/>
        <v>1.91129966720449E-4</v>
      </c>
      <c r="N70" s="11">
        <f t="shared" si="24"/>
        <v>1.9724637563148633E-4</v>
      </c>
      <c r="O70" s="11">
        <f t="shared" si="24"/>
        <v>2.0927752553237042E-4</v>
      </c>
      <c r="P70" s="11">
        <f t="shared" si="24"/>
        <v>2.0430192176654224E-4</v>
      </c>
      <c r="Q70" s="11">
        <f t="shared" si="24"/>
        <v>2.0176122591746473E-4</v>
      </c>
      <c r="R70" s="11">
        <f t="shared" si="24"/>
        <v>2.0326360356326021E-4</v>
      </c>
      <c r="S70" s="11">
        <f t="shared" si="24"/>
        <v>2.0948805499431823E-4</v>
      </c>
    </row>
    <row r="71" spans="1:19" x14ac:dyDescent="0.35">
      <c r="A71" t="s">
        <v>109</v>
      </c>
      <c r="B71" t="s">
        <v>94</v>
      </c>
      <c r="E71" s="11">
        <f t="shared" ref="E71:S71" si="25">IF($C28=0,0,N(E28)/SUMPRODUCT($C$21:$C$42,E$21:E$42))</f>
        <v>0</v>
      </c>
      <c r="F71" s="11">
        <f t="shared" si="25"/>
        <v>0</v>
      </c>
      <c r="G71" s="11">
        <f t="shared" si="25"/>
        <v>0</v>
      </c>
      <c r="H71" s="11">
        <f t="shared" si="25"/>
        <v>0</v>
      </c>
      <c r="I71" s="11">
        <f t="shared" si="25"/>
        <v>0</v>
      </c>
      <c r="J71" s="11">
        <f t="shared" si="25"/>
        <v>0</v>
      </c>
      <c r="K71" s="11">
        <f t="shared" si="25"/>
        <v>0</v>
      </c>
      <c r="L71" s="11">
        <f t="shared" si="25"/>
        <v>0</v>
      </c>
      <c r="M71" s="11">
        <f t="shared" si="25"/>
        <v>0</v>
      </c>
      <c r="N71" s="11">
        <f t="shared" si="25"/>
        <v>0</v>
      </c>
      <c r="O71" s="11">
        <f t="shared" si="25"/>
        <v>0</v>
      </c>
      <c r="P71" s="11">
        <f t="shared" si="25"/>
        <v>0</v>
      </c>
      <c r="Q71" s="11">
        <f t="shared" si="25"/>
        <v>0</v>
      </c>
      <c r="R71" s="11">
        <f t="shared" si="25"/>
        <v>0</v>
      </c>
      <c r="S71" s="11">
        <f t="shared" si="25"/>
        <v>0</v>
      </c>
    </row>
    <row r="72" spans="1:19" x14ac:dyDescent="0.35">
      <c r="A72" t="s">
        <v>111</v>
      </c>
      <c r="B72" t="s">
        <v>94</v>
      </c>
      <c r="E72" s="11">
        <f t="shared" ref="E72:S72" si="26">IF($C29=0,0,N(E29)/SUMPRODUCT($C$21:$C$42,E$21:E$42))</f>
        <v>4.9420898154079414E-2</v>
      </c>
      <c r="F72" s="11">
        <f t="shared" si="26"/>
        <v>4.6123207537611843E-2</v>
      </c>
      <c r="G72" s="11">
        <f t="shared" si="26"/>
        <v>5.2680054973774121E-2</v>
      </c>
      <c r="H72" s="11">
        <f t="shared" si="26"/>
        <v>5.0761025625067506E-2</v>
      </c>
      <c r="I72" s="11">
        <f t="shared" si="26"/>
        <v>5.1471376169880775E-2</v>
      </c>
      <c r="J72" s="11">
        <f t="shared" si="26"/>
        <v>4.6066208517962184E-2</v>
      </c>
      <c r="K72" s="11">
        <f t="shared" si="26"/>
        <v>4.7740411890105028E-2</v>
      </c>
      <c r="L72" s="11">
        <f t="shared" si="26"/>
        <v>5.9137577184204891E-2</v>
      </c>
      <c r="M72" s="11">
        <f t="shared" si="26"/>
        <v>5.1087896966122738E-2</v>
      </c>
      <c r="N72" s="11">
        <f t="shared" si="26"/>
        <v>5.2127087544464434E-2</v>
      </c>
      <c r="O72" s="11">
        <f t="shared" si="26"/>
        <v>5.7516777425752293E-2</v>
      </c>
      <c r="P72" s="11">
        <f t="shared" si="26"/>
        <v>6.0151381659682493E-2</v>
      </c>
      <c r="Q72" s="11">
        <f t="shared" si="26"/>
        <v>5.5903410321811377E-2</v>
      </c>
      <c r="R72" s="11">
        <f t="shared" si="26"/>
        <v>5.072222936333564E-2</v>
      </c>
      <c r="S72" s="11">
        <f t="shared" si="26"/>
        <v>4.8587554961189515E-2</v>
      </c>
    </row>
    <row r="73" spans="1:19" x14ac:dyDescent="0.35">
      <c r="A73" t="s">
        <v>114</v>
      </c>
      <c r="B73" t="s">
        <v>94</v>
      </c>
      <c r="E73" s="11">
        <f t="shared" ref="E73:S73" si="27">IF($C30=0,0,N(E30)/SUMPRODUCT($C$21:$C$42,E$21:E$42))</f>
        <v>3.3095553964637226E-3</v>
      </c>
      <c r="F73" s="11">
        <f t="shared" si="27"/>
        <v>3.3713064401994183E-3</v>
      </c>
      <c r="G73" s="11">
        <f t="shared" si="27"/>
        <v>3.7484898272396169E-3</v>
      </c>
      <c r="H73" s="11">
        <f t="shared" si="27"/>
        <v>4.0136303798964544E-3</v>
      </c>
      <c r="I73" s="11">
        <f t="shared" si="27"/>
        <v>4.6796549453549064E-3</v>
      </c>
      <c r="J73" s="11">
        <f t="shared" si="27"/>
        <v>4.838763646924836E-3</v>
      </c>
      <c r="K73" s="11">
        <f t="shared" si="27"/>
        <v>5.2153275162621577E-3</v>
      </c>
      <c r="L73" s="11">
        <f t="shared" si="27"/>
        <v>4.1893744001899247E-3</v>
      </c>
      <c r="M73" s="11">
        <f t="shared" si="27"/>
        <v>4.5316782600968311E-3</v>
      </c>
      <c r="N73" s="11">
        <f t="shared" si="27"/>
        <v>4.5520248633004277E-3</v>
      </c>
      <c r="O73" s="11">
        <f t="shared" si="27"/>
        <v>4.8047994462811165E-3</v>
      </c>
      <c r="P73" s="11">
        <f t="shared" si="27"/>
        <v>5.0299619193875742E-3</v>
      </c>
      <c r="Q73" s="11">
        <f t="shared" si="27"/>
        <v>5.3855906329459283E-3</v>
      </c>
      <c r="R73" s="11">
        <f t="shared" si="27"/>
        <v>6.0641450442711102E-3</v>
      </c>
      <c r="S73" s="11">
        <f t="shared" si="27"/>
        <v>6.9501524985224779E-3</v>
      </c>
    </row>
    <row r="74" spans="1:19" x14ac:dyDescent="0.35">
      <c r="A74" t="s">
        <v>118</v>
      </c>
      <c r="B74" t="s">
        <v>94</v>
      </c>
      <c r="E74" s="11">
        <f t="shared" ref="E74:S74" si="28">IF($C31=0,0,N(E31)/SUMPRODUCT($C$21:$C$42,E$21:E$42))</f>
        <v>3.1458396458939636E-2</v>
      </c>
      <c r="F74" s="11">
        <f t="shared" si="28"/>
        <v>3.1447095235932095E-2</v>
      </c>
      <c r="G74" s="11">
        <f t="shared" si="28"/>
        <v>2.8878263280352982E-2</v>
      </c>
      <c r="H74" s="11">
        <f t="shared" si="28"/>
        <v>2.4165517869759654E-2</v>
      </c>
      <c r="I74" s="11">
        <f t="shared" si="28"/>
        <v>2.3554150320484985E-2</v>
      </c>
      <c r="J74" s="11">
        <f t="shared" si="28"/>
        <v>2.2630984551657223E-2</v>
      </c>
      <c r="K74" s="11">
        <f t="shared" si="28"/>
        <v>2.1899735647372354E-2</v>
      </c>
      <c r="L74" s="11">
        <f t="shared" si="28"/>
        <v>2.3888920519674575E-2</v>
      </c>
      <c r="M74" s="11">
        <f t="shared" si="28"/>
        <v>2.8473593366574387E-2</v>
      </c>
      <c r="N74" s="11">
        <f t="shared" si="28"/>
        <v>3.2466670351041504E-2</v>
      </c>
      <c r="O74" s="11">
        <f t="shared" si="28"/>
        <v>3.5917502440880329E-2</v>
      </c>
      <c r="P74" s="11">
        <f t="shared" si="28"/>
        <v>3.6036460988637976E-2</v>
      </c>
      <c r="Q74" s="11">
        <f t="shared" si="28"/>
        <v>3.5153567319517041E-2</v>
      </c>
      <c r="R74" s="11">
        <f t="shared" si="28"/>
        <v>3.501401035495718E-2</v>
      </c>
      <c r="S74" s="11">
        <f t="shared" si="28"/>
        <v>3.5101470685816677E-2</v>
      </c>
    </row>
    <row r="75" spans="1:19" x14ac:dyDescent="0.35">
      <c r="A75" t="s">
        <v>120</v>
      </c>
      <c r="B75" t="s">
        <v>94</v>
      </c>
      <c r="E75" s="11">
        <f t="shared" ref="E75:S75" si="29">IF($C32=0,0,N(E32)/SUMPRODUCT($C$21:$C$42,E$21:E$42))</f>
        <v>6.7022135439675995E-3</v>
      </c>
      <c r="F75" s="11">
        <f t="shared" si="29"/>
        <v>4.9616827341656504E-3</v>
      </c>
      <c r="G75" s="11">
        <f t="shared" si="29"/>
        <v>5.5789823706758846E-3</v>
      </c>
      <c r="H75" s="11">
        <f t="shared" si="29"/>
        <v>5.4986208800618958E-3</v>
      </c>
      <c r="I75" s="11">
        <f t="shared" si="29"/>
        <v>5.5207772567293784E-3</v>
      </c>
      <c r="J75" s="11">
        <f t="shared" si="29"/>
        <v>5.2804229907200718E-3</v>
      </c>
      <c r="K75" s="11">
        <f t="shared" si="29"/>
        <v>5.1446095235112132E-3</v>
      </c>
      <c r="L75" s="11">
        <f t="shared" si="29"/>
        <v>5.8225832535456481E-3</v>
      </c>
      <c r="M75" s="11">
        <f t="shared" si="29"/>
        <v>6.5456062218703735E-3</v>
      </c>
      <c r="N75" s="11">
        <f t="shared" si="29"/>
        <v>6.9540350211504528E-3</v>
      </c>
      <c r="O75" s="11">
        <f t="shared" si="29"/>
        <v>6.8698867706487622E-3</v>
      </c>
      <c r="P75" s="11">
        <f t="shared" si="29"/>
        <v>8.8818146571153934E-3</v>
      </c>
      <c r="Q75" s="11">
        <f t="shared" si="29"/>
        <v>9.2723622833992721E-3</v>
      </c>
      <c r="R75" s="11">
        <f t="shared" si="29"/>
        <v>9.3086308312419017E-3</v>
      </c>
      <c r="S75" s="11">
        <f t="shared" si="29"/>
        <v>9.7265604948746434E-3</v>
      </c>
    </row>
    <row r="76" spans="1:19" x14ac:dyDescent="0.35">
      <c r="A76" t="s">
        <v>123</v>
      </c>
      <c r="B76" t="s">
        <v>94</v>
      </c>
      <c r="E76" s="11">
        <f t="shared" ref="E76:S76" si="30">IF($C33=0,0,N(E33)/SUMPRODUCT($C$21:$C$42,E$21:E$42))</f>
        <v>0.40661346084495442</v>
      </c>
      <c r="F76" s="11">
        <f t="shared" si="30"/>
        <v>0.41396162981340928</v>
      </c>
      <c r="G76" s="11">
        <f t="shared" si="30"/>
        <v>0.41925233512465787</v>
      </c>
      <c r="H76" s="11">
        <f t="shared" si="30"/>
        <v>0.43355303484981522</v>
      </c>
      <c r="I76" s="11">
        <f t="shared" si="30"/>
        <v>0.4424107297623105</v>
      </c>
      <c r="J76" s="11">
        <f t="shared" si="30"/>
        <v>0.46341350018259675</v>
      </c>
      <c r="K76" s="11">
        <f t="shared" si="30"/>
        <v>0.47501204470362218</v>
      </c>
      <c r="L76" s="11">
        <f t="shared" si="30"/>
        <v>0.47359228868313019</v>
      </c>
      <c r="M76" s="11">
        <f t="shared" si="30"/>
        <v>0.45708434524090752</v>
      </c>
      <c r="N76" s="11">
        <f t="shared" si="30"/>
        <v>0.44669734057202032</v>
      </c>
      <c r="O76" s="11">
        <f t="shared" si="30"/>
        <v>0.43730005611413192</v>
      </c>
      <c r="P76" s="11">
        <f t="shared" si="30"/>
        <v>0.44530166801457904</v>
      </c>
      <c r="Q76" s="11">
        <f t="shared" si="30"/>
        <v>0.45523459625229568</v>
      </c>
      <c r="R76" s="11">
        <f t="shared" si="30"/>
        <v>0.45865189750720176</v>
      </c>
      <c r="S76" s="11">
        <f t="shared" si="30"/>
        <v>0.4569805546784676</v>
      </c>
    </row>
    <row r="77" spans="1:19" x14ac:dyDescent="0.35">
      <c r="A77" t="s">
        <v>129</v>
      </c>
      <c r="B77" t="s">
        <v>94</v>
      </c>
      <c r="E77" s="11">
        <f t="shared" ref="E77:S77" si="31">IF($C34=0,0,N(E34)/SUMPRODUCT($C$21:$C$42,E$21:E$42))</f>
        <v>7.5874431989487359E-2</v>
      </c>
      <c r="F77" s="11">
        <f t="shared" si="31"/>
        <v>8.0414149274995739E-2</v>
      </c>
      <c r="G77" s="11">
        <f t="shared" si="31"/>
        <v>8.5402666611597206E-2</v>
      </c>
      <c r="H77" s="11">
        <f t="shared" si="31"/>
        <v>8.3767455242946917E-2</v>
      </c>
      <c r="I77" s="11">
        <f t="shared" si="31"/>
        <v>8.5252142378185958E-2</v>
      </c>
      <c r="J77" s="11">
        <f t="shared" si="31"/>
        <v>8.024825142984876E-2</v>
      </c>
      <c r="K77" s="11">
        <f t="shared" si="31"/>
        <v>8.0618438078685406E-2</v>
      </c>
      <c r="L77" s="11">
        <f t="shared" si="31"/>
        <v>8.3858498000805581E-2</v>
      </c>
      <c r="M77" s="11">
        <f t="shared" si="31"/>
        <v>8.555102396913028E-2</v>
      </c>
      <c r="N77" s="11">
        <f t="shared" si="31"/>
        <v>8.8731271423401856E-2</v>
      </c>
      <c r="O77" s="11">
        <f t="shared" si="31"/>
        <v>8.6827776011238311E-2</v>
      </c>
      <c r="P77" s="11">
        <f t="shared" si="31"/>
        <v>8.2633022652481777E-2</v>
      </c>
      <c r="Q77" s="11">
        <f t="shared" si="31"/>
        <v>8.5979605914622989E-2</v>
      </c>
      <c r="R77" s="11">
        <f t="shared" si="31"/>
        <v>9.2913158777151394E-2</v>
      </c>
      <c r="S77" s="11">
        <f t="shared" si="31"/>
        <v>9.7198781400667469E-2</v>
      </c>
    </row>
    <row r="78" spans="1:19" x14ac:dyDescent="0.35">
      <c r="A78" t="s">
        <v>132</v>
      </c>
      <c r="B78" t="s">
        <v>94</v>
      </c>
      <c r="E78" s="11">
        <f t="shared" ref="E78:S78" si="32">IF($C35=0,0,N(E35)/SUMPRODUCT($C$21:$C$42,E$21:E$42))</f>
        <v>5.5995535521345119E-2</v>
      </c>
      <c r="F78" s="11">
        <f t="shared" si="32"/>
        <v>5.7061734048998045E-2</v>
      </c>
      <c r="G78" s="11">
        <f t="shared" si="32"/>
        <v>5.7249561134462196E-2</v>
      </c>
      <c r="H78" s="11">
        <f t="shared" si="32"/>
        <v>5.5945850520336488E-2</v>
      </c>
      <c r="I78" s="11">
        <f t="shared" si="32"/>
        <v>5.3006691669018932E-2</v>
      </c>
      <c r="J78" s="11">
        <f t="shared" si="32"/>
        <v>5.3900837950097966E-2</v>
      </c>
      <c r="K78" s="11">
        <f t="shared" si="32"/>
        <v>5.0913971197754058E-2</v>
      </c>
      <c r="L78" s="11">
        <f t="shared" si="32"/>
        <v>4.6614299090073086E-2</v>
      </c>
      <c r="M78" s="11">
        <f t="shared" si="32"/>
        <v>4.5952969520987458E-2</v>
      </c>
      <c r="N78" s="11">
        <f t="shared" si="32"/>
        <v>4.4982918696482632E-2</v>
      </c>
      <c r="O78" s="11">
        <f t="shared" si="32"/>
        <v>4.2277015230904401E-2</v>
      </c>
      <c r="P78" s="11">
        <f t="shared" si="32"/>
        <v>4.6534164191645716E-2</v>
      </c>
      <c r="Q78" s="11">
        <f t="shared" si="32"/>
        <v>4.8732475295422177E-2</v>
      </c>
      <c r="R78" s="11">
        <f t="shared" si="32"/>
        <v>4.8519505243492439E-2</v>
      </c>
      <c r="S78" s="11">
        <f t="shared" si="32"/>
        <v>4.7970972240622696E-2</v>
      </c>
    </row>
    <row r="79" spans="1:19" x14ac:dyDescent="0.35">
      <c r="A79" t="s">
        <v>136</v>
      </c>
      <c r="B79" t="s">
        <v>94</v>
      </c>
      <c r="E79" s="11">
        <f t="shared" ref="E79:S79" si="33">IF($C36=0,0,N(E36)/SUMPRODUCT($C$21:$C$42,E$21:E$42))</f>
        <v>1.2593230957932121E-2</v>
      </c>
      <c r="F79" s="11">
        <f t="shared" si="33"/>
        <v>1.1683866941605453E-2</v>
      </c>
      <c r="G79" s="11">
        <f t="shared" si="33"/>
        <v>1.2741521367099237E-2</v>
      </c>
      <c r="H79" s="11">
        <f t="shared" si="33"/>
        <v>1.242095197998494E-2</v>
      </c>
      <c r="I79" s="11">
        <f t="shared" si="33"/>
        <v>1.1831279113942196E-2</v>
      </c>
      <c r="J79" s="11">
        <f t="shared" si="33"/>
        <v>1.0435895126677081E-2</v>
      </c>
      <c r="K79" s="11">
        <f t="shared" si="33"/>
        <v>1.0961193335894029E-2</v>
      </c>
      <c r="L79" s="11">
        <f t="shared" si="33"/>
        <v>1.052480300188104E-2</v>
      </c>
      <c r="M79" s="11">
        <f t="shared" si="33"/>
        <v>9.5375467122004939E-3</v>
      </c>
      <c r="N79" s="11">
        <f t="shared" si="33"/>
        <v>9.5698307799439181E-3</v>
      </c>
      <c r="O79" s="11">
        <f t="shared" si="33"/>
        <v>9.580376785305815E-3</v>
      </c>
      <c r="P79" s="11">
        <f t="shared" si="33"/>
        <v>1.0047118164491123E-2</v>
      </c>
      <c r="Q79" s="11">
        <f t="shared" si="33"/>
        <v>9.9061001599527639E-3</v>
      </c>
      <c r="R79" s="11">
        <f t="shared" si="33"/>
        <v>9.8407651161983266E-3</v>
      </c>
      <c r="S79" s="11">
        <f t="shared" si="33"/>
        <v>9.6840838121615321E-3</v>
      </c>
    </row>
    <row r="80" spans="1:19" x14ac:dyDescent="0.35">
      <c r="A80" t="s">
        <v>139</v>
      </c>
      <c r="B80" t="s">
        <v>94</v>
      </c>
      <c r="E80" s="11">
        <f t="shared" ref="E80:S80" si="34">IF($C37=0,0,N(E37)/SUMPRODUCT($C$21:$C$42,E$21:E$42))</f>
        <v>4.0151820624048052E-3</v>
      </c>
      <c r="F80" s="11">
        <f t="shared" si="34"/>
        <v>4.0279208654175093E-3</v>
      </c>
      <c r="G80" s="11">
        <f t="shared" si="34"/>
        <v>3.9655272879682143E-3</v>
      </c>
      <c r="H80" s="11">
        <f t="shared" si="34"/>
        <v>3.903095805554261E-3</v>
      </c>
      <c r="I80" s="11">
        <f t="shared" si="34"/>
        <v>3.9169802201499482E-3</v>
      </c>
      <c r="J80" s="11">
        <f t="shared" si="34"/>
        <v>3.7523225832338533E-3</v>
      </c>
      <c r="K80" s="11">
        <f t="shared" si="34"/>
        <v>3.7063229776946936E-3</v>
      </c>
      <c r="L80" s="11">
        <f t="shared" si="34"/>
        <v>3.390053242074548E-3</v>
      </c>
      <c r="M80" s="11">
        <f t="shared" si="34"/>
        <v>3.6669778654618589E-3</v>
      </c>
      <c r="N80" s="11">
        <f t="shared" si="34"/>
        <v>3.875298299982437E-3</v>
      </c>
      <c r="O80" s="11">
        <f t="shared" si="34"/>
        <v>4.1263414628822763E-3</v>
      </c>
      <c r="P80" s="11">
        <f t="shared" si="34"/>
        <v>4.1585281812438974E-3</v>
      </c>
      <c r="Q80" s="11">
        <f t="shared" si="34"/>
        <v>4.0074903050995921E-3</v>
      </c>
      <c r="R80" s="11">
        <f t="shared" si="34"/>
        <v>3.9494515545675513E-3</v>
      </c>
      <c r="S80" s="11">
        <f t="shared" si="34"/>
        <v>3.9499554368537301E-3</v>
      </c>
    </row>
    <row r="81" spans="1:19" x14ac:dyDescent="0.35">
      <c r="A81" t="s">
        <v>142</v>
      </c>
      <c r="B81" t="s">
        <v>94</v>
      </c>
      <c r="E81" s="11">
        <f t="shared" ref="E81:S81" si="35">IF($C38=0,0,N(E38)/SUMPRODUCT($C$21:$C$42,E$21:E$42))</f>
        <v>1.6653603590710846E-3</v>
      </c>
      <c r="F81" s="11">
        <f t="shared" si="35"/>
        <v>1.6004505082469675E-3</v>
      </c>
      <c r="G81" s="11">
        <f t="shared" si="35"/>
        <v>1.4098401419094467E-3</v>
      </c>
      <c r="H81" s="11">
        <f t="shared" si="35"/>
        <v>1.3074160729709982E-3</v>
      </c>
      <c r="I81" s="11">
        <f t="shared" si="35"/>
        <v>1.2755349404335484E-3</v>
      </c>
      <c r="J81" s="11">
        <f t="shared" si="35"/>
        <v>1.313997586491884E-3</v>
      </c>
      <c r="K81" s="11">
        <f t="shared" si="35"/>
        <v>1.2305955945921365E-3</v>
      </c>
      <c r="L81" s="11">
        <f t="shared" si="35"/>
        <v>1.1617692043057672E-3</v>
      </c>
      <c r="M81" s="11">
        <f t="shared" si="35"/>
        <v>1.2042775256463998E-3</v>
      </c>
      <c r="N81" s="11">
        <f t="shared" si="35"/>
        <v>1.2262722348534067E-3</v>
      </c>
      <c r="O81" s="11">
        <f t="shared" si="35"/>
        <v>1.2832021616174889E-3</v>
      </c>
      <c r="P81" s="11">
        <f t="shared" si="35"/>
        <v>1.2543005456656803E-3</v>
      </c>
      <c r="Q81" s="11">
        <f t="shared" si="35"/>
        <v>1.2176951202148654E-3</v>
      </c>
      <c r="R81" s="11">
        <f t="shared" si="35"/>
        <v>1.1976385732038648E-3</v>
      </c>
      <c r="S81" s="11">
        <f t="shared" si="35"/>
        <v>1.1683486361687471E-3</v>
      </c>
    </row>
    <row r="82" spans="1:19" x14ac:dyDescent="0.35">
      <c r="A82" t="s">
        <v>144</v>
      </c>
      <c r="B82" t="s">
        <v>94</v>
      </c>
      <c r="E82" s="11">
        <f t="shared" ref="E82:S82" si="36">IF($C39=0,0,N(E39)/SUMPRODUCT($C$21:$C$42,E$21:E$42))</f>
        <v>4.3905501161860212E-2</v>
      </c>
      <c r="F82" s="11">
        <f t="shared" si="36"/>
        <v>4.5056663291928825E-2</v>
      </c>
      <c r="G82" s="11">
        <f t="shared" si="36"/>
        <v>4.396891705996301E-2</v>
      </c>
      <c r="H82" s="11">
        <f t="shared" si="36"/>
        <v>4.3732439059098377E-2</v>
      </c>
      <c r="I82" s="11">
        <f t="shared" si="36"/>
        <v>4.2649304051281645E-2</v>
      </c>
      <c r="J82" s="11">
        <f t="shared" si="36"/>
        <v>3.9770364217956919E-2</v>
      </c>
      <c r="K82" s="11">
        <f t="shared" si="36"/>
        <v>3.8126439088624335E-2</v>
      </c>
      <c r="L82" s="11">
        <f t="shared" si="36"/>
        <v>3.7347336271382439E-2</v>
      </c>
      <c r="M82" s="11">
        <f t="shared" si="36"/>
        <v>4.0450346054380963E-2</v>
      </c>
      <c r="N82" s="11">
        <f t="shared" si="36"/>
        <v>4.1271738693813835E-2</v>
      </c>
      <c r="O82" s="11">
        <f t="shared" si="36"/>
        <v>4.276676069225651E-2</v>
      </c>
      <c r="P82" s="11">
        <f t="shared" si="36"/>
        <v>4.1679700661126792E-2</v>
      </c>
      <c r="Q82" s="11">
        <f t="shared" si="36"/>
        <v>4.0278758874915249E-2</v>
      </c>
      <c r="R82" s="11">
        <f t="shared" si="36"/>
        <v>3.965703859367465E-2</v>
      </c>
      <c r="S82" s="11">
        <f t="shared" si="36"/>
        <v>4.0047735156916696E-2</v>
      </c>
    </row>
    <row r="83" spans="1:19" x14ac:dyDescent="0.35">
      <c r="A83" t="s">
        <v>148</v>
      </c>
      <c r="B83" t="s">
        <v>94</v>
      </c>
      <c r="E83" s="11">
        <f t="shared" ref="E83:S83" si="37">IF($C40=0,0,N(E40)/SUMPRODUCT($C$21:$C$42,E$21:E$42))</f>
        <v>7.245088218695535E-3</v>
      </c>
      <c r="F83" s="11">
        <f t="shared" si="37"/>
        <v>7.4780812527046082E-3</v>
      </c>
      <c r="G83" s="11">
        <f t="shared" si="37"/>
        <v>7.3471931884868365E-3</v>
      </c>
      <c r="H83" s="11">
        <f t="shared" si="37"/>
        <v>7.3952799741933938E-3</v>
      </c>
      <c r="I83" s="11">
        <f t="shared" si="37"/>
        <v>7.2966230036925614E-3</v>
      </c>
      <c r="J83" s="11">
        <f t="shared" si="37"/>
        <v>7.080203256024902E-3</v>
      </c>
      <c r="K83" s="11">
        <f t="shared" si="37"/>
        <v>6.6808524677218241E-3</v>
      </c>
      <c r="L83" s="11">
        <f t="shared" si="37"/>
        <v>6.6222262125263196E-3</v>
      </c>
      <c r="M83" s="11">
        <f t="shared" si="37"/>
        <v>7.3086260965874667E-3</v>
      </c>
      <c r="N83" s="11">
        <f t="shared" si="37"/>
        <v>7.5167908723962357E-3</v>
      </c>
      <c r="O83" s="11">
        <f t="shared" si="37"/>
        <v>7.8077977905390058E-3</v>
      </c>
      <c r="P83" s="11">
        <f t="shared" si="37"/>
        <v>7.557062484609885E-3</v>
      </c>
      <c r="Q83" s="11">
        <f t="shared" si="37"/>
        <v>7.2749271340778968E-3</v>
      </c>
      <c r="R83" s="11">
        <f t="shared" si="37"/>
        <v>7.1715939234862757E-3</v>
      </c>
      <c r="S83" s="11">
        <f t="shared" si="37"/>
        <v>7.2789072748265255E-3</v>
      </c>
    </row>
    <row r="84" spans="1:19" x14ac:dyDescent="0.35">
      <c r="A84" t="s">
        <v>149</v>
      </c>
      <c r="B84" t="s">
        <v>94</v>
      </c>
      <c r="E84" s="11">
        <f t="shared" ref="E84:S84" si="38">IF($C41=0,0,N(E41)/SUMPRODUCT($C$21:$C$42,E$21:E$42))</f>
        <v>8.8908730724323287E-2</v>
      </c>
      <c r="F84" s="11">
        <f t="shared" si="38"/>
        <v>8.954679311842044E-2</v>
      </c>
      <c r="G84" s="11">
        <f t="shared" si="38"/>
        <v>8.6120483280607188E-2</v>
      </c>
      <c r="H84" s="11">
        <f t="shared" si="38"/>
        <v>8.496852019520075E-2</v>
      </c>
      <c r="I84" s="11">
        <f t="shared" si="38"/>
        <v>8.2740078492289079E-2</v>
      </c>
      <c r="J84" s="11">
        <f t="shared" si="38"/>
        <v>8.1648975796534906E-2</v>
      </c>
      <c r="K84" s="11">
        <f t="shared" si="38"/>
        <v>7.739963081109108E-2</v>
      </c>
      <c r="L84" s="11">
        <f t="shared" si="38"/>
        <v>7.2042090375655232E-2</v>
      </c>
      <c r="M84" s="11">
        <f t="shared" si="38"/>
        <v>7.6609594567384712E-2</v>
      </c>
      <c r="N84" s="11">
        <f t="shared" si="38"/>
        <v>7.5780818273372241E-2</v>
      </c>
      <c r="O84" s="11">
        <f t="shared" si="38"/>
        <v>7.5690645165520182E-2</v>
      </c>
      <c r="P84" s="11">
        <f t="shared" si="38"/>
        <v>7.190818489076102E-2</v>
      </c>
      <c r="Q84" s="11">
        <f t="shared" si="38"/>
        <v>6.8592511773628087E-2</v>
      </c>
      <c r="R84" s="11">
        <f t="shared" si="38"/>
        <v>6.7052019738280788E-2</v>
      </c>
      <c r="S84" s="11">
        <f t="shared" si="38"/>
        <v>6.740559092121301E-2</v>
      </c>
    </row>
    <row r="85" spans="1:19" x14ac:dyDescent="0.35">
      <c r="A85" t="s">
        <v>150</v>
      </c>
      <c r="B85" t="s">
        <v>94</v>
      </c>
      <c r="E85" s="11">
        <f t="shared" ref="E85:S85" si="39">IF($C42=0,0,N(E42)/SUMPRODUCT($C$21:$C$42,E$21:E$42))</f>
        <v>6.7175485436155369E-2</v>
      </c>
      <c r="F85" s="11">
        <f t="shared" si="39"/>
        <v>6.840369999187669E-2</v>
      </c>
      <c r="G85" s="11">
        <f t="shared" si="39"/>
        <v>6.5557286304451956E-2</v>
      </c>
      <c r="H85" s="11">
        <f t="shared" si="39"/>
        <v>6.413114644547592E-2</v>
      </c>
      <c r="I85" s="11">
        <f t="shared" si="39"/>
        <v>6.1371712724470319E-2</v>
      </c>
      <c r="J85" s="11">
        <f t="shared" si="39"/>
        <v>5.8817142911974069E-2</v>
      </c>
      <c r="K85" s="11">
        <f t="shared" si="39"/>
        <v>5.6859612362243697E-2</v>
      </c>
      <c r="L85" s="11">
        <f t="shared" si="39"/>
        <v>5.4237053322112073E-2</v>
      </c>
      <c r="M85" s="11">
        <f t="shared" si="39"/>
        <v>5.7926707905314678E-2</v>
      </c>
      <c r="N85" s="11">
        <f t="shared" si="39"/>
        <v>5.6851104258089258E-2</v>
      </c>
      <c r="O85" s="11">
        <f t="shared" si="39"/>
        <v>5.7141368383115974E-2</v>
      </c>
      <c r="P85" s="11">
        <f t="shared" si="39"/>
        <v>5.3994280145038751E-2</v>
      </c>
      <c r="Q85" s="11">
        <f t="shared" si="39"/>
        <v>5.0945579204616391E-2</v>
      </c>
      <c r="R85" s="11">
        <f t="shared" si="39"/>
        <v>4.9389134845092837E-2</v>
      </c>
      <c r="S85" s="11">
        <f t="shared" si="39"/>
        <v>4.9264005622327647E-2</v>
      </c>
    </row>
    <row r="87" spans="1:19" x14ac:dyDescent="0.35">
      <c r="A87" s="13" t="s">
        <v>278</v>
      </c>
    </row>
    <row r="88" spans="1:19" x14ac:dyDescent="0.35">
      <c r="A88" s="13" t="s">
        <v>24</v>
      </c>
      <c r="E88" s="13">
        <v>2016</v>
      </c>
      <c r="F88" s="13">
        <v>2017</v>
      </c>
      <c r="G88" s="13">
        <v>2018</v>
      </c>
      <c r="H88" s="13">
        <v>2019</v>
      </c>
      <c r="I88" s="13">
        <v>2020</v>
      </c>
      <c r="J88" s="13">
        <v>2021</v>
      </c>
      <c r="K88" s="13">
        <v>2022</v>
      </c>
      <c r="L88" s="13">
        <v>2023</v>
      </c>
      <c r="M88" s="13">
        <v>2024</v>
      </c>
      <c r="N88" s="13">
        <v>2025</v>
      </c>
      <c r="O88" s="13">
        <v>2026</v>
      </c>
      <c r="P88" s="13">
        <v>2027</v>
      </c>
      <c r="Q88" s="13">
        <v>2028</v>
      </c>
      <c r="R88" s="13">
        <v>2029</v>
      </c>
      <c r="S88" s="13">
        <v>2030</v>
      </c>
    </row>
    <row r="89" spans="1:19" x14ac:dyDescent="0.35">
      <c r="A89" s="13" t="s">
        <v>37</v>
      </c>
      <c r="E89" s="11">
        <f>E46*N(Data!J3)</f>
        <v>7.9578295050968251E-2</v>
      </c>
      <c r="F89" s="11">
        <f>F46*N(Data!J4)</f>
        <v>8.5622524241538045E-2</v>
      </c>
      <c r="G89" s="11">
        <f>G46*N(Data!J5)</f>
        <v>7.2792186441287043E-2</v>
      </c>
      <c r="H89" s="11">
        <f>H46*N(Data!J6)</f>
        <v>3.9093473170622728E-2</v>
      </c>
      <c r="I89" s="11">
        <f>I46*N(Data!J7)</f>
        <v>-4.1201632684256251E-2</v>
      </c>
      <c r="J89" s="11">
        <f>J46*N(Data!J8)</f>
        <v>0.10807887818868123</v>
      </c>
      <c r="K89" s="11">
        <f>K46*N(Data!J9)</f>
        <v>0.10623742273800363</v>
      </c>
      <c r="L89" s="11">
        <f>L46*N(Data!J10)</f>
        <v>7.9442488885035356E-2</v>
      </c>
      <c r="M89" s="11">
        <f>M46*N(Data!J11)</f>
        <v>5.3710431616866616E-2</v>
      </c>
      <c r="N89" s="11">
        <f>N46*N(Data!J12)</f>
        <v>5.1177533804406261E-2</v>
      </c>
      <c r="O89" s="11">
        <f>O46*N(Data!J13)</f>
        <v>6.1749626574893579E-2</v>
      </c>
      <c r="P89" s="11">
        <f>P46*N(Data!J14)</f>
        <v>6.6943247926641192E-2</v>
      </c>
      <c r="Q89" s="11">
        <f>Q46*N(Data!J15)</f>
        <v>6.0058893869506358E-2</v>
      </c>
      <c r="R89" s="11">
        <f>R46*N(Data!J16)</f>
        <v>5.8036858991370455E-2</v>
      </c>
      <c r="S89" s="11">
        <f>S46*N(Data!J17)</f>
        <v>4.8756050083060609E-2</v>
      </c>
    </row>
    <row r="90" spans="1:19" x14ac:dyDescent="0.35">
      <c r="A90" s="13" t="s">
        <v>47</v>
      </c>
      <c r="E90" s="11">
        <f>E47*N(Data!J19)+E48*N(Data!J35)</f>
        <v>2.7068538425058273E-2</v>
      </c>
      <c r="F90" s="11">
        <f>F47*N(Data!J20)+F48*N(Data!J36)</f>
        <v>4.3965808891982289E-2</v>
      </c>
      <c r="G90" s="11">
        <f>G47*N(Data!J21)+G48*N(Data!J37)</f>
        <v>5.2567902369233109E-2</v>
      </c>
      <c r="H90" s="11">
        <f>H47*N(Data!J22)+H48*N(Data!J38)</f>
        <v>4.2159284373874534E-2</v>
      </c>
      <c r="I90" s="11">
        <f>I47*N(Data!J23)+I48*N(Data!J39)</f>
        <v>-1.0084830516875261E-2</v>
      </c>
      <c r="J90" s="11">
        <f>J47*N(Data!J24)+J48*N(Data!J40)</f>
        <v>0.11313695569346373</v>
      </c>
      <c r="K90" s="11">
        <f>K47*N(Data!J25)+K48*N(Data!J41)</f>
        <v>9.9958056889682956E-2</v>
      </c>
      <c r="L90" s="11">
        <f>L47*N(Data!J26)+L48*N(Data!J42)</f>
        <v>6.5243065669732092E-2</v>
      </c>
      <c r="M90" s="11">
        <f>M47*N(Data!J27)+M48*N(Data!J43)</f>
        <v>5.533474956768402E-2</v>
      </c>
      <c r="N90" s="11">
        <f>N47*N(Data!J28)+N48*N(Data!J44)</f>
        <v>4.9923732134440485E-2</v>
      </c>
      <c r="O90" s="11">
        <f>O47*N(Data!J29)+O48*N(Data!J45)</f>
        <v>5.9684724328289071E-2</v>
      </c>
      <c r="P90" s="11">
        <f>P47*N(Data!J30)+P48*N(Data!J46)</f>
        <v>5.509130581953587E-2</v>
      </c>
      <c r="Q90" s="11">
        <f>Q47*N(Data!J31)+Q48*N(Data!J47)</f>
        <v>4.7520185581100688E-2</v>
      </c>
      <c r="R90" s="11">
        <f>R47*N(Data!J32)+R48*N(Data!J48)</f>
        <v>4.141655054049613E-2</v>
      </c>
      <c r="S90" s="11">
        <f>S47*N(Data!J33)+S48*N(Data!J49)</f>
        <v>4.1255133640616969E-2</v>
      </c>
    </row>
    <row r="91" spans="1:19" x14ac:dyDescent="0.35">
      <c r="A91" s="13" t="s">
        <v>54</v>
      </c>
      <c r="E91" s="11">
        <f>E49*N(Data!J51)+E50*N(Data!J67)+E51*N(Data!J83)+E52*N(Data!J99)+E53*N(Data!J115)+E54*N(Data!J131)+E55*N(Data!J147)+E56*N(Data!J163)+E57*N(Data!J179)+E58*N(Data!J195)+E59*N(Data!J211)+E60*N(Data!J227)+E61*N(Data!J243)+E62*N(Data!J259)+E63*N(Data!J275)</f>
        <v>0.11222902241240029</v>
      </c>
      <c r="F91" s="11">
        <f>F49*N(Data!J52)+F50*N(Data!J68)+F51*N(Data!J84)+F52*N(Data!J100)+F53*N(Data!J116)+F54*N(Data!J132)+F55*N(Data!J148)+F56*N(Data!J164)+F57*N(Data!J180)+F58*N(Data!J196)+F59*N(Data!J212)+F60*N(Data!J228)+F61*N(Data!J244)+F62*N(Data!J260)+F63*N(Data!J276)</f>
        <v>9.4399986267945935E-2</v>
      </c>
      <c r="G91" s="11">
        <f>G49*N(Data!J53)+G50*N(Data!J69)+G51*N(Data!J85)+G52*N(Data!J101)+G53*N(Data!J117)+G54*N(Data!J133)+G55*N(Data!J149)+G56*N(Data!J165)+G57*N(Data!J181)+G58*N(Data!J197)+G59*N(Data!J213)+G60*N(Data!J229)+G61*N(Data!J245)+G62*N(Data!J261)+G63*N(Data!J277)</f>
        <v>0.11365181738173874</v>
      </c>
      <c r="H91" s="11">
        <f>H49*N(Data!J54)+H50*N(Data!J70)+H51*N(Data!J86)+H52*N(Data!J102)+H53*N(Data!J118)+H54*N(Data!J134)+H55*N(Data!J150)+H56*N(Data!J166)+H57*N(Data!J182)+H58*N(Data!J198)+H59*N(Data!J214)+H60*N(Data!J230)+H61*N(Data!J246)+H62*N(Data!J262)+H63*N(Data!J278)</f>
        <v>0.10931789446059743</v>
      </c>
      <c r="I91" s="11">
        <f>I49*N(Data!J55)+I50*N(Data!J71)+I51*N(Data!J87)+I52*N(Data!J103)+I53*N(Data!J119)+I54*N(Data!J135)+I55*N(Data!J151)+I56*N(Data!J167)+I57*N(Data!J183)+I58*N(Data!J199)+I59*N(Data!J215)+I60*N(Data!J231)+I61*N(Data!J247)+I62*N(Data!J263)+I63*N(Data!J279)</f>
        <v>3.2761716703448122E-2</v>
      </c>
      <c r="J91" s="11">
        <f>J49*N(Data!J56)+J50*N(Data!J72)+J51*N(Data!J88)+J52*N(Data!J104)+J53*N(Data!J120)+J54*N(Data!J136)+J55*N(Data!J152)+J56*N(Data!J168)+J57*N(Data!J184)+J58*N(Data!J200)+J59*N(Data!J216)+J60*N(Data!J232)+J61*N(Data!J248)+J62*N(Data!J264)+J63*N(Data!J280)</f>
        <v>0.24627446061069347</v>
      </c>
      <c r="K91" s="11">
        <f>K49*N(Data!J57)+K50*N(Data!J73)+K51*N(Data!J89)+K52*N(Data!J105)+K53*N(Data!J121)+K54*N(Data!J137)+K55*N(Data!J153)+K56*N(Data!J169)+K57*N(Data!J185)+K58*N(Data!J201)+K59*N(Data!J217)+K60*N(Data!J233)+K61*N(Data!J249)+K62*N(Data!J265)+K63*N(Data!J281)</f>
        <v>0.21518227374195262</v>
      </c>
      <c r="L91" s="11">
        <f>L49*N(Data!J58)+L50*N(Data!J74)+L51*N(Data!J90)+L52*N(Data!J106)+L53*N(Data!J122)+L54*N(Data!J138)+L55*N(Data!J154)+L56*N(Data!J170)+L57*N(Data!J186)+L58*N(Data!J202)+L59*N(Data!J218)+L60*N(Data!J234)+L61*N(Data!J250)+L62*N(Data!J266)+L63*N(Data!J282)</f>
        <v>0.27813004176265294</v>
      </c>
      <c r="M91" s="11">
        <f>M49*N(Data!J59)+M50*N(Data!J75)+M51*N(Data!J91)+M52*N(Data!J107)+M53*N(Data!J123)+M54*N(Data!J139)+M55*N(Data!J155)+M56*N(Data!J171)+M57*N(Data!J187)+M58*N(Data!J203)+M59*N(Data!J219)+M60*N(Data!J235)+M61*N(Data!J251)+M62*N(Data!J267)+M63*N(Data!J283)</f>
        <v>0.36284585576805739</v>
      </c>
      <c r="N91" s="11">
        <f>N49*N(Data!J60)+N50*N(Data!J76)+N51*N(Data!J92)+N52*N(Data!J108)+N53*N(Data!J124)+N54*N(Data!J140)+N55*N(Data!J156)+N56*N(Data!J172)+N57*N(Data!J188)+N58*N(Data!J204)+N59*N(Data!J220)+N60*N(Data!J236)+N61*N(Data!J252)+N62*N(Data!J268)+N63*N(Data!J284)</f>
        <v>0.13375523549696006</v>
      </c>
      <c r="O91" s="11">
        <f>O49*N(Data!J61)+O50*N(Data!J77)+O51*N(Data!J93)+O52*N(Data!J109)+O53*N(Data!J125)+O54*N(Data!J141)+O55*N(Data!J157)+O56*N(Data!J173)+O57*N(Data!J189)+O58*N(Data!J205)+O59*N(Data!J221)+O60*N(Data!J237)+O61*N(Data!J253)+O62*N(Data!J269)+O63*N(Data!J285)</f>
        <v>0.11194387277801947</v>
      </c>
      <c r="P91" s="11">
        <f>P49*N(Data!J62)+P50*N(Data!J78)+P51*N(Data!J94)+P52*N(Data!J110)+P53*N(Data!J126)+P54*N(Data!J142)+P55*N(Data!J158)+P56*N(Data!J174)+P57*N(Data!J190)+P58*N(Data!J206)+P59*N(Data!J222)+P60*N(Data!J238)+P61*N(Data!J254)+P62*N(Data!J270)+P63*N(Data!J286)</f>
        <v>7.9461258858808503E-2</v>
      </c>
      <c r="Q91" s="11">
        <f>Q49*N(Data!J63)+Q50*N(Data!J79)+Q51*N(Data!J95)+Q52*N(Data!J111)+Q53*N(Data!J127)+Q54*N(Data!J143)+Q55*N(Data!J159)+Q56*N(Data!J175)+Q57*N(Data!J191)+Q58*N(Data!J207)+Q59*N(Data!J223)+Q60*N(Data!J239)+Q61*N(Data!J255)+Q62*N(Data!J271)+Q63*N(Data!J287)</f>
        <v>6.3324539100448676E-2</v>
      </c>
      <c r="R91" s="11">
        <f>R49*N(Data!J64)+R50*N(Data!J80)+R51*N(Data!J96)+R52*N(Data!J112)+R53*N(Data!J128)+R54*N(Data!J144)+R55*N(Data!J160)+R56*N(Data!J176)+R57*N(Data!J192)+R58*N(Data!J208)+R59*N(Data!J224)+R60*N(Data!J240)+R61*N(Data!J256)+R62*N(Data!J272)+R63*N(Data!J288)</f>
        <v>6.6405111931214553E-2</v>
      </c>
      <c r="S91" s="11">
        <f>S49*N(Data!J65)+S50*N(Data!J81)+S51*N(Data!J97)+S52*N(Data!J113)+S53*N(Data!J129)+S54*N(Data!J145)+S55*N(Data!J161)+S56*N(Data!J177)+S57*N(Data!J193)+S58*N(Data!J209)+S59*N(Data!J225)+S60*N(Data!J241)+S61*N(Data!J257)+S62*N(Data!J273)+S63*N(Data!J289)</f>
        <v>7.0557220172446075E-2</v>
      </c>
    </row>
    <row r="92" spans="1:19" x14ac:dyDescent="0.35">
      <c r="A92" s="13" t="s">
        <v>94</v>
      </c>
      <c r="E92" s="11">
        <f>E64*N(Data!J291)+E65*N(Data!J307)+E66*N(Data!J323)+E67*N(Data!J339)+E68*N(Data!J355)+E69*N(Data!J371)+E70*N(Data!J387)+E71*N(Data!J403)+E72*N(Data!J419)+E73*N(Data!J435)+E74*N(Data!J451)+E75*N(Data!J467)+E76*N(Data!J483)+E77*N(Data!J499)+E78*N(Data!J515)+E79*N(Data!J531)+E80*N(Data!J547)+E81*N(Data!J563)+E82*N(Data!J579)+E83*N(Data!J595)+E84*N(Data!J611)+E85*N(Data!J627)</f>
        <v>6.364869859627488E-2</v>
      </c>
      <c r="F92" s="11">
        <f>F64*N(Data!J292)+F65*N(Data!J308)+F66*N(Data!J324)+F67*N(Data!J340)+F68*N(Data!J356)+F69*N(Data!J372)+F70*N(Data!J388)+F71*N(Data!J404)+F72*N(Data!J420)+F73*N(Data!J436)+F74*N(Data!J452)+F75*N(Data!J468)+F76*N(Data!J484)+F77*N(Data!J500)+F78*N(Data!J516)+F79*N(Data!J532)+F80*N(Data!J548)+F81*N(Data!J564)+F82*N(Data!J580)+F83*N(Data!J596)+F84*N(Data!J612)+F85*N(Data!J628)</f>
        <v>8.3690124724401169E-2</v>
      </c>
      <c r="G92" s="11">
        <f>G64*N(Data!J293)+G65*N(Data!J309)+G66*N(Data!J325)+G67*N(Data!J341)+G68*N(Data!J357)+G69*N(Data!J373)+G70*N(Data!J389)+G71*N(Data!J405)+G72*N(Data!J421)+G73*N(Data!J437)+G74*N(Data!J453)+G75*N(Data!J469)+G76*N(Data!J485)+G77*N(Data!J501)+G78*N(Data!J517)+G79*N(Data!J533)+G80*N(Data!J549)+G81*N(Data!J565)+G82*N(Data!J581)+G83*N(Data!J597)+G84*N(Data!J613)+G85*N(Data!J629)</f>
        <v>8.292575907504636E-2</v>
      </c>
      <c r="H92" s="11">
        <f>H64*N(Data!J294)+H65*N(Data!J310)+H66*N(Data!J326)+H67*N(Data!J342)+H68*N(Data!J358)+H69*N(Data!J374)+H70*N(Data!J390)+H71*N(Data!J406)+H72*N(Data!J422)+H73*N(Data!J438)+H74*N(Data!J454)+H75*N(Data!J470)+H76*N(Data!J486)+H77*N(Data!J502)+H78*N(Data!J518)+H79*N(Data!J534)+H80*N(Data!J550)+H81*N(Data!J566)+H82*N(Data!J582)+H83*N(Data!J598)+H84*N(Data!J614)+H85*N(Data!J630)</f>
        <v>5.710807201404601E-2</v>
      </c>
      <c r="I92" s="11">
        <f>I64*N(Data!J295)+I65*N(Data!J311)+I66*N(Data!J327)+I67*N(Data!J343)+I68*N(Data!J359)+I69*N(Data!J375)+I70*N(Data!J391)+I71*N(Data!J407)+I72*N(Data!J423)+I73*N(Data!J439)+I74*N(Data!J455)+I75*N(Data!J471)+I76*N(Data!J487)+I77*N(Data!J503)+I78*N(Data!J519)+I79*N(Data!J535)+I80*N(Data!J551)+I81*N(Data!J567)+I82*N(Data!J583)+I83*N(Data!J599)+I84*N(Data!J615)+I85*N(Data!J631)</f>
        <v>-5.0848956351851691E-3</v>
      </c>
      <c r="J92" s="11">
        <f>J64*N(Data!J296)+J65*N(Data!J312)+J66*N(Data!J328)+J67*N(Data!J344)+J68*N(Data!J360)+J69*N(Data!J376)+J70*N(Data!J392)+J71*N(Data!J408)+J72*N(Data!J424)+J73*N(Data!J440)+J74*N(Data!J456)+J75*N(Data!J472)+J76*N(Data!J488)+J77*N(Data!J504)+J78*N(Data!J520)+J79*N(Data!J536)+J80*N(Data!J552)+J81*N(Data!J568)+J82*N(Data!J584)+J83*N(Data!J600)+J84*N(Data!J616)+J85*N(Data!J632)</f>
        <v>0.13588648533642159</v>
      </c>
      <c r="K92" s="11">
        <f>K64*N(Data!J297)+K65*N(Data!J313)+K66*N(Data!J329)+K67*N(Data!J345)+K68*N(Data!J361)+K69*N(Data!J377)+K70*N(Data!J393)+K71*N(Data!J409)+K72*N(Data!J425)+K73*N(Data!J441)+K74*N(Data!J457)+K75*N(Data!J473)+K76*N(Data!J489)+K77*N(Data!J505)+K78*N(Data!J521)+K79*N(Data!J537)+K80*N(Data!J553)+K81*N(Data!J569)+K82*N(Data!J585)+K83*N(Data!J601)+K84*N(Data!J617)+K85*N(Data!J633)</f>
        <v>9.6617833301257783E-2</v>
      </c>
      <c r="L92" s="11">
        <f>L64*N(Data!J298)+L65*N(Data!J314)+L66*N(Data!J330)+L67*N(Data!J346)+L68*N(Data!J362)+L69*N(Data!J378)+L70*N(Data!J394)+L71*N(Data!J410)+L72*N(Data!J426)+L73*N(Data!J442)+L74*N(Data!J458)+L75*N(Data!J474)+L76*N(Data!J490)+L77*N(Data!J506)+L78*N(Data!J522)+L79*N(Data!J538)+L80*N(Data!J554)+L81*N(Data!J570)+L82*N(Data!J586)+L83*N(Data!J602)+L84*N(Data!J618)+L85*N(Data!J634)</f>
        <v>8.247867032628789E-2</v>
      </c>
      <c r="M92" s="11">
        <f>M64*N(Data!J299)+M65*N(Data!J315)+M66*N(Data!J331)+M67*N(Data!J347)+M68*N(Data!J363)+M69*N(Data!J379)+M70*N(Data!J395)+M71*N(Data!J411)+M72*N(Data!J427)+M73*N(Data!J443)+M74*N(Data!J459)+M75*N(Data!J475)+M76*N(Data!J491)+M77*N(Data!J507)+M78*N(Data!J523)+M79*N(Data!J539)+M80*N(Data!J555)+M81*N(Data!J571)+M82*N(Data!J587)+M83*N(Data!J603)+M84*N(Data!J619)+M85*N(Data!J635)</f>
        <v>7.394214169544297E-2</v>
      </c>
      <c r="N92" s="11">
        <f>N64*N(Data!J300)+N65*N(Data!J316)+N66*N(Data!J332)+N67*N(Data!J348)+N68*N(Data!J364)+N69*N(Data!J380)+N70*N(Data!J396)+N71*N(Data!J412)+N72*N(Data!J428)+N73*N(Data!J444)+N74*N(Data!J460)+N75*N(Data!J476)+N76*N(Data!J492)+N77*N(Data!J508)+N78*N(Data!J524)+N79*N(Data!J540)+N80*N(Data!J556)+N81*N(Data!J572)+N82*N(Data!J588)+N83*N(Data!J604)+N84*N(Data!J620)+N85*N(Data!J636)</f>
        <v>5.8288851017060425E-2</v>
      </c>
      <c r="O92" s="11">
        <f>O64*N(Data!J301)+O65*N(Data!J317)+O66*N(Data!J333)+O67*N(Data!J349)+O68*N(Data!J365)+O69*N(Data!J381)+O70*N(Data!J397)+O71*N(Data!J413)+O72*N(Data!J429)+O73*N(Data!J445)+O74*N(Data!J461)+O75*N(Data!J477)+O76*N(Data!J493)+O77*N(Data!J509)+O78*N(Data!J525)+O79*N(Data!J541)+O80*N(Data!J557)+O81*N(Data!J573)+O82*N(Data!J589)+O83*N(Data!J605)+O84*N(Data!J621)+O85*N(Data!J637)</f>
        <v>6.9925602959404934E-2</v>
      </c>
      <c r="P92" s="11">
        <f>P64*N(Data!J302)+P65*N(Data!J318)+P66*N(Data!J334)+P67*N(Data!J350)+P68*N(Data!J366)+P69*N(Data!J382)+P70*N(Data!J398)+P71*N(Data!J414)+P72*N(Data!J430)+P73*N(Data!J446)+P74*N(Data!J462)+P75*N(Data!J478)+P76*N(Data!J494)+P77*N(Data!J510)+P78*N(Data!J526)+P79*N(Data!J542)+P80*N(Data!J558)+P81*N(Data!J574)+P82*N(Data!J590)+P83*N(Data!J606)+P84*N(Data!J622)+P85*N(Data!J638)</f>
        <v>6.2220476315897631E-2</v>
      </c>
      <c r="Q92" s="11">
        <f>Q64*N(Data!J303)+Q65*N(Data!J319)+Q66*N(Data!J335)+Q67*N(Data!J351)+Q68*N(Data!J367)+Q69*N(Data!J383)+Q70*N(Data!J399)+Q71*N(Data!J415)+Q72*N(Data!J431)+Q73*N(Data!J447)+Q74*N(Data!J463)+Q75*N(Data!J479)+Q76*N(Data!J495)+Q77*N(Data!J511)+Q78*N(Data!J527)+Q79*N(Data!J543)+Q80*N(Data!J559)+Q81*N(Data!J575)+Q82*N(Data!J591)+Q83*N(Data!J607)+Q84*N(Data!J623)+Q85*N(Data!J639)</f>
        <v>5.935349371301659E-2</v>
      </c>
      <c r="R92" s="11">
        <f>R64*N(Data!J304)+R65*N(Data!J320)+R66*N(Data!J336)+R67*N(Data!J352)+R68*N(Data!J368)+R69*N(Data!J384)+R70*N(Data!J400)+R71*N(Data!J416)+R72*N(Data!J432)+R73*N(Data!J448)+R74*N(Data!J464)+R75*N(Data!J480)+R76*N(Data!J496)+R77*N(Data!J512)+R78*N(Data!J528)+R79*N(Data!J544)+R80*N(Data!J560)+R81*N(Data!J576)+R82*N(Data!J592)+R83*N(Data!J608)+R84*N(Data!J624)+R85*N(Data!J640)</f>
        <v>6.0524494528389858E-2</v>
      </c>
      <c r="S92" s="11">
        <f>S64*N(Data!J305)+S65*N(Data!J321)+S66*N(Data!J337)+S67*N(Data!J353)+S68*N(Data!J369)+S69*N(Data!J385)+S70*N(Data!J401)+S71*N(Data!J417)+S72*N(Data!J433)+S73*N(Data!J449)+S74*N(Data!J465)+S75*N(Data!J481)+S76*N(Data!J497)+S77*N(Data!J513)+S78*N(Data!J529)+S79*N(Data!J545)+S80*N(Data!J561)+S81*N(Data!J577)+S82*N(Data!J593)+S83*N(Data!J609)+S84*N(Data!J625)+S85*N(Data!J641)</f>
        <v>5.9967662151517914E-2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2"/>
  <sheetViews>
    <sheetView workbookViewId="0"/>
  </sheetViews>
  <sheetFormatPr baseColWidth="10" defaultColWidth="8.7265625" defaultRowHeight="14.5" x14ac:dyDescent="0.35"/>
  <cols>
    <col min="1" max="1" width="16" customWidth="1"/>
  </cols>
  <sheetData>
    <row r="1" spans="1:13" x14ac:dyDescent="0.35">
      <c r="A1" t="s">
        <v>279</v>
      </c>
    </row>
    <row r="2" spans="1:13" x14ac:dyDescent="0.35">
      <c r="A2" s="2" t="s">
        <v>24</v>
      </c>
      <c r="B2" s="2" t="s">
        <v>280</v>
      </c>
      <c r="C2" s="2" t="s">
        <v>281</v>
      </c>
      <c r="D2" s="2" t="s">
        <v>282</v>
      </c>
      <c r="E2" s="2" t="s">
        <v>283</v>
      </c>
      <c r="F2" s="2" t="s">
        <v>284</v>
      </c>
      <c r="G2" s="2" t="s">
        <v>285</v>
      </c>
      <c r="H2" s="2" t="s">
        <v>286</v>
      </c>
      <c r="I2" s="2" t="s">
        <v>287</v>
      </c>
      <c r="J2" s="2" t="s">
        <v>288</v>
      </c>
      <c r="K2" s="2" t="s">
        <v>289</v>
      </c>
      <c r="L2" s="2" t="s">
        <v>290</v>
      </c>
      <c r="M2" s="2" t="s">
        <v>291</v>
      </c>
    </row>
    <row r="3" spans="1:13" x14ac:dyDescent="0.35">
      <c r="A3" s="13" t="s">
        <v>37</v>
      </c>
      <c r="B3" s="11">
        <v>0.115</v>
      </c>
      <c r="C3" s="11">
        <v>0.04</v>
      </c>
      <c r="D3" s="11">
        <v>2.4E-2</v>
      </c>
      <c r="E3" s="11">
        <f>Regional_agg!L89</f>
        <v>7.9442488885035356E-2</v>
      </c>
      <c r="F3" s="11">
        <f>Regional_agg!M89</f>
        <v>5.3710431616866616E-2</v>
      </c>
      <c r="G3" s="11">
        <f>Regional_agg!N89</f>
        <v>5.1177533804406261E-2</v>
      </c>
      <c r="H3" s="16">
        <f t="shared" ref="H3:J6" si="0">IF(E3=0,"",B3/E3)</f>
        <v>1.4475880805600321</v>
      </c>
      <c r="I3" s="16">
        <f t="shared" si="0"/>
        <v>0.74473428709961909</v>
      </c>
      <c r="J3" s="16">
        <f t="shared" si="0"/>
        <v>0.46895577445612785</v>
      </c>
      <c r="K3" s="11">
        <f>((1+B3)*(1+C3)*(1+D3))^(1/3)-1</f>
        <v>5.893520700538124E-2</v>
      </c>
      <c r="L3" s="11">
        <f>((1+E3)*(1+F3)*(1+G3))^(1/3)-1</f>
        <v>6.1367095606937649E-2</v>
      </c>
      <c r="M3" s="16">
        <f>IF(L3=0,"",K3/L3)</f>
        <v>0.9603714567635252</v>
      </c>
    </row>
    <row r="4" spans="1:13" x14ac:dyDescent="0.35">
      <c r="A4" s="13" t="s">
        <v>47</v>
      </c>
      <c r="B4" s="11">
        <v>6.7000000000000004E-2</v>
      </c>
      <c r="C4" s="11">
        <v>-4.5999999999999999E-2</v>
      </c>
      <c r="D4" s="11">
        <v>-0.04</v>
      </c>
      <c r="E4" s="11">
        <f>Regional_agg!L90</f>
        <v>6.5243065669732092E-2</v>
      </c>
      <c r="F4" s="11">
        <f>Regional_agg!M90</f>
        <v>5.533474956768402E-2</v>
      </c>
      <c r="G4" s="11">
        <f>Regional_agg!N90</f>
        <v>4.9923732134440485E-2</v>
      </c>
      <c r="H4" s="16">
        <f t="shared" si="0"/>
        <v>1.0269290584713127</v>
      </c>
      <c r="I4" s="16">
        <f t="shared" si="0"/>
        <v>-0.83130402431358252</v>
      </c>
      <c r="J4" s="16">
        <f t="shared" si="0"/>
        <v>-0.80122215006448849</v>
      </c>
      <c r="K4" s="11">
        <f>((1+B4)*(1+C4)*(1+D4))^(1/3)-1</f>
        <v>-7.6580696591072028E-3</v>
      </c>
      <c r="L4" s="11">
        <f>((1+E4)*(1+F4)*(1+G4))^(1/3)-1</f>
        <v>5.6814838053663497E-2</v>
      </c>
      <c r="M4" s="16">
        <f>IF(L4=0,"",K4/L4)</f>
        <v>-0.13478995842378186</v>
      </c>
    </row>
    <row r="5" spans="1:13" x14ac:dyDescent="0.35">
      <c r="A5" s="13" t="s">
        <v>54</v>
      </c>
      <c r="B5" s="11">
        <v>0.16900000000000001</v>
      </c>
      <c r="C5" s="11">
        <v>0.1</v>
      </c>
      <c r="D5" s="11">
        <v>0.10100000000000001</v>
      </c>
      <c r="E5" s="11">
        <f>Regional_agg!L91</f>
        <v>0.27813004176265294</v>
      </c>
      <c r="F5" s="11">
        <f>Regional_agg!M91</f>
        <v>0.36284585576805739</v>
      </c>
      <c r="G5" s="11">
        <f>Regional_agg!N91</f>
        <v>0.13375523549696006</v>
      </c>
      <c r="H5" s="16">
        <f t="shared" si="0"/>
        <v>0.60762943452264351</v>
      </c>
      <c r="I5" s="16">
        <f t="shared" si="0"/>
        <v>0.2755991240090756</v>
      </c>
      <c r="J5" s="16">
        <f t="shared" si="0"/>
        <v>0.75511062893904812</v>
      </c>
      <c r="K5" s="11">
        <f>((1+B5)*(1+C5)*(1+D5))^(1/3)-1</f>
        <v>0.12287523892278474</v>
      </c>
      <c r="L5" s="11">
        <f>((1+E5)*(1+F5)*(1+G5))^(1/3)-1</f>
        <v>0.25462430166566552</v>
      </c>
      <c r="M5" s="16">
        <f>IF(L5=0,"",K5/L5)</f>
        <v>0.48257467224839395</v>
      </c>
    </row>
    <row r="6" spans="1:13" x14ac:dyDescent="0.35">
      <c r="A6" s="13" t="s">
        <v>94</v>
      </c>
      <c r="B6" s="11">
        <v>0.23499999999999999</v>
      </c>
      <c r="C6" s="11">
        <v>7.9000000000000001E-2</v>
      </c>
      <c r="D6" s="11">
        <v>0.11700000000000001</v>
      </c>
      <c r="E6" s="11">
        <f>Regional_agg!L92</f>
        <v>8.247867032628789E-2</v>
      </c>
      <c r="F6" s="11">
        <f>Regional_agg!M92</f>
        <v>7.394214169544297E-2</v>
      </c>
      <c r="G6" s="11">
        <f>Regional_agg!N92</f>
        <v>5.8288851017060425E-2</v>
      </c>
      <c r="H6" s="16">
        <f t="shared" si="0"/>
        <v>2.8492214904815212</v>
      </c>
      <c r="I6" s="16">
        <f t="shared" si="0"/>
        <v>1.0684029186683504</v>
      </c>
      <c r="J6" s="16">
        <f t="shared" si="0"/>
        <v>2.0072449183421983</v>
      </c>
      <c r="K6" s="11">
        <f>((1+B6)*(1+C6)*(1+D6))^(1/3)-1</f>
        <v>0.1417749883072259</v>
      </c>
      <c r="L6" s="11">
        <f>((1+E6)*(1+F6)*(1+G6))^(1/3)-1</f>
        <v>7.152296746329645E-2</v>
      </c>
      <c r="M6" s="16">
        <f>IF(L6=0,"",K6/L6)</f>
        <v>1.982230230869277</v>
      </c>
    </row>
    <row r="8" spans="1:13" x14ac:dyDescent="0.35">
      <c r="A8" t="s">
        <v>292</v>
      </c>
    </row>
    <row r="9" spans="1:13" x14ac:dyDescent="0.35">
      <c r="A9" t="s">
        <v>293</v>
      </c>
    </row>
    <row r="10" spans="1:13" x14ac:dyDescent="0.35">
      <c r="A10" t="s">
        <v>294</v>
      </c>
    </row>
    <row r="11" spans="1:13" x14ac:dyDescent="0.35">
      <c r="A11" t="s">
        <v>295</v>
      </c>
    </row>
    <row r="12" spans="1:13" x14ac:dyDescent="0.35">
      <c r="A12" t="s">
        <v>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7"/>
  <sheetViews>
    <sheetView workbookViewId="0"/>
  </sheetViews>
  <sheetFormatPr baseColWidth="10" defaultColWidth="8.7265625" defaultRowHeight="14.5" x14ac:dyDescent="0.35"/>
  <cols>
    <col min="1" max="1" width="60" customWidth="1"/>
    <col min="6" max="6" width="18" customWidth="1"/>
  </cols>
  <sheetData>
    <row r="1" spans="1:6" x14ac:dyDescent="0.35">
      <c r="A1" t="s">
        <v>297</v>
      </c>
    </row>
    <row r="2" spans="1:6" x14ac:dyDescent="0.35">
      <c r="A2" s="2" t="s">
        <v>298</v>
      </c>
      <c r="B2" s="2" t="s">
        <v>299</v>
      </c>
      <c r="C2" s="2" t="s">
        <v>300</v>
      </c>
      <c r="D2" s="2" t="s">
        <v>301</v>
      </c>
      <c r="E2" s="2" t="s">
        <v>302</v>
      </c>
      <c r="F2" s="2" t="s">
        <v>152</v>
      </c>
    </row>
    <row r="3" spans="1:6" x14ac:dyDescent="0.35">
      <c r="A3" t="s">
        <v>303</v>
      </c>
      <c r="B3" s="17">
        <v>40533</v>
      </c>
      <c r="C3" s="17">
        <v>46580</v>
      </c>
      <c r="D3" s="11">
        <f>B3/C3-1</f>
        <v>-0.12981966509231435</v>
      </c>
      <c r="E3" s="11">
        <v>7.0000000000000001E-3</v>
      </c>
      <c r="F3" t="s">
        <v>304</v>
      </c>
    </row>
    <row r="4" spans="1:6" x14ac:dyDescent="0.35">
      <c r="A4" t="s">
        <v>305</v>
      </c>
      <c r="B4" s="17">
        <v>44368</v>
      </c>
      <c r="C4" s="17">
        <v>49124</v>
      </c>
      <c r="D4" s="11">
        <f>B4/C4-1</f>
        <v>-9.6816220177510015E-2</v>
      </c>
      <c r="E4" s="11">
        <v>1.2999999999999999E-2</v>
      </c>
      <c r="F4" t="s">
        <v>306</v>
      </c>
    </row>
    <row r="5" spans="1:6" x14ac:dyDescent="0.35">
      <c r="A5" t="s">
        <v>307</v>
      </c>
      <c r="B5" s="17">
        <v>44241</v>
      </c>
      <c r="C5" s="17">
        <v>47470</v>
      </c>
      <c r="D5" s="11">
        <f>B5/C5-1</f>
        <v>-6.8021908573836054E-2</v>
      </c>
      <c r="E5" s="11">
        <v>0.01</v>
      </c>
      <c r="F5" t="s">
        <v>308</v>
      </c>
    </row>
    <row r="7" spans="1:6" x14ac:dyDescent="0.35">
      <c r="A7" s="13" t="s">
        <v>309</v>
      </c>
      <c r="B7" s="4">
        <f>SUMPRODUCT(C3:C5,E3:E5)/SUM(C3:C5)</f>
        <v>1.0053305767807004E-2</v>
      </c>
    </row>
    <row r="8" spans="1:6" x14ac:dyDescent="0.35">
      <c r="A8" s="13" t="s">
        <v>310</v>
      </c>
      <c r="B8" s="4">
        <f>Data!J29</f>
        <v>5.9930093654542604E-2</v>
      </c>
    </row>
    <row r="9" spans="1:6" x14ac:dyDescent="0.35">
      <c r="A9" s="13" t="s">
        <v>311</v>
      </c>
      <c r="B9" s="16">
        <f>B7/B8</f>
        <v>0.16775054325390629</v>
      </c>
    </row>
    <row r="11" spans="1:6" x14ac:dyDescent="0.35">
      <c r="A11" s="13" t="s">
        <v>312</v>
      </c>
    </row>
    <row r="12" spans="1:6" x14ac:dyDescent="0.35">
      <c r="B12" s="13">
        <v>2027</v>
      </c>
      <c r="C12" s="13">
        <v>2028</v>
      </c>
      <c r="D12" s="13">
        <v>2029</v>
      </c>
      <c r="E12" s="13">
        <v>2030</v>
      </c>
    </row>
    <row r="13" spans="1:6" x14ac:dyDescent="0.35">
      <c r="A13" t="s">
        <v>313</v>
      </c>
      <c r="B13" s="11">
        <f>Data!J30</f>
        <v>5.4360316971667766E-2</v>
      </c>
      <c r="C13" s="11">
        <f>Data!J31</f>
        <v>4.7543882132785598E-2</v>
      </c>
      <c r="D13" s="11">
        <f>Data!J32</f>
        <v>4.1819638226873179E-2</v>
      </c>
      <c r="E13" s="11">
        <f>Data!J33</f>
        <v>4.1287356590570479E-2</v>
      </c>
    </row>
    <row r="14" spans="1:6" x14ac:dyDescent="0.35">
      <c r="A14" t="s">
        <v>314</v>
      </c>
      <c r="B14" s="11">
        <f>$B$9*B13</f>
        <v>9.1189727034518102E-3</v>
      </c>
      <c r="C14" s="11">
        <f>$B$9*C13</f>
        <v>7.9755120561744719E-3</v>
      </c>
      <c r="D14" s="11">
        <f>$B$9*D13</f>
        <v>7.0152670312398019E-3</v>
      </c>
      <c r="E14" s="11">
        <f>$B$9*E13</f>
        <v>6.9259764975859459E-3</v>
      </c>
    </row>
    <row r="16" spans="1:6" x14ac:dyDescent="0.35">
      <c r="A16" t="s">
        <v>315</v>
      </c>
    </row>
    <row r="17" spans="1:1" x14ac:dyDescent="0.35">
      <c r="A17" t="s">
        <v>316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6"/>
  <sheetViews>
    <sheetView workbookViewId="0"/>
  </sheetViews>
  <sheetFormatPr baseColWidth="10" defaultColWidth="8.7265625" defaultRowHeight="14.5" x14ac:dyDescent="0.35"/>
  <cols>
    <col min="1" max="1" width="44" customWidth="1"/>
    <col min="6" max="6" width="12" customWidth="1"/>
  </cols>
  <sheetData>
    <row r="1" spans="1:7" x14ac:dyDescent="0.35">
      <c r="A1" t="s">
        <v>317</v>
      </c>
    </row>
    <row r="2" spans="1:7" x14ac:dyDescent="0.35">
      <c r="A2" s="2" t="s">
        <v>318</v>
      </c>
      <c r="B2" s="2" t="s">
        <v>319</v>
      </c>
      <c r="C2" s="2" t="s">
        <v>320</v>
      </c>
      <c r="D2" s="2" t="s">
        <v>321</v>
      </c>
      <c r="E2" s="2" t="s">
        <v>152</v>
      </c>
    </row>
    <row r="3" spans="1:7" x14ac:dyDescent="0.35">
      <c r="A3">
        <v>2022</v>
      </c>
      <c r="B3" s="11">
        <f>130401/109089-1</f>
        <v>0.19536341885983011</v>
      </c>
      <c r="C3" s="11">
        <f>Data!J9</f>
        <v>0.10623742273800363</v>
      </c>
      <c r="D3" s="16">
        <f>B3/C3</f>
        <v>1.8389322126311711</v>
      </c>
      <c r="E3" t="s">
        <v>322</v>
      </c>
    </row>
    <row r="4" spans="1:7" x14ac:dyDescent="0.35">
      <c r="A4">
        <v>2023</v>
      </c>
      <c r="B4" s="11">
        <v>0.115</v>
      </c>
      <c r="C4" s="11">
        <f>Data!J10</f>
        <v>7.9442488885035356E-2</v>
      </c>
      <c r="D4" s="16">
        <f>B4/C4</f>
        <v>1.4475880805600321</v>
      </c>
      <c r="E4" t="s">
        <v>323</v>
      </c>
    </row>
    <row r="5" spans="1:7" x14ac:dyDescent="0.35">
      <c r="A5">
        <v>2024</v>
      </c>
      <c r="B5" s="11">
        <v>0.04</v>
      </c>
      <c r="C5" s="11">
        <f>Data!J11</f>
        <v>5.3710431616866616E-2</v>
      </c>
      <c r="D5" s="16">
        <f>B5/C5</f>
        <v>0.74473428709961909</v>
      </c>
      <c r="E5" t="s">
        <v>324</v>
      </c>
    </row>
    <row r="6" spans="1:7" x14ac:dyDescent="0.35">
      <c r="A6">
        <v>2025</v>
      </c>
      <c r="B6" s="11">
        <v>2.4E-2</v>
      </c>
      <c r="C6" s="11">
        <f>Data!J12</f>
        <v>5.1177533804406261E-2</v>
      </c>
      <c r="D6" s="16">
        <f>B6/C6</f>
        <v>0.46895577445612785</v>
      </c>
      <c r="E6" t="s">
        <v>325</v>
      </c>
    </row>
    <row r="8" spans="1:7" x14ac:dyDescent="0.35">
      <c r="A8" s="13" t="s">
        <v>326</v>
      </c>
    </row>
    <row r="9" spans="1:7" x14ac:dyDescent="0.35">
      <c r="A9" s="2" t="s">
        <v>298</v>
      </c>
      <c r="B9" s="2" t="s">
        <v>299</v>
      </c>
      <c r="C9" s="2" t="s">
        <v>327</v>
      </c>
      <c r="D9" s="2" t="s">
        <v>328</v>
      </c>
      <c r="E9" s="2" t="s">
        <v>329</v>
      </c>
      <c r="F9" s="2" t="s">
        <v>152</v>
      </c>
      <c r="G9" s="2" t="s">
        <v>330</v>
      </c>
    </row>
    <row r="10" spans="1:7" x14ac:dyDescent="0.35">
      <c r="A10" t="s">
        <v>331</v>
      </c>
      <c r="B10" s="17">
        <v>36375</v>
      </c>
      <c r="C10" s="17">
        <v>33562</v>
      </c>
      <c r="D10" s="11">
        <f t="shared" ref="D10:D22" si="0">B10/C10-1</f>
        <v>8.381502890173409E-2</v>
      </c>
      <c r="E10" s="11">
        <v>8.4000000000000005E-2</v>
      </c>
      <c r="F10" t="s">
        <v>332</v>
      </c>
    </row>
    <row r="11" spans="1:7" x14ac:dyDescent="0.35">
      <c r="A11" t="s">
        <v>333</v>
      </c>
      <c r="B11" s="17">
        <v>36985</v>
      </c>
      <c r="C11" s="17">
        <v>34818</v>
      </c>
      <c r="D11" s="11">
        <f t="shared" si="0"/>
        <v>6.223792291343555E-2</v>
      </c>
      <c r="E11" s="11">
        <v>6.2E-2</v>
      </c>
      <c r="F11" t="s">
        <v>334</v>
      </c>
    </row>
    <row r="12" spans="1:7" x14ac:dyDescent="0.35">
      <c r="A12" t="s">
        <v>335</v>
      </c>
      <c r="B12" s="17">
        <v>37386</v>
      </c>
      <c r="C12" s="17">
        <v>36244</v>
      </c>
      <c r="D12" s="11">
        <f t="shared" si="0"/>
        <v>3.1508663502924694E-2</v>
      </c>
      <c r="E12" s="11">
        <v>3.2000000000000001E-2</v>
      </c>
      <c r="F12" t="s">
        <v>336</v>
      </c>
    </row>
    <row r="13" spans="1:7" x14ac:dyDescent="0.35">
      <c r="A13" t="s">
        <v>337</v>
      </c>
      <c r="B13" s="17">
        <v>37369</v>
      </c>
      <c r="C13" s="17">
        <v>35783</v>
      </c>
      <c r="D13" s="11">
        <f t="shared" si="0"/>
        <v>4.4322723080792548E-2</v>
      </c>
      <c r="E13" s="11">
        <v>4.3999999999999997E-2</v>
      </c>
      <c r="F13" t="s">
        <v>338</v>
      </c>
      <c r="G13" s="11">
        <f t="shared" ref="G13:G22" si="1">SUM(B10:B13)/SUM(C10:C13)-1</f>
        <v>5.4897547843056227E-2</v>
      </c>
    </row>
    <row r="14" spans="1:7" x14ac:dyDescent="0.35">
      <c r="A14" t="s">
        <v>339</v>
      </c>
      <c r="B14" s="17">
        <v>38793</v>
      </c>
      <c r="C14" s="17">
        <v>36375</v>
      </c>
      <c r="D14" s="11">
        <f t="shared" si="0"/>
        <v>6.6474226804123626E-2</v>
      </c>
      <c r="E14" s="11">
        <v>6.6000000000000003E-2</v>
      </c>
      <c r="F14" t="s">
        <v>340</v>
      </c>
      <c r="G14" s="11">
        <f t="shared" si="1"/>
        <v>5.1061304287110643E-2</v>
      </c>
    </row>
    <row r="15" spans="1:7" x14ac:dyDescent="0.35">
      <c r="A15" t="s">
        <v>341</v>
      </c>
      <c r="B15" s="17">
        <v>37616</v>
      </c>
      <c r="C15" s="17">
        <v>36985</v>
      </c>
      <c r="D15" s="11">
        <f t="shared" si="0"/>
        <v>1.7060970663782538E-2</v>
      </c>
      <c r="E15" s="11">
        <v>1.7000000000000001E-2</v>
      </c>
      <c r="F15" t="s">
        <v>342</v>
      </c>
      <c r="G15" s="11">
        <f t="shared" si="1"/>
        <v>3.973532709251848E-2</v>
      </c>
    </row>
    <row r="16" spans="1:7" x14ac:dyDescent="0.35">
      <c r="A16" t="s">
        <v>343</v>
      </c>
      <c r="B16" s="17">
        <v>38018</v>
      </c>
      <c r="C16" s="17">
        <v>37386</v>
      </c>
      <c r="D16" s="11">
        <f t="shared" si="0"/>
        <v>1.6904723693361046E-2</v>
      </c>
      <c r="E16" s="11">
        <v>1.7000000000000001E-2</v>
      </c>
      <c r="F16" t="s">
        <v>344</v>
      </c>
      <c r="G16" s="11">
        <f t="shared" si="1"/>
        <v>3.5945103017150259E-2</v>
      </c>
    </row>
    <row r="17" spans="1:7" x14ac:dyDescent="0.35">
      <c r="A17" t="s">
        <v>345</v>
      </c>
      <c r="B17" s="17">
        <v>38475</v>
      </c>
      <c r="C17" s="17">
        <v>37369</v>
      </c>
      <c r="D17" s="11">
        <f t="shared" si="0"/>
        <v>2.9596724557788612E-2</v>
      </c>
      <c r="E17" s="11">
        <v>0.03</v>
      </c>
      <c r="F17" t="s">
        <v>346</v>
      </c>
      <c r="G17" s="11">
        <f t="shared" si="1"/>
        <v>3.2319481483982004E-2</v>
      </c>
    </row>
    <row r="18" spans="1:7" x14ac:dyDescent="0.35">
      <c r="A18" t="s">
        <v>347</v>
      </c>
      <c r="B18" s="17">
        <v>38897</v>
      </c>
      <c r="C18" s="17">
        <v>38793</v>
      </c>
      <c r="D18" s="11">
        <f t="shared" si="0"/>
        <v>2.6808960379449687E-3</v>
      </c>
      <c r="E18" s="11">
        <v>3.0000000000000001E-3</v>
      </c>
      <c r="F18" t="s">
        <v>348</v>
      </c>
      <c r="G18" s="11">
        <f t="shared" si="1"/>
        <v>1.6428291470973244E-2</v>
      </c>
    </row>
    <row r="19" spans="1:7" x14ac:dyDescent="0.35">
      <c r="A19" t="s">
        <v>349</v>
      </c>
      <c r="B19" s="17">
        <v>39419</v>
      </c>
      <c r="C19" s="17">
        <v>37616</v>
      </c>
      <c r="D19" s="11">
        <f t="shared" si="0"/>
        <v>4.7931731178222137E-2</v>
      </c>
      <c r="E19" s="11">
        <v>4.8000000000000001E-2</v>
      </c>
      <c r="F19" t="s">
        <v>350</v>
      </c>
      <c r="G19" s="11">
        <f t="shared" si="1"/>
        <v>2.4112884020004666E-2</v>
      </c>
    </row>
    <row r="20" spans="1:7" x14ac:dyDescent="0.35">
      <c r="A20" t="s">
        <v>303</v>
      </c>
      <c r="B20" s="17">
        <v>39726</v>
      </c>
      <c r="C20" s="17">
        <v>38018</v>
      </c>
      <c r="D20" s="11">
        <f t="shared" si="0"/>
        <v>4.4926087642695567E-2</v>
      </c>
      <c r="E20" s="11">
        <v>4.4999999999999998E-2</v>
      </c>
      <c r="F20" t="s">
        <v>351</v>
      </c>
      <c r="G20" s="11">
        <f t="shared" si="1"/>
        <v>3.1100951276713529E-2</v>
      </c>
    </row>
    <row r="21" spans="1:7" x14ac:dyDescent="0.35">
      <c r="A21" t="s">
        <v>305</v>
      </c>
      <c r="B21" s="17">
        <v>40279</v>
      </c>
      <c r="C21" s="17">
        <v>38475</v>
      </c>
      <c r="D21" s="11">
        <f t="shared" si="0"/>
        <v>4.6887589343729719E-2</v>
      </c>
      <c r="E21" s="11">
        <v>4.7E-2</v>
      </c>
      <c r="F21" t="s">
        <v>352</v>
      </c>
      <c r="G21" s="11">
        <f t="shared" si="1"/>
        <v>3.5441001425749796E-2</v>
      </c>
    </row>
    <row r="22" spans="1:7" x14ac:dyDescent="0.35">
      <c r="A22" t="s">
        <v>307</v>
      </c>
      <c r="B22" s="17">
        <v>40905</v>
      </c>
      <c r="C22" s="17">
        <v>38897</v>
      </c>
      <c r="D22" s="11">
        <f t="shared" si="0"/>
        <v>5.1623518523279399E-2</v>
      </c>
      <c r="E22" s="11">
        <v>5.1999999999999998E-2</v>
      </c>
      <c r="F22" t="s">
        <v>353</v>
      </c>
      <c r="G22" s="11">
        <f t="shared" si="1"/>
        <v>4.7860868201246909E-2</v>
      </c>
    </row>
    <row r="24" spans="1:7" x14ac:dyDescent="0.35">
      <c r="A24" s="13" t="s">
        <v>354</v>
      </c>
    </row>
    <row r="25" spans="1:7" x14ac:dyDescent="0.35">
      <c r="A25" s="13" t="s">
        <v>355</v>
      </c>
      <c r="B25" s="13" t="s">
        <v>356</v>
      </c>
      <c r="C25" s="13">
        <v>2027</v>
      </c>
      <c r="D25" s="13">
        <v>2028</v>
      </c>
      <c r="E25" s="13">
        <v>2029</v>
      </c>
      <c r="F25" s="13">
        <v>2030</v>
      </c>
    </row>
    <row r="26" spans="1:7" x14ac:dyDescent="0.35">
      <c r="A26" t="s">
        <v>320</v>
      </c>
      <c r="C26" s="11">
        <f>Data!J14</f>
        <v>6.6943247926641192E-2</v>
      </c>
      <c r="D26" s="11">
        <f>Data!J15</f>
        <v>6.0058893869506358E-2</v>
      </c>
      <c r="E26" s="11">
        <f>Data!J16</f>
        <v>5.8036858991370455E-2</v>
      </c>
      <c r="F26" s="11">
        <f>Data!J17</f>
        <v>4.8756050083060609E-2</v>
      </c>
    </row>
    <row r="27" spans="1:7" x14ac:dyDescent="0.35">
      <c r="A27" t="s">
        <v>357</v>
      </c>
      <c r="B27" s="16">
        <f>(SUM(B20:B22)/SUM(C20:C22)-1)/Data!J13</f>
        <v>0.77470537433657727</v>
      </c>
      <c r="C27" s="11">
        <f t="shared" ref="C27:F31" si="2">$B27*C$26</f>
        <v>5.1861293944314865E-2</v>
      </c>
      <c r="D27" s="11">
        <f t="shared" si="2"/>
        <v>4.6527947857416686E-2</v>
      </c>
      <c r="E27" s="11">
        <f t="shared" si="2"/>
        <v>4.49614665702288E-2</v>
      </c>
      <c r="F27" s="11">
        <f t="shared" si="2"/>
        <v>3.7771574030770382E-2</v>
      </c>
    </row>
    <row r="28" spans="1:7" x14ac:dyDescent="0.35">
      <c r="A28" t="s">
        <v>358</v>
      </c>
      <c r="B28" s="16">
        <f>G22/Data!J13</f>
        <v>0.7750794758766425</v>
      </c>
      <c r="C28" s="11">
        <f t="shared" si="2"/>
        <v>5.1886337516461191E-2</v>
      </c>
      <c r="D28" s="11">
        <f t="shared" si="2"/>
        <v>4.6550415982107886E-2</v>
      </c>
      <c r="E28" s="11">
        <f t="shared" si="2"/>
        <v>4.498317824855802E-2</v>
      </c>
      <c r="F28" s="11">
        <f t="shared" si="2"/>
        <v>3.7789813744193948E-2</v>
      </c>
    </row>
    <row r="29" spans="1:7" x14ac:dyDescent="0.35">
      <c r="A29" t="s">
        <v>359</v>
      </c>
      <c r="B29" s="16">
        <f>((SUM(B20:B22)/SUM(B12:B14))^(1/2)-1)/(((1+Data!J12)*(1+Data!J13))^(1/2)-1)</f>
        <v>0.56525629151787637</v>
      </c>
      <c r="C29" s="11">
        <f t="shared" si="2"/>
        <v>3.7840092065174968E-2</v>
      </c>
      <c r="D29" s="11">
        <f t="shared" si="2"/>
        <v>3.3948667621342882E-2</v>
      </c>
      <c r="E29" s="11">
        <f t="shared" si="2"/>
        <v>3.2805699684807982E-2</v>
      </c>
      <c r="F29" s="11">
        <f t="shared" si="2"/>
        <v>2.755966405901069E-2</v>
      </c>
    </row>
    <row r="30" spans="1:7" x14ac:dyDescent="0.35">
      <c r="A30" t="s">
        <v>360</v>
      </c>
      <c r="B30" s="16">
        <f>D6</f>
        <v>0.46895577445612785</v>
      </c>
      <c r="C30" s="11">
        <f t="shared" si="2"/>
        <v>3.1393422676046598E-2</v>
      </c>
      <c r="D30" s="11">
        <f t="shared" si="2"/>
        <v>2.8164965087552743E-2</v>
      </c>
      <c r="E30" s="11">
        <f t="shared" si="2"/>
        <v>2.7216720155299218E-2</v>
      </c>
      <c r="F30" s="11">
        <f t="shared" si="2"/>
        <v>2.2864431226123444E-2</v>
      </c>
    </row>
    <row r="31" spans="1:7" x14ac:dyDescent="0.35">
      <c r="A31" t="s">
        <v>361</v>
      </c>
      <c r="B31" s="16">
        <f>(((1+B4)*(1+B5)*(1+B6))^(1/3)-1)/(((1+C4)*(1+C5)*(1+C6))^(1/3)-1)</f>
        <v>0.9603714567635252</v>
      </c>
      <c r="C31" s="11">
        <f t="shared" si="2"/>
        <v>6.4290384531790243E-2</v>
      </c>
      <c r="D31" s="11">
        <f t="shared" si="2"/>
        <v>5.7678847397063776E-2</v>
      </c>
      <c r="E31" s="11">
        <f t="shared" si="2"/>
        <v>5.5736942815521738E-2</v>
      </c>
      <c r="F31" s="11">
        <f t="shared" si="2"/>
        <v>4.6823918844304313E-2</v>
      </c>
    </row>
    <row r="33" spans="1:1" x14ac:dyDescent="0.35">
      <c r="A33" t="s">
        <v>362</v>
      </c>
    </row>
    <row r="34" spans="1:1" x14ac:dyDescent="0.35">
      <c r="A34" t="s">
        <v>363</v>
      </c>
    </row>
    <row r="35" spans="1:1" x14ac:dyDescent="0.35">
      <c r="A35" t="s">
        <v>364</v>
      </c>
    </row>
    <row r="36" spans="1:1" x14ac:dyDescent="0.35">
      <c r="A36" t="s">
        <v>365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0"/>
  <sheetViews>
    <sheetView workbookViewId="0"/>
  </sheetViews>
  <sheetFormatPr baseColWidth="10" defaultColWidth="8.7265625" defaultRowHeight="14.5" x14ac:dyDescent="0.35"/>
  <cols>
    <col min="1" max="1" width="16" customWidth="1"/>
    <col min="4" max="4" width="30" customWidth="1"/>
  </cols>
  <sheetData>
    <row r="1" spans="1:9" x14ac:dyDescent="0.35">
      <c r="A1" t="s">
        <v>366</v>
      </c>
    </row>
    <row r="2" spans="1:9" x14ac:dyDescent="0.35">
      <c r="A2" s="2" t="s">
        <v>24</v>
      </c>
      <c r="B2" s="2" t="s">
        <v>298</v>
      </c>
      <c r="C2" s="2" t="s">
        <v>299</v>
      </c>
      <c r="D2" s="2" t="s">
        <v>327</v>
      </c>
      <c r="E2" s="2" t="s">
        <v>302</v>
      </c>
      <c r="F2" s="2" t="s">
        <v>152</v>
      </c>
    </row>
    <row r="3" spans="1:9" x14ac:dyDescent="0.35">
      <c r="A3" t="s">
        <v>54</v>
      </c>
      <c r="B3" t="s">
        <v>303</v>
      </c>
      <c r="C3">
        <v>11545</v>
      </c>
      <c r="D3">
        <v>10902</v>
      </c>
      <c r="E3" s="11">
        <v>0.151</v>
      </c>
      <c r="F3" t="s">
        <v>351</v>
      </c>
    </row>
    <row r="4" spans="1:9" x14ac:dyDescent="0.35">
      <c r="A4" t="s">
        <v>54</v>
      </c>
      <c r="B4" t="s">
        <v>305</v>
      </c>
      <c r="C4">
        <v>11620</v>
      </c>
      <c r="D4">
        <v>10735</v>
      </c>
      <c r="E4" s="11">
        <v>0.14099999999999999</v>
      </c>
      <c r="F4" t="s">
        <v>352</v>
      </c>
    </row>
    <row r="5" spans="1:9" x14ac:dyDescent="0.35">
      <c r="A5" t="s">
        <v>54</v>
      </c>
      <c r="B5" t="s">
        <v>307</v>
      </c>
      <c r="C5">
        <v>12047</v>
      </c>
      <c r="D5">
        <v>10714</v>
      </c>
      <c r="E5" s="11">
        <v>0.152</v>
      </c>
      <c r="F5" t="s">
        <v>353</v>
      </c>
    </row>
    <row r="6" spans="1:9" x14ac:dyDescent="0.35">
      <c r="A6" t="s">
        <v>94</v>
      </c>
      <c r="B6" t="s">
        <v>303</v>
      </c>
      <c r="C6">
        <v>12631</v>
      </c>
      <c r="D6">
        <v>12042</v>
      </c>
      <c r="E6" s="11">
        <v>0.126</v>
      </c>
      <c r="F6" t="s">
        <v>351</v>
      </c>
    </row>
    <row r="7" spans="1:9" x14ac:dyDescent="0.35">
      <c r="A7" t="s">
        <v>94</v>
      </c>
      <c r="B7" t="s">
        <v>305</v>
      </c>
      <c r="C7">
        <v>13188</v>
      </c>
      <c r="D7">
        <v>13436</v>
      </c>
      <c r="E7" s="11">
        <v>8.4000000000000005E-2</v>
      </c>
      <c r="F7" t="s">
        <v>352</v>
      </c>
    </row>
    <row r="8" spans="1:9" x14ac:dyDescent="0.35">
      <c r="A8" t="s">
        <v>94</v>
      </c>
      <c r="B8" t="s">
        <v>307</v>
      </c>
      <c r="C8">
        <v>13371</v>
      </c>
      <c r="D8">
        <v>14370</v>
      </c>
      <c r="E8" s="11">
        <v>2.1000000000000001E-2</v>
      </c>
      <c r="F8" t="s">
        <v>353</v>
      </c>
    </row>
    <row r="10" spans="1:9" x14ac:dyDescent="0.35">
      <c r="A10" s="13" t="s">
        <v>367</v>
      </c>
    </row>
    <row r="11" spans="1:9" x14ac:dyDescent="0.35">
      <c r="A11" s="2" t="s">
        <v>24</v>
      </c>
      <c r="B11" s="2" t="s">
        <v>368</v>
      </c>
      <c r="C11" s="2" t="s">
        <v>369</v>
      </c>
      <c r="D11" s="2" t="s">
        <v>370</v>
      </c>
      <c r="E11" s="2" t="s">
        <v>321</v>
      </c>
      <c r="F11" s="2" t="s">
        <v>371</v>
      </c>
      <c r="G11" s="2" t="s">
        <v>372</v>
      </c>
      <c r="H11" s="2" t="s">
        <v>373</v>
      </c>
      <c r="I11" s="2" t="s">
        <v>374</v>
      </c>
    </row>
    <row r="12" spans="1:9" x14ac:dyDescent="0.35">
      <c r="A12" s="13" t="s">
        <v>47</v>
      </c>
      <c r="B12" s="11">
        <f>Ratio_NA!B7</f>
        <v>1.0053305767807004E-2</v>
      </c>
      <c r="C12" s="11">
        <f>Ratio_NA!B8</f>
        <v>5.9930093654542604E-2</v>
      </c>
      <c r="D12" t="s">
        <v>375</v>
      </c>
      <c r="E12" s="16">
        <f>B12/C12</f>
        <v>0.16775054325390629</v>
      </c>
      <c r="F12" s="11">
        <f>$E12*(Data!J30)</f>
        <v>9.1189727034518102E-3</v>
      </c>
      <c r="G12" s="11">
        <f>$E12*(Data!J31)</f>
        <v>7.9755120561744719E-3</v>
      </c>
      <c r="H12" s="11">
        <f>$E12*(Data!J32)</f>
        <v>7.0152670312398019E-3</v>
      </c>
      <c r="I12" s="11">
        <f>$E12*(Data!J33)</f>
        <v>6.9259764975859459E-3</v>
      </c>
    </row>
    <row r="13" spans="1:9" x14ac:dyDescent="0.35">
      <c r="A13" s="13" t="s">
        <v>37</v>
      </c>
      <c r="B13" s="11">
        <f>SUM(Evidence_MEX!B20:B22)/SUM(Evidence_MEX!C20:C22)-1</f>
        <v>4.783776757084679E-2</v>
      </c>
      <c r="C13" s="11">
        <f>Data!J13</f>
        <v>6.1749626574893579E-2</v>
      </c>
      <c r="D13" t="s">
        <v>37</v>
      </c>
      <c r="E13" s="16">
        <f>B13/C13</f>
        <v>0.77470537433657727</v>
      </c>
      <c r="F13" s="11">
        <f>$E13*(Data!J14)</f>
        <v>5.1861293944314865E-2</v>
      </c>
      <c r="G13" s="11">
        <f>$E13*(Data!J15)</f>
        <v>4.6527947857416686E-2</v>
      </c>
      <c r="H13" s="11">
        <f>$E13*(Data!J16)</f>
        <v>4.49614665702288E-2</v>
      </c>
      <c r="I13" s="11">
        <f>$E13*(Data!J17)</f>
        <v>3.7771574030770382E-2</v>
      </c>
    </row>
    <row r="14" spans="1:9" x14ac:dyDescent="0.35">
      <c r="A14" s="13" t="s">
        <v>54</v>
      </c>
      <c r="B14" s="11">
        <f>SUMPRODUCT(D3:D5,E3:E5)/SUM(D3:D5)</f>
        <v>0.14801288986430094</v>
      </c>
      <c r="C14" s="11">
        <f>Regional_agg!O91</f>
        <v>0.11194387277801947</v>
      </c>
      <c r="D14" t="s">
        <v>376</v>
      </c>
      <c r="E14" s="16">
        <f>B14/C14</f>
        <v>1.3222062645429911</v>
      </c>
      <c r="F14" s="11">
        <f>$E14*(Regional_agg!P91)</f>
        <v>0.10506417425158884</v>
      </c>
      <c r="G14" s="11">
        <f>$E14*(Regional_agg!Q91)</f>
        <v>8.372810229791082E-2</v>
      </c>
      <c r="H14" s="11">
        <f>$E14*(Regional_agg!R91)</f>
        <v>8.7801254993130406E-2</v>
      </c>
      <c r="I14" s="11">
        <f>$E14*(Regional_agg!S91)</f>
        <v>9.3291198520747298E-2</v>
      </c>
    </row>
    <row r="15" spans="1:9" x14ac:dyDescent="0.35">
      <c r="A15" s="13" t="s">
        <v>94</v>
      </c>
      <c r="B15" s="11">
        <f>SUMPRODUCT(D6:D8,E6:E8)/SUM(D6:D8)</f>
        <v>7.3973248343706083E-2</v>
      </c>
      <c r="C15" s="11">
        <f>Regional_agg!O92</f>
        <v>6.9925602959404934E-2</v>
      </c>
      <c r="D15" t="s">
        <v>376</v>
      </c>
      <c r="E15" s="16">
        <f>B15/C15</f>
        <v>1.057885026556739</v>
      </c>
      <c r="F15" s="11">
        <f>$E15*(Regional_agg!P92)</f>
        <v>6.5822110239816309E-2</v>
      </c>
      <c r="G15" s="11">
        <f>$E15*(Regional_agg!Q92)</f>
        <v>6.2789172272829791E-2</v>
      </c>
      <c r="H15" s="11">
        <f>$E15*(Regional_agg!R92)</f>
        <v>6.4027956501498909E-2</v>
      </c>
      <c r="I15" s="11">
        <f>$E15*(Regional_agg!S92)</f>
        <v>6.3438891867704086E-2</v>
      </c>
    </row>
    <row r="17" spans="1:1" x14ac:dyDescent="0.35">
      <c r="A17" t="s">
        <v>377</v>
      </c>
    </row>
    <row r="18" spans="1:1" x14ac:dyDescent="0.35">
      <c r="A18" t="s">
        <v>378</v>
      </c>
    </row>
    <row r="19" spans="1:1" x14ac:dyDescent="0.35">
      <c r="A19" t="s">
        <v>379</v>
      </c>
    </row>
    <row r="20" spans="1:1" x14ac:dyDescent="0.35">
      <c r="A20" t="s">
        <v>380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2"/>
  <sheetViews>
    <sheetView workbookViewId="0"/>
  </sheetViews>
  <sheetFormatPr baseColWidth="10" defaultColWidth="8.7265625" defaultRowHeight="14.5" x14ac:dyDescent="0.35"/>
  <cols>
    <col min="1" max="1" width="16" customWidth="1"/>
    <col min="10" max="10" width="90" customWidth="1"/>
  </cols>
  <sheetData>
    <row r="1" spans="1:10" x14ac:dyDescent="0.35">
      <c r="A1" t="s">
        <v>381</v>
      </c>
    </row>
    <row r="2" spans="1:10" x14ac:dyDescent="0.35">
      <c r="A2" s="2" t="s">
        <v>24</v>
      </c>
      <c r="B2" s="2" t="s">
        <v>298</v>
      </c>
      <c r="C2" s="2" t="s">
        <v>382</v>
      </c>
      <c r="D2" s="2" t="s">
        <v>383</v>
      </c>
      <c r="E2" s="2" t="s">
        <v>384</v>
      </c>
      <c r="F2" s="2" t="s">
        <v>385</v>
      </c>
      <c r="G2" s="2" t="s">
        <v>386</v>
      </c>
      <c r="H2" s="2" t="s">
        <v>387</v>
      </c>
    </row>
    <row r="3" spans="1:10" x14ac:dyDescent="0.35">
      <c r="A3" t="s">
        <v>47</v>
      </c>
      <c r="B3" t="s">
        <v>303</v>
      </c>
      <c r="C3" s="17">
        <f>Ratio_NA!C3</f>
        <v>46580</v>
      </c>
      <c r="D3" s="11">
        <f>Ratio_NA!E3</f>
        <v>7.0000000000000001E-3</v>
      </c>
      <c r="E3" s="11">
        <v>-4.9000000000000002E-2</v>
      </c>
      <c r="F3" s="11">
        <f t="shared" ref="F3:F14" si="0">D3-E3</f>
        <v>5.6000000000000001E-2</v>
      </c>
      <c r="G3">
        <v>0</v>
      </c>
      <c r="H3" s="11">
        <f t="shared" ref="H3:H14" si="1">D3-G3*F3</f>
        <v>7.0000000000000001E-3</v>
      </c>
    </row>
    <row r="4" spans="1:10" x14ac:dyDescent="0.35">
      <c r="A4" t="s">
        <v>47</v>
      </c>
      <c r="B4" t="s">
        <v>305</v>
      </c>
      <c r="C4" s="17">
        <f>Ratio_NA!C4</f>
        <v>49124</v>
      </c>
      <c r="D4" s="11">
        <f>Ratio_NA!E4</f>
        <v>1.2999999999999999E-2</v>
      </c>
      <c r="E4" s="11">
        <v>-4.5999999999999999E-2</v>
      </c>
      <c r="F4" s="11">
        <f t="shared" si="0"/>
        <v>5.8999999999999997E-2</v>
      </c>
      <c r="G4">
        <v>0</v>
      </c>
      <c r="H4" s="11">
        <f t="shared" si="1"/>
        <v>1.2999999999999999E-2</v>
      </c>
    </row>
    <row r="5" spans="1:10" x14ac:dyDescent="0.35">
      <c r="A5" t="s">
        <v>47</v>
      </c>
      <c r="B5" t="s">
        <v>307</v>
      </c>
      <c r="C5" s="17">
        <f>Ratio_NA!C5</f>
        <v>47470</v>
      </c>
      <c r="D5" s="11">
        <f>Ratio_NA!E5</f>
        <v>0.01</v>
      </c>
      <c r="E5" s="11">
        <v>-3.5000000000000003E-2</v>
      </c>
      <c r="F5" s="11">
        <f t="shared" si="0"/>
        <v>4.5000000000000005E-2</v>
      </c>
      <c r="G5">
        <v>0</v>
      </c>
      <c r="H5" s="11">
        <f t="shared" si="1"/>
        <v>0.01</v>
      </c>
    </row>
    <row r="6" spans="1:10" x14ac:dyDescent="0.35">
      <c r="A6" t="s">
        <v>37</v>
      </c>
      <c r="B6" t="s">
        <v>303</v>
      </c>
      <c r="C6" s="17">
        <f>Evidence_MEX!C20</f>
        <v>38018</v>
      </c>
      <c r="D6" s="11">
        <f>Evidence_MEX!B20/Evidence_MEX!C20-1</f>
        <v>4.4926087642695567E-2</v>
      </c>
      <c r="E6" s="11">
        <v>1.7000000000000001E-2</v>
      </c>
      <c r="F6" s="11">
        <f t="shared" si="0"/>
        <v>2.7926087642695566E-2</v>
      </c>
      <c r="G6">
        <v>0</v>
      </c>
      <c r="H6" s="11">
        <f t="shared" si="1"/>
        <v>4.4926087642695567E-2</v>
      </c>
    </row>
    <row r="7" spans="1:10" x14ac:dyDescent="0.35">
      <c r="A7" t="s">
        <v>37</v>
      </c>
      <c r="B7" t="s">
        <v>305</v>
      </c>
      <c r="C7" s="17">
        <f>Evidence_MEX!C21</f>
        <v>38475</v>
      </c>
      <c r="D7" s="11">
        <f>Evidence_MEX!B21/Evidence_MEX!C21-1</f>
        <v>4.6887589343729719E-2</v>
      </c>
      <c r="E7" s="11">
        <v>0.03</v>
      </c>
      <c r="F7" s="11">
        <f t="shared" si="0"/>
        <v>1.688758934372972E-2</v>
      </c>
      <c r="G7">
        <v>0</v>
      </c>
      <c r="H7" s="11">
        <f t="shared" si="1"/>
        <v>4.6887589343729719E-2</v>
      </c>
    </row>
    <row r="8" spans="1:10" x14ac:dyDescent="0.35">
      <c r="A8" t="s">
        <v>37</v>
      </c>
      <c r="B8" t="s">
        <v>307</v>
      </c>
      <c r="C8" s="17">
        <f>Evidence_MEX!C22</f>
        <v>38897</v>
      </c>
      <c r="D8" s="11">
        <f>Evidence_MEX!B22/Evidence_MEX!C22-1</f>
        <v>5.1623518523279399E-2</v>
      </c>
      <c r="E8" s="11">
        <v>3.0000000000000001E-3</v>
      </c>
      <c r="F8" s="11">
        <f t="shared" si="0"/>
        <v>4.8623518523279396E-2</v>
      </c>
      <c r="G8">
        <v>0</v>
      </c>
      <c r="H8" s="11">
        <f t="shared" si="1"/>
        <v>5.1623518523279399E-2</v>
      </c>
    </row>
    <row r="9" spans="1:10" x14ac:dyDescent="0.35">
      <c r="A9" t="s">
        <v>54</v>
      </c>
      <c r="B9" t="s">
        <v>303</v>
      </c>
      <c r="C9" s="17">
        <f>Ratios_9M26!D3</f>
        <v>10902</v>
      </c>
      <c r="D9" s="11">
        <f>Ratios_9M26!E3</f>
        <v>0.151</v>
      </c>
      <c r="E9" s="11">
        <v>5.1999999999999998E-2</v>
      </c>
      <c r="F9" s="11">
        <f t="shared" si="0"/>
        <v>9.9000000000000005E-2</v>
      </c>
      <c r="G9">
        <v>1</v>
      </c>
      <c r="H9" s="11">
        <f t="shared" si="1"/>
        <v>5.1999999999999991E-2</v>
      </c>
    </row>
    <row r="10" spans="1:10" x14ac:dyDescent="0.35">
      <c r="A10" t="s">
        <v>54</v>
      </c>
      <c r="B10" t="s">
        <v>305</v>
      </c>
      <c r="C10" s="17">
        <f>Ratios_9M26!D4</f>
        <v>10735</v>
      </c>
      <c r="D10" s="11">
        <f>Ratios_9M26!E4</f>
        <v>0.14099999999999999</v>
      </c>
      <c r="E10" s="11">
        <v>8.2000000000000003E-2</v>
      </c>
      <c r="F10" s="11">
        <f t="shared" si="0"/>
        <v>5.8999999999999983E-2</v>
      </c>
      <c r="G10">
        <v>1</v>
      </c>
      <c r="H10" s="11">
        <f t="shared" si="1"/>
        <v>8.2000000000000003E-2</v>
      </c>
    </row>
    <row r="11" spans="1:10" x14ac:dyDescent="0.35">
      <c r="A11" t="s">
        <v>54</v>
      </c>
      <c r="B11" t="s">
        <v>307</v>
      </c>
      <c r="C11" s="17">
        <f>Ratios_9M26!D5</f>
        <v>10714</v>
      </c>
      <c r="D11" s="11">
        <f>Ratios_9M26!E5</f>
        <v>0.152</v>
      </c>
      <c r="E11" s="11">
        <v>9.0999999999999998E-2</v>
      </c>
      <c r="F11" s="11">
        <f t="shared" si="0"/>
        <v>6.0999999999999999E-2</v>
      </c>
      <c r="G11">
        <v>1</v>
      </c>
      <c r="H11" s="11">
        <f t="shared" si="1"/>
        <v>9.0999999999999998E-2</v>
      </c>
    </row>
    <row r="12" spans="1:10" x14ac:dyDescent="0.35">
      <c r="A12" t="s">
        <v>94</v>
      </c>
      <c r="B12" t="s">
        <v>303</v>
      </c>
      <c r="C12" s="17">
        <f>Ratios_9M26!D6</f>
        <v>12042</v>
      </c>
      <c r="D12" s="11">
        <f>Ratios_9M26!E6</f>
        <v>0.126</v>
      </c>
      <c r="E12" s="11">
        <v>4.4999999999999998E-2</v>
      </c>
      <c r="F12" s="11">
        <f t="shared" si="0"/>
        <v>8.1000000000000003E-2</v>
      </c>
      <c r="G12">
        <v>1</v>
      </c>
      <c r="H12" s="11">
        <f t="shared" si="1"/>
        <v>4.4999999999999998E-2</v>
      </c>
    </row>
    <row r="13" spans="1:10" x14ac:dyDescent="0.35">
      <c r="A13" t="s">
        <v>94</v>
      </c>
      <c r="B13" t="s">
        <v>305</v>
      </c>
      <c r="C13" s="17">
        <f>Ratios_9M26!D7</f>
        <v>13436</v>
      </c>
      <c r="D13" s="11">
        <f>Ratios_9M26!E7</f>
        <v>8.4000000000000005E-2</v>
      </c>
      <c r="E13" s="11">
        <v>6.8000000000000005E-2</v>
      </c>
      <c r="F13" s="11">
        <f t="shared" si="0"/>
        <v>1.6E-2</v>
      </c>
      <c r="G13">
        <v>1</v>
      </c>
      <c r="H13" s="11">
        <f t="shared" si="1"/>
        <v>6.8000000000000005E-2</v>
      </c>
    </row>
    <row r="14" spans="1:10" x14ac:dyDescent="0.35">
      <c r="A14" t="s">
        <v>94</v>
      </c>
      <c r="B14" t="s">
        <v>307</v>
      </c>
      <c r="C14" s="17">
        <f>Ratios_9M26!D8</f>
        <v>14370</v>
      </c>
      <c r="D14" s="11">
        <f>Ratios_9M26!E8</f>
        <v>2.1000000000000001E-2</v>
      </c>
      <c r="E14" s="11">
        <v>0.17299999999999999</v>
      </c>
      <c r="F14" s="11">
        <f t="shared" si="0"/>
        <v>-0.152</v>
      </c>
      <c r="G14">
        <v>0</v>
      </c>
      <c r="H14" s="11">
        <f t="shared" si="1"/>
        <v>2.1000000000000001E-2</v>
      </c>
    </row>
    <row r="16" spans="1:10" x14ac:dyDescent="0.35">
      <c r="A16" s="2" t="s">
        <v>24</v>
      </c>
      <c r="B16" s="2" t="s">
        <v>388</v>
      </c>
      <c r="C16" s="2" t="s">
        <v>389</v>
      </c>
      <c r="D16" s="2" t="s">
        <v>390</v>
      </c>
      <c r="E16" s="2" t="s">
        <v>391</v>
      </c>
      <c r="F16" s="2" t="s">
        <v>371</v>
      </c>
      <c r="G16" s="2" t="s">
        <v>372</v>
      </c>
      <c r="H16" s="2" t="s">
        <v>373</v>
      </c>
      <c r="I16" s="2" t="s">
        <v>374</v>
      </c>
      <c r="J16" s="2" t="s">
        <v>392</v>
      </c>
    </row>
    <row r="17" spans="1:10" x14ac:dyDescent="0.35">
      <c r="A17" s="13" t="s">
        <v>47</v>
      </c>
      <c r="B17" s="11">
        <f>SUMPRODUCT(C3:C5,H3:H5)/SUM(C3:C5)</f>
        <v>1.0053305767807004E-2</v>
      </c>
      <c r="C17" s="11">
        <f>Ratios_9M26!C12</f>
        <v>5.9930093654542604E-2</v>
      </c>
      <c r="D17" s="16">
        <f>B17/C17</f>
        <v>0.16775054325390629</v>
      </c>
      <c r="E17" s="16">
        <f>Ratios_9M26!E12</f>
        <v>0.16775054325390629</v>
      </c>
      <c r="F17" s="11">
        <f>$D17*(Data!J30)</f>
        <v>9.1189727034518102E-3</v>
      </c>
      <c r="G17" s="11">
        <f>$D17*(Data!J31)</f>
        <v>7.9755120561744719E-3</v>
      </c>
      <c r="H17" s="11">
        <f>$D17*(Data!J32)</f>
        <v>7.0152670312398019E-3</v>
      </c>
      <c r="I17" s="11">
        <f>$D17*(Data!J33)</f>
        <v>6.9259764975859459E-3</v>
      </c>
      <c r="J17" t="s">
        <v>393</v>
      </c>
    </row>
    <row r="18" spans="1:10" x14ac:dyDescent="0.35">
      <c r="A18" s="13" t="s">
        <v>37</v>
      </c>
      <c r="B18" s="11">
        <f>SUMPRODUCT(C6:C8,H6:H8)/SUM(C6:C8)</f>
        <v>4.7837767570846693E-2</v>
      </c>
      <c r="C18" s="11">
        <f>Ratios_9M26!C13</f>
        <v>6.1749626574893579E-2</v>
      </c>
      <c r="D18" s="16">
        <f>B18/C18</f>
        <v>0.77470537433657571</v>
      </c>
      <c r="E18" s="16">
        <f>Ratios_9M26!E13</f>
        <v>0.77470537433657727</v>
      </c>
      <c r="F18" s="11">
        <f>$D18*(Data!J14)</f>
        <v>5.1861293944314761E-2</v>
      </c>
      <c r="G18" s="11">
        <f>$D18*(Data!J15)</f>
        <v>4.6527947857416596E-2</v>
      </c>
      <c r="H18" s="11">
        <f>$D18*(Data!J16)</f>
        <v>4.496146657022871E-2</v>
      </c>
      <c r="I18" s="11">
        <f>$D18*(Data!J17)</f>
        <v>3.7771574030770305E-2</v>
      </c>
      <c r="J18" t="s">
        <v>394</v>
      </c>
    </row>
    <row r="19" spans="1:10" x14ac:dyDescent="0.35">
      <c r="A19" s="13" t="s">
        <v>54</v>
      </c>
      <c r="B19" s="11">
        <f>SUMPRODUCT(C9:C11,H9:H11)/SUM(C9:C11)</f>
        <v>7.487088498037156E-2</v>
      </c>
      <c r="C19" s="11">
        <f>Ratios_9M26!C14</f>
        <v>0.11194387277801947</v>
      </c>
      <c r="D19" s="16">
        <f>B19/C19</f>
        <v>0.66882521680161755</v>
      </c>
      <c r="E19" s="16">
        <f>Ratios_9M26!E14</f>
        <v>1.3222062645429911</v>
      </c>
      <c r="F19" s="11">
        <f>$D19*(Regional_agg!P91)</f>
        <v>5.3145693683572047E-2</v>
      </c>
      <c r="G19" s="11">
        <f>$D19*(Regional_agg!Q91)</f>
        <v>4.2353048592720093E-2</v>
      </c>
      <c r="H19" s="11">
        <f>$D19*(Regional_agg!R91)</f>
        <v>4.4413413384130254E-2</v>
      </c>
      <c r="I19" s="11">
        <f>$D19*(Regional_agg!S91)</f>
        <v>4.7190448078755706E-2</v>
      </c>
      <c r="J19" t="s">
        <v>395</v>
      </c>
    </row>
    <row r="20" spans="1:10" x14ac:dyDescent="0.35">
      <c r="A20" s="13" t="s">
        <v>94</v>
      </c>
      <c r="B20" s="11">
        <f>SUMPRODUCT(C12:C14,H12:H14)/SUM(C12:C14)</f>
        <v>4.4100281068058619E-2</v>
      </c>
      <c r="C20" s="11">
        <f>Ratios_9M26!C15</f>
        <v>6.9925602959404934E-2</v>
      </c>
      <c r="D20" s="16">
        <f>B20/C20</f>
        <v>0.63067430528501678</v>
      </c>
      <c r="E20" s="16">
        <f>Ratios_9M26!E15</f>
        <v>1.057885026556739</v>
      </c>
      <c r="F20" s="11">
        <f>$D20*(Regional_agg!P92)</f>
        <v>3.9240855675031577E-2</v>
      </c>
      <c r="G20" s="11">
        <f>$D20*(Regional_agg!Q92)</f>
        <v>3.743272341369535E-2</v>
      </c>
      <c r="H20" s="11">
        <f>$D20*(Regional_agg!R92)</f>
        <v>3.8171243539419072E-2</v>
      </c>
      <c r="I20" s="11">
        <f>$D20*(Regional_agg!S92)</f>
        <v>3.7820063666975157E-2</v>
      </c>
      <c r="J20" t="s">
        <v>396</v>
      </c>
    </row>
    <row r="22" spans="1:10" x14ac:dyDescent="0.35">
      <c r="A22" t="s">
        <v>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38"/>
  <sheetViews>
    <sheetView workbookViewId="0"/>
  </sheetViews>
  <sheetFormatPr baseColWidth="10" defaultColWidth="8.7265625" defaultRowHeight="14.5" x14ac:dyDescent="0.35"/>
  <cols>
    <col min="1" max="1" width="30" customWidth="1"/>
  </cols>
  <sheetData>
    <row r="1" spans="1:10" x14ac:dyDescent="0.35">
      <c r="A1" t="s">
        <v>398</v>
      </c>
    </row>
    <row r="2" spans="1:10" x14ac:dyDescent="0.35">
      <c r="A2" s="2" t="s">
        <v>399</v>
      </c>
      <c r="B2" s="2" t="s">
        <v>400</v>
      </c>
      <c r="C2" s="2" t="s">
        <v>401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</row>
    <row r="3" spans="1:10" x14ac:dyDescent="0.35">
      <c r="A3" t="s">
        <v>47</v>
      </c>
      <c r="B3" s="17">
        <v>38963</v>
      </c>
      <c r="C3" s="11">
        <v>0.158</v>
      </c>
      <c r="D3" s="17">
        <v>42538</v>
      </c>
      <c r="E3" s="11">
        <v>0.16800000000000001</v>
      </c>
      <c r="F3" s="17">
        <v>44028</v>
      </c>
      <c r="G3" s="11">
        <v>0.19</v>
      </c>
      <c r="H3" s="17">
        <v>50050</v>
      </c>
      <c r="I3" s="11">
        <v>0.219</v>
      </c>
      <c r="J3" s="11">
        <f>(B3*C3+D3*E3+F3*G3+H3*I3)/(B3+D3+F3+H3)</f>
        <v>0.18583548146418422</v>
      </c>
    </row>
    <row r="4" spans="1:10" x14ac:dyDescent="0.35">
      <c r="A4" t="s">
        <v>37</v>
      </c>
      <c r="B4" s="17">
        <v>27661</v>
      </c>
      <c r="C4" s="11">
        <v>0.19500000000000001</v>
      </c>
      <c r="D4" s="17">
        <v>26119</v>
      </c>
      <c r="E4" s="11">
        <v>0.216</v>
      </c>
      <c r="F4" s="17">
        <v>27867</v>
      </c>
      <c r="G4" s="11">
        <v>0.20399999999999999</v>
      </c>
      <c r="H4" s="17">
        <v>29653</v>
      </c>
      <c r="I4" s="11">
        <v>0.17399999999999999</v>
      </c>
      <c r="J4" s="11">
        <f>(B4*C4+D4*E4+F4*G4+H4*I4)/(B4+D4+F4+H4)</f>
        <v>0.19658660377358492</v>
      </c>
    </row>
    <row r="5" spans="1:10" x14ac:dyDescent="0.35">
      <c r="A5" t="s">
        <v>54</v>
      </c>
      <c r="B5" s="17">
        <v>7374</v>
      </c>
      <c r="C5" s="11">
        <v>0.251</v>
      </c>
      <c r="D5" s="17">
        <v>7369</v>
      </c>
      <c r="E5" s="11">
        <v>0.377</v>
      </c>
      <c r="F5" s="17">
        <v>7830</v>
      </c>
      <c r="G5" s="11">
        <v>0.39200000000000002</v>
      </c>
      <c r="H5" s="17">
        <v>8603</v>
      </c>
      <c r="I5" s="11">
        <v>0.33400000000000002</v>
      </c>
      <c r="J5" s="11">
        <f>(B5*C5+D5*E5+F5*G5+H5*I5)/(B5+D5+F5+H5)</f>
        <v>0.33909895432383885</v>
      </c>
    </row>
    <row r="6" spans="1:10" x14ac:dyDescent="0.35">
      <c r="A6" t="s">
        <v>94</v>
      </c>
      <c r="B6" s="17">
        <v>7843</v>
      </c>
      <c r="C6" s="11">
        <v>0.21099999999999999</v>
      </c>
      <c r="D6" s="17">
        <v>8289</v>
      </c>
      <c r="E6" s="11">
        <v>0.17399999999999999</v>
      </c>
      <c r="F6" s="17">
        <v>8680</v>
      </c>
      <c r="G6" s="11">
        <v>0.23300000000000001</v>
      </c>
      <c r="H6" s="17">
        <v>9384</v>
      </c>
      <c r="I6" s="11">
        <v>0.24199999999999999</v>
      </c>
      <c r="J6" s="11">
        <f>(B6*C6+D6*E6+F6*G6+H6*I6)/(B6+D6+F6+H6)</f>
        <v>0.2161225581939408</v>
      </c>
    </row>
    <row r="7" spans="1:10" x14ac:dyDescent="0.35">
      <c r="A7" t="s">
        <v>409</v>
      </c>
    </row>
    <row r="9" spans="1:10" x14ac:dyDescent="0.35">
      <c r="A9" s="13" t="s">
        <v>410</v>
      </c>
    </row>
    <row r="10" spans="1:10" x14ac:dyDescent="0.35">
      <c r="A10" s="13" t="s">
        <v>25</v>
      </c>
      <c r="B10" s="13">
        <v>2015</v>
      </c>
      <c r="C10" s="13">
        <v>2016</v>
      </c>
      <c r="D10" s="13">
        <v>2017</v>
      </c>
      <c r="E10" s="13">
        <v>2018</v>
      </c>
      <c r="F10" s="13">
        <v>2019</v>
      </c>
      <c r="G10" s="13">
        <v>2020</v>
      </c>
      <c r="H10" s="13">
        <v>2021</v>
      </c>
    </row>
    <row r="11" spans="1:10" x14ac:dyDescent="0.35">
      <c r="A11" t="s">
        <v>411</v>
      </c>
      <c r="B11" s="17">
        <v>116399</v>
      </c>
      <c r="C11" s="17">
        <v>135219</v>
      </c>
      <c r="D11" s="17">
        <v>137662</v>
      </c>
      <c r="E11" s="17">
        <v>143968</v>
      </c>
      <c r="F11" s="17">
        <v>144005</v>
      </c>
      <c r="G11" s="17">
        <v>176395</v>
      </c>
      <c r="H11" s="17">
        <v>176275</v>
      </c>
    </row>
    <row r="12" spans="1:10" x14ac:dyDescent="0.35">
      <c r="A12" t="s">
        <v>412</v>
      </c>
      <c r="B12">
        <f>FX!B20</f>
        <v>15.881</v>
      </c>
      <c r="C12">
        <f>FX!C20</f>
        <v>18.689</v>
      </c>
      <c r="D12">
        <f>FX!D20</f>
        <v>18.907</v>
      </c>
      <c r="E12">
        <f>FX!E20</f>
        <v>19.236999999999998</v>
      </c>
      <c r="F12">
        <f>FX!F20</f>
        <v>19.257000000000001</v>
      </c>
      <c r="G12">
        <f>FX!G20</f>
        <v>21.498000000000001</v>
      </c>
      <c r="H12">
        <f>FX!H20</f>
        <v>20.282</v>
      </c>
    </row>
    <row r="13" spans="1:10" x14ac:dyDescent="0.35">
      <c r="A13" t="s">
        <v>413</v>
      </c>
      <c r="B13" s="17">
        <f t="shared" ref="B13:H13" si="0">B11/B12</f>
        <v>7329.4502865058876</v>
      </c>
      <c r="C13" s="17">
        <f t="shared" si="0"/>
        <v>7235.2185777730219</v>
      </c>
      <c r="D13" s="17">
        <f t="shared" si="0"/>
        <v>7281.0070344316919</v>
      </c>
      <c r="E13" s="17">
        <f t="shared" si="0"/>
        <v>7483.9112127670642</v>
      </c>
      <c r="F13" s="17">
        <f t="shared" si="0"/>
        <v>7478.0599262605801</v>
      </c>
      <c r="G13" s="17">
        <f t="shared" si="0"/>
        <v>8205.1818773839423</v>
      </c>
      <c r="H13" s="17">
        <f t="shared" si="0"/>
        <v>8691.2040232718664</v>
      </c>
    </row>
    <row r="14" spans="1:10" x14ac:dyDescent="0.35">
      <c r="A14" t="s">
        <v>414</v>
      </c>
      <c r="C14" s="11">
        <f t="shared" ref="C14:H14" si="1">C13/B13-1</f>
        <v>-1.2856586108013324E-2</v>
      </c>
      <c r="D14" s="11">
        <f t="shared" si="1"/>
        <v>6.3285519527129797E-3</v>
      </c>
      <c r="E14" s="11">
        <f t="shared" si="1"/>
        <v>2.7867598173692665E-2</v>
      </c>
      <c r="F14" s="11">
        <f t="shared" si="1"/>
        <v>-7.8184873392161958E-4</v>
      </c>
      <c r="G14" s="11">
        <f t="shared" si="1"/>
        <v>9.7234036406948166E-2</v>
      </c>
      <c r="H14" s="11">
        <f t="shared" si="1"/>
        <v>5.9233561565229076E-2</v>
      </c>
    </row>
    <row r="15" spans="1:10" x14ac:dyDescent="0.35">
      <c r="A15" t="s">
        <v>415</v>
      </c>
    </row>
    <row r="17" spans="1:15" x14ac:dyDescent="0.35">
      <c r="A17" s="13" t="s">
        <v>416</v>
      </c>
    </row>
    <row r="18" spans="1:15" x14ac:dyDescent="0.35">
      <c r="A18" s="13" t="s">
        <v>417</v>
      </c>
      <c r="B18" s="13">
        <v>2016</v>
      </c>
      <c r="C18" s="13">
        <v>2017</v>
      </c>
      <c r="D18" s="13">
        <v>2018</v>
      </c>
      <c r="E18" s="13">
        <v>2019</v>
      </c>
      <c r="F18" s="13">
        <v>2020</v>
      </c>
      <c r="G18" s="13">
        <v>2021</v>
      </c>
      <c r="H18" s="13">
        <v>2022</v>
      </c>
      <c r="I18" s="13">
        <v>2023</v>
      </c>
      <c r="J18" s="13">
        <v>2024</v>
      </c>
      <c r="K18" s="13">
        <v>2025</v>
      </c>
      <c r="M18" s="13" t="s">
        <v>418</v>
      </c>
      <c r="N18" s="13" t="s">
        <v>419</v>
      </c>
      <c r="O18" s="13" t="s">
        <v>420</v>
      </c>
    </row>
    <row r="19" spans="1:15" x14ac:dyDescent="0.35">
      <c r="A19" t="s">
        <v>421</v>
      </c>
      <c r="B19" s="11">
        <f t="shared" ref="B19:G19" si="2">C14</f>
        <v>-1.2856586108013324E-2</v>
      </c>
      <c r="C19" s="11">
        <f t="shared" si="2"/>
        <v>6.3285519527129797E-3</v>
      </c>
      <c r="D19" s="11">
        <f t="shared" si="2"/>
        <v>2.7867598173692665E-2</v>
      </c>
      <c r="E19" s="11">
        <f t="shared" si="2"/>
        <v>-7.8184873392161958E-4</v>
      </c>
      <c r="F19" s="11">
        <f t="shared" si="2"/>
        <v>9.7234036406948166E-2</v>
      </c>
      <c r="G19" s="11">
        <f t="shared" si="2"/>
        <v>5.9233561565229076E-2</v>
      </c>
      <c r="H19" s="11">
        <f>J3</f>
        <v>0.18583548146418422</v>
      </c>
      <c r="I19" s="11">
        <v>6.7000000000000004E-2</v>
      </c>
      <c r="J19" s="11">
        <v>-4.5999999999999999E-2</v>
      </c>
      <c r="K19" s="11">
        <v>-0.04</v>
      </c>
    </row>
    <row r="20" spans="1:15" x14ac:dyDescent="0.35">
      <c r="A20" t="s">
        <v>422</v>
      </c>
      <c r="B20" s="11">
        <f>Data!J19</f>
        <v>2.7870425941048493E-2</v>
      </c>
      <c r="C20" s="11">
        <f>Data!J20</f>
        <v>4.292442771595284E-2</v>
      </c>
      <c r="D20" s="11">
        <f>Data!J21</f>
        <v>5.3253858587300806E-2</v>
      </c>
      <c r="E20" s="11">
        <f>Data!J22</f>
        <v>4.2769062746290221E-2</v>
      </c>
      <c r="F20" s="11">
        <f>Data!J23</f>
        <v>-7.6462466538966822E-3</v>
      </c>
      <c r="G20" s="11">
        <f>Data!J24</f>
        <v>0.11090240689244779</v>
      </c>
      <c r="H20" s="11">
        <f>Data!J25</f>
        <v>9.7442711042140084E-2</v>
      </c>
      <c r="I20" s="11">
        <f>Data!J26</f>
        <v>6.777435359027395E-2</v>
      </c>
      <c r="J20" s="11">
        <f>Data!J27</f>
        <v>5.5886801823769261E-2</v>
      </c>
      <c r="K20" s="11">
        <f>Data!J28</f>
        <v>5.0382917662066484E-2</v>
      </c>
    </row>
    <row r="21" spans="1:15" x14ac:dyDescent="0.35">
      <c r="A21" s="13" t="s">
        <v>423</v>
      </c>
      <c r="B21" s="16">
        <f t="shared" ref="B21:K21" si="3">IF(B20&lt;=0,"n/a",B19/B20)</f>
        <v>-0.46129851532257043</v>
      </c>
      <c r="C21" s="16">
        <f t="shared" si="3"/>
        <v>0.14743474262700482</v>
      </c>
      <c r="D21" s="16">
        <f t="shared" si="3"/>
        <v>0.52329725794438708</v>
      </c>
      <c r="E21" s="16">
        <f t="shared" si="3"/>
        <v>-1.8280707682551144E-2</v>
      </c>
      <c r="F21" s="16" t="str">
        <f t="shared" si="3"/>
        <v>n/a</v>
      </c>
      <c r="G21" s="16">
        <f t="shared" si="3"/>
        <v>0.53410528432149607</v>
      </c>
      <c r="H21" s="16">
        <f t="shared" si="3"/>
        <v>1.9071255251079557</v>
      </c>
      <c r="I21" s="16">
        <f t="shared" si="3"/>
        <v>0.98857453373948412</v>
      </c>
      <c r="J21" s="16">
        <f t="shared" si="3"/>
        <v>-0.82309236705034894</v>
      </c>
      <c r="K21" s="16">
        <f t="shared" si="3"/>
        <v>-0.79391988110518208</v>
      </c>
      <c r="M21" s="16">
        <f>MEDIAN(B21:K21)</f>
        <v>0.14743474262700482</v>
      </c>
      <c r="N21">
        <f>COUNT(B21:K21)</f>
        <v>9</v>
      </c>
      <c r="O21" s="16">
        <f>Organic_pass!D17</f>
        <v>0.16775054325390629</v>
      </c>
    </row>
    <row r="23" spans="1:15" x14ac:dyDescent="0.35">
      <c r="A23" t="s">
        <v>424</v>
      </c>
      <c r="B23" s="11">
        <f>81455/75597-1</f>
        <v>7.7489847480720186E-2</v>
      </c>
      <c r="C23" s="11">
        <f>90367/81455-1</f>
        <v>0.10941010373826043</v>
      </c>
      <c r="D23" s="11">
        <v>0.105</v>
      </c>
      <c r="E23" s="11">
        <f>102688/100327-1</f>
        <v>2.3533046936517588E-2</v>
      </c>
      <c r="F23" s="11">
        <f>104593/102688-1</f>
        <v>1.855133998130265E-2</v>
      </c>
      <c r="G23" s="11">
        <f>118661/104593-1</f>
        <v>0.13450230894992976</v>
      </c>
      <c r="H23" s="11">
        <f>J4</f>
        <v>0.19658660377358492</v>
      </c>
      <c r="I23" s="11">
        <v>0.115</v>
      </c>
      <c r="J23" s="11">
        <v>0.04</v>
      </c>
      <c r="K23" s="11">
        <v>2.4E-2</v>
      </c>
    </row>
    <row r="24" spans="1:15" x14ac:dyDescent="0.35">
      <c r="A24" t="s">
        <v>425</v>
      </c>
      <c r="B24" s="11">
        <f>Data!J3</f>
        <v>7.9578295050968251E-2</v>
      </c>
      <c r="C24" s="11">
        <f>Data!J4</f>
        <v>8.5622524241538045E-2</v>
      </c>
      <c r="D24" s="11">
        <f>Data!J5</f>
        <v>7.2792186441287043E-2</v>
      </c>
      <c r="E24" s="11">
        <f>Data!J6</f>
        <v>3.9093473170622728E-2</v>
      </c>
      <c r="F24" s="11">
        <f>Data!J7</f>
        <v>-4.1201632684256251E-2</v>
      </c>
      <c r="G24" s="11">
        <f>Data!J8</f>
        <v>0.10807887818868123</v>
      </c>
      <c r="H24" s="11">
        <f>Data!J9</f>
        <v>0.10623742273800363</v>
      </c>
      <c r="I24" s="11">
        <f>Data!J10</f>
        <v>7.9442488885035356E-2</v>
      </c>
      <c r="J24" s="11">
        <f>Data!J11</f>
        <v>5.3710431616866616E-2</v>
      </c>
      <c r="K24" s="11">
        <f>Data!J12</f>
        <v>5.1177533804406261E-2</v>
      </c>
    </row>
    <row r="25" spans="1:15" x14ac:dyDescent="0.35">
      <c r="A25" s="13" t="s">
        <v>426</v>
      </c>
      <c r="B25" s="16">
        <f t="shared" ref="B25:K25" si="4">IF(B24&lt;=0,"n/a",B23/B24)</f>
        <v>0.97375606540815607</v>
      </c>
      <c r="C25" s="16">
        <f t="shared" si="4"/>
        <v>1.2778191802617087</v>
      </c>
      <c r="D25" s="16">
        <f t="shared" si="4"/>
        <v>1.4424625105153455</v>
      </c>
      <c r="E25" s="16">
        <f t="shared" si="4"/>
        <v>0.60196869267174213</v>
      </c>
      <c r="F25" s="16" t="str">
        <f t="shared" si="4"/>
        <v>n/a</v>
      </c>
      <c r="G25" s="16">
        <f t="shared" si="4"/>
        <v>1.2444828370176013</v>
      </c>
      <c r="H25" s="16">
        <f t="shared" si="4"/>
        <v>1.8504459041555914</v>
      </c>
      <c r="I25" s="16">
        <f t="shared" si="4"/>
        <v>1.4475880805600321</v>
      </c>
      <c r="J25" s="16">
        <f t="shared" si="4"/>
        <v>0.74473428709961909</v>
      </c>
      <c r="K25" s="16">
        <f t="shared" si="4"/>
        <v>0.46895577445612785</v>
      </c>
      <c r="M25" s="16">
        <f>MEDIAN(B25:K25)</f>
        <v>1.2444828370176013</v>
      </c>
      <c r="N25">
        <f>COUNT(B25:K25)</f>
        <v>9</v>
      </c>
      <c r="O25" s="16">
        <f>Organic_pass!D18</f>
        <v>0.77470537433657571</v>
      </c>
    </row>
    <row r="27" spans="1:15" x14ac:dyDescent="0.35">
      <c r="A27" t="s">
        <v>427</v>
      </c>
      <c r="H27" s="11">
        <f>J5</f>
        <v>0.33909895432383885</v>
      </c>
      <c r="I27" s="11">
        <v>0.16900000000000001</v>
      </c>
      <c r="J27" s="11">
        <v>0.1</v>
      </c>
      <c r="K27" s="11">
        <v>0.10100000000000001</v>
      </c>
    </row>
    <row r="28" spans="1:15" x14ac:dyDescent="0.35">
      <c r="A28" t="s">
        <v>428</v>
      </c>
      <c r="H28" s="11">
        <f>Regional_agg!K91</f>
        <v>0.21518227374195262</v>
      </c>
      <c r="I28" s="11">
        <f>Regional_agg!L91</f>
        <v>0.27813004176265294</v>
      </c>
      <c r="J28" s="11">
        <f>Regional_agg!M91</f>
        <v>0.36284585576805739</v>
      </c>
      <c r="K28" s="11">
        <f>Regional_agg!N91</f>
        <v>0.13375523549696006</v>
      </c>
    </row>
    <row r="29" spans="1:15" x14ac:dyDescent="0.35">
      <c r="A29" s="13" t="s">
        <v>429</v>
      </c>
      <c r="H29" s="16">
        <f>IF(H28&lt;=0,"n/a",H27/H28)</f>
        <v>1.5758684413312203</v>
      </c>
      <c r="I29" s="16">
        <f>IF(I28&lt;=0,"n/a",I27/I28)</f>
        <v>0.60762943452264351</v>
      </c>
      <c r="J29" s="16">
        <f>IF(J28&lt;=0,"n/a",J27/J28)</f>
        <v>0.2755991240090756</v>
      </c>
      <c r="K29" s="16">
        <f>IF(K28&lt;=0,"n/a",K27/K28)</f>
        <v>0.75511062893904812</v>
      </c>
      <c r="M29" s="16">
        <f>MEDIAN(B29:K29)</f>
        <v>0.68137003173084576</v>
      </c>
      <c r="N29">
        <f>COUNT(B29:K29)</f>
        <v>4</v>
      </c>
      <c r="O29" s="16">
        <f>Organic_pass!D19</f>
        <v>0.66882521680161755</v>
      </c>
    </row>
    <row r="31" spans="1:15" x14ac:dyDescent="0.35">
      <c r="A31" t="s">
        <v>430</v>
      </c>
      <c r="H31" s="11">
        <f>J6</f>
        <v>0.2161225581939408</v>
      </c>
      <c r="I31" s="11">
        <v>0.23499999999999999</v>
      </c>
      <c r="J31" s="11">
        <v>7.9000000000000001E-2</v>
      </c>
      <c r="K31" s="11">
        <v>0.11700000000000001</v>
      </c>
    </row>
    <row r="32" spans="1:15" x14ac:dyDescent="0.35">
      <c r="A32" t="s">
        <v>431</v>
      </c>
      <c r="H32" s="11">
        <f>Regional_agg!K92</f>
        <v>9.6617833301257783E-2</v>
      </c>
      <c r="I32" s="11">
        <f>Regional_agg!L92</f>
        <v>8.247867032628789E-2</v>
      </c>
      <c r="J32" s="11">
        <f>Regional_agg!M92</f>
        <v>7.394214169544297E-2</v>
      </c>
      <c r="K32" s="11">
        <f>Regional_agg!N92</f>
        <v>5.8288851017060425E-2</v>
      </c>
    </row>
    <row r="33" spans="1:15" x14ac:dyDescent="0.35">
      <c r="A33" s="13" t="s">
        <v>432</v>
      </c>
      <c r="H33" s="16">
        <f>IF(H32&lt;=0,"n/a",H31/H32)</f>
        <v>2.2368806131272176</v>
      </c>
      <c r="I33" s="16">
        <f>IF(I32&lt;=0,"n/a",I31/I32)</f>
        <v>2.8492214904815212</v>
      </c>
      <c r="J33" s="16">
        <f>IF(J32&lt;=0,"n/a",J31/J32)</f>
        <v>1.0684029186683504</v>
      </c>
      <c r="K33" s="16">
        <f>IF(K32&lt;=0,"n/a",K31/K32)</f>
        <v>2.0072449183421983</v>
      </c>
      <c r="M33" s="16">
        <f>MEDIAN(B33:K33)</f>
        <v>2.1220627657347082</v>
      </c>
      <c r="N33">
        <f>COUNT(B33:K33)</f>
        <v>4</v>
      </c>
      <c r="O33" s="16">
        <f>Organic_pass!D20</f>
        <v>0.63067430528501678</v>
      </c>
    </row>
    <row r="36" spans="1:15" x14ac:dyDescent="0.35">
      <c r="A36" t="s">
        <v>433</v>
      </c>
    </row>
    <row r="37" spans="1:15" x14ac:dyDescent="0.35">
      <c r="A37" t="s">
        <v>434</v>
      </c>
    </row>
    <row r="38" spans="1:15" x14ac:dyDescent="0.35">
      <c r="A38" t="s">
        <v>435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51"/>
  <sheetViews>
    <sheetView workbookViewId="0"/>
  </sheetViews>
  <sheetFormatPr baseColWidth="10" defaultColWidth="8.7265625" defaultRowHeight="14.5" x14ac:dyDescent="0.35"/>
  <cols>
    <col min="1" max="1" width="16" customWidth="1"/>
  </cols>
  <sheetData>
    <row r="1" spans="1:7" x14ac:dyDescent="0.35">
      <c r="A1" t="s">
        <v>436</v>
      </c>
    </row>
    <row r="2" spans="1:7" x14ac:dyDescent="0.35">
      <c r="A2" s="2" t="s">
        <v>23</v>
      </c>
      <c r="B2" s="2" t="s">
        <v>24</v>
      </c>
      <c r="C2" s="2" t="s">
        <v>195</v>
      </c>
      <c r="D2" s="2" t="s">
        <v>437</v>
      </c>
      <c r="E2" s="2" t="s">
        <v>438</v>
      </c>
      <c r="F2" s="2" t="s">
        <v>439</v>
      </c>
      <c r="G2" s="2" t="s">
        <v>440</v>
      </c>
    </row>
    <row r="3" spans="1:7" x14ac:dyDescent="0.35">
      <c r="A3" t="s">
        <v>36</v>
      </c>
      <c r="B3" t="s">
        <v>37</v>
      </c>
      <c r="C3" t="s">
        <v>230</v>
      </c>
      <c r="D3" s="18">
        <f>IFERROR(FX!M20/FX!N20,0)</f>
        <v>0.96320702910488731</v>
      </c>
      <c r="E3" s="18">
        <f>IFERROR(FX!N20/FX!O20,0)</f>
        <v>0.97536154258168184</v>
      </c>
      <c r="F3" s="18">
        <f>IFERROR(FX!O20/FX!P20,0)</f>
        <v>0.98108250131371522</v>
      </c>
      <c r="G3" s="18">
        <f>IFERROR(FX!P20/FX!Q20,0)</f>
        <v>0.98908523908523927</v>
      </c>
    </row>
    <row r="4" spans="1:7" x14ac:dyDescent="0.35">
      <c r="A4" t="s">
        <v>46</v>
      </c>
      <c r="B4" t="s">
        <v>47</v>
      </c>
      <c r="C4" t="s">
        <v>250</v>
      </c>
      <c r="D4" s="18">
        <f>IFERROR(FX!M30/FX!N30,0)</f>
        <v>1</v>
      </c>
      <c r="E4" s="18">
        <f>IFERROR(FX!N30/FX!O30,0)</f>
        <v>1</v>
      </c>
      <c r="F4" s="18">
        <f>IFERROR(FX!O30/FX!P30,0)</f>
        <v>1</v>
      </c>
      <c r="G4" s="18">
        <f>IFERROR(FX!P30/FX!Q30,0)</f>
        <v>1</v>
      </c>
    </row>
    <row r="5" spans="1:7" x14ac:dyDescent="0.35">
      <c r="A5" t="s">
        <v>50</v>
      </c>
      <c r="B5" t="s">
        <v>47</v>
      </c>
      <c r="C5" t="s">
        <v>201</v>
      </c>
      <c r="D5" s="18">
        <f>IFERROR(FX!M5/FX!N5,0)</f>
        <v>1.0220588235294117</v>
      </c>
      <c r="E5" s="18">
        <f>IFERROR(FX!N5/FX!O5,0)</f>
        <v>1.0225563909774436</v>
      </c>
      <c r="F5" s="18">
        <f>IFERROR(FX!O5/FX!P5,0)</f>
        <v>1.0310077519379846</v>
      </c>
      <c r="G5" s="18">
        <f>IFERROR(FX!P5/FX!Q5,0)</f>
        <v>1.0238095238095237</v>
      </c>
    </row>
    <row r="6" spans="1:7" x14ac:dyDescent="0.35">
      <c r="A6" t="s">
        <v>53</v>
      </c>
      <c r="B6" t="s">
        <v>54</v>
      </c>
      <c r="C6" t="s">
        <v>197</v>
      </c>
      <c r="D6" s="18">
        <f>IFERROR(FX!M3/FX!N3,0)</f>
        <v>0.86828370751729378</v>
      </c>
      <c r="E6" s="18">
        <f>IFERROR(FX!N3/FX!O3,0)</f>
        <v>0.91600987483591456</v>
      </c>
      <c r="F6" s="18">
        <f>IFERROR(FX!O3/FX!P3,0)</f>
        <v>0.97052007968962983</v>
      </c>
      <c r="G6" s="18">
        <f>IFERROR(FX!P3/FX!Q3,0)</f>
        <v>0.96609989211530001</v>
      </c>
    </row>
    <row r="7" spans="1:7" x14ac:dyDescent="0.35">
      <c r="A7" t="s">
        <v>57</v>
      </c>
      <c r="B7" t="s">
        <v>54</v>
      </c>
      <c r="C7" t="s">
        <v>199</v>
      </c>
      <c r="D7" s="18">
        <f>IFERROR(FX!M4/FX!N4,0)</f>
        <v>0.99227799227799229</v>
      </c>
      <c r="E7" s="18">
        <f>IFERROR(FX!N4/FX!O4,0)</f>
        <v>0.97735849056603774</v>
      </c>
      <c r="F7" s="18">
        <f>IFERROR(FX!O4/FX!P4,0)</f>
        <v>0.97785977859778594</v>
      </c>
      <c r="G7" s="18">
        <f>IFERROR(FX!P4/FX!Q4,0)</f>
        <v>0.97833935018050544</v>
      </c>
    </row>
    <row r="8" spans="1:7" x14ac:dyDescent="0.35">
      <c r="A8" t="s">
        <v>60</v>
      </c>
      <c r="B8" t="s">
        <v>54</v>
      </c>
      <c r="C8" t="s">
        <v>205</v>
      </c>
      <c r="D8" s="18">
        <f>IFERROR(FX!M7/FX!N7,0)</f>
        <v>0.98411676325391717</v>
      </c>
      <c r="E8" s="18">
        <f>IFERROR(FX!N7/FX!O7,0)</f>
        <v>1.0333240920432492</v>
      </c>
      <c r="F8" s="18">
        <f>IFERROR(FX!O7/FX!P7,0)</f>
        <v>0.99448580093741379</v>
      </c>
      <c r="G8" s="18">
        <f>IFERROR(FX!P7/FX!Q7,0)</f>
        <v>0.99128695119818089</v>
      </c>
    </row>
    <row r="9" spans="1:7" x14ac:dyDescent="0.35">
      <c r="A9" t="s">
        <v>63</v>
      </c>
      <c r="B9" t="s">
        <v>54</v>
      </c>
      <c r="C9" t="s">
        <v>209</v>
      </c>
      <c r="D9" s="18">
        <f>IFERROR(FX!M9/FX!N9,0)</f>
        <v>1.0113170635427431</v>
      </c>
      <c r="E9" s="18">
        <f>IFERROR(FX!N9/FX!O9,0)</f>
        <v>0.9420765804318757</v>
      </c>
      <c r="F9" s="18">
        <f>IFERROR(FX!O9/FX!P9,0)</f>
        <v>0.98434021936612615</v>
      </c>
      <c r="G9" s="18">
        <f>IFERROR(FX!P9/FX!Q9,0)</f>
        <v>1.0002099895812862</v>
      </c>
    </row>
    <row r="10" spans="1:7" x14ac:dyDescent="0.35">
      <c r="A10" t="s">
        <v>66</v>
      </c>
      <c r="B10" t="s">
        <v>54</v>
      </c>
      <c r="C10" t="s">
        <v>211</v>
      </c>
      <c r="D10" s="18">
        <f>IFERROR(FX!M10/FX!N10,0)</f>
        <v>0.98753144011866623</v>
      </c>
      <c r="E10" s="18">
        <f>IFERROR(FX!N10/FX!O10,0)</f>
        <v>0.97536274427576952</v>
      </c>
      <c r="F10" s="18">
        <f>IFERROR(FX!O10/FX!P10,0)</f>
        <v>0.97996589064458461</v>
      </c>
      <c r="G10" s="18">
        <f>IFERROR(FX!P10/FX!Q10,0)</f>
        <v>0.97320375147479354</v>
      </c>
    </row>
    <row r="11" spans="1:7" x14ac:dyDescent="0.35">
      <c r="A11" t="s">
        <v>70</v>
      </c>
      <c r="B11" t="s">
        <v>54</v>
      </c>
      <c r="C11" t="s">
        <v>250</v>
      </c>
      <c r="D11" s="18">
        <f>IFERROR(FX!M30/FX!N30,0)</f>
        <v>1</v>
      </c>
      <c r="E11" s="18">
        <f>IFERROR(FX!N30/FX!O30,0)</f>
        <v>1</v>
      </c>
      <c r="F11" s="18">
        <f>IFERROR(FX!O30/FX!P30,0)</f>
        <v>1</v>
      </c>
      <c r="G11" s="18">
        <f>IFERROR(FX!P30/FX!Q30,0)</f>
        <v>1</v>
      </c>
    </row>
    <row r="12" spans="1:7" x14ac:dyDescent="0.35">
      <c r="A12" t="s">
        <v>71</v>
      </c>
      <c r="B12" t="s">
        <v>54</v>
      </c>
      <c r="C12" t="s">
        <v>250</v>
      </c>
      <c r="D12" s="18">
        <f>IFERROR(FX!M30/FX!N30,0)</f>
        <v>1</v>
      </c>
      <c r="E12" s="18">
        <f>IFERROR(FX!N30/FX!O30,0)</f>
        <v>1</v>
      </c>
      <c r="F12" s="18">
        <f>IFERROR(FX!O30/FX!P30,0)</f>
        <v>1</v>
      </c>
      <c r="G12" s="18">
        <f>IFERROR(FX!P30/FX!Q30,0)</f>
        <v>1</v>
      </c>
    </row>
    <row r="13" spans="1:7" x14ac:dyDescent="0.35">
      <c r="A13" t="s">
        <v>73</v>
      </c>
      <c r="B13" t="s">
        <v>54</v>
      </c>
      <c r="C13" t="s">
        <v>217</v>
      </c>
      <c r="D13" s="18">
        <f>IFERROR(FX!M13/FX!N13,0)</f>
        <v>0.99092088197146555</v>
      </c>
      <c r="E13" s="18">
        <f>IFERROR(FX!N13/FX!O13,0)</f>
        <v>0.99355670103092786</v>
      </c>
      <c r="F13" s="18">
        <f>IFERROR(FX!O13/FX!P13,0)</f>
        <v>0.99106002554278416</v>
      </c>
      <c r="G13" s="18">
        <f>IFERROR(FX!P13/FX!Q13,0)</f>
        <v>0.99113924050632907</v>
      </c>
    </row>
    <row r="14" spans="1:7" x14ac:dyDescent="0.35">
      <c r="A14" t="s">
        <v>75</v>
      </c>
      <c r="B14" t="s">
        <v>54</v>
      </c>
      <c r="C14" t="s">
        <v>219</v>
      </c>
      <c r="D14" s="18">
        <f>IFERROR(FX!M14/FX!N14,0)</f>
        <v>0.97560087399854323</v>
      </c>
      <c r="E14" s="18">
        <f>IFERROR(FX!N14/FX!O14,0)</f>
        <v>0.97618201208674016</v>
      </c>
      <c r="F14" s="18">
        <f>IFERROR(FX!O14/FX!P14,0)</f>
        <v>0.97639708434571326</v>
      </c>
      <c r="G14" s="18">
        <f>IFERROR(FX!P14/FX!Q14,0)</f>
        <v>0.97627922738054884</v>
      </c>
    </row>
    <row r="15" spans="1:7" x14ac:dyDescent="0.35">
      <c r="A15" t="s">
        <v>79</v>
      </c>
      <c r="B15" t="s">
        <v>54</v>
      </c>
      <c r="C15" t="s">
        <v>232</v>
      </c>
      <c r="D15" s="18">
        <f>IFERROR(FX!M21/FX!N21,0)</f>
        <v>0.99863648759203694</v>
      </c>
      <c r="E15" s="18">
        <f>IFERROR(FX!N21/FX!O21,0)</f>
        <v>0.9517259278484298</v>
      </c>
      <c r="F15" s="18">
        <f>IFERROR(FX!O21/FX!P21,0)</f>
        <v>0.9591735125715708</v>
      </c>
      <c r="G15" s="18">
        <f>IFERROR(FX!P21/FX!Q21,0)</f>
        <v>0.95894008116495588</v>
      </c>
    </row>
    <row r="16" spans="1:7" x14ac:dyDescent="0.35">
      <c r="A16" t="s">
        <v>81</v>
      </c>
      <c r="B16" t="s">
        <v>54</v>
      </c>
      <c r="C16" t="s">
        <v>250</v>
      </c>
      <c r="D16" s="18">
        <f>IFERROR(FX!M30/FX!N30,0)</f>
        <v>1</v>
      </c>
      <c r="E16" s="18">
        <f>IFERROR(FX!N30/FX!O30,0)</f>
        <v>1</v>
      </c>
      <c r="F16" s="18">
        <f>IFERROR(FX!O30/FX!P30,0)</f>
        <v>1</v>
      </c>
      <c r="G16" s="18">
        <f>IFERROR(FX!P30/FX!Q30,0)</f>
        <v>1</v>
      </c>
    </row>
    <row r="17" spans="1:7" x14ac:dyDescent="0.35">
      <c r="A17" t="s">
        <v>83</v>
      </c>
      <c r="B17" t="s">
        <v>54</v>
      </c>
      <c r="C17" t="s">
        <v>236</v>
      </c>
      <c r="D17" s="18">
        <f>IFERROR(FX!M23/FX!N23,0)</f>
        <v>1.0270143116415191</v>
      </c>
      <c r="E17" s="18">
        <f>IFERROR(FX!N23/FX!O23,0)</f>
        <v>0.95955196617254646</v>
      </c>
      <c r="F17" s="18">
        <f>IFERROR(FX!O23/FX!P23,0)</f>
        <v>0.96564675293245228</v>
      </c>
      <c r="G17" s="18">
        <f>IFERROR(FX!P23/FX!Q23,0)</f>
        <v>0.96782412725009648</v>
      </c>
    </row>
    <row r="18" spans="1:7" x14ac:dyDescent="0.35">
      <c r="A18" t="s">
        <v>85</v>
      </c>
      <c r="B18" t="s">
        <v>54</v>
      </c>
      <c r="C18" t="s">
        <v>234</v>
      </c>
      <c r="D18" s="18">
        <f>IFERROR(FX!M22/FX!N22,0)</f>
        <v>0.99707602339181289</v>
      </c>
      <c r="E18" s="18">
        <f>IFERROR(FX!N22/FX!O22,0)</f>
        <v>0.9941860465116279</v>
      </c>
      <c r="F18" s="18">
        <f>IFERROR(FX!O22/FX!P22,0)</f>
        <v>0.99710144927536226</v>
      </c>
      <c r="G18" s="18">
        <f>IFERROR(FX!P22/FX!Q22,0)</f>
        <v>1</v>
      </c>
    </row>
    <row r="19" spans="1:7" x14ac:dyDescent="0.35">
      <c r="A19" t="s">
        <v>90</v>
      </c>
      <c r="B19" t="s">
        <v>54</v>
      </c>
      <c r="C19" t="s">
        <v>251</v>
      </c>
      <c r="D19" s="18">
        <f>IFERROR(FX!M31/FX!N31,0)</f>
        <v>0.94041754632887642</v>
      </c>
      <c r="E19" s="18">
        <f>IFERROR(FX!N31/FX!O31,0)</f>
        <v>0.9627371273712737</v>
      </c>
      <c r="F19" s="18">
        <f>IFERROR(FX!O31/FX!P31,0)</f>
        <v>0.9663902226102139</v>
      </c>
      <c r="G19" s="18">
        <f>IFERROR(FX!P31/FX!Q31,0)</f>
        <v>0.96891520406005505</v>
      </c>
    </row>
    <row r="20" spans="1:7" x14ac:dyDescent="0.35">
      <c r="A20" t="s">
        <v>91</v>
      </c>
      <c r="B20" t="s">
        <v>54</v>
      </c>
      <c r="C20" t="s">
        <v>253</v>
      </c>
      <c r="D20" s="18">
        <f>IFERROR(FX!M32/FX!N32,0)</f>
        <v>0</v>
      </c>
      <c r="E20" s="18">
        <f>IFERROR(FX!N32/FX!O32,0)</f>
        <v>0</v>
      </c>
      <c r="F20" s="18">
        <f>IFERROR(FX!O32/FX!P32,0)</f>
        <v>0</v>
      </c>
      <c r="G20" s="18">
        <f>IFERROR(FX!P32/FX!Q32,0)</f>
        <v>0</v>
      </c>
    </row>
    <row r="21" spans="1:7" x14ac:dyDescent="0.35">
      <c r="A21" t="s">
        <v>93</v>
      </c>
      <c r="B21" t="s">
        <v>94</v>
      </c>
      <c r="C21" t="s">
        <v>215</v>
      </c>
      <c r="D21" s="18">
        <f>IFERROR(FX!M12/FX!N12,0)</f>
        <v>1</v>
      </c>
      <c r="E21" s="18">
        <f>IFERROR(FX!N12/FX!O12,0)</f>
        <v>1</v>
      </c>
      <c r="F21" s="18">
        <f>IFERROR(FX!O12/FX!P12,0)</f>
        <v>1</v>
      </c>
      <c r="G21" s="18">
        <f>IFERROR(FX!P12/FX!Q12,0)</f>
        <v>1</v>
      </c>
    </row>
    <row r="22" spans="1:7" x14ac:dyDescent="0.35">
      <c r="A22" t="s">
        <v>97</v>
      </c>
      <c r="B22" t="s">
        <v>94</v>
      </c>
      <c r="C22" t="s">
        <v>203</v>
      </c>
      <c r="D22" s="18">
        <f>IFERROR(FX!M6/FX!N6,0)</f>
        <v>0.98765432098765427</v>
      </c>
      <c r="E22" s="18">
        <f>IFERROR(FX!N6/FX!O6,0)</f>
        <v>1</v>
      </c>
      <c r="F22" s="18">
        <f>IFERROR(FX!O6/FX!P6,0)</f>
        <v>1.0125</v>
      </c>
      <c r="G22" s="18">
        <f>IFERROR(FX!P6/FX!Q6,0)</f>
        <v>1.0126582278481013</v>
      </c>
    </row>
    <row r="23" spans="1:7" x14ac:dyDescent="0.35">
      <c r="A23" t="s">
        <v>99</v>
      </c>
      <c r="B23" t="s">
        <v>94</v>
      </c>
      <c r="C23" t="s">
        <v>238</v>
      </c>
      <c r="D23" s="18">
        <f>IFERROR(FX!M24/FX!N24,0)</f>
        <v>0.95157894736842097</v>
      </c>
      <c r="E23" s="18">
        <f>IFERROR(FX!N24/FX!O24,0)</f>
        <v>1.004228329809725</v>
      </c>
      <c r="F23" s="18">
        <f>IFERROR(FX!O24/FX!P24,0)</f>
        <v>1.0327510917030569</v>
      </c>
      <c r="G23" s="18">
        <f>IFERROR(FX!P24/FX!Q24,0)</f>
        <v>1.020044543429844</v>
      </c>
    </row>
    <row r="24" spans="1:7" x14ac:dyDescent="0.35">
      <c r="A24" t="s">
        <v>101</v>
      </c>
      <c r="B24" t="s">
        <v>94</v>
      </c>
      <c r="C24" t="s">
        <v>240</v>
      </c>
      <c r="D24" s="18">
        <f>IFERROR(FX!M25/FX!N25,0)</f>
        <v>0.99795759579848287</v>
      </c>
      <c r="E24" s="18">
        <f>IFERROR(FX!N25/FX!O25,0)</f>
        <v>1.0213569087116319</v>
      </c>
      <c r="F24" s="18">
        <f>IFERROR(FX!O25/FX!P25,0)</f>
        <v>1.0075060048038431</v>
      </c>
      <c r="G24" s="18">
        <f>IFERROR(FX!P25/FX!Q25,0)</f>
        <v>1.0024077046548956</v>
      </c>
    </row>
    <row r="25" spans="1:7" x14ac:dyDescent="0.35">
      <c r="A25" t="s">
        <v>103</v>
      </c>
      <c r="B25" t="s">
        <v>94</v>
      </c>
      <c r="C25" t="s">
        <v>213</v>
      </c>
      <c r="D25" s="18">
        <f>IFERROR(FX!M11/FX!N11,0)</f>
        <v>0.97752808988764039</v>
      </c>
      <c r="E25" s="18">
        <f>IFERROR(FX!N11/FX!O11,0)</f>
        <v>1</v>
      </c>
      <c r="F25" s="18">
        <f>IFERROR(FX!O11/FX!P11,0)</f>
        <v>1.0348837209302326</v>
      </c>
      <c r="G25" s="18">
        <f>IFERROR(FX!P11/FX!Q11,0)</f>
        <v>1.0238095238095237</v>
      </c>
    </row>
    <row r="26" spans="1:7" x14ac:dyDescent="0.35">
      <c r="A26" t="s">
        <v>106</v>
      </c>
      <c r="B26" t="s">
        <v>94</v>
      </c>
      <c r="C26" t="s">
        <v>213</v>
      </c>
      <c r="D26" s="18">
        <f>IFERROR(FX!M11/FX!N11,0)</f>
        <v>0.97752808988764039</v>
      </c>
      <c r="E26" s="18">
        <f>IFERROR(FX!N11/FX!O11,0)</f>
        <v>1</v>
      </c>
      <c r="F26" s="18">
        <f>IFERROR(FX!O11/FX!P11,0)</f>
        <v>1.0348837209302326</v>
      </c>
      <c r="G26" s="18">
        <f>IFERROR(FX!P11/FX!Q11,0)</f>
        <v>1.0238095238095237</v>
      </c>
    </row>
    <row r="27" spans="1:7" x14ac:dyDescent="0.35">
      <c r="A27" t="s">
        <v>108</v>
      </c>
      <c r="B27" t="s">
        <v>94</v>
      </c>
      <c r="C27" t="s">
        <v>213</v>
      </c>
      <c r="D27" s="18">
        <f>IFERROR(FX!M11/FX!N11,0)</f>
        <v>0.97752808988764039</v>
      </c>
      <c r="E27" s="18">
        <f>IFERROR(FX!N11/FX!O11,0)</f>
        <v>1</v>
      </c>
      <c r="F27" s="18">
        <f>IFERROR(FX!O11/FX!P11,0)</f>
        <v>1.0348837209302326</v>
      </c>
      <c r="G27" s="18">
        <f>IFERROR(FX!P11/FX!Q11,0)</f>
        <v>1.0238095238095237</v>
      </c>
    </row>
    <row r="28" spans="1:7" x14ac:dyDescent="0.35">
      <c r="A28" t="s">
        <v>109</v>
      </c>
      <c r="B28" t="s">
        <v>94</v>
      </c>
      <c r="C28" t="s">
        <v>109</v>
      </c>
      <c r="D28" s="18">
        <f>IFERROR(FX!M19/FX!N19,0)</f>
        <v>0</v>
      </c>
      <c r="E28" s="18">
        <f>IFERROR(FX!N19/FX!O19,0)</f>
        <v>0</v>
      </c>
      <c r="F28" s="18">
        <f>IFERROR(FX!O19/FX!P19,0)</f>
        <v>0</v>
      </c>
      <c r="G28" s="18">
        <f>IFERROR(FX!P19/FX!Q19,0)</f>
        <v>0</v>
      </c>
    </row>
    <row r="29" spans="1:7" x14ac:dyDescent="0.35">
      <c r="A29" t="s">
        <v>111</v>
      </c>
      <c r="B29" t="s">
        <v>94</v>
      </c>
      <c r="C29" t="s">
        <v>242</v>
      </c>
      <c r="D29" s="18">
        <f>IFERROR(FX!M26/FX!N26,0)</f>
        <v>0.91285975331201463</v>
      </c>
      <c r="E29" s="18">
        <f>IFERROR(FX!N26/FX!O26,0)</f>
        <v>0.91322486441385076</v>
      </c>
      <c r="F29" s="18">
        <f>IFERROR(FX!O26/FX!P26,0)</f>
        <v>0.95241879407966612</v>
      </c>
      <c r="G29" s="18">
        <f>IFERROR(FX!P26/FX!Q26,0)</f>
        <v>1.0021901443504231</v>
      </c>
    </row>
    <row r="30" spans="1:7" x14ac:dyDescent="0.35">
      <c r="A30" t="s">
        <v>114</v>
      </c>
      <c r="B30" t="s">
        <v>94</v>
      </c>
      <c r="C30" t="s">
        <v>248</v>
      </c>
      <c r="D30" s="18">
        <f>IFERROR(FX!M29/FX!N29,0)</f>
        <v>0.95059076262083786</v>
      </c>
      <c r="E30" s="18">
        <f>IFERROR(FX!N29/FX!O29,0)</f>
        <v>0.99084716900808856</v>
      </c>
      <c r="F30" s="18">
        <f>IFERROR(FX!O29/FX!P29,0)</f>
        <v>1.0118457893603272</v>
      </c>
      <c r="G30" s="18">
        <f>IFERROR(FX!P29/FX!Q29,0)</f>
        <v>1.057630979498861</v>
      </c>
    </row>
    <row r="31" spans="1:7" x14ac:dyDescent="0.35">
      <c r="A31" t="s">
        <v>118</v>
      </c>
      <c r="B31" t="s">
        <v>94</v>
      </c>
      <c r="C31" t="s">
        <v>246</v>
      </c>
      <c r="D31" s="18">
        <f>IFERROR(FX!M28/FX!N28,0)</f>
        <v>0.85245303665876349</v>
      </c>
      <c r="E31" s="18">
        <f>IFERROR(FX!N28/FX!O28,0)</f>
        <v>0.9053830911492734</v>
      </c>
      <c r="F31" s="18">
        <f>IFERROR(FX!O28/FX!P28,0)</f>
        <v>0.93891472868217063</v>
      </c>
      <c r="G31" s="18">
        <f>IFERROR(FX!P28/FX!Q28,0)</f>
        <v>0.93886462882096067</v>
      </c>
    </row>
    <row r="32" spans="1:7" x14ac:dyDescent="0.35">
      <c r="A32" t="s">
        <v>120</v>
      </c>
      <c r="B32" t="s">
        <v>94</v>
      </c>
      <c r="C32" t="s">
        <v>225</v>
      </c>
      <c r="D32" s="18">
        <f>IFERROR(FX!M17/FX!N17,0)</f>
        <v>0.97858810774747729</v>
      </c>
      <c r="E32" s="18">
        <f>IFERROR(FX!N17/FX!O17,0)</f>
        <v>0.94071037715496109</v>
      </c>
      <c r="F32" s="18">
        <f>IFERROR(FX!O17/FX!P17,0)</f>
        <v>0.997417789862869</v>
      </c>
      <c r="G32" s="18">
        <f>IFERROR(FX!P17/FX!Q17,0)</f>
        <v>0.99536577292287309</v>
      </c>
    </row>
    <row r="33" spans="1:7" x14ac:dyDescent="0.35">
      <c r="A33" t="s">
        <v>123</v>
      </c>
      <c r="B33" t="s">
        <v>94</v>
      </c>
      <c r="C33" t="s">
        <v>207</v>
      </c>
      <c r="D33" s="18">
        <f>IFERROR(FX!M8/FX!N8,0)</f>
        <v>1.0195195195195195</v>
      </c>
      <c r="E33" s="18">
        <f>IFERROR(FX!N8/FX!O8,0)</f>
        <v>1.0060422960725075</v>
      </c>
      <c r="F33" s="18">
        <f>IFERROR(FX!O8/FX!P8,0)</f>
        <v>1.0045523520485584</v>
      </c>
      <c r="G33" s="18">
        <f>IFERROR(FX!P8/FX!Q8,0)</f>
        <v>1</v>
      </c>
    </row>
    <row r="34" spans="1:7" x14ac:dyDescent="0.35">
      <c r="A34" t="s">
        <v>129</v>
      </c>
      <c r="B34" t="s">
        <v>94</v>
      </c>
      <c r="C34" t="s">
        <v>221</v>
      </c>
      <c r="D34" s="18">
        <f>IFERROR(FX!M15/FX!N15,0)</f>
        <v>0.97084188911704306</v>
      </c>
      <c r="E34" s="18">
        <f>IFERROR(FX!N15/FX!O15,0)</f>
        <v>1.0059904978310268</v>
      </c>
      <c r="F34" s="18">
        <f>IFERROR(FX!O15/FX!P15,0)</f>
        <v>0.99241492414924137</v>
      </c>
      <c r="G34" s="18">
        <f>IFERROR(FX!P15/FX!Q15,0)</f>
        <v>0.98406294129513816</v>
      </c>
    </row>
    <row r="35" spans="1:7" x14ac:dyDescent="0.35">
      <c r="A35" t="s">
        <v>132</v>
      </c>
      <c r="B35" t="s">
        <v>94</v>
      </c>
      <c r="C35" t="s">
        <v>223</v>
      </c>
      <c r="D35" s="18">
        <f>IFERROR(FX!M16/FX!N16,0)</f>
        <v>1.0525219788680242</v>
      </c>
      <c r="E35" s="18">
        <f>IFERROR(FX!N16/FX!O16,0)</f>
        <v>1.0092801586655515</v>
      </c>
      <c r="F35" s="18">
        <f>IFERROR(FX!O16/FX!P16,0)</f>
        <v>1.0159924812030074</v>
      </c>
      <c r="G35" s="18">
        <f>IFERROR(FX!P16/FX!Q16,0)</f>
        <v>1.0093957286622852</v>
      </c>
    </row>
    <row r="36" spans="1:7" x14ac:dyDescent="0.35">
      <c r="A36" t="s">
        <v>136</v>
      </c>
      <c r="B36" t="s">
        <v>94</v>
      </c>
      <c r="C36" t="s">
        <v>254</v>
      </c>
      <c r="D36" s="18">
        <f>IFERROR(FX!M33/FX!N33,0)</f>
        <v>0.98675496688741726</v>
      </c>
      <c r="E36" s="18">
        <f>IFERROR(FX!N33/FX!O33,0)</f>
        <v>0.9904591532498509</v>
      </c>
      <c r="F36" s="18">
        <f>IFERROR(FX!O33/FX!P33,0)</f>
        <v>0.98357771260997062</v>
      </c>
      <c r="G36" s="18">
        <f>IFERROR(FX!P33/FX!Q33,0)</f>
        <v>0.98157743235463446</v>
      </c>
    </row>
    <row r="37" spans="1:7" x14ac:dyDescent="0.35">
      <c r="A37" t="s">
        <v>139</v>
      </c>
      <c r="B37" t="s">
        <v>94</v>
      </c>
      <c r="C37" t="s">
        <v>227</v>
      </c>
      <c r="D37" s="18">
        <f>IFERROR(FX!M18/FX!N18,0)</f>
        <v>0.96881496881496887</v>
      </c>
      <c r="E37" s="18">
        <f>IFERROR(FX!N18/FX!O18,0)</f>
        <v>0.98666666666666658</v>
      </c>
      <c r="F37" s="18">
        <f>IFERROR(FX!O18/FX!P18,0)</f>
        <v>1.0103626943005182</v>
      </c>
      <c r="G37" s="18">
        <f>IFERROR(FX!P18/FX!Q18,0)</f>
        <v>0.99587203302373595</v>
      </c>
    </row>
    <row r="38" spans="1:7" x14ac:dyDescent="0.35">
      <c r="A38" t="s">
        <v>142</v>
      </c>
      <c r="B38" t="s">
        <v>94</v>
      </c>
      <c r="C38" t="s">
        <v>244</v>
      </c>
      <c r="D38" s="18">
        <f>IFERROR(FX!M27/FX!N27,0)</f>
        <v>0.93650793650793662</v>
      </c>
      <c r="E38" s="18">
        <f>IFERROR(FX!N27/FX!O27,0)</f>
        <v>0.95744680851063824</v>
      </c>
      <c r="F38" s="18">
        <f>IFERROR(FX!O27/FX!P27,0)</f>
        <v>0.97337278106508884</v>
      </c>
      <c r="G38" s="18">
        <f>IFERROR(FX!P27/FX!Q27,0)</f>
        <v>0.97971014492753616</v>
      </c>
    </row>
    <row r="39" spans="1:7" x14ac:dyDescent="0.35">
      <c r="A39" t="s">
        <v>144</v>
      </c>
      <c r="B39" t="s">
        <v>94</v>
      </c>
      <c r="C39" t="s">
        <v>213</v>
      </c>
      <c r="D39" s="18">
        <f>IFERROR(FX!M11/FX!N11,0)</f>
        <v>0.97752808988764039</v>
      </c>
      <c r="E39" s="18">
        <f>IFERROR(FX!N11/FX!O11,0)</f>
        <v>1</v>
      </c>
      <c r="F39" s="18">
        <f>IFERROR(FX!O11/FX!P11,0)</f>
        <v>1.0348837209302326</v>
      </c>
      <c r="G39" s="18">
        <f>IFERROR(FX!P11/FX!Q11,0)</f>
        <v>1.0238095238095237</v>
      </c>
    </row>
    <row r="40" spans="1:7" x14ac:dyDescent="0.35">
      <c r="A40" t="s">
        <v>148</v>
      </c>
      <c r="B40" t="s">
        <v>94</v>
      </c>
      <c r="C40" t="s">
        <v>213</v>
      </c>
      <c r="D40" s="18">
        <f>IFERROR(FX!M11/FX!N11,0)</f>
        <v>0.97752808988764039</v>
      </c>
      <c r="E40" s="18">
        <f>IFERROR(FX!N11/FX!O11,0)</f>
        <v>1</v>
      </c>
      <c r="F40" s="18">
        <f>IFERROR(FX!O11/FX!P11,0)</f>
        <v>1.0348837209302326</v>
      </c>
      <c r="G40" s="18">
        <f>IFERROR(FX!P11/FX!Q11,0)</f>
        <v>1.0238095238095237</v>
      </c>
    </row>
    <row r="41" spans="1:7" x14ac:dyDescent="0.35">
      <c r="A41" t="s">
        <v>149</v>
      </c>
      <c r="B41" t="s">
        <v>94</v>
      </c>
      <c r="C41" t="s">
        <v>213</v>
      </c>
      <c r="D41" s="18">
        <f>IFERROR(FX!M11/FX!N11,0)</f>
        <v>0.97752808988764039</v>
      </c>
      <c r="E41" s="18">
        <f>IFERROR(FX!N11/FX!O11,0)</f>
        <v>1</v>
      </c>
      <c r="F41" s="18">
        <f>IFERROR(FX!O11/FX!P11,0)</f>
        <v>1.0348837209302326</v>
      </c>
      <c r="G41" s="18">
        <f>IFERROR(FX!P11/FX!Q11,0)</f>
        <v>1.0238095238095237</v>
      </c>
    </row>
    <row r="42" spans="1:7" x14ac:dyDescent="0.35">
      <c r="A42" t="s">
        <v>150</v>
      </c>
      <c r="B42" t="s">
        <v>94</v>
      </c>
      <c r="C42" t="s">
        <v>213</v>
      </c>
      <c r="D42" s="18">
        <f>IFERROR(FX!M11/FX!N11,0)</f>
        <v>0.97752808988764039</v>
      </c>
      <c r="E42" s="18">
        <f>IFERROR(FX!N11/FX!O11,0)</f>
        <v>1</v>
      </c>
      <c r="F42" s="18">
        <f>IFERROR(FX!O11/FX!P11,0)</f>
        <v>1.0348837209302326</v>
      </c>
      <c r="G42" s="18">
        <f>IFERROR(FX!P11/FX!Q11,0)</f>
        <v>1.0238095238095237</v>
      </c>
    </row>
    <row r="44" spans="1:7" x14ac:dyDescent="0.35">
      <c r="A44" s="13" t="s">
        <v>441</v>
      </c>
    </row>
    <row r="45" spans="1:7" x14ac:dyDescent="0.35">
      <c r="A45" s="13" t="s">
        <v>24</v>
      </c>
      <c r="D45" s="13">
        <v>2027</v>
      </c>
      <c r="E45" s="13">
        <v>2028</v>
      </c>
      <c r="F45" s="13">
        <v>2029</v>
      </c>
      <c r="G45" s="13">
        <v>2030</v>
      </c>
    </row>
    <row r="46" spans="1:7" x14ac:dyDescent="0.35">
      <c r="A46" s="13" t="s">
        <v>37</v>
      </c>
      <c r="D46" s="18">
        <v>1</v>
      </c>
      <c r="E46" s="18">
        <v>1</v>
      </c>
      <c r="F46" s="18">
        <v>1</v>
      </c>
      <c r="G46" s="18">
        <v>1</v>
      </c>
    </row>
    <row r="47" spans="1:7" x14ac:dyDescent="0.35">
      <c r="A47" s="13" t="s">
        <v>47</v>
      </c>
      <c r="D47" s="18">
        <v>1</v>
      </c>
      <c r="E47" s="18">
        <v>1</v>
      </c>
      <c r="F47" s="18">
        <v>1</v>
      </c>
      <c r="G47" s="18">
        <v>1</v>
      </c>
    </row>
    <row r="48" spans="1:7" x14ac:dyDescent="0.35">
      <c r="A48" s="13" t="s">
        <v>54</v>
      </c>
      <c r="D48" s="18">
        <f>(Regional_agg!P49*(1+N(Data!J62))*D6+Regional_agg!P50*(1+N(Data!J78))*D7+Regional_agg!P51*(1+N(Data!J94))*D8+Regional_agg!P52*(1+N(Data!J110))*D9+Regional_agg!P53*(1+N(Data!J126))*D10+Regional_agg!P54*(1+N(Data!J142))*D11+Regional_agg!P55*(1+N(Data!J158))*D12+Regional_agg!P56*(1+N(Data!J174))*D13+Regional_agg!P57*(1+N(Data!J190))*D14+Regional_agg!P58*(1+N(Data!J206))*D15+Regional_agg!P59*(1+N(Data!J222))*D16+Regional_agg!P60*(1+N(Data!J238))*D17+Regional_agg!P61*(1+N(Data!J254))*D18+Regional_agg!P62*(1+N(Data!J270))*D19+Regional_agg!P63*(1+N(Data!J286))*D20)/(Regional_agg!P49*(1+N(Data!J62))+Regional_agg!P50*(1+N(Data!J78))+Regional_agg!P51*(1+N(Data!J94))+Regional_agg!P52*(1+N(Data!J110))+Regional_agg!P53*(1+N(Data!J126))+Regional_agg!P54*(1+N(Data!J142))+Regional_agg!P55*(1+N(Data!J158))+Regional_agg!P56*(1+N(Data!J174))+Regional_agg!P57*(1+N(Data!J190))+Regional_agg!P58*(1+N(Data!J206))+Regional_agg!P59*(1+N(Data!J222))+Regional_agg!P60*(1+N(Data!J238))+Regional_agg!P61*(1+N(Data!J254))+Regional_agg!P62*(1+N(Data!J270))+Regional_agg!P63*(1+N(Data!J286)))</f>
        <v>0.97485014837216322</v>
      </c>
      <c r="E48" s="18">
        <f>(Regional_agg!Q49*(1+N(Data!J63))*E6+Regional_agg!Q50*(1+N(Data!J79))*E7+Regional_agg!Q51*(1+N(Data!J95))*E8+Regional_agg!Q52*(1+N(Data!J111))*E9+Regional_agg!Q53*(1+N(Data!J127))*E10+Regional_agg!Q54*(1+N(Data!J143))*E11+Regional_agg!Q55*(1+N(Data!J159))*E12+Regional_agg!Q56*(1+N(Data!J175))*E13+Regional_agg!Q57*(1+N(Data!J191))*E14+Regional_agg!Q58*(1+N(Data!J207))*E15+Regional_agg!Q59*(1+N(Data!J223))*E16+Regional_agg!Q60*(1+N(Data!J239))*E17+Regional_agg!Q61*(1+N(Data!J255))*E18+Regional_agg!Q62*(1+N(Data!J271))*E19+Regional_agg!Q63*(1+N(Data!J287))*E20)/(Regional_agg!Q49*(1+N(Data!J63))+Regional_agg!Q50*(1+N(Data!J79))+Regional_agg!Q51*(1+N(Data!J95))+Regional_agg!Q52*(1+N(Data!J111))+Regional_agg!Q53*(1+N(Data!J127))+Regional_agg!Q54*(1+N(Data!J143))+Regional_agg!Q55*(1+N(Data!J159))+Regional_agg!Q56*(1+N(Data!J175))+Regional_agg!Q57*(1+N(Data!J191))+Regional_agg!Q58*(1+N(Data!J207))+Regional_agg!Q59*(1+N(Data!J223))+Regional_agg!Q60*(1+N(Data!J239))+Regional_agg!Q61*(1+N(Data!J255))+Regional_agg!Q62*(1+N(Data!J271))+Regional_agg!Q63*(1+N(Data!J287)))</f>
        <v>0.97098455608467693</v>
      </c>
      <c r="F48" s="18">
        <f>(Regional_agg!R49*(1+N(Data!J64))*F6+Regional_agg!R50*(1+N(Data!J80))*F7+Regional_agg!R51*(1+N(Data!J96))*F8+Regional_agg!R52*(1+N(Data!J112))*F9+Regional_agg!R53*(1+N(Data!J128))*F10+Regional_agg!R54*(1+N(Data!J144))*F11+Regional_agg!R55*(1+N(Data!J160))*F12+Regional_agg!R56*(1+N(Data!J176))*F13+Regional_agg!R57*(1+N(Data!J192))*F14+Regional_agg!R58*(1+N(Data!J208))*F15+Regional_agg!R59*(1+N(Data!J224))*F16+Regional_agg!R60*(1+N(Data!J240))*F17+Regional_agg!R61*(1+N(Data!J256))*F18+Regional_agg!R62*(1+N(Data!J272))*F19+Regional_agg!R63*(1+N(Data!J288))*F20)/(Regional_agg!R49*(1+N(Data!J64))+Regional_agg!R50*(1+N(Data!J80))+Regional_agg!R51*(1+N(Data!J96))+Regional_agg!R52*(1+N(Data!J112))+Regional_agg!R53*(1+N(Data!J128))+Regional_agg!R54*(1+N(Data!J144))+Regional_agg!R55*(1+N(Data!J160))+Regional_agg!R56*(1+N(Data!J176))+Regional_agg!R57*(1+N(Data!J192))+Regional_agg!R58*(1+N(Data!J208))+Regional_agg!R59*(1+N(Data!J224))+Regional_agg!R60*(1+N(Data!J240))+Regional_agg!R61*(1+N(Data!J256))+Regional_agg!R62*(1+N(Data!J272))+Regional_agg!R63*(1+N(Data!J288)))</f>
        <v>0.98128511960043596</v>
      </c>
      <c r="G48" s="18">
        <f>(Regional_agg!S49*(1+N(Data!J65))*G6+Regional_agg!S50*(1+N(Data!J81))*G7+Regional_agg!S51*(1+N(Data!J97))*G8+Regional_agg!S52*(1+N(Data!J113))*G9+Regional_agg!S53*(1+N(Data!J129))*G10+Regional_agg!S54*(1+N(Data!J145))*G11+Regional_agg!S55*(1+N(Data!J161))*G12+Regional_agg!S56*(1+N(Data!J177))*G13+Regional_agg!S57*(1+N(Data!J193))*G14+Regional_agg!S58*(1+N(Data!J209))*G15+Regional_agg!S59*(1+N(Data!J225))*G16+Regional_agg!S60*(1+N(Data!J241))*G17+Regional_agg!S61*(1+N(Data!J257))*G18+Regional_agg!S62*(1+N(Data!J273))*G19+Regional_agg!S63*(1+N(Data!J289))*G20)/(Regional_agg!S49*(1+N(Data!J65))+Regional_agg!S50*(1+N(Data!J81))+Regional_agg!S51*(1+N(Data!J97))+Regional_agg!S52*(1+N(Data!J113))+Regional_agg!S53*(1+N(Data!J129))+Regional_agg!S54*(1+N(Data!J145))+Regional_agg!S55*(1+N(Data!J161))+Regional_agg!S56*(1+N(Data!J177))+Regional_agg!S57*(1+N(Data!J193))+Regional_agg!S58*(1+N(Data!J209))+Regional_agg!S59*(1+N(Data!J225))+Regional_agg!S60*(1+N(Data!J241))+Regional_agg!S61*(1+N(Data!J257))+Regional_agg!S62*(1+N(Data!J273))+Regional_agg!S63*(1+N(Data!J289)))</f>
        <v>0.98255853962585316</v>
      </c>
    </row>
    <row r="49" spans="1:7" x14ac:dyDescent="0.35">
      <c r="A49" s="13" t="s">
        <v>94</v>
      </c>
      <c r="D49" s="18">
        <f>(Regional_agg!P64*(1+N(Data!J302))*D21+Regional_agg!P65*(1+N(Data!J318))*D22+Regional_agg!P66*(1+N(Data!J334))*D23+Regional_agg!P67*(1+N(Data!J350))*D24+Regional_agg!P68*(1+N(Data!J366))*D25+Regional_agg!P69*(1+N(Data!J382))*D26+Regional_agg!P70*(1+N(Data!J398))*D27+Regional_agg!P71*(1+N(Data!J414))*D28+Regional_agg!P72*(1+N(Data!J430))*D29+Regional_agg!P73*(1+N(Data!J446))*D30+Regional_agg!P74*(1+N(Data!J462))*D31+Regional_agg!P75*(1+N(Data!J478))*D32+Regional_agg!P76*(1+N(Data!J494))*D33+Regional_agg!P77*(1+N(Data!J510))*D34+Regional_agg!P78*(1+N(Data!J526))*D35+Regional_agg!P79*(1+N(Data!J542))*D36+Regional_agg!P80*(1+N(Data!J558))*D37+Regional_agg!P81*(1+N(Data!J574))*D38+Regional_agg!P82*(1+N(Data!J590))*D39+Regional_agg!P83*(1+N(Data!J606))*D40+Regional_agg!P84*(1+N(Data!J622))*D41+Regional_agg!P85*(1+N(Data!J638))*D42)/(Regional_agg!P64*(1+N(Data!J302))+Regional_agg!P65*(1+N(Data!J318))+Regional_agg!P66*(1+N(Data!J334))+Regional_agg!P67*(1+N(Data!J350))+Regional_agg!P68*(1+N(Data!J366))+Regional_agg!P69*(1+N(Data!J382))+Regional_agg!P70*(1+N(Data!J398))+Regional_agg!P71*(1+N(Data!J414))+Regional_agg!P72*(1+N(Data!J430))+Regional_agg!P73*(1+N(Data!J446))+Regional_agg!P74*(1+N(Data!J462))+Regional_agg!P75*(1+N(Data!J478))+Regional_agg!P76*(1+N(Data!J494))+Regional_agg!P77*(1+N(Data!J510))+Regional_agg!P78*(1+N(Data!J526))+Regional_agg!P79*(1+N(Data!J542))+Regional_agg!P80*(1+N(Data!J558))+Regional_agg!P81*(1+N(Data!J574))+Regional_agg!P82*(1+N(Data!J590))+Regional_agg!P83*(1+N(Data!J606))+Regional_agg!P84*(1+N(Data!J622))+Regional_agg!P85*(1+N(Data!J638)))</f>
        <v>0.99170113902199686</v>
      </c>
      <c r="E49" s="18">
        <f>(Regional_agg!Q64*(1+N(Data!J303))*E21+Regional_agg!Q65*(1+N(Data!J319))*E22+Regional_agg!Q66*(1+N(Data!J335))*E23+Regional_agg!Q67*(1+N(Data!J351))*E24+Regional_agg!Q68*(1+N(Data!J367))*E25+Regional_agg!Q69*(1+N(Data!J383))*E26+Regional_agg!Q70*(1+N(Data!J399))*E27+Regional_agg!Q71*(1+N(Data!J415))*E28+Regional_agg!Q72*(1+N(Data!J431))*E29+Regional_agg!Q73*(1+N(Data!J447))*E30+Regional_agg!Q74*(1+N(Data!J463))*E31+Regional_agg!Q75*(1+N(Data!J479))*E32+Regional_agg!Q76*(1+N(Data!J495))*E33+Regional_agg!Q77*(1+N(Data!J511))*E34+Regional_agg!Q78*(1+N(Data!J527))*E35+Regional_agg!Q79*(1+N(Data!J543))*E36+Regional_agg!Q80*(1+N(Data!J559))*E37+Regional_agg!Q81*(1+N(Data!J575))*E38+Regional_agg!Q82*(1+N(Data!J591))*E39+Regional_agg!Q83*(1+N(Data!J607))*E40+Regional_agg!Q84*(1+N(Data!J623))*E41+Regional_agg!Q85*(1+N(Data!J639))*E42)/(Regional_agg!Q64*(1+N(Data!J303))+Regional_agg!Q65*(1+N(Data!J319))+Regional_agg!Q66*(1+N(Data!J335))+Regional_agg!Q67*(1+N(Data!J351))+Regional_agg!Q68*(1+N(Data!J367))+Regional_agg!Q69*(1+N(Data!J383))+Regional_agg!Q70*(1+N(Data!J399))+Regional_agg!Q71*(1+N(Data!J415))+Regional_agg!Q72*(1+N(Data!J431))+Regional_agg!Q73*(1+N(Data!J447))+Regional_agg!Q74*(1+N(Data!J463))+Regional_agg!Q75*(1+N(Data!J479))+Regional_agg!Q76*(1+N(Data!J495))+Regional_agg!Q77*(1+N(Data!J511))+Regional_agg!Q78*(1+N(Data!J527))+Regional_agg!Q79*(1+N(Data!J543))+Regional_agg!Q80*(1+N(Data!J559))+Regional_agg!Q81*(1+N(Data!J575))+Regional_agg!Q82*(1+N(Data!J591))+Regional_agg!Q83*(1+N(Data!J607))+Regional_agg!Q84*(1+N(Data!J623))+Regional_agg!Q85*(1+N(Data!J639)))</f>
        <v>0.99454729013651233</v>
      </c>
      <c r="F49" s="18">
        <f>(Regional_agg!R64*(1+N(Data!J304))*F21+Regional_agg!R65*(1+N(Data!J320))*F22+Regional_agg!R66*(1+N(Data!J336))*F23+Regional_agg!R67*(1+N(Data!J352))*F24+Regional_agg!R68*(1+N(Data!J368))*F25+Regional_agg!R69*(1+N(Data!J384))*F26+Regional_agg!R70*(1+N(Data!J400))*F27+Regional_agg!R71*(1+N(Data!J416))*F28+Regional_agg!R72*(1+N(Data!J432))*F29+Regional_agg!R73*(1+N(Data!J448))*F30+Regional_agg!R74*(1+N(Data!J464))*F31+Regional_agg!R75*(1+N(Data!J480))*F32+Regional_agg!R76*(1+N(Data!J496))*F33+Regional_agg!R77*(1+N(Data!J512))*F34+Regional_agg!R78*(1+N(Data!J528))*F35+Regional_agg!R79*(1+N(Data!J544))*F36+Regional_agg!R80*(1+N(Data!J560))*F37+Regional_agg!R81*(1+N(Data!J576))*F38+Regional_agg!R82*(1+N(Data!J592))*F39+Regional_agg!R83*(1+N(Data!J608))*F40+Regional_agg!R84*(1+N(Data!J624))*F41+Regional_agg!R85*(1+N(Data!J640))*F42)/(Regional_agg!R64*(1+N(Data!J304))+Regional_agg!R65*(1+N(Data!J320))+Regional_agg!R66*(1+N(Data!J336))+Regional_agg!R67*(1+N(Data!J352))+Regional_agg!R68*(1+N(Data!J368))+Regional_agg!R69*(1+N(Data!J384))+Regional_agg!R70*(1+N(Data!J400))+Regional_agg!R71*(1+N(Data!J416))+Regional_agg!R72*(1+N(Data!J432))+Regional_agg!R73*(1+N(Data!J448))+Regional_agg!R74*(1+N(Data!J464))+Regional_agg!R75*(1+N(Data!J480))+Regional_agg!R76*(1+N(Data!J496))+Regional_agg!R77*(1+N(Data!J512))+Regional_agg!R78*(1+N(Data!J528))+Regional_agg!R79*(1+N(Data!J544))+Regional_agg!R80*(1+N(Data!J560))+Regional_agg!R81*(1+N(Data!J576))+Regional_agg!R82*(1+N(Data!J592))+Regional_agg!R83*(1+N(Data!J608))+Regional_agg!R84*(1+N(Data!J624))+Regional_agg!R85*(1+N(Data!J640)))</f>
        <v>1.0035418217077234</v>
      </c>
      <c r="G49" s="18">
        <f>(Regional_agg!S64*(1+N(Data!J305))*G21+Regional_agg!S65*(1+N(Data!J321))*G22+Regional_agg!S66*(1+N(Data!J337))*G23+Regional_agg!S67*(1+N(Data!J353))*G24+Regional_agg!S68*(1+N(Data!J369))*G25+Regional_agg!S69*(1+N(Data!J385))*G26+Regional_agg!S70*(1+N(Data!J401))*G27+Regional_agg!S71*(1+N(Data!J417))*G28+Regional_agg!S72*(1+N(Data!J433))*G29+Regional_agg!S73*(1+N(Data!J449))*G30+Regional_agg!S74*(1+N(Data!J465))*G31+Regional_agg!S75*(1+N(Data!J481))*G32+Regional_agg!S76*(1+N(Data!J497))*G33+Regional_agg!S77*(1+N(Data!J513))*G34+Regional_agg!S78*(1+N(Data!J529))*G35+Regional_agg!S79*(1+N(Data!J545))*G36+Regional_agg!S80*(1+N(Data!J561))*G37+Regional_agg!S81*(1+N(Data!J577))*G38+Regional_agg!S82*(1+N(Data!J593))*G39+Regional_agg!S83*(1+N(Data!J609))*G40+Regional_agg!S84*(1+N(Data!J625))*G41+Regional_agg!S85*(1+N(Data!J641))*G42)/(Regional_agg!S64*(1+N(Data!J305))+Regional_agg!S65*(1+N(Data!J321))+Regional_agg!S66*(1+N(Data!J337))+Regional_agg!S67*(1+N(Data!J353))+Regional_agg!S68*(1+N(Data!J369))+Regional_agg!S69*(1+N(Data!J385))+Regional_agg!S70*(1+N(Data!J401))+Regional_agg!S71*(1+N(Data!J417))+Regional_agg!S72*(1+N(Data!J433))+Regional_agg!S73*(1+N(Data!J449))+Regional_agg!S74*(1+N(Data!J465))+Regional_agg!S75*(1+N(Data!J481))+Regional_agg!S76*(1+N(Data!J497))+Regional_agg!S77*(1+N(Data!J513))+Regional_agg!S78*(1+N(Data!J529))+Regional_agg!S79*(1+N(Data!J545))+Regional_agg!S80*(1+N(Data!J561))+Regional_agg!S81*(1+N(Data!J577))+Regional_agg!S82*(1+N(Data!J593))+Regional_agg!S83*(1+N(Data!J609))+Regional_agg!S84*(1+N(Data!J625))+Regional_agg!S85*(1+N(Data!J641)))</f>
        <v>1.001171084769598</v>
      </c>
    </row>
    <row r="51" spans="1:7" x14ac:dyDescent="0.35">
      <c r="A51" t="s">
        <v>442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1"/>
  <sheetViews>
    <sheetView workbookViewId="0"/>
  </sheetViews>
  <sheetFormatPr baseColWidth="10" defaultColWidth="8.7265625" defaultRowHeight="14.5" x14ac:dyDescent="0.35"/>
  <cols>
    <col min="1" max="1" width="16" customWidth="1"/>
  </cols>
  <sheetData>
    <row r="1" spans="1:6" x14ac:dyDescent="0.35">
      <c r="A1" t="s">
        <v>443</v>
      </c>
    </row>
    <row r="2" spans="1:6" x14ac:dyDescent="0.35">
      <c r="A2" s="2" t="s">
        <v>23</v>
      </c>
      <c r="B2" s="2" t="s">
        <v>24</v>
      </c>
      <c r="C2" s="2" t="s">
        <v>195</v>
      </c>
      <c r="D2" s="2" t="s">
        <v>444</v>
      </c>
      <c r="E2" s="2" t="s">
        <v>445</v>
      </c>
      <c r="F2" s="2" t="s">
        <v>446</v>
      </c>
    </row>
    <row r="3" spans="1:6" x14ac:dyDescent="0.35">
      <c r="A3" t="s">
        <v>36</v>
      </c>
      <c r="B3" t="s">
        <v>37</v>
      </c>
      <c r="C3" t="s">
        <v>230</v>
      </c>
      <c r="D3" s="4">
        <f>IAS29_test!R3</f>
        <v>2.5499999999999998E-2</v>
      </c>
      <c r="E3" s="4">
        <f>D3</f>
        <v>2.5499999999999998E-2</v>
      </c>
      <c r="F3" s="18">
        <f>IFERROR((1+IAS29_test!R4)/(1+E3),0)</f>
        <v>0.99522184300341288</v>
      </c>
    </row>
    <row r="4" spans="1:6" x14ac:dyDescent="0.35">
      <c r="A4" t="s">
        <v>46</v>
      </c>
      <c r="B4" t="s">
        <v>47</v>
      </c>
      <c r="C4" t="s">
        <v>250</v>
      </c>
      <c r="D4" s="4">
        <f>IAS29_test!R4</f>
        <v>2.06E-2</v>
      </c>
      <c r="E4" s="4">
        <f>IAS29_test!R4</f>
        <v>2.06E-2</v>
      </c>
      <c r="F4" s="18">
        <f>IFERROR((1+IAS29_test!R4)/(1+E4),0)</f>
        <v>1</v>
      </c>
    </row>
    <row r="5" spans="1:6" x14ac:dyDescent="0.35">
      <c r="A5" t="s">
        <v>50</v>
      </c>
      <c r="B5" t="s">
        <v>47</v>
      </c>
      <c r="C5" t="s">
        <v>201</v>
      </c>
      <c r="D5" s="4">
        <f>IAS29_test!R5</f>
        <v>1.8599999999999998E-2</v>
      </c>
      <c r="E5" s="4">
        <f t="shared" ref="E5:E10" si="0">D5</f>
        <v>1.8599999999999998E-2</v>
      </c>
      <c r="F5" s="18">
        <f>IFERROR((1+IAS29_test!R4)/(1+E5),0)</f>
        <v>1.0019634792852936</v>
      </c>
    </row>
    <row r="6" spans="1:6" x14ac:dyDescent="0.35">
      <c r="A6" t="s">
        <v>53</v>
      </c>
      <c r="B6" t="s">
        <v>54</v>
      </c>
      <c r="C6" t="s">
        <v>197</v>
      </c>
      <c r="D6" s="4">
        <f>IAS29_test!R6</f>
        <v>7.0900000000000005E-2</v>
      </c>
      <c r="E6" s="4">
        <f t="shared" si="0"/>
        <v>7.0900000000000005E-2</v>
      </c>
      <c r="F6" s="18">
        <f>IFERROR((1+IAS29_test!R4)/(1+E6),0)</f>
        <v>0.95303016154636289</v>
      </c>
    </row>
    <row r="7" spans="1:6" x14ac:dyDescent="0.35">
      <c r="A7" t="s">
        <v>57</v>
      </c>
      <c r="B7" t="s">
        <v>54</v>
      </c>
      <c r="C7" t="s">
        <v>199</v>
      </c>
      <c r="D7" s="4">
        <f>IAS29_test!R7</f>
        <v>3.2099999999999997E-2</v>
      </c>
      <c r="E7" s="4">
        <f t="shared" si="0"/>
        <v>3.2099999999999997E-2</v>
      </c>
      <c r="F7" s="18">
        <f>IFERROR((1+IAS29_test!R4)/(1+E7),0)</f>
        <v>0.9888576688305396</v>
      </c>
    </row>
    <row r="8" spans="1:6" x14ac:dyDescent="0.35">
      <c r="A8" t="s">
        <v>60</v>
      </c>
      <c r="B8" t="s">
        <v>54</v>
      </c>
      <c r="C8" t="s">
        <v>205</v>
      </c>
      <c r="D8" s="4">
        <f>IAS29_test!R8</f>
        <v>3.09E-2</v>
      </c>
      <c r="E8" s="4">
        <f t="shared" si="0"/>
        <v>3.09E-2</v>
      </c>
      <c r="F8" s="18">
        <f>IFERROR((1+IAS29_test!R4)/(1+E8),0)</f>
        <v>0.99000873023571634</v>
      </c>
    </row>
    <row r="9" spans="1:6" x14ac:dyDescent="0.35">
      <c r="A9" t="s">
        <v>63</v>
      </c>
      <c r="B9" t="s">
        <v>54</v>
      </c>
      <c r="C9" t="s">
        <v>209</v>
      </c>
      <c r="D9" s="4">
        <f>IAS29_test!R9</f>
        <v>3.3000000000000002E-2</v>
      </c>
      <c r="E9" s="4">
        <f t="shared" si="0"/>
        <v>3.3000000000000002E-2</v>
      </c>
      <c r="F9" s="18">
        <f>IFERROR((1+IAS29_test!R4)/(1+E9),0)</f>
        <v>0.98799612778315593</v>
      </c>
    </row>
    <row r="10" spans="1:6" x14ac:dyDescent="0.35">
      <c r="A10" t="s">
        <v>66</v>
      </c>
      <c r="B10" t="s">
        <v>54</v>
      </c>
      <c r="C10" t="s">
        <v>211</v>
      </c>
      <c r="D10" s="4">
        <f>IAS29_test!R10</f>
        <v>2.18E-2</v>
      </c>
      <c r="E10" s="4">
        <f t="shared" si="0"/>
        <v>2.18E-2</v>
      </c>
      <c r="F10" s="18">
        <f>IFERROR((1+IAS29_test!R4)/(1+E10),0)</f>
        <v>0.99882560187903691</v>
      </c>
    </row>
    <row r="11" spans="1:6" x14ac:dyDescent="0.35">
      <c r="A11" t="s">
        <v>70</v>
      </c>
      <c r="B11" t="s">
        <v>54</v>
      </c>
      <c r="C11" t="s">
        <v>250</v>
      </c>
      <c r="D11" s="4">
        <f>IAS29_test!R11</f>
        <v>2.07E-2</v>
      </c>
      <c r="E11" s="4">
        <f>IAS29_test!R4</f>
        <v>2.06E-2</v>
      </c>
      <c r="F11" s="18">
        <f>IFERROR((1+IAS29_test!R4)/(1+E11),0)</f>
        <v>1</v>
      </c>
    </row>
    <row r="12" spans="1:6" x14ac:dyDescent="0.35">
      <c r="A12" t="s">
        <v>71</v>
      </c>
      <c r="B12" t="s">
        <v>54</v>
      </c>
      <c r="C12" t="s">
        <v>250</v>
      </c>
      <c r="D12" s="4">
        <f>IAS29_test!R12</f>
        <v>2.6499999999999999E-2</v>
      </c>
      <c r="E12" s="4">
        <f>IAS29_test!R4</f>
        <v>2.06E-2</v>
      </c>
      <c r="F12" s="18">
        <f>IFERROR((1+IAS29_test!R4)/(1+E12),0)</f>
        <v>1</v>
      </c>
    </row>
    <row r="13" spans="1:6" x14ac:dyDescent="0.35">
      <c r="A13" t="s">
        <v>73</v>
      </c>
      <c r="B13" t="s">
        <v>54</v>
      </c>
      <c r="C13" t="s">
        <v>217</v>
      </c>
      <c r="D13" s="4">
        <f>IAS29_test!R13</f>
        <v>3.04E-2</v>
      </c>
      <c r="E13" s="4">
        <f>D13</f>
        <v>3.04E-2</v>
      </c>
      <c r="F13" s="18">
        <f>IFERROR((1+IAS29_test!R4)/(1+E13),0)</f>
        <v>0.99048913043478259</v>
      </c>
    </row>
    <row r="14" spans="1:6" x14ac:dyDescent="0.35">
      <c r="A14" t="s">
        <v>75</v>
      </c>
      <c r="B14" t="s">
        <v>54</v>
      </c>
      <c r="C14" t="s">
        <v>219</v>
      </c>
      <c r="D14" s="4">
        <f>IAS29_test!R14</f>
        <v>3.6600000000000001E-2</v>
      </c>
      <c r="E14" s="4">
        <f>D14</f>
        <v>3.6600000000000001E-2</v>
      </c>
      <c r="F14" s="18">
        <f>IFERROR((1+IAS29_test!R4)/(1+E14),0)</f>
        <v>0.98456492378931115</v>
      </c>
    </row>
    <row r="15" spans="1:6" x14ac:dyDescent="0.35">
      <c r="A15" t="s">
        <v>79</v>
      </c>
      <c r="B15" t="s">
        <v>54</v>
      </c>
      <c r="C15" t="s">
        <v>232</v>
      </c>
      <c r="D15" s="4">
        <f>IAS29_test!R15</f>
        <v>3.3500000000000002E-2</v>
      </c>
      <c r="E15" s="4">
        <f>D15</f>
        <v>3.3500000000000002E-2</v>
      </c>
      <c r="F15" s="18">
        <f>IFERROR((1+IAS29_test!R4)/(1+E15),0)</f>
        <v>0.98751814223512324</v>
      </c>
    </row>
    <row r="16" spans="1:6" x14ac:dyDescent="0.35">
      <c r="A16" t="s">
        <v>81</v>
      </c>
      <c r="B16" t="s">
        <v>54</v>
      </c>
      <c r="C16" t="s">
        <v>250</v>
      </c>
      <c r="D16" s="4">
        <f>IAS29_test!R16</f>
        <v>1.9599999999999999E-2</v>
      </c>
      <c r="E16" s="4">
        <f>IAS29_test!R4</f>
        <v>2.06E-2</v>
      </c>
      <c r="F16" s="18">
        <f>IFERROR((1+IAS29_test!R4)/(1+E16),0)</f>
        <v>1</v>
      </c>
    </row>
    <row r="17" spans="1:6" x14ac:dyDescent="0.35">
      <c r="A17" t="s">
        <v>83</v>
      </c>
      <c r="B17" t="s">
        <v>54</v>
      </c>
      <c r="C17" t="s">
        <v>236</v>
      </c>
      <c r="D17" s="4">
        <f>IAS29_test!R17</f>
        <v>3.3700000000000001E-2</v>
      </c>
      <c r="E17" s="4">
        <f t="shared" ref="E17:E24" si="1">D17</f>
        <v>3.3700000000000001E-2</v>
      </c>
      <c r="F17" s="18">
        <f>IFERROR((1+IAS29_test!R4)/(1+E17),0)</f>
        <v>0.98732707748863291</v>
      </c>
    </row>
    <row r="18" spans="1:6" x14ac:dyDescent="0.35">
      <c r="A18" t="s">
        <v>85</v>
      </c>
      <c r="B18" t="s">
        <v>54</v>
      </c>
      <c r="C18" t="s">
        <v>234</v>
      </c>
      <c r="D18" s="4">
        <f>IAS29_test!R18</f>
        <v>2.7699999999999999E-2</v>
      </c>
      <c r="E18" s="4">
        <f t="shared" si="1"/>
        <v>2.7699999999999999E-2</v>
      </c>
      <c r="F18" s="18">
        <f>IFERROR((1+IAS29_test!R4)/(1+E18),0)</f>
        <v>0.99309136907657869</v>
      </c>
    </row>
    <row r="19" spans="1:6" x14ac:dyDescent="0.35">
      <c r="A19" t="s">
        <v>90</v>
      </c>
      <c r="B19" t="s">
        <v>54</v>
      </c>
      <c r="C19" t="s">
        <v>251</v>
      </c>
      <c r="D19" s="4">
        <f>IAS29_test!R19</f>
        <v>3.1099999999999999E-2</v>
      </c>
      <c r="E19" s="4">
        <f t="shared" si="1"/>
        <v>3.1099999999999999E-2</v>
      </c>
      <c r="F19" s="18">
        <f>IFERROR((1+IAS29_test!R4)/(1+E19),0)</f>
        <v>0.98981670061099802</v>
      </c>
    </row>
    <row r="20" spans="1:6" x14ac:dyDescent="0.35">
      <c r="A20" t="s">
        <v>91</v>
      </c>
      <c r="B20" t="s">
        <v>54</v>
      </c>
      <c r="C20" t="s">
        <v>253</v>
      </c>
      <c r="D20" s="4">
        <f>IAS29_test!R20</f>
        <v>0.1177</v>
      </c>
      <c r="E20" s="4">
        <f t="shared" si="1"/>
        <v>0.1177</v>
      </c>
      <c r="F20" s="18">
        <f>IFERROR((1+IAS29_test!R4)/(1+E20),0)</f>
        <v>0.91312516775521158</v>
      </c>
    </row>
    <row r="21" spans="1:6" x14ac:dyDescent="0.35">
      <c r="A21" t="s">
        <v>93</v>
      </c>
      <c r="B21" t="s">
        <v>94</v>
      </c>
      <c r="C21" t="s">
        <v>215</v>
      </c>
      <c r="D21" s="4">
        <f>IAS29_test!R21</f>
        <v>2.1299999999999999E-2</v>
      </c>
      <c r="E21" s="4">
        <f t="shared" si="1"/>
        <v>2.1299999999999999E-2</v>
      </c>
      <c r="F21" s="18">
        <f>IFERROR((1+IAS29_test!R4)/(1+E21),0)</f>
        <v>0.99931459904043851</v>
      </c>
    </row>
    <row r="22" spans="1:6" x14ac:dyDescent="0.35">
      <c r="A22" t="s">
        <v>97</v>
      </c>
      <c r="B22" t="s">
        <v>94</v>
      </c>
      <c r="C22" t="s">
        <v>203</v>
      </c>
      <c r="D22" s="4">
        <f>IAS29_test!R22</f>
        <v>7.4999999999999997E-3</v>
      </c>
      <c r="E22" s="4">
        <f t="shared" si="1"/>
        <v>7.4999999999999997E-3</v>
      </c>
      <c r="F22" s="18">
        <f>IFERROR((1+IAS29_test!R4)/(1+E22),0)</f>
        <v>1.0130024813895782</v>
      </c>
    </row>
    <row r="23" spans="1:6" x14ac:dyDescent="0.35">
      <c r="A23" t="s">
        <v>99</v>
      </c>
      <c r="B23" t="s">
        <v>94</v>
      </c>
      <c r="C23" t="s">
        <v>238</v>
      </c>
      <c r="D23" s="4">
        <f>IAS29_test!R23</f>
        <v>2.98E-2</v>
      </c>
      <c r="E23" s="4">
        <f t="shared" si="1"/>
        <v>2.98E-2</v>
      </c>
      <c r="F23" s="18">
        <f>IFERROR((1+IAS29_test!R4)/(1+E23),0)</f>
        <v>0.99106622645173814</v>
      </c>
    </row>
    <row r="24" spans="1:6" x14ac:dyDescent="0.35">
      <c r="A24" t="s">
        <v>101</v>
      </c>
      <c r="B24" t="s">
        <v>94</v>
      </c>
      <c r="C24" t="s">
        <v>240</v>
      </c>
      <c r="D24" s="4">
        <f>IAS29_test!R24</f>
        <v>2.9600000000000001E-2</v>
      </c>
      <c r="E24" s="4">
        <f t="shared" si="1"/>
        <v>2.9600000000000001E-2</v>
      </c>
      <c r="F24" s="18">
        <f>IFERROR((1+IAS29_test!R4)/(1+E24),0)</f>
        <v>0.99125874125874114</v>
      </c>
    </row>
    <row r="25" spans="1:6" x14ac:dyDescent="0.35">
      <c r="A25" t="s">
        <v>103</v>
      </c>
      <c r="B25" t="s">
        <v>94</v>
      </c>
      <c r="C25" t="s">
        <v>213</v>
      </c>
      <c r="D25" s="4">
        <f>IAS29_test!R25</f>
        <v>2.1399999999999999E-2</v>
      </c>
      <c r="E25" s="4">
        <f>(Regional_agg!S25*IAS29_test!R25+Regional_agg!S26*IAS29_test!R26+Regional_agg!S27*IAS29_test!R27+Regional_agg!S39*IAS29_test!R39+Regional_agg!S40*IAS29_test!R40+Regional_agg!S41*IAS29_test!R41+Regional_agg!S42*IAS29_test!R42)/(Regional_agg!S25+Regional_agg!S26+Regional_agg!S27+Regional_agg!S39+Regional_agg!S40+Regional_agg!S41+Regional_agg!S42)</f>
        <v>1.8992714458767924E-2</v>
      </c>
      <c r="F25" s="18">
        <f>IFERROR((1+IAS29_test!R4)/(1+E25),0)</f>
        <v>1.0015773278046309</v>
      </c>
    </row>
    <row r="26" spans="1:6" x14ac:dyDescent="0.35">
      <c r="A26" t="s">
        <v>106</v>
      </c>
      <c r="B26" t="s">
        <v>94</v>
      </c>
      <c r="C26" t="s">
        <v>213</v>
      </c>
      <c r="D26" s="4">
        <f>IAS29_test!R26</f>
        <v>2.01E-2</v>
      </c>
      <c r="E26" s="4">
        <f>(Regional_agg!S25*IAS29_test!R25+Regional_agg!S26*IAS29_test!R26+Regional_agg!S27*IAS29_test!R27+Regional_agg!S39*IAS29_test!R39+Regional_agg!S40*IAS29_test!R40+Regional_agg!S41*IAS29_test!R41+Regional_agg!S42*IAS29_test!R42)/(Regional_agg!S25+Regional_agg!S26+Regional_agg!S27+Regional_agg!S39+Regional_agg!S40+Regional_agg!S41+Regional_agg!S42)</f>
        <v>1.8992714458767924E-2</v>
      </c>
      <c r="F26" s="18">
        <f>IFERROR((1+IAS29_test!R4)/(1+E26),0)</f>
        <v>1.0015773278046309</v>
      </c>
    </row>
    <row r="27" spans="1:6" x14ac:dyDescent="0.35">
      <c r="A27" t="s">
        <v>108</v>
      </c>
      <c r="B27" t="s">
        <v>94</v>
      </c>
      <c r="C27" t="s">
        <v>213</v>
      </c>
      <c r="D27" s="4">
        <f>IAS29_test!R27</f>
        <v>2.64E-2</v>
      </c>
      <c r="E27" s="4">
        <f>(Regional_agg!S25*IAS29_test!R25+Regional_agg!S26*IAS29_test!R26+Regional_agg!S27*IAS29_test!R27+Regional_agg!S39*IAS29_test!R39+Regional_agg!S40*IAS29_test!R40+Regional_agg!S41*IAS29_test!R41+Regional_agg!S42*IAS29_test!R42)/(Regional_agg!S25+Regional_agg!S26+Regional_agg!S27+Regional_agg!S39+Regional_agg!S40+Regional_agg!S41+Regional_agg!S42)</f>
        <v>1.8992714458767924E-2</v>
      </c>
      <c r="F27" s="18">
        <f>IFERROR((1+IAS29_test!R4)/(1+E27),0)</f>
        <v>1.0015773278046309</v>
      </c>
    </row>
    <row r="28" spans="1:6" x14ac:dyDescent="0.35">
      <c r="A28" t="s">
        <v>109</v>
      </c>
      <c r="B28" t="s">
        <v>94</v>
      </c>
      <c r="C28" t="s">
        <v>109</v>
      </c>
      <c r="D28" s="4">
        <f>IAS29_test!R28</f>
        <v>2.29E-2</v>
      </c>
      <c r="E28" s="4">
        <f t="shared" ref="E28:E38" si="2">D28</f>
        <v>2.29E-2</v>
      </c>
      <c r="F28" s="18">
        <f>IFERROR((1+IAS29_test!R4)/(1+E28),0)</f>
        <v>0.99775149085932158</v>
      </c>
    </row>
    <row r="29" spans="1:6" x14ac:dyDescent="0.35">
      <c r="A29" t="s">
        <v>111</v>
      </c>
      <c r="B29" t="s">
        <v>94</v>
      </c>
      <c r="C29" t="s">
        <v>242</v>
      </c>
      <c r="D29" s="4">
        <f>IAS29_test!R29</f>
        <v>5.2600000000000001E-2</v>
      </c>
      <c r="E29" s="4">
        <f t="shared" si="2"/>
        <v>5.2600000000000001E-2</v>
      </c>
      <c r="F29" s="18">
        <f>IFERROR((1+IAS29_test!R4)/(1+E29),0)</f>
        <v>0.96959908797263916</v>
      </c>
    </row>
    <row r="30" spans="1:6" x14ac:dyDescent="0.35">
      <c r="A30" t="s">
        <v>114</v>
      </c>
      <c r="B30" t="s">
        <v>94</v>
      </c>
      <c r="C30" t="s">
        <v>248</v>
      </c>
      <c r="D30" s="4">
        <f>IAS29_test!R30</f>
        <v>7.1300000000000002E-2</v>
      </c>
      <c r="E30" s="4">
        <f t="shared" si="2"/>
        <v>7.1300000000000002E-2</v>
      </c>
      <c r="F30" s="18">
        <f>IFERROR((1+IAS29_test!R4)/(1+E30),0)</f>
        <v>0.95267432091851023</v>
      </c>
    </row>
    <row r="31" spans="1:6" x14ac:dyDescent="0.35">
      <c r="A31" t="s">
        <v>118</v>
      </c>
      <c r="B31" t="s">
        <v>94</v>
      </c>
      <c r="C31" t="s">
        <v>246</v>
      </c>
      <c r="D31" s="4">
        <f>IAS29_test!R31</f>
        <v>0.1077</v>
      </c>
      <c r="E31" s="4">
        <f t="shared" si="2"/>
        <v>0.1077</v>
      </c>
      <c r="F31" s="18">
        <f>IFERROR((1+IAS29_test!R4)/(1+E31),0)</f>
        <v>0.92136860160693335</v>
      </c>
    </row>
    <row r="32" spans="1:6" x14ac:dyDescent="0.35">
      <c r="A32" t="s">
        <v>120</v>
      </c>
      <c r="B32" t="s">
        <v>94</v>
      </c>
      <c r="C32" t="s">
        <v>225</v>
      </c>
      <c r="D32" s="4">
        <f>IAS29_test!R32</f>
        <v>6.4899999999999999E-2</v>
      </c>
      <c r="E32" s="4">
        <f t="shared" si="2"/>
        <v>6.4899999999999999E-2</v>
      </c>
      <c r="F32" s="18">
        <f>IFERROR((1+IAS29_test!R4)/(1+E32),0)</f>
        <v>0.95839984975115033</v>
      </c>
    </row>
    <row r="33" spans="1:6" x14ac:dyDescent="0.35">
      <c r="A33" t="s">
        <v>123</v>
      </c>
      <c r="B33" t="s">
        <v>94</v>
      </c>
      <c r="C33" t="s">
        <v>207</v>
      </c>
      <c r="D33" s="4">
        <f>IAS29_test!R33</f>
        <v>1.6400000000000001E-2</v>
      </c>
      <c r="E33" s="4">
        <f t="shared" si="2"/>
        <v>1.6400000000000001E-2</v>
      </c>
      <c r="F33" s="18">
        <f>IFERROR((1+IAS29_test!R4)/(1+E33),0)</f>
        <v>1.0041322314049586</v>
      </c>
    </row>
    <row r="34" spans="1:6" x14ac:dyDescent="0.35">
      <c r="A34" t="s">
        <v>129</v>
      </c>
      <c r="B34" t="s">
        <v>94</v>
      </c>
      <c r="C34" t="s">
        <v>221</v>
      </c>
      <c r="D34" s="4">
        <f>IAS29_test!R34</f>
        <v>4.8800000000000003E-2</v>
      </c>
      <c r="E34" s="4">
        <f t="shared" si="2"/>
        <v>4.8800000000000003E-2</v>
      </c>
      <c r="F34" s="18">
        <f>IFERROR((1+IAS29_test!R4)/(1+E34),0)</f>
        <v>0.97311212814645309</v>
      </c>
    </row>
    <row r="35" spans="1:6" x14ac:dyDescent="0.35">
      <c r="A35" t="s">
        <v>132</v>
      </c>
      <c r="B35" t="s">
        <v>94</v>
      </c>
      <c r="C35" t="s">
        <v>223</v>
      </c>
      <c r="D35" s="4">
        <f>IAS29_test!R35</f>
        <v>1.8700000000000001E-2</v>
      </c>
      <c r="E35" s="4">
        <f t="shared" si="2"/>
        <v>1.8700000000000001E-2</v>
      </c>
      <c r="F35" s="18">
        <f>IFERROR((1+IAS29_test!R4)/(1+E35),0)</f>
        <v>1.0018651222145871</v>
      </c>
    </row>
    <row r="36" spans="1:6" x14ac:dyDescent="0.35">
      <c r="A36" t="s">
        <v>136</v>
      </c>
      <c r="B36" t="s">
        <v>94</v>
      </c>
      <c r="C36" t="s">
        <v>254</v>
      </c>
      <c r="D36" s="4">
        <f>IAS29_test!R36</f>
        <v>3.0800000000000001E-2</v>
      </c>
      <c r="E36" s="4">
        <f t="shared" si="2"/>
        <v>3.0800000000000001E-2</v>
      </c>
      <c r="F36" s="18">
        <f>IFERROR((1+IAS29_test!R4)/(1+E36),0)</f>
        <v>0.99010477299185096</v>
      </c>
    </row>
    <row r="37" spans="1:6" x14ac:dyDescent="0.35">
      <c r="A37" t="s">
        <v>139</v>
      </c>
      <c r="B37" t="s">
        <v>94</v>
      </c>
      <c r="C37" t="s">
        <v>227</v>
      </c>
      <c r="D37" s="4">
        <f>IAS29_test!R37</f>
        <v>1.67E-2</v>
      </c>
      <c r="E37" s="4">
        <f t="shared" si="2"/>
        <v>1.67E-2</v>
      </c>
      <c r="F37" s="18">
        <f>IFERROR((1+IAS29_test!R4)/(1+E37),0)</f>
        <v>1.0038359398052523</v>
      </c>
    </row>
    <row r="38" spans="1:6" x14ac:dyDescent="0.35">
      <c r="A38" t="s">
        <v>142</v>
      </c>
      <c r="B38" t="s">
        <v>94</v>
      </c>
      <c r="C38" t="s">
        <v>244</v>
      </c>
      <c r="D38" s="4">
        <f>IAS29_test!R38</f>
        <v>2.7799999999999998E-2</v>
      </c>
      <c r="E38" s="4">
        <f t="shared" si="2"/>
        <v>2.7799999999999998E-2</v>
      </c>
      <c r="F38" s="18">
        <f>IFERROR((1+IAS29_test!R4)/(1+E38),0)</f>
        <v>0.99299474605954452</v>
      </c>
    </row>
    <row r="39" spans="1:6" x14ac:dyDescent="0.35">
      <c r="A39" t="s">
        <v>144</v>
      </c>
      <c r="B39" t="s">
        <v>94</v>
      </c>
      <c r="C39" t="s">
        <v>213</v>
      </c>
      <c r="D39" s="4">
        <f>IAS29_test!R39</f>
        <v>2.0299999999999999E-2</v>
      </c>
      <c r="E39" s="4">
        <f>(Regional_agg!S25*IAS29_test!R25+Regional_agg!S26*IAS29_test!R26+Regional_agg!S27*IAS29_test!R27+Regional_agg!S39*IAS29_test!R39+Regional_agg!S40*IAS29_test!R40+Regional_agg!S41*IAS29_test!R41+Regional_agg!S42*IAS29_test!R42)/(Regional_agg!S25+Regional_agg!S26+Regional_agg!S27+Regional_agg!S39+Regional_agg!S40+Regional_agg!S41+Regional_agg!S42)</f>
        <v>1.8992714458767924E-2</v>
      </c>
      <c r="F39" s="18">
        <f>IFERROR((1+IAS29_test!R4)/(1+E39),0)</f>
        <v>1.0015773278046309</v>
      </c>
    </row>
    <row r="40" spans="1:6" x14ac:dyDescent="0.35">
      <c r="A40" t="s">
        <v>148</v>
      </c>
      <c r="B40" t="s">
        <v>94</v>
      </c>
      <c r="C40" t="s">
        <v>213</v>
      </c>
      <c r="D40" s="4">
        <f>IAS29_test!R40</f>
        <v>1.9900000000000001E-2</v>
      </c>
      <c r="E40" s="4">
        <f>(Regional_agg!S25*IAS29_test!R25+Regional_agg!S26*IAS29_test!R26+Regional_agg!S27*IAS29_test!R27+Regional_agg!S39*IAS29_test!R39+Regional_agg!S40*IAS29_test!R40+Regional_agg!S41*IAS29_test!R41+Regional_agg!S42*IAS29_test!R42)/(Regional_agg!S25+Regional_agg!S26+Regional_agg!S27+Regional_agg!S39+Regional_agg!S40+Regional_agg!S41+Regional_agg!S42)</f>
        <v>1.8992714458767924E-2</v>
      </c>
      <c r="F40" s="18">
        <f>IFERROR((1+IAS29_test!R4)/(1+E40),0)</f>
        <v>1.0015773278046309</v>
      </c>
    </row>
    <row r="41" spans="1:6" x14ac:dyDescent="0.35">
      <c r="A41" t="s">
        <v>149</v>
      </c>
      <c r="B41" t="s">
        <v>94</v>
      </c>
      <c r="C41" t="s">
        <v>213</v>
      </c>
      <c r="D41" s="4">
        <f>IAS29_test!R41</f>
        <v>1.8499999999999999E-2</v>
      </c>
      <c r="E41" s="4">
        <f>(Regional_agg!S25*IAS29_test!R25+Regional_agg!S26*IAS29_test!R26+Regional_agg!S27*IAS29_test!R27+Regional_agg!S39*IAS29_test!R39+Regional_agg!S40*IAS29_test!R40+Regional_agg!S41*IAS29_test!R41+Regional_agg!S42*IAS29_test!R42)/(Regional_agg!S25+Regional_agg!S26+Regional_agg!S27+Regional_agg!S39+Regional_agg!S40+Regional_agg!S41+Regional_agg!S42)</f>
        <v>1.8992714458767924E-2</v>
      </c>
      <c r="F41" s="18">
        <f>IFERROR((1+IAS29_test!R4)/(1+E41),0)</f>
        <v>1.0015773278046309</v>
      </c>
    </row>
    <row r="42" spans="1:6" x14ac:dyDescent="0.35">
      <c r="A42" t="s">
        <v>150</v>
      </c>
      <c r="B42" t="s">
        <v>94</v>
      </c>
      <c r="C42" t="s">
        <v>213</v>
      </c>
      <c r="D42" s="4">
        <f>IAS29_test!R42</f>
        <v>1.83E-2</v>
      </c>
      <c r="E42" s="4">
        <f>(Regional_agg!S25*IAS29_test!R25+Regional_agg!S26*IAS29_test!R26+Regional_agg!S27*IAS29_test!R27+Regional_agg!S39*IAS29_test!R39+Regional_agg!S40*IAS29_test!R40+Regional_agg!S41*IAS29_test!R41+Regional_agg!S42*IAS29_test!R42)/(Regional_agg!S25+Regional_agg!S26+Regional_agg!S27+Regional_agg!S39+Regional_agg!S40+Regional_agg!S41+Regional_agg!S42)</f>
        <v>1.8992714458767924E-2</v>
      </c>
      <c r="F42" s="18">
        <f>IFERROR((1+IAS29_test!R4)/(1+E42),0)</f>
        <v>1.0015773278046309</v>
      </c>
    </row>
    <row r="44" spans="1:6" x14ac:dyDescent="0.35">
      <c r="A44" s="13" t="s">
        <v>447</v>
      </c>
    </row>
    <row r="45" spans="1:6" x14ac:dyDescent="0.35">
      <c r="A45" s="13" t="s">
        <v>24</v>
      </c>
      <c r="D45" s="13">
        <v>2030</v>
      </c>
    </row>
    <row r="46" spans="1:6" x14ac:dyDescent="0.35">
      <c r="A46" s="13" t="s">
        <v>37</v>
      </c>
      <c r="D46" s="18">
        <v>1</v>
      </c>
    </row>
    <row r="47" spans="1:6" x14ac:dyDescent="0.35">
      <c r="A47" s="13" t="s">
        <v>47</v>
      </c>
      <c r="D47" s="18">
        <v>1</v>
      </c>
    </row>
    <row r="48" spans="1:6" x14ac:dyDescent="0.35">
      <c r="A48" s="13" t="s">
        <v>54</v>
      </c>
      <c r="D48" s="18">
        <f>(Regional_agg!S49*(1+N(Data!J65))*F6+Regional_agg!S50*(1+N(Data!J81))*F7+Regional_agg!S51*(1+N(Data!J97))*F8+Regional_agg!S52*(1+N(Data!J113))*F9+Regional_agg!S53*(1+N(Data!J129))*F10+Regional_agg!S54*(1+N(Data!J145))*F11+Regional_agg!S55*(1+N(Data!J161))*F12+Regional_agg!S56*(1+N(Data!J177))*F13+Regional_agg!S57*(1+N(Data!J193))*F14+Regional_agg!S58*(1+N(Data!J209))*F15+Regional_agg!S59*(1+N(Data!J225))*F16+Regional_agg!S60*(1+N(Data!J241))*F17+Regional_agg!S61*(1+N(Data!J257))*F18+Regional_agg!S62*(1+N(Data!J273))*F19+Regional_agg!S63*(1+N(Data!J289))*F20)/(Regional_agg!S49*(1+N(Data!J65))+Regional_agg!S50*(1+N(Data!J81))+Regional_agg!S51*(1+N(Data!J97))+Regional_agg!S52*(1+N(Data!J113))+Regional_agg!S53*(1+N(Data!J129))+Regional_agg!S54*(1+N(Data!J145))+Regional_agg!S55*(1+N(Data!J161))+Regional_agg!S56*(1+N(Data!J177))+Regional_agg!S57*(1+N(Data!J193))+Regional_agg!S58*(1+N(Data!J209))+Regional_agg!S59*(1+N(Data!J225))+Regional_agg!S60*(1+N(Data!J241))+Regional_agg!S61*(1+N(Data!J257))+Regional_agg!S62*(1+N(Data!J273))+Regional_agg!S63*(1+N(Data!J289)))</f>
        <v>0.98511538290107492</v>
      </c>
    </row>
    <row r="49" spans="1:4" x14ac:dyDescent="0.35">
      <c r="A49" s="13" t="s">
        <v>94</v>
      </c>
      <c r="D49" s="18">
        <f>(Regional_agg!S64*(1+N(Data!J305))*F21+Regional_agg!S65*(1+N(Data!J321))*F22+Regional_agg!S66*(1+N(Data!J337))*F23+Regional_agg!S67*(1+N(Data!J353))*F24+Regional_agg!S68*(1+N(Data!J369))*F25+Regional_agg!S69*(1+N(Data!J385))*F26+Regional_agg!S70*(1+N(Data!J401))*F27+Regional_agg!S71*(1+N(Data!J417))*F28+Regional_agg!S72*(1+N(Data!J433))*F29+Regional_agg!S73*(1+N(Data!J449))*F30+Regional_agg!S74*(1+N(Data!J465))*F31+Regional_agg!S75*(1+N(Data!J481))*F32+Regional_agg!S76*(1+N(Data!J497))*F33+Regional_agg!S77*(1+N(Data!J513))*F34+Regional_agg!S78*(1+N(Data!J529))*F35+Regional_agg!S79*(1+N(Data!J545))*F36+Regional_agg!S80*(1+N(Data!J561))*F37+Regional_agg!S81*(1+N(Data!J577))*F38+Regional_agg!S82*(1+N(Data!J593))*F39+Regional_agg!S83*(1+N(Data!J609))*F40+Regional_agg!S84*(1+N(Data!J625))*F41+Regional_agg!S85*(1+N(Data!J641))*F42)/(Regional_agg!S64*(1+N(Data!J305))+Regional_agg!S65*(1+N(Data!J321))+Regional_agg!S66*(1+N(Data!J337))+Regional_agg!S67*(1+N(Data!J353))+Regional_agg!S68*(1+N(Data!J369))+Regional_agg!S69*(1+N(Data!J385))+Regional_agg!S70*(1+N(Data!J401))+Regional_agg!S71*(1+N(Data!J417))+Regional_agg!S72*(1+N(Data!J433))+Regional_agg!S73*(1+N(Data!J449))+Regional_agg!S74*(1+N(Data!J465))+Regional_agg!S75*(1+N(Data!J481))+Regional_agg!S76*(1+N(Data!J497))+Regional_agg!S77*(1+N(Data!J513))+Regional_agg!S78*(1+N(Data!J529))+Regional_agg!S79*(1+N(Data!J545))+Regional_agg!S80*(1+N(Data!J561))+Regional_agg!S81*(1+N(Data!J577))+Regional_agg!S82*(1+N(Data!J593))+Regional_agg!S83*(1+N(Data!J609))+Regional_agg!S84*(1+N(Data!J625))+Regional_agg!S85*(1+N(Data!J641)))</f>
        <v>0.99425917407293729</v>
      </c>
    </row>
    <row r="51" spans="1:4" x14ac:dyDescent="0.35">
      <c r="A51" t="s">
        <v>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Notes</vt:lpstr>
      <vt:lpstr>Data</vt:lpstr>
      <vt:lpstr>Growth_view</vt:lpstr>
      <vt:lpstr>IAS29_test</vt:lpstr>
      <vt:lpstr>FX</vt:lpstr>
      <vt:lpstr>Regional_agg</vt:lpstr>
      <vt:lpstr>Ratio_history</vt:lpstr>
      <vt:lpstr>Ratio_NA</vt:lpstr>
      <vt:lpstr>Evidence_MEX</vt:lpstr>
      <vt:lpstr>Ratios_9M26</vt:lpstr>
      <vt:lpstr>Organic_pass</vt:lpstr>
      <vt:lpstr>Cross_check_history</vt:lpstr>
      <vt:lpstr>Regional_FX</vt:lpstr>
      <vt:lpstr>PPP_terminal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Alejandro Gaytan Ibarra</cp:lastModifiedBy>
  <dcterms:created xsi:type="dcterms:W3CDTF">2026-10-27T04:25:24Z</dcterms:created>
  <dcterms:modified xsi:type="dcterms:W3CDTF">2026-10-27T04:25:29Z</dcterms:modified>
</cp:coreProperties>
</file>