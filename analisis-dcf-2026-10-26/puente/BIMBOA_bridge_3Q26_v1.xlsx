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tecmx-my.sharepoint.com/personal/a01403564_tec_mx/Documents/Escritorio/CFA-Research/.claude/worktrees/dcf-balance-general-dd4b56/analisis-dcf-2026-10-26/puente/"/>
    </mc:Choice>
  </mc:AlternateContent>
  <xr:revisionPtr revIDLastSave="0" documentId="11_2843A327668BB61F88C9CF21722E6DCDFCF470ED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ADME" sheetId="1" r:id="rId1"/>
    <sheet name="Bridg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5" i="2" l="1"/>
  <c r="B49" i="2"/>
  <c r="B47" i="2"/>
  <c r="B42" i="2"/>
  <c r="B40" i="2"/>
  <c r="B31" i="2"/>
  <c r="B33" i="2" s="1"/>
  <c r="B23" i="2"/>
  <c r="B26" i="2" s="1"/>
  <c r="B27" i="2" s="1"/>
  <c r="B22" i="2"/>
  <c r="B13" i="2"/>
  <c r="B12" i="2"/>
  <c r="B54" i="2" l="1"/>
  <c r="B53" i="2"/>
  <c r="B56" i="2" s="1"/>
  <c r="B57" i="2" s="1"/>
  <c r="B14" i="2"/>
  <c r="B15" i="2"/>
  <c r="B68" i="2" l="1"/>
  <c r="B69" i="2" s="1"/>
  <c r="B59" i="2"/>
  <c r="B70" i="2"/>
</calcChain>
</file>

<file path=xl/sharedStrings.xml><?xml version="1.0" encoding="utf-8"?>
<sst xmlns="http://schemas.openxmlformats.org/spreadsheetml/2006/main" count="176" uniqueCount="105">
  <si>
    <t>Grupo Bimbo - equity bridge at the latest balance (30-Sep-2026), team decisions 2026-10-26</t>
  </si>
  <si>
    <t>Built by analisis-dcf-2026-10-26/build/build_bridge_3q26.py. Blue = typed from a source; black = live formula; yellow = key lines.</t>
  </si>
  <si>
    <t>Date: every line at 30-Sep-2026. Debt, leases, cash, NCI book from the 3T26 release p.8; debt-like items, associates, 9M26 NCI income and shares from the BMV 3Q26 XBRL report.</t>
  </si>
  <si>
    <t>NCI at market with 0% growth (team). The DCF is not run here: the claims line is what the DCF enterprise value must cover.</t>
  </si>
  <si>
    <t>Equity bridge claims, MXN millions</t>
  </si>
  <si>
    <t>Line</t>
  </si>
  <si>
    <t>Value</t>
  </si>
  <si>
    <t>Tag</t>
  </si>
  <si>
    <t>Source / note</t>
  </si>
  <si>
    <t>1. Debt, leases, cash and NCI book at 30-Sep-2026 (MXN millions)</t>
  </si>
  <si>
    <t>Short-term debt</t>
  </si>
  <si>
    <t>[sourced]</t>
  </si>
  <si>
    <t>3T26 earnings release, filings/quarterly/Grupo%20Bimbo%20Reporta%20Resultados%20del%203T26.pdf p.8</t>
  </si>
  <si>
    <t>Long-term debt</t>
  </si>
  <si>
    <t>Lease liabilities, short term</t>
  </si>
  <si>
    <t>Lease liabilities, long term</t>
  </si>
  <si>
    <t>Cash and cash equivalents</t>
  </si>
  <si>
    <t>Non-controlling interest, book</t>
  </si>
  <si>
    <t>Net debt reported by Bimbo (excludes leases), reference</t>
  </si>
  <si>
    <t>3T26 earnings release, filings/quarterly/Grupo%20Bimbo%20Reporta%20Resultados%20del%203T26.pdf p.6</t>
  </si>
  <si>
    <t>Financial debt</t>
  </si>
  <si>
    <t>[calc]</t>
  </si>
  <si>
    <t>Lease liabilities (IFRS 16)</t>
  </si>
  <si>
    <t>In net debt because the FCFF deducts new leases</t>
  </si>
  <si>
    <t>Net debt including leases</t>
  </si>
  <si>
    <t>Check: financial debt - cash - reported net debt (must be 0)</t>
  </si>
  <si>
    <t>2. Non-controlling interest at market value, 0% growth (team 2026-10-26)</t>
  </si>
  <si>
    <t>NCI net income 9M26</t>
  </si>
  <si>
    <t>BMV 3Q26 XBRL, analisis-dcf-2026-10-26/datos/bmv_3t26/Reporte_Definitivo_BMV_XBRL_Espanol_Sep_26.pdf [310000] p.13</t>
  </si>
  <si>
    <t>NCI net income 1Q26, cross-check</t>
  </si>
  <si>
    <t>S&amp;P Capital IQ quarterly; valuation/inputs/spg_inputs.yaml dated_bridge nci_claim</t>
  </si>
  <si>
    <t>NCI net income 2Q26, cross-check</t>
  </si>
  <si>
    <t>NCI net income 3Q26, cross-check</t>
  </si>
  <si>
    <t>Check: 9M26 less the sum of the quarters (about 0, rounding)</t>
  </si>
  <si>
    <t>NCI net income, annual run-rate = 9M26 x 4 / 3</t>
  </si>
  <si>
    <t>Team 2026-10-26: 9M26 annualized (replaces 1H26 x 2 = 1,814)</t>
  </si>
  <si>
    <t>Cost of equity (v3 route B, reference)</t>
  </si>
  <si>
    <t>valuation/valuation-outputs.yaml cost_of_equity; team confirms the WACC</t>
  </si>
  <si>
    <t>NCI growth in perpetuity</t>
  </si>
  <si>
    <t>[assumption]</t>
  </si>
  <si>
    <t>Team 2026-10-26: 0%, the NCI book base shrinks (3,306 Dec-23 to 743 Dec-25, EEFF25 p.12)</t>
  </si>
  <si>
    <t>NCI claim at market value = income / (ke - g)</t>
  </si>
  <si>
    <t xml:space="preserve">  of which uplift over book</t>
  </si>
  <si>
    <t>3. Debt-like items, after tax, at 30-Sep-2026</t>
  </si>
  <si>
    <t>Employee benefits liability, long term, 30-Sep-2026</t>
  </si>
  <si>
    <t>BMV 3Q26 XBRL, analisis-dcf-2026-10-26/datos/bmv_3t26/Reporte_Definitivo_BMV_XBRL_Espanol_Sep_26.pdf [210000] p.12</t>
  </si>
  <si>
    <t>Dec-25 after-tax retirement + US welfare + LT bonuses</t>
  </si>
  <si>
    <t>valuation/inputs/spg_inputs.yaml bridge_items (EEFF25 notes 18-19)</t>
  </si>
  <si>
    <t>Employee benefits liability, Dec-25</t>
  </si>
  <si>
    <t>EEFF25 p.12</t>
  </si>
  <si>
    <t>Employee benefits after tax = Sep-26 line x Dec-25 after-tax ratio</t>
  </si>
  <si>
    <t>Same policy as Dec-25; the Sep-26 split by plan is not disclosed [assumption]</t>
  </si>
  <si>
    <t>Uncertain tax positions</t>
  </si>
  <si>
    <t>BMV 3Q26 XBRL, analisis-dcf-2026-10-26/datos/bmv_3t26/Reporte_Definitivo_BMV_XBRL_Espanol_Sep_26.pdf p.57; no tax shield</t>
  </si>
  <si>
    <t>Tax provisions</t>
  </si>
  <si>
    <t>Labour provisions</t>
  </si>
  <si>
    <t>BMV 3Q26 XBRL, analisis-dcf-2026-10-26/datos/bmv_3t26/Reporte_Definitivo_BMV_XBRL_Espanol_Sep_26.pdf p.57</t>
  </si>
  <si>
    <t>Civil provisions</t>
  </si>
  <si>
    <t>BMV 3Q26 XBRL, analisis-dcf-2026-10-26/datos/bmv_3t26/Reporte_Definitivo_BMV_XBRL_Espanol_Sep_26.pdf p.58</t>
  </si>
  <si>
    <t>Other provisions</t>
  </si>
  <si>
    <t>Total provisions reported</t>
  </si>
  <si>
    <t>Check: sum of provisions less reported total (must be about 0)</t>
  </si>
  <si>
    <t>Tax rate on deductible provisions and benefits (Mexico)</t>
  </si>
  <si>
    <t>Same as Dec-25 policy</t>
  </si>
  <si>
    <t>Provisions after tax</t>
  </si>
  <si>
    <t>Derivative liabilities, current</t>
  </si>
  <si>
    <t>BMV 3Q26 XBRL, analisis-dcf-2026-10-26/datos/bmv_3t26/Reporte_Definitivo_BMV_XBRL_Espanol_Sep_26.pdf p.63</t>
  </si>
  <si>
    <t>Derivative liabilities, non-current</t>
  </si>
  <si>
    <t>BMV 3Q26 XBRL, analisis-dcf-2026-10-26/datos/bmv_3t26/Reporte_Definitivo_BMV_XBRL_Espanol_Sep_26.pdf p.64</t>
  </si>
  <si>
    <t>Derivative assets, current</t>
  </si>
  <si>
    <t>Derivative assets, non-current</t>
  </si>
  <si>
    <t>Net derivative liabilities</t>
  </si>
  <si>
    <t>Mostly cross-currency swaps on the USD debt. Margin-account deposits (asset 431.3) and withdrawals (liability 248.8, p.63) are left out, as the deposits were at Dec-25 and Jun-26</t>
  </si>
  <si>
    <t>Other long-term provisions line (provisions + MEPP + deferred compensation + other)</t>
  </si>
  <si>
    <t>Residual beyond provisions</t>
  </si>
  <si>
    <t>MEPP exit liabilities, Dec-25</t>
  </si>
  <si>
    <t>EEFF25 p.79-80 note 19 (valuation/inputs/spg_inputs.yaml cross_checks)</t>
  </si>
  <si>
    <t>Deferred compensation, Dec-25</t>
  </si>
  <si>
    <t>Other long-term liabilities in the residual, Dec-25</t>
  </si>
  <si>
    <t>MEPP exit liabilities, Sep-26 = residual x Dec-25 share</t>
  </si>
  <si>
    <t>Not disclosed separately at Sep-26; split in the Dec-25 proportions [assumption], as at Jun-26</t>
  </si>
  <si>
    <t>Deferred compensation, Sep-26 = residual x Dec-25 share</t>
  </si>
  <si>
    <t>Same split</t>
  </si>
  <si>
    <t>US tax rate on MEPP</t>
  </si>
  <si>
    <t>MEPP and deferred compensation after tax</t>
  </si>
  <si>
    <t>Debt-like items excluding NCI</t>
  </si>
  <si>
    <t>Debt-like items excluding NCI at 30-Jun-2026, reference</t>
  </si>
  <si>
    <t>Previous bridge, same policy (BMV 2Q26 XBRL, filings/bmv/Reporte_Definitivo_BMV_XBRL_Español_Jun_26.pdf); valuation/inputs/spg_inputs.yaml dated_bridge debt_like_jun_ex_nci</t>
  </si>
  <si>
    <t>Change from Jun-26</t>
  </si>
  <si>
    <t>4. Non-operating assets and shares at 30-Sep-2026</t>
  </si>
  <si>
    <t>Investments in associates (added to EV)</t>
  </si>
  <si>
    <t>BMV 3Q26 XBRL, analisis-dcf-2026-10-26/datos/bmv_3t26/Reporte_Definitivo_BMV_XBRL_Espanol_Sep_26.pdf [210000] p.11; 6,497.5 at Jun-26</t>
  </si>
  <si>
    <t>Issued shares (millions)</t>
  </si>
  <si>
    <t>BMV 3Q26 XBRL, analisis-dcf-2026-10-26/datos/bmv_3t26/Reporte_Definitivo_BMV_XBRL_Espanol_Sep_26.pdf [700000] p.24 'acciones en circulación'</t>
  </si>
  <si>
    <t>Repurchased shares held (millions)</t>
  </si>
  <si>
    <t>BMV 3Q26 XBRL, analisis-dcf-2026-10-26/datos/bmv_3t26/Reporte_Definitivo_BMV_XBRL_Espanol_Sep_26.pdf [700000] p.24 'acciones recompradas'</t>
  </si>
  <si>
    <t>Shares outstanding, net of repurchased (millions)</t>
  </si>
  <si>
    <t>Same method at Jun-26 gives 4,296.284215, equal to the CIQ count; WACC uses 4,294.943715 (29-Jul-2026, wacc_inputs.yaml A8)</t>
  </si>
  <si>
    <t>5. Claims to deduct from enterprise value (the DCF is not run here)</t>
  </si>
  <si>
    <t>Net debt incl. leases + NCI at market + debt-like - associates</t>
  </si>
  <si>
    <t>Equity value = DCF enterprise value - this line</t>
  </si>
  <si>
    <t>Per share</t>
  </si>
  <si>
    <t>MXN per share, before rolling to 16-Oct-2026</t>
  </si>
  <si>
    <t>Debt-like items + NCI uplift per share (the v3 'Ps 8.60' measure)</t>
  </si>
  <si>
    <t>v3: 37,054 / 4,310.5 = 8.60 at Dec-25 with NCI at 3%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</si>
</sst>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;\(#,##0.0\)"/>
  </numFmts>
  <fonts count="7" x14ac:knownFonts="1">
    <font>
      <sz val="11"/>
      <color theme="1"/>
      <name val="Calibri"/>
      <family val="2"/>
      <scheme val="minor"/>
    </font>
    <font>
      <b/>
      <sz val="12"/>
      <name val="Arial"/>
    </font>
    <font>
      <i/>
      <sz val="8"/>
      <color rgb="FF595959"/>
      <name val="Arial"/>
    </font>
    <font>
      <b/>
      <sz val="9"/>
      <color rgb="FFFFFFFF"/>
      <name val="Arial"/>
    </font>
    <font>
      <b/>
      <sz val="9"/>
      <name val="Arial"/>
    </font>
    <font>
      <sz val="9"/>
      <name val="Arial"/>
    </font>
    <font>
      <sz val="9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164" fontId="6" fillId="0" borderId="0" xfId="0" applyNumberFormat="1" applyFont="1"/>
    <xf numFmtId="164" fontId="5" fillId="0" borderId="0" xfId="0" applyNumberFormat="1" applyFont="1"/>
    <xf numFmtId="164" fontId="5" fillId="3" borderId="0" xfId="0" applyNumberFormat="1" applyFont="1" applyFill="1"/>
    <xf numFmtId="10" fontId="6" fillId="0" borderId="0" xfId="0" applyNumberFormat="1" applyFont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/>
  </sheetViews>
  <sheetFormatPr baseColWidth="10" defaultColWidth="8.7265625" defaultRowHeight="14.5" x14ac:dyDescent="0.35"/>
  <cols>
    <col min="1" max="1" width="140" customWidth="1"/>
  </cols>
  <sheetData>
    <row r="1" spans="1:1" ht="15.5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0"/>
  <sheetViews>
    <sheetView workbookViewId="0"/>
  </sheetViews>
  <sheetFormatPr baseColWidth="10" defaultColWidth="8.7265625" defaultRowHeight="14.5" x14ac:dyDescent="0.35"/>
  <cols>
    <col min="1" max="1" width="72" customWidth="1"/>
    <col min="2" max="2" width="13" customWidth="1"/>
    <col min="3" max="3" width="11" customWidth="1"/>
    <col min="4" max="4" width="110" customWidth="1"/>
  </cols>
  <sheetData>
    <row r="1" spans="1:4" ht="15.5" x14ac:dyDescent="0.35">
      <c r="A1" s="1" t="s">
        <v>4</v>
      </c>
    </row>
    <row r="3" spans="1:4" x14ac:dyDescent="0.35">
      <c r="A3" s="3" t="s">
        <v>5</v>
      </c>
      <c r="B3" s="3" t="s">
        <v>6</v>
      </c>
      <c r="C3" s="3" t="s">
        <v>7</v>
      </c>
      <c r="D3" s="3" t="s">
        <v>8</v>
      </c>
    </row>
    <row r="4" spans="1:4" x14ac:dyDescent="0.35">
      <c r="A4" s="4" t="s">
        <v>9</v>
      </c>
      <c r="C4" s="2"/>
      <c r="D4" s="2"/>
    </row>
    <row r="5" spans="1:4" x14ac:dyDescent="0.35">
      <c r="A5" s="5" t="s">
        <v>10</v>
      </c>
      <c r="B5" s="6">
        <v>13636</v>
      </c>
      <c r="C5" s="2" t="s">
        <v>11</v>
      </c>
      <c r="D5" s="2" t="s">
        <v>12</v>
      </c>
    </row>
    <row r="6" spans="1:4" x14ac:dyDescent="0.35">
      <c r="A6" s="5" t="s">
        <v>13</v>
      </c>
      <c r="B6" s="6">
        <v>139166</v>
      </c>
      <c r="C6" s="2" t="s">
        <v>11</v>
      </c>
      <c r="D6" s="2" t="s">
        <v>12</v>
      </c>
    </row>
    <row r="7" spans="1:4" x14ac:dyDescent="0.35">
      <c r="A7" s="5" t="s">
        <v>14</v>
      </c>
      <c r="B7" s="6">
        <v>7173</v>
      </c>
      <c r="C7" s="2" t="s">
        <v>11</v>
      </c>
      <c r="D7" s="2" t="s">
        <v>12</v>
      </c>
    </row>
    <row r="8" spans="1:4" x14ac:dyDescent="0.35">
      <c r="A8" s="5" t="s">
        <v>15</v>
      </c>
      <c r="B8" s="6">
        <v>26867</v>
      </c>
      <c r="C8" s="2" t="s">
        <v>11</v>
      </c>
      <c r="D8" s="2" t="s">
        <v>12</v>
      </c>
    </row>
    <row r="9" spans="1:4" x14ac:dyDescent="0.35">
      <c r="A9" s="5" t="s">
        <v>16</v>
      </c>
      <c r="B9" s="6">
        <v>17459</v>
      </c>
      <c r="C9" s="2" t="s">
        <v>11</v>
      </c>
      <c r="D9" s="2" t="s">
        <v>12</v>
      </c>
    </row>
    <row r="10" spans="1:4" x14ac:dyDescent="0.35">
      <c r="A10" s="5" t="s">
        <v>17</v>
      </c>
      <c r="B10" s="6">
        <v>610</v>
      </c>
      <c r="C10" s="2" t="s">
        <v>11</v>
      </c>
      <c r="D10" s="2" t="s">
        <v>12</v>
      </c>
    </row>
    <row r="11" spans="1:4" x14ac:dyDescent="0.35">
      <c r="A11" s="5" t="s">
        <v>18</v>
      </c>
      <c r="B11" s="6">
        <v>135343</v>
      </c>
      <c r="C11" s="2" t="s">
        <v>11</v>
      </c>
      <c r="D11" s="2" t="s">
        <v>19</v>
      </c>
    </row>
    <row r="12" spans="1:4" x14ac:dyDescent="0.35">
      <c r="A12" s="5" t="s">
        <v>20</v>
      </c>
      <c r="B12" s="7">
        <f>B5+B6</f>
        <v>152802</v>
      </c>
      <c r="C12" s="2" t="s">
        <v>21</v>
      </c>
      <c r="D12" s="2"/>
    </row>
    <row r="13" spans="1:4" x14ac:dyDescent="0.35">
      <c r="A13" s="5" t="s">
        <v>22</v>
      </c>
      <c r="B13" s="7">
        <f>B7+B8</f>
        <v>34040</v>
      </c>
      <c r="C13" s="2" t="s">
        <v>21</v>
      </c>
      <c r="D13" s="2" t="s">
        <v>23</v>
      </c>
    </row>
    <row r="14" spans="1:4" x14ac:dyDescent="0.35">
      <c r="A14" s="5" t="s">
        <v>24</v>
      </c>
      <c r="B14" s="8">
        <f>B12+B13-B9</f>
        <v>169383</v>
      </c>
      <c r="C14" s="2" t="s">
        <v>21</v>
      </c>
      <c r="D14" s="2"/>
    </row>
    <row r="15" spans="1:4" x14ac:dyDescent="0.35">
      <c r="A15" s="5" t="s">
        <v>25</v>
      </c>
      <c r="B15" s="7">
        <f>B12-B9-B11</f>
        <v>0</v>
      </c>
      <c r="C15" s="2" t="s">
        <v>21</v>
      </c>
      <c r="D15" s="2"/>
    </row>
    <row r="16" spans="1:4" x14ac:dyDescent="0.35">
      <c r="A16" s="5"/>
      <c r="C16" s="2"/>
      <c r="D16" s="2"/>
    </row>
    <row r="17" spans="1:4" x14ac:dyDescent="0.35">
      <c r="A17" s="4" t="s">
        <v>26</v>
      </c>
      <c r="C17" s="2"/>
      <c r="D17" s="2"/>
    </row>
    <row r="18" spans="1:4" x14ac:dyDescent="0.35">
      <c r="A18" s="5" t="s">
        <v>27</v>
      </c>
      <c r="B18" s="6">
        <v>1365.5139999999999</v>
      </c>
      <c r="C18" s="2" t="s">
        <v>11</v>
      </c>
      <c r="D18" s="2" t="s">
        <v>28</v>
      </c>
    </row>
    <row r="19" spans="1:4" x14ac:dyDescent="0.35">
      <c r="A19" s="5" t="s">
        <v>29</v>
      </c>
      <c r="B19" s="6">
        <v>436</v>
      </c>
      <c r="C19" s="2" t="s">
        <v>11</v>
      </c>
      <c r="D19" s="2" t="s">
        <v>30</v>
      </c>
    </row>
    <row r="20" spans="1:4" x14ac:dyDescent="0.35">
      <c r="A20" s="5" t="s">
        <v>31</v>
      </c>
      <c r="B20" s="6">
        <v>471</v>
      </c>
      <c r="C20" s="2" t="s">
        <v>11</v>
      </c>
      <c r="D20" s="2" t="s">
        <v>30</v>
      </c>
    </row>
    <row r="21" spans="1:4" x14ac:dyDescent="0.35">
      <c r="A21" s="5" t="s">
        <v>32</v>
      </c>
      <c r="B21" s="6">
        <v>458</v>
      </c>
      <c r="C21" s="2" t="s">
        <v>11</v>
      </c>
      <c r="D21" s="2" t="s">
        <v>12</v>
      </c>
    </row>
    <row r="22" spans="1:4" x14ac:dyDescent="0.35">
      <c r="A22" s="5" t="s">
        <v>33</v>
      </c>
      <c r="B22" s="7">
        <f>B18-B19-B20-B21</f>
        <v>0.51399999999989632</v>
      </c>
      <c r="C22" s="2" t="s">
        <v>21</v>
      </c>
      <c r="D22" s="2"/>
    </row>
    <row r="23" spans="1:4" x14ac:dyDescent="0.35">
      <c r="A23" s="5" t="s">
        <v>34</v>
      </c>
      <c r="B23" s="7">
        <f>B18*4/3</f>
        <v>1820.6853333333331</v>
      </c>
      <c r="C23" s="2" t="s">
        <v>21</v>
      </c>
      <c r="D23" s="2" t="s">
        <v>35</v>
      </c>
    </row>
    <row r="24" spans="1:4" x14ac:dyDescent="0.35">
      <c r="A24" s="5" t="s">
        <v>36</v>
      </c>
      <c r="B24" s="9">
        <v>0.1294365113</v>
      </c>
      <c r="C24" s="2" t="s">
        <v>21</v>
      </c>
      <c r="D24" s="2" t="s">
        <v>37</v>
      </c>
    </row>
    <row r="25" spans="1:4" x14ac:dyDescent="0.35">
      <c r="A25" s="5" t="s">
        <v>38</v>
      </c>
      <c r="B25" s="9">
        <v>0</v>
      </c>
      <c r="C25" s="2" t="s">
        <v>39</v>
      </c>
      <c r="D25" s="2" t="s">
        <v>40</v>
      </c>
    </row>
    <row r="26" spans="1:4" x14ac:dyDescent="0.35">
      <c r="A26" s="5" t="s">
        <v>41</v>
      </c>
      <c r="B26" s="8">
        <f>B23/(B24-B25)</f>
        <v>14066.242322565851</v>
      </c>
      <c r="C26" s="2" t="s">
        <v>21</v>
      </c>
      <c r="D26" s="2"/>
    </row>
    <row r="27" spans="1:4" x14ac:dyDescent="0.35">
      <c r="A27" s="5" t="s">
        <v>42</v>
      </c>
      <c r="B27" s="7">
        <f>B26-B10</f>
        <v>13456.242322565851</v>
      </c>
      <c r="C27" s="2" t="s">
        <v>21</v>
      </c>
      <c r="D27" s="2"/>
    </row>
    <row r="28" spans="1:4" x14ac:dyDescent="0.35">
      <c r="A28" s="5"/>
      <c r="C28" s="2"/>
      <c r="D28" s="2"/>
    </row>
    <row r="29" spans="1:4" x14ac:dyDescent="0.35">
      <c r="A29" s="4" t="s">
        <v>43</v>
      </c>
      <c r="C29" s="2"/>
      <c r="D29" s="2"/>
    </row>
    <row r="30" spans="1:4" x14ac:dyDescent="0.35">
      <c r="A30" s="5" t="s">
        <v>44</v>
      </c>
      <c r="B30" s="6">
        <v>5697.1779999999999</v>
      </c>
      <c r="C30" s="2" t="s">
        <v>11</v>
      </c>
      <c r="D30" s="2" t="s">
        <v>45</v>
      </c>
    </row>
    <row r="31" spans="1:4" x14ac:dyDescent="0.35">
      <c r="A31" s="5" t="s">
        <v>46</v>
      </c>
      <c r="B31" s="7">
        <f>1515.25+2454+520.1</f>
        <v>4489.3500000000004</v>
      </c>
      <c r="C31" s="2" t="s">
        <v>21</v>
      </c>
      <c r="D31" s="2" t="s">
        <v>47</v>
      </c>
    </row>
    <row r="32" spans="1:4" x14ac:dyDescent="0.35">
      <c r="A32" s="5" t="s">
        <v>48</v>
      </c>
      <c r="B32" s="6">
        <v>6507</v>
      </c>
      <c r="C32" s="2" t="s">
        <v>11</v>
      </c>
      <c r="D32" s="2" t="s">
        <v>49</v>
      </c>
    </row>
    <row r="33" spans="1:4" x14ac:dyDescent="0.35">
      <c r="A33" s="5" t="s">
        <v>50</v>
      </c>
      <c r="B33" s="7">
        <f>B30*B31/B32</f>
        <v>3930.6325579068698</v>
      </c>
      <c r="C33" s="2" t="s">
        <v>21</v>
      </c>
      <c r="D33" s="2" t="s">
        <v>51</v>
      </c>
    </row>
    <row r="34" spans="1:4" x14ac:dyDescent="0.35">
      <c r="A34" s="5" t="s">
        <v>52</v>
      </c>
      <c r="B34" s="6">
        <v>8296.7009999999991</v>
      </c>
      <c r="C34" s="2" t="s">
        <v>11</v>
      </c>
      <c r="D34" s="2" t="s">
        <v>53</v>
      </c>
    </row>
    <row r="35" spans="1:4" x14ac:dyDescent="0.35">
      <c r="A35" s="5" t="s">
        <v>54</v>
      </c>
      <c r="B35" s="6">
        <v>1367.57</v>
      </c>
      <c r="C35" s="2" t="s">
        <v>11</v>
      </c>
      <c r="D35" s="2" t="s">
        <v>53</v>
      </c>
    </row>
    <row r="36" spans="1:4" x14ac:dyDescent="0.35">
      <c r="A36" s="5" t="s">
        <v>55</v>
      </c>
      <c r="B36" s="6">
        <v>514.83000000000004</v>
      </c>
      <c r="C36" s="2" t="s">
        <v>11</v>
      </c>
      <c r="D36" s="2" t="s">
        <v>56</v>
      </c>
    </row>
    <row r="37" spans="1:4" x14ac:dyDescent="0.35">
      <c r="A37" s="5" t="s">
        <v>57</v>
      </c>
      <c r="B37" s="6">
        <v>460.72399999999999</v>
      </c>
      <c r="C37" s="2" t="s">
        <v>11</v>
      </c>
      <c r="D37" s="2" t="s">
        <v>58</v>
      </c>
    </row>
    <row r="38" spans="1:4" x14ac:dyDescent="0.35">
      <c r="A38" s="5" t="s">
        <v>59</v>
      </c>
      <c r="B38" s="6">
        <v>0.378</v>
      </c>
      <c r="C38" s="2" t="s">
        <v>11</v>
      </c>
      <c r="D38" s="2" t="s">
        <v>58</v>
      </c>
    </row>
    <row r="39" spans="1:4" x14ac:dyDescent="0.35">
      <c r="A39" s="5" t="s">
        <v>60</v>
      </c>
      <c r="B39" s="6">
        <v>10640.203</v>
      </c>
      <c r="C39" s="2" t="s">
        <v>11</v>
      </c>
      <c r="D39" s="2" t="s">
        <v>58</v>
      </c>
    </row>
    <row r="40" spans="1:4" x14ac:dyDescent="0.35">
      <c r="A40" s="5" t="s">
        <v>61</v>
      </c>
      <c r="B40" s="7">
        <f>B34+B35+B36+B37+B38-B39</f>
        <v>0</v>
      </c>
      <c r="C40" s="2" t="s">
        <v>21</v>
      </c>
      <c r="D40" s="2"/>
    </row>
    <row r="41" spans="1:4" x14ac:dyDescent="0.35">
      <c r="A41" s="5" t="s">
        <v>62</v>
      </c>
      <c r="B41" s="9">
        <v>0.3</v>
      </c>
      <c r="C41" s="2" t="s">
        <v>39</v>
      </c>
      <c r="D41" s="2" t="s">
        <v>63</v>
      </c>
    </row>
    <row r="42" spans="1:4" x14ac:dyDescent="0.35">
      <c r="A42" s="5" t="s">
        <v>64</v>
      </c>
      <c r="B42" s="7">
        <f>B34+B35+(B36+B37)*(1-B41)+B38</f>
        <v>10347.5368</v>
      </c>
      <c r="C42" s="2" t="s">
        <v>21</v>
      </c>
      <c r="D42" s="2"/>
    </row>
    <row r="43" spans="1:4" x14ac:dyDescent="0.35">
      <c r="A43" s="5" t="s">
        <v>65</v>
      </c>
      <c r="B43" s="6">
        <v>676.07500000000005</v>
      </c>
      <c r="C43" s="2" t="s">
        <v>11</v>
      </c>
      <c r="D43" s="2" t="s">
        <v>66</v>
      </c>
    </row>
    <row r="44" spans="1:4" x14ac:dyDescent="0.35">
      <c r="A44" s="5" t="s">
        <v>67</v>
      </c>
      <c r="B44" s="6">
        <v>2517.9279999999999</v>
      </c>
      <c r="C44" s="2" t="s">
        <v>11</v>
      </c>
      <c r="D44" s="2" t="s">
        <v>68</v>
      </c>
    </row>
    <row r="45" spans="1:4" x14ac:dyDescent="0.35">
      <c r="A45" s="5" t="s">
        <v>69</v>
      </c>
      <c r="B45" s="6">
        <v>1753.547</v>
      </c>
      <c r="C45" s="2" t="s">
        <v>11</v>
      </c>
      <c r="D45" s="2" t="s">
        <v>66</v>
      </c>
    </row>
    <row r="46" spans="1:4" x14ac:dyDescent="0.35">
      <c r="A46" s="5" t="s">
        <v>70</v>
      </c>
      <c r="B46" s="6">
        <v>954.91600000000005</v>
      </c>
      <c r="C46" s="2" t="s">
        <v>11</v>
      </c>
      <c r="D46" s="2" t="s">
        <v>66</v>
      </c>
    </row>
    <row r="47" spans="1:4" x14ac:dyDescent="0.35">
      <c r="A47" s="5" t="s">
        <v>71</v>
      </c>
      <c r="B47" s="7">
        <f>B43+B44-B45-B46</f>
        <v>485.53999999999962</v>
      </c>
      <c r="C47" s="2" t="s">
        <v>21</v>
      </c>
      <c r="D47" s="2" t="s">
        <v>72</v>
      </c>
    </row>
    <row r="48" spans="1:4" x14ac:dyDescent="0.35">
      <c r="A48" s="5" t="s">
        <v>73</v>
      </c>
      <c r="B48" s="6">
        <v>12529.216</v>
      </c>
      <c r="C48" s="2" t="s">
        <v>11</v>
      </c>
      <c r="D48" s="2" t="s">
        <v>45</v>
      </c>
    </row>
    <row r="49" spans="1:4" x14ac:dyDescent="0.35">
      <c r="A49" s="5" t="s">
        <v>74</v>
      </c>
      <c r="B49" s="7">
        <f>B48-B39</f>
        <v>1889.0130000000008</v>
      </c>
      <c r="C49" s="2" t="s">
        <v>21</v>
      </c>
      <c r="D49" s="2"/>
    </row>
    <row r="50" spans="1:4" x14ac:dyDescent="0.35">
      <c r="A50" s="5" t="s">
        <v>75</v>
      </c>
      <c r="B50" s="6">
        <v>985</v>
      </c>
      <c r="C50" s="2" t="s">
        <v>11</v>
      </c>
      <c r="D50" s="2" t="s">
        <v>76</v>
      </c>
    </row>
    <row r="51" spans="1:4" x14ac:dyDescent="0.35">
      <c r="A51" s="5" t="s">
        <v>77</v>
      </c>
      <c r="B51" s="6">
        <v>1060</v>
      </c>
      <c r="C51" s="2" t="s">
        <v>11</v>
      </c>
      <c r="D51" s="2" t="s">
        <v>76</v>
      </c>
    </row>
    <row r="52" spans="1:4" x14ac:dyDescent="0.35">
      <c r="A52" s="5" t="s">
        <v>78</v>
      </c>
      <c r="B52" s="6">
        <v>270</v>
      </c>
      <c r="C52" s="2" t="s">
        <v>11</v>
      </c>
      <c r="D52" s="2" t="s">
        <v>76</v>
      </c>
    </row>
    <row r="53" spans="1:4" x14ac:dyDescent="0.35">
      <c r="A53" s="5" t="s">
        <v>79</v>
      </c>
      <c r="B53" s="7">
        <f>B49*B50/(B50+B51+B52)</f>
        <v>803.74851187905006</v>
      </c>
      <c r="C53" s="2" t="s">
        <v>21</v>
      </c>
      <c r="D53" s="2" t="s">
        <v>80</v>
      </c>
    </row>
    <row r="54" spans="1:4" x14ac:dyDescent="0.35">
      <c r="A54" s="5" t="s">
        <v>81</v>
      </c>
      <c r="B54" s="7">
        <f>B49*B51/(B50+B51+B52)</f>
        <v>864.94763714902854</v>
      </c>
      <c r="C54" s="2" t="s">
        <v>21</v>
      </c>
      <c r="D54" s="2" t="s">
        <v>82</v>
      </c>
    </row>
    <row r="55" spans="1:4" x14ac:dyDescent="0.35">
      <c r="A55" s="5" t="s">
        <v>83</v>
      </c>
      <c r="B55" s="9">
        <v>0.25</v>
      </c>
      <c r="C55" s="2" t="s">
        <v>39</v>
      </c>
      <c r="D55" s="2" t="s">
        <v>63</v>
      </c>
    </row>
    <row r="56" spans="1:4" x14ac:dyDescent="0.35">
      <c r="A56" s="5" t="s">
        <v>84</v>
      </c>
      <c r="B56" s="7">
        <f>B53*(1-B55)+B54*(1-B41)</f>
        <v>1208.2747299136076</v>
      </c>
      <c r="C56" s="2" t="s">
        <v>21</v>
      </c>
      <c r="D56" s="2"/>
    </row>
    <row r="57" spans="1:4" x14ac:dyDescent="0.35">
      <c r="A57" s="5" t="s">
        <v>85</v>
      </c>
      <c r="B57" s="8">
        <f>B33+B42+B47+B56</f>
        <v>15971.984087820478</v>
      </c>
      <c r="C57" s="2" t="s">
        <v>21</v>
      </c>
      <c r="D57" s="2"/>
    </row>
    <row r="58" spans="1:4" x14ac:dyDescent="0.35">
      <c r="A58" s="5" t="s">
        <v>86</v>
      </c>
      <c r="B58" s="6">
        <v>18135.18</v>
      </c>
      <c r="C58" s="2" t="s">
        <v>21</v>
      </c>
      <c r="D58" s="2" t="s">
        <v>87</v>
      </c>
    </row>
    <row r="59" spans="1:4" x14ac:dyDescent="0.35">
      <c r="A59" s="5" t="s">
        <v>88</v>
      </c>
      <c r="B59" s="7">
        <f>B57-B58</f>
        <v>-2163.1959121795226</v>
      </c>
      <c r="C59" s="2" t="s">
        <v>21</v>
      </c>
      <c r="D59" s="2"/>
    </row>
    <row r="60" spans="1:4" x14ac:dyDescent="0.35">
      <c r="A60" s="5"/>
      <c r="C60" s="2"/>
      <c r="D60" s="2"/>
    </row>
    <row r="61" spans="1:4" x14ac:dyDescent="0.35">
      <c r="A61" s="4" t="s">
        <v>89</v>
      </c>
      <c r="C61" s="2"/>
      <c r="D61" s="2"/>
    </row>
    <row r="62" spans="1:4" x14ac:dyDescent="0.35">
      <c r="A62" s="5" t="s">
        <v>90</v>
      </c>
      <c r="B62" s="6">
        <v>6532.9269999999997</v>
      </c>
      <c r="C62" s="2" t="s">
        <v>11</v>
      </c>
      <c r="D62" s="2" t="s">
        <v>91</v>
      </c>
    </row>
    <row r="63" spans="1:4" x14ac:dyDescent="0.35">
      <c r="A63" s="5" t="s">
        <v>92</v>
      </c>
      <c r="B63" s="6">
        <v>4304.744119</v>
      </c>
      <c r="C63" s="2" t="s">
        <v>11</v>
      </c>
      <c r="D63" s="2" t="s">
        <v>93</v>
      </c>
    </row>
    <row r="64" spans="1:4" x14ac:dyDescent="0.35">
      <c r="A64" s="5" t="s">
        <v>94</v>
      </c>
      <c r="B64" s="6">
        <v>20.184107999999998</v>
      </c>
      <c r="C64" s="2" t="s">
        <v>11</v>
      </c>
      <c r="D64" s="2" t="s">
        <v>95</v>
      </c>
    </row>
    <row r="65" spans="1:4" x14ac:dyDescent="0.35">
      <c r="A65" s="5" t="s">
        <v>96</v>
      </c>
      <c r="B65" s="7">
        <f>B63-B64</f>
        <v>4284.5600109999996</v>
      </c>
      <c r="C65" s="2" t="s">
        <v>21</v>
      </c>
      <c r="D65" s="2" t="s">
        <v>97</v>
      </c>
    </row>
    <row r="66" spans="1:4" x14ac:dyDescent="0.35">
      <c r="A66" s="5"/>
      <c r="C66" s="2"/>
      <c r="D66" s="2"/>
    </row>
    <row r="67" spans="1:4" x14ac:dyDescent="0.35">
      <c r="A67" s="4" t="s">
        <v>98</v>
      </c>
      <c r="C67" s="2"/>
      <c r="D67" s="2"/>
    </row>
    <row r="68" spans="1:4" x14ac:dyDescent="0.35">
      <c r="A68" s="5" t="s">
        <v>99</v>
      </c>
      <c r="B68" s="8">
        <f>B14+B26+B57-B62</f>
        <v>192888.29941038633</v>
      </c>
      <c r="C68" s="2" t="s">
        <v>21</v>
      </c>
      <c r="D68" s="2" t="s">
        <v>100</v>
      </c>
    </row>
    <row r="69" spans="1:4" x14ac:dyDescent="0.35">
      <c r="A69" s="5" t="s">
        <v>101</v>
      </c>
      <c r="B69" s="10">
        <f>B68/B65</f>
        <v>45.019394970585779</v>
      </c>
      <c r="C69" s="2" t="s">
        <v>21</v>
      </c>
      <c r="D69" s="2" t="s">
        <v>102</v>
      </c>
    </row>
    <row r="70" spans="1:4" x14ac:dyDescent="0.35">
      <c r="A70" s="5" t="s">
        <v>103</v>
      </c>
      <c r="B70" s="10">
        <f>(B57+B27)/B65</f>
        <v>6.8684360435688925</v>
      </c>
      <c r="C70" s="2" t="s">
        <v>21</v>
      </c>
      <c r="D70" s="2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Bridge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Alejandro Gaytan Ibarra</cp:lastModifiedBy>
  <dcterms:created xsi:type="dcterms:W3CDTF">2026-10-27T04:50:31Z</dcterms:created>
  <dcterms:modified xsi:type="dcterms:W3CDTF">2026-10-27T04:50:36Z</dcterms:modified>
</cp:coreProperties>
</file>