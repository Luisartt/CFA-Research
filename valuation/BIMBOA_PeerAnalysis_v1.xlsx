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BFB0E3C2-419E-499F-BA35-0C61FA4A4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rSheet" sheetId="1" r:id="rId1"/>
    <sheet name="PeerAnalysis" sheetId="2" r:id="rId2"/>
    <sheet name="Inputs_Sources" sheetId="3" r:id="rId3"/>
    <sheet name="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4" l="1"/>
  <c r="D54" i="4"/>
  <c r="F53" i="4"/>
  <c r="D53" i="4"/>
  <c r="F52" i="4"/>
  <c r="D52" i="4"/>
  <c r="F51" i="4"/>
  <c r="D51" i="4"/>
  <c r="F50" i="4"/>
  <c r="D50" i="4"/>
  <c r="B32" i="4"/>
  <c r="F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B25" i="4"/>
  <c r="C25" i="4" s="1"/>
  <c r="B10" i="4"/>
  <c r="B9" i="4"/>
  <c r="B8" i="4"/>
  <c r="B7" i="4"/>
  <c r="B6" i="4"/>
  <c r="B5" i="4"/>
  <c r="B77" i="2"/>
  <c r="J69" i="2"/>
  <c r="I69" i="2"/>
  <c r="G69" i="2"/>
  <c r="F69" i="2"/>
  <c r="B69" i="2"/>
  <c r="C69" i="2" s="1"/>
  <c r="D69" i="2" s="1"/>
  <c r="J68" i="2"/>
  <c r="I68" i="2"/>
  <c r="G68" i="2"/>
  <c r="F68" i="2"/>
  <c r="B68" i="2"/>
  <c r="C68" i="2" s="1"/>
  <c r="D68" i="2" s="1"/>
  <c r="J67" i="2"/>
  <c r="I67" i="2"/>
  <c r="G67" i="2"/>
  <c r="F67" i="2"/>
  <c r="B67" i="2"/>
  <c r="C67" i="2" s="1"/>
  <c r="D67" i="2" s="1"/>
  <c r="J66" i="2"/>
  <c r="I66" i="2"/>
  <c r="G66" i="2"/>
  <c r="F66" i="2"/>
  <c r="B66" i="2"/>
  <c r="C66" i="2" s="1"/>
  <c r="D66" i="2" s="1"/>
  <c r="J65" i="2"/>
  <c r="I65" i="2"/>
  <c r="G65" i="2"/>
  <c r="F65" i="2"/>
  <c r="B65" i="2"/>
  <c r="C65" i="2" s="1"/>
  <c r="D65" i="2" s="1"/>
  <c r="J64" i="2"/>
  <c r="I64" i="2"/>
  <c r="G64" i="2"/>
  <c r="F64" i="2"/>
  <c r="B64" i="2"/>
  <c r="C64" i="2" s="1"/>
  <c r="D64" i="2" s="1"/>
  <c r="J63" i="2"/>
  <c r="I63" i="2"/>
  <c r="G63" i="2"/>
  <c r="F63" i="2"/>
  <c r="B63" i="2"/>
  <c r="C63" i="2" s="1"/>
  <c r="D63" i="2" s="1"/>
  <c r="B62" i="2"/>
  <c r="C62" i="2" s="1"/>
  <c r="D62" i="2" s="1"/>
  <c r="J61" i="2"/>
  <c r="I61" i="2"/>
  <c r="G61" i="2"/>
  <c r="F61" i="2"/>
  <c r="B61" i="2"/>
  <c r="C61" i="2" s="1"/>
  <c r="D61" i="2" s="1"/>
  <c r="M60" i="2"/>
  <c r="L60" i="2"/>
  <c r="J60" i="2"/>
  <c r="I60" i="2"/>
  <c r="G60" i="2"/>
  <c r="F60" i="2"/>
  <c r="B60" i="2"/>
  <c r="C60" i="2" s="1"/>
  <c r="D60" i="2" s="1"/>
  <c r="F55" i="2"/>
  <c r="F52" i="2"/>
  <c r="E52" i="2"/>
  <c r="M48" i="2"/>
  <c r="L48" i="2"/>
  <c r="K48" i="2"/>
  <c r="J48" i="2"/>
  <c r="F48" i="2"/>
  <c r="E48" i="2"/>
  <c r="M47" i="2"/>
  <c r="L47" i="2"/>
  <c r="K47" i="2"/>
  <c r="J47" i="2"/>
  <c r="F47" i="2"/>
  <c r="E47" i="2"/>
  <c r="M46" i="2"/>
  <c r="L46" i="2"/>
  <c r="K46" i="2"/>
  <c r="J46" i="2"/>
  <c r="F46" i="2"/>
  <c r="E46" i="2"/>
  <c r="M45" i="2"/>
  <c r="L45" i="2"/>
  <c r="K45" i="2"/>
  <c r="J45" i="2"/>
  <c r="F45" i="2"/>
  <c r="E45" i="2"/>
  <c r="M44" i="2"/>
  <c r="L44" i="2"/>
  <c r="K44" i="2"/>
  <c r="J44" i="2"/>
  <c r="F44" i="2"/>
  <c r="E44" i="2"/>
  <c r="M43" i="2"/>
  <c r="L43" i="2"/>
  <c r="K43" i="2"/>
  <c r="J43" i="2"/>
  <c r="F43" i="2"/>
  <c r="E43" i="2"/>
  <c r="M42" i="2"/>
  <c r="L42" i="2"/>
  <c r="K42" i="2"/>
  <c r="J42" i="2"/>
  <c r="F42" i="2"/>
  <c r="E42" i="2"/>
  <c r="M41" i="2"/>
  <c r="L41" i="2"/>
  <c r="K41" i="2"/>
  <c r="J41" i="2"/>
  <c r="F41" i="2"/>
  <c r="E41" i="2"/>
  <c r="M40" i="2"/>
  <c r="L40" i="2"/>
  <c r="K40" i="2"/>
  <c r="J40" i="2"/>
  <c r="F40" i="2"/>
  <c r="E40" i="2"/>
  <c r="N34" i="2"/>
  <c r="M34" i="2"/>
  <c r="I34" i="2"/>
  <c r="H34" i="2"/>
  <c r="J34" i="2" s="1"/>
  <c r="G34" i="2"/>
  <c r="F34" i="2"/>
  <c r="D34" i="2"/>
  <c r="C34" i="2"/>
  <c r="B34" i="2"/>
  <c r="N33" i="2"/>
  <c r="M33" i="2"/>
  <c r="P33" i="2" s="1"/>
  <c r="I33" i="2"/>
  <c r="H33" i="2"/>
  <c r="G33" i="2"/>
  <c r="F33" i="2"/>
  <c r="D33" i="2"/>
  <c r="C33" i="2"/>
  <c r="B33" i="2"/>
  <c r="N32" i="2"/>
  <c r="M32" i="2"/>
  <c r="I32" i="2"/>
  <c r="H32" i="2"/>
  <c r="J32" i="2" s="1"/>
  <c r="G32" i="2"/>
  <c r="F32" i="2"/>
  <c r="D32" i="2"/>
  <c r="C32" i="2"/>
  <c r="B32" i="2"/>
  <c r="N31" i="2"/>
  <c r="M31" i="2"/>
  <c r="I31" i="2"/>
  <c r="H31" i="2"/>
  <c r="J31" i="2" s="1"/>
  <c r="O31" i="2" s="1"/>
  <c r="I45" i="2" s="1"/>
  <c r="G31" i="2"/>
  <c r="F31" i="2"/>
  <c r="D31" i="2"/>
  <c r="C31" i="2"/>
  <c r="B31" i="2"/>
  <c r="N30" i="2"/>
  <c r="M30" i="2"/>
  <c r="P30" i="2" s="1"/>
  <c r="I30" i="2"/>
  <c r="H30" i="2"/>
  <c r="J30" i="2" s="1"/>
  <c r="G30" i="2"/>
  <c r="F30" i="2"/>
  <c r="D30" i="2"/>
  <c r="C30" i="2"/>
  <c r="B30" i="2"/>
  <c r="N29" i="2"/>
  <c r="M29" i="2"/>
  <c r="P29" i="2" s="1"/>
  <c r="I29" i="2"/>
  <c r="H29" i="2"/>
  <c r="G29" i="2"/>
  <c r="F29" i="2"/>
  <c r="D29" i="2"/>
  <c r="C29" i="2"/>
  <c r="B29" i="2"/>
  <c r="N28" i="2"/>
  <c r="M28" i="2"/>
  <c r="H28" i="2"/>
  <c r="J28" i="2" s="1"/>
  <c r="G28" i="2"/>
  <c r="F28" i="2"/>
  <c r="D28" i="2"/>
  <c r="C28" i="2"/>
  <c r="B28" i="2"/>
  <c r="N27" i="2"/>
  <c r="M27" i="2"/>
  <c r="P27" i="2" s="1"/>
  <c r="I27" i="2"/>
  <c r="H27" i="2"/>
  <c r="G27" i="2"/>
  <c r="F27" i="2"/>
  <c r="D27" i="2"/>
  <c r="C27" i="2"/>
  <c r="B27" i="2"/>
  <c r="N26" i="2"/>
  <c r="M26" i="2"/>
  <c r="I26" i="2"/>
  <c r="H26" i="2"/>
  <c r="J26" i="2" s="1"/>
  <c r="G26" i="2"/>
  <c r="F26" i="2"/>
  <c r="D26" i="2"/>
  <c r="C26" i="2"/>
  <c r="B26" i="2"/>
  <c r="Q25" i="2"/>
  <c r="M20" i="2"/>
  <c r="L20" i="2"/>
  <c r="K20" i="2"/>
  <c r="J20" i="2"/>
  <c r="N20" i="2" s="1"/>
  <c r="G20" i="2"/>
  <c r="F20" i="2"/>
  <c r="N19" i="2"/>
  <c r="H19" i="2"/>
  <c r="G19" i="2"/>
  <c r="F19" i="2"/>
  <c r="M18" i="2"/>
  <c r="L18" i="2"/>
  <c r="K18" i="2"/>
  <c r="J18" i="2"/>
  <c r="N18" i="2" s="1"/>
  <c r="H46" i="2" s="1"/>
  <c r="G18" i="2"/>
  <c r="F18" i="2"/>
  <c r="M17" i="2"/>
  <c r="L17" i="2"/>
  <c r="K17" i="2"/>
  <c r="J17" i="2"/>
  <c r="N17" i="2" s="1"/>
  <c r="G17" i="2"/>
  <c r="F17" i="2"/>
  <c r="M16" i="2"/>
  <c r="L16" i="2"/>
  <c r="K16" i="2"/>
  <c r="J16" i="2"/>
  <c r="N16" i="2" s="1"/>
  <c r="G16" i="2"/>
  <c r="F16" i="2"/>
  <c r="M15" i="2"/>
  <c r="L15" i="2"/>
  <c r="K15" i="2"/>
  <c r="J15" i="2"/>
  <c r="N15" i="2" s="1"/>
  <c r="G15" i="2"/>
  <c r="F15" i="2"/>
  <c r="N14" i="2"/>
  <c r="H14" i="2"/>
  <c r="G14" i="2"/>
  <c r="F14" i="2"/>
  <c r="M13" i="2"/>
  <c r="L13" i="2"/>
  <c r="K13" i="2"/>
  <c r="J13" i="2"/>
  <c r="N13" i="2" s="1"/>
  <c r="H13" i="2"/>
  <c r="G13" i="2"/>
  <c r="F13" i="2"/>
  <c r="M12" i="2"/>
  <c r="L12" i="2"/>
  <c r="K12" i="2"/>
  <c r="J12" i="2"/>
  <c r="N12" i="2" s="1"/>
  <c r="H40" i="2" s="1"/>
  <c r="G12" i="2"/>
  <c r="F12" i="2"/>
  <c r="H11" i="2"/>
  <c r="G11" i="2"/>
  <c r="F11" i="2"/>
  <c r="G50" i="1"/>
  <c r="E50" i="1"/>
  <c r="D50" i="1"/>
  <c r="C50" i="1"/>
  <c r="J43" i="1"/>
  <c r="I43" i="1"/>
  <c r="H43" i="1"/>
  <c r="G43" i="1"/>
  <c r="F43" i="1"/>
  <c r="E43" i="1"/>
  <c r="D43" i="1"/>
  <c r="C43" i="1"/>
  <c r="G39" i="1"/>
  <c r="F39" i="1"/>
  <c r="E39" i="1"/>
  <c r="D39" i="1"/>
  <c r="C39" i="1"/>
  <c r="G34" i="1"/>
  <c r="F34" i="1"/>
  <c r="E34" i="1"/>
  <c r="D34" i="1"/>
  <c r="C34" i="1"/>
  <c r="G31" i="1"/>
  <c r="F31" i="1"/>
  <c r="E31" i="1"/>
  <c r="D31" i="1"/>
  <c r="C31" i="1"/>
  <c r="J23" i="1"/>
  <c r="I23" i="1"/>
  <c r="H23" i="1"/>
  <c r="G23" i="1"/>
  <c r="F23" i="1"/>
  <c r="E23" i="1"/>
  <c r="D23" i="1"/>
  <c r="C23" i="1"/>
  <c r="J20" i="1"/>
  <c r="I20" i="1"/>
  <c r="H20" i="1"/>
  <c r="G20" i="1"/>
  <c r="F20" i="1"/>
  <c r="E20" i="1"/>
  <c r="D20" i="1"/>
  <c r="C20" i="1"/>
  <c r="J17" i="1"/>
  <c r="I17" i="1"/>
  <c r="H17" i="1"/>
  <c r="G17" i="1"/>
  <c r="F17" i="1"/>
  <c r="E17" i="1"/>
  <c r="D17" i="1"/>
  <c r="C17" i="1"/>
  <c r="J13" i="1"/>
  <c r="I13" i="1"/>
  <c r="H13" i="1"/>
  <c r="G13" i="1"/>
  <c r="F13" i="1"/>
  <c r="E13" i="1"/>
  <c r="D13" i="1"/>
  <c r="C13" i="1"/>
  <c r="G10" i="1"/>
  <c r="F10" i="1"/>
  <c r="E10" i="1"/>
  <c r="D10" i="1"/>
  <c r="C10" i="1"/>
  <c r="J8" i="1"/>
  <c r="I8" i="1"/>
  <c r="H8" i="1"/>
  <c r="G8" i="1"/>
  <c r="F8" i="1"/>
  <c r="E8" i="1"/>
  <c r="D8" i="1"/>
  <c r="B36" i="4" s="1"/>
  <c r="J29" i="2" l="1"/>
  <c r="J33" i="2"/>
  <c r="P34" i="2"/>
  <c r="O34" i="2"/>
  <c r="I48" i="2" s="1"/>
  <c r="P32" i="2"/>
  <c r="O32" i="2"/>
  <c r="I46" i="2" s="1"/>
  <c r="P31" i="2"/>
  <c r="J27" i="2"/>
  <c r="O27" i="2" s="1"/>
  <c r="I41" i="2" s="1"/>
  <c r="O30" i="2"/>
  <c r="I44" i="2" s="1"/>
  <c r="P28" i="2"/>
  <c r="O28" i="2"/>
  <c r="I42" i="2" s="1"/>
  <c r="P26" i="2"/>
  <c r="O26" i="2"/>
  <c r="I40" i="2" s="1"/>
  <c r="O16" i="2"/>
  <c r="I17" i="2"/>
  <c r="R31" i="2"/>
  <c r="Q31" i="2"/>
  <c r="I16" i="2"/>
  <c r="G44" i="2" s="1"/>
  <c r="R30" i="2"/>
  <c r="Q30" i="2"/>
  <c r="I15" i="2"/>
  <c r="R29" i="2"/>
  <c r="Q29" i="2"/>
  <c r="E69" i="2"/>
  <c r="H69" i="2"/>
  <c r="K34" i="2" s="1"/>
  <c r="L34" i="2" s="1"/>
  <c r="K69" i="2"/>
  <c r="E34" i="2" s="1"/>
  <c r="B22" i="4"/>
  <c r="C22" i="4" s="1"/>
  <c r="E68" i="2"/>
  <c r="H68" i="2"/>
  <c r="K33" i="2" s="1"/>
  <c r="L33" i="2" s="1"/>
  <c r="K68" i="2"/>
  <c r="E33" i="2" s="1"/>
  <c r="B21" i="4"/>
  <c r="C21" i="4" s="1"/>
  <c r="E67" i="2"/>
  <c r="H67" i="2"/>
  <c r="K32" i="2" s="1"/>
  <c r="L32" i="2" s="1"/>
  <c r="K67" i="2"/>
  <c r="E32" i="2" s="1"/>
  <c r="B20" i="4"/>
  <c r="C20" i="4" s="1"/>
  <c r="E66" i="2"/>
  <c r="H66" i="2"/>
  <c r="K31" i="2" s="1"/>
  <c r="L31" i="2" s="1"/>
  <c r="C45" i="2" s="1"/>
  <c r="K66" i="2"/>
  <c r="E31" i="2" s="1"/>
  <c r="B19" i="4"/>
  <c r="C19" i="4" s="1"/>
  <c r="E65" i="2"/>
  <c r="H65" i="2"/>
  <c r="K30" i="2" s="1"/>
  <c r="L30" i="2" s="1"/>
  <c r="C44" i="2" s="1"/>
  <c r="K65" i="2"/>
  <c r="E30" i="2" s="1"/>
  <c r="B18" i="4"/>
  <c r="C18" i="4" s="1"/>
  <c r="E64" i="2"/>
  <c r="H64" i="2"/>
  <c r="K29" i="2" s="1"/>
  <c r="L29" i="2" s="1"/>
  <c r="C43" i="2" s="1"/>
  <c r="K64" i="2"/>
  <c r="E29" i="2" s="1"/>
  <c r="B17" i="4"/>
  <c r="C17" i="4" s="1"/>
  <c r="E63" i="2"/>
  <c r="E62" i="2"/>
  <c r="H62" i="2"/>
  <c r="K27" i="2" s="1"/>
  <c r="L27" i="2" s="1"/>
  <c r="K62" i="2"/>
  <c r="E27" i="2" s="1"/>
  <c r="B15" i="4"/>
  <c r="C15" i="4" s="1"/>
  <c r="E61" i="2"/>
  <c r="H61" i="2"/>
  <c r="K26" i="2" s="1"/>
  <c r="L26" i="2" s="1"/>
  <c r="K61" i="2"/>
  <c r="E26" i="2" s="1"/>
  <c r="B14" i="4"/>
  <c r="C14" i="4" s="1"/>
  <c r="E60" i="2"/>
  <c r="H60" i="2"/>
  <c r="K25" i="2" s="1"/>
  <c r="L25" i="2" s="1"/>
  <c r="F54" i="2"/>
  <c r="F50" i="2"/>
  <c r="F51" i="2"/>
  <c r="F53" i="2"/>
  <c r="E50" i="2"/>
  <c r="E54" i="2"/>
  <c r="E55" i="2"/>
  <c r="E51" i="2"/>
  <c r="E53" i="2"/>
  <c r="I52" i="2"/>
  <c r="I55" i="2"/>
  <c r="I50" i="2"/>
  <c r="I54" i="2"/>
  <c r="I53" i="2"/>
  <c r="I51" i="2"/>
  <c r="I20" i="2"/>
  <c r="R34" i="2"/>
  <c r="Q34" i="2"/>
  <c r="R33" i="2"/>
  <c r="I19" i="2"/>
  <c r="Q33" i="2"/>
  <c r="Q32" i="2"/>
  <c r="R32" i="2"/>
  <c r="I18" i="2"/>
  <c r="B45" i="2"/>
  <c r="D45" i="2"/>
  <c r="C7" i="4"/>
  <c r="D7" i="4" s="1"/>
  <c r="E7" i="4" s="1"/>
  <c r="F7" i="4" s="1"/>
  <c r="B44" i="2"/>
  <c r="D44" i="2"/>
  <c r="C6" i="4"/>
  <c r="D6" i="4" s="1"/>
  <c r="E6" i="4" s="1"/>
  <c r="F6" i="4" s="1"/>
  <c r="B43" i="2"/>
  <c r="D43" i="2"/>
  <c r="C10" i="4"/>
  <c r="D10" i="4" s="1"/>
  <c r="E10" i="4" s="1"/>
  <c r="F10" i="4" s="1"/>
  <c r="Q28" i="2"/>
  <c r="I14" i="2"/>
  <c r="R28" i="2"/>
  <c r="I13" i="2"/>
  <c r="Q27" i="2"/>
  <c r="R27" i="2"/>
  <c r="R26" i="2"/>
  <c r="Q26" i="2"/>
  <c r="I12" i="2"/>
  <c r="D25" i="2"/>
  <c r="L11" i="2"/>
  <c r="M11" i="2"/>
  <c r="M25" i="2"/>
  <c r="P25" i="2" s="1"/>
  <c r="G25" i="2"/>
  <c r="B25" i="2"/>
  <c r="H25" i="2"/>
  <c r="J25" i="2" s="1"/>
  <c r="K11" i="2"/>
  <c r="N25" i="2"/>
  <c r="F25" i="2"/>
  <c r="J11" i="2"/>
  <c r="N11" i="2" s="1"/>
  <c r="C25" i="2"/>
  <c r="I11" i="2"/>
  <c r="E39" i="2"/>
  <c r="B73" i="2"/>
  <c r="H48" i="2"/>
  <c r="H45" i="2"/>
  <c r="H44" i="2"/>
  <c r="H42" i="2"/>
  <c r="H41" i="2"/>
  <c r="G45" i="2" l="1"/>
  <c r="O17" i="2"/>
  <c r="G43" i="2"/>
  <c r="O15" i="2"/>
  <c r="O29" i="2"/>
  <c r="I43" i="2" s="1"/>
  <c r="H43" i="2"/>
  <c r="O33" i="2"/>
  <c r="I47" i="2" s="1"/>
  <c r="H47" i="2"/>
  <c r="K60" i="2"/>
  <c r="E25" i="2" s="1"/>
  <c r="N60" i="2"/>
  <c r="R25" i="2" s="1"/>
  <c r="F39" i="2" s="1"/>
  <c r="B13" i="4"/>
  <c r="C13" i="4" s="1"/>
  <c r="O20" i="2"/>
  <c r="G48" i="2"/>
  <c r="G47" i="2"/>
  <c r="O19" i="2"/>
  <c r="O18" i="2"/>
  <c r="G46" i="2"/>
  <c r="G42" i="2"/>
  <c r="O14" i="2"/>
  <c r="O13" i="2"/>
  <c r="G41" i="2"/>
  <c r="G40" i="2"/>
  <c r="O12" i="2"/>
  <c r="O25" i="2"/>
  <c r="I39" i="2" s="1"/>
  <c r="B76" i="2"/>
  <c r="H39" i="2"/>
  <c r="B74" i="2"/>
  <c r="O11" i="2"/>
  <c r="G39" i="2"/>
  <c r="H63" i="2"/>
  <c r="K28" i="2" s="1"/>
  <c r="L28" i="2" s="1"/>
  <c r="K63" i="2"/>
  <c r="E28" i="2" s="1"/>
  <c r="B16" i="4"/>
  <c r="C16" i="4" s="1"/>
  <c r="H51" i="2"/>
  <c r="H52" i="2" l="1"/>
  <c r="H53" i="2"/>
  <c r="H50" i="2"/>
  <c r="H54" i="2"/>
  <c r="H55" i="2"/>
  <c r="B48" i="2"/>
  <c r="C48" i="2"/>
  <c r="D48" i="2"/>
  <c r="C9" i="4"/>
  <c r="D9" i="4" s="1"/>
  <c r="E9" i="4" s="1"/>
  <c r="F9" i="4" s="1"/>
  <c r="B47" i="2"/>
  <c r="C47" i="2"/>
  <c r="D47" i="2"/>
  <c r="B46" i="2"/>
  <c r="C46" i="2"/>
  <c r="D46" i="2"/>
  <c r="C8" i="4"/>
  <c r="D8" i="4" s="1"/>
  <c r="E8" i="4" s="1"/>
  <c r="F8" i="4" s="1"/>
  <c r="B42" i="2"/>
  <c r="C42" i="2"/>
  <c r="D42" i="2"/>
  <c r="B41" i="2"/>
  <c r="C41" i="2"/>
  <c r="D41" i="2"/>
  <c r="G51" i="2"/>
  <c r="G53" i="2"/>
  <c r="G50" i="2"/>
  <c r="G55" i="2"/>
  <c r="G54" i="2"/>
  <c r="G52" i="2"/>
  <c r="B40" i="2"/>
  <c r="C40" i="2"/>
  <c r="D40" i="2"/>
  <c r="C5" i="4"/>
  <c r="B75" i="2"/>
  <c r="B78" i="2"/>
  <c r="B79" i="2"/>
  <c r="B80" i="2"/>
  <c r="B39" i="2"/>
  <c r="C39" i="2"/>
  <c r="D39" i="2"/>
  <c r="B52" i="2" l="1"/>
  <c r="B50" i="2"/>
  <c r="B55" i="2"/>
  <c r="B51" i="2"/>
  <c r="B54" i="2"/>
  <c r="B53" i="2"/>
  <c r="C54" i="2"/>
  <c r="C50" i="2"/>
  <c r="C51" i="2"/>
  <c r="C55" i="2"/>
  <c r="C53" i="2"/>
  <c r="C52" i="2"/>
  <c r="D52" i="2"/>
  <c r="D50" i="2"/>
  <c r="D55" i="2"/>
  <c r="D51" i="2"/>
  <c r="D54" i="2"/>
  <c r="D53" i="2"/>
  <c r="D5" i="4"/>
  <c r="B35" i="4" l="1"/>
  <c r="E5" i="4"/>
  <c r="F5" i="4" s="1"/>
  <c r="B37" i="4" s="1"/>
</calcChain>
</file>

<file path=xl/sharedStrings.xml><?xml version="1.0" encoding="utf-8"?>
<sst xmlns="http://schemas.openxmlformats.org/spreadsheetml/2006/main" count="3190" uniqueCount="910">
  <si>
    <t>TearSheet: Grupo Bimbo, S.A.B. de C.V. (BMV:BIMBO A), MXN millions unless stated</t>
  </si>
  <si>
    <t>Actuals: CIQ quarterly CSVs (sum of quarters; FY2021 restated) with company annual values where the CSV lacks Q4 2024 (flagged). FY2026E-FY2028E: CIQ consensus mean (20-Sep-2026). Adjusted EBITDA is the company IFRS 16 figure; CIQ EBITDA is standardised and sits after lease depreciation.</t>
  </si>
  <si>
    <t>Tags: sourced = CIQ CSV or company filing; calc = computed here; consensus = CIQ mean estimate; memo rows are not used in valuation except where stated.</t>
  </si>
  <si>
    <t>Line item</t>
  </si>
  <si>
    <t>Unit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</si>
  <si>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</si>
  <si>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</si>
  <si>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</si>
  <si>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</si>
  <si>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</si>
  <si>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</si>
  <si>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</si>
  <si>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</si>
  <si>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Tag</t>
  </si>
  <si>
    <t>Source / note</t>
  </si>
  <si>
    <t>Income statement</t>
  </si>
  <si>
    <t>Total revenue</t>
  </si>
  <si>
    <t>MXN m</t>
  </si>
  <si>
    <t>sourced / consensus</t>
  </si>
  <si>
    <t>CSV income_statement 'Total Revenue' (FY2021 restated = 338,792); FY2024 company annual (4Q24 missing in CSV; wiki/Financials/bimbo-income-statement-fy21-fy25.md s.1); FY26E-28E consensus.csv Revenue mean</t>
  </si>
  <si>
    <t>Revenue growth YoY</t>
  </si>
  <si>
    <t>%</t>
  </si>
  <si>
    <t>calc</t>
  </si>
  <si>
    <t>Gross profit</t>
  </si>
  <si>
    <t>sourced</t>
  </si>
  <si>
    <t>CSV 'Gross Profit' (CIQ basis; company FY24 214,928; company FY25 223,487 differs by 0.3%)</t>
  </si>
  <si>
    <t>Gross margin</t>
  </si>
  <si>
    <t>Gross margin, consensus mean</t>
  </si>
  <si>
    <t>consensus</t>
  </si>
  <si>
    <t>consensus.csv Gross Margin (%) mean</t>
  </si>
  <si>
    <t>SG&amp;A (selling, general and administrative)</t>
  </si>
  <si>
    <t>CSV 'Selling General &amp; Admin Exp.' (CIQ basis); FY2024 company general expenses 175,164; FY26E-28E consensus mean</t>
  </si>
  <si>
    <t>SG&amp;A / sales</t>
  </si>
  <si>
    <t>Total operating expenses, CIQ basis</t>
  </si>
  <si>
    <t>CSV 'Other Operating Exp., Total'; FY2024 company total operating expenses (wiki s.1)</t>
  </si>
  <si>
    <t>EBIT, CIQ standardised</t>
  </si>
  <si>
    <t>CSV 'Operating Income' (sum of quarters); not like-for-like with company operating income (see next row); FY2024 CSV Q4 missing</t>
  </si>
  <si>
    <t>Operating income, company basis (FY26E-28E: consensus EBIT)</t>
  </si>
  <si>
    <t>Company FY21 restated 32,580 and FY22 53,696 incl. MEPP/Ricolino one-offs (wiki s.1); consensus.csv EBIT is company basis (FY25A 34,146)</t>
  </si>
  <si>
    <t>Operating margin, company basis</t>
  </si>
  <si>
    <t>EBITDA, CIQ standardised (after lease depreciation)</t>
  </si>
  <si>
    <t>CSV 'EBITDA' (sum of quarters); about 6 bn below company Adj. EBITDA (ROU depreciation); not the valuation basis</t>
  </si>
  <si>
    <t>Adjusted EBITDA, company, IFRS 16 (valuation basis)</t>
  </si>
  <si>
    <t>Company Adj. EBITDA FY21 restated, FY22-25 (wiki s.1; FY24 55,473 vs 55,474 in releases); FY26E-28E consensus EBITDA mean (same definition, FY25A 59,456)</t>
  </si>
  <si>
    <t>Adjusted EBITDA margin</t>
  </si>
  <si>
    <t>Pre-tax profit (continuing)</t>
  </si>
  <si>
    <t>CSV 'EBT Incl. Unusual Items' (FY2024 company 21,034); FY26E-28E consensus EBT normalised mean</t>
  </si>
  <si>
    <t>Net income to majority</t>
  </si>
  <si>
    <t>CSV 'NI to Common Incl Extra Items' (FY2024 company 12,544); FY26E-28E consensus net income normalised mean</t>
  </si>
  <si>
    <t>Net margin</t>
  </si>
  <si>
    <t>EPS, basic, total (E = consensus normalised EPS mean)</t>
  </si>
  <si>
    <t>MXN/share</t>
  </si>
  <si>
    <t>Company basic EPS total (wiki s.1); consensus.csv 'EPS Normalized' mean FY26E-28E (3.07 / 3.35 / 3.80)</t>
  </si>
  <si>
    <t>DPS declared for the fiscal year (E = consensus mean)</t>
  </si>
  <si>
    <t>Company declared DPS (wiki s.1). CIQ actual DPS differs for FY21-FY23 (memo row below)</t>
  </si>
  <si>
    <t>DPS, CIQ actual (memo; timing differs)</t>
  </si>
  <si>
    <t>consensus.csv 'Dividend per share' Actual (A); see Checks</t>
  </si>
  <si>
    <t>Balance sheet (fiscal year-end; CSV Q4)</t>
  </si>
  <si>
    <t>Cash and short-term investments</t>
  </si>
  <si>
    <t>CSV balance_sheet 'Cash &amp; Short-term Investments' Q4</t>
  </si>
  <si>
    <t>Total current assets</t>
  </si>
  <si>
    <t>CSV 'Total Current Assets' Q4</t>
  </si>
  <si>
    <t>Total assets</t>
  </si>
  <si>
    <t>CSV 'Total Assets' Q4</t>
  </si>
  <si>
    <t>Non-current assets (total assets less current assets)</t>
  </si>
  <si>
    <t>Total current liabilities</t>
  </si>
  <si>
    <t>CSV 'Total Current Liabilities' Q4</t>
  </si>
  <si>
    <t>Total liabilities (excl. NCI)</t>
  </si>
  <si>
    <t>CSV 'Total Liabilities' Q4</t>
  </si>
  <si>
    <t>Non-current liabilities (total liabilities less current)</t>
  </si>
  <si>
    <t>Total equity incl. NCI</t>
  </si>
  <si>
    <t>CSV 'Total Equity' Q4</t>
  </si>
  <si>
    <t>Total debt incl. IFRS 16 leases (CIQ)</t>
  </si>
  <si>
    <t>CSV 'Total Debt' Q4 (= financial debt + lease liabilities)</t>
  </si>
  <si>
    <t>Net debt incl. IFRS 16 leases (CIQ)</t>
  </si>
  <si>
    <t>CSV 'Net Debt' Q4</t>
  </si>
  <si>
    <t>Net debt ex-IFRS 16 (company; memo)</t>
  </si>
  <si>
    <t>Company, RA25 p.299 and wiki; FY21 84,107 (wiki cross-source); FY22 71,741 from consensus.csv 'Net Debt' actual (basis unconfirmed)</t>
  </si>
  <si>
    <t>Net debt incl. leases / Adjusted EBITDA</t>
  </si>
  <si>
    <t>x</t>
  </si>
  <si>
    <t>Cash flow</t>
  </si>
  <si>
    <t>Cash from operations</t>
  </si>
  <si>
    <t>CSV 'Cash from Ops.' FY22, FY23, FY25; FY21 and FY24 from company (wiki cash-flow article; CSV quarter missing). Consensus CFO actuals differ for FY23/FY24 (see Checks)</t>
  </si>
  <si>
    <t>Capital expenditure</t>
  </si>
  <si>
    <t>CSV 'Capital Expenditure' FY22, FY23, FY25; FY21 and FY24 company (wiki); FY26E-28E consensus mean (sign flipped)</t>
  </si>
  <si>
    <t>Capex / sales</t>
  </si>
  <si>
    <t>Cash from investing</t>
  </si>
  <si>
    <t>sourced / calc</t>
  </si>
  <si>
    <t>CSV 'Cash from Investing' FY22, FY23, FY25; FY24 = sum of company investing lines (wiki cash-flow article, incl. residual that ties to CFI) [calc]</t>
  </si>
  <si>
    <t>Cash from financing</t>
  </si>
  <si>
    <t>CSV 'Cash from Financing'; FY21 and FY24 not available (CSV quarter missing; company totals not in wiki)</t>
  </si>
  <si>
    <t>Change in working capital, CIQ basis</t>
  </si>
  <si>
    <t>CSV 'Change in Net Working Capital' (CIQ definition; sign and size differ from company lines, see memo)</t>
  </si>
  <si>
    <t>Change in working capital, company lines (memo)</t>
  </si>
  <si>
    <t>wiki/Financials/bimbo-cash-flow-and-fcf.md (six working-capital lines); not used in valuation</t>
  </si>
  <si>
    <t>Levered free cash flow, CIQ (memo)</t>
  </si>
  <si>
    <t>CSV 'Levered Free Cash Flow' (CIQ definition; memo only)</t>
  </si>
  <si>
    <t>Margins and ratios (calc from the rows above)</t>
  </si>
  <si>
    <t>EBITDA margin, CIQ standardised</t>
  </si>
  <si>
    <t>PeerAnalysis: Grupo Bimbo vs bakery and packaged-food peers (USD m unless stated)</t>
  </si>
  <si>
    <t>Pricing date 16-Oct-2026 (CIQ 15/16-Oct-2026). Forward horizon: NTM from 16-Oct-2026, calendarised from each company's fiscal-year consensus by day weights (block D).</t>
  </si>
  <si>
    <t>EV claim basis (one basis for all eligible peers and for Bimbo): EV = market cap + financial debt (incl. finance leases) + lease liabilities (operating or IFRS 16) + NCI at book incl. redeemable NCI - cash. Pensions/OPEB, MEPP and derivatives are excluded for every company (not sourced for all eligible peers).</t>
  </si>
  <si>
    <t>Lease basis: IFRS 16-equivalent. EBITDA is before operating lease cost: US GAAP peers add back operating lease cost (LTM; held flat for NTM) because EV includes their operating lease liabilities. Peers without a reconciled basis are shown but excluded from medians.</t>
  </si>
  <si>
    <t>Bimbo: company Adjusted EBITDA (IFRS 16, 60,919) includes consolidated BBU independent-operator earnings (profit to NCI per coordinator); NCI is taken at book (722), which understates the NCI claim if that profit is attributed to NCI. Model-basis EBIT + D&amp;A is shown as a memo (block D).</t>
  </si>
  <si>
    <t>Bimbo price MXN 58.60 and shares 4,294.9m are coordinator-supplied (unverified here). USD columns convert at 17.46 MXN/USD for size only; multiples are computed in MXN.</t>
  </si>
  <si>
    <t>P/E for peers = CIQ multiples tool (NTM / LTM); EPS derived as price / P/E. Gross profit and price performance are not in the CIQ pull (blank = not retrieved, never zero).</t>
  </si>
  <si>
    <t>Medians and means use only peers with in-median flag = yes (AGGREGATE / SUMPRODUCT formulas; n/a cells are ignored). Core = Flowers, Gruma, Yamazaki, Aryzta; at present Yamazaki and Aryzta are excluded (basis not established).</t>
  </si>
  <si>
    <t>A. Market data and enterprise value on the claim basis</t>
  </si>
  <si>
    <t>Company</t>
  </si>
  <si>
    <t>Ticker</t>
  </si>
  <si>
    <t>Group</t>
  </si>
  <si>
    <t>Price currency</t>
  </si>
  <si>
    <t>Reporting currency</t>
  </si>
  <si>
    <t>Price (local)</t>
  </si>
  <si>
    <t>Shares (m)</t>
  </si>
  <si>
    <t>FX local to USD</t>
  </si>
  <si>
    <t>Market cap (USD m)</t>
  </si>
  <si>
    <t>Financial debt incl. finance leases (USD m)</t>
  </si>
  <si>
    <t>Lease liabilities, operating / IFRS 16 (USD m)</t>
  </si>
  <si>
    <t>NCI at book incl. redeemable (USD m)</t>
  </si>
  <si>
    <t>Cash (USD m)</t>
  </si>
  <si>
    <t>Net debt, claim basis (USD m)</t>
  </si>
  <si>
    <t>EV, claim basis (USD m)</t>
  </si>
  <si>
    <t>In median: valuation (yes/no)</t>
  </si>
  <si>
    <t>In median: P/E (yes/no)</t>
  </si>
  <si>
    <t>EV claim basis (categories included and excluded)</t>
  </si>
  <si>
    <t>Distributor / IO earnings in EBITDA?</t>
  </si>
  <si>
    <t>Eligibility notes</t>
  </si>
  <si>
    <t>Grupo Bimbo, S.A.B. de C.V. (subject)</t>
  </si>
  <si>
    <t>BMV:BIMBO A</t>
  </si>
  <si>
    <t>Subject</t>
  </si>
  <si>
    <t>MXN</t>
  </si>
  <si>
    <t>subject</t>
  </si>
  <si>
    <t>Financial debt 153,660 + IFRS 16 lease liabilities 33,361 + NCI at book 722 - cash 16,563 (MXN m, 30-Jun-2026). Excludes MEPP, pensions/OPEB and derivatives.</t>
  </si>
  <si>
    <t>Yes: BBU independent operators (US route partners) are consolidated structured entities (RA25 p.249-250); their profit to NCI is the coordinator's statement, not confirmed in the wiki (FY25 NCI profit share 1,813).</t>
  </si>
  <si>
    <t>Subject. Price and shares are coordinator-supplied (unverified). EBITDA includes consolidated IO earnings.</t>
  </si>
  <si>
    <t>Flowers Foods, Inc.</t>
  </si>
  <si>
    <t>NYSE:FLO</t>
  </si>
  <si>
    <t>Core</t>
  </si>
  <si>
    <t>USD</t>
  </si>
  <si>
    <t>yes</t>
  </si>
  <si>
    <t>Financial debt 1,686.2 (current 399.9, non-current 1,286.4; no finance leases tagged) + operating lease liabilities 317.1 (75.2 + 241.9) + NCI nil (no minority interest reported) - cash 52.8. CIQ total debt is 2,007.8, 4.5 above these components (not added).</t>
  </si>
  <si>
    <t>No: independent distributors not consolidated (coordinator statement; not re-verified in this session)</t>
  </si>
  <si>
    <t>US GAAP, lease basis reconciled: CIQ debt 2,007.8 vs financial debt 1,686.2 + operating leases 317.1 (-0.2%); EBITDA + LTM operating lease cost 91.8; NTM add-back held flat [assumption]</t>
  </si>
  <si>
    <t>Gruma, S.A.B. de C.V.</t>
  </si>
  <si>
    <t>BMV:GRUMA B</t>
  </si>
  <si>
    <t>no</t>
  </si>
  <si>
    <t>Bank loans, carrying (ST 365.2 + LT 1,333.4) + IFRS 16 lease liabilities 413.2 (current 52.8, non-current 360.4) + NCI 2.8 - cash 483.6. Reports in USD.</t>
  </si>
  <si>
    <t>Not checked</t>
  </si>
  <si>
    <t>IFRS 16 reporter, USD statements: debt and IFRS 16 leases reconciled to CIQ (2,112); EBITDA before lease costs (inferred); price is a delayed quote (unverified); no EBITDA consensus, so LTM medians only</t>
  </si>
  <si>
    <t>Yamazaki Baking Co., Ltd.</t>
  </si>
  <si>
    <t>TSE:2212</t>
  </si>
  <si>
    <t>JPY</t>
  </si>
  <si>
    <t>n/a</t>
  </si>
  <si>
    <t>Not built: shares, NCI and lease split not sourced, so no EV on the claim basis</t>
  </si>
  <si>
    <t>J-GAAP: operating lease obligations not established (FY25 yuho unreadable); shares and NCI not found; EV not built; excluded from medians</t>
  </si>
  <si>
    <t>ARYZTA AG</t>
  </si>
  <si>
    <t>SWX:ARYN</t>
  </si>
  <si>
    <t>EUR</t>
  </si>
  <si>
    <t>CIQ basis, NOT verified: total debt 986.9 (lease split not verified) + CIQ EV residual -17.4 (unexplained; NCI not found) - cash 85.0. Descriptive only.</t>
  </si>
  <si>
    <t>IFRS 16 reporter: lease split, share count and NCI not verified (H1-26 report unreadable); CIQ values shown descriptively; excluded from medians</t>
  </si>
  <si>
    <t>The J. M. Smucker Company</t>
  </si>
  <si>
    <t>NYSE:SJM</t>
  </si>
  <si>
    <t>Secondary</t>
  </si>
  <si>
    <t>Financial debt 6,737.8 (ST borrowings 193.5, current LTD 150.0, LTD 6,394.3) + finance leases 9.6 + operating lease liabilities 192.8 + NCI nil (not reported) - cash 43.2. Ties exactly to CIQ EV.</t>
  </si>
  <si>
    <t>US GAAP, lease basis reconciled (exact tie incl. finance leases 9.6); EBITDA + operating lease cost 46.9; in EV medians; excluded from P/E medians (depressed earnings, assumption)</t>
  </si>
  <si>
    <t>The Campbell's Company</t>
  </si>
  <si>
    <t>NasdaqGS:CPB</t>
  </si>
  <si>
    <t>Financial debt 7,053.0 + finance leases 84.0 + operating lease liabilities 313.0 + NCI 2.0 + redeemable NCI (mezzanine) 304.0 - cash 394.0. Ties to CIQ EV including the 306 residual.</t>
  </si>
  <si>
    <t>US GAAP, lease basis reconciled (exact tie); EBITDA + operating lease cost 114.0; EV includes redeemable NCI 304 (mezzanine) and NCI 2</t>
  </si>
  <si>
    <t>Mondelez International, Inc.</t>
  </si>
  <si>
    <t>NasdaqGS:MDLZ</t>
  </si>
  <si>
    <t>Financial debt 21,450 (includes finance leases, not separated at 30-Jun-26; 423 at 31-Dec-25) + noncurrent operating lease liabilities 609 (current portion not found; 164 at 31-Dec-25) + NCI 53 - cash 1,716. Ties to CIQ EV.</t>
  </si>
  <si>
    <t>US GAAP, lease basis reconciled on noncurrent leases (exact tie); current lease portion not found at 30-Jun-2026; EBITDA + FY25 operating lease cost 246 (LTM 10-Q not found) [assumption]</t>
  </si>
  <si>
    <t>Arca Continental, S.A.B. de C.V.</t>
  </si>
  <si>
    <t>BMV:AC</t>
  </si>
  <si>
    <t>IFRS 16 reporter: shares, NCI and lease split not found; price is an aggregator quote; EV not built; excluded from medians (CIQ tool 8.47x for audit only)</t>
  </si>
  <si>
    <t>PepsiCo, Inc.</t>
  </si>
  <si>
    <t>NasdaqGS:PEP</t>
  </si>
  <si>
    <t>Financial debt 51,881 (= CIQ total debt; finance leases not separated) + operating lease liabilities 3,846 (27-Dec-2025 10-K; Sep-2026 not found; CIQ excludes leases) + NCI 195 - cash 10,675. CIQ net debt (40,718) deducts a further 488 that is not cash and is not used.</t>
  </si>
  <si>
    <t>Not checked (franchise bottler consolidation not verified)</t>
  </si>
  <si>
    <t>US GAAP: CIQ debt excludes operating leases; EV adds 3,846 (27-Dec-2025 10-K; Sep-2026 not found) [assumption]; EBITDA + FY25 operating lease cost 880 [assumption]</t>
  </si>
  <si>
    <t>B. Financials (USD m; Bimbo converted at the MXN display rate)</t>
  </si>
  <si>
    <t>Revenue FY2024</t>
  </si>
  <si>
    <t>Revenue FY2025</t>
  </si>
  <si>
    <t>Revenue LTM</t>
  </si>
  <si>
    <t>Revenue NTM (calendarised)</t>
  </si>
  <si>
    <t>EBITDA FY2024 (reported)</t>
  </si>
  <si>
    <t>EBITDA FY2025 (reported)</t>
  </si>
  <si>
    <t>EBITDA LTM (reported)</t>
  </si>
  <si>
    <t>Operating lease cost add-back, LTM</t>
  </si>
  <si>
    <t>EBITDA LTM, IFRS 16-equivalent</t>
  </si>
  <si>
    <t>EBITDA NTM (reported, calendarised)</t>
  </si>
  <si>
    <t>EBITDA NTM, IFRS 16-equivalent</t>
  </si>
  <si>
    <t>Gross profit LTM</t>
  </si>
  <si>
    <t>Levered FCF LTM</t>
  </si>
  <si>
    <t>EBITDA margin LTM (IFRS 16-eq.)</t>
  </si>
  <si>
    <t>Gross margin LTM</t>
  </si>
  <si>
    <t>EPS LTM (local)</t>
  </si>
  <si>
    <t>EPS NTM (local)</t>
  </si>
  <si>
    <t>Grupo Bimbo (subject)</t>
  </si>
  <si>
    <t>C. Valuation (EV on the claim basis; IFRS 16-equivalent EBITDA; medians over eligible peers)</t>
  </si>
  <si>
    <t>EV/EBITDA LTM (x)</t>
  </si>
  <si>
    <t>EV/EBITDA NTM (x)</t>
  </si>
  <si>
    <t>EV/Sales LTM (x)</t>
  </si>
  <si>
    <t>P/E LTM (x)</t>
  </si>
  <si>
    <t>P/E NTM (x)</t>
  </si>
  <si>
    <t>FCF yield LTM (levered, %)</t>
  </si>
  <si>
    <t>Net debt / EBITDA LTM (x, claim basis)</t>
  </si>
  <si>
    <t>EBITDA margin LTM (%)</t>
  </si>
  <si>
    <t>CIQ tool EV/EBITDA LTM (audit)</t>
  </si>
  <si>
    <t>CIQ tool EV/EBITDA NTM (audit)</t>
  </si>
  <si>
    <t>CIQ tool P/E LTM (audit)</t>
  </si>
  <si>
    <t>CIQ tool P/E NTM (audit)</t>
  </si>
  <si>
    <t>Notes</t>
  </si>
  <si>
    <t>Bimbo on the same claim basis (block D memo gives the model-basis EBIT + D&amp;A multiple)</t>
  </si>
  <si>
    <t>CIQ tool values are audit only; EV-based multiples use the claim-basis EV</t>
  </si>
  <si>
    <t>Statistics (valuation metrics)</t>
  </si>
  <si>
    <t>Core median (eligible peers)</t>
  </si>
  <si>
    <t>Core mean (eligible peers)</t>
  </si>
  <si>
    <t>Core: number of eligible peers</t>
  </si>
  <si>
    <t>All-peer median (eligible peers)</t>
  </si>
  <si>
    <t>All-peer mean (eligible peers)</t>
  </si>
  <si>
    <t>All-peer: number of eligible peers</t>
  </si>
  <si>
    <t>D. Calendarisation to NTM from 16-Oct-2026 (local currency; weights from fiscal year-end dates)</t>
  </si>
  <si>
    <t>FY1 year end (contains pricing date)</t>
  </si>
  <si>
    <t>Days from pricing date to FY1 end (incl.)</t>
  </si>
  <si>
    <t>Weight FY1</t>
  </si>
  <si>
    <t>Weight FY2</t>
  </si>
  <si>
    <t>EBITDA FY1 (local m)</t>
  </si>
  <si>
    <t>EBITDA FY2 (local m)</t>
  </si>
  <si>
    <t>EBITDA NTM (local m)</t>
  </si>
  <si>
    <t>Revenue FY1 (local m)</t>
  </si>
  <si>
    <t>Revenue FY2 (local m)</t>
  </si>
  <si>
    <t>Revenue NTM (local m)</t>
  </si>
  <si>
    <t>EPS FY1 (local)</t>
  </si>
  <si>
    <t>EPS FY2 (local)</t>
  </si>
  <si>
    <t>Grupo Bimbo (MXN)</t>
  </si>
  <si>
    <t>FY1 = FY2026E, FY2 = FY2027E (CIQ consensus mean, MXN, 20-Sep-2026)</t>
  </si>
  <si>
    <t>CIQ consensus in USD; CIQ conversion basis not stated</t>
  </si>
  <si>
    <t>No EBITDA consensus found (pending)</t>
  </si>
  <si>
    <t>CIQ consensus (USD); FY1 for SJM and CPB is FY27E (FY26 closed)</t>
  </si>
  <si>
    <t>Memo: Grupo Bimbo on the same claim basis (MXN m unless stated)</t>
  </si>
  <si>
    <t>Market cap = price x shares (MXN m)</t>
  </si>
  <si>
    <t>Net debt, claim basis = financial debt + leases + NCI - cash (MXN m)</t>
  </si>
  <si>
    <t>Enterprise value, claim basis (MXN m)</t>
  </si>
  <si>
    <t>LTM EBITDA, company IFRS 16 Adjusted (MXN m)</t>
  </si>
  <si>
    <t>LTM EBITDA, model basis = operating income + D&amp;A (MXN m; 35,666 + 24,660)</t>
  </si>
  <si>
    <t>EV/EBITDA LTM, company IFRS 16 basis (x)</t>
  </si>
  <si>
    <t>EV/EBITDA LTM, model basis EBIT + D&amp;A (x)</t>
  </si>
  <si>
    <t>EV/EBITDA NTM, calendarised, company IFRS 16 basis (x)</t>
  </si>
  <si>
    <t>Inputs and sources: every number used in PeerAnalysis and Checks</t>
  </si>
  <si>
    <t>Tags: sourced (filing or CIQ), guidance, assumption, calc, unverified, pending (not found: shown as n/a). Blue = hard-coded input.</t>
  </si>
  <si>
    <t>Key</t>
  </si>
  <si>
    <t>Entity</t>
  </si>
  <si>
    <t>Item</t>
  </si>
  <si>
    <t>Value</t>
  </si>
  <si>
    <t>Currency</t>
  </si>
  <si>
    <t>Source (document, section/metric/period, URL)</t>
  </si>
  <si>
    <t>As-of</t>
  </si>
  <si>
    <t>Note</t>
  </si>
  <si>
    <t>A. General</t>
  </si>
  <si>
    <t>pricing_date</t>
  </si>
  <si>
    <t>All</t>
  </si>
  <si>
    <t>Pricing / valuation date</t>
  </si>
  <si>
    <t>date</t>
  </si>
  <si>
    <t>CIQ pricing 15/16-Oct-2026 (data/capitaliq/capiq-ai-prompt1_2026-10-16.md)</t>
  </si>
  <si>
    <t>2026-10-16</t>
  </si>
  <si>
    <t>fx_cic_jpy</t>
  </si>
  <si>
    <t>CIQ conversion JPY to USD (Yamazaki LTM figures)</t>
  </si>
  <si>
    <t>USD per JPY</t>
  </si>
  <si>
    <t>data/capitaliq/capiq-ai-prompt1_2026-10-16.md Task 1A (market data, LTM balance sheet) note: TSE:2212 converted at 0.006482 USD/JPY</t>
  </si>
  <si>
    <t>fx_cic_eur</t>
  </si>
  <si>
    <t>CIQ conversion EUR to USD (Aryzta)</t>
  </si>
  <si>
    <t>USD per EUR</t>
  </si>
  <si>
    <t>data/capitaliq/capiq-ai-prompt1_2026-10-16.md Task 1A (market data, LTM balance sheet) note: ARYN converted at 1.166559 USD/EUR</t>
  </si>
  <si>
    <t>fx_cic_mxn_old</t>
  </si>
  <si>
    <t>CIQ note MXN to USD (memo: implies 17.96 MXN/USD, not used)</t>
  </si>
  <si>
    <t>USD per MXN</t>
  </si>
  <si>
    <t>data/capitaliq/capiq-ai-prompt1_2026-10-16.md Task 1A (market data, LTM balance sheet) note: AC converted at 0.055690; inconsistent with the 17.46 spot used for market values (see Checks)</t>
  </si>
  <si>
    <t>fx_mxn_spot</t>
  </si>
  <si>
    <t>MXN per USD, spot used for all MXN market values (Bimbo display, Gruma and Arca prices)</t>
  </si>
  <si>
    <t>MXN per USD</t>
  </si>
  <si>
    <t>wiki/Valuation/bimbo-consensus-dashboard-capiq-2026-10.md section 1: Ps. 17.46 per US$ (CIQ Oct-2026 spot implied)</t>
  </si>
  <si>
    <t>2026-10-17</t>
  </si>
  <si>
    <t>Single spot for market values; balance-sheet and LTM figures are taken in USD from the filings or CIQ</t>
  </si>
  <si>
    <t>fx_bmv_disp</t>
  </si>
  <si>
    <t>Grupo Bimbo</t>
  </si>
  <si>
    <t>MXN per USD used for USD display of Bimbo</t>
  </si>
  <si>
    <t>Same spot as above (17.46)</t>
  </si>
  <si>
    <t>Display only: Bimbo multiples are computed in MXN and do not depend on this rate</t>
  </si>
  <si>
    <t>B. Grupo Bimbo market data and balance sheet (MXN m unless stated)</t>
  </si>
  <si>
    <t>bmv_price</t>
  </si>
  <si>
    <t>Share price (BMV:BIMBO A), MXN</t>
  </si>
  <si>
    <t>MXN per share</t>
  </si>
  <si>
    <t>unverified</t>
  </si>
  <si>
    <t>Coordinator-supplied price MXN 58.60 (BMV close per coordinator message, 17-Oct-2026); not independently verified in this session. Supersedes the derived 55.35 placeholder (US$3.1701 x 17.46)</t>
  </si>
  <si>
    <t>Confirm against the BMV close before the report; MXN 1 per share = about 0.07x on EV/EBITDA</t>
  </si>
  <si>
    <t>bmv_shares</t>
  </si>
  <si>
    <t>Shares outstanding (coordinator-supplied)</t>
  </si>
  <si>
    <t>m shares</t>
  </si>
  <si>
    <t>shares</t>
  </si>
  <si>
    <t>Coordinator-supplied 4,294.9m (market cap MXN 251,684m = 58.60 x 4,294.9m). CIQ balance sheet 2026 FQ2 shows 4,296.3m (filing 2026-07-24)</t>
  </si>
  <si>
    <t>2026-07-24</t>
  </si>
  <si>
    <t>Difference to CIQ 2Q26 is 0.03%; dashboard register 4,304.7m is 0.2% higher</t>
  </si>
  <si>
    <t>bmv_td</t>
  </si>
  <si>
    <t>Total debt incl. IFRS 16 leases, 30-Jun-2026</t>
  </si>
  <si>
    <t>data/capitaliq/balance_sheet.csv 'Total Debt' 2026 FQ2 (= long-term debt 150,019.5 + current portion 6,299.0 + leases 33,361)</t>
  </si>
  <si>
    <t>2026-06-30</t>
  </si>
  <si>
    <t>CIQ basis; company ex-IFRS 16 total debt is 153,663 (wiki/Valuation/bimbo-capital-structure-and-debt.md)</t>
  </si>
  <si>
    <t>bmv_cash</t>
  </si>
  <si>
    <t>Cash, 30-Jun-2026 (claim basis)</t>
  </si>
  <si>
    <t>data/capitaliq/balance_sheet.csv 'Cash &amp; Short-term Investments' 2026 FQ2 (company ~16.6bn; coordinator value 16,563)</t>
  </si>
  <si>
    <t>bmv_nci</t>
  </si>
  <si>
    <t>Non-controlling interest at book, 30-Jun-2026 (claim basis)</t>
  </si>
  <si>
    <t>Company 2Q26 p.8: NCI 722 (CIQ 721.7); coordinator value 722. Book value understates the economic claim if IO profit is attributed to NCI (see Checks)</t>
  </si>
  <si>
    <t>bmv_fin_debt</t>
  </si>
  <si>
    <t>Financial debt excluding leases, 30-Jun-2026 (claim basis)</t>
  </si>
  <si>
    <t>Company total debt 153,660 (coordinator; wiki/Valuation/bimbo-capital-structure-and-debt.md: 153,663 at Jun-26)</t>
  </si>
  <si>
    <t>CIQ financial debt is 156,319 (LTD 150,019.5 + CPLTD 6,299.0); the 2,659 difference is not added</t>
  </si>
  <si>
    <t>bmv_leases</t>
  </si>
  <si>
    <t>IFRS 16 lease liabilities, 30-Jun-2026 (claim basis)</t>
  </si>
  <si>
    <t>data/capitaliq/balance_sheet.csv 'Current Portion of Leases' 7,112.9 + 'Long-term Leases' 26,248.0 (2026 FQ2)</t>
  </si>
  <si>
    <t>bmv_ltm_ebit</t>
  </si>
  <si>
    <t>Operating income, LTM to 30-Jun-2026 (model basis)</t>
  </si>
  <si>
    <t>BMV Jun-26 p.27 via wiki/Financials/bimbo-quarterly-trend-4q21-2q26.md line 62</t>
  </si>
  <si>
    <t>bmv_ltm_da</t>
  </si>
  <si>
    <t>D&amp;A, LTM to 30-Jun-2026 (model basis; includes IFRS 16 right-of-use depreciation)</t>
  </si>
  <si>
    <t>bmv_lease_cur</t>
  </si>
  <si>
    <t>IFRS 16 lease liabilities, current (memo)</t>
  </si>
  <si>
    <t>data/capitaliq/balance_sheet.csv 'Current Portion of Leases' 2026 FQ2</t>
  </si>
  <si>
    <t>bmv_lease_nc</t>
  </si>
  <si>
    <t>IFRS 16 lease liabilities, non-current (memo)</t>
  </si>
  <si>
    <t>data/capitaliq/balance_sheet.csv 'Long-term Leases' 2026 FQ2</t>
  </si>
  <si>
    <t>bmv_netdebt_co</t>
  </si>
  <si>
    <t>Company net debt ex-IFRS 16, 30-Jun-2026 (memo)</t>
  </si>
  <si>
    <t>2Q26 release p.6 via wiki/Valuation/bimbo-capital-structure-and-debt.md (137.1bn; excludes leases)</t>
  </si>
  <si>
    <t>Not used for EV: excludes IFRS 16 leases while EBITDA is IFRS 16</t>
  </si>
  <si>
    <t>bmv_ebitda_3Q25</t>
  </si>
  <si>
    <t>Adj. EBITDA (IFRS 16), quarter 3Q25</t>
  </si>
  <si>
    <t>Company quarterly release via wiki/Financials/bimbo-quarterly-trend-4q21-2q26.md; wiki/Financials/bimbo-balance-sheet-and-leverage.md line 83</t>
  </si>
  <si>
    <t>bmv_ebitda_4Q25</t>
  </si>
  <si>
    <t>Adj. EBITDA (IFRS 16), quarter 4Q25</t>
  </si>
  <si>
    <t>bmv_ebitda_1Q26</t>
  </si>
  <si>
    <t>Adj. EBITDA (IFRS 16), quarter 1Q26</t>
  </si>
  <si>
    <t>bmv_ebitda_2Q26</t>
  </si>
  <si>
    <t>Adj. EBITDA (IFRS 16), quarter 2Q26</t>
  </si>
  <si>
    <t>bmv_rev_ltm</t>
  </si>
  <si>
    <t>Net sales, LTM to 30-Jun-2026</t>
  </si>
  <si>
    <t>BMV Jun-26 p.27 via wiki/Financials/bimbo-quarterly-trend-4q21-2q26.md line 62 (CIQ quarterly sum 421,435 differs by 0.1%)</t>
  </si>
  <si>
    <t>bmv_eps_3Q25</t>
  </si>
  <si>
    <t>Normalized diluted EPS, quarter 3Q25</t>
  </si>
  <si>
    <t>data/capitaliq/income_statement.csv 'Normalized Diluted EPS' 3Q25</t>
  </si>
  <si>
    <t>bmv_eps_4Q25</t>
  </si>
  <si>
    <t>Normalized diluted EPS, quarter 4Q25</t>
  </si>
  <si>
    <t>data/capitaliq/income_statement.csv 'Normalized Diluted EPS' 4Q25</t>
  </si>
  <si>
    <t>bmv_eps_1Q26</t>
  </si>
  <si>
    <t>Normalized diluted EPS, quarter 1Q26</t>
  </si>
  <si>
    <t>data/capitaliq/income_statement.csv 'Normalized Diluted EPS' 1Q26</t>
  </si>
  <si>
    <t>bmv_eps_2Q26</t>
  </si>
  <si>
    <t>Normalized diluted EPS, quarter 2Q26</t>
  </si>
  <si>
    <t>data/capitaliq/income_statement.csv 'Normalized Diluted EPS' 2Q26</t>
  </si>
  <si>
    <t>bmv_gp_ltm</t>
  </si>
  <si>
    <t>Gross profit, LTM to 30-Jun-2026 (CIQ basis)</t>
  </si>
  <si>
    <t>data/capitaliq/income_statement.csv 'Gross Profit', 3Q25 to 2Q26 (sum of quarters, MXN thousands / 1,000)</t>
  </si>
  <si>
    <t>bmv_lfcf_ltm</t>
  </si>
  <si>
    <t>Levered free cash flow, LTM to 30-Jun-2026 (CIQ basis)</t>
  </si>
  <si>
    <t>data/capitaliq/cash_flow.csv 'Levered Free Cash Flow', 3Q25 to 2Q26 (sum of quarters, MXN thousands / 1,000)</t>
  </si>
  <si>
    <t>C. Peers: market data, net debt, LTM and history (USD m unless stated)</t>
  </si>
  <si>
    <t>FLO.mc</t>
  </si>
  <si>
    <t>Market capitalisation (CIQ, LTM date)</t>
  </si>
  <si>
    <t>USD m</t>
  </si>
  <si>
    <t>data/capitaliq/capiq-ai-prompt1_2026-10-16.md Task 1A (market data, LTM balance sheet)</t>
  </si>
  <si>
    <t>FLO.shares</t>
  </si>
  <si>
    <t>Diluted shares (CIQ)</t>
  </si>
  <si>
    <t>FLO.ev_ciq</t>
  </si>
  <si>
    <t>Enterprise value (CIQ table)</t>
  </si>
  <si>
    <t>FLO.nci_filings</t>
  </si>
  <si>
    <t>NCI and redeemable NCI from filings (memo, USD m)</t>
  </si>
  <si>
    <t>SEC XBRL MinorityInterest and balance sheet (research: see Checks section 1)</t>
  </si>
  <si>
    <t>0.0 (no NCI)</t>
  </si>
  <si>
    <t>FLO.nd</t>
  </si>
  <si>
    <t>Net debt incl. leases (USD m)</t>
  </si>
  <si>
    <t>FLO.ebitda_ltm</t>
  </si>
  <si>
    <t>EBITDA, LTM (reported basis, USD m)</t>
  </si>
  <si>
    <t>FLO.rev_ltm</t>
  </si>
  <si>
    <t>Revenue, LTM (USD m)</t>
  </si>
  <si>
    <t>data/capitaliq/capiq-ai-prompt1_2026-10-16.md Task 2B (revenue, levered FCF, consensus)</t>
  </si>
  <si>
    <t>FLO.rev_fy24</t>
  </si>
  <si>
    <t>Revenue, FY2024 (fiscal label per CIQ / company)</t>
  </si>
  <si>
    <t>FY2024</t>
  </si>
  <si>
    <t>FLO.rev_fy25</t>
  </si>
  <si>
    <t>Revenue, FY2025 (fiscal label per CIQ / company)</t>
  </si>
  <si>
    <t>FY2025</t>
  </si>
  <si>
    <t>FLO.ebitda_fy24</t>
  </si>
  <si>
    <t>EBITDA, FY2024 (reported basis)</t>
  </si>
  <si>
    <t>data/capitaliq/capiq-ai-prompt1_2026-10-16.md Task 1B (annual leverage history, EBITDA)</t>
  </si>
  <si>
    <t>FLO.ebitda_fy25</t>
  </si>
  <si>
    <t>EBITDA, FY2025 (reported basis)</t>
  </si>
  <si>
    <t>FLO.gp_ltm</t>
  </si>
  <si>
    <t>Gross profit, LTM (USD m)</t>
  </si>
  <si>
    <t>pending</t>
  </si>
  <si>
    <t>Not in the CIQ pull; SEC research did not find it</t>
  </si>
  <si>
    <t>FLO.lfcf_ltm</t>
  </si>
  <si>
    <t>Levered free cash flow, LTM (CIQ basis)</t>
  </si>
  <si>
    <t>FLO.pe_ltm</t>
  </si>
  <si>
    <t>P/E LTM (CIQ multiples tool)</t>
  </si>
  <si>
    <t>data/capitaliq/capiq-ai-prompt1_2026-10-16.md Task 2A (CIQ multiples tool)</t>
  </si>
  <si>
    <t>FLO.pe_ntm</t>
  </si>
  <si>
    <t>P/E NTM (CIQ multiples tool)</t>
  </si>
  <si>
    <t>Tool value; EPS NTM is derived as price / this P/E [calc]</t>
  </si>
  <si>
    <t>FLO.ev_ebitda_ltm_tool</t>
  </si>
  <si>
    <t>EV/EBITDA LTM, CIQ multiples tool (audit only)</t>
  </si>
  <si>
    <t>Not used: tool EV differs from the table EV (wiki discrepancy #7)</t>
  </si>
  <si>
    <t>FLO.ev_ebitda_ntm_tool</t>
  </si>
  <si>
    <t>EV/EBITDA NTM, CIQ multiples tool (audit only)</t>
  </si>
  <si>
    <t>Audit only</t>
  </si>
  <si>
    <t>GRUMA.price_local</t>
  </si>
  <si>
    <t>Share price, local currency (pricing date)</t>
  </si>
  <si>
    <t>Delayed quote (Yahoo Finance 16-Oct-2026 1:59 PM CST); no official BMV close found</t>
  </si>
  <si>
    <t>Delayed quote (Yahoo Finance, 16-Oct-2026 1:59 PM CST); StockAnalysis 242.71; no official BMV close found</t>
  </si>
  <si>
    <t>GRUMA.shares</t>
  </si>
  <si>
    <t>Shares outstanding</t>
  </si>
  <si>
    <t>Company filings (see note)</t>
  </si>
  <si>
    <t>Outstanding Series B shares at 30-Jun-2026 (2Q26 BMV report p.53); treasury 6,463,051 excluded</t>
  </si>
  <si>
    <t>GRUMA.fx</t>
  </si>
  <si>
    <t>Local currency to USD for market values</t>
  </si>
  <si>
    <t>Local to USD rate (see note)</t>
  </si>
  <si>
    <t>MXN per USD 17.46 = CIQ consensus dashboard spot (Oct-2026); CIQ's 0.055690 (17.96) is not used</t>
  </si>
  <si>
    <t>GRUMA.nci_usd</t>
  </si>
  <si>
    <t>Non-controlling interest, USD m (filings)</t>
  </si>
  <si>
    <t>Non-controlling interest 30-Jun-2026, USD m (2Q26 BMV report p.20)</t>
  </si>
  <si>
    <t>GRUMA.nd</t>
  </si>
  <si>
    <t>Calc from Gruma 2Q26 BMV report (USD): total debt incl. leases 2,111.8 (ST 365.2 p.35; LT 1,333.4 p.20; leases 413.2 p.19-20) less cash 483.6 (p.19)</t>
  </si>
  <si>
    <t>Calc: total debt incl. leases 2,111.8 (ST bank loans 365.2 + LT debt 1,333.4 + leases 413.2, carrying; 2Q26 report p.19-20, p.35) less cash 483.6 (p.19)</t>
  </si>
  <si>
    <t>GRUMA.ebitda_ltm</t>
  </si>
  <si>
    <t>Calc from Gruma FY25 release (S3 p.11, EBITDA 1,136.0) + 1H26 538.5 - 1H25 565.6 (2Q26 BMV report p.12 and p.33)</t>
  </si>
  <si>
    <t>Calc: FY25 1,136.0 + 1H26 538.5 - 1H25 565.6 (company EBITDA = operating income + D&amp;A + impairment, before lease costs under IFRS 16)</t>
  </si>
  <si>
    <t>GRUMA.rev_ltm</t>
  </si>
  <si>
    <t>Calc from Gruma FY25 release (S3 p.11, net sales 6,374.6) + 1H26 3,274.7 - 1H25 3,149.2 (2Q26 BMV report p.34 cross-check 6,500.057)</t>
  </si>
  <si>
    <t>GRUMA.rev_fy24</t>
  </si>
  <si>
    <t>Gruma FY25 release, FY24 comparative (S3 p.11)</t>
  </si>
  <si>
    <t>GRUMA.rev_fy25</t>
  </si>
  <si>
    <t>Gruma FY25 release (S3 p.11)</t>
  </si>
  <si>
    <t>GRUMA.ebitda_fy24</t>
  </si>
  <si>
    <t>Gruma FY25 release, FY24 comparative (S3 p.11) EBITDA UAFIRDA</t>
  </si>
  <si>
    <t>GRUMA.ebitda_fy25</t>
  </si>
  <si>
    <t>Gruma FY25 release (S3 p.11) EBITDA UAFIRDA</t>
  </si>
  <si>
    <t>GRUMA.gp_ltm</t>
  </si>
  <si>
    <t>Calc from Gruma FY25 gross profit 2,492.7 (S3 p.11) + 1H26 1,276.1 - 1H25 1,246.6 (S1 p.12)</t>
  </si>
  <si>
    <t>GRUMA.lfcf_ltm</t>
  </si>
  <si>
    <t>Not retrieved (pending)</t>
  </si>
  <si>
    <t>GRUMA.pe_ltm</t>
  </si>
  <si>
    <t>not in CIQ pull</t>
  </si>
  <si>
    <t>GRUMA.pe_ntm</t>
  </si>
  <si>
    <t>GRUMA.ev_ebitda_ltm_tool</t>
  </si>
  <si>
    <t>GRUMA.ev_ebitda_ntm_tool</t>
  </si>
  <si>
    <t>YMZ.price_local</t>
  </si>
  <si>
    <t>JPY per share</t>
  </si>
  <si>
    <t>Aggregator quote (see note); official exchange close not found</t>
  </si>
  <si>
    <t>TSE Prime close 16-Oct-2026 (Yahoo Finance Japan history, aggregator, not JPX primary)</t>
  </si>
  <si>
    <t>YMZ.shares</t>
  </si>
  <si>
    <t>Public source (research did not find it)</t>
  </si>
  <si>
    <t>Not found</t>
  </si>
  <si>
    <t>YMZ.fx</t>
  </si>
  <si>
    <t>CIQ conversion 0.006482 USD per JPY</t>
  </si>
  <si>
    <t>YMZ.nci_usd</t>
  </si>
  <si>
    <t>Not found in research</t>
  </si>
  <si>
    <t>YMZ.nd</t>
  </si>
  <si>
    <t>YMZ.ebitda_ltm</t>
  </si>
  <si>
    <t>YMZ.rev_ltm</t>
  </si>
  <si>
    <t>YMZ.rev_fy24</t>
  </si>
  <si>
    <t>YMZ.rev_fy25</t>
  </si>
  <si>
    <t>Not used: CIQ value equals the FY2021 figure (wiki discrepancy #11)</t>
  </si>
  <si>
    <t>YMZ.ebitda_fy24</t>
  </si>
  <si>
    <t>YMZ.ebitda_fy25</t>
  </si>
  <si>
    <t>YMZ.gp_ltm</t>
  </si>
  <si>
    <t>Not in the CIQ pull</t>
  </si>
  <si>
    <t>YMZ.lfcf_ltm</t>
  </si>
  <si>
    <t>YMZ.pe_ltm</t>
  </si>
  <si>
    <t>YMZ.pe_ntm</t>
  </si>
  <si>
    <t>YMZ.ev_ebitda_ltm_tool</t>
  </si>
  <si>
    <t>YMZ.ev_ebitda_ntm_tool</t>
  </si>
  <si>
    <t>ARYN.mc</t>
  </si>
  <si>
    <t>ARYN.shares</t>
  </si>
  <si>
    <t>CIQ share count 24.8m not verified (Aryzta H1-26 report not read)</t>
  </si>
  <si>
    <t>ARYN.ev_ciq</t>
  </si>
  <si>
    <t>ARYN.nci_filings</t>
  </si>
  <si>
    <t>CIQ residual -17.4 unexplained (NCI not found in research)</t>
  </si>
  <si>
    <t>ARYN.nd</t>
  </si>
  <si>
    <t>ARYN.ebitda_ltm</t>
  </si>
  <si>
    <t>ARYN.rev_ltm</t>
  </si>
  <si>
    <t>ARYN.rev_fy24</t>
  </si>
  <si>
    <t>ARYN.rev_fy25</t>
  </si>
  <si>
    <t>ARYN.ebitda_fy24</t>
  </si>
  <si>
    <t>ARYN.ebitda_fy25</t>
  </si>
  <si>
    <t>ARYN.gp_ltm</t>
  </si>
  <si>
    <t>ARYN.lfcf_ltm</t>
  </si>
  <si>
    <t>ARYN.pe_ltm</t>
  </si>
  <si>
    <t>ARYN.pe_ntm</t>
  </si>
  <si>
    <t>ARYN.ev_ebitda_ltm_tool</t>
  </si>
  <si>
    <t>ARYN.ev_ebitda_ntm_tool</t>
  </si>
  <si>
    <t>SJM.mc</t>
  </si>
  <si>
    <t>SJM.shares</t>
  </si>
  <si>
    <t>SJM.ev_ciq</t>
  </si>
  <si>
    <t>SJM.nci_filings</t>
  </si>
  <si>
    <t>residual 0 (no NCI found)</t>
  </si>
  <si>
    <t>SJM.nd</t>
  </si>
  <si>
    <t>SJM.ebitda_ltm</t>
  </si>
  <si>
    <t>SJM.rev_ltm</t>
  </si>
  <si>
    <t>SJM.rev_fy24</t>
  </si>
  <si>
    <t>SJM.rev_fy25</t>
  </si>
  <si>
    <t>SJM.ebitda_fy24</t>
  </si>
  <si>
    <t>SJM.ebitda_fy25</t>
  </si>
  <si>
    <t>SJM.gp_ltm</t>
  </si>
  <si>
    <t>SJM LTM not used: unexplained Q1 FY27 vs Q1 FY26 gap (SEC research)</t>
  </si>
  <si>
    <t>SJM.lfcf_ltm</t>
  </si>
  <si>
    <t>SJM.pe_ltm</t>
  </si>
  <si>
    <t>SJM 58.6x reflects depressed earnings; excluded from P/E medians (assumption)</t>
  </si>
  <si>
    <t>SJM.pe_ntm</t>
  </si>
  <si>
    <t>SJM.ev_ebitda_ltm_tool</t>
  </si>
  <si>
    <t>SJM.ev_ebitda_ntm_tool</t>
  </si>
  <si>
    <t>CPB.mc</t>
  </si>
  <si>
    <t>CPB.shares</t>
  </si>
  <si>
    <t>CPB.ev_ciq</t>
  </si>
  <si>
    <t>CPB.nci_filings</t>
  </si>
  <si>
    <t>306.0 = NCI 2.0 + redeemable NCI 304.0 (10-Q/10-K); matches CIQ residual</t>
  </si>
  <si>
    <t>CPB.nd</t>
  </si>
  <si>
    <t>CPB.ebitda_ltm</t>
  </si>
  <si>
    <t>CPB.rev_ltm</t>
  </si>
  <si>
    <t>CPB.rev_fy24</t>
  </si>
  <si>
    <t>CPB.rev_fy25</t>
  </si>
  <si>
    <t>CPB.ebitda_fy24</t>
  </si>
  <si>
    <t>CPB.ebitda_fy25</t>
  </si>
  <si>
    <t>CPB.gp_ltm</t>
  </si>
  <si>
    <t>SEC XBRL GrossProfit / calc from Revenues less CostOfGoodsAndServicesSold (CPB) (research)</t>
  </si>
  <si>
    <t>CPB.lfcf_ltm</t>
  </si>
  <si>
    <t>CPB.pe_ltm</t>
  </si>
  <si>
    <t>CPB.pe_ntm</t>
  </si>
  <si>
    <t>CPB.ev_ebitda_ltm_tool</t>
  </si>
  <si>
    <t>CPB.ev_ebitda_ntm_tool</t>
  </si>
  <si>
    <t>MDLZ.mc</t>
  </si>
  <si>
    <t>MDLZ.shares</t>
  </si>
  <si>
    <t>MDLZ.ev_ciq</t>
  </si>
  <si>
    <t>MDLZ.nci_filings</t>
  </si>
  <si>
    <t>53.0 (text, 2Q26 10-Q) matches CIQ residual</t>
  </si>
  <si>
    <t>MDLZ.nd</t>
  </si>
  <si>
    <t>MDLZ.ebitda_ltm</t>
  </si>
  <si>
    <t>MDLZ.rev_ltm</t>
  </si>
  <si>
    <t>MDLZ.rev_fy24</t>
  </si>
  <si>
    <t>MDLZ.rev_fy25</t>
  </si>
  <si>
    <t>MDLZ.ebitda_fy24</t>
  </si>
  <si>
    <t>MDLZ.ebitda_fy25</t>
  </si>
  <si>
    <t>One-off year for MDLZ (wiki discrepancy #13), descriptive only</t>
  </si>
  <si>
    <t>MDLZ.gp_ltm</t>
  </si>
  <si>
    <t>MDLZ.lfcf_ltm</t>
  </si>
  <si>
    <t>MDLZ.pe_ltm</t>
  </si>
  <si>
    <t>MDLZ.pe_ntm</t>
  </si>
  <si>
    <t>MDLZ.ev_ebitda_ltm_tool</t>
  </si>
  <si>
    <t>MDLZ.ev_ebitda_ntm_tool</t>
  </si>
  <si>
    <t>AC.price_local</t>
  </si>
  <si>
    <t>16-Oct-2026 (Yahoo header and Rankia, aggregators; not BMV primary); Yahoo table 15-Oct close 206.85</t>
  </si>
  <si>
    <t>AC.shares</t>
  </si>
  <si>
    <t>Not found (a BMV buyback notice shows 1,698,192,061 in an unlabelled field; not used)</t>
  </si>
  <si>
    <t>AC.fx</t>
  </si>
  <si>
    <t>MXN per USD 17.46 spot (CIQ dashboard)</t>
  </si>
  <si>
    <t>AC.nci_usd</t>
  </si>
  <si>
    <t>AC.nd</t>
  </si>
  <si>
    <t>AC.ebitda_ltm</t>
  </si>
  <si>
    <t>AC.rev_ltm</t>
  </si>
  <si>
    <t>AC.rev_fy24</t>
  </si>
  <si>
    <t>AC.rev_fy25</t>
  </si>
  <si>
    <t>AC.ebitda_fy24</t>
  </si>
  <si>
    <t>AC.ebitda_fy25</t>
  </si>
  <si>
    <t>AC.gp_ltm</t>
  </si>
  <si>
    <t>AC.lfcf_ltm</t>
  </si>
  <si>
    <t>AC.pe_ltm</t>
  </si>
  <si>
    <t>AC.pe_ntm</t>
  </si>
  <si>
    <t>AC.ev_ebitda_ltm_tool</t>
  </si>
  <si>
    <t>AC.ev_ebitda_ntm_tool</t>
  </si>
  <si>
    <t>PEP.mc</t>
  </si>
  <si>
    <t>PEP.shares</t>
  </si>
  <si>
    <t>PEP.ev_ciq</t>
  </si>
  <si>
    <t>PEP.nci_filings</t>
  </si>
  <si>
    <t>195.0 (10-K) matches CIQ residual</t>
  </si>
  <si>
    <t>PEP.nd</t>
  </si>
  <si>
    <t>PEP.ebitda_ltm</t>
  </si>
  <si>
    <t>PEP.rev_ltm</t>
  </si>
  <si>
    <t>PEP.rev_fy24</t>
  </si>
  <si>
    <t>PEP.rev_fy25</t>
  </si>
  <si>
    <t>PEP.ebitda_fy24</t>
  </si>
  <si>
    <t>PEP.ebitda_fy25</t>
  </si>
  <si>
    <t>PEP.gp_ltm</t>
  </si>
  <si>
    <t>PEP.lfcf_ltm</t>
  </si>
  <si>
    <t>PEP.pe_ltm</t>
  </si>
  <si>
    <t>PEP.pe_ntm</t>
  </si>
  <si>
    <t>PEP.ev_ebitda_ltm_tool</t>
  </si>
  <si>
    <t>PEP.ev_ebitda_ntm_tool</t>
  </si>
  <si>
    <t>D0. EV claim basis components (USD m, balance sheet dates per row); pensions, MEPP and derivatives excluded for all companies</t>
  </si>
  <si>
    <t>FLO.fin_debt</t>
  </si>
  <si>
    <t>Financial debt incl. finance leases (claim basis)</t>
  </si>
  <si>
    <t>Filings: 18-Jul-2026 (10-Q); see EV claim basis text</t>
  </si>
  <si>
    <t>18-Jul-2026 (10-Q)</t>
  </si>
  <si>
    <t>FLO.fin_lease</t>
  </si>
  <si>
    <t>Finance leases (memo: included in financial debt above)</t>
  </si>
  <si>
    <t>Filings (see claim text)</t>
  </si>
  <si>
    <t>Memo only; not added again</t>
  </si>
  <si>
    <t>FLO.lease</t>
  </si>
  <si>
    <t>Operating / IFRS 16 lease liabilities (claim basis)</t>
  </si>
  <si>
    <t>FLO.nci_book</t>
  </si>
  <si>
    <t>NCI at book incl. redeemable NCI (claim basis; ARYN = CIQ residual)</t>
  </si>
  <si>
    <t>Filings: 18-Jul-2026 (10-Q)</t>
  </si>
  <si>
    <t>FLO.cash</t>
  </si>
  <si>
    <t>Cash and equivalents (claim basis)</t>
  </si>
  <si>
    <t>FLO.claims</t>
  </si>
  <si>
    <t>text</t>
  </si>
  <si>
    <t>Coordinator rule 17-Oct-2026 applied; see components above</t>
  </si>
  <si>
    <t>FLO.io_flag</t>
  </si>
  <si>
    <t>Consolidated distributor / independent-operator earnings in EBITDA?</t>
  </si>
  <si>
    <t>Coordinator statement (Flowers independent distributors not consolidated); not re-verified</t>
  </si>
  <si>
    <t>SJM.fin_debt</t>
  </si>
  <si>
    <t>Filings: 31-Jul-2026 (10-Q); see EV claim basis text</t>
  </si>
  <si>
    <t>31-Jul-2026 (10-Q)</t>
  </si>
  <si>
    <t>SJM.fin_lease</t>
  </si>
  <si>
    <t>SJM.lease</t>
  </si>
  <si>
    <t>SJM.nci_book</t>
  </si>
  <si>
    <t>Filings: 31-Jul-2026 (10-Q)</t>
  </si>
  <si>
    <t>SJM.cash</t>
  </si>
  <si>
    <t>SJM.claims</t>
  </si>
  <si>
    <t>SJM.io_flag</t>
  </si>
  <si>
    <t>CPB.fin_debt</t>
  </si>
  <si>
    <t>Filings: 2-Aug-2026 (FY26 10-K); see EV claim basis text</t>
  </si>
  <si>
    <t>2-Aug-2026 (FY26 10-K)</t>
  </si>
  <si>
    <t>CPB.fin_lease</t>
  </si>
  <si>
    <t>CPB.lease</t>
  </si>
  <si>
    <t>CPB.nci_book</t>
  </si>
  <si>
    <t>Filings: 2-Aug-2026 (FY26 10-K)</t>
  </si>
  <si>
    <t>CPB.cash</t>
  </si>
  <si>
    <t>CPB.claims</t>
  </si>
  <si>
    <t>CPB.io_flag</t>
  </si>
  <si>
    <t>MDLZ.fin_debt</t>
  </si>
  <si>
    <t>Filings: 30-Jun-2026 (10-Q); see EV claim basis text</t>
  </si>
  <si>
    <t>30-Jun-2026 (10-Q)</t>
  </si>
  <si>
    <t>MDLZ.fin_lease</t>
  </si>
  <si>
    <t>MDLZ.lease</t>
  </si>
  <si>
    <t>MDLZ: noncurrent only at 30-Jun-2026 (current portion not found)</t>
  </si>
  <si>
    <t>MDLZ.nci_book</t>
  </si>
  <si>
    <t>Filings: 30-Jun-2026 (10-Q)</t>
  </si>
  <si>
    <t>MDLZ.cash</t>
  </si>
  <si>
    <t>MDLZ.claims</t>
  </si>
  <si>
    <t>MDLZ.io_flag</t>
  </si>
  <si>
    <t>PEP.fin_debt</t>
  </si>
  <si>
    <t>Filings: 5-Sep-2026 (debt, cash); 27-Dec-2025 (operating leases); see EV claim basis text</t>
  </si>
  <si>
    <t>5-Sep-2026 (debt, cash); 27-Dec-2025 (operating leases)</t>
  </si>
  <si>
    <t>PEP.fin_lease</t>
  </si>
  <si>
    <t>PEP.lease</t>
  </si>
  <si>
    <t>PEP: 27-Dec-2025 10-K balance (Sep-2026 not found); CIQ excludes leases for PEP</t>
  </si>
  <si>
    <t>PEP.nci_book</t>
  </si>
  <si>
    <t>Filings: 5-Sep-2026 (debt, cash); 27-Dec-2025 (operating leases)</t>
  </si>
  <si>
    <t>PEP.cash</t>
  </si>
  <si>
    <t>PEP: CIQ net debt deducts a further 488 (not cash); not used</t>
  </si>
  <si>
    <t>PEP.claims</t>
  </si>
  <si>
    <t>PEP.io_flag</t>
  </si>
  <si>
    <t>GRUMA.fin_debt</t>
  </si>
  <si>
    <t>Filings: 30-Jun-2026 (2Q26 BMV report); see EV claim basis text</t>
  </si>
  <si>
    <t>30-Jun-2026 (2Q26 BMV report)</t>
  </si>
  <si>
    <t>GRUMA.fin_lease</t>
  </si>
  <si>
    <t>GRUMA.lease</t>
  </si>
  <si>
    <t>GRUMA.nci_book</t>
  </si>
  <si>
    <t>Filings: 30-Jun-2026 (2Q26 BMV report)</t>
  </si>
  <si>
    <t>GRUMA.cash</t>
  </si>
  <si>
    <t>GRUMA.claims</t>
  </si>
  <si>
    <t>GRUMA.io_flag</t>
  </si>
  <si>
    <t>ARYN.fin_debt</t>
  </si>
  <si>
    <t>CIQ total debt; split not verified</t>
  </si>
  <si>
    <t>30-Jun-2026 (CIQ LTM)</t>
  </si>
  <si>
    <t>Descriptive only: Aryzta H1-26 report not read</t>
  </si>
  <si>
    <t>ARYN.fin_lease</t>
  </si>
  <si>
    <t>ARYN.lease</t>
  </si>
  <si>
    <t>Aryzta: lease split not verified (included in CIQ total debt)</t>
  </si>
  <si>
    <t>ARYN.nci_book</t>
  </si>
  <si>
    <t>CIQ EV residual (MC + net debt vs CIQ EV); unexplained</t>
  </si>
  <si>
    <t>ARYN.cash</t>
  </si>
  <si>
    <t>Filings: 30-Jun-2026 (CIQ LTM)</t>
  </si>
  <si>
    <t>ARYN.claims</t>
  </si>
  <si>
    <t>ARYN.io_flag</t>
  </si>
  <si>
    <t>BIMBO.io_flag</t>
  </si>
  <si>
    <t>Yes: BBU independent operators consolidated as structured entities; profit attribution to NCI per coordinator, not confirmed in the wiki</t>
  </si>
  <si>
    <t>RA25 p.249-250 (note 7, structured entities) via wiki/Company/bimbo-business-model.md; NCI share of FY25 profit 1,813 (wiki/Financials/bimbo-income-statement-fy21-fy25.md)</t>
  </si>
  <si>
    <t>D. Consensus (CIQ, USD m) used for calendarisation to NTM from 16-Oct-2026</t>
  </si>
  <si>
    <t>FLO.fye</t>
  </si>
  <si>
    <t>Fiscal year end of the year containing the pricing date (FY1)</t>
  </si>
  <si>
    <t>Company fiscal calendar; CIQ fiscal year-end (Dec for ARYN per CIQ; December FYE confirmed by Aryzta 2026 interim dates)</t>
  </si>
  <si>
    <t>FY26E (year to ~2-Jan-2027)</t>
  </si>
  <si>
    <t>FLO.cons1_ebitda</t>
  </si>
  <si>
    <t>Consensus EBITDA, FY1 (FY26E (year to ~2-Jan-2027))</t>
  </si>
  <si>
    <t>wiki/Valuation/peer-multiples-and-operations-capiq-2026-10.md section 5 (CIQ consensus, US$m)</t>
  </si>
  <si>
    <t>FLO.cons1_rev</t>
  </si>
  <si>
    <t>Consensus revenue, FY1</t>
  </si>
  <si>
    <t>FLO.cons2_ebitda</t>
  </si>
  <si>
    <t>Consensus EBITDA, FY2 (FY27E (year to ~1-Jan-2028))</t>
  </si>
  <si>
    <t>FLO.cons2_rev</t>
  </si>
  <si>
    <t>Consensus revenue, FY2</t>
  </si>
  <si>
    <t>YMZ.fye</t>
  </si>
  <si>
    <t>FY26E (Dec-2026)</t>
  </si>
  <si>
    <t>YMZ.cons1_ebitda</t>
  </si>
  <si>
    <t>Consensus EBITDA, FY1 (FY26E (Dec-2026))</t>
  </si>
  <si>
    <t>YMZ.cons1_rev</t>
  </si>
  <si>
    <t>YMZ.cons2_ebitda</t>
  </si>
  <si>
    <t>Consensus EBITDA, FY2 (FY27E (Dec-2027))</t>
  </si>
  <si>
    <t>YMZ.cons2_rev</t>
  </si>
  <si>
    <t>ARYN.fye</t>
  </si>
  <si>
    <t>FY26E (Dec-2026; December FYE confirmed)</t>
  </si>
  <si>
    <t>ARYN.cons1_ebitda</t>
  </si>
  <si>
    <t>Consensus EBITDA, FY1 (FY26E (Dec-2026; December FYE confirmed))</t>
  </si>
  <si>
    <t>ARYN.cons1_rev</t>
  </si>
  <si>
    <t>ARYN.cons2_ebitda</t>
  </si>
  <si>
    <t>ARYN.cons2_rev</t>
  </si>
  <si>
    <t>SJM.fye</t>
  </si>
  <si>
    <t>FY27E (year to 30-Apr-2027)</t>
  </si>
  <si>
    <t>SJM.cons1_ebitda</t>
  </si>
  <si>
    <t>Consensus EBITDA, FY1 (FY27E (year to 30-Apr-2027))</t>
  </si>
  <si>
    <t>SJM/CPB FY1 is FY27E because FY26 is closed (A)</t>
  </si>
  <si>
    <t>SJM.cons1_rev</t>
  </si>
  <si>
    <t>SJM.cons2_ebitda</t>
  </si>
  <si>
    <t>Consensus EBITDA, FY2 (FY28E (year to 30-Apr-2028))</t>
  </si>
  <si>
    <t>SJM.cons2_rev</t>
  </si>
  <si>
    <t>CPB.fye</t>
  </si>
  <si>
    <t>FY27E (year to ~1-Aug-2027)</t>
  </si>
  <si>
    <t>CPB.cons1_ebitda</t>
  </si>
  <si>
    <t>Consensus EBITDA, FY1 (FY27E (year to ~1-Aug-2027))</t>
  </si>
  <si>
    <t>CPB.cons1_rev</t>
  </si>
  <si>
    <t>CPB.cons2_ebitda</t>
  </si>
  <si>
    <t>Consensus EBITDA, FY2 (FY28E (year to ~31-Jul-2028))</t>
  </si>
  <si>
    <t>CPB.cons2_rev</t>
  </si>
  <si>
    <t>MDLZ.fye</t>
  </si>
  <si>
    <t>MDLZ.cons1_ebitda</t>
  </si>
  <si>
    <t>MDLZ.cons1_rev</t>
  </si>
  <si>
    <t>MDLZ.cons2_ebitda</t>
  </si>
  <si>
    <t>MDLZ.cons2_rev</t>
  </si>
  <si>
    <t>AC.fye</t>
  </si>
  <si>
    <t>AC.cons1_ebitda</t>
  </si>
  <si>
    <t>AC.cons1_rev</t>
  </si>
  <si>
    <t>AC.cons2_ebitda</t>
  </si>
  <si>
    <t>AC.cons2_rev</t>
  </si>
  <si>
    <t>PEP.fye</t>
  </si>
  <si>
    <t>PEP.cons1_ebitda</t>
  </si>
  <si>
    <t>PEP.cons1_rev</t>
  </si>
  <si>
    <t>PEP.cons2_ebitda</t>
  </si>
  <si>
    <t>PEP.cons2_rev</t>
  </si>
  <si>
    <t>GRUMA.fye</t>
  </si>
  <si>
    <t>GRUMA</t>
  </si>
  <si>
    <t>Fiscal year end of the year containing the pricing date (FY1 = FY2026)</t>
  </si>
  <si>
    <t>Gruma FY = calendar year (FY25 release 18-Feb-2026)</t>
  </si>
  <si>
    <t>GRUMA.cons1_ebitda</t>
  </si>
  <si>
    <t>Consensus EBITDA, FY1</t>
  </si>
  <si>
    <t>No EBITDA consensus found (StockAnalysis EPS and revenue only, undated)</t>
  </si>
  <si>
    <t>Blank: Gruma NTM metrics stay n/a; Gruma enters LTM medians only</t>
  </si>
  <si>
    <t>E. US GAAP lease normalisation (SEC XBRL, 10-K and 10-Q; research 17-Oct-2026)</t>
  </si>
  <si>
    <t>FLO.lease_incl</t>
  </si>
  <si>
    <t>CIQ total debt includes operating lease liabilities? (reconciliation)</t>
  </si>
  <si>
    <t>yes/no</t>
  </si>
  <si>
    <t>A (financial debt) -16.0%; B (+ operating lease liabilities) -0.22%: CIQ includes leases</t>
  </si>
  <si>
    <t>FLO.op_liab</t>
  </si>
  <si>
    <t>Operating lease liabilities, latest balance (USD m)</t>
  </si>
  <si>
    <t>SEC XBRL OperatingLeaseLiability current + noncurrent (10-Q; 10-K for PEP and MDLZ current item)</t>
  </si>
  <si>
    <t>FLO.op_cost_fy24</t>
  </si>
  <si>
    <t>Operating lease cost, FY2024 (10-K, memo)</t>
  </si>
  <si>
    <t>SEC XBRL OperatingLeaseCost, FY2024 10-K</t>
  </si>
  <si>
    <t>FLO.op_cost_fy25</t>
  </si>
  <si>
    <t>Operating lease cost, FY2025 (10-K)</t>
  </si>
  <si>
    <t>SEC XBRL OperatingLeaseCost, FY2025 10-K</t>
  </si>
  <si>
    <t>FLO.op_cost_ltm</t>
  </si>
  <si>
    <t>Operating lease cost, LTM (add-back to EBITDA; operating lease cost only)</t>
  </si>
  <si>
    <t>FLO: FY25 91.969 + YTD 49.457 - YTD 49.617 (10-Q 18-Jul-2026); SJM: FY Apr-26 47.6 + Q1 FY27 11.7 - Q1 FY26 12.4; CPB: FY Aug-26 10-K 114.0; MDLZ and PEP: FY2025 10-K (LTM 10-Q YTD not found)</t>
  </si>
  <si>
    <t>Excludes short-term and variable lease cost (ASC 842)</t>
  </si>
  <si>
    <t>SJM.lease_incl</t>
  </si>
  <si>
    <t>B (+ operating lease liabilities 192.8 + finance leases 9.6) = 6,940.2 exact: CIQ includes leases</t>
  </si>
  <si>
    <t>SJM.op_liab</t>
  </si>
  <si>
    <t>SJM.op_cost_fy24</t>
  </si>
  <si>
    <t>SJM.op_cost_fy25</t>
  </si>
  <si>
    <t>SJM.op_cost_ltm</t>
  </si>
  <si>
    <t>CPB.lease_incl</t>
  </si>
  <si>
    <t>B (+ operating lease liabilities 313) = 7,450.0 exact: CIQ includes leases</t>
  </si>
  <si>
    <t>CPB.op_liab</t>
  </si>
  <si>
    <t>CPB.op_cost_fy24</t>
  </si>
  <si>
    <t>CPB.op_cost_fy25</t>
  </si>
  <si>
    <t>CPB.op_cost_ltm</t>
  </si>
  <si>
    <t>MDLZ.lease_incl</t>
  </si>
  <si>
    <t>B (+ noncurrent operating lease liabilities 609) = 22,059 exact; current portion not found at 30-Jun-26: CIQ includes leases (LTM cost = FY25 10-K)</t>
  </si>
  <si>
    <t>MDLZ.op_liab</t>
  </si>
  <si>
    <t>MDLZ: noncurrent only at 30-Jun-2026; current 164 at 31-Dec-2025</t>
  </si>
  <si>
    <t>MDLZ.op_cost_fy24</t>
  </si>
  <si>
    <t>MDLZ.op_cost_fy25</t>
  </si>
  <si>
    <t>MDLZ.op_cost_ltm</t>
  </si>
  <si>
    <t>assumption</t>
  </si>
  <si>
    <t>PEP.lease_incl</t>
  </si>
  <si>
    <t>A (financial debt) = 51,881 exact: CIQ EXCLUDES operating leases; add 3,846 (27-Dec-2025 10-K; 5-Sep-2026 balance not found)</t>
  </si>
  <si>
    <t>PEP.op_liab</t>
  </si>
  <si>
    <t>2025-12-27</t>
  </si>
  <si>
    <t>PEP: 5-Sep-2026 balance not found; 27-Dec-2025 10-K used (date mismatch flagged)</t>
  </si>
  <si>
    <t>PEP.op_cost_fy24</t>
  </si>
  <si>
    <t>PEP.op_cost_fy25</t>
  </si>
  <si>
    <t>PEP.op_cost_ltm</t>
  </si>
  <si>
    <t>F. IFRS 16 / J-GAAP lease basis (filings research 17-Oct-2026)</t>
  </si>
  <si>
    <t>GRUMA.lease_incl</t>
  </si>
  <si>
    <t>CIQ total debt includes IFRS 16 lease liabilities?</t>
  </si>
  <si>
    <t>Gruma 2Q26 BMV report: total debt incl. leases 2,111.8 carrying (CIQ 2,112)</t>
  </si>
  <si>
    <t>GRUMA.lease_liab</t>
  </si>
  <si>
    <t>Lease liabilities added to EV (USD m; IFRS 16 memo)</t>
  </si>
  <si>
    <t>Gruma 2Q26 BMV report p.19-20 (current 52.8; non-current 360.4)</t>
  </si>
  <si>
    <t>GRUMA.lease_addback_ltm</t>
  </si>
  <si>
    <t>Lease depreciation add-back to EBITDA, LTM (USD m)</t>
  </si>
  <si>
    <t>Not needed: company EBITDA is before lease costs (operating income + D&amp;A incl. ROU depreciation)</t>
  </si>
  <si>
    <t>Add only if CIQ or company EBITDA is after lease depreciation</t>
  </si>
  <si>
    <t>GRUMA.ifrs_basis_ok</t>
  </si>
  <si>
    <t>Lease basis established on IFRS 16-equivalent (yes/no)</t>
  </si>
  <si>
    <t>Decision rule: yes only if CIQ or company debt includes leases and EBITDA is before lease costs</t>
  </si>
  <si>
    <t>Gruma: inferred from IFRS 16 mechanics (D&amp;A includes ROU depreciation); confirm in the BMV report</t>
  </si>
  <si>
    <t>ARYN.lease_incl</t>
  </si>
  <si>
    <t>Aryzta and Arca: lease liabilities not read (H1-26 and 2Q26 reports unreadable)</t>
  </si>
  <si>
    <t>ARYN.lease_liab</t>
  </si>
  <si>
    <t>ARYN.lease_addback_ltm</t>
  </si>
  <si>
    <t>ARYN.ifrs_basis_ok</t>
  </si>
  <si>
    <t>Aryzta: not verified (H1-26 report not read)</t>
  </si>
  <si>
    <t>AC.lease_incl</t>
  </si>
  <si>
    <t>AC.lease_liab</t>
  </si>
  <si>
    <t>AC.lease_addback_ltm</t>
  </si>
  <si>
    <t>AC.ifrs_basis_ok</t>
  </si>
  <si>
    <t>Arca: not verified (2Q26 report not read; shares and NCI not found)</t>
  </si>
  <si>
    <t>YMZ.lease_incl</t>
  </si>
  <si>
    <t>Yamazaki: J-GAAP; operating lease obligations not found (FY25 yuho unreadable)</t>
  </si>
  <si>
    <t>YMZ.lease_liab</t>
  </si>
  <si>
    <t>YMZ.lease_addback_ltm</t>
  </si>
  <si>
    <t>YMZ.ifrs_basis_ok</t>
  </si>
  <si>
    <t>Yamazaki: J-GAAP; operating lease obligations not established</t>
  </si>
  <si>
    <t>BIMBO.fye</t>
  </si>
  <si>
    <t>Fiscal year = calendar year (company)</t>
  </si>
  <si>
    <t>Checks (formulas; flags shown as FLAG when a test fails)</t>
  </si>
  <si>
    <t>1. Enterprise value: CIQ table EV vs our EV on the claim basis (CIQ-quoted peers)</t>
  </si>
  <si>
    <t>CIQ EV (USD m)</t>
  </si>
  <si>
    <t>Our EV, claim basis (USD m)</t>
  </si>
  <si>
    <t>Difference</t>
  </si>
  <si>
    <t>Difference % of CIQ EV</t>
  </si>
  <si>
    <t>Flag (&gt;0.5%)</t>
  </si>
  <si>
    <t>Explanation</t>
  </si>
  <si>
    <t>Components 2,003.3 (debt 1,686.2 + operating leases 317.1) vs CIQ total debt 2,007.8: 4.5 unreconciled; NCI nil</t>
  </si>
  <si>
    <t>Exact: financial debt + finance leases + operating leases - cash = CIQ net debt</t>
  </si>
  <si>
    <t>Exact: redeemable NCI 304 + NCI 2 is the CIQ residual of 306</t>
  </si>
  <si>
    <t>Exact: NCI 53 is the CIQ residual; current operating lease portion (164 at FY25) not added</t>
  </si>
  <si>
    <t>Our EV adds operating leases 3,846 (CIQ excludes them) and deducts cash 10,675 only (CIQ deducts 488 more)</t>
  </si>
  <si>
    <t>Carried as the CIQ residual (-17.4, unexplained); components not verified</t>
  </si>
  <si>
    <t>2. Calendarisation weights sum to 1</t>
  </si>
  <si>
    <t>Weights check: BIMBO</t>
  </si>
  <si>
    <t>Weights check: FLO</t>
  </si>
  <si>
    <t>Weights check: GRUMA</t>
  </si>
  <si>
    <t>Weights check: YMZ</t>
  </si>
  <si>
    <t>Weights check: ARYN</t>
  </si>
  <si>
    <t>Weights check: SJM</t>
  </si>
  <si>
    <t>Weights check: CPB</t>
  </si>
  <si>
    <t>Weights check: MDLZ</t>
  </si>
  <si>
    <t>Weights check: AC</t>
  </si>
  <si>
    <t>Weights check: PEP</t>
  </si>
  <si>
    <t>3. Bimbo LTM Adjusted EBITDA: sum of four quarters vs company LTM (60,919)</t>
  </si>
  <si>
    <t>Sum of quarters 3Q25 to 2Q26 (MXN m)</t>
  </si>
  <si>
    <t>4. TearSheet identities and cross-checks</t>
  </si>
  <si>
    <t>Test</t>
  </si>
  <si>
    <t>FY2021</t>
  </si>
  <si>
    <t>FY2022</t>
  </si>
  <si>
    <t>FY2023</t>
  </si>
  <si>
    <t>Balance sheet identity: total assets - total liabilities - equity (should be 0)</t>
  </si>
  <si>
    <t>Net debt CIQ incl. leases minus (total debt incl. leases minus cash) (should be 0)</t>
  </si>
  <si>
    <t>Revenue CIQ sum of quarters minus company annual (MXN m; FY2025 company 426,952; FY2021-23 restated company)</t>
  </si>
  <si>
    <t>Consensus FY2026E EBITDA in USD at 17.46 minus CIQ dashboard US$3,558.4m (should be about 0)</t>
  </si>
  <si>
    <t>5. Error scan (count of error values in formula areas; must be 0)</t>
  </si>
  <si>
    <t>PeerAnalysis error cells</t>
  </si>
  <si>
    <t>TearSheet error cells</t>
  </si>
  <si>
    <t>Checks sheet error cells</t>
  </si>
  <si>
    <t>6. Known gaps and memo items (no value is invented; blank = not found)</t>
  </si>
  <si>
    <t>CIQ dividend and CFO actuals differ from company values in some years (TearSheet memo rows); company values used where stated.</t>
  </si>
  <si>
    <t>Gross profit: SEC for US peers (Flowers not found; Smucker LTM not used; Campbell's calculated), Gruma from its report; not in the CIQ pull. Price performance not retrieved.</t>
  </si>
  <si>
    <t>Arca and Yamazaki: shares and NCI not found (aggregator prices only), excluded from medians. Aryzta: H1-26 report unreadable; CIQ values shown descriptively.</t>
  </si>
  <si>
    <t>Gruma price is a delayed quote (no official BMV close found); replace with the BMV close before the report.</t>
  </si>
  <si>
    <t>Bimbo price MXN 58.60 and shares 4,294.9m are coordinator-supplied and not independently verified; each MXN 1 per share moves EV/EBITDA by about 0.07x.</t>
  </si>
  <si>
    <t>Bimbo NCI at book (722) is small against the FY25 NCI profit share (1,813) because consolidated IO profit is attributed to NCI (coordinator statement); on an economic NCI claim EV would be higher.</t>
  </si>
  <si>
    <t>CIQ NTM multiples tool values are audit only; they differ from the table-based NTM multiples by up to about 0.5x.</t>
  </si>
  <si>
    <t>7. Lease normalisation: CIQ total debt vs reconciled debt (US GAAP peers; values from SEC research)</t>
  </si>
  <si>
    <t>CIQ total debt (USD m)</t>
  </si>
  <si>
    <t>(A) financial debt (USD m)</t>
  </si>
  <si>
    <t>(A) vs CIQ</t>
  </si>
  <si>
    <t>(B) financial debt + op. lease liabilities (USD m)</t>
  </si>
  <si>
    <t>(B) vs CIQ</t>
  </si>
  <si>
    <t>CIQ includes op. leases?</t>
  </si>
  <si>
    <t>Basis note</t>
  </si>
  <si>
    <t>18-Jul-2026: financial debt 1,686.2 + op. lease liabilities 317.1 (75.2 + 241.9)</t>
  </si>
  <si>
    <t>31-Jul-2026: (B) with finance leases 9.6 = 6,940.2 exact</t>
  </si>
  <si>
    <t>2-Aug-2026 (FY26 10-K): 7,137 + op. lease liabilities 313 = 7,450 exact</t>
  </si>
  <si>
    <t>30-Jun-2026: noncurrent op. lease 609 ties exactly; current portion not found</t>
  </si>
  <si>
    <t>5-Sep-2026: (A) exact, so CIQ excludes leases; (B) uses 27-Dec-2025 liabilities 3,846</t>
  </si>
  <si>
    <t>8. FX and basis memo</t>
  </si>
  <si>
    <t>MXN per USD 17.46 (CIQ dashboard, Oct-2026) is used for every MXN market value (Gruma and Arca prices; Bimbo USD display).</t>
  </si>
  <si>
    <t>CIQ's note of 0.055690 USD per MXN (17.96) for Arca conflicts with Gruma's 30-Jun-2026 rate of 17.47 and is not used.</t>
  </si>
  <si>
    <t>CIQ's USD net debt for Bimbo (9,907) implies 17.47 MXN per USD (173,116 / 9,907), consistent with the spot rate used here.</t>
  </si>
  <si>
    <t>Bimbo multiples are computed in MXN and do not depend on FX; the USD columns are for size only.</t>
  </si>
  <si>
    <t>Gruma reports in USD: its balance-sheet items are USD at historical rates; its market cap uses the spot rate.</t>
  </si>
  <si>
    <t>Consensus for peers is in USD (CIQ); CIQ does not state its conversion rate, so NTM figures may differ from LTM by a few percent.</t>
  </si>
  <si>
    <t>9. EV claim basis: categories included and excluded (one basis for all eligible peers and Bimbo)</t>
  </si>
  <si>
    <t>Included: financial debt (incl. finance leases where separated), operating or IFRS 16 lease liabilities, NCI at book including redeemable NCI, less cash and equivalents.</t>
  </si>
  <si>
    <t>Excluded for every company: pensions and OPEB, Bimbo's MEPP, derivative assets and liabilities, equity-method investments, short-term investments (except as CIQ deducts them, flagged for PepsiCo).</t>
  </si>
  <si>
    <t>Reason: these claims are not sourced for every eligible peer (Gruma, Flowers, Smucker, Campbell's, Mondelez, PepsiCo); adding them would change the basis by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</si>
</sst>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00"/>
    <numFmt numFmtId="166" formatCode="#,##0.0"/>
    <numFmt numFmtId="167" formatCode="0.0%"/>
    <numFmt numFmtId="168" formatCode="0.00&quot;x&quot;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color rgb="FF0000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3" fontId="3" fillId="0" borderId="0" xfId="0" applyNumberFormat="1" applyFont="1"/>
    <xf numFmtId="167" fontId="0" fillId="0" borderId="0" xfId="0" applyNumberFormat="1"/>
    <xf numFmtId="2" fontId="3" fillId="0" borderId="0" xfId="0" applyNumberFormat="1" applyFont="1"/>
    <xf numFmtId="3" fontId="0" fillId="0" borderId="0" xfId="0" applyNumberFormat="1"/>
    <xf numFmtId="168" fontId="0" fillId="0" borderId="0" xfId="0" applyNumberFormat="1"/>
    <xf numFmtId="0" fontId="2" fillId="0" borderId="0" xfId="0" applyFont="1"/>
    <xf numFmtId="0" fontId="2" fillId="2" borderId="0" xfId="0" applyFont="1" applyFill="1" applyAlignment="1">
      <alignment wrapText="1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8" customWidth="1"/>
    <col min="2" max="2" width="10" customWidth="1"/>
    <col min="3" max="10" width="13" customWidth="1"/>
    <col min="11" max="11" width="18" customWidth="1"/>
    <col min="12" max="12" width="110" customWidth="1"/>
  </cols>
  <sheetData>
    <row r="1" spans="1:12" ht="15.75" x14ac:dyDescent="0.25">
      <c r="A1" s="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5" spans="1:12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 x14ac:dyDescent="0.25">
      <c r="A6" s="3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t="s">
        <v>16</v>
      </c>
      <c r="B7" t="s">
        <v>17</v>
      </c>
      <c r="C7" s="5">
        <v>338792</v>
      </c>
      <c r="D7" s="5">
        <v>398706</v>
      </c>
      <c r="E7" s="5">
        <v>399879</v>
      </c>
      <c r="F7" s="5">
        <v>408335</v>
      </c>
      <c r="G7" s="5">
        <v>426963</v>
      </c>
      <c r="H7" s="5">
        <v>426274.7</v>
      </c>
      <c r="I7" s="5">
        <v>445288</v>
      </c>
      <c r="J7" s="5">
        <v>468430.9</v>
      </c>
      <c r="K7" t="s">
        <v>18</v>
      </c>
      <c r="L7" t="s">
        <v>19</v>
      </c>
    </row>
    <row r="8" spans="1:12" x14ac:dyDescent="0.25">
      <c r="A8" t="s">
        <v>20</v>
      </c>
      <c r="B8" t="s">
        <v>21</v>
      </c>
      <c r="D8" s="6">
        <f t="shared" ref="D8:J8" si="0">IFERROR(D7/C7-1,"n/a")</f>
        <v>0.17684597038891114</v>
      </c>
      <c r="E8" s="6">
        <f t="shared" si="0"/>
        <v>2.9420174263743437E-3</v>
      </c>
      <c r="F8" s="6">
        <f t="shared" si="0"/>
        <v>2.1146396785027388E-2</v>
      </c>
      <c r="G8" s="6">
        <f t="shared" si="0"/>
        <v>4.5619405635078936E-2</v>
      </c>
      <c r="H8" s="6">
        <f t="shared" si="0"/>
        <v>-1.6120834826436337E-3</v>
      </c>
      <c r="I8" s="6">
        <f t="shared" si="0"/>
        <v>4.4603397762053465E-2</v>
      </c>
      <c r="J8" s="6">
        <f t="shared" si="0"/>
        <v>5.1972880472862526E-2</v>
      </c>
      <c r="K8" t="s">
        <v>22</v>
      </c>
      <c r="L8" t="s">
        <v>22</v>
      </c>
    </row>
    <row r="9" spans="1:12" x14ac:dyDescent="0.25">
      <c r="A9" t="s">
        <v>23</v>
      </c>
      <c r="B9" t="s">
        <v>17</v>
      </c>
      <c r="C9" s="5">
        <v>181789.4</v>
      </c>
      <c r="D9" s="5">
        <v>205974.39999999999</v>
      </c>
      <c r="E9" s="5">
        <v>206159.5</v>
      </c>
      <c r="F9" s="5">
        <v>214928</v>
      </c>
      <c r="G9" s="5">
        <v>224241.7</v>
      </c>
      <c r="K9" t="s">
        <v>24</v>
      </c>
      <c r="L9" t="s">
        <v>25</v>
      </c>
    </row>
    <row r="10" spans="1:12" x14ac:dyDescent="0.25">
      <c r="A10" t="s">
        <v>26</v>
      </c>
      <c r="B10" t="s">
        <v>21</v>
      </c>
      <c r="C10" s="6">
        <f>IFERROR(C9/C7,"n/a")</f>
        <v>0.53658114713452498</v>
      </c>
      <c r="D10" s="6">
        <f>IFERROR(D9/D7,"n/a")</f>
        <v>0.51660722437083961</v>
      </c>
      <c r="E10" s="6">
        <f>IFERROR(E9/E7,"n/a")</f>
        <v>0.51555470529835279</v>
      </c>
      <c r="F10" s="6">
        <f>IFERROR(F9/F7,"n/a")</f>
        <v>0.52635213733821495</v>
      </c>
      <c r="G10" s="6">
        <f>IFERROR(G9/G7,"n/a")</f>
        <v>0.52520171537112115</v>
      </c>
      <c r="K10" t="s">
        <v>22</v>
      </c>
      <c r="L10" t="s">
        <v>22</v>
      </c>
    </row>
    <row r="11" spans="1:12" x14ac:dyDescent="0.25">
      <c r="A11" t="s">
        <v>27</v>
      </c>
      <c r="B11" t="s">
        <v>21</v>
      </c>
      <c r="H11" s="7">
        <v>52.3</v>
      </c>
      <c r="I11" s="7">
        <v>52</v>
      </c>
      <c r="J11" s="7">
        <v>52.05</v>
      </c>
      <c r="K11" t="s">
        <v>28</v>
      </c>
      <c r="L11" t="s">
        <v>29</v>
      </c>
    </row>
    <row r="12" spans="1:12" x14ac:dyDescent="0.25">
      <c r="A12" t="s">
        <v>30</v>
      </c>
      <c r="B12" t="s">
        <v>17</v>
      </c>
      <c r="C12" s="5">
        <v>147963</v>
      </c>
      <c r="D12" s="5">
        <v>167254</v>
      </c>
      <c r="E12" s="5">
        <v>165748</v>
      </c>
      <c r="F12" s="5">
        <v>175164</v>
      </c>
      <c r="G12" s="5">
        <v>184186</v>
      </c>
      <c r="H12" s="5">
        <v>177262</v>
      </c>
      <c r="I12" s="5">
        <v>189938</v>
      </c>
      <c r="J12" s="5">
        <v>197030</v>
      </c>
      <c r="K12" t="s">
        <v>18</v>
      </c>
      <c r="L12" t="s">
        <v>31</v>
      </c>
    </row>
    <row r="13" spans="1:12" x14ac:dyDescent="0.25">
      <c r="A13" t="s">
        <v>32</v>
      </c>
      <c r="B13" t="s">
        <v>21</v>
      </c>
      <c r="C13" s="6">
        <f t="shared" ref="C13:J13" si="1">IFERROR(C12/C7,"n/a")</f>
        <v>0.43673699497036528</v>
      </c>
      <c r="D13" s="6">
        <f t="shared" si="1"/>
        <v>0.41949205680376017</v>
      </c>
      <c r="E13" s="6">
        <f t="shared" si="1"/>
        <v>0.41449538485391829</v>
      </c>
      <c r="F13" s="6">
        <f t="shared" si="1"/>
        <v>0.42897131032118235</v>
      </c>
      <c r="G13" s="6">
        <f t="shared" si="1"/>
        <v>0.43138632621562056</v>
      </c>
      <c r="H13" s="6">
        <f t="shared" si="1"/>
        <v>0.41583983285895221</v>
      </c>
      <c r="I13" s="6">
        <f t="shared" si="1"/>
        <v>0.42655090637969134</v>
      </c>
      <c r="J13" s="6">
        <f t="shared" si="1"/>
        <v>0.42061700028755572</v>
      </c>
      <c r="K13" t="s">
        <v>22</v>
      </c>
      <c r="L13" t="s">
        <v>22</v>
      </c>
    </row>
    <row r="14" spans="1:12" x14ac:dyDescent="0.25">
      <c r="A14" t="s">
        <v>33</v>
      </c>
      <c r="B14" t="s">
        <v>17</v>
      </c>
      <c r="C14" s="5">
        <v>148200.4</v>
      </c>
      <c r="D14" s="5">
        <v>169510.39999999999</v>
      </c>
      <c r="E14" s="5">
        <v>168704.7</v>
      </c>
      <c r="F14" s="5">
        <v>181779</v>
      </c>
      <c r="G14" s="5">
        <v>187970.1</v>
      </c>
      <c r="K14" t="s">
        <v>24</v>
      </c>
      <c r="L14" t="s">
        <v>34</v>
      </c>
    </row>
    <row r="15" spans="1:12" x14ac:dyDescent="0.25">
      <c r="A15" t="s">
        <v>35</v>
      </c>
      <c r="B15" t="s">
        <v>17</v>
      </c>
      <c r="C15" s="5">
        <v>33588.9</v>
      </c>
      <c r="D15" s="5">
        <v>36464.1</v>
      </c>
      <c r="E15" s="5">
        <v>37454.800000000003</v>
      </c>
      <c r="G15" s="5">
        <v>36271.599999999999</v>
      </c>
      <c r="K15" t="s">
        <v>24</v>
      </c>
      <c r="L15" t="s">
        <v>36</v>
      </c>
    </row>
    <row r="16" spans="1:12" x14ac:dyDescent="0.25">
      <c r="A16" t="s">
        <v>37</v>
      </c>
      <c r="B16" t="s">
        <v>17</v>
      </c>
      <c r="C16" s="5">
        <v>32580</v>
      </c>
      <c r="D16" s="5">
        <v>53696</v>
      </c>
      <c r="E16" s="5">
        <v>35455</v>
      </c>
      <c r="F16" s="5">
        <v>33149</v>
      </c>
      <c r="G16" s="5">
        <v>34146</v>
      </c>
      <c r="H16" s="5">
        <v>37446</v>
      </c>
      <c r="I16" s="5">
        <v>38779</v>
      </c>
      <c r="J16" s="5">
        <v>41926</v>
      </c>
      <c r="K16" t="s">
        <v>18</v>
      </c>
      <c r="L16" t="s">
        <v>38</v>
      </c>
    </row>
    <row r="17" spans="1:12" x14ac:dyDescent="0.25">
      <c r="A17" t="s">
        <v>39</v>
      </c>
      <c r="B17" t="s">
        <v>21</v>
      </c>
      <c r="C17" s="6">
        <f t="shared" ref="C17:J17" si="2">IFERROR(C16/C7,"n/a")</f>
        <v>9.616519870599069E-2</v>
      </c>
      <c r="D17" s="6">
        <f t="shared" si="2"/>
        <v>0.1346756758112494</v>
      </c>
      <c r="E17" s="6">
        <f t="shared" si="2"/>
        <v>8.8664320957089524E-2</v>
      </c>
      <c r="F17" s="6">
        <f t="shared" si="2"/>
        <v>8.1180893139211674E-2</v>
      </c>
      <c r="G17" s="6">
        <f t="shared" si="2"/>
        <v>7.9974142958523342E-2</v>
      </c>
      <c r="H17" s="6">
        <f t="shared" si="2"/>
        <v>8.7844763013146213E-2</v>
      </c>
      <c r="I17" s="6">
        <f t="shared" si="2"/>
        <v>8.7087458004707061E-2</v>
      </c>
      <c r="J17" s="6">
        <f t="shared" si="2"/>
        <v>8.950306224461281E-2</v>
      </c>
      <c r="K17" t="s">
        <v>22</v>
      </c>
      <c r="L17" t="s">
        <v>22</v>
      </c>
    </row>
    <row r="18" spans="1:12" x14ac:dyDescent="0.25">
      <c r="A18" t="s">
        <v>40</v>
      </c>
      <c r="B18" t="s">
        <v>17</v>
      </c>
      <c r="C18" s="5">
        <v>45540.9</v>
      </c>
      <c r="D18" s="5">
        <v>50087.1</v>
      </c>
      <c r="E18" s="5">
        <v>51987.8</v>
      </c>
      <c r="G18" s="5">
        <v>54815.1</v>
      </c>
      <c r="K18" t="s">
        <v>24</v>
      </c>
      <c r="L18" t="s">
        <v>41</v>
      </c>
    </row>
    <row r="19" spans="1:12" x14ac:dyDescent="0.25">
      <c r="A19" t="s">
        <v>42</v>
      </c>
      <c r="B19" t="s">
        <v>17</v>
      </c>
      <c r="C19" s="5">
        <v>47372</v>
      </c>
      <c r="D19" s="5">
        <v>53446</v>
      </c>
      <c r="E19" s="5">
        <v>54942</v>
      </c>
      <c r="F19" s="5">
        <v>55473</v>
      </c>
      <c r="G19" s="5">
        <v>59456</v>
      </c>
      <c r="H19" s="5">
        <v>62117</v>
      </c>
      <c r="I19" s="5">
        <v>64891</v>
      </c>
      <c r="J19" s="5">
        <v>68999</v>
      </c>
      <c r="K19" t="s">
        <v>18</v>
      </c>
      <c r="L19" t="s">
        <v>43</v>
      </c>
    </row>
    <row r="20" spans="1:12" x14ac:dyDescent="0.25">
      <c r="A20" t="s">
        <v>44</v>
      </c>
      <c r="B20" t="s">
        <v>21</v>
      </c>
      <c r="C20" s="6">
        <f t="shared" ref="C20:J20" si="3">IFERROR(C19/C7,"n/a")</f>
        <v>0.13982620604972962</v>
      </c>
      <c r="D20" s="6">
        <f t="shared" si="3"/>
        <v>0.13404864737425573</v>
      </c>
      <c r="E20" s="6">
        <f t="shared" si="3"/>
        <v>0.1373965624601442</v>
      </c>
      <c r="F20" s="6">
        <f t="shared" si="3"/>
        <v>0.13585169040126366</v>
      </c>
      <c r="G20" s="6">
        <f t="shared" si="3"/>
        <v>0.1392532842424285</v>
      </c>
      <c r="H20" s="6">
        <f t="shared" si="3"/>
        <v>0.14572058815594732</v>
      </c>
      <c r="I20" s="6">
        <f t="shared" si="3"/>
        <v>0.14572815795619914</v>
      </c>
      <c r="J20" s="6">
        <f t="shared" si="3"/>
        <v>0.14729813938405856</v>
      </c>
      <c r="K20" t="s">
        <v>22</v>
      </c>
      <c r="L20" t="s">
        <v>22</v>
      </c>
    </row>
    <row r="21" spans="1:12" x14ac:dyDescent="0.25">
      <c r="A21" t="s">
        <v>45</v>
      </c>
      <c r="B21" t="s">
        <v>17</v>
      </c>
      <c r="C21" s="5">
        <v>24854</v>
      </c>
      <c r="D21" s="5">
        <v>45878</v>
      </c>
      <c r="E21" s="5">
        <v>25324</v>
      </c>
      <c r="F21" s="5">
        <v>21034</v>
      </c>
      <c r="G21" s="5">
        <v>20143</v>
      </c>
      <c r="H21" s="5">
        <v>23597</v>
      </c>
      <c r="I21" s="5">
        <v>25677</v>
      </c>
      <c r="J21" s="5">
        <v>30308</v>
      </c>
      <c r="K21" t="s">
        <v>18</v>
      </c>
      <c r="L21" t="s">
        <v>46</v>
      </c>
    </row>
    <row r="22" spans="1:12" x14ac:dyDescent="0.25">
      <c r="A22" t="s">
        <v>47</v>
      </c>
      <c r="B22" t="s">
        <v>17</v>
      </c>
      <c r="C22" s="5">
        <v>15916</v>
      </c>
      <c r="D22" s="5">
        <v>46910</v>
      </c>
      <c r="E22" s="5">
        <v>15477</v>
      </c>
      <c r="F22" s="5">
        <v>12544</v>
      </c>
      <c r="G22" s="5">
        <v>11133</v>
      </c>
      <c r="H22" s="5">
        <v>13688</v>
      </c>
      <c r="I22" s="5">
        <v>15011</v>
      </c>
      <c r="J22" s="5">
        <v>17371</v>
      </c>
      <c r="K22" t="s">
        <v>18</v>
      </c>
      <c r="L22" t="s">
        <v>48</v>
      </c>
    </row>
    <row r="23" spans="1:12" x14ac:dyDescent="0.25">
      <c r="A23" t="s">
        <v>49</v>
      </c>
      <c r="B23" t="s">
        <v>21</v>
      </c>
      <c r="C23" s="6">
        <f t="shared" ref="C23:J23" si="4">IFERROR(C22/C7,"n/a")</f>
        <v>4.6978677182460037E-2</v>
      </c>
      <c r="D23" s="6">
        <f t="shared" si="4"/>
        <v>0.11765561591749309</v>
      </c>
      <c r="E23" s="6">
        <f t="shared" si="4"/>
        <v>3.8704208022926935E-2</v>
      </c>
      <c r="F23" s="6">
        <f t="shared" si="4"/>
        <v>3.0719874612756683E-2</v>
      </c>
      <c r="G23" s="6">
        <f t="shared" si="4"/>
        <v>2.6074858945622923E-2</v>
      </c>
      <c r="H23" s="6">
        <f t="shared" si="4"/>
        <v>3.2110749242214E-2</v>
      </c>
      <c r="I23" s="6">
        <f t="shared" si="4"/>
        <v>3.3710766964301753E-2</v>
      </c>
      <c r="J23" s="6">
        <f t="shared" si="4"/>
        <v>3.7083377719104353E-2</v>
      </c>
      <c r="K23" t="s">
        <v>22</v>
      </c>
      <c r="L23" t="s">
        <v>22</v>
      </c>
    </row>
    <row r="24" spans="1:12" x14ac:dyDescent="0.25">
      <c r="A24" t="s">
        <v>50</v>
      </c>
      <c r="B24" t="s">
        <v>51</v>
      </c>
      <c r="C24" s="7">
        <v>3.55</v>
      </c>
      <c r="D24" s="7">
        <v>10.54</v>
      </c>
      <c r="E24" s="7">
        <v>3.5</v>
      </c>
      <c r="F24" s="7">
        <v>2.88</v>
      </c>
      <c r="G24" s="7">
        <v>2.58</v>
      </c>
      <c r="H24" s="7">
        <v>3.07</v>
      </c>
      <c r="I24" s="7">
        <v>3.35</v>
      </c>
      <c r="J24" s="7">
        <v>3.8</v>
      </c>
      <c r="K24" t="s">
        <v>18</v>
      </c>
      <c r="L24" t="s">
        <v>52</v>
      </c>
    </row>
    <row r="25" spans="1:12" x14ac:dyDescent="0.25">
      <c r="A25" t="s">
        <v>53</v>
      </c>
      <c r="B25" t="s">
        <v>51</v>
      </c>
      <c r="C25" s="7">
        <v>1</v>
      </c>
      <c r="D25" s="7">
        <v>0.65</v>
      </c>
      <c r="E25" s="7">
        <v>0.78</v>
      </c>
      <c r="F25" s="7">
        <v>0.94</v>
      </c>
      <c r="G25" s="7">
        <v>1</v>
      </c>
      <c r="H25" s="7">
        <v>1.01</v>
      </c>
      <c r="I25" s="7">
        <v>1.05</v>
      </c>
      <c r="J25" s="7">
        <v>1.24</v>
      </c>
      <c r="K25" t="s">
        <v>18</v>
      </c>
      <c r="L25" t="s">
        <v>54</v>
      </c>
    </row>
    <row r="26" spans="1:12" x14ac:dyDescent="0.25">
      <c r="A26" t="s">
        <v>55</v>
      </c>
      <c r="B26" t="s">
        <v>51</v>
      </c>
      <c r="C26" s="7">
        <v>0</v>
      </c>
      <c r="D26" s="7">
        <v>1.3</v>
      </c>
      <c r="E26" s="7">
        <v>0.94</v>
      </c>
      <c r="F26" s="7">
        <v>0.94</v>
      </c>
      <c r="G26" s="7">
        <v>1</v>
      </c>
      <c r="K26" t="s">
        <v>24</v>
      </c>
      <c r="L26" t="s">
        <v>56</v>
      </c>
    </row>
    <row r="27" spans="1:12" x14ac:dyDescent="0.25">
      <c r="A27" s="3" t="s">
        <v>57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t="s">
        <v>58</v>
      </c>
      <c r="B28" t="s">
        <v>17</v>
      </c>
      <c r="C28" s="5">
        <v>8748</v>
      </c>
      <c r="D28" s="5">
        <v>12313</v>
      </c>
      <c r="E28" s="5">
        <v>6353</v>
      </c>
      <c r="F28" s="5">
        <v>8057</v>
      </c>
      <c r="G28" s="5">
        <v>8535</v>
      </c>
      <c r="K28" t="s">
        <v>24</v>
      </c>
      <c r="L28" t="s">
        <v>59</v>
      </c>
    </row>
    <row r="29" spans="1:12" x14ac:dyDescent="0.25">
      <c r="A29" t="s">
        <v>60</v>
      </c>
      <c r="B29" t="s">
        <v>17</v>
      </c>
      <c r="C29" s="5">
        <v>53411</v>
      </c>
      <c r="D29" s="5">
        <v>63470</v>
      </c>
      <c r="E29" s="5">
        <v>58914</v>
      </c>
      <c r="F29" s="5">
        <v>67180</v>
      </c>
      <c r="G29" s="5">
        <v>64671</v>
      </c>
      <c r="K29" t="s">
        <v>24</v>
      </c>
      <c r="L29" t="s">
        <v>61</v>
      </c>
    </row>
    <row r="30" spans="1:12" x14ac:dyDescent="0.25">
      <c r="A30" t="s">
        <v>62</v>
      </c>
      <c r="B30" t="s">
        <v>17</v>
      </c>
      <c r="C30" s="5">
        <v>337640</v>
      </c>
      <c r="D30" s="5">
        <v>347764</v>
      </c>
      <c r="E30" s="5">
        <v>348102</v>
      </c>
      <c r="F30" s="5">
        <v>416804</v>
      </c>
      <c r="G30" s="5">
        <v>409805</v>
      </c>
      <c r="K30" t="s">
        <v>24</v>
      </c>
      <c r="L30" t="s">
        <v>63</v>
      </c>
    </row>
    <row r="31" spans="1:12" x14ac:dyDescent="0.25">
      <c r="A31" t="s">
        <v>64</v>
      </c>
      <c r="B31" t="s">
        <v>17</v>
      </c>
      <c r="C31" s="8">
        <f>IFERROR(C30-C29,"n/a")</f>
        <v>284229</v>
      </c>
      <c r="D31" s="8">
        <f>IFERROR(D30-D29,"n/a")</f>
        <v>284294</v>
      </c>
      <c r="E31" s="8">
        <f>IFERROR(E30-E29,"n/a")</f>
        <v>289188</v>
      </c>
      <c r="F31" s="8">
        <f>IFERROR(F30-F29,"n/a")</f>
        <v>349624</v>
      </c>
      <c r="G31" s="8">
        <f>IFERROR(G30-G29,"n/a")</f>
        <v>345134</v>
      </c>
      <c r="K31" t="s">
        <v>22</v>
      </c>
      <c r="L31" t="s">
        <v>22</v>
      </c>
    </row>
    <row r="32" spans="1:12" x14ac:dyDescent="0.25">
      <c r="A32" t="s">
        <v>65</v>
      </c>
      <c r="B32" t="s">
        <v>17</v>
      </c>
      <c r="C32" s="5">
        <v>80760</v>
      </c>
      <c r="D32" s="5">
        <v>89734</v>
      </c>
      <c r="E32" s="5">
        <v>87192</v>
      </c>
      <c r="F32" s="5">
        <v>85155</v>
      </c>
      <c r="G32" s="5">
        <v>90573</v>
      </c>
      <c r="K32" t="s">
        <v>24</v>
      </c>
      <c r="L32" t="s">
        <v>66</v>
      </c>
    </row>
    <row r="33" spans="1:12" x14ac:dyDescent="0.25">
      <c r="A33" t="s">
        <v>67</v>
      </c>
      <c r="B33" t="s">
        <v>17</v>
      </c>
      <c r="C33" s="5">
        <v>236034</v>
      </c>
      <c r="D33" s="5">
        <v>220162</v>
      </c>
      <c r="E33" s="5">
        <v>236474</v>
      </c>
      <c r="F33" s="5">
        <v>289106</v>
      </c>
      <c r="G33" s="5">
        <v>289550</v>
      </c>
      <c r="K33" t="s">
        <v>24</v>
      </c>
      <c r="L33" t="s">
        <v>68</v>
      </c>
    </row>
    <row r="34" spans="1:12" x14ac:dyDescent="0.25">
      <c r="A34" t="s">
        <v>69</v>
      </c>
      <c r="B34" t="s">
        <v>17</v>
      </c>
      <c r="C34" s="8">
        <f>IFERROR(C33-C32,"n/a")</f>
        <v>155274</v>
      </c>
      <c r="D34" s="8">
        <f>IFERROR(D33-D32,"n/a")</f>
        <v>130428</v>
      </c>
      <c r="E34" s="8">
        <f>IFERROR(E33-E32,"n/a")</f>
        <v>149282</v>
      </c>
      <c r="F34" s="8">
        <f>IFERROR(F33-F32,"n/a")</f>
        <v>203951</v>
      </c>
      <c r="G34" s="8">
        <f>IFERROR(G33-G32,"n/a")</f>
        <v>198977</v>
      </c>
      <c r="K34" t="s">
        <v>22</v>
      </c>
      <c r="L34" t="s">
        <v>22</v>
      </c>
    </row>
    <row r="35" spans="1:12" x14ac:dyDescent="0.25">
      <c r="A35" t="s">
        <v>70</v>
      </c>
      <c r="B35" t="s">
        <v>17</v>
      </c>
      <c r="C35" s="5">
        <v>101606</v>
      </c>
      <c r="D35" s="5">
        <v>127602</v>
      </c>
      <c r="E35" s="5">
        <v>111628</v>
      </c>
      <c r="F35" s="5">
        <v>127698</v>
      </c>
      <c r="G35" s="5">
        <v>120255</v>
      </c>
      <c r="K35" t="s">
        <v>24</v>
      </c>
      <c r="L35" t="s">
        <v>71</v>
      </c>
    </row>
    <row r="36" spans="1:12" x14ac:dyDescent="0.25">
      <c r="A36" t="s">
        <v>72</v>
      </c>
      <c r="B36" t="s">
        <v>17</v>
      </c>
      <c r="C36" s="5">
        <v>124071</v>
      </c>
      <c r="D36" s="5">
        <v>113829</v>
      </c>
      <c r="E36" s="5">
        <v>139539</v>
      </c>
      <c r="F36" s="5">
        <v>187395</v>
      </c>
      <c r="G36" s="5">
        <v>190767</v>
      </c>
      <c r="K36" t="s">
        <v>24</v>
      </c>
      <c r="L36" t="s">
        <v>73</v>
      </c>
    </row>
    <row r="37" spans="1:12" x14ac:dyDescent="0.25">
      <c r="A37" t="s">
        <v>74</v>
      </c>
      <c r="B37" t="s">
        <v>17</v>
      </c>
      <c r="C37" s="5">
        <v>115323</v>
      </c>
      <c r="D37" s="5">
        <v>101516</v>
      </c>
      <c r="E37" s="5">
        <v>133186</v>
      </c>
      <c r="F37" s="5">
        <v>179338</v>
      </c>
      <c r="G37" s="5">
        <v>182232</v>
      </c>
      <c r="K37" t="s">
        <v>24</v>
      </c>
      <c r="L37" t="s">
        <v>75</v>
      </c>
    </row>
    <row r="38" spans="1:12" x14ac:dyDescent="0.25">
      <c r="A38" t="s">
        <v>76</v>
      </c>
      <c r="B38" t="s">
        <v>17</v>
      </c>
      <c r="C38" s="5">
        <v>84107</v>
      </c>
      <c r="D38" s="5">
        <v>71741</v>
      </c>
      <c r="E38" s="5">
        <v>103582</v>
      </c>
      <c r="F38" s="5">
        <v>142848</v>
      </c>
      <c r="G38" s="5">
        <v>145128</v>
      </c>
      <c r="K38" t="s">
        <v>24</v>
      </c>
      <c r="L38" t="s">
        <v>77</v>
      </c>
    </row>
    <row r="39" spans="1:12" x14ac:dyDescent="0.25">
      <c r="A39" t="s">
        <v>78</v>
      </c>
      <c r="B39" t="s">
        <v>79</v>
      </c>
      <c r="C39" s="9">
        <f>IFERROR(C37/C19,"n/a")</f>
        <v>2.4344127332601535</v>
      </c>
      <c r="D39" s="9">
        <f>IFERROR(D37/D19,"n/a")</f>
        <v>1.8994124911125247</v>
      </c>
      <c r="E39" s="9">
        <f>IFERROR(E37/E19,"n/a")</f>
        <v>2.4241199810709477</v>
      </c>
      <c r="F39" s="9">
        <f>IFERROR(F37/F19,"n/a")</f>
        <v>3.2328880716745085</v>
      </c>
      <c r="G39" s="9">
        <f>IFERROR(G37/G19,"n/a")</f>
        <v>3.064989235737352</v>
      </c>
      <c r="K39" t="s">
        <v>22</v>
      </c>
      <c r="L39" t="s">
        <v>22</v>
      </c>
    </row>
    <row r="40" spans="1:12" x14ac:dyDescent="0.25">
      <c r="A40" s="3" t="s">
        <v>80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t="s">
        <v>81</v>
      </c>
      <c r="B41" t="s">
        <v>17</v>
      </c>
      <c r="C41" s="5">
        <v>45776</v>
      </c>
      <c r="D41" s="5">
        <v>38851</v>
      </c>
      <c r="E41" s="5">
        <v>31411</v>
      </c>
      <c r="F41" s="5">
        <v>39907</v>
      </c>
      <c r="G41" s="5">
        <v>47753</v>
      </c>
      <c r="K41" t="s">
        <v>24</v>
      </c>
      <c r="L41" t="s">
        <v>82</v>
      </c>
    </row>
    <row r="42" spans="1:12" x14ac:dyDescent="0.25">
      <c r="A42" t="s">
        <v>83</v>
      </c>
      <c r="B42" t="s">
        <v>17</v>
      </c>
      <c r="C42" s="5">
        <v>-20671</v>
      </c>
      <c r="D42" s="5">
        <v>-28669</v>
      </c>
      <c r="E42" s="5">
        <v>-34754</v>
      </c>
      <c r="F42" s="5">
        <v>-29402</v>
      </c>
      <c r="G42" s="5">
        <v>-22530</v>
      </c>
      <c r="H42" s="5">
        <v>-21978.799999999999</v>
      </c>
      <c r="I42" s="5">
        <v>-22341.3</v>
      </c>
      <c r="J42" s="5">
        <v>-22933.5</v>
      </c>
      <c r="K42" t="s">
        <v>18</v>
      </c>
      <c r="L42" t="s">
        <v>84</v>
      </c>
    </row>
    <row r="43" spans="1:12" x14ac:dyDescent="0.25">
      <c r="A43" t="s">
        <v>85</v>
      </c>
      <c r="B43" t="s">
        <v>21</v>
      </c>
      <c r="C43" s="6">
        <f t="shared" ref="C43:J43" si="5">IFERROR(-C42/C7,"n/a")</f>
        <v>6.1013837398757938E-2</v>
      </c>
      <c r="D43" s="6">
        <f t="shared" si="5"/>
        <v>7.1905113040686627E-2</v>
      </c>
      <c r="E43" s="6">
        <f t="shared" si="5"/>
        <v>8.6911290665426286E-2</v>
      </c>
      <c r="F43" s="6">
        <f t="shared" si="5"/>
        <v>7.2004604062840566E-2</v>
      </c>
      <c r="G43" s="6">
        <f t="shared" si="5"/>
        <v>5.2768038448296459E-2</v>
      </c>
      <c r="H43" s="6">
        <f t="shared" si="5"/>
        <v>5.156017938667249E-2</v>
      </c>
      <c r="I43" s="6">
        <f t="shared" si="5"/>
        <v>5.0172697220675154E-2</v>
      </c>
      <c r="J43" s="6">
        <f t="shared" si="5"/>
        <v>4.8958128082498401E-2</v>
      </c>
      <c r="K43" t="s">
        <v>22</v>
      </c>
      <c r="L43" t="s">
        <v>22</v>
      </c>
    </row>
    <row r="44" spans="1:12" x14ac:dyDescent="0.25">
      <c r="A44" t="s">
        <v>86</v>
      </c>
      <c r="B44" t="s">
        <v>17</v>
      </c>
      <c r="D44" s="5">
        <v>-9122</v>
      </c>
      <c r="E44" s="5">
        <v>-42440</v>
      </c>
      <c r="F44" s="5">
        <v>-36138</v>
      </c>
      <c r="G44" s="5">
        <v>-34652</v>
      </c>
      <c r="K44" t="s">
        <v>87</v>
      </c>
      <c r="L44" t="s">
        <v>88</v>
      </c>
    </row>
    <row r="45" spans="1:12" x14ac:dyDescent="0.25">
      <c r="A45" t="s">
        <v>89</v>
      </c>
      <c r="B45" t="s">
        <v>17</v>
      </c>
      <c r="D45" s="5">
        <v>-25692</v>
      </c>
      <c r="E45" s="5">
        <v>5904</v>
      </c>
      <c r="G45" s="5">
        <v>-11908</v>
      </c>
      <c r="K45" t="s">
        <v>24</v>
      </c>
      <c r="L45" t="s">
        <v>90</v>
      </c>
    </row>
    <row r="46" spans="1:12" x14ac:dyDescent="0.25">
      <c r="A46" t="s">
        <v>91</v>
      </c>
      <c r="B46" t="s">
        <v>17</v>
      </c>
      <c r="C46" s="5">
        <v>-5502</v>
      </c>
      <c r="D46" s="5">
        <v>-6533</v>
      </c>
      <c r="E46" s="5">
        <v>11165</v>
      </c>
      <c r="F46" s="5">
        <v>1017</v>
      </c>
      <c r="G46" s="5">
        <v>-696</v>
      </c>
      <c r="K46" t="s">
        <v>24</v>
      </c>
      <c r="L46" t="s">
        <v>92</v>
      </c>
    </row>
    <row r="47" spans="1:12" x14ac:dyDescent="0.25">
      <c r="A47" t="s">
        <v>93</v>
      </c>
      <c r="B47" t="s">
        <v>17</v>
      </c>
      <c r="C47" s="5">
        <v>5451</v>
      </c>
      <c r="D47" s="5">
        <v>-2737</v>
      </c>
      <c r="E47" s="5">
        <v>-6542</v>
      </c>
      <c r="F47" s="5">
        <v>-7733</v>
      </c>
      <c r="G47" s="5">
        <v>-655</v>
      </c>
      <c r="K47" t="s">
        <v>24</v>
      </c>
      <c r="L47" t="s">
        <v>94</v>
      </c>
    </row>
    <row r="48" spans="1:12" x14ac:dyDescent="0.25">
      <c r="A48" t="s">
        <v>95</v>
      </c>
      <c r="B48" t="s">
        <v>17</v>
      </c>
      <c r="D48" s="5">
        <v>13502.3</v>
      </c>
      <c r="E48" s="5">
        <v>-10624.6</v>
      </c>
      <c r="G48" s="5">
        <v>16360.6</v>
      </c>
      <c r="K48" t="s">
        <v>24</v>
      </c>
      <c r="L48" t="s">
        <v>96</v>
      </c>
    </row>
    <row r="49" spans="1:12" x14ac:dyDescent="0.25">
      <c r="A49" s="3" t="s">
        <v>97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t="s">
        <v>98</v>
      </c>
      <c r="B50" t="s">
        <v>21</v>
      </c>
      <c r="C50" s="6">
        <f>IFERROR(C18/C7,"n/a")</f>
        <v>0.13442141490944295</v>
      </c>
      <c r="D50" s="6">
        <f>IFERROR(D18/D7,"n/a")</f>
        <v>0.1256241441061835</v>
      </c>
      <c r="E50" s="6">
        <f>IFERROR(E18/E7,"n/a")</f>
        <v>0.13000882767037028</v>
      </c>
      <c r="G50" s="6">
        <f>IFERROR(G18/G7,"n/a")</f>
        <v>0.12838372411660964</v>
      </c>
      <c r="K50" t="s">
        <v>22</v>
      </c>
      <c r="L50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14" width="15" customWidth="1"/>
    <col min="15" max="15" width="18" customWidth="1"/>
    <col min="16" max="17" width="15" customWidth="1"/>
    <col min="18" max="18" width="60" customWidth="1"/>
    <col min="19" max="19" width="50" customWidth="1"/>
    <col min="20" max="20" width="60" customWidth="1"/>
  </cols>
  <sheetData>
    <row r="1" spans="1:20" ht="15.75" x14ac:dyDescent="0.25">
      <c r="A1" s="1" t="s">
        <v>99</v>
      </c>
    </row>
    <row r="2" spans="1:20" x14ac:dyDescent="0.25">
      <c r="A2" t="s">
        <v>100</v>
      </c>
    </row>
    <row r="3" spans="1:20" x14ac:dyDescent="0.25">
      <c r="A3" t="s">
        <v>101</v>
      </c>
    </row>
    <row r="4" spans="1:20" x14ac:dyDescent="0.25">
      <c r="A4" t="s">
        <v>102</v>
      </c>
    </row>
    <row r="5" spans="1:20" x14ac:dyDescent="0.25">
      <c r="A5" t="s">
        <v>103</v>
      </c>
    </row>
    <row r="6" spans="1:20" x14ac:dyDescent="0.25">
      <c r="A6" t="s">
        <v>104</v>
      </c>
    </row>
    <row r="7" spans="1:20" x14ac:dyDescent="0.25">
      <c r="A7" t="s">
        <v>105</v>
      </c>
    </row>
    <row r="8" spans="1:20" x14ac:dyDescent="0.25">
      <c r="A8" t="s">
        <v>106</v>
      </c>
    </row>
    <row r="9" spans="1:20" x14ac:dyDescent="0.25">
      <c r="A9" s="10" t="s">
        <v>107</v>
      </c>
    </row>
    <row r="10" spans="1:20" ht="60" x14ac:dyDescent="0.25">
      <c r="A10" s="11" t="s">
        <v>108</v>
      </c>
      <c r="B10" s="11" t="s">
        <v>109</v>
      </c>
      <c r="C10" s="11" t="s">
        <v>110</v>
      </c>
      <c r="D10" s="11" t="s">
        <v>111</v>
      </c>
      <c r="E10" s="11" t="s">
        <v>112</v>
      </c>
      <c r="F10" s="11" t="s">
        <v>113</v>
      </c>
      <c r="G10" s="11" t="s">
        <v>114</v>
      </c>
      <c r="H10" s="11" t="s">
        <v>115</v>
      </c>
      <c r="I10" s="11" t="s">
        <v>116</v>
      </c>
      <c r="J10" s="11" t="s">
        <v>117</v>
      </c>
      <c r="K10" s="11" t="s">
        <v>118</v>
      </c>
      <c r="L10" s="11" t="s">
        <v>119</v>
      </c>
      <c r="M10" s="11" t="s">
        <v>120</v>
      </c>
      <c r="N10" s="11" t="s">
        <v>121</v>
      </c>
      <c r="O10" s="11" t="s">
        <v>122</v>
      </c>
      <c r="P10" s="11" t="s">
        <v>123</v>
      </c>
      <c r="Q10" s="11" t="s">
        <v>124</v>
      </c>
      <c r="R10" s="11" t="s">
        <v>125</v>
      </c>
      <c r="S10" s="11" t="s">
        <v>126</v>
      </c>
      <c r="T10" s="11" t="s">
        <v>127</v>
      </c>
    </row>
    <row r="11" spans="1:20" x14ac:dyDescent="0.25">
      <c r="A11" t="s">
        <v>128</v>
      </c>
      <c r="B11" t="s">
        <v>129</v>
      </c>
      <c r="C11" t="s">
        <v>130</v>
      </c>
      <c r="D11" t="s">
        <v>131</v>
      </c>
      <c r="E11" t="s">
        <v>131</v>
      </c>
      <c r="F11">
        <f>Inputs_Sources!$D$13</f>
        <v>58.6</v>
      </c>
      <c r="G11">
        <f>Inputs_Sources!$D$14</f>
        <v>4294.8999999999996</v>
      </c>
      <c r="H11">
        <f>1/Inputs_Sources!$D$11</f>
        <v>5.7273768613974797E-2</v>
      </c>
      <c r="I11">
        <f t="shared" ref="I11:I20" si="0">IFERROR(F11*G11*H11,"n/a")</f>
        <v>14414.727376861396</v>
      </c>
      <c r="J11">
        <f>IFERROR(Inputs_Sources!$D$18*H11,"n/a")</f>
        <v>8800.6872852233682</v>
      </c>
      <c r="K11">
        <f>IFERROR(Inputs_Sources!$D$19*H11,"n/a")</f>
        <v>1910.7101947308131</v>
      </c>
      <c r="L11">
        <f>IFERROR(Inputs_Sources!$D$17*H11,0)</f>
        <v>41.3516609392898</v>
      </c>
      <c r="M11">
        <f>IFERROR(Inputs_Sources!$D$16*H11,"n/a")</f>
        <v>948.62542955326455</v>
      </c>
      <c r="N11">
        <f t="shared" ref="N11:N20" si="1">IFERROR(J11+K11+L11-M11,"n/a")</f>
        <v>9804.1237113402058</v>
      </c>
      <c r="O11">
        <f t="shared" ref="O11:O20" si="2">IFERROR(I11+N11,"n/a")</f>
        <v>24218.851088201602</v>
      </c>
      <c r="P11" t="s">
        <v>132</v>
      </c>
      <c r="Q11" t="s">
        <v>132</v>
      </c>
      <c r="R11" t="s">
        <v>133</v>
      </c>
      <c r="S11" t="s">
        <v>134</v>
      </c>
      <c r="T11" t="s">
        <v>135</v>
      </c>
    </row>
    <row r="12" spans="1:20" x14ac:dyDescent="0.25">
      <c r="A12" t="s">
        <v>136</v>
      </c>
      <c r="B12" t="s">
        <v>137</v>
      </c>
      <c r="C12" t="s">
        <v>138</v>
      </c>
      <c r="D12" t="s">
        <v>139</v>
      </c>
      <c r="E12" t="s">
        <v>139</v>
      </c>
      <c r="F12">
        <f>IFERROR(Inputs_Sources!$D$37/Inputs_Sources!$D$38,"n/a")</f>
        <v>6.108910891089109</v>
      </c>
      <c r="G12">
        <f>Inputs_Sources!$D$38</f>
        <v>212.1</v>
      </c>
      <c r="H12">
        <v>1</v>
      </c>
      <c r="I12">
        <f t="shared" si="0"/>
        <v>1295.7</v>
      </c>
      <c r="J12">
        <f>Inputs_Sources!$D$191+Inputs_Sources!$D$192</f>
        <v>1686.2</v>
      </c>
      <c r="K12">
        <f>Inputs_Sources!$D$193</f>
        <v>317.10199999999998</v>
      </c>
      <c r="L12">
        <f>Inputs_Sources!$D$194</f>
        <v>0</v>
      </c>
      <c r="M12">
        <f>Inputs_Sources!$D$195</f>
        <v>52.765999999999998</v>
      </c>
      <c r="N12">
        <f t="shared" si="1"/>
        <v>1950.5360000000001</v>
      </c>
      <c r="O12">
        <f t="shared" si="2"/>
        <v>3246.2359999999999</v>
      </c>
      <c r="P12" t="s">
        <v>140</v>
      </c>
      <c r="Q12" t="s">
        <v>140</v>
      </c>
      <c r="R12" t="s">
        <v>141</v>
      </c>
      <c r="S12" t="s">
        <v>142</v>
      </c>
      <c r="T12" t="s">
        <v>143</v>
      </c>
    </row>
    <row r="13" spans="1:20" x14ac:dyDescent="0.25">
      <c r="A13" t="s">
        <v>144</v>
      </c>
      <c r="B13" t="s">
        <v>145</v>
      </c>
      <c r="C13" t="s">
        <v>138</v>
      </c>
      <c r="D13" t="s">
        <v>131</v>
      </c>
      <c r="E13" t="s">
        <v>139</v>
      </c>
      <c r="F13">
        <f>Inputs_Sources!$D$54</f>
        <v>242.02</v>
      </c>
      <c r="G13">
        <f>Inputs_Sources!$D$55</f>
        <v>336.20798500000001</v>
      </c>
      <c r="H13">
        <f>Inputs_Sources!$D$56</f>
        <v>5.7273768613974797E-2</v>
      </c>
      <c r="I13">
        <f t="shared" si="0"/>
        <v>4660.3125160194732</v>
      </c>
      <c r="J13">
        <f>Inputs_Sources!$D$226+Inputs_Sources!$D$227</f>
        <v>1698.6</v>
      </c>
      <c r="K13">
        <f>Inputs_Sources!$D$228</f>
        <v>413.2</v>
      </c>
      <c r="L13">
        <f>Inputs_Sources!$D$229</f>
        <v>2.8</v>
      </c>
      <c r="M13">
        <f>Inputs_Sources!$D$230</f>
        <v>483.6</v>
      </c>
      <c r="N13">
        <f t="shared" si="1"/>
        <v>1631</v>
      </c>
      <c r="O13">
        <f t="shared" si="2"/>
        <v>6291.3125160194732</v>
      </c>
      <c r="P13" t="s">
        <v>140</v>
      </c>
      <c r="Q13" t="s">
        <v>146</v>
      </c>
      <c r="R13" t="s">
        <v>147</v>
      </c>
      <c r="S13" t="s">
        <v>148</v>
      </c>
      <c r="T13" t="s">
        <v>149</v>
      </c>
    </row>
    <row r="14" spans="1:20" x14ac:dyDescent="0.25">
      <c r="A14" t="s">
        <v>150</v>
      </c>
      <c r="B14" t="s">
        <v>151</v>
      </c>
      <c r="C14" t="s">
        <v>138</v>
      </c>
      <c r="D14" t="s">
        <v>152</v>
      </c>
      <c r="E14" t="s">
        <v>152</v>
      </c>
      <c r="F14">
        <f>Inputs_Sources!$D$71</f>
        <v>3816</v>
      </c>
      <c r="G14" t="str">
        <f>Inputs_Sources!$D$72</f>
        <v>n/a</v>
      </c>
      <c r="H14">
        <f>Inputs_Sources!$D$73</f>
        <v>6.4819999999999999E-3</v>
      </c>
      <c r="I14" t="str">
        <f t="shared" si="0"/>
        <v>n/a</v>
      </c>
      <c r="J14" t="s">
        <v>153</v>
      </c>
      <c r="K14" t="s">
        <v>153</v>
      </c>
      <c r="L14" t="s">
        <v>153</v>
      </c>
      <c r="M14" t="s">
        <v>153</v>
      </c>
      <c r="N14" t="str">
        <f t="shared" si="1"/>
        <v>n/a</v>
      </c>
      <c r="O14" t="str">
        <f t="shared" si="2"/>
        <v>n/a</v>
      </c>
      <c r="P14" t="s">
        <v>146</v>
      </c>
      <c r="Q14" t="s">
        <v>146</v>
      </c>
      <c r="R14" t="s">
        <v>154</v>
      </c>
      <c r="S14" t="s">
        <v>148</v>
      </c>
      <c r="T14" t="s">
        <v>155</v>
      </c>
    </row>
    <row r="15" spans="1:20" x14ac:dyDescent="0.25">
      <c r="A15" t="s">
        <v>156</v>
      </c>
      <c r="B15" t="s">
        <v>157</v>
      </c>
      <c r="C15" t="s">
        <v>138</v>
      </c>
      <c r="D15" t="s">
        <v>139</v>
      </c>
      <c r="E15" t="s">
        <v>158</v>
      </c>
      <c r="F15">
        <f>IFERROR(Inputs_Sources!$D$88/Inputs_Sources!$D$89,"n/a")</f>
        <v>49.145161290322577</v>
      </c>
      <c r="G15">
        <f>Inputs_Sources!$D$89</f>
        <v>24.8</v>
      </c>
      <c r="H15">
        <v>1</v>
      </c>
      <c r="I15">
        <f t="shared" si="0"/>
        <v>1218.8</v>
      </c>
      <c r="J15">
        <f>Inputs_Sources!$D$233+Inputs_Sources!$D$234</f>
        <v>986.9</v>
      </c>
      <c r="K15">
        <f>Inputs_Sources!$D$235</f>
        <v>0</v>
      </c>
      <c r="L15">
        <f>Inputs_Sources!$D$236</f>
        <v>-17.399999999999999</v>
      </c>
      <c r="M15">
        <f>Inputs_Sources!$D$237</f>
        <v>85</v>
      </c>
      <c r="N15">
        <f t="shared" si="1"/>
        <v>884.5</v>
      </c>
      <c r="O15">
        <f t="shared" si="2"/>
        <v>2103.3000000000002</v>
      </c>
      <c r="P15" t="s">
        <v>146</v>
      </c>
      <c r="Q15" t="s">
        <v>146</v>
      </c>
      <c r="R15" t="s">
        <v>159</v>
      </c>
      <c r="S15" t="s">
        <v>148</v>
      </c>
      <c r="T15" t="s">
        <v>160</v>
      </c>
    </row>
    <row r="16" spans="1:20" x14ac:dyDescent="0.25">
      <c r="A16" t="s">
        <v>161</v>
      </c>
      <c r="B16" t="s">
        <v>162</v>
      </c>
      <c r="C16" t="s">
        <v>163</v>
      </c>
      <c r="D16" t="s">
        <v>139</v>
      </c>
      <c r="E16" t="s">
        <v>139</v>
      </c>
      <c r="F16">
        <f>IFERROR(Inputs_Sources!$D$105/Inputs_Sources!$D$106,"n/a")</f>
        <v>127.45786516853933</v>
      </c>
      <c r="G16">
        <f>Inputs_Sources!$D$106</f>
        <v>106.8</v>
      </c>
      <c r="H16">
        <v>1</v>
      </c>
      <c r="I16">
        <f t="shared" si="0"/>
        <v>13612.5</v>
      </c>
      <c r="J16">
        <f>Inputs_Sources!$D$198+Inputs_Sources!$D$199</f>
        <v>6747.4000000000005</v>
      </c>
      <c r="K16">
        <f>Inputs_Sources!$D$200</f>
        <v>192.8</v>
      </c>
      <c r="L16">
        <f>Inputs_Sources!$D$201</f>
        <v>0</v>
      </c>
      <c r="M16">
        <f>Inputs_Sources!$D$202</f>
        <v>43.2</v>
      </c>
      <c r="N16">
        <f t="shared" si="1"/>
        <v>6897.0000000000009</v>
      </c>
      <c r="O16">
        <f t="shared" si="2"/>
        <v>20509.5</v>
      </c>
      <c r="P16" t="s">
        <v>140</v>
      </c>
      <c r="Q16" t="s">
        <v>146</v>
      </c>
      <c r="R16" t="s">
        <v>164</v>
      </c>
      <c r="S16" t="s">
        <v>148</v>
      </c>
      <c r="T16" t="s">
        <v>165</v>
      </c>
    </row>
    <row r="17" spans="1:20" x14ac:dyDescent="0.25">
      <c r="A17" t="s">
        <v>166</v>
      </c>
      <c r="B17" t="s">
        <v>167</v>
      </c>
      <c r="C17" t="s">
        <v>163</v>
      </c>
      <c r="D17" t="s">
        <v>139</v>
      </c>
      <c r="E17" t="s">
        <v>139</v>
      </c>
      <c r="F17">
        <f>IFERROR(Inputs_Sources!$D$122/Inputs_Sources!$D$123,"n/a")</f>
        <v>19.872233400402415</v>
      </c>
      <c r="G17">
        <f>Inputs_Sources!$D$123</f>
        <v>298.2</v>
      </c>
      <c r="H17">
        <v>1</v>
      </c>
      <c r="I17">
        <f t="shared" si="0"/>
        <v>5925.9</v>
      </c>
      <c r="J17">
        <f>Inputs_Sources!$D$205+Inputs_Sources!$D$206</f>
        <v>7137</v>
      </c>
      <c r="K17">
        <f>Inputs_Sources!$D$207</f>
        <v>313</v>
      </c>
      <c r="L17">
        <f>Inputs_Sources!$D$208</f>
        <v>306</v>
      </c>
      <c r="M17">
        <f>Inputs_Sources!$D$209</f>
        <v>394</v>
      </c>
      <c r="N17">
        <f t="shared" si="1"/>
        <v>7362</v>
      </c>
      <c r="O17">
        <f t="shared" si="2"/>
        <v>13287.9</v>
      </c>
      <c r="P17" t="s">
        <v>140</v>
      </c>
      <c r="Q17" t="s">
        <v>140</v>
      </c>
      <c r="R17" t="s">
        <v>168</v>
      </c>
      <c r="S17" t="s">
        <v>148</v>
      </c>
      <c r="T17" t="s">
        <v>169</v>
      </c>
    </row>
    <row r="18" spans="1:20" x14ac:dyDescent="0.25">
      <c r="A18" t="s">
        <v>170</v>
      </c>
      <c r="B18" t="s">
        <v>171</v>
      </c>
      <c r="C18" t="s">
        <v>163</v>
      </c>
      <c r="D18" t="s">
        <v>139</v>
      </c>
      <c r="E18" t="s">
        <v>139</v>
      </c>
      <c r="F18">
        <f>IFERROR(Inputs_Sources!$D$139/Inputs_Sources!$D$140,"n/a")</f>
        <v>63.910365901433835</v>
      </c>
      <c r="G18">
        <f>Inputs_Sources!$D$140</f>
        <v>1276.3</v>
      </c>
      <c r="H18">
        <v>1</v>
      </c>
      <c r="I18">
        <f t="shared" si="0"/>
        <v>81568.800000000003</v>
      </c>
      <c r="J18">
        <f>Inputs_Sources!$D$212+Inputs_Sources!$D$213</f>
        <v>21450</v>
      </c>
      <c r="K18">
        <f>Inputs_Sources!$D$214</f>
        <v>609</v>
      </c>
      <c r="L18">
        <f>Inputs_Sources!$D$215</f>
        <v>53</v>
      </c>
      <c r="M18">
        <f>Inputs_Sources!$D$216</f>
        <v>1716</v>
      </c>
      <c r="N18">
        <f t="shared" si="1"/>
        <v>20396</v>
      </c>
      <c r="O18">
        <f t="shared" si="2"/>
        <v>101964.8</v>
      </c>
      <c r="P18" t="s">
        <v>140</v>
      </c>
      <c r="Q18" t="s">
        <v>140</v>
      </c>
      <c r="R18" t="s">
        <v>172</v>
      </c>
      <c r="S18" t="s">
        <v>148</v>
      </c>
      <c r="T18" t="s">
        <v>173</v>
      </c>
    </row>
    <row r="19" spans="1:20" x14ac:dyDescent="0.25">
      <c r="A19" t="s">
        <v>174</v>
      </c>
      <c r="B19" t="s">
        <v>175</v>
      </c>
      <c r="C19" t="s">
        <v>163</v>
      </c>
      <c r="D19" t="s">
        <v>131</v>
      </c>
      <c r="E19" t="s">
        <v>131</v>
      </c>
      <c r="F19">
        <f>Inputs_Sources!$D$156</f>
        <v>209.66</v>
      </c>
      <c r="G19" t="str">
        <f>Inputs_Sources!$D$157</f>
        <v>n/a</v>
      </c>
      <c r="H19">
        <f>Inputs_Sources!$D$158</f>
        <v>5.7273768613974797E-2</v>
      </c>
      <c r="I19" t="str">
        <f t="shared" si="0"/>
        <v>n/a</v>
      </c>
      <c r="J19" t="s">
        <v>153</v>
      </c>
      <c r="K19" t="s">
        <v>153</v>
      </c>
      <c r="L19" t="s">
        <v>153</v>
      </c>
      <c r="M19" t="s">
        <v>153</v>
      </c>
      <c r="N19" t="str">
        <f t="shared" si="1"/>
        <v>n/a</v>
      </c>
      <c r="O19" t="str">
        <f t="shared" si="2"/>
        <v>n/a</v>
      </c>
      <c r="P19" t="s">
        <v>146</v>
      </c>
      <c r="Q19" t="s">
        <v>146</v>
      </c>
      <c r="R19" t="s">
        <v>154</v>
      </c>
      <c r="S19" t="s">
        <v>148</v>
      </c>
      <c r="T19" t="s">
        <v>176</v>
      </c>
    </row>
    <row r="20" spans="1:20" x14ac:dyDescent="0.25">
      <c r="A20" t="s">
        <v>177</v>
      </c>
      <c r="B20" t="s">
        <v>178</v>
      </c>
      <c r="C20" t="s">
        <v>163</v>
      </c>
      <c r="D20" t="s">
        <v>139</v>
      </c>
      <c r="E20" t="s">
        <v>139</v>
      </c>
      <c r="F20">
        <f>IFERROR(Inputs_Sources!$D$173/Inputs_Sources!$D$174,"n/a")</f>
        <v>131.5039994129302</v>
      </c>
      <c r="G20">
        <f>Inputs_Sources!$D$174</f>
        <v>1362.7</v>
      </c>
      <c r="H20">
        <v>1</v>
      </c>
      <c r="I20">
        <f t="shared" si="0"/>
        <v>179200.5</v>
      </c>
      <c r="J20">
        <f>Inputs_Sources!$D$219+Inputs_Sources!$D$220</f>
        <v>51881</v>
      </c>
      <c r="K20">
        <f>Inputs_Sources!$D$221</f>
        <v>3846</v>
      </c>
      <c r="L20">
        <f>Inputs_Sources!$D$222</f>
        <v>195</v>
      </c>
      <c r="M20">
        <f>Inputs_Sources!$D$223</f>
        <v>10675</v>
      </c>
      <c r="N20">
        <f t="shared" si="1"/>
        <v>45247</v>
      </c>
      <c r="O20">
        <f t="shared" si="2"/>
        <v>224447.5</v>
      </c>
      <c r="P20" t="s">
        <v>140</v>
      </c>
      <c r="Q20" t="s">
        <v>140</v>
      </c>
      <c r="R20" t="s">
        <v>179</v>
      </c>
      <c r="S20" t="s">
        <v>180</v>
      </c>
      <c r="T20" t="s">
        <v>181</v>
      </c>
    </row>
    <row r="23" spans="1:20" x14ac:dyDescent="0.25">
      <c r="A23" s="10" t="s">
        <v>182</v>
      </c>
    </row>
    <row r="24" spans="1:20" ht="45" x14ac:dyDescent="0.25">
      <c r="A24" s="11" t="s">
        <v>108</v>
      </c>
      <c r="B24" s="11" t="s">
        <v>183</v>
      </c>
      <c r="C24" s="11" t="s">
        <v>184</v>
      </c>
      <c r="D24" s="11" t="s">
        <v>185</v>
      </c>
      <c r="E24" s="11" t="s">
        <v>186</v>
      </c>
      <c r="F24" s="11" t="s">
        <v>187</v>
      </c>
      <c r="G24" s="11" t="s">
        <v>188</v>
      </c>
      <c r="H24" s="11" t="s">
        <v>189</v>
      </c>
      <c r="I24" s="11" t="s">
        <v>190</v>
      </c>
      <c r="J24" s="11" t="s">
        <v>191</v>
      </c>
      <c r="K24" s="11" t="s">
        <v>192</v>
      </c>
      <c r="L24" s="11" t="s">
        <v>193</v>
      </c>
      <c r="M24" s="11" t="s">
        <v>194</v>
      </c>
      <c r="N24" s="11" t="s">
        <v>195</v>
      </c>
      <c r="O24" s="11" t="s">
        <v>196</v>
      </c>
      <c r="P24" s="11" t="s">
        <v>197</v>
      </c>
      <c r="Q24" s="11" t="s">
        <v>198</v>
      </c>
      <c r="R24" s="11" t="s">
        <v>199</v>
      </c>
    </row>
    <row r="25" spans="1:20" x14ac:dyDescent="0.25">
      <c r="A25" t="s">
        <v>200</v>
      </c>
      <c r="B25">
        <f>IFERROR(TearSheet!$F$7*$H$11,"n/a")</f>
        <v>23386.884306987398</v>
      </c>
      <c r="C25">
        <f>IFERROR(TearSheet!$G$7*$H$11,"n/a")</f>
        <v>24453.78006872852</v>
      </c>
      <c r="D25">
        <f>IFERROR(Inputs_Sources!$D$29*$H$11,"n/a")</f>
        <v>24136.4833906071</v>
      </c>
      <c r="E25">
        <f>IFERROR(K60*$H$11,"n/a")</f>
        <v>25273.595364747598</v>
      </c>
      <c r="F25">
        <f>IFERROR(TearSheet!$F$19*$H$11,"n/a")</f>
        <v>3177.1477663230239</v>
      </c>
      <c r="G25">
        <f>IFERROR(TearSheet!$G$19*$H$11,"n/a")</f>
        <v>3405.2691867124854</v>
      </c>
      <c r="H25">
        <f>IFERROR((Inputs_Sources!$D$25+Inputs_Sources!$D$26+Inputs_Sources!$D$27+Inputs_Sources!$D$28)*$H$11,"n/a")</f>
        <v>3489.0607101947307</v>
      </c>
      <c r="I25">
        <v>0</v>
      </c>
      <c r="J25">
        <f t="shared" ref="J25:J34" si="3">IFERROR(H25+I25,"n/a")</f>
        <v>3489.0607101947307</v>
      </c>
      <c r="K25">
        <f>IFERROR(H60*$H$11,"n/a")</f>
        <v>3683.0355097365405</v>
      </c>
      <c r="L25">
        <f t="shared" ref="L25:L34" si="4">IFERROR(K25+I25,"n/a")</f>
        <v>3683.0355097365405</v>
      </c>
      <c r="M25">
        <f>IFERROR(Inputs_Sources!$D$34*$H$11,"n/a")</f>
        <v>12685.582073310423</v>
      </c>
      <c r="N25">
        <f>IFERROR(Inputs_Sources!$D$35*$H$11,"n/a")</f>
        <v>1456.6637671821306</v>
      </c>
      <c r="O25">
        <f t="shared" ref="O25:O34" si="5">IFERROR(J25/D25,"n/a")</f>
        <v>0.14455547039435437</v>
      </c>
      <c r="P25">
        <f t="shared" ref="P25:P34" si="6">IFERROR(M25/D25,"n/a")</f>
        <v>0.52557706390016679</v>
      </c>
      <c r="Q25">
        <f>IFERROR(Inputs_Sources!$D$30+Inputs_Sources!$D$31+Inputs_Sources!$D$32+Inputs_Sources!$D$33,"n/a")</f>
        <v>3.1750000000000003</v>
      </c>
      <c r="R25">
        <f>N60</f>
        <v>3.290931506849315</v>
      </c>
    </row>
    <row r="26" spans="1:20" x14ac:dyDescent="0.25">
      <c r="A26" t="s">
        <v>136</v>
      </c>
      <c r="B26">
        <f>Inputs_Sources!$D$44</f>
        <v>5103.5</v>
      </c>
      <c r="C26">
        <f>Inputs_Sources!$D$45</f>
        <v>5256.5</v>
      </c>
      <c r="D26">
        <f>Inputs_Sources!$D$43</f>
        <v>5223.8999999999996</v>
      </c>
      <c r="E26">
        <f t="shared" ref="E26:E34" si="7">K61</f>
        <v>5062.0876712328773</v>
      </c>
      <c r="F26">
        <f>Inputs_Sources!$D$46</f>
        <v>520.70000000000005</v>
      </c>
      <c r="G26">
        <f>Inputs_Sources!$D$47</f>
        <v>514.79999999999995</v>
      </c>
      <c r="H26">
        <f>Inputs_Sources!$D$42</f>
        <v>486.9</v>
      </c>
      <c r="I26">
        <f>IF(ISNUMBER(Inputs_Sources!$D$289),Inputs_Sources!$D$289,0)</f>
        <v>91.808999999999997</v>
      </c>
      <c r="J26">
        <f t="shared" si="3"/>
        <v>578.70899999999995</v>
      </c>
      <c r="K26">
        <f t="shared" ref="K26:K34" si="8">H61</f>
        <v>436.26849315068495</v>
      </c>
      <c r="L26">
        <f t="shared" si="4"/>
        <v>528.07749315068497</v>
      </c>
      <c r="M26" t="str">
        <f>Inputs_Sources!$D$48</f>
        <v>n/a</v>
      </c>
      <c r="N26">
        <f>Inputs_Sources!$D$49</f>
        <v>298.5</v>
      </c>
      <c r="O26">
        <f t="shared" si="5"/>
        <v>0.11078102567047608</v>
      </c>
      <c r="P26" t="str">
        <f t="shared" si="6"/>
        <v>n/a</v>
      </c>
      <c r="Q26">
        <f>IFERROR(F12/Inputs_Sources!$D$50,"n/a")</f>
        <v>0.26050792712533516</v>
      </c>
      <c r="R26">
        <f>IFERROR(F12/Inputs_Sources!$D$51,"n/a")</f>
        <v>0.68408856563147924</v>
      </c>
    </row>
    <row r="27" spans="1:20" x14ac:dyDescent="0.25">
      <c r="A27" t="s">
        <v>144</v>
      </c>
      <c r="B27">
        <f>Inputs_Sources!$D$61</f>
        <v>6486.9</v>
      </c>
      <c r="C27">
        <f>Inputs_Sources!$D$62</f>
        <v>6374.6</v>
      </c>
      <c r="D27">
        <f>Inputs_Sources!$D$60</f>
        <v>6500.1</v>
      </c>
      <c r="E27" t="str">
        <f t="shared" si="7"/>
        <v>n/a</v>
      </c>
      <c r="F27">
        <f>Inputs_Sources!$D$63</f>
        <v>1131.0999999999999</v>
      </c>
      <c r="G27">
        <f>Inputs_Sources!$D$64</f>
        <v>1136</v>
      </c>
      <c r="H27">
        <f>Inputs_Sources!$D$59</f>
        <v>1108.9000000000001</v>
      </c>
      <c r="I27">
        <f>IF(ISNUMBER(Inputs_Sources!$D$313),Inputs_Sources!$D$313,0)</f>
        <v>0</v>
      </c>
      <c r="J27">
        <f t="shared" si="3"/>
        <v>1108.9000000000001</v>
      </c>
      <c r="K27" t="str">
        <f t="shared" si="8"/>
        <v>n/a</v>
      </c>
      <c r="L27" t="str">
        <f t="shared" si="4"/>
        <v>n/a</v>
      </c>
      <c r="M27">
        <f>Inputs_Sources!$D$65</f>
        <v>2522.1999999999998</v>
      </c>
      <c r="N27" t="str">
        <f>Inputs_Sources!$D$66</f>
        <v>n/a</v>
      </c>
      <c r="O27">
        <f t="shared" si="5"/>
        <v>0.17059737542499345</v>
      </c>
      <c r="P27">
        <f t="shared" si="6"/>
        <v>0.38802479961846736</v>
      </c>
      <c r="Q27" t="str">
        <f>IFERROR(F13/Inputs_Sources!$D$67,"n/a")</f>
        <v>n/a</v>
      </c>
      <c r="R27" t="str">
        <f>IFERROR(F13/Inputs_Sources!$D$68,"n/a")</f>
        <v>n/a</v>
      </c>
    </row>
    <row r="28" spans="1:20" x14ac:dyDescent="0.25">
      <c r="A28" t="s">
        <v>150</v>
      </c>
      <c r="B28">
        <f>Inputs_Sources!$D$78</f>
        <v>8224.6</v>
      </c>
      <c r="C28" t="str">
        <f>Inputs_Sources!$D$79</f>
        <v>n/a</v>
      </c>
      <c r="D28">
        <f>Inputs_Sources!$D$77</f>
        <v>8669.9</v>
      </c>
      <c r="E28">
        <f t="shared" si="7"/>
        <v>8746.352876712328</v>
      </c>
      <c r="F28">
        <f>Inputs_Sources!$D$80</f>
        <v>630.29999999999995</v>
      </c>
      <c r="G28">
        <f>Inputs_Sources!$D$81</f>
        <v>712</v>
      </c>
      <c r="H28">
        <f>Inputs_Sources!$D$76</f>
        <v>706.7</v>
      </c>
      <c r="I28">
        <v>0</v>
      </c>
      <c r="J28">
        <f t="shared" si="3"/>
        <v>706.7</v>
      </c>
      <c r="K28">
        <f t="shared" si="8"/>
        <v>732.76630136986296</v>
      </c>
      <c r="L28">
        <f t="shared" si="4"/>
        <v>732.76630136986296</v>
      </c>
      <c r="M28" t="str">
        <f>Inputs_Sources!$D$82</f>
        <v>n/a</v>
      </c>
      <c r="N28">
        <f>Inputs_Sources!$D$83</f>
        <v>113.4</v>
      </c>
      <c r="O28">
        <f t="shared" si="5"/>
        <v>8.1511897484400062E-2</v>
      </c>
      <c r="P28" t="str">
        <f t="shared" si="6"/>
        <v>n/a</v>
      </c>
      <c r="Q28">
        <f>IFERROR(F14/Inputs_Sources!$D$84,"n/a")</f>
        <v>215.10710259301015</v>
      </c>
      <c r="R28">
        <f>IFERROR(F14/Inputs_Sources!$D$85,"n/a")</f>
        <v>226.60332541567695</v>
      </c>
    </row>
    <row r="29" spans="1:20" x14ac:dyDescent="0.25">
      <c r="A29" t="s">
        <v>156</v>
      </c>
      <c r="B29">
        <f>Inputs_Sources!$D$95</f>
        <v>2374.1</v>
      </c>
      <c r="C29">
        <f>Inputs_Sources!$D$96</f>
        <v>2513.6999999999998</v>
      </c>
      <c r="D29">
        <f>Inputs_Sources!$D$94</f>
        <v>2567.4</v>
      </c>
      <c r="E29">
        <f t="shared" si="7"/>
        <v>2569.3717808219176</v>
      </c>
      <c r="F29">
        <f>Inputs_Sources!$D$97</f>
        <v>295.3</v>
      </c>
      <c r="G29">
        <f>Inputs_Sources!$D$98</f>
        <v>287.39999999999998</v>
      </c>
      <c r="H29">
        <f>Inputs_Sources!$D$93</f>
        <v>252.4</v>
      </c>
      <c r="I29">
        <f>IF(ISNUMBER(Inputs_Sources!$D$317),Inputs_Sources!$D$317,0)</f>
        <v>0</v>
      </c>
      <c r="J29">
        <f t="shared" si="3"/>
        <v>252.4</v>
      </c>
      <c r="K29">
        <f t="shared" si="8"/>
        <v>361.72246575342467</v>
      </c>
      <c r="L29">
        <f t="shared" si="4"/>
        <v>361.72246575342467</v>
      </c>
      <c r="M29" t="str">
        <f>Inputs_Sources!$D$99</f>
        <v>n/a</v>
      </c>
      <c r="N29">
        <f>Inputs_Sources!$D$100</f>
        <v>138.1</v>
      </c>
      <c r="O29">
        <f t="shared" si="5"/>
        <v>9.8309573887980062E-2</v>
      </c>
      <c r="P29" t="str">
        <f t="shared" si="6"/>
        <v>n/a</v>
      </c>
      <c r="Q29">
        <f>IFERROR(F15/Inputs_Sources!$D$101,"n/a")</f>
        <v>4.8134340147230725</v>
      </c>
      <c r="R29">
        <f>IFERROR(F15/Inputs_Sources!$D$102,"n/a")</f>
        <v>5.4545129068060572</v>
      </c>
    </row>
    <row r="30" spans="1:20" x14ac:dyDescent="0.25">
      <c r="A30" t="s">
        <v>161</v>
      </c>
      <c r="B30">
        <f>Inputs_Sources!$D$112</f>
        <v>8178.7</v>
      </c>
      <c r="C30">
        <f>Inputs_Sources!$D$113</f>
        <v>8726.1</v>
      </c>
      <c r="D30">
        <f>Inputs_Sources!$D$111</f>
        <v>9156.9</v>
      </c>
      <c r="E30">
        <f t="shared" si="7"/>
        <v>8979.6413698630131</v>
      </c>
      <c r="F30">
        <f>Inputs_Sources!$D$114</f>
        <v>1874.1</v>
      </c>
      <c r="G30">
        <f>Inputs_Sources!$D$115</f>
        <v>2156.1999999999998</v>
      </c>
      <c r="H30">
        <f>Inputs_Sources!$D$110</f>
        <v>2263.9</v>
      </c>
      <c r="I30">
        <f>IF(ISNUMBER(Inputs_Sources!$D$294),Inputs_Sources!$D$294,0)</f>
        <v>46.9</v>
      </c>
      <c r="J30">
        <f t="shared" si="3"/>
        <v>2310.8000000000002</v>
      </c>
      <c r="K30">
        <f t="shared" si="8"/>
        <v>2178.5843835616442</v>
      </c>
      <c r="L30">
        <f t="shared" si="4"/>
        <v>2225.4843835616443</v>
      </c>
      <c r="M30" t="str">
        <f>Inputs_Sources!$D$116</f>
        <v>n/a</v>
      </c>
      <c r="N30">
        <f>Inputs_Sources!$D$117</f>
        <v>1464.3</v>
      </c>
      <c r="O30">
        <f t="shared" si="5"/>
        <v>0.25235614673088058</v>
      </c>
      <c r="P30" t="str">
        <f t="shared" si="6"/>
        <v>n/a</v>
      </c>
      <c r="Q30">
        <f>IFERROR(F16/Inputs_Sources!$D$118,"n/a")</f>
        <v>2.1739359571642387</v>
      </c>
      <c r="R30">
        <f>IFERROR(F16/Inputs_Sources!$D$119,"n/a")</f>
        <v>10.115703584804709</v>
      </c>
    </row>
    <row r="31" spans="1:20" x14ac:dyDescent="0.25">
      <c r="A31" t="s">
        <v>166</v>
      </c>
      <c r="B31">
        <f>Inputs_Sources!$D$129</f>
        <v>9636</v>
      </c>
      <c r="C31">
        <f>Inputs_Sources!$D$130</f>
        <v>10253</v>
      </c>
      <c r="D31">
        <f>Inputs_Sources!$D$128</f>
        <v>9744</v>
      </c>
      <c r="E31">
        <f t="shared" si="7"/>
        <v>9491.0109589041094</v>
      </c>
      <c r="F31">
        <f>Inputs_Sources!$D$131</f>
        <v>1783</v>
      </c>
      <c r="G31">
        <f>Inputs_Sources!$D$132</f>
        <v>1888</v>
      </c>
      <c r="H31">
        <f>Inputs_Sources!$D$127</f>
        <v>1620</v>
      </c>
      <c r="I31">
        <f>IF(ISNUMBER(Inputs_Sources!$D$299),Inputs_Sources!$D$299,0)</f>
        <v>114</v>
      </c>
      <c r="J31">
        <f t="shared" si="3"/>
        <v>1734</v>
      </c>
      <c r="K31">
        <f t="shared" si="8"/>
        <v>1475.9424657534246</v>
      </c>
      <c r="L31">
        <f t="shared" si="4"/>
        <v>1589.9424657534246</v>
      </c>
      <c r="M31">
        <f>Inputs_Sources!$D$133</f>
        <v>2742</v>
      </c>
      <c r="N31">
        <f>Inputs_Sources!$D$134</f>
        <v>634.5</v>
      </c>
      <c r="O31">
        <f t="shared" si="5"/>
        <v>0.17795566502463053</v>
      </c>
      <c r="P31">
        <f t="shared" si="6"/>
        <v>0.28140394088669951</v>
      </c>
      <c r="Q31">
        <f>IFERROR(F17/Inputs_Sources!$D$135,"n/a")</f>
        <v>1.3151709728922842</v>
      </c>
      <c r="R31">
        <f>IFERROR(F17/Inputs_Sources!$D$136,"n/a")</f>
        <v>1.6955830546418442</v>
      </c>
    </row>
    <row r="32" spans="1:20" x14ac:dyDescent="0.25">
      <c r="A32" t="s">
        <v>170</v>
      </c>
      <c r="B32">
        <f>Inputs_Sources!$D$146</f>
        <v>36441</v>
      </c>
      <c r="C32">
        <f>Inputs_Sources!$D$147</f>
        <v>38537</v>
      </c>
      <c r="D32">
        <f>Inputs_Sources!$D$145</f>
        <v>39675</v>
      </c>
      <c r="E32">
        <f t="shared" si="7"/>
        <v>40994.157808219177</v>
      </c>
      <c r="F32">
        <f>Inputs_Sources!$D$148</f>
        <v>7740</v>
      </c>
      <c r="G32">
        <f>Inputs_Sources!$D$149</f>
        <v>4990</v>
      </c>
      <c r="H32">
        <f>Inputs_Sources!$D$144</f>
        <v>6080</v>
      </c>
      <c r="I32">
        <f>IF(ISNUMBER(Inputs_Sources!$D$304),Inputs_Sources!$D$304,0)</f>
        <v>246</v>
      </c>
      <c r="J32">
        <f t="shared" si="3"/>
        <v>6326</v>
      </c>
      <c r="K32">
        <f t="shared" si="8"/>
        <v>7153.2339726027394</v>
      </c>
      <c r="L32">
        <f t="shared" si="4"/>
        <v>7399.2339726027394</v>
      </c>
      <c r="M32">
        <f>Inputs_Sources!$D$150</f>
        <v>12357</v>
      </c>
      <c r="N32">
        <f>Inputs_Sources!$D$151</f>
        <v>2252.4</v>
      </c>
      <c r="O32">
        <f t="shared" si="5"/>
        <v>0.15944549464398236</v>
      </c>
      <c r="P32">
        <f t="shared" si="6"/>
        <v>0.31145557655954631</v>
      </c>
      <c r="Q32">
        <f>IFERROR(F18/Inputs_Sources!$D$152,"n/a")</f>
        <v>2.7666825065555769</v>
      </c>
      <c r="R32">
        <f>IFERROR(F18/Inputs_Sources!$D$153,"n/a")</f>
        <v>3.222913056048101</v>
      </c>
    </row>
    <row r="33" spans="1:18" x14ac:dyDescent="0.25">
      <c r="A33" t="s">
        <v>174</v>
      </c>
      <c r="B33">
        <f>Inputs_Sources!$D$163</f>
        <v>13149.5</v>
      </c>
      <c r="C33">
        <f>Inputs_Sources!$D$164</f>
        <v>13058.3</v>
      </c>
      <c r="D33">
        <f>Inputs_Sources!$D$162</f>
        <v>13945.2</v>
      </c>
      <c r="E33">
        <f t="shared" si="7"/>
        <v>14591.724383561643</v>
      </c>
      <c r="F33">
        <f>Inputs_Sources!$D$165</f>
        <v>2599</v>
      </c>
      <c r="G33">
        <f>Inputs_Sources!$D$166</f>
        <v>2540.6</v>
      </c>
      <c r="H33">
        <f>Inputs_Sources!$D$161</f>
        <v>2707</v>
      </c>
      <c r="I33">
        <f>IF(ISNUMBER(Inputs_Sources!$D$321),Inputs_Sources!$D$321,0)</f>
        <v>0</v>
      </c>
      <c r="J33">
        <f t="shared" si="3"/>
        <v>2707</v>
      </c>
      <c r="K33">
        <f t="shared" si="8"/>
        <v>2990.2460273972601</v>
      </c>
      <c r="L33">
        <f t="shared" si="4"/>
        <v>2990.2460273972601</v>
      </c>
      <c r="M33" t="str">
        <f>Inputs_Sources!$D$167</f>
        <v>n/a</v>
      </c>
      <c r="N33">
        <f>Inputs_Sources!$D$168</f>
        <v>763.6</v>
      </c>
      <c r="O33">
        <f t="shared" si="5"/>
        <v>0.19411697214812265</v>
      </c>
      <c r="P33" t="str">
        <f t="shared" si="6"/>
        <v>n/a</v>
      </c>
      <c r="Q33">
        <f>IFERROR(F19/Inputs_Sources!$D$169,"n/a")</f>
        <v>11.205772314270442</v>
      </c>
      <c r="R33">
        <f>IFERROR(F19/Inputs_Sources!$D$170,"n/a")</f>
        <v>12.706666666666667</v>
      </c>
    </row>
    <row r="34" spans="1:18" x14ac:dyDescent="0.25">
      <c r="A34" t="s">
        <v>177</v>
      </c>
      <c r="B34">
        <f>Inputs_Sources!$D$180</f>
        <v>91854</v>
      </c>
      <c r="C34">
        <f>Inputs_Sources!$D$181</f>
        <v>93925</v>
      </c>
      <c r="D34">
        <f>Inputs_Sources!$D$179</f>
        <v>98241</v>
      </c>
      <c r="E34">
        <f t="shared" si="7"/>
        <v>101251.48301369864</v>
      </c>
      <c r="F34">
        <f>Inputs_Sources!$D$182</f>
        <v>17842</v>
      </c>
      <c r="G34">
        <f>Inputs_Sources!$D$183</f>
        <v>18174</v>
      </c>
      <c r="H34">
        <f>Inputs_Sources!$D$178</f>
        <v>19171</v>
      </c>
      <c r="I34">
        <f>IF(ISNUMBER(Inputs_Sources!$D$309),Inputs_Sources!$D$309,0)</f>
        <v>880</v>
      </c>
      <c r="J34">
        <f t="shared" si="3"/>
        <v>20051</v>
      </c>
      <c r="K34">
        <f t="shared" si="8"/>
        <v>19473.899452054793</v>
      </c>
      <c r="L34">
        <f t="shared" si="4"/>
        <v>20353.899452054793</v>
      </c>
      <c r="M34">
        <f>Inputs_Sources!$D$184</f>
        <v>53216</v>
      </c>
      <c r="N34">
        <f>Inputs_Sources!$D$185</f>
        <v>9044.2999999999993</v>
      </c>
      <c r="O34">
        <f t="shared" si="5"/>
        <v>0.20410012113068882</v>
      </c>
      <c r="P34">
        <f t="shared" si="6"/>
        <v>0.54168829714681244</v>
      </c>
      <c r="Q34">
        <f>IFERROR(F20/Inputs_Sources!$D$186,"n/a")</f>
        <v>8.1426625023486192</v>
      </c>
      <c r="R34">
        <f>IFERROR(F20/Inputs_Sources!$D$187,"n/a")</f>
        <v>8.4677398205363943</v>
      </c>
    </row>
    <row r="37" spans="1:18" x14ac:dyDescent="0.25">
      <c r="A37" s="10" t="s">
        <v>201</v>
      </c>
    </row>
    <row r="38" spans="1:18" ht="45" x14ac:dyDescent="0.25">
      <c r="A38" s="11" t="s">
        <v>108</v>
      </c>
      <c r="B38" s="11" t="s">
        <v>202</v>
      </c>
      <c r="C38" s="11" t="s">
        <v>203</v>
      </c>
      <c r="D38" s="11" t="s">
        <v>204</v>
      </c>
      <c r="E38" s="11" t="s">
        <v>205</v>
      </c>
      <c r="F38" s="11" t="s">
        <v>206</v>
      </c>
      <c r="G38" s="11" t="s">
        <v>207</v>
      </c>
      <c r="H38" s="11" t="s">
        <v>208</v>
      </c>
      <c r="I38" s="11" t="s">
        <v>209</v>
      </c>
      <c r="J38" s="11" t="s">
        <v>210</v>
      </c>
      <c r="K38" s="11" t="s">
        <v>211</v>
      </c>
      <c r="L38" s="11" t="s">
        <v>212</v>
      </c>
      <c r="M38" s="11" t="s">
        <v>213</v>
      </c>
      <c r="N38" s="11" t="s">
        <v>214</v>
      </c>
    </row>
    <row r="39" spans="1:18" x14ac:dyDescent="0.25">
      <c r="A39" t="s">
        <v>200</v>
      </c>
      <c r="B39">
        <f t="shared" ref="B39:B48" si="9">IFERROR(O11/J25,"n/a")</f>
        <v>6.9413670611795988</v>
      </c>
      <c r="C39">
        <f t="shared" ref="C39:C48" si="10">IFERROR(O11/L25,"n/a")</f>
        <v>6.5757853879432338</v>
      </c>
      <c r="D39">
        <f t="shared" ref="D39:D48" si="11">IFERROR(O11/D25,"n/a")</f>
        <v>1.0034125807086942</v>
      </c>
      <c r="E39">
        <f>IFERROR(F11/Q25,"n/a")</f>
        <v>18.456692913385826</v>
      </c>
      <c r="F39">
        <f>IFERROR(F11/R25,"n/a")</f>
        <v>17.806508545692189</v>
      </c>
      <c r="G39">
        <f t="shared" ref="G39:G48" si="12">IFERROR(N25/I11,"n/a")</f>
        <v>0.10105385479023181</v>
      </c>
      <c r="H39">
        <f t="shared" ref="H39:H48" si="13">IFERROR(N11/J25,"n/a")</f>
        <v>2.8099607675766181</v>
      </c>
      <c r="I39">
        <f t="shared" ref="I39:I48" si="14">O25</f>
        <v>0.14455547039435437</v>
      </c>
      <c r="J39" t="s">
        <v>153</v>
      </c>
      <c r="K39" t="s">
        <v>153</v>
      </c>
      <c r="L39" t="s">
        <v>153</v>
      </c>
      <c r="M39" t="s">
        <v>153</v>
      </c>
      <c r="N39" t="s">
        <v>215</v>
      </c>
    </row>
    <row r="40" spans="1:18" x14ac:dyDescent="0.25">
      <c r="A40" t="s">
        <v>136</v>
      </c>
      <c r="B40">
        <f t="shared" si="9"/>
        <v>5.6094444703642079</v>
      </c>
      <c r="C40">
        <f t="shared" si="10"/>
        <v>6.147272023717357</v>
      </c>
      <c r="D40">
        <f t="shared" si="11"/>
        <v>0.62142001186852736</v>
      </c>
      <c r="E40">
        <f>Inputs_Sources!$D$50</f>
        <v>23.45</v>
      </c>
      <c r="F40">
        <f>Inputs_Sources!$D$51</f>
        <v>8.93</v>
      </c>
      <c r="G40">
        <f t="shared" si="12"/>
        <v>0.23037740217642971</v>
      </c>
      <c r="H40">
        <f t="shared" si="13"/>
        <v>3.3704953612264545</v>
      </c>
      <c r="I40">
        <f t="shared" si="14"/>
        <v>0.11078102567047608</v>
      </c>
      <c r="J40">
        <f>Inputs_Sources!$D$52</f>
        <v>5.15</v>
      </c>
      <c r="K40">
        <f>Inputs_Sources!$D$53</f>
        <v>7.55</v>
      </c>
      <c r="L40">
        <f>Inputs_Sources!$D$50</f>
        <v>23.45</v>
      </c>
      <c r="M40">
        <f>Inputs_Sources!$D$51</f>
        <v>8.93</v>
      </c>
      <c r="N40" t="s">
        <v>216</v>
      </c>
    </row>
    <row r="41" spans="1:18" x14ac:dyDescent="0.25">
      <c r="A41" t="s">
        <v>144</v>
      </c>
      <c r="B41">
        <f t="shared" si="9"/>
        <v>5.673471472648095</v>
      </c>
      <c r="C41" t="str">
        <f t="shared" si="10"/>
        <v>n/a</v>
      </c>
      <c r="D41">
        <f t="shared" si="11"/>
        <v>0.96787934278233767</v>
      </c>
      <c r="E41" t="str">
        <f>Inputs_Sources!$D$67</f>
        <v>n/a</v>
      </c>
      <c r="F41" t="str">
        <f>Inputs_Sources!$D$68</f>
        <v>n/a</v>
      </c>
      <c r="G41" t="str">
        <f t="shared" si="12"/>
        <v>n/a</v>
      </c>
      <c r="H41">
        <f t="shared" si="13"/>
        <v>1.4708269456217873</v>
      </c>
      <c r="I41">
        <f t="shared" si="14"/>
        <v>0.17059737542499345</v>
      </c>
      <c r="J41" t="str">
        <f>Inputs_Sources!$D$69</f>
        <v>n/a</v>
      </c>
      <c r="K41" t="str">
        <f>Inputs_Sources!$D$70</f>
        <v>n/a</v>
      </c>
      <c r="L41" t="str">
        <f>Inputs_Sources!$D$67</f>
        <v>n/a</v>
      </c>
      <c r="M41" t="str">
        <f>Inputs_Sources!$D$68</f>
        <v>n/a</v>
      </c>
      <c r="N41" t="s">
        <v>216</v>
      </c>
    </row>
    <row r="42" spans="1:18" x14ac:dyDescent="0.25">
      <c r="A42" t="s">
        <v>150</v>
      </c>
      <c r="B42" t="str">
        <f t="shared" si="9"/>
        <v>n/a</v>
      </c>
      <c r="C42" t="str">
        <f t="shared" si="10"/>
        <v>n/a</v>
      </c>
      <c r="D42" t="str">
        <f t="shared" si="11"/>
        <v>n/a</v>
      </c>
      <c r="E42">
        <f>Inputs_Sources!$D$84</f>
        <v>17.739999999999998</v>
      </c>
      <c r="F42">
        <f>Inputs_Sources!$D$85</f>
        <v>16.84</v>
      </c>
      <c r="G42" t="str">
        <f t="shared" si="12"/>
        <v>n/a</v>
      </c>
      <c r="H42" t="str">
        <f t="shared" si="13"/>
        <v>n/a</v>
      </c>
      <c r="I42">
        <f t="shared" si="14"/>
        <v>8.1511897484400062E-2</v>
      </c>
      <c r="J42">
        <f>Inputs_Sources!$D$86</f>
        <v>6.58</v>
      </c>
      <c r="K42">
        <f>Inputs_Sources!$D$87</f>
        <v>6.37</v>
      </c>
      <c r="L42">
        <f>Inputs_Sources!$D$84</f>
        <v>17.739999999999998</v>
      </c>
      <c r="M42">
        <f>Inputs_Sources!$D$85</f>
        <v>16.84</v>
      </c>
      <c r="N42" t="s">
        <v>216</v>
      </c>
    </row>
    <row r="43" spans="1:18" x14ac:dyDescent="0.25">
      <c r="A43" t="s">
        <v>156</v>
      </c>
      <c r="B43">
        <f t="shared" si="9"/>
        <v>8.3332012678288443</v>
      </c>
      <c r="C43">
        <f t="shared" si="10"/>
        <v>5.814678929656961</v>
      </c>
      <c r="D43">
        <f t="shared" si="11"/>
        <v>0.8192334657630288</v>
      </c>
      <c r="E43">
        <f>Inputs_Sources!$D$101</f>
        <v>10.210000000000001</v>
      </c>
      <c r="F43">
        <f>Inputs_Sources!$D$102</f>
        <v>9.01</v>
      </c>
      <c r="G43">
        <f t="shared" si="12"/>
        <v>0.1133081719724319</v>
      </c>
      <c r="H43">
        <f t="shared" si="13"/>
        <v>3.5043581616481774</v>
      </c>
      <c r="I43">
        <f t="shared" si="14"/>
        <v>9.8309573887980062E-2</v>
      </c>
      <c r="J43">
        <f>Inputs_Sources!$D$103</f>
        <v>7.31</v>
      </c>
      <c r="K43">
        <f>Inputs_Sources!$D$104</f>
        <v>5.94</v>
      </c>
      <c r="L43">
        <f>Inputs_Sources!$D$101</f>
        <v>10.210000000000001</v>
      </c>
      <c r="M43">
        <f>Inputs_Sources!$D$102</f>
        <v>9.01</v>
      </c>
      <c r="N43" t="s">
        <v>216</v>
      </c>
    </row>
    <row r="44" spans="1:18" x14ac:dyDescent="0.25">
      <c r="A44" t="s">
        <v>161</v>
      </c>
      <c r="B44">
        <f t="shared" si="9"/>
        <v>8.8754976631469606</v>
      </c>
      <c r="C44">
        <f t="shared" si="10"/>
        <v>9.2157465365705189</v>
      </c>
      <c r="D44">
        <f t="shared" si="11"/>
        <v>2.2397863905907021</v>
      </c>
      <c r="E44">
        <f>Inputs_Sources!$D$118</f>
        <v>58.63</v>
      </c>
      <c r="F44">
        <f>Inputs_Sources!$D$119</f>
        <v>12.6</v>
      </c>
      <c r="G44">
        <f t="shared" si="12"/>
        <v>0.1075702479338843</v>
      </c>
      <c r="H44">
        <f t="shared" si="13"/>
        <v>2.9846806300848194</v>
      </c>
      <c r="I44">
        <f t="shared" si="14"/>
        <v>0.25235614673088058</v>
      </c>
      <c r="J44">
        <f>Inputs_Sources!$D$120</f>
        <v>8.57</v>
      </c>
      <c r="K44">
        <f>Inputs_Sources!$D$121</f>
        <v>9.86</v>
      </c>
      <c r="L44">
        <f>Inputs_Sources!$D$118</f>
        <v>58.63</v>
      </c>
      <c r="M44">
        <f>Inputs_Sources!$D$119</f>
        <v>12.6</v>
      </c>
      <c r="N44" t="s">
        <v>216</v>
      </c>
    </row>
    <row r="45" spans="1:18" x14ac:dyDescent="0.25">
      <c r="A45" t="s">
        <v>166</v>
      </c>
      <c r="B45">
        <f t="shared" si="9"/>
        <v>7.6631487889273355</v>
      </c>
      <c r="C45">
        <f t="shared" si="10"/>
        <v>8.3574722269609136</v>
      </c>
      <c r="D45">
        <f t="shared" si="11"/>
        <v>1.3637007389162561</v>
      </c>
      <c r="E45">
        <f>Inputs_Sources!$D$135</f>
        <v>15.11</v>
      </c>
      <c r="F45">
        <f>Inputs_Sources!$D$136</f>
        <v>11.72</v>
      </c>
      <c r="G45">
        <f t="shared" si="12"/>
        <v>0.10707234344150256</v>
      </c>
      <c r="H45">
        <f t="shared" si="13"/>
        <v>4.2456747404844295</v>
      </c>
      <c r="I45">
        <f t="shared" si="14"/>
        <v>0.17795566502463053</v>
      </c>
      <c r="J45">
        <f>Inputs_Sources!$D$137</f>
        <v>6.47</v>
      </c>
      <c r="K45">
        <f>Inputs_Sources!$D$138</f>
        <v>9.07</v>
      </c>
      <c r="L45">
        <f>Inputs_Sources!$D$135</f>
        <v>15.11</v>
      </c>
      <c r="M45">
        <f>Inputs_Sources!$D$136</f>
        <v>11.72</v>
      </c>
      <c r="N45" t="s">
        <v>216</v>
      </c>
    </row>
    <row r="46" spans="1:18" x14ac:dyDescent="0.25">
      <c r="A46" t="s">
        <v>170</v>
      </c>
      <c r="B46">
        <f t="shared" si="9"/>
        <v>16.118368637369585</v>
      </c>
      <c r="C46">
        <f t="shared" si="10"/>
        <v>13.78045354121071</v>
      </c>
      <c r="D46">
        <f t="shared" si="11"/>
        <v>2.5700012602394455</v>
      </c>
      <c r="E46">
        <f>Inputs_Sources!$D$152</f>
        <v>23.1</v>
      </c>
      <c r="F46">
        <f>Inputs_Sources!$D$153</f>
        <v>19.829999999999998</v>
      </c>
      <c r="G46">
        <f t="shared" si="12"/>
        <v>2.7613499279136141E-2</v>
      </c>
      <c r="H46">
        <f t="shared" si="13"/>
        <v>3.2241542839076827</v>
      </c>
      <c r="I46">
        <f t="shared" si="14"/>
        <v>0.15944549464398236</v>
      </c>
      <c r="J46">
        <f>Inputs_Sources!$D$154</f>
        <v>14.48</v>
      </c>
      <c r="K46">
        <f>Inputs_Sources!$D$155</f>
        <v>14.13</v>
      </c>
      <c r="L46">
        <f>Inputs_Sources!$D$152</f>
        <v>23.1</v>
      </c>
      <c r="M46">
        <f>Inputs_Sources!$D$153</f>
        <v>19.829999999999998</v>
      </c>
      <c r="N46" t="s">
        <v>216</v>
      </c>
    </row>
    <row r="47" spans="1:18" x14ac:dyDescent="0.25">
      <c r="A47" t="s">
        <v>174</v>
      </c>
      <c r="B47" t="str">
        <f t="shared" si="9"/>
        <v>n/a</v>
      </c>
      <c r="C47" t="str">
        <f t="shared" si="10"/>
        <v>n/a</v>
      </c>
      <c r="D47" t="str">
        <f t="shared" si="11"/>
        <v>n/a</v>
      </c>
      <c r="E47">
        <f>Inputs_Sources!$D$169</f>
        <v>18.71</v>
      </c>
      <c r="F47">
        <f>Inputs_Sources!$D$170</f>
        <v>16.5</v>
      </c>
      <c r="G47" t="str">
        <f t="shared" si="12"/>
        <v>n/a</v>
      </c>
      <c r="H47" t="str">
        <f t="shared" si="13"/>
        <v>n/a</v>
      </c>
      <c r="I47">
        <f t="shared" si="14"/>
        <v>0.19411697214812265</v>
      </c>
      <c r="J47">
        <f>Inputs_Sources!$D$171</f>
        <v>8.4700000000000006</v>
      </c>
      <c r="K47">
        <f>Inputs_Sources!$D$172</f>
        <v>7.87</v>
      </c>
      <c r="L47">
        <f>Inputs_Sources!$D$169</f>
        <v>18.71</v>
      </c>
      <c r="M47">
        <f>Inputs_Sources!$D$170</f>
        <v>16.5</v>
      </c>
      <c r="N47" t="s">
        <v>216</v>
      </c>
    </row>
    <row r="48" spans="1:18" x14ac:dyDescent="0.25">
      <c r="A48" t="s">
        <v>177</v>
      </c>
      <c r="B48">
        <f t="shared" si="9"/>
        <v>11.193830731634332</v>
      </c>
      <c r="C48">
        <f t="shared" si="10"/>
        <v>11.027248146169912</v>
      </c>
      <c r="D48">
        <f t="shared" si="11"/>
        <v>2.2846622082429944</v>
      </c>
      <c r="E48">
        <f>Inputs_Sources!$D$186</f>
        <v>16.149999999999999</v>
      </c>
      <c r="F48">
        <f>Inputs_Sources!$D$187</f>
        <v>15.53</v>
      </c>
      <c r="G48">
        <f t="shared" si="12"/>
        <v>5.0470283286039933E-2</v>
      </c>
      <c r="H48">
        <f t="shared" si="13"/>
        <v>2.2565956810134158</v>
      </c>
      <c r="I48">
        <f t="shared" si="14"/>
        <v>0.20410012113068882</v>
      </c>
      <c r="J48">
        <f>Inputs_Sources!$D$188</f>
        <v>10.35</v>
      </c>
      <c r="K48">
        <f>Inputs_Sources!$D$189</f>
        <v>11.24</v>
      </c>
      <c r="L48">
        <f>Inputs_Sources!$D$186</f>
        <v>16.149999999999999</v>
      </c>
      <c r="M48">
        <f>Inputs_Sources!$D$187</f>
        <v>15.53</v>
      </c>
      <c r="N48" t="s">
        <v>216</v>
      </c>
    </row>
    <row r="49" spans="1:15" x14ac:dyDescent="0.25">
      <c r="A49" s="10" t="s">
        <v>217</v>
      </c>
    </row>
    <row r="50" spans="1:15" x14ac:dyDescent="0.25">
      <c r="A50" s="10" t="s">
        <v>218</v>
      </c>
      <c r="B50" s="9">
        <f>IFERROR(_xlfn.AGGREGATE(16,6,B40:B48/(($C$12:$C$20="Core")*($P$12:$P$20="yes")*ISNUMBER(B40:B48)),0.5),"n/a")</f>
        <v>5.641457971506151</v>
      </c>
      <c r="C50" s="9">
        <f>IFERROR(_xlfn.AGGREGATE(16,6,C40:C48/(($C$12:$C$20="Core")*($P$12:$P$20="yes")*ISNUMBER(C40:C48)),0.5),"n/a")</f>
        <v>6.147272023717357</v>
      </c>
      <c r="D50" s="9">
        <f>IFERROR(_xlfn.AGGREGATE(16,6,D40:D48/(($C$12:$C$20="Core")*($P$12:$P$20="yes")*ISNUMBER(D40:D48)),0.5),"n/a")</f>
        <v>0.79464967732543257</v>
      </c>
      <c r="E50" s="9">
        <f>IFERROR(_xlfn.AGGREGATE(16,6,E40:E48/(($C$12:$C$20="Core")*($Q$12:$Q$20="yes")*ISNUMBER(E40:E48)),0.5),"n/a")</f>
        <v>23.45</v>
      </c>
      <c r="F50" s="9">
        <f>IFERROR(_xlfn.AGGREGATE(16,6,F40:F48/(($C$12:$C$20="Core")*($Q$12:$Q$20="yes")*ISNUMBER(F40:F48)),0.5),"n/a")</f>
        <v>8.93</v>
      </c>
      <c r="G50" s="6">
        <f>IFERROR(_xlfn.AGGREGATE(16,6,G40:G48/(($C$12:$C$20="Core")*($P$12:$P$20="yes")*ISNUMBER(G40:G48)),0.5),"n/a")</f>
        <v>0.23037740217642971</v>
      </c>
      <c r="H50" s="9">
        <f>IFERROR(_xlfn.AGGREGATE(16,6,H40:H48/(($C$12:$C$20="Core")*($P$12:$P$20="yes")*ISNUMBER(H40:H48)),0.5),"n/a")</f>
        <v>2.4206611534241209</v>
      </c>
      <c r="I50" s="6">
        <f>IFERROR(_xlfn.AGGREGATE(16,6,I40:I48/(($C$12:$C$20="Core")*($P$12:$P$20="yes")*ISNUMBER(I40:I48)),0.5),"n/a")</f>
        <v>0.14068920054773476</v>
      </c>
    </row>
    <row r="51" spans="1:15" x14ac:dyDescent="0.25">
      <c r="A51" s="10" t="s">
        <v>219</v>
      </c>
      <c r="B51" s="9">
        <f>IFERROR(SUMPRODUCT(($C$12:$C$20="Core")*($P$12:$P$20="yes")*ISNUMBER(B40:B48),B40:B48)/SUMPRODUCT(($C$12:$C$20="Core")*($P$12:$P$20="yes")*ISNUMBER(B40:B48)),"n/a")</f>
        <v>5.641457971506151</v>
      </c>
      <c r="C51" s="9">
        <f>IFERROR(SUMPRODUCT(($C$12:$C$20="Core")*($P$12:$P$20="yes")*ISNUMBER(C40:C48),C40:C48)/SUMPRODUCT(($C$12:$C$20="Core")*($P$12:$P$20="yes")*ISNUMBER(C40:C48)),"n/a")</f>
        <v>6.147272023717357</v>
      </c>
      <c r="D51" s="9">
        <f>IFERROR(SUMPRODUCT(($C$12:$C$20="Core")*($P$12:$P$20="yes")*ISNUMBER(D40:D48),D40:D48)/SUMPRODUCT(($C$12:$C$20="Core")*($P$12:$P$20="yes")*ISNUMBER(D40:D48)),"n/a")</f>
        <v>0.79464967732543257</v>
      </c>
      <c r="E51" s="9">
        <f>IFERROR(SUMPRODUCT(($C$12:$C$20="Core")*($Q$12:$Q$20="yes")*ISNUMBER(E40:E48),E40:E48)/SUMPRODUCT(($C$12:$C$20="Core")*($Q$12:$Q$20="yes")*ISNUMBER(E40:E48)),"n/a")</f>
        <v>23.45</v>
      </c>
      <c r="F51" s="9">
        <f>IFERROR(SUMPRODUCT(($C$12:$C$20="Core")*($Q$12:$Q$20="yes")*ISNUMBER(F40:F48),F40:F48)/SUMPRODUCT(($C$12:$C$20="Core")*($Q$12:$Q$20="yes")*ISNUMBER(F40:F48)),"n/a")</f>
        <v>8.93</v>
      </c>
      <c r="G51" s="6">
        <f>IFERROR(SUMPRODUCT(($C$12:$C$20="Core")*($P$12:$P$20="yes")*ISNUMBER(G40:G48),G40:G48)/SUMPRODUCT(($C$12:$C$20="Core")*($P$12:$P$20="yes")*ISNUMBER(G40:G48)),"n/a")</f>
        <v>0.23037740217642971</v>
      </c>
      <c r="H51" s="9">
        <f>IFERROR(SUMPRODUCT(($C$12:$C$20="Core")*($P$12:$P$20="yes")*ISNUMBER(H40:H48),H40:H48)/SUMPRODUCT(($C$12:$C$20="Core")*($P$12:$P$20="yes")*ISNUMBER(H40:H48)),"n/a")</f>
        <v>2.4206611534241209</v>
      </c>
      <c r="I51" s="6">
        <f>IFERROR(SUMPRODUCT(($C$12:$C$20="Core")*($P$12:$P$20="yes")*ISNUMBER(I40:I48),I40:I48)/SUMPRODUCT(($C$12:$C$20="Core")*($P$12:$P$20="yes")*ISNUMBER(I40:I48)),"n/a")</f>
        <v>0.14068920054773476</v>
      </c>
    </row>
    <row r="52" spans="1:15" x14ac:dyDescent="0.25">
      <c r="A52" s="10" t="s">
        <v>220</v>
      </c>
      <c r="B52">
        <f>SUMPRODUCT(($C$12:$C$20="Core")*($P$12:$P$20="yes")*ISNUMBER(B40:B48))</f>
        <v>2</v>
      </c>
      <c r="C52">
        <f>SUMPRODUCT(($C$12:$C$20="Core")*($P$12:$P$20="yes")*ISNUMBER(C40:C48))</f>
        <v>1</v>
      </c>
      <c r="D52">
        <f>SUMPRODUCT(($C$12:$C$20="Core")*($P$12:$P$20="yes")*ISNUMBER(D40:D48))</f>
        <v>2</v>
      </c>
      <c r="E52">
        <f>SUMPRODUCT(($C$12:$C$20="Core")*($Q$12:$Q$20="yes")*ISNUMBER(E40:E48))</f>
        <v>1</v>
      </c>
      <c r="F52">
        <f>SUMPRODUCT(($C$12:$C$20="Core")*($Q$12:$Q$20="yes")*ISNUMBER(F40:F48))</f>
        <v>1</v>
      </c>
      <c r="G52">
        <f>SUMPRODUCT(($C$12:$C$20="Core")*($P$12:$P$20="yes")*ISNUMBER(G40:G48))</f>
        <v>1</v>
      </c>
      <c r="H52">
        <f>SUMPRODUCT(($C$12:$C$20="Core")*($P$12:$P$20="yes")*ISNUMBER(H40:H48))</f>
        <v>2</v>
      </c>
      <c r="I52">
        <f>SUMPRODUCT(($C$12:$C$20="Core")*($P$12:$P$20="yes")*ISNUMBER(I40:I48))</f>
        <v>2</v>
      </c>
    </row>
    <row r="53" spans="1:15" x14ac:dyDescent="0.25">
      <c r="A53" s="10" t="s">
        <v>221</v>
      </c>
      <c r="B53" s="9">
        <f>IFERROR(_xlfn.AGGREGATE(16,6,B40:B48/(($P$12:$P$20="yes")*ISNUMBER(B40:B48)),0.5),"n/a")</f>
        <v>8.2693232260371481</v>
      </c>
      <c r="C53" s="9">
        <f>IFERROR(_xlfn.AGGREGATE(16,6,C40:C48/(($P$12:$P$20="yes")*ISNUMBER(C40:C48)),0.5),"n/a")</f>
        <v>9.2157465365705189</v>
      </c>
      <c r="D53" s="9">
        <f>IFERROR(_xlfn.AGGREGATE(16,6,D40:D48/(($P$12:$P$20="yes")*ISNUMBER(D40:D48)),0.5),"n/a")</f>
        <v>1.8017435647534792</v>
      </c>
      <c r="E53" s="9">
        <f>IFERROR(_xlfn.AGGREGATE(16,6,E40:E48/(($Q$12:$Q$20="yes")*ISNUMBER(E40:E48)),0.5),"n/a")</f>
        <v>19.625</v>
      </c>
      <c r="F53" s="9">
        <f>IFERROR(_xlfn.AGGREGATE(16,6,F40:F48/(($Q$12:$Q$20="yes")*ISNUMBER(F40:F48)),0.5),"n/a")</f>
        <v>13.625</v>
      </c>
      <c r="G53" s="6">
        <f>IFERROR(_xlfn.AGGREGATE(16,6,G40:G48/(($P$12:$P$20="yes")*ISNUMBER(G40:G48)),0.5),"n/a")</f>
        <v>0.10707234344150256</v>
      </c>
      <c r="H53" s="9">
        <f>IFERROR(_xlfn.AGGREGATE(16,6,H40:H48/(($P$12:$P$20="yes")*ISNUMBER(H40:H48)),0.5),"n/a")</f>
        <v>3.1044174569962513</v>
      </c>
      <c r="I53" s="6">
        <f>IFERROR(_xlfn.AGGREGATE(16,6,I40:I48/(($P$12:$P$20="yes")*ISNUMBER(I40:I48)),0.5),"n/a")</f>
        <v>0.17427652022481199</v>
      </c>
    </row>
    <row r="54" spans="1:15" x14ac:dyDescent="0.25">
      <c r="A54" s="10" t="s">
        <v>222</v>
      </c>
      <c r="B54" s="9">
        <f>IFERROR(SUMPRODUCT(($P$12:$P$20="yes")*ISNUMBER(B40:B48),B40:B48)/SUMPRODUCT(($P$12:$P$20="yes")*ISNUMBER(B40:B48)),"n/a")</f>
        <v>9.1889602940150876</v>
      </c>
      <c r="C54" s="9">
        <f>IFERROR(SUMPRODUCT(($P$12:$P$20="yes")*ISNUMBER(C40:C48),C40:C48)/SUMPRODUCT(($P$12:$P$20="yes")*ISNUMBER(C40:C48)),"n/a")</f>
        <v>9.705638494925882</v>
      </c>
      <c r="D54" s="9">
        <f>IFERROR(SUMPRODUCT(($P$12:$P$20="yes")*ISNUMBER(D40:D48),D40:D48)/SUMPRODUCT(($P$12:$P$20="yes")*ISNUMBER(D40:D48)),"n/a")</f>
        <v>1.6745749921067106</v>
      </c>
      <c r="E54" s="9">
        <f>IFERROR(SUMPRODUCT(($Q$12:$Q$20="yes")*ISNUMBER(E40:E48),E40:E48)/SUMPRODUCT(($Q$12:$Q$20="yes")*ISNUMBER(E40:E48)),"n/a")</f>
        <v>19.452500000000001</v>
      </c>
      <c r="F54" s="9">
        <f>IFERROR(SUMPRODUCT(($Q$12:$Q$20="yes")*ISNUMBER(F40:F48),F40:F48)/SUMPRODUCT(($Q$12:$Q$20="yes")*ISNUMBER(F40:F48)),"n/a")</f>
        <v>14.0025</v>
      </c>
      <c r="G54" s="6">
        <f>IFERROR(SUMPRODUCT(($P$12:$P$20="yes")*ISNUMBER(G40:G48),G40:G48)/SUMPRODUCT(($P$12:$P$20="yes")*ISNUMBER(G40:G48)),"n/a")</f>
        <v>0.10462075522339853</v>
      </c>
      <c r="H54" s="9">
        <f>IFERROR(SUMPRODUCT(($P$12:$P$20="yes")*ISNUMBER(H40:H48),H40:H48)/SUMPRODUCT(($P$12:$P$20="yes")*ISNUMBER(H40:H48)),"n/a")</f>
        <v>2.9254046070564317</v>
      </c>
      <c r="I54" s="6">
        <f>IFERROR(SUMPRODUCT(($P$12:$P$20="yes")*ISNUMBER(I40:I48),I40:I48)/SUMPRODUCT(($P$12:$P$20="yes")*ISNUMBER(I40:I48)),"n/a")</f>
        <v>0.17920597143760864</v>
      </c>
    </row>
    <row r="55" spans="1:15" x14ac:dyDescent="0.25">
      <c r="A55" s="10" t="s">
        <v>223</v>
      </c>
      <c r="B55">
        <f>SUMPRODUCT(($P$12:$P$20="yes")*ISNUMBER(B40:B48))</f>
        <v>6</v>
      </c>
      <c r="C55">
        <f>SUMPRODUCT(($P$12:$P$20="yes")*ISNUMBER(C40:C48))</f>
        <v>5</v>
      </c>
      <c r="D55">
        <f>SUMPRODUCT(($P$12:$P$20="yes")*ISNUMBER(D40:D48))</f>
        <v>6</v>
      </c>
      <c r="E55">
        <f>SUMPRODUCT(($Q$12:$Q$20="yes")*ISNUMBER(E40:E48))</f>
        <v>4</v>
      </c>
      <c r="F55">
        <f>SUMPRODUCT(($Q$12:$Q$20="yes")*ISNUMBER(F40:F48))</f>
        <v>4</v>
      </c>
      <c r="G55">
        <f>SUMPRODUCT(($P$12:$P$20="yes")*ISNUMBER(G40:G48))</f>
        <v>5</v>
      </c>
      <c r="H55">
        <f>SUMPRODUCT(($P$12:$P$20="yes")*ISNUMBER(H40:H48))</f>
        <v>6</v>
      </c>
      <c r="I55">
        <f>SUMPRODUCT(($P$12:$P$20="yes")*ISNUMBER(I40:I48))</f>
        <v>6</v>
      </c>
    </row>
    <row r="58" spans="1:15" x14ac:dyDescent="0.25">
      <c r="A58" s="10" t="s">
        <v>224</v>
      </c>
    </row>
    <row r="59" spans="1:15" ht="45" x14ac:dyDescent="0.25">
      <c r="A59" s="11" t="s">
        <v>108</v>
      </c>
      <c r="B59" s="11" t="s">
        <v>225</v>
      </c>
      <c r="C59" s="11" t="s">
        <v>226</v>
      </c>
      <c r="D59" s="11" t="s">
        <v>227</v>
      </c>
      <c r="E59" s="11" t="s">
        <v>228</v>
      </c>
      <c r="F59" s="11" t="s">
        <v>229</v>
      </c>
      <c r="G59" s="11" t="s">
        <v>230</v>
      </c>
      <c r="H59" s="11" t="s">
        <v>231</v>
      </c>
      <c r="I59" s="11" t="s">
        <v>232</v>
      </c>
      <c r="J59" s="11" t="s">
        <v>233</v>
      </c>
      <c r="K59" s="11" t="s">
        <v>234</v>
      </c>
      <c r="L59" s="11" t="s">
        <v>235</v>
      </c>
      <c r="M59" s="11" t="s">
        <v>236</v>
      </c>
      <c r="N59" s="11" t="s">
        <v>199</v>
      </c>
      <c r="O59" s="11" t="s">
        <v>214</v>
      </c>
    </row>
    <row r="60" spans="1:15" x14ac:dyDescent="0.25">
      <c r="A60" t="s">
        <v>237</v>
      </c>
      <c r="B60">
        <f>Inputs_Sources!$D$327</f>
        <v>46387</v>
      </c>
      <c r="C60">
        <f>B60-Inputs_Sources!$D$6+1</f>
        <v>77</v>
      </c>
      <c r="D60">
        <f t="shared" ref="D60:D69" si="15">MIN(1,MAX(0,C60/365))</f>
        <v>0.21095890410958903</v>
      </c>
      <c r="E60">
        <f t="shared" ref="E60:E69" si="16">1-D60</f>
        <v>0.78904109589041094</v>
      </c>
      <c r="F60">
        <f>TearSheet!$H$19</f>
        <v>62117</v>
      </c>
      <c r="G60">
        <f>TearSheet!$I$19</f>
        <v>64891</v>
      </c>
      <c r="H60">
        <f t="shared" ref="H60:H69" si="17">IFERROR(D60*F60+E60*G60,"n/a")</f>
        <v>64305.799999999996</v>
      </c>
      <c r="I60">
        <f>TearSheet!$H$7</f>
        <v>426274.7</v>
      </c>
      <c r="J60">
        <f>TearSheet!$I$7</f>
        <v>445288</v>
      </c>
      <c r="K60">
        <f t="shared" ref="K60:K69" si="18">IFERROR(D60*I60+E60*J60,"n/a")</f>
        <v>441276.97506849311</v>
      </c>
      <c r="L60">
        <f>TearSheet!$H$24</f>
        <v>3.07</v>
      </c>
      <c r="M60">
        <f>TearSheet!$I$24</f>
        <v>3.35</v>
      </c>
      <c r="N60">
        <f>IFERROR(D60*L60+E60*M60,"n/a")</f>
        <v>3.290931506849315</v>
      </c>
      <c r="O60" t="s">
        <v>238</v>
      </c>
    </row>
    <row r="61" spans="1:15" x14ac:dyDescent="0.25">
      <c r="A61" t="s">
        <v>136</v>
      </c>
      <c r="B61">
        <f>Inputs_Sources!$D$242</f>
        <v>46389</v>
      </c>
      <c r="C61">
        <f>B61-Inputs_Sources!$D$6+1</f>
        <v>79</v>
      </c>
      <c r="D61">
        <f t="shared" si="15"/>
        <v>0.21643835616438356</v>
      </c>
      <c r="E61">
        <f t="shared" si="16"/>
        <v>0.78356164383561644</v>
      </c>
      <c r="F61">
        <f>Inputs_Sources!$D$243</f>
        <v>458.6</v>
      </c>
      <c r="G61">
        <f>Inputs_Sources!$D$245</f>
        <v>430.1</v>
      </c>
      <c r="H61">
        <f t="shared" si="17"/>
        <v>436.26849315068495</v>
      </c>
      <c r="I61">
        <f>Inputs_Sources!$D$244</f>
        <v>5075.8</v>
      </c>
      <c r="J61">
        <f>Inputs_Sources!$D$246</f>
        <v>5058.3</v>
      </c>
      <c r="K61">
        <f t="shared" si="18"/>
        <v>5062.0876712328773</v>
      </c>
      <c r="L61" t="s">
        <v>153</v>
      </c>
      <c r="M61" t="s">
        <v>153</v>
      </c>
      <c r="N61" t="s">
        <v>153</v>
      </c>
      <c r="O61" t="s">
        <v>239</v>
      </c>
    </row>
    <row r="62" spans="1:15" x14ac:dyDescent="0.25">
      <c r="A62" t="s">
        <v>144</v>
      </c>
      <c r="B62">
        <f>Inputs_Sources!$D$282</f>
        <v>46387</v>
      </c>
      <c r="C62">
        <f>B62-Inputs_Sources!$D$6+1</f>
        <v>77</v>
      </c>
      <c r="D62">
        <f t="shared" si="15"/>
        <v>0.21095890410958903</v>
      </c>
      <c r="E62">
        <f t="shared" si="16"/>
        <v>0.78904109589041094</v>
      </c>
      <c r="F62" t="s">
        <v>153</v>
      </c>
      <c r="G62" t="s">
        <v>153</v>
      </c>
      <c r="H62" t="str">
        <f t="shared" si="17"/>
        <v>n/a</v>
      </c>
      <c r="I62" t="s">
        <v>153</v>
      </c>
      <c r="J62" t="s">
        <v>153</v>
      </c>
      <c r="K62" t="str">
        <f t="shared" si="18"/>
        <v>n/a</v>
      </c>
      <c r="L62" t="s">
        <v>153</v>
      </c>
      <c r="M62" t="s">
        <v>153</v>
      </c>
      <c r="N62" t="s">
        <v>153</v>
      </c>
      <c r="O62" t="s">
        <v>240</v>
      </c>
    </row>
    <row r="63" spans="1:15" x14ac:dyDescent="0.25">
      <c r="A63" t="s">
        <v>150</v>
      </c>
      <c r="B63">
        <f>Inputs_Sources!$D$247</f>
        <v>46387</v>
      </c>
      <c r="C63">
        <f>B63-Inputs_Sources!$D$6+1</f>
        <v>77</v>
      </c>
      <c r="D63">
        <f t="shared" si="15"/>
        <v>0.21095890410958903</v>
      </c>
      <c r="E63">
        <f t="shared" si="16"/>
        <v>0.78904109589041094</v>
      </c>
      <c r="F63">
        <f>Inputs_Sources!$D$248</f>
        <v>700.1</v>
      </c>
      <c r="G63">
        <f>Inputs_Sources!$D$250</f>
        <v>741.5</v>
      </c>
      <c r="H63">
        <f t="shared" si="17"/>
        <v>732.76630136986296</v>
      </c>
      <c r="I63">
        <f>Inputs_Sources!$D$249</f>
        <v>8564.4</v>
      </c>
      <c r="J63">
        <f>Inputs_Sources!$D$251</f>
        <v>8795</v>
      </c>
      <c r="K63">
        <f t="shared" si="18"/>
        <v>8746.352876712328</v>
      </c>
      <c r="L63" t="s">
        <v>153</v>
      </c>
      <c r="M63" t="s">
        <v>153</v>
      </c>
      <c r="N63" t="s">
        <v>153</v>
      </c>
      <c r="O63" t="s">
        <v>239</v>
      </c>
    </row>
    <row r="64" spans="1:15" x14ac:dyDescent="0.25">
      <c r="A64" t="s">
        <v>156</v>
      </c>
      <c r="B64">
        <f>Inputs_Sources!$D$252</f>
        <v>46387</v>
      </c>
      <c r="C64">
        <f>B64-Inputs_Sources!$D$6+1</f>
        <v>77</v>
      </c>
      <c r="D64">
        <f t="shared" si="15"/>
        <v>0.21095890410958903</v>
      </c>
      <c r="E64">
        <f t="shared" si="16"/>
        <v>0.78904109589041094</v>
      </c>
      <c r="F64">
        <f>Inputs_Sources!$D$253</f>
        <v>354.7</v>
      </c>
      <c r="G64">
        <f>Inputs_Sources!$D$255</f>
        <v>363.6</v>
      </c>
      <c r="H64">
        <f t="shared" si="17"/>
        <v>361.72246575342467</v>
      </c>
      <c r="I64">
        <f>Inputs_Sources!$D$254</f>
        <v>2594.6999999999998</v>
      </c>
      <c r="J64">
        <f>Inputs_Sources!$D$256</f>
        <v>2562.6</v>
      </c>
      <c r="K64">
        <f t="shared" si="18"/>
        <v>2569.3717808219176</v>
      </c>
      <c r="L64" t="s">
        <v>153</v>
      </c>
      <c r="M64" t="s">
        <v>153</v>
      </c>
      <c r="N64" t="s">
        <v>153</v>
      </c>
      <c r="O64" t="s">
        <v>239</v>
      </c>
    </row>
    <row r="65" spans="1:15" x14ac:dyDescent="0.25">
      <c r="A65" t="s">
        <v>161</v>
      </c>
      <c r="B65">
        <f>Inputs_Sources!$D$257</f>
        <v>46507</v>
      </c>
      <c r="C65">
        <f>B65-Inputs_Sources!$D$6+1</f>
        <v>197</v>
      </c>
      <c r="D65">
        <f t="shared" si="15"/>
        <v>0.53972602739726028</v>
      </c>
      <c r="E65">
        <f t="shared" si="16"/>
        <v>0.46027397260273972</v>
      </c>
      <c r="F65">
        <f>Inputs_Sources!$D$258</f>
        <v>2181.3000000000002</v>
      </c>
      <c r="G65">
        <f>Inputs_Sources!$D$260</f>
        <v>2175.4</v>
      </c>
      <c r="H65">
        <f t="shared" si="17"/>
        <v>2178.5843835616442</v>
      </c>
      <c r="I65">
        <f>Inputs_Sources!$D$259</f>
        <v>8930.2999999999993</v>
      </c>
      <c r="J65">
        <f>Inputs_Sources!$D$261</f>
        <v>9037.5</v>
      </c>
      <c r="K65">
        <f t="shared" si="18"/>
        <v>8979.6413698630131</v>
      </c>
      <c r="L65" t="s">
        <v>153</v>
      </c>
      <c r="M65" t="s">
        <v>153</v>
      </c>
      <c r="N65" t="s">
        <v>153</v>
      </c>
      <c r="O65" t="s">
        <v>241</v>
      </c>
    </row>
    <row r="66" spans="1:15" x14ac:dyDescent="0.25">
      <c r="A66" t="s">
        <v>166</v>
      </c>
      <c r="B66">
        <f>Inputs_Sources!$D$262</f>
        <v>46600</v>
      </c>
      <c r="C66">
        <f>B66-Inputs_Sources!$D$6+1</f>
        <v>290</v>
      </c>
      <c r="D66">
        <f t="shared" si="15"/>
        <v>0.79452054794520544</v>
      </c>
      <c r="E66">
        <f t="shared" si="16"/>
        <v>0.20547945205479456</v>
      </c>
      <c r="F66">
        <f>Inputs_Sources!$D$263</f>
        <v>1464.6</v>
      </c>
      <c r="G66">
        <f>Inputs_Sources!$D$265</f>
        <v>1519.8</v>
      </c>
      <c r="H66">
        <f t="shared" si="17"/>
        <v>1475.9424657534246</v>
      </c>
      <c r="I66">
        <f>Inputs_Sources!$D$264</f>
        <v>9496.6</v>
      </c>
      <c r="J66">
        <f>Inputs_Sources!$D$266</f>
        <v>9469.4</v>
      </c>
      <c r="K66">
        <f t="shared" si="18"/>
        <v>9491.0109589041094</v>
      </c>
      <c r="L66" t="s">
        <v>153</v>
      </c>
      <c r="M66" t="s">
        <v>153</v>
      </c>
      <c r="N66" t="s">
        <v>153</v>
      </c>
      <c r="O66" t="s">
        <v>241</v>
      </c>
    </row>
    <row r="67" spans="1:15" x14ac:dyDescent="0.25">
      <c r="A67" t="s">
        <v>170</v>
      </c>
      <c r="B67">
        <f>Inputs_Sources!$D$267</f>
        <v>46387</v>
      </c>
      <c r="C67">
        <f>B67-Inputs_Sources!$D$6+1</f>
        <v>77</v>
      </c>
      <c r="D67">
        <f t="shared" si="15"/>
        <v>0.21095890410958903</v>
      </c>
      <c r="E67">
        <f t="shared" si="16"/>
        <v>0.78904109589041094</v>
      </c>
      <c r="F67">
        <f>Inputs_Sources!$D$268</f>
        <v>6735.2</v>
      </c>
      <c r="G67">
        <f>Inputs_Sources!$D$270</f>
        <v>7265</v>
      </c>
      <c r="H67">
        <f t="shared" si="17"/>
        <v>7153.2339726027394</v>
      </c>
      <c r="I67">
        <f>Inputs_Sources!$D$269</f>
        <v>40101.199999999997</v>
      </c>
      <c r="J67">
        <f>Inputs_Sources!$D$271</f>
        <v>41232.9</v>
      </c>
      <c r="K67">
        <f t="shared" si="18"/>
        <v>40994.157808219177</v>
      </c>
      <c r="L67" t="s">
        <v>153</v>
      </c>
      <c r="M67" t="s">
        <v>153</v>
      </c>
      <c r="N67" t="s">
        <v>153</v>
      </c>
      <c r="O67" t="s">
        <v>239</v>
      </c>
    </row>
    <row r="68" spans="1:15" x14ac:dyDescent="0.25">
      <c r="A68" t="s">
        <v>174</v>
      </c>
      <c r="B68">
        <f>Inputs_Sources!$D$272</f>
        <v>46387</v>
      </c>
      <c r="C68">
        <f>B68-Inputs_Sources!$D$6+1</f>
        <v>77</v>
      </c>
      <c r="D68">
        <f t="shared" si="15"/>
        <v>0.21095890410958903</v>
      </c>
      <c r="E68">
        <f t="shared" si="16"/>
        <v>0.78904109589041094</v>
      </c>
      <c r="F68">
        <f>Inputs_Sources!$D$273</f>
        <v>2930.2</v>
      </c>
      <c r="G68">
        <f>Inputs_Sources!$D$275</f>
        <v>3006.3</v>
      </c>
      <c r="H68">
        <f t="shared" si="17"/>
        <v>2990.2460273972601</v>
      </c>
      <c r="I68">
        <f>Inputs_Sources!$D$274</f>
        <v>14453.8</v>
      </c>
      <c r="J68">
        <f>Inputs_Sources!$D$276</f>
        <v>14628.6</v>
      </c>
      <c r="K68">
        <f t="shared" si="18"/>
        <v>14591.724383561643</v>
      </c>
      <c r="L68" t="s">
        <v>153</v>
      </c>
      <c r="M68" t="s">
        <v>153</v>
      </c>
      <c r="N68" t="s">
        <v>153</v>
      </c>
      <c r="O68" t="s">
        <v>239</v>
      </c>
    </row>
    <row r="69" spans="1:15" x14ac:dyDescent="0.25">
      <c r="A69" t="s">
        <v>177</v>
      </c>
      <c r="B69">
        <f>Inputs_Sources!$D$277</f>
        <v>46387</v>
      </c>
      <c r="C69">
        <f>B69-Inputs_Sources!$D$6+1</f>
        <v>77</v>
      </c>
      <c r="D69">
        <f t="shared" si="15"/>
        <v>0.21095890410958903</v>
      </c>
      <c r="E69">
        <f t="shared" si="16"/>
        <v>0.78904109589041094</v>
      </c>
      <c r="F69">
        <f>Inputs_Sources!$D$278</f>
        <v>19050.5</v>
      </c>
      <c r="G69">
        <f>Inputs_Sources!$D$280</f>
        <v>19587.099999999999</v>
      </c>
      <c r="H69">
        <f t="shared" si="17"/>
        <v>19473.899452054793</v>
      </c>
      <c r="I69">
        <f>Inputs_Sources!$D$279</f>
        <v>99300.5</v>
      </c>
      <c r="J69">
        <f>Inputs_Sources!$D$281</f>
        <v>101773.1</v>
      </c>
      <c r="K69">
        <f t="shared" si="18"/>
        <v>101251.48301369864</v>
      </c>
      <c r="L69" t="s">
        <v>153</v>
      </c>
      <c r="M69" t="s">
        <v>153</v>
      </c>
      <c r="N69" t="s">
        <v>153</v>
      </c>
      <c r="O69" t="s">
        <v>239</v>
      </c>
    </row>
    <row r="72" spans="1:15" x14ac:dyDescent="0.25">
      <c r="A72" s="10" t="s">
        <v>242</v>
      </c>
    </row>
    <row r="73" spans="1:15" x14ac:dyDescent="0.25">
      <c r="A73" t="s">
        <v>243</v>
      </c>
      <c r="B73" s="8">
        <f>F11*G11</f>
        <v>251681.13999999998</v>
      </c>
    </row>
    <row r="74" spans="1:15" x14ac:dyDescent="0.25">
      <c r="A74" t="s">
        <v>244</v>
      </c>
      <c r="B74" s="8">
        <f>N11/H11</f>
        <v>171180</v>
      </c>
    </row>
    <row r="75" spans="1:15" x14ac:dyDescent="0.25">
      <c r="A75" t="s">
        <v>245</v>
      </c>
      <c r="B75" s="8">
        <f>O11/H11</f>
        <v>422861.13999999996</v>
      </c>
    </row>
    <row r="76" spans="1:15" x14ac:dyDescent="0.25">
      <c r="A76" t="s">
        <v>246</v>
      </c>
      <c r="B76" s="8">
        <f>J25/H11</f>
        <v>60919</v>
      </c>
    </row>
    <row r="77" spans="1:15" x14ac:dyDescent="0.25">
      <c r="A77" t="s">
        <v>247</v>
      </c>
      <c r="B77" s="8">
        <f>Inputs_Sources!$D$20+Inputs_Sources!$D$21</f>
        <v>60326</v>
      </c>
    </row>
    <row r="78" spans="1:15" x14ac:dyDescent="0.25">
      <c r="A78" t="s">
        <v>248</v>
      </c>
      <c r="B78" s="9">
        <f>IFERROR(O11/J25,"n/a")</f>
        <v>6.9413670611795988</v>
      </c>
    </row>
    <row r="79" spans="1:15" x14ac:dyDescent="0.25">
      <c r="A79" t="s">
        <v>249</v>
      </c>
      <c r="B79" s="9">
        <f>IFERROR(O11/((Inputs_Sources!$D$20+Inputs_Sources!$D$21)*H11),"n/a")</f>
        <v>7.0096001723966443</v>
      </c>
    </row>
    <row r="80" spans="1:15" x14ac:dyDescent="0.25">
      <c r="A80" t="s">
        <v>250</v>
      </c>
      <c r="B80" s="9">
        <f>IFERROR(O11/L25,"n/a")</f>
        <v>6.5757853879432338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60" customWidth="1"/>
    <col min="4" max="4" width="14" customWidth="1"/>
    <col min="8" max="8" width="80" customWidth="1"/>
    <col min="10" max="10" width="60" customWidth="1"/>
  </cols>
  <sheetData>
    <row r="1" spans="1:10" ht="15.75" x14ac:dyDescent="0.25">
      <c r="A1" s="1" t="s">
        <v>251</v>
      </c>
    </row>
    <row r="2" spans="1:10" x14ac:dyDescent="0.25">
      <c r="A2" t="s">
        <v>252</v>
      </c>
    </row>
    <row r="4" spans="1:10" x14ac:dyDescent="0.25">
      <c r="A4" s="2" t="s">
        <v>253</v>
      </c>
      <c r="B4" s="2" t="s">
        <v>254</v>
      </c>
      <c r="C4" s="2" t="s">
        <v>255</v>
      </c>
      <c r="D4" s="2" t="s">
        <v>256</v>
      </c>
      <c r="E4" s="2" t="s">
        <v>4</v>
      </c>
      <c r="F4" s="2" t="s">
        <v>257</v>
      </c>
      <c r="G4" s="2" t="s">
        <v>13</v>
      </c>
      <c r="H4" s="2" t="s">
        <v>258</v>
      </c>
      <c r="I4" s="2" t="s">
        <v>259</v>
      </c>
      <c r="J4" s="2" t="s">
        <v>260</v>
      </c>
    </row>
    <row r="5" spans="1:10" x14ac:dyDescent="0.25">
      <c r="A5" s="3" t="s">
        <v>261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t="s">
        <v>262</v>
      </c>
      <c r="B6" t="s">
        <v>263</v>
      </c>
      <c r="C6" t="s">
        <v>264</v>
      </c>
      <c r="D6" s="12">
        <v>46311</v>
      </c>
      <c r="E6" t="s">
        <v>265</v>
      </c>
      <c r="G6" t="s">
        <v>24</v>
      </c>
      <c r="H6" t="s">
        <v>266</v>
      </c>
      <c r="I6" t="s">
        <v>267</v>
      </c>
    </row>
    <row r="7" spans="1:10" x14ac:dyDescent="0.25">
      <c r="A7" t="s">
        <v>268</v>
      </c>
      <c r="B7" t="s">
        <v>263</v>
      </c>
      <c r="C7" t="s">
        <v>269</v>
      </c>
      <c r="D7" s="13">
        <v>6.4819999999999999E-3</v>
      </c>
      <c r="E7" t="s">
        <v>270</v>
      </c>
      <c r="F7" t="s">
        <v>139</v>
      </c>
      <c r="G7" t="s">
        <v>24</v>
      </c>
      <c r="H7" t="s">
        <v>271</v>
      </c>
      <c r="I7" t="s">
        <v>267</v>
      </c>
    </row>
    <row r="8" spans="1:10" x14ac:dyDescent="0.25">
      <c r="A8" t="s">
        <v>272</v>
      </c>
      <c r="B8" t="s">
        <v>263</v>
      </c>
      <c r="C8" t="s">
        <v>273</v>
      </c>
      <c r="D8" s="14">
        <v>1.1665589999999999</v>
      </c>
      <c r="E8" t="s">
        <v>274</v>
      </c>
      <c r="F8" t="s">
        <v>139</v>
      </c>
      <c r="G8" t="s">
        <v>24</v>
      </c>
      <c r="H8" t="s">
        <v>275</v>
      </c>
      <c r="I8" t="s">
        <v>267</v>
      </c>
    </row>
    <row r="9" spans="1:10" x14ac:dyDescent="0.25">
      <c r="A9" t="s">
        <v>276</v>
      </c>
      <c r="B9" t="s">
        <v>263</v>
      </c>
      <c r="C9" t="s">
        <v>277</v>
      </c>
      <c r="D9" s="13">
        <v>5.5690000000000003E-2</v>
      </c>
      <c r="E9" t="s">
        <v>278</v>
      </c>
      <c r="F9" t="s">
        <v>139</v>
      </c>
      <c r="G9" t="s">
        <v>24</v>
      </c>
      <c r="H9" t="s">
        <v>279</v>
      </c>
      <c r="I9" t="s">
        <v>267</v>
      </c>
    </row>
    <row r="10" spans="1:10" x14ac:dyDescent="0.25">
      <c r="A10" t="s">
        <v>280</v>
      </c>
      <c r="B10" t="s">
        <v>263</v>
      </c>
      <c r="C10" t="s">
        <v>281</v>
      </c>
      <c r="D10" s="14">
        <v>17.46</v>
      </c>
      <c r="E10" t="s">
        <v>282</v>
      </c>
      <c r="F10" t="s">
        <v>131</v>
      </c>
      <c r="G10" t="s">
        <v>22</v>
      </c>
      <c r="H10" t="s">
        <v>283</v>
      </c>
      <c r="I10" t="s">
        <v>284</v>
      </c>
      <c r="J10" t="s">
        <v>285</v>
      </c>
    </row>
    <row r="11" spans="1:10" x14ac:dyDescent="0.25">
      <c r="A11" t="s">
        <v>286</v>
      </c>
      <c r="B11" t="s">
        <v>287</v>
      </c>
      <c r="C11" t="s">
        <v>288</v>
      </c>
      <c r="D11" s="14">
        <v>17.46</v>
      </c>
      <c r="E11" t="s">
        <v>282</v>
      </c>
      <c r="F11" t="s">
        <v>131</v>
      </c>
      <c r="G11" t="s">
        <v>22</v>
      </c>
      <c r="H11" t="s">
        <v>289</v>
      </c>
      <c r="I11" t="s">
        <v>284</v>
      </c>
      <c r="J11" t="s">
        <v>290</v>
      </c>
    </row>
    <row r="12" spans="1:10" x14ac:dyDescent="0.25">
      <c r="A12" s="3" t="s">
        <v>291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t="s">
        <v>292</v>
      </c>
      <c r="B13" t="s">
        <v>287</v>
      </c>
      <c r="C13" t="s">
        <v>293</v>
      </c>
      <c r="D13" s="14">
        <v>58.6</v>
      </c>
      <c r="E13" t="s">
        <v>294</v>
      </c>
      <c r="F13" t="s">
        <v>131</v>
      </c>
      <c r="G13" t="s">
        <v>295</v>
      </c>
      <c r="H13" t="s">
        <v>296</v>
      </c>
      <c r="I13" t="s">
        <v>267</v>
      </c>
      <c r="J13" t="s">
        <v>297</v>
      </c>
    </row>
    <row r="14" spans="1:10" x14ac:dyDescent="0.25">
      <c r="A14" t="s">
        <v>298</v>
      </c>
      <c r="B14" t="s">
        <v>287</v>
      </c>
      <c r="C14" t="s">
        <v>299</v>
      </c>
      <c r="D14" s="14">
        <v>4294.8999999999996</v>
      </c>
      <c r="E14" t="s">
        <v>300</v>
      </c>
      <c r="F14" t="s">
        <v>301</v>
      </c>
      <c r="G14" t="s">
        <v>295</v>
      </c>
      <c r="H14" t="s">
        <v>302</v>
      </c>
      <c r="I14" t="s">
        <v>303</v>
      </c>
      <c r="J14" t="s">
        <v>304</v>
      </c>
    </row>
    <row r="15" spans="1:10" x14ac:dyDescent="0.25">
      <c r="A15" t="s">
        <v>305</v>
      </c>
      <c r="B15" t="s">
        <v>287</v>
      </c>
      <c r="C15" t="s">
        <v>306</v>
      </c>
      <c r="D15" s="14">
        <v>189679.4</v>
      </c>
      <c r="E15" t="s">
        <v>17</v>
      </c>
      <c r="F15" t="s">
        <v>131</v>
      </c>
      <c r="G15" t="s">
        <v>24</v>
      </c>
      <c r="H15" t="s">
        <v>307</v>
      </c>
      <c r="I15" t="s">
        <v>308</v>
      </c>
      <c r="J15" t="s">
        <v>309</v>
      </c>
    </row>
    <row r="16" spans="1:10" x14ac:dyDescent="0.25">
      <c r="A16" t="s">
        <v>310</v>
      </c>
      <c r="B16" t="s">
        <v>287</v>
      </c>
      <c r="C16" t="s">
        <v>311</v>
      </c>
      <c r="D16" s="14">
        <v>16563</v>
      </c>
      <c r="E16" t="s">
        <v>17</v>
      </c>
      <c r="F16" t="s">
        <v>131</v>
      </c>
      <c r="G16" t="s">
        <v>24</v>
      </c>
      <c r="H16" t="s">
        <v>312</v>
      </c>
      <c r="I16" t="s">
        <v>308</v>
      </c>
    </row>
    <row r="17" spans="1:10" x14ac:dyDescent="0.25">
      <c r="A17" t="s">
        <v>313</v>
      </c>
      <c r="B17" t="s">
        <v>287</v>
      </c>
      <c r="C17" t="s">
        <v>314</v>
      </c>
      <c r="D17" s="14">
        <v>722</v>
      </c>
      <c r="E17" t="s">
        <v>17</v>
      </c>
      <c r="F17" t="s">
        <v>131</v>
      </c>
      <c r="G17" t="s">
        <v>24</v>
      </c>
      <c r="H17" t="s">
        <v>315</v>
      </c>
      <c r="I17" t="s">
        <v>308</v>
      </c>
    </row>
    <row r="18" spans="1:10" x14ac:dyDescent="0.25">
      <c r="A18" t="s">
        <v>316</v>
      </c>
      <c r="B18" t="s">
        <v>287</v>
      </c>
      <c r="C18" t="s">
        <v>317</v>
      </c>
      <c r="D18" s="14">
        <v>153660</v>
      </c>
      <c r="E18" t="s">
        <v>17</v>
      </c>
      <c r="F18" t="s">
        <v>131</v>
      </c>
      <c r="G18" t="s">
        <v>24</v>
      </c>
      <c r="H18" t="s">
        <v>318</v>
      </c>
      <c r="I18" t="s">
        <v>308</v>
      </c>
      <c r="J18" t="s">
        <v>319</v>
      </c>
    </row>
    <row r="19" spans="1:10" x14ac:dyDescent="0.25">
      <c r="A19" t="s">
        <v>320</v>
      </c>
      <c r="B19" t="s">
        <v>287</v>
      </c>
      <c r="C19" t="s">
        <v>321</v>
      </c>
      <c r="D19" s="14">
        <v>33361</v>
      </c>
      <c r="E19" t="s">
        <v>17</v>
      </c>
      <c r="F19" t="s">
        <v>131</v>
      </c>
      <c r="G19" t="s">
        <v>24</v>
      </c>
      <c r="H19" t="s">
        <v>322</v>
      </c>
      <c r="I19" t="s">
        <v>308</v>
      </c>
    </row>
    <row r="20" spans="1:10" x14ac:dyDescent="0.25">
      <c r="A20" t="s">
        <v>323</v>
      </c>
      <c r="B20" t="s">
        <v>287</v>
      </c>
      <c r="C20" t="s">
        <v>324</v>
      </c>
      <c r="D20" s="14">
        <v>35666</v>
      </c>
      <c r="E20" t="s">
        <v>17</v>
      </c>
      <c r="F20" t="s">
        <v>131</v>
      </c>
      <c r="G20" t="s">
        <v>24</v>
      </c>
      <c r="H20" t="s">
        <v>325</v>
      </c>
      <c r="I20" t="s">
        <v>308</v>
      </c>
    </row>
    <row r="21" spans="1:10" x14ac:dyDescent="0.25">
      <c r="A21" t="s">
        <v>326</v>
      </c>
      <c r="B21" t="s">
        <v>287</v>
      </c>
      <c r="C21" t="s">
        <v>327</v>
      </c>
      <c r="D21" s="14">
        <v>24660</v>
      </c>
      <c r="E21" t="s">
        <v>17</v>
      </c>
      <c r="F21" t="s">
        <v>131</v>
      </c>
      <c r="G21" t="s">
        <v>24</v>
      </c>
      <c r="H21" t="s">
        <v>325</v>
      </c>
      <c r="I21" t="s">
        <v>308</v>
      </c>
    </row>
    <row r="22" spans="1:10" x14ac:dyDescent="0.25">
      <c r="A22" t="s">
        <v>328</v>
      </c>
      <c r="B22" t="s">
        <v>287</v>
      </c>
      <c r="C22" t="s">
        <v>329</v>
      </c>
      <c r="D22" s="14">
        <v>7112.9</v>
      </c>
      <c r="E22" t="s">
        <v>17</v>
      </c>
      <c r="F22" t="s">
        <v>131</v>
      </c>
      <c r="G22" t="s">
        <v>24</v>
      </c>
      <c r="H22" t="s">
        <v>330</v>
      </c>
      <c r="I22" t="s">
        <v>308</v>
      </c>
    </row>
    <row r="23" spans="1:10" x14ac:dyDescent="0.25">
      <c r="A23" t="s">
        <v>331</v>
      </c>
      <c r="B23" t="s">
        <v>287</v>
      </c>
      <c r="C23" t="s">
        <v>332</v>
      </c>
      <c r="D23" s="14">
        <v>26248</v>
      </c>
      <c r="E23" t="s">
        <v>17</v>
      </c>
      <c r="F23" t="s">
        <v>131</v>
      </c>
      <c r="G23" t="s">
        <v>24</v>
      </c>
      <c r="H23" t="s">
        <v>333</v>
      </c>
      <c r="I23" t="s">
        <v>308</v>
      </c>
    </row>
    <row r="24" spans="1:10" x14ac:dyDescent="0.25">
      <c r="A24" t="s">
        <v>334</v>
      </c>
      <c r="B24" t="s">
        <v>287</v>
      </c>
      <c r="C24" t="s">
        <v>335</v>
      </c>
      <c r="D24" s="14">
        <v>137100</v>
      </c>
      <c r="E24" t="s">
        <v>17</v>
      </c>
      <c r="F24" t="s">
        <v>131</v>
      </c>
      <c r="G24" t="s">
        <v>24</v>
      </c>
      <c r="H24" t="s">
        <v>336</v>
      </c>
      <c r="I24" t="s">
        <v>308</v>
      </c>
      <c r="J24" t="s">
        <v>337</v>
      </c>
    </row>
    <row r="25" spans="1:10" x14ac:dyDescent="0.25">
      <c r="A25" t="s">
        <v>338</v>
      </c>
      <c r="B25" t="s">
        <v>287</v>
      </c>
      <c r="C25" t="s">
        <v>339</v>
      </c>
      <c r="D25" s="14">
        <v>15776</v>
      </c>
      <c r="E25" t="s">
        <v>17</v>
      </c>
      <c r="F25" t="s">
        <v>131</v>
      </c>
      <c r="G25" t="s">
        <v>24</v>
      </c>
      <c r="H25" t="s">
        <v>340</v>
      </c>
      <c r="I25" t="s">
        <v>308</v>
      </c>
    </row>
    <row r="26" spans="1:10" x14ac:dyDescent="0.25">
      <c r="A26" t="s">
        <v>341</v>
      </c>
      <c r="B26" t="s">
        <v>287</v>
      </c>
      <c r="C26" t="s">
        <v>342</v>
      </c>
      <c r="D26" s="14">
        <v>15994</v>
      </c>
      <c r="E26" t="s">
        <v>17</v>
      </c>
      <c r="F26" t="s">
        <v>131</v>
      </c>
      <c r="G26" t="s">
        <v>24</v>
      </c>
      <c r="H26" t="s">
        <v>340</v>
      </c>
      <c r="I26" t="s">
        <v>308</v>
      </c>
    </row>
    <row r="27" spans="1:10" x14ac:dyDescent="0.25">
      <c r="A27" t="s">
        <v>343</v>
      </c>
      <c r="B27" t="s">
        <v>287</v>
      </c>
      <c r="C27" t="s">
        <v>344</v>
      </c>
      <c r="D27" s="14">
        <v>14036</v>
      </c>
      <c r="E27" t="s">
        <v>17</v>
      </c>
      <c r="F27" t="s">
        <v>131</v>
      </c>
      <c r="G27" t="s">
        <v>24</v>
      </c>
      <c r="H27" t="s">
        <v>340</v>
      </c>
      <c r="I27" t="s">
        <v>308</v>
      </c>
    </row>
    <row r="28" spans="1:10" x14ac:dyDescent="0.25">
      <c r="A28" t="s">
        <v>345</v>
      </c>
      <c r="B28" t="s">
        <v>287</v>
      </c>
      <c r="C28" t="s">
        <v>346</v>
      </c>
      <c r="D28" s="14">
        <v>15113</v>
      </c>
      <c r="E28" t="s">
        <v>17</v>
      </c>
      <c r="F28" t="s">
        <v>131</v>
      </c>
      <c r="G28" t="s">
        <v>24</v>
      </c>
      <c r="H28" t="s">
        <v>340</v>
      </c>
      <c r="I28" t="s">
        <v>308</v>
      </c>
    </row>
    <row r="29" spans="1:10" x14ac:dyDescent="0.25">
      <c r="A29" t="s">
        <v>347</v>
      </c>
      <c r="B29" t="s">
        <v>287</v>
      </c>
      <c r="C29" t="s">
        <v>348</v>
      </c>
      <c r="D29" s="14">
        <v>421423</v>
      </c>
      <c r="E29" t="s">
        <v>17</v>
      </c>
      <c r="F29" t="s">
        <v>131</v>
      </c>
      <c r="G29" t="s">
        <v>24</v>
      </c>
      <c r="H29" t="s">
        <v>349</v>
      </c>
      <c r="I29" t="s">
        <v>308</v>
      </c>
    </row>
    <row r="30" spans="1:10" x14ac:dyDescent="0.25">
      <c r="A30" t="s">
        <v>350</v>
      </c>
      <c r="B30" t="s">
        <v>287</v>
      </c>
      <c r="C30" t="s">
        <v>351</v>
      </c>
      <c r="D30" s="14">
        <v>0.78200000000000003</v>
      </c>
      <c r="E30" t="s">
        <v>294</v>
      </c>
      <c r="F30" t="s">
        <v>131</v>
      </c>
      <c r="G30" t="s">
        <v>24</v>
      </c>
      <c r="H30" t="s">
        <v>352</v>
      </c>
      <c r="I30" t="s">
        <v>308</v>
      </c>
    </row>
    <row r="31" spans="1:10" x14ac:dyDescent="0.25">
      <c r="A31" t="s">
        <v>353</v>
      </c>
      <c r="B31" t="s">
        <v>287</v>
      </c>
      <c r="C31" t="s">
        <v>354</v>
      </c>
      <c r="D31" s="14">
        <v>0.86599999999999999</v>
      </c>
      <c r="E31" t="s">
        <v>294</v>
      </c>
      <c r="F31" t="s">
        <v>131</v>
      </c>
      <c r="G31" t="s">
        <v>24</v>
      </c>
      <c r="H31" t="s">
        <v>355</v>
      </c>
      <c r="I31" t="s">
        <v>308</v>
      </c>
    </row>
    <row r="32" spans="1:10" x14ac:dyDescent="0.25">
      <c r="A32" t="s">
        <v>356</v>
      </c>
      <c r="B32" t="s">
        <v>287</v>
      </c>
      <c r="C32" t="s">
        <v>357</v>
      </c>
      <c r="D32" s="14">
        <v>0.85299999999999998</v>
      </c>
      <c r="E32" t="s">
        <v>294</v>
      </c>
      <c r="F32" t="s">
        <v>131</v>
      </c>
      <c r="G32" t="s">
        <v>24</v>
      </c>
      <c r="H32" t="s">
        <v>358</v>
      </c>
      <c r="I32" t="s">
        <v>308</v>
      </c>
    </row>
    <row r="33" spans="1:10" x14ac:dyDescent="0.25">
      <c r="A33" t="s">
        <v>359</v>
      </c>
      <c r="B33" t="s">
        <v>287</v>
      </c>
      <c r="C33" t="s">
        <v>360</v>
      </c>
      <c r="D33" s="14">
        <v>0.67400000000000004</v>
      </c>
      <c r="E33" t="s">
        <v>294</v>
      </c>
      <c r="F33" t="s">
        <v>131</v>
      </c>
      <c r="G33" t="s">
        <v>24</v>
      </c>
      <c r="H33" t="s">
        <v>361</v>
      </c>
      <c r="I33" t="s">
        <v>308</v>
      </c>
    </row>
    <row r="34" spans="1:10" x14ac:dyDescent="0.25">
      <c r="A34" t="s">
        <v>362</v>
      </c>
      <c r="B34" t="s">
        <v>287</v>
      </c>
      <c r="C34" t="s">
        <v>363</v>
      </c>
      <c r="D34" s="14">
        <v>221490.26300000001</v>
      </c>
      <c r="E34" t="s">
        <v>17</v>
      </c>
      <c r="F34" t="s">
        <v>131</v>
      </c>
      <c r="G34" t="s">
        <v>24</v>
      </c>
      <c r="H34" t="s">
        <v>364</v>
      </c>
      <c r="I34" t="s">
        <v>308</v>
      </c>
    </row>
    <row r="35" spans="1:10" x14ac:dyDescent="0.25">
      <c r="A35" t="s">
        <v>365</v>
      </c>
      <c r="B35" t="s">
        <v>287</v>
      </c>
      <c r="C35" t="s">
        <v>366</v>
      </c>
      <c r="D35" s="14">
        <v>25433.349375000002</v>
      </c>
      <c r="E35" t="s">
        <v>17</v>
      </c>
      <c r="F35" t="s">
        <v>131</v>
      </c>
      <c r="G35" t="s">
        <v>24</v>
      </c>
      <c r="H35" t="s">
        <v>367</v>
      </c>
      <c r="I35" t="s">
        <v>308</v>
      </c>
    </row>
    <row r="36" spans="1:10" x14ac:dyDescent="0.25">
      <c r="A36" s="3" t="s">
        <v>368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t="s">
        <v>369</v>
      </c>
      <c r="B37" t="s">
        <v>136</v>
      </c>
      <c r="C37" t="s">
        <v>370</v>
      </c>
      <c r="D37" s="14">
        <v>1295.7</v>
      </c>
      <c r="E37" t="s">
        <v>371</v>
      </c>
      <c r="F37" t="s">
        <v>139</v>
      </c>
      <c r="G37" t="s">
        <v>24</v>
      </c>
      <c r="H37" t="s">
        <v>372</v>
      </c>
      <c r="I37" t="s">
        <v>267</v>
      </c>
    </row>
    <row r="38" spans="1:10" x14ac:dyDescent="0.25">
      <c r="A38" t="s">
        <v>373</v>
      </c>
      <c r="B38" t="s">
        <v>136</v>
      </c>
      <c r="C38" t="s">
        <v>374</v>
      </c>
      <c r="D38" s="14">
        <v>212.1</v>
      </c>
      <c r="E38" t="s">
        <v>300</v>
      </c>
      <c r="F38" t="s">
        <v>301</v>
      </c>
      <c r="G38" t="s">
        <v>24</v>
      </c>
      <c r="H38" t="s">
        <v>372</v>
      </c>
      <c r="I38" t="s">
        <v>267</v>
      </c>
    </row>
    <row r="39" spans="1:10" x14ac:dyDescent="0.25">
      <c r="A39" t="s">
        <v>375</v>
      </c>
      <c r="B39" t="s">
        <v>136</v>
      </c>
      <c r="C39" t="s">
        <v>376</v>
      </c>
      <c r="D39" s="14">
        <v>3250.7</v>
      </c>
      <c r="E39" t="s">
        <v>371</v>
      </c>
      <c r="F39" t="s">
        <v>139</v>
      </c>
      <c r="G39" t="s">
        <v>24</v>
      </c>
      <c r="H39" t="s">
        <v>372</v>
      </c>
      <c r="I39" t="s">
        <v>267</v>
      </c>
    </row>
    <row r="40" spans="1:10" x14ac:dyDescent="0.25">
      <c r="A40" t="s">
        <v>377</v>
      </c>
      <c r="B40" t="s">
        <v>136</v>
      </c>
      <c r="C40" t="s">
        <v>378</v>
      </c>
      <c r="D40" s="14">
        <v>0</v>
      </c>
      <c r="E40" t="s">
        <v>371</v>
      </c>
      <c r="F40" t="s">
        <v>139</v>
      </c>
      <c r="G40" t="s">
        <v>24</v>
      </c>
      <c r="H40" t="s">
        <v>379</v>
      </c>
      <c r="I40" t="s">
        <v>267</v>
      </c>
      <c r="J40" t="s">
        <v>380</v>
      </c>
    </row>
    <row r="41" spans="1:10" x14ac:dyDescent="0.25">
      <c r="A41" t="s">
        <v>381</v>
      </c>
      <c r="B41" t="s">
        <v>136</v>
      </c>
      <c r="C41" t="s">
        <v>382</v>
      </c>
      <c r="D41" s="14">
        <v>1955</v>
      </c>
      <c r="E41" t="s">
        <v>371</v>
      </c>
      <c r="F41" t="s">
        <v>139</v>
      </c>
      <c r="G41" t="s">
        <v>24</v>
      </c>
      <c r="H41" t="s">
        <v>372</v>
      </c>
      <c r="I41" t="s">
        <v>267</v>
      </c>
    </row>
    <row r="42" spans="1:10" x14ac:dyDescent="0.25">
      <c r="A42" t="s">
        <v>383</v>
      </c>
      <c r="B42" t="s">
        <v>136</v>
      </c>
      <c r="C42" t="s">
        <v>384</v>
      </c>
      <c r="D42" s="14">
        <v>486.9</v>
      </c>
      <c r="E42" t="s">
        <v>371</v>
      </c>
      <c r="F42" t="s">
        <v>139</v>
      </c>
      <c r="G42" t="s">
        <v>24</v>
      </c>
      <c r="H42" t="s">
        <v>372</v>
      </c>
      <c r="I42" t="s">
        <v>267</v>
      </c>
    </row>
    <row r="43" spans="1:10" x14ac:dyDescent="0.25">
      <c r="A43" t="s">
        <v>385</v>
      </c>
      <c r="B43" t="s">
        <v>136</v>
      </c>
      <c r="C43" t="s">
        <v>386</v>
      </c>
      <c r="D43" s="14">
        <v>5223.8999999999996</v>
      </c>
      <c r="E43" t="s">
        <v>371</v>
      </c>
      <c r="F43" t="s">
        <v>139</v>
      </c>
      <c r="G43" t="s">
        <v>24</v>
      </c>
      <c r="H43" t="s">
        <v>387</v>
      </c>
      <c r="I43" t="s">
        <v>267</v>
      </c>
    </row>
    <row r="44" spans="1:10" x14ac:dyDescent="0.25">
      <c r="A44" t="s">
        <v>388</v>
      </c>
      <c r="B44" t="s">
        <v>136</v>
      </c>
      <c r="C44" t="s">
        <v>389</v>
      </c>
      <c r="D44" s="14">
        <v>5103.5</v>
      </c>
      <c r="E44" t="s">
        <v>371</v>
      </c>
      <c r="F44" t="s">
        <v>139</v>
      </c>
      <c r="G44" t="s">
        <v>24</v>
      </c>
      <c r="H44" t="s">
        <v>387</v>
      </c>
      <c r="I44" t="s">
        <v>390</v>
      </c>
    </row>
    <row r="45" spans="1:10" x14ac:dyDescent="0.25">
      <c r="A45" t="s">
        <v>391</v>
      </c>
      <c r="B45" t="s">
        <v>136</v>
      </c>
      <c r="C45" t="s">
        <v>392</v>
      </c>
      <c r="D45" s="14">
        <v>5256.5</v>
      </c>
      <c r="E45" t="s">
        <v>371</v>
      </c>
      <c r="F45" t="s">
        <v>139</v>
      </c>
      <c r="G45" t="s">
        <v>24</v>
      </c>
      <c r="H45" t="s">
        <v>387</v>
      </c>
      <c r="I45" t="s">
        <v>393</v>
      </c>
    </row>
    <row r="46" spans="1:10" x14ac:dyDescent="0.25">
      <c r="A46" t="s">
        <v>394</v>
      </c>
      <c r="B46" t="s">
        <v>136</v>
      </c>
      <c r="C46" t="s">
        <v>395</v>
      </c>
      <c r="D46" s="14">
        <v>520.70000000000005</v>
      </c>
      <c r="E46" t="s">
        <v>371</v>
      </c>
      <c r="F46" t="s">
        <v>139</v>
      </c>
      <c r="G46" t="s">
        <v>24</v>
      </c>
      <c r="H46" t="s">
        <v>396</v>
      </c>
      <c r="I46" t="s">
        <v>390</v>
      </c>
    </row>
    <row r="47" spans="1:10" x14ac:dyDescent="0.25">
      <c r="A47" t="s">
        <v>397</v>
      </c>
      <c r="B47" t="s">
        <v>136</v>
      </c>
      <c r="C47" t="s">
        <v>398</v>
      </c>
      <c r="D47" s="14">
        <v>514.79999999999995</v>
      </c>
      <c r="E47" t="s">
        <v>371</v>
      </c>
      <c r="F47" t="s">
        <v>139</v>
      </c>
      <c r="G47" t="s">
        <v>24</v>
      </c>
      <c r="H47" t="s">
        <v>396</v>
      </c>
      <c r="I47" t="s">
        <v>393</v>
      </c>
    </row>
    <row r="48" spans="1:10" x14ac:dyDescent="0.25">
      <c r="A48" t="s">
        <v>399</v>
      </c>
      <c r="B48" t="s">
        <v>136</v>
      </c>
      <c r="C48" t="s">
        <v>400</v>
      </c>
      <c r="D48" s="15" t="s">
        <v>153</v>
      </c>
      <c r="E48" t="s">
        <v>371</v>
      </c>
      <c r="F48" t="s">
        <v>139</v>
      </c>
      <c r="G48" t="s">
        <v>401</v>
      </c>
      <c r="H48" t="s">
        <v>402</v>
      </c>
      <c r="I48" t="s">
        <v>267</v>
      </c>
    </row>
    <row r="49" spans="1:10" x14ac:dyDescent="0.25">
      <c r="A49" t="s">
        <v>403</v>
      </c>
      <c r="B49" t="s">
        <v>136</v>
      </c>
      <c r="C49" t="s">
        <v>404</v>
      </c>
      <c r="D49" s="14">
        <v>298.5</v>
      </c>
      <c r="E49" t="s">
        <v>371</v>
      </c>
      <c r="F49" t="s">
        <v>139</v>
      </c>
      <c r="G49" t="s">
        <v>24</v>
      </c>
      <c r="H49" t="s">
        <v>387</v>
      </c>
      <c r="I49" t="s">
        <v>267</v>
      </c>
    </row>
    <row r="50" spans="1:10" x14ac:dyDescent="0.25">
      <c r="A50" t="s">
        <v>405</v>
      </c>
      <c r="B50" t="s">
        <v>136</v>
      </c>
      <c r="C50" t="s">
        <v>406</v>
      </c>
      <c r="D50" s="14">
        <v>23.45</v>
      </c>
      <c r="E50" t="s">
        <v>79</v>
      </c>
      <c r="G50" t="s">
        <v>24</v>
      </c>
      <c r="H50" t="s">
        <v>407</v>
      </c>
      <c r="I50" t="s">
        <v>267</v>
      </c>
    </row>
    <row r="51" spans="1:10" x14ac:dyDescent="0.25">
      <c r="A51" t="s">
        <v>408</v>
      </c>
      <c r="B51" t="s">
        <v>136</v>
      </c>
      <c r="C51" t="s">
        <v>409</v>
      </c>
      <c r="D51" s="14">
        <v>8.93</v>
      </c>
      <c r="E51" t="s">
        <v>79</v>
      </c>
      <c r="G51" t="s">
        <v>24</v>
      </c>
      <c r="H51" t="s">
        <v>407</v>
      </c>
      <c r="I51" t="s">
        <v>267</v>
      </c>
      <c r="J51" t="s">
        <v>410</v>
      </c>
    </row>
    <row r="52" spans="1:10" x14ac:dyDescent="0.25">
      <c r="A52" t="s">
        <v>411</v>
      </c>
      <c r="B52" t="s">
        <v>136</v>
      </c>
      <c r="C52" t="s">
        <v>412</v>
      </c>
      <c r="D52" s="14">
        <v>5.15</v>
      </c>
      <c r="E52" t="s">
        <v>79</v>
      </c>
      <c r="G52" t="s">
        <v>24</v>
      </c>
      <c r="H52" t="s">
        <v>407</v>
      </c>
      <c r="I52" t="s">
        <v>267</v>
      </c>
      <c r="J52" t="s">
        <v>413</v>
      </c>
    </row>
    <row r="53" spans="1:10" x14ac:dyDescent="0.25">
      <c r="A53" t="s">
        <v>414</v>
      </c>
      <c r="B53" t="s">
        <v>136</v>
      </c>
      <c r="C53" t="s">
        <v>415</v>
      </c>
      <c r="D53" s="14">
        <v>7.55</v>
      </c>
      <c r="E53" t="s">
        <v>79</v>
      </c>
      <c r="G53" t="s">
        <v>24</v>
      </c>
      <c r="H53" t="s">
        <v>407</v>
      </c>
      <c r="I53" t="s">
        <v>267</v>
      </c>
      <c r="J53" t="s">
        <v>416</v>
      </c>
    </row>
    <row r="54" spans="1:10" x14ac:dyDescent="0.25">
      <c r="A54" t="s">
        <v>417</v>
      </c>
      <c r="B54" t="s">
        <v>144</v>
      </c>
      <c r="C54" t="s">
        <v>418</v>
      </c>
      <c r="D54" s="14">
        <v>242.02</v>
      </c>
      <c r="E54" t="s">
        <v>294</v>
      </c>
      <c r="F54" t="s">
        <v>131</v>
      </c>
      <c r="G54" t="s">
        <v>295</v>
      </c>
      <c r="H54" t="s">
        <v>419</v>
      </c>
      <c r="I54" t="s">
        <v>267</v>
      </c>
      <c r="J54" t="s">
        <v>420</v>
      </c>
    </row>
    <row r="55" spans="1:10" x14ac:dyDescent="0.25">
      <c r="A55" t="s">
        <v>421</v>
      </c>
      <c r="B55" t="s">
        <v>144</v>
      </c>
      <c r="C55" t="s">
        <v>422</v>
      </c>
      <c r="D55" s="14">
        <v>336.20798500000001</v>
      </c>
      <c r="E55" t="s">
        <v>300</v>
      </c>
      <c r="F55" t="s">
        <v>301</v>
      </c>
      <c r="G55" t="s">
        <v>24</v>
      </c>
      <c r="H55" t="s">
        <v>423</v>
      </c>
      <c r="I55" t="s">
        <v>308</v>
      </c>
      <c r="J55" t="s">
        <v>424</v>
      </c>
    </row>
    <row r="56" spans="1:10" x14ac:dyDescent="0.25">
      <c r="A56" t="s">
        <v>425</v>
      </c>
      <c r="B56" t="s">
        <v>144</v>
      </c>
      <c r="C56" t="s">
        <v>426</v>
      </c>
      <c r="D56" s="13">
        <v>5.7273768613974797E-2</v>
      </c>
      <c r="E56" t="s">
        <v>278</v>
      </c>
      <c r="F56" t="s">
        <v>139</v>
      </c>
      <c r="G56" t="s">
        <v>22</v>
      </c>
      <c r="H56" t="s">
        <v>427</v>
      </c>
      <c r="I56" t="s">
        <v>284</v>
      </c>
      <c r="J56" t="s">
        <v>428</v>
      </c>
    </row>
    <row r="57" spans="1:10" x14ac:dyDescent="0.25">
      <c r="A57" t="s">
        <v>429</v>
      </c>
      <c r="B57" t="s">
        <v>144</v>
      </c>
      <c r="C57" t="s">
        <v>430</v>
      </c>
      <c r="D57" s="14">
        <v>2.8</v>
      </c>
      <c r="E57" t="s">
        <v>371</v>
      </c>
      <c r="F57" t="s">
        <v>139</v>
      </c>
      <c r="G57" t="s">
        <v>24</v>
      </c>
      <c r="H57" t="s">
        <v>423</v>
      </c>
      <c r="I57" t="s">
        <v>308</v>
      </c>
      <c r="J57" t="s">
        <v>431</v>
      </c>
    </row>
    <row r="58" spans="1:10" x14ac:dyDescent="0.25">
      <c r="A58" t="s">
        <v>432</v>
      </c>
      <c r="B58" t="s">
        <v>144</v>
      </c>
      <c r="C58" t="s">
        <v>382</v>
      </c>
      <c r="D58" s="14">
        <v>1628.2</v>
      </c>
      <c r="E58" t="s">
        <v>371</v>
      </c>
      <c r="F58" t="s">
        <v>139</v>
      </c>
      <c r="G58" t="s">
        <v>22</v>
      </c>
      <c r="H58" t="s">
        <v>433</v>
      </c>
      <c r="I58" t="s">
        <v>308</v>
      </c>
      <c r="J58" t="s">
        <v>434</v>
      </c>
    </row>
    <row r="59" spans="1:10" x14ac:dyDescent="0.25">
      <c r="A59" t="s">
        <v>435</v>
      </c>
      <c r="B59" t="s">
        <v>144</v>
      </c>
      <c r="C59" t="s">
        <v>384</v>
      </c>
      <c r="D59" s="14">
        <v>1108.9000000000001</v>
      </c>
      <c r="E59" t="s">
        <v>371</v>
      </c>
      <c r="F59" t="s">
        <v>139</v>
      </c>
      <c r="G59" t="s">
        <v>22</v>
      </c>
      <c r="H59" t="s">
        <v>436</v>
      </c>
      <c r="I59" t="s">
        <v>308</v>
      </c>
      <c r="J59" t="s">
        <v>437</v>
      </c>
    </row>
    <row r="60" spans="1:10" x14ac:dyDescent="0.25">
      <c r="A60" t="s">
        <v>438</v>
      </c>
      <c r="B60" t="s">
        <v>144</v>
      </c>
      <c r="C60" t="s">
        <v>386</v>
      </c>
      <c r="D60" s="14">
        <v>6500.1</v>
      </c>
      <c r="E60" t="s">
        <v>371</v>
      </c>
      <c r="F60" t="s">
        <v>139</v>
      </c>
      <c r="G60" t="s">
        <v>22</v>
      </c>
      <c r="H60" t="s">
        <v>439</v>
      </c>
      <c r="I60" t="s">
        <v>308</v>
      </c>
    </row>
    <row r="61" spans="1:10" x14ac:dyDescent="0.25">
      <c r="A61" t="s">
        <v>440</v>
      </c>
      <c r="B61" t="s">
        <v>144</v>
      </c>
      <c r="C61" t="s">
        <v>389</v>
      </c>
      <c r="D61" s="14">
        <v>6486.9</v>
      </c>
      <c r="E61" t="s">
        <v>371</v>
      </c>
      <c r="F61" t="s">
        <v>139</v>
      </c>
      <c r="G61" t="s">
        <v>24</v>
      </c>
      <c r="H61" t="s">
        <v>441</v>
      </c>
      <c r="I61" t="s">
        <v>390</v>
      </c>
    </row>
    <row r="62" spans="1:10" x14ac:dyDescent="0.25">
      <c r="A62" t="s">
        <v>442</v>
      </c>
      <c r="B62" t="s">
        <v>144</v>
      </c>
      <c r="C62" t="s">
        <v>392</v>
      </c>
      <c r="D62" s="14">
        <v>6374.6</v>
      </c>
      <c r="E62" t="s">
        <v>371</v>
      </c>
      <c r="F62" t="s">
        <v>139</v>
      </c>
      <c r="G62" t="s">
        <v>24</v>
      </c>
      <c r="H62" t="s">
        <v>443</v>
      </c>
      <c r="I62" t="s">
        <v>393</v>
      </c>
    </row>
    <row r="63" spans="1:10" x14ac:dyDescent="0.25">
      <c r="A63" t="s">
        <v>444</v>
      </c>
      <c r="B63" t="s">
        <v>144</v>
      </c>
      <c r="C63" t="s">
        <v>395</v>
      </c>
      <c r="D63" s="14">
        <v>1131.0999999999999</v>
      </c>
      <c r="E63" t="s">
        <v>371</v>
      </c>
      <c r="F63" t="s">
        <v>139</v>
      </c>
      <c r="G63" t="s">
        <v>24</v>
      </c>
      <c r="H63" t="s">
        <v>445</v>
      </c>
      <c r="I63" t="s">
        <v>390</v>
      </c>
    </row>
    <row r="64" spans="1:10" x14ac:dyDescent="0.25">
      <c r="A64" t="s">
        <v>446</v>
      </c>
      <c r="B64" t="s">
        <v>144</v>
      </c>
      <c r="C64" t="s">
        <v>398</v>
      </c>
      <c r="D64" s="14">
        <v>1136</v>
      </c>
      <c r="E64" t="s">
        <v>371</v>
      </c>
      <c r="F64" t="s">
        <v>139</v>
      </c>
      <c r="G64" t="s">
        <v>24</v>
      </c>
      <c r="H64" t="s">
        <v>447</v>
      </c>
      <c r="I64" t="s">
        <v>393</v>
      </c>
    </row>
    <row r="65" spans="1:10" x14ac:dyDescent="0.25">
      <c r="A65" t="s">
        <v>448</v>
      </c>
      <c r="B65" t="s">
        <v>144</v>
      </c>
      <c r="C65" t="s">
        <v>400</v>
      </c>
      <c r="D65" s="14">
        <v>2522.1999999999998</v>
      </c>
      <c r="E65" t="s">
        <v>371</v>
      </c>
      <c r="F65" t="s">
        <v>139</v>
      </c>
      <c r="G65" t="s">
        <v>24</v>
      </c>
      <c r="H65" t="s">
        <v>449</v>
      </c>
      <c r="I65" t="s">
        <v>308</v>
      </c>
    </row>
    <row r="66" spans="1:10" x14ac:dyDescent="0.25">
      <c r="A66" t="s">
        <v>450</v>
      </c>
      <c r="B66" t="s">
        <v>144</v>
      </c>
      <c r="C66" t="s">
        <v>404</v>
      </c>
      <c r="D66" s="15" t="s">
        <v>153</v>
      </c>
      <c r="E66" t="s">
        <v>371</v>
      </c>
      <c r="F66" t="s">
        <v>139</v>
      </c>
      <c r="G66" t="s">
        <v>401</v>
      </c>
      <c r="H66" t="s">
        <v>451</v>
      </c>
      <c r="I66" t="s">
        <v>267</v>
      </c>
    </row>
    <row r="67" spans="1:10" x14ac:dyDescent="0.25">
      <c r="A67" t="s">
        <v>452</v>
      </c>
      <c r="B67" t="s">
        <v>144</v>
      </c>
      <c r="C67" t="s">
        <v>406</v>
      </c>
      <c r="D67" s="15" t="s">
        <v>153</v>
      </c>
      <c r="E67" t="s">
        <v>79</v>
      </c>
      <c r="G67" t="s">
        <v>401</v>
      </c>
      <c r="H67" t="s">
        <v>453</v>
      </c>
      <c r="I67" t="s">
        <v>267</v>
      </c>
    </row>
    <row r="68" spans="1:10" x14ac:dyDescent="0.25">
      <c r="A68" t="s">
        <v>454</v>
      </c>
      <c r="B68" t="s">
        <v>144</v>
      </c>
      <c r="C68" t="s">
        <v>409</v>
      </c>
      <c r="D68" s="15" t="s">
        <v>153</v>
      </c>
      <c r="E68" t="s">
        <v>79</v>
      </c>
      <c r="G68" t="s">
        <v>401</v>
      </c>
      <c r="H68" t="s">
        <v>453</v>
      </c>
      <c r="I68" t="s">
        <v>267</v>
      </c>
      <c r="J68" t="s">
        <v>410</v>
      </c>
    </row>
    <row r="69" spans="1:10" x14ac:dyDescent="0.25">
      <c r="A69" t="s">
        <v>455</v>
      </c>
      <c r="B69" t="s">
        <v>144</v>
      </c>
      <c r="C69" t="s">
        <v>412</v>
      </c>
      <c r="D69" s="15" t="s">
        <v>153</v>
      </c>
      <c r="E69" t="s">
        <v>79</v>
      </c>
      <c r="G69" t="s">
        <v>24</v>
      </c>
      <c r="H69" t="s">
        <v>453</v>
      </c>
      <c r="I69" t="s">
        <v>267</v>
      </c>
      <c r="J69" t="s">
        <v>413</v>
      </c>
    </row>
    <row r="70" spans="1:10" x14ac:dyDescent="0.25">
      <c r="A70" t="s">
        <v>456</v>
      </c>
      <c r="B70" t="s">
        <v>144</v>
      </c>
      <c r="C70" t="s">
        <v>415</v>
      </c>
      <c r="D70" s="15" t="s">
        <v>153</v>
      </c>
      <c r="E70" t="s">
        <v>79</v>
      </c>
      <c r="G70" t="s">
        <v>24</v>
      </c>
      <c r="H70" t="s">
        <v>453</v>
      </c>
      <c r="I70" t="s">
        <v>267</v>
      </c>
      <c r="J70" t="s">
        <v>416</v>
      </c>
    </row>
    <row r="71" spans="1:10" x14ac:dyDescent="0.25">
      <c r="A71" t="s">
        <v>457</v>
      </c>
      <c r="B71" t="s">
        <v>150</v>
      </c>
      <c r="C71" t="s">
        <v>418</v>
      </c>
      <c r="D71" s="14">
        <v>3816</v>
      </c>
      <c r="E71" t="s">
        <v>458</v>
      </c>
      <c r="F71" t="s">
        <v>152</v>
      </c>
      <c r="G71" t="s">
        <v>295</v>
      </c>
      <c r="H71" t="s">
        <v>459</v>
      </c>
      <c r="I71" t="s">
        <v>267</v>
      </c>
      <c r="J71" t="s">
        <v>460</v>
      </c>
    </row>
    <row r="72" spans="1:10" x14ac:dyDescent="0.25">
      <c r="A72" t="s">
        <v>461</v>
      </c>
      <c r="B72" t="s">
        <v>150</v>
      </c>
      <c r="C72" t="s">
        <v>422</v>
      </c>
      <c r="D72" s="15" t="s">
        <v>153</v>
      </c>
      <c r="E72" t="s">
        <v>300</v>
      </c>
      <c r="F72" t="s">
        <v>301</v>
      </c>
      <c r="G72" t="s">
        <v>401</v>
      </c>
      <c r="H72" t="s">
        <v>462</v>
      </c>
      <c r="I72" t="s">
        <v>308</v>
      </c>
      <c r="J72" t="s">
        <v>463</v>
      </c>
    </row>
    <row r="73" spans="1:10" x14ac:dyDescent="0.25">
      <c r="A73" t="s">
        <v>464</v>
      </c>
      <c r="B73" t="s">
        <v>150</v>
      </c>
      <c r="C73" t="s">
        <v>426</v>
      </c>
      <c r="D73" s="13">
        <v>6.4819999999999999E-3</v>
      </c>
      <c r="E73" t="s">
        <v>270</v>
      </c>
      <c r="F73" t="s">
        <v>139</v>
      </c>
      <c r="G73" t="s">
        <v>22</v>
      </c>
      <c r="H73" t="s">
        <v>427</v>
      </c>
      <c r="I73" t="s">
        <v>284</v>
      </c>
      <c r="J73" t="s">
        <v>465</v>
      </c>
    </row>
    <row r="74" spans="1:10" x14ac:dyDescent="0.25">
      <c r="A74" t="s">
        <v>466</v>
      </c>
      <c r="B74" t="s">
        <v>150</v>
      </c>
      <c r="C74" t="s">
        <v>430</v>
      </c>
      <c r="D74" s="15" t="s">
        <v>153</v>
      </c>
      <c r="E74" t="s">
        <v>371</v>
      </c>
      <c r="F74" t="s">
        <v>139</v>
      </c>
      <c r="G74" t="s">
        <v>401</v>
      </c>
      <c r="H74" t="s">
        <v>467</v>
      </c>
      <c r="I74" t="s">
        <v>308</v>
      </c>
      <c r="J74" t="s">
        <v>463</v>
      </c>
    </row>
    <row r="75" spans="1:10" x14ac:dyDescent="0.25">
      <c r="A75" t="s">
        <v>468</v>
      </c>
      <c r="B75" t="s">
        <v>150</v>
      </c>
      <c r="C75" t="s">
        <v>382</v>
      </c>
      <c r="D75" s="14">
        <v>-473.5</v>
      </c>
      <c r="E75" t="s">
        <v>371</v>
      </c>
      <c r="F75" t="s">
        <v>139</v>
      </c>
      <c r="G75" t="s">
        <v>24</v>
      </c>
      <c r="H75" t="s">
        <v>372</v>
      </c>
      <c r="I75" t="s">
        <v>267</v>
      </c>
    </row>
    <row r="76" spans="1:10" x14ac:dyDescent="0.25">
      <c r="A76" t="s">
        <v>469</v>
      </c>
      <c r="B76" t="s">
        <v>150</v>
      </c>
      <c r="C76" t="s">
        <v>384</v>
      </c>
      <c r="D76" s="14">
        <v>706.7</v>
      </c>
      <c r="E76" t="s">
        <v>371</v>
      </c>
      <c r="F76" t="s">
        <v>139</v>
      </c>
      <c r="G76" t="s">
        <v>24</v>
      </c>
      <c r="H76" t="s">
        <v>372</v>
      </c>
      <c r="I76" t="s">
        <v>267</v>
      </c>
    </row>
    <row r="77" spans="1:10" x14ac:dyDescent="0.25">
      <c r="A77" t="s">
        <v>470</v>
      </c>
      <c r="B77" t="s">
        <v>150</v>
      </c>
      <c r="C77" t="s">
        <v>386</v>
      </c>
      <c r="D77" s="14">
        <v>8669.9</v>
      </c>
      <c r="E77" t="s">
        <v>371</v>
      </c>
      <c r="F77" t="s">
        <v>139</v>
      </c>
      <c r="G77" t="s">
        <v>24</v>
      </c>
      <c r="H77" t="s">
        <v>387</v>
      </c>
      <c r="I77" t="s">
        <v>267</v>
      </c>
    </row>
    <row r="78" spans="1:10" x14ac:dyDescent="0.25">
      <c r="A78" t="s">
        <v>471</v>
      </c>
      <c r="B78" t="s">
        <v>150</v>
      </c>
      <c r="C78" t="s">
        <v>389</v>
      </c>
      <c r="D78" s="14">
        <v>8224.6</v>
      </c>
      <c r="E78" t="s">
        <v>371</v>
      </c>
      <c r="F78" t="s">
        <v>139</v>
      </c>
      <c r="G78" t="s">
        <v>24</v>
      </c>
      <c r="H78" t="s">
        <v>387</v>
      </c>
      <c r="I78" t="s">
        <v>390</v>
      </c>
    </row>
    <row r="79" spans="1:10" x14ac:dyDescent="0.25">
      <c r="A79" t="s">
        <v>472</v>
      </c>
      <c r="B79" t="s">
        <v>150</v>
      </c>
      <c r="C79" t="s">
        <v>392</v>
      </c>
      <c r="D79" s="15" t="s">
        <v>153</v>
      </c>
      <c r="E79" t="s">
        <v>371</v>
      </c>
      <c r="F79" t="s">
        <v>139</v>
      </c>
      <c r="G79" t="s">
        <v>295</v>
      </c>
      <c r="H79" t="s">
        <v>387</v>
      </c>
      <c r="I79" t="s">
        <v>393</v>
      </c>
      <c r="J79" t="s">
        <v>473</v>
      </c>
    </row>
    <row r="80" spans="1:10" x14ac:dyDescent="0.25">
      <c r="A80" t="s">
        <v>474</v>
      </c>
      <c r="B80" t="s">
        <v>150</v>
      </c>
      <c r="C80" t="s">
        <v>395</v>
      </c>
      <c r="D80" s="14">
        <v>630.29999999999995</v>
      </c>
      <c r="E80" t="s">
        <v>371</v>
      </c>
      <c r="F80" t="s">
        <v>139</v>
      </c>
      <c r="G80" t="s">
        <v>24</v>
      </c>
      <c r="H80" t="s">
        <v>396</v>
      </c>
      <c r="I80" t="s">
        <v>390</v>
      </c>
    </row>
    <row r="81" spans="1:10" x14ac:dyDescent="0.25">
      <c r="A81" t="s">
        <v>475</v>
      </c>
      <c r="B81" t="s">
        <v>150</v>
      </c>
      <c r="C81" t="s">
        <v>398</v>
      </c>
      <c r="D81" s="14">
        <v>712</v>
      </c>
      <c r="E81" t="s">
        <v>371</v>
      </c>
      <c r="F81" t="s">
        <v>139</v>
      </c>
      <c r="G81" t="s">
        <v>24</v>
      </c>
      <c r="H81" t="s">
        <v>396</v>
      </c>
      <c r="I81" t="s">
        <v>393</v>
      </c>
    </row>
    <row r="82" spans="1:10" x14ac:dyDescent="0.25">
      <c r="A82" t="s">
        <v>476</v>
      </c>
      <c r="B82" t="s">
        <v>150</v>
      </c>
      <c r="C82" t="s">
        <v>400</v>
      </c>
      <c r="D82" s="15" t="s">
        <v>153</v>
      </c>
      <c r="E82" t="s">
        <v>371</v>
      </c>
      <c r="F82" t="s">
        <v>139</v>
      </c>
      <c r="G82" t="s">
        <v>401</v>
      </c>
      <c r="H82" t="s">
        <v>477</v>
      </c>
      <c r="I82" t="s">
        <v>267</v>
      </c>
    </row>
    <row r="83" spans="1:10" x14ac:dyDescent="0.25">
      <c r="A83" t="s">
        <v>478</v>
      </c>
      <c r="B83" t="s">
        <v>150</v>
      </c>
      <c r="C83" t="s">
        <v>404</v>
      </c>
      <c r="D83" s="14">
        <v>113.4</v>
      </c>
      <c r="E83" t="s">
        <v>371</v>
      </c>
      <c r="F83" t="s">
        <v>139</v>
      </c>
      <c r="G83" t="s">
        <v>24</v>
      </c>
      <c r="H83" t="s">
        <v>387</v>
      </c>
      <c r="I83" t="s">
        <v>267</v>
      </c>
    </row>
    <row r="84" spans="1:10" x14ac:dyDescent="0.25">
      <c r="A84" t="s">
        <v>479</v>
      </c>
      <c r="B84" t="s">
        <v>150</v>
      </c>
      <c r="C84" t="s">
        <v>406</v>
      </c>
      <c r="D84" s="14">
        <v>17.739999999999998</v>
      </c>
      <c r="E84" t="s">
        <v>79</v>
      </c>
      <c r="G84" t="s">
        <v>24</v>
      </c>
      <c r="H84" t="s">
        <v>407</v>
      </c>
      <c r="I84" t="s">
        <v>267</v>
      </c>
    </row>
    <row r="85" spans="1:10" x14ac:dyDescent="0.25">
      <c r="A85" t="s">
        <v>480</v>
      </c>
      <c r="B85" t="s">
        <v>150</v>
      </c>
      <c r="C85" t="s">
        <v>409</v>
      </c>
      <c r="D85" s="14">
        <v>16.84</v>
      </c>
      <c r="E85" t="s">
        <v>79</v>
      </c>
      <c r="G85" t="s">
        <v>24</v>
      </c>
      <c r="H85" t="s">
        <v>407</v>
      </c>
      <c r="I85" t="s">
        <v>267</v>
      </c>
      <c r="J85" t="s">
        <v>410</v>
      </c>
    </row>
    <row r="86" spans="1:10" x14ac:dyDescent="0.25">
      <c r="A86" t="s">
        <v>481</v>
      </c>
      <c r="B86" t="s">
        <v>150</v>
      </c>
      <c r="C86" t="s">
        <v>412</v>
      </c>
      <c r="D86" s="14">
        <v>6.58</v>
      </c>
      <c r="E86" t="s">
        <v>79</v>
      </c>
      <c r="G86" t="s">
        <v>24</v>
      </c>
      <c r="H86" t="s">
        <v>407</v>
      </c>
      <c r="I86" t="s">
        <v>267</v>
      </c>
      <c r="J86" t="s">
        <v>413</v>
      </c>
    </row>
    <row r="87" spans="1:10" x14ac:dyDescent="0.25">
      <c r="A87" t="s">
        <v>482</v>
      </c>
      <c r="B87" t="s">
        <v>150</v>
      </c>
      <c r="C87" t="s">
        <v>415</v>
      </c>
      <c r="D87" s="14">
        <v>6.37</v>
      </c>
      <c r="E87" t="s">
        <v>79</v>
      </c>
      <c r="G87" t="s">
        <v>24</v>
      </c>
      <c r="H87" t="s">
        <v>407</v>
      </c>
      <c r="I87" t="s">
        <v>267</v>
      </c>
      <c r="J87" t="s">
        <v>416</v>
      </c>
    </row>
    <row r="88" spans="1:10" x14ac:dyDescent="0.25">
      <c r="A88" t="s">
        <v>483</v>
      </c>
      <c r="B88" t="s">
        <v>156</v>
      </c>
      <c r="C88" t="s">
        <v>370</v>
      </c>
      <c r="D88" s="14">
        <v>1218.8</v>
      </c>
      <c r="E88" t="s">
        <v>371</v>
      </c>
      <c r="F88" t="s">
        <v>139</v>
      </c>
      <c r="G88" t="s">
        <v>24</v>
      </c>
      <c r="H88" t="s">
        <v>372</v>
      </c>
      <c r="I88" t="s">
        <v>267</v>
      </c>
    </row>
    <row r="89" spans="1:10" x14ac:dyDescent="0.25">
      <c r="A89" t="s">
        <v>484</v>
      </c>
      <c r="B89" t="s">
        <v>156</v>
      </c>
      <c r="C89" t="s">
        <v>374</v>
      </c>
      <c r="D89" s="14">
        <v>24.8</v>
      </c>
      <c r="E89" t="s">
        <v>300</v>
      </c>
      <c r="F89" t="s">
        <v>301</v>
      </c>
      <c r="G89" t="s">
        <v>24</v>
      </c>
      <c r="H89" t="s">
        <v>372</v>
      </c>
      <c r="I89" t="s">
        <v>267</v>
      </c>
      <c r="J89" t="s">
        <v>485</v>
      </c>
    </row>
    <row r="90" spans="1:10" x14ac:dyDescent="0.25">
      <c r="A90" t="s">
        <v>486</v>
      </c>
      <c r="B90" t="s">
        <v>156</v>
      </c>
      <c r="C90" t="s">
        <v>376</v>
      </c>
      <c r="D90" s="14">
        <v>2103.3000000000002</v>
      </c>
      <c r="E90" t="s">
        <v>371</v>
      </c>
      <c r="F90" t="s">
        <v>139</v>
      </c>
      <c r="G90" t="s">
        <v>24</v>
      </c>
      <c r="H90" t="s">
        <v>372</v>
      </c>
      <c r="I90" t="s">
        <v>267</v>
      </c>
    </row>
    <row r="91" spans="1:10" x14ac:dyDescent="0.25">
      <c r="A91" t="s">
        <v>487</v>
      </c>
      <c r="B91" t="s">
        <v>156</v>
      </c>
      <c r="C91" t="s">
        <v>378</v>
      </c>
      <c r="D91" s="15" t="s">
        <v>153</v>
      </c>
      <c r="E91" t="s">
        <v>371</v>
      </c>
      <c r="F91" t="s">
        <v>139</v>
      </c>
      <c r="G91" t="s">
        <v>401</v>
      </c>
      <c r="H91" t="s">
        <v>379</v>
      </c>
      <c r="I91" t="s">
        <v>267</v>
      </c>
      <c r="J91" t="s">
        <v>488</v>
      </c>
    </row>
    <row r="92" spans="1:10" x14ac:dyDescent="0.25">
      <c r="A92" t="s">
        <v>489</v>
      </c>
      <c r="B92" t="s">
        <v>156</v>
      </c>
      <c r="C92" t="s">
        <v>382</v>
      </c>
      <c r="D92" s="14">
        <v>901.9</v>
      </c>
      <c r="E92" t="s">
        <v>371</v>
      </c>
      <c r="F92" t="s">
        <v>139</v>
      </c>
      <c r="G92" t="s">
        <v>24</v>
      </c>
      <c r="H92" t="s">
        <v>372</v>
      </c>
      <c r="I92" t="s">
        <v>267</v>
      </c>
    </row>
    <row r="93" spans="1:10" x14ac:dyDescent="0.25">
      <c r="A93" t="s">
        <v>490</v>
      </c>
      <c r="B93" t="s">
        <v>156</v>
      </c>
      <c r="C93" t="s">
        <v>384</v>
      </c>
      <c r="D93" s="14">
        <v>252.4</v>
      </c>
      <c r="E93" t="s">
        <v>371</v>
      </c>
      <c r="F93" t="s">
        <v>139</v>
      </c>
      <c r="G93" t="s">
        <v>24</v>
      </c>
      <c r="H93" t="s">
        <v>372</v>
      </c>
      <c r="I93" t="s">
        <v>267</v>
      </c>
    </row>
    <row r="94" spans="1:10" x14ac:dyDescent="0.25">
      <c r="A94" t="s">
        <v>491</v>
      </c>
      <c r="B94" t="s">
        <v>156</v>
      </c>
      <c r="C94" t="s">
        <v>386</v>
      </c>
      <c r="D94" s="14">
        <v>2567.4</v>
      </c>
      <c r="E94" t="s">
        <v>371</v>
      </c>
      <c r="F94" t="s">
        <v>139</v>
      </c>
      <c r="G94" t="s">
        <v>24</v>
      </c>
      <c r="H94" t="s">
        <v>387</v>
      </c>
      <c r="I94" t="s">
        <v>267</v>
      </c>
    </row>
    <row r="95" spans="1:10" x14ac:dyDescent="0.25">
      <c r="A95" t="s">
        <v>492</v>
      </c>
      <c r="B95" t="s">
        <v>156</v>
      </c>
      <c r="C95" t="s">
        <v>389</v>
      </c>
      <c r="D95" s="14">
        <v>2374.1</v>
      </c>
      <c r="E95" t="s">
        <v>371</v>
      </c>
      <c r="F95" t="s">
        <v>139</v>
      </c>
      <c r="G95" t="s">
        <v>24</v>
      </c>
      <c r="H95" t="s">
        <v>387</v>
      </c>
      <c r="I95" t="s">
        <v>390</v>
      </c>
    </row>
    <row r="96" spans="1:10" x14ac:dyDescent="0.25">
      <c r="A96" t="s">
        <v>493</v>
      </c>
      <c r="B96" t="s">
        <v>156</v>
      </c>
      <c r="C96" t="s">
        <v>392</v>
      </c>
      <c r="D96" s="14">
        <v>2513.6999999999998</v>
      </c>
      <c r="E96" t="s">
        <v>371</v>
      </c>
      <c r="F96" t="s">
        <v>139</v>
      </c>
      <c r="G96" t="s">
        <v>24</v>
      </c>
      <c r="H96" t="s">
        <v>387</v>
      </c>
      <c r="I96" t="s">
        <v>393</v>
      </c>
    </row>
    <row r="97" spans="1:10" x14ac:dyDescent="0.25">
      <c r="A97" t="s">
        <v>494</v>
      </c>
      <c r="B97" t="s">
        <v>156</v>
      </c>
      <c r="C97" t="s">
        <v>395</v>
      </c>
      <c r="D97" s="14">
        <v>295.3</v>
      </c>
      <c r="E97" t="s">
        <v>371</v>
      </c>
      <c r="F97" t="s">
        <v>139</v>
      </c>
      <c r="G97" t="s">
        <v>24</v>
      </c>
      <c r="H97" t="s">
        <v>396</v>
      </c>
      <c r="I97" t="s">
        <v>390</v>
      </c>
    </row>
    <row r="98" spans="1:10" x14ac:dyDescent="0.25">
      <c r="A98" t="s">
        <v>495</v>
      </c>
      <c r="B98" t="s">
        <v>156</v>
      </c>
      <c r="C98" t="s">
        <v>398</v>
      </c>
      <c r="D98" s="14">
        <v>287.39999999999998</v>
      </c>
      <c r="E98" t="s">
        <v>371</v>
      </c>
      <c r="F98" t="s">
        <v>139</v>
      </c>
      <c r="G98" t="s">
        <v>24</v>
      </c>
      <c r="H98" t="s">
        <v>396</v>
      </c>
      <c r="I98" t="s">
        <v>393</v>
      </c>
    </row>
    <row r="99" spans="1:10" x14ac:dyDescent="0.25">
      <c r="A99" t="s">
        <v>496</v>
      </c>
      <c r="B99" t="s">
        <v>156</v>
      </c>
      <c r="C99" t="s">
        <v>400</v>
      </c>
      <c r="D99" s="15" t="s">
        <v>153</v>
      </c>
      <c r="E99" t="s">
        <v>371</v>
      </c>
      <c r="F99" t="s">
        <v>139</v>
      </c>
      <c r="G99" t="s">
        <v>401</v>
      </c>
      <c r="H99" t="s">
        <v>477</v>
      </c>
      <c r="I99" t="s">
        <v>267</v>
      </c>
    </row>
    <row r="100" spans="1:10" x14ac:dyDescent="0.25">
      <c r="A100" t="s">
        <v>497</v>
      </c>
      <c r="B100" t="s">
        <v>156</v>
      </c>
      <c r="C100" t="s">
        <v>404</v>
      </c>
      <c r="D100" s="14">
        <v>138.1</v>
      </c>
      <c r="E100" t="s">
        <v>371</v>
      </c>
      <c r="F100" t="s">
        <v>139</v>
      </c>
      <c r="G100" t="s">
        <v>24</v>
      </c>
      <c r="H100" t="s">
        <v>387</v>
      </c>
      <c r="I100" t="s">
        <v>267</v>
      </c>
    </row>
    <row r="101" spans="1:10" x14ac:dyDescent="0.25">
      <c r="A101" t="s">
        <v>498</v>
      </c>
      <c r="B101" t="s">
        <v>156</v>
      </c>
      <c r="C101" t="s">
        <v>406</v>
      </c>
      <c r="D101" s="14">
        <v>10.210000000000001</v>
      </c>
      <c r="E101" t="s">
        <v>79</v>
      </c>
      <c r="G101" t="s">
        <v>24</v>
      </c>
      <c r="H101" t="s">
        <v>407</v>
      </c>
      <c r="I101" t="s">
        <v>267</v>
      </c>
    </row>
    <row r="102" spans="1:10" x14ac:dyDescent="0.25">
      <c r="A102" t="s">
        <v>499</v>
      </c>
      <c r="B102" t="s">
        <v>156</v>
      </c>
      <c r="C102" t="s">
        <v>409</v>
      </c>
      <c r="D102" s="14">
        <v>9.01</v>
      </c>
      <c r="E102" t="s">
        <v>79</v>
      </c>
      <c r="G102" t="s">
        <v>24</v>
      </c>
      <c r="H102" t="s">
        <v>407</v>
      </c>
      <c r="I102" t="s">
        <v>267</v>
      </c>
      <c r="J102" t="s">
        <v>410</v>
      </c>
    </row>
    <row r="103" spans="1:10" x14ac:dyDescent="0.25">
      <c r="A103" t="s">
        <v>500</v>
      </c>
      <c r="B103" t="s">
        <v>156</v>
      </c>
      <c r="C103" t="s">
        <v>412</v>
      </c>
      <c r="D103" s="14">
        <v>7.31</v>
      </c>
      <c r="E103" t="s">
        <v>79</v>
      </c>
      <c r="G103" t="s">
        <v>24</v>
      </c>
      <c r="H103" t="s">
        <v>407</v>
      </c>
      <c r="I103" t="s">
        <v>267</v>
      </c>
      <c r="J103" t="s">
        <v>413</v>
      </c>
    </row>
    <row r="104" spans="1:10" x14ac:dyDescent="0.25">
      <c r="A104" t="s">
        <v>501</v>
      </c>
      <c r="B104" t="s">
        <v>156</v>
      </c>
      <c r="C104" t="s">
        <v>415</v>
      </c>
      <c r="D104" s="14">
        <v>5.94</v>
      </c>
      <c r="E104" t="s">
        <v>79</v>
      </c>
      <c r="G104" t="s">
        <v>24</v>
      </c>
      <c r="H104" t="s">
        <v>407</v>
      </c>
      <c r="I104" t="s">
        <v>267</v>
      </c>
      <c r="J104" t="s">
        <v>416</v>
      </c>
    </row>
    <row r="105" spans="1:10" x14ac:dyDescent="0.25">
      <c r="A105" t="s">
        <v>502</v>
      </c>
      <c r="B105" t="s">
        <v>161</v>
      </c>
      <c r="C105" t="s">
        <v>370</v>
      </c>
      <c r="D105" s="14">
        <v>13612.5</v>
      </c>
      <c r="E105" t="s">
        <v>371</v>
      </c>
      <c r="F105" t="s">
        <v>139</v>
      </c>
      <c r="G105" t="s">
        <v>24</v>
      </c>
      <c r="H105" t="s">
        <v>372</v>
      </c>
      <c r="I105" t="s">
        <v>267</v>
      </c>
    </row>
    <row r="106" spans="1:10" x14ac:dyDescent="0.25">
      <c r="A106" t="s">
        <v>503</v>
      </c>
      <c r="B106" t="s">
        <v>161</v>
      </c>
      <c r="C106" t="s">
        <v>374</v>
      </c>
      <c r="D106" s="14">
        <v>106.8</v>
      </c>
      <c r="E106" t="s">
        <v>300</v>
      </c>
      <c r="F106" t="s">
        <v>301</v>
      </c>
      <c r="G106" t="s">
        <v>24</v>
      </c>
      <c r="H106" t="s">
        <v>372</v>
      </c>
      <c r="I106" t="s">
        <v>267</v>
      </c>
    </row>
    <row r="107" spans="1:10" x14ac:dyDescent="0.25">
      <c r="A107" t="s">
        <v>504</v>
      </c>
      <c r="B107" t="s">
        <v>161</v>
      </c>
      <c r="C107" t="s">
        <v>376</v>
      </c>
      <c r="D107" s="14">
        <v>20509.5</v>
      </c>
      <c r="E107" t="s">
        <v>371</v>
      </c>
      <c r="F107" t="s">
        <v>139</v>
      </c>
      <c r="G107" t="s">
        <v>24</v>
      </c>
      <c r="H107" t="s">
        <v>372</v>
      </c>
      <c r="I107" t="s">
        <v>267</v>
      </c>
    </row>
    <row r="108" spans="1:10" x14ac:dyDescent="0.25">
      <c r="A108" t="s">
        <v>505</v>
      </c>
      <c r="B108" t="s">
        <v>161</v>
      </c>
      <c r="C108" t="s">
        <v>378</v>
      </c>
      <c r="D108" s="15" t="s">
        <v>153</v>
      </c>
      <c r="E108" t="s">
        <v>371</v>
      </c>
      <c r="F108" t="s">
        <v>139</v>
      </c>
      <c r="G108" t="s">
        <v>401</v>
      </c>
      <c r="H108" t="s">
        <v>379</v>
      </c>
      <c r="I108" t="s">
        <v>267</v>
      </c>
      <c r="J108" t="s">
        <v>506</v>
      </c>
    </row>
    <row r="109" spans="1:10" x14ac:dyDescent="0.25">
      <c r="A109" t="s">
        <v>507</v>
      </c>
      <c r="B109" t="s">
        <v>161</v>
      </c>
      <c r="C109" t="s">
        <v>382</v>
      </c>
      <c r="D109" s="14">
        <v>6897</v>
      </c>
      <c r="E109" t="s">
        <v>371</v>
      </c>
      <c r="F109" t="s">
        <v>139</v>
      </c>
      <c r="G109" t="s">
        <v>24</v>
      </c>
      <c r="H109" t="s">
        <v>372</v>
      </c>
      <c r="I109" t="s">
        <v>267</v>
      </c>
    </row>
    <row r="110" spans="1:10" x14ac:dyDescent="0.25">
      <c r="A110" t="s">
        <v>508</v>
      </c>
      <c r="B110" t="s">
        <v>161</v>
      </c>
      <c r="C110" t="s">
        <v>384</v>
      </c>
      <c r="D110" s="14">
        <v>2263.9</v>
      </c>
      <c r="E110" t="s">
        <v>371</v>
      </c>
      <c r="F110" t="s">
        <v>139</v>
      </c>
      <c r="G110" t="s">
        <v>24</v>
      </c>
      <c r="H110" t="s">
        <v>372</v>
      </c>
      <c r="I110" t="s">
        <v>267</v>
      </c>
    </row>
    <row r="111" spans="1:10" x14ac:dyDescent="0.25">
      <c r="A111" t="s">
        <v>509</v>
      </c>
      <c r="B111" t="s">
        <v>161</v>
      </c>
      <c r="C111" t="s">
        <v>386</v>
      </c>
      <c r="D111" s="14">
        <v>9156.9</v>
      </c>
      <c r="E111" t="s">
        <v>371</v>
      </c>
      <c r="F111" t="s">
        <v>139</v>
      </c>
      <c r="G111" t="s">
        <v>24</v>
      </c>
      <c r="H111" t="s">
        <v>387</v>
      </c>
      <c r="I111" t="s">
        <v>267</v>
      </c>
    </row>
    <row r="112" spans="1:10" x14ac:dyDescent="0.25">
      <c r="A112" t="s">
        <v>510</v>
      </c>
      <c r="B112" t="s">
        <v>161</v>
      </c>
      <c r="C112" t="s">
        <v>389</v>
      </c>
      <c r="D112" s="14">
        <v>8178.7</v>
      </c>
      <c r="E112" t="s">
        <v>371</v>
      </c>
      <c r="F112" t="s">
        <v>139</v>
      </c>
      <c r="G112" t="s">
        <v>24</v>
      </c>
      <c r="H112" t="s">
        <v>387</v>
      </c>
      <c r="I112" t="s">
        <v>390</v>
      </c>
    </row>
    <row r="113" spans="1:10" x14ac:dyDescent="0.25">
      <c r="A113" t="s">
        <v>511</v>
      </c>
      <c r="B113" t="s">
        <v>161</v>
      </c>
      <c r="C113" t="s">
        <v>392</v>
      </c>
      <c r="D113" s="14">
        <v>8726.1</v>
      </c>
      <c r="E113" t="s">
        <v>371</v>
      </c>
      <c r="F113" t="s">
        <v>139</v>
      </c>
      <c r="G113" t="s">
        <v>24</v>
      </c>
      <c r="H113" t="s">
        <v>387</v>
      </c>
      <c r="I113" t="s">
        <v>393</v>
      </c>
    </row>
    <row r="114" spans="1:10" x14ac:dyDescent="0.25">
      <c r="A114" t="s">
        <v>512</v>
      </c>
      <c r="B114" t="s">
        <v>161</v>
      </c>
      <c r="C114" t="s">
        <v>395</v>
      </c>
      <c r="D114" s="14">
        <v>1874.1</v>
      </c>
      <c r="E114" t="s">
        <v>371</v>
      </c>
      <c r="F114" t="s">
        <v>139</v>
      </c>
      <c r="G114" t="s">
        <v>24</v>
      </c>
      <c r="H114" t="s">
        <v>396</v>
      </c>
      <c r="I114" t="s">
        <v>390</v>
      </c>
    </row>
    <row r="115" spans="1:10" x14ac:dyDescent="0.25">
      <c r="A115" t="s">
        <v>513</v>
      </c>
      <c r="B115" t="s">
        <v>161</v>
      </c>
      <c r="C115" t="s">
        <v>398</v>
      </c>
      <c r="D115" s="14">
        <v>2156.1999999999998</v>
      </c>
      <c r="E115" t="s">
        <v>371</v>
      </c>
      <c r="F115" t="s">
        <v>139</v>
      </c>
      <c r="G115" t="s">
        <v>24</v>
      </c>
      <c r="H115" t="s">
        <v>396</v>
      </c>
      <c r="I115" t="s">
        <v>393</v>
      </c>
    </row>
    <row r="116" spans="1:10" x14ac:dyDescent="0.25">
      <c r="A116" t="s">
        <v>514</v>
      </c>
      <c r="B116" t="s">
        <v>161</v>
      </c>
      <c r="C116" t="s">
        <v>400</v>
      </c>
      <c r="D116" s="15" t="s">
        <v>153</v>
      </c>
      <c r="E116" t="s">
        <v>371</v>
      </c>
      <c r="F116" t="s">
        <v>139</v>
      </c>
      <c r="G116" t="s">
        <v>401</v>
      </c>
      <c r="H116" t="s">
        <v>402</v>
      </c>
      <c r="I116" t="s">
        <v>267</v>
      </c>
      <c r="J116" t="s">
        <v>515</v>
      </c>
    </row>
    <row r="117" spans="1:10" x14ac:dyDescent="0.25">
      <c r="A117" t="s">
        <v>516</v>
      </c>
      <c r="B117" t="s">
        <v>161</v>
      </c>
      <c r="C117" t="s">
        <v>404</v>
      </c>
      <c r="D117" s="14">
        <v>1464.3</v>
      </c>
      <c r="E117" t="s">
        <v>371</v>
      </c>
      <c r="F117" t="s">
        <v>139</v>
      </c>
      <c r="G117" t="s">
        <v>24</v>
      </c>
      <c r="H117" t="s">
        <v>387</v>
      </c>
      <c r="I117" t="s">
        <v>267</v>
      </c>
    </row>
    <row r="118" spans="1:10" x14ac:dyDescent="0.25">
      <c r="A118" t="s">
        <v>517</v>
      </c>
      <c r="B118" t="s">
        <v>161</v>
      </c>
      <c r="C118" t="s">
        <v>406</v>
      </c>
      <c r="D118" s="14">
        <v>58.63</v>
      </c>
      <c r="E118" t="s">
        <v>79</v>
      </c>
      <c r="G118" t="s">
        <v>24</v>
      </c>
      <c r="H118" t="s">
        <v>407</v>
      </c>
      <c r="I118" t="s">
        <v>267</v>
      </c>
      <c r="J118" t="s">
        <v>518</v>
      </c>
    </row>
    <row r="119" spans="1:10" x14ac:dyDescent="0.25">
      <c r="A119" t="s">
        <v>519</v>
      </c>
      <c r="B119" t="s">
        <v>161</v>
      </c>
      <c r="C119" t="s">
        <v>409</v>
      </c>
      <c r="D119" s="14">
        <v>12.6</v>
      </c>
      <c r="E119" t="s">
        <v>79</v>
      </c>
      <c r="G119" t="s">
        <v>24</v>
      </c>
      <c r="H119" t="s">
        <v>407</v>
      </c>
      <c r="I119" t="s">
        <v>267</v>
      </c>
      <c r="J119" t="s">
        <v>410</v>
      </c>
    </row>
    <row r="120" spans="1:10" x14ac:dyDescent="0.25">
      <c r="A120" t="s">
        <v>520</v>
      </c>
      <c r="B120" t="s">
        <v>161</v>
      </c>
      <c r="C120" t="s">
        <v>412</v>
      </c>
      <c r="D120" s="14">
        <v>8.57</v>
      </c>
      <c r="E120" t="s">
        <v>79</v>
      </c>
      <c r="G120" t="s">
        <v>24</v>
      </c>
      <c r="H120" t="s">
        <v>407</v>
      </c>
      <c r="I120" t="s">
        <v>267</v>
      </c>
      <c r="J120" t="s">
        <v>413</v>
      </c>
    </row>
    <row r="121" spans="1:10" x14ac:dyDescent="0.25">
      <c r="A121" t="s">
        <v>521</v>
      </c>
      <c r="B121" t="s">
        <v>161</v>
      </c>
      <c r="C121" t="s">
        <v>415</v>
      </c>
      <c r="D121" s="14">
        <v>9.86</v>
      </c>
      <c r="E121" t="s">
        <v>79</v>
      </c>
      <c r="G121" t="s">
        <v>24</v>
      </c>
      <c r="H121" t="s">
        <v>407</v>
      </c>
      <c r="I121" t="s">
        <v>267</v>
      </c>
      <c r="J121" t="s">
        <v>416</v>
      </c>
    </row>
    <row r="122" spans="1:10" x14ac:dyDescent="0.25">
      <c r="A122" t="s">
        <v>522</v>
      </c>
      <c r="B122" t="s">
        <v>166</v>
      </c>
      <c r="C122" t="s">
        <v>370</v>
      </c>
      <c r="D122" s="14">
        <v>5925.9</v>
      </c>
      <c r="E122" t="s">
        <v>371</v>
      </c>
      <c r="F122" t="s">
        <v>139</v>
      </c>
      <c r="G122" t="s">
        <v>24</v>
      </c>
      <c r="H122" t="s">
        <v>372</v>
      </c>
      <c r="I122" t="s">
        <v>267</v>
      </c>
    </row>
    <row r="123" spans="1:10" x14ac:dyDescent="0.25">
      <c r="A123" t="s">
        <v>523</v>
      </c>
      <c r="B123" t="s">
        <v>166</v>
      </c>
      <c r="C123" t="s">
        <v>374</v>
      </c>
      <c r="D123" s="14">
        <v>298.2</v>
      </c>
      <c r="E123" t="s">
        <v>300</v>
      </c>
      <c r="F123" t="s">
        <v>301</v>
      </c>
      <c r="G123" t="s">
        <v>24</v>
      </c>
      <c r="H123" t="s">
        <v>372</v>
      </c>
      <c r="I123" t="s">
        <v>267</v>
      </c>
    </row>
    <row r="124" spans="1:10" x14ac:dyDescent="0.25">
      <c r="A124" t="s">
        <v>524</v>
      </c>
      <c r="B124" t="s">
        <v>166</v>
      </c>
      <c r="C124" t="s">
        <v>376</v>
      </c>
      <c r="D124" s="14">
        <v>13287.9</v>
      </c>
      <c r="E124" t="s">
        <v>371</v>
      </c>
      <c r="F124" t="s">
        <v>139</v>
      </c>
      <c r="G124" t="s">
        <v>24</v>
      </c>
      <c r="H124" t="s">
        <v>372</v>
      </c>
      <c r="I124" t="s">
        <v>267</v>
      </c>
    </row>
    <row r="125" spans="1:10" x14ac:dyDescent="0.25">
      <c r="A125" t="s">
        <v>525</v>
      </c>
      <c r="B125" t="s">
        <v>166</v>
      </c>
      <c r="C125" t="s">
        <v>378</v>
      </c>
      <c r="D125" s="14">
        <v>306</v>
      </c>
      <c r="E125" t="s">
        <v>371</v>
      </c>
      <c r="F125" t="s">
        <v>139</v>
      </c>
      <c r="G125" t="s">
        <v>24</v>
      </c>
      <c r="H125" t="s">
        <v>379</v>
      </c>
      <c r="I125" t="s">
        <v>267</v>
      </c>
      <c r="J125" t="s">
        <v>526</v>
      </c>
    </row>
    <row r="126" spans="1:10" x14ac:dyDescent="0.25">
      <c r="A126" t="s">
        <v>527</v>
      </c>
      <c r="B126" t="s">
        <v>166</v>
      </c>
      <c r="C126" t="s">
        <v>382</v>
      </c>
      <c r="D126" s="14">
        <v>7056</v>
      </c>
      <c r="E126" t="s">
        <v>371</v>
      </c>
      <c r="F126" t="s">
        <v>139</v>
      </c>
      <c r="G126" t="s">
        <v>24</v>
      </c>
      <c r="H126" t="s">
        <v>372</v>
      </c>
      <c r="I126" t="s">
        <v>267</v>
      </c>
    </row>
    <row r="127" spans="1:10" x14ac:dyDescent="0.25">
      <c r="A127" t="s">
        <v>528</v>
      </c>
      <c r="B127" t="s">
        <v>166</v>
      </c>
      <c r="C127" t="s">
        <v>384</v>
      </c>
      <c r="D127" s="14">
        <v>1620</v>
      </c>
      <c r="E127" t="s">
        <v>371</v>
      </c>
      <c r="F127" t="s">
        <v>139</v>
      </c>
      <c r="G127" t="s">
        <v>24</v>
      </c>
      <c r="H127" t="s">
        <v>372</v>
      </c>
      <c r="I127" t="s">
        <v>267</v>
      </c>
    </row>
    <row r="128" spans="1:10" x14ac:dyDescent="0.25">
      <c r="A128" t="s">
        <v>529</v>
      </c>
      <c r="B128" t="s">
        <v>166</v>
      </c>
      <c r="C128" t="s">
        <v>386</v>
      </c>
      <c r="D128" s="14">
        <v>9744</v>
      </c>
      <c r="E128" t="s">
        <v>371</v>
      </c>
      <c r="F128" t="s">
        <v>139</v>
      </c>
      <c r="G128" t="s">
        <v>24</v>
      </c>
      <c r="H128" t="s">
        <v>387</v>
      </c>
      <c r="I128" t="s">
        <v>267</v>
      </c>
    </row>
    <row r="129" spans="1:10" x14ac:dyDescent="0.25">
      <c r="A129" t="s">
        <v>530</v>
      </c>
      <c r="B129" t="s">
        <v>166</v>
      </c>
      <c r="C129" t="s">
        <v>389</v>
      </c>
      <c r="D129" s="14">
        <v>9636</v>
      </c>
      <c r="E129" t="s">
        <v>371</v>
      </c>
      <c r="F129" t="s">
        <v>139</v>
      </c>
      <c r="G129" t="s">
        <v>24</v>
      </c>
      <c r="H129" t="s">
        <v>387</v>
      </c>
      <c r="I129" t="s">
        <v>390</v>
      </c>
    </row>
    <row r="130" spans="1:10" x14ac:dyDescent="0.25">
      <c r="A130" t="s">
        <v>531</v>
      </c>
      <c r="B130" t="s">
        <v>166</v>
      </c>
      <c r="C130" t="s">
        <v>392</v>
      </c>
      <c r="D130" s="14">
        <v>10253</v>
      </c>
      <c r="E130" t="s">
        <v>371</v>
      </c>
      <c r="F130" t="s">
        <v>139</v>
      </c>
      <c r="G130" t="s">
        <v>24</v>
      </c>
      <c r="H130" t="s">
        <v>387</v>
      </c>
      <c r="I130" t="s">
        <v>393</v>
      </c>
    </row>
    <row r="131" spans="1:10" x14ac:dyDescent="0.25">
      <c r="A131" t="s">
        <v>532</v>
      </c>
      <c r="B131" t="s">
        <v>166</v>
      </c>
      <c r="C131" t="s">
        <v>395</v>
      </c>
      <c r="D131" s="14">
        <v>1783</v>
      </c>
      <c r="E131" t="s">
        <v>371</v>
      </c>
      <c r="F131" t="s">
        <v>139</v>
      </c>
      <c r="G131" t="s">
        <v>24</v>
      </c>
      <c r="H131" t="s">
        <v>396</v>
      </c>
      <c r="I131" t="s">
        <v>390</v>
      </c>
    </row>
    <row r="132" spans="1:10" x14ac:dyDescent="0.25">
      <c r="A132" t="s">
        <v>533</v>
      </c>
      <c r="B132" t="s">
        <v>166</v>
      </c>
      <c r="C132" t="s">
        <v>398</v>
      </c>
      <c r="D132" s="14">
        <v>1888</v>
      </c>
      <c r="E132" t="s">
        <v>371</v>
      </c>
      <c r="F132" t="s">
        <v>139</v>
      </c>
      <c r="G132" t="s">
        <v>24</v>
      </c>
      <c r="H132" t="s">
        <v>396</v>
      </c>
      <c r="I132" t="s">
        <v>393</v>
      </c>
    </row>
    <row r="133" spans="1:10" x14ac:dyDescent="0.25">
      <c r="A133" t="s">
        <v>534</v>
      </c>
      <c r="B133" t="s">
        <v>166</v>
      </c>
      <c r="C133" t="s">
        <v>400</v>
      </c>
      <c r="D133" s="14">
        <v>2742</v>
      </c>
      <c r="E133" t="s">
        <v>371</v>
      </c>
      <c r="F133" t="s">
        <v>139</v>
      </c>
      <c r="G133" t="s">
        <v>24</v>
      </c>
      <c r="H133" t="s">
        <v>535</v>
      </c>
      <c r="I133" t="s">
        <v>267</v>
      </c>
    </row>
    <row r="134" spans="1:10" x14ac:dyDescent="0.25">
      <c r="A134" t="s">
        <v>536</v>
      </c>
      <c r="B134" t="s">
        <v>166</v>
      </c>
      <c r="C134" t="s">
        <v>404</v>
      </c>
      <c r="D134" s="14">
        <v>634.5</v>
      </c>
      <c r="E134" t="s">
        <v>371</v>
      </c>
      <c r="F134" t="s">
        <v>139</v>
      </c>
      <c r="G134" t="s">
        <v>24</v>
      </c>
      <c r="H134" t="s">
        <v>387</v>
      </c>
      <c r="I134" t="s">
        <v>267</v>
      </c>
    </row>
    <row r="135" spans="1:10" x14ac:dyDescent="0.25">
      <c r="A135" t="s">
        <v>537</v>
      </c>
      <c r="B135" t="s">
        <v>166</v>
      </c>
      <c r="C135" t="s">
        <v>406</v>
      </c>
      <c r="D135" s="14">
        <v>15.11</v>
      </c>
      <c r="E135" t="s">
        <v>79</v>
      </c>
      <c r="G135" t="s">
        <v>24</v>
      </c>
      <c r="H135" t="s">
        <v>407</v>
      </c>
      <c r="I135" t="s">
        <v>267</v>
      </c>
    </row>
    <row r="136" spans="1:10" x14ac:dyDescent="0.25">
      <c r="A136" t="s">
        <v>538</v>
      </c>
      <c r="B136" t="s">
        <v>166</v>
      </c>
      <c r="C136" t="s">
        <v>409</v>
      </c>
      <c r="D136" s="14">
        <v>11.72</v>
      </c>
      <c r="E136" t="s">
        <v>79</v>
      </c>
      <c r="G136" t="s">
        <v>24</v>
      </c>
      <c r="H136" t="s">
        <v>407</v>
      </c>
      <c r="I136" t="s">
        <v>267</v>
      </c>
      <c r="J136" t="s">
        <v>410</v>
      </c>
    </row>
    <row r="137" spans="1:10" x14ac:dyDescent="0.25">
      <c r="A137" t="s">
        <v>539</v>
      </c>
      <c r="B137" t="s">
        <v>166</v>
      </c>
      <c r="C137" t="s">
        <v>412</v>
      </c>
      <c r="D137" s="14">
        <v>6.47</v>
      </c>
      <c r="E137" t="s">
        <v>79</v>
      </c>
      <c r="G137" t="s">
        <v>24</v>
      </c>
      <c r="H137" t="s">
        <v>407</v>
      </c>
      <c r="I137" t="s">
        <v>267</v>
      </c>
      <c r="J137" t="s">
        <v>413</v>
      </c>
    </row>
    <row r="138" spans="1:10" x14ac:dyDescent="0.25">
      <c r="A138" t="s">
        <v>540</v>
      </c>
      <c r="B138" t="s">
        <v>166</v>
      </c>
      <c r="C138" t="s">
        <v>415</v>
      </c>
      <c r="D138" s="14">
        <v>9.07</v>
      </c>
      <c r="E138" t="s">
        <v>79</v>
      </c>
      <c r="G138" t="s">
        <v>24</v>
      </c>
      <c r="H138" t="s">
        <v>407</v>
      </c>
      <c r="I138" t="s">
        <v>267</v>
      </c>
      <c r="J138" t="s">
        <v>416</v>
      </c>
    </row>
    <row r="139" spans="1:10" x14ac:dyDescent="0.25">
      <c r="A139" t="s">
        <v>541</v>
      </c>
      <c r="B139" t="s">
        <v>170</v>
      </c>
      <c r="C139" t="s">
        <v>370</v>
      </c>
      <c r="D139" s="14">
        <v>81568.800000000003</v>
      </c>
      <c r="E139" t="s">
        <v>371</v>
      </c>
      <c r="F139" t="s">
        <v>139</v>
      </c>
      <c r="G139" t="s">
        <v>24</v>
      </c>
      <c r="H139" t="s">
        <v>372</v>
      </c>
      <c r="I139" t="s">
        <v>267</v>
      </c>
    </row>
    <row r="140" spans="1:10" x14ac:dyDescent="0.25">
      <c r="A140" t="s">
        <v>542</v>
      </c>
      <c r="B140" t="s">
        <v>170</v>
      </c>
      <c r="C140" t="s">
        <v>374</v>
      </c>
      <c r="D140" s="14">
        <v>1276.3</v>
      </c>
      <c r="E140" t="s">
        <v>300</v>
      </c>
      <c r="F140" t="s">
        <v>301</v>
      </c>
      <c r="G140" t="s">
        <v>24</v>
      </c>
      <c r="H140" t="s">
        <v>372</v>
      </c>
      <c r="I140" t="s">
        <v>267</v>
      </c>
    </row>
    <row r="141" spans="1:10" x14ac:dyDescent="0.25">
      <c r="A141" t="s">
        <v>543</v>
      </c>
      <c r="B141" t="s">
        <v>170</v>
      </c>
      <c r="C141" t="s">
        <v>376</v>
      </c>
      <c r="D141" s="14">
        <v>101964.8</v>
      </c>
      <c r="E141" t="s">
        <v>371</v>
      </c>
      <c r="F141" t="s">
        <v>139</v>
      </c>
      <c r="G141" t="s">
        <v>24</v>
      </c>
      <c r="H141" t="s">
        <v>372</v>
      </c>
      <c r="I141" t="s">
        <v>267</v>
      </c>
    </row>
    <row r="142" spans="1:10" x14ac:dyDescent="0.25">
      <c r="A142" t="s">
        <v>544</v>
      </c>
      <c r="B142" t="s">
        <v>170</v>
      </c>
      <c r="C142" t="s">
        <v>378</v>
      </c>
      <c r="D142" s="14">
        <v>53</v>
      </c>
      <c r="E142" t="s">
        <v>371</v>
      </c>
      <c r="F142" t="s">
        <v>139</v>
      </c>
      <c r="G142" t="s">
        <v>24</v>
      </c>
      <c r="H142" t="s">
        <v>379</v>
      </c>
      <c r="I142" t="s">
        <v>267</v>
      </c>
      <c r="J142" t="s">
        <v>545</v>
      </c>
    </row>
    <row r="143" spans="1:10" x14ac:dyDescent="0.25">
      <c r="A143" t="s">
        <v>546</v>
      </c>
      <c r="B143" t="s">
        <v>170</v>
      </c>
      <c r="C143" t="s">
        <v>382</v>
      </c>
      <c r="D143" s="14">
        <v>20343</v>
      </c>
      <c r="E143" t="s">
        <v>371</v>
      </c>
      <c r="F143" t="s">
        <v>139</v>
      </c>
      <c r="G143" t="s">
        <v>24</v>
      </c>
      <c r="H143" t="s">
        <v>372</v>
      </c>
      <c r="I143" t="s">
        <v>267</v>
      </c>
    </row>
    <row r="144" spans="1:10" x14ac:dyDescent="0.25">
      <c r="A144" t="s">
        <v>547</v>
      </c>
      <c r="B144" t="s">
        <v>170</v>
      </c>
      <c r="C144" t="s">
        <v>384</v>
      </c>
      <c r="D144" s="14">
        <v>6080</v>
      </c>
      <c r="E144" t="s">
        <v>371</v>
      </c>
      <c r="F144" t="s">
        <v>139</v>
      </c>
      <c r="G144" t="s">
        <v>24</v>
      </c>
      <c r="H144" t="s">
        <v>372</v>
      </c>
      <c r="I144" t="s">
        <v>267</v>
      </c>
    </row>
    <row r="145" spans="1:10" x14ac:dyDescent="0.25">
      <c r="A145" t="s">
        <v>548</v>
      </c>
      <c r="B145" t="s">
        <v>170</v>
      </c>
      <c r="C145" t="s">
        <v>386</v>
      </c>
      <c r="D145" s="14">
        <v>39675</v>
      </c>
      <c r="E145" t="s">
        <v>371</v>
      </c>
      <c r="F145" t="s">
        <v>139</v>
      </c>
      <c r="G145" t="s">
        <v>24</v>
      </c>
      <c r="H145" t="s">
        <v>387</v>
      </c>
      <c r="I145" t="s">
        <v>267</v>
      </c>
    </row>
    <row r="146" spans="1:10" x14ac:dyDescent="0.25">
      <c r="A146" t="s">
        <v>549</v>
      </c>
      <c r="B146" t="s">
        <v>170</v>
      </c>
      <c r="C146" t="s">
        <v>389</v>
      </c>
      <c r="D146" s="14">
        <v>36441</v>
      </c>
      <c r="E146" t="s">
        <v>371</v>
      </c>
      <c r="F146" t="s">
        <v>139</v>
      </c>
      <c r="G146" t="s">
        <v>24</v>
      </c>
      <c r="H146" t="s">
        <v>387</v>
      </c>
      <c r="I146" t="s">
        <v>390</v>
      </c>
    </row>
    <row r="147" spans="1:10" x14ac:dyDescent="0.25">
      <c r="A147" t="s">
        <v>550</v>
      </c>
      <c r="B147" t="s">
        <v>170</v>
      </c>
      <c r="C147" t="s">
        <v>392</v>
      </c>
      <c r="D147" s="14">
        <v>38537</v>
      </c>
      <c r="E147" t="s">
        <v>371</v>
      </c>
      <c r="F147" t="s">
        <v>139</v>
      </c>
      <c r="G147" t="s">
        <v>24</v>
      </c>
      <c r="H147" t="s">
        <v>387</v>
      </c>
      <c r="I147" t="s">
        <v>393</v>
      </c>
    </row>
    <row r="148" spans="1:10" x14ac:dyDescent="0.25">
      <c r="A148" t="s">
        <v>551</v>
      </c>
      <c r="B148" t="s">
        <v>170</v>
      </c>
      <c r="C148" t="s">
        <v>395</v>
      </c>
      <c r="D148" s="14">
        <v>7740</v>
      </c>
      <c r="E148" t="s">
        <v>371</v>
      </c>
      <c r="F148" t="s">
        <v>139</v>
      </c>
      <c r="G148" t="s">
        <v>24</v>
      </c>
      <c r="H148" t="s">
        <v>396</v>
      </c>
      <c r="I148" t="s">
        <v>390</v>
      </c>
    </row>
    <row r="149" spans="1:10" x14ac:dyDescent="0.25">
      <c r="A149" t="s">
        <v>552</v>
      </c>
      <c r="B149" t="s">
        <v>170</v>
      </c>
      <c r="C149" t="s">
        <v>398</v>
      </c>
      <c r="D149" s="14">
        <v>4990</v>
      </c>
      <c r="E149" t="s">
        <v>371</v>
      </c>
      <c r="F149" t="s">
        <v>139</v>
      </c>
      <c r="G149" t="s">
        <v>24</v>
      </c>
      <c r="H149" t="s">
        <v>396</v>
      </c>
      <c r="I149" t="s">
        <v>393</v>
      </c>
      <c r="J149" t="s">
        <v>553</v>
      </c>
    </row>
    <row r="150" spans="1:10" x14ac:dyDescent="0.25">
      <c r="A150" t="s">
        <v>554</v>
      </c>
      <c r="B150" t="s">
        <v>170</v>
      </c>
      <c r="C150" t="s">
        <v>400</v>
      </c>
      <c r="D150" s="14">
        <v>12357</v>
      </c>
      <c r="E150" t="s">
        <v>371</v>
      </c>
      <c r="F150" t="s">
        <v>139</v>
      </c>
      <c r="G150" t="s">
        <v>24</v>
      </c>
      <c r="H150" t="s">
        <v>535</v>
      </c>
      <c r="I150" t="s">
        <v>267</v>
      </c>
    </row>
    <row r="151" spans="1:10" x14ac:dyDescent="0.25">
      <c r="A151" t="s">
        <v>555</v>
      </c>
      <c r="B151" t="s">
        <v>170</v>
      </c>
      <c r="C151" t="s">
        <v>404</v>
      </c>
      <c r="D151" s="14">
        <v>2252.4</v>
      </c>
      <c r="E151" t="s">
        <v>371</v>
      </c>
      <c r="F151" t="s">
        <v>139</v>
      </c>
      <c r="G151" t="s">
        <v>24</v>
      </c>
      <c r="H151" t="s">
        <v>387</v>
      </c>
      <c r="I151" t="s">
        <v>267</v>
      </c>
    </row>
    <row r="152" spans="1:10" x14ac:dyDescent="0.25">
      <c r="A152" t="s">
        <v>556</v>
      </c>
      <c r="B152" t="s">
        <v>170</v>
      </c>
      <c r="C152" t="s">
        <v>406</v>
      </c>
      <c r="D152" s="14">
        <v>23.1</v>
      </c>
      <c r="E152" t="s">
        <v>79</v>
      </c>
      <c r="G152" t="s">
        <v>24</v>
      </c>
      <c r="H152" t="s">
        <v>407</v>
      </c>
      <c r="I152" t="s">
        <v>267</v>
      </c>
    </row>
    <row r="153" spans="1:10" x14ac:dyDescent="0.25">
      <c r="A153" t="s">
        <v>557</v>
      </c>
      <c r="B153" t="s">
        <v>170</v>
      </c>
      <c r="C153" t="s">
        <v>409</v>
      </c>
      <c r="D153" s="14">
        <v>19.829999999999998</v>
      </c>
      <c r="E153" t="s">
        <v>79</v>
      </c>
      <c r="G153" t="s">
        <v>24</v>
      </c>
      <c r="H153" t="s">
        <v>407</v>
      </c>
      <c r="I153" t="s">
        <v>267</v>
      </c>
      <c r="J153" t="s">
        <v>410</v>
      </c>
    </row>
    <row r="154" spans="1:10" x14ac:dyDescent="0.25">
      <c r="A154" t="s">
        <v>558</v>
      </c>
      <c r="B154" t="s">
        <v>170</v>
      </c>
      <c r="C154" t="s">
        <v>412</v>
      </c>
      <c r="D154" s="14">
        <v>14.48</v>
      </c>
      <c r="E154" t="s">
        <v>79</v>
      </c>
      <c r="G154" t="s">
        <v>24</v>
      </c>
      <c r="H154" t="s">
        <v>407</v>
      </c>
      <c r="I154" t="s">
        <v>267</v>
      </c>
      <c r="J154" t="s">
        <v>413</v>
      </c>
    </row>
    <row r="155" spans="1:10" x14ac:dyDescent="0.25">
      <c r="A155" t="s">
        <v>559</v>
      </c>
      <c r="B155" t="s">
        <v>170</v>
      </c>
      <c r="C155" t="s">
        <v>415</v>
      </c>
      <c r="D155" s="14">
        <v>14.13</v>
      </c>
      <c r="E155" t="s">
        <v>79</v>
      </c>
      <c r="G155" t="s">
        <v>24</v>
      </c>
      <c r="H155" t="s">
        <v>407</v>
      </c>
      <c r="I155" t="s">
        <v>267</v>
      </c>
      <c r="J155" t="s">
        <v>416</v>
      </c>
    </row>
    <row r="156" spans="1:10" x14ac:dyDescent="0.25">
      <c r="A156" t="s">
        <v>560</v>
      </c>
      <c r="B156" t="s">
        <v>174</v>
      </c>
      <c r="C156" t="s">
        <v>418</v>
      </c>
      <c r="D156" s="14">
        <v>209.66</v>
      </c>
      <c r="E156" t="s">
        <v>294</v>
      </c>
      <c r="F156" t="s">
        <v>131</v>
      </c>
      <c r="G156" t="s">
        <v>295</v>
      </c>
      <c r="H156" t="s">
        <v>459</v>
      </c>
      <c r="I156" t="s">
        <v>267</v>
      </c>
      <c r="J156" t="s">
        <v>561</v>
      </c>
    </row>
    <row r="157" spans="1:10" x14ac:dyDescent="0.25">
      <c r="A157" t="s">
        <v>562</v>
      </c>
      <c r="B157" t="s">
        <v>174</v>
      </c>
      <c r="C157" t="s">
        <v>422</v>
      </c>
      <c r="D157" s="15" t="s">
        <v>153</v>
      </c>
      <c r="E157" t="s">
        <v>300</v>
      </c>
      <c r="F157" t="s">
        <v>301</v>
      </c>
      <c r="G157" t="s">
        <v>401</v>
      </c>
      <c r="H157" t="s">
        <v>462</v>
      </c>
      <c r="I157" t="s">
        <v>308</v>
      </c>
      <c r="J157" t="s">
        <v>563</v>
      </c>
    </row>
    <row r="158" spans="1:10" x14ac:dyDescent="0.25">
      <c r="A158" t="s">
        <v>564</v>
      </c>
      <c r="B158" t="s">
        <v>174</v>
      </c>
      <c r="C158" t="s">
        <v>426</v>
      </c>
      <c r="D158" s="13">
        <v>5.7273768613974797E-2</v>
      </c>
      <c r="E158" t="s">
        <v>278</v>
      </c>
      <c r="F158" t="s">
        <v>139</v>
      </c>
      <c r="G158" t="s">
        <v>22</v>
      </c>
      <c r="H158" t="s">
        <v>427</v>
      </c>
      <c r="I158" t="s">
        <v>284</v>
      </c>
      <c r="J158" t="s">
        <v>565</v>
      </c>
    </row>
    <row r="159" spans="1:10" x14ac:dyDescent="0.25">
      <c r="A159" t="s">
        <v>566</v>
      </c>
      <c r="B159" t="s">
        <v>174</v>
      </c>
      <c r="C159" t="s">
        <v>430</v>
      </c>
      <c r="D159" s="15" t="s">
        <v>153</v>
      </c>
      <c r="E159" t="s">
        <v>371</v>
      </c>
      <c r="F159" t="s">
        <v>139</v>
      </c>
      <c r="G159" t="s">
        <v>401</v>
      </c>
      <c r="H159" t="s">
        <v>467</v>
      </c>
      <c r="I159" t="s">
        <v>308</v>
      </c>
      <c r="J159" t="s">
        <v>463</v>
      </c>
    </row>
    <row r="160" spans="1:10" x14ac:dyDescent="0.25">
      <c r="A160" t="s">
        <v>567</v>
      </c>
      <c r="B160" t="s">
        <v>174</v>
      </c>
      <c r="C160" t="s">
        <v>382</v>
      </c>
      <c r="D160" s="14">
        <v>2015.4</v>
      </c>
      <c r="E160" t="s">
        <v>371</v>
      </c>
      <c r="F160" t="s">
        <v>139</v>
      </c>
      <c r="G160" t="s">
        <v>24</v>
      </c>
      <c r="H160" t="s">
        <v>372</v>
      </c>
      <c r="I160" t="s">
        <v>267</v>
      </c>
    </row>
    <row r="161" spans="1:10" x14ac:dyDescent="0.25">
      <c r="A161" t="s">
        <v>568</v>
      </c>
      <c r="B161" t="s">
        <v>174</v>
      </c>
      <c r="C161" t="s">
        <v>384</v>
      </c>
      <c r="D161" s="14">
        <v>2707</v>
      </c>
      <c r="E161" t="s">
        <v>371</v>
      </c>
      <c r="F161" t="s">
        <v>139</v>
      </c>
      <c r="G161" t="s">
        <v>24</v>
      </c>
      <c r="H161" t="s">
        <v>372</v>
      </c>
      <c r="I161" t="s">
        <v>267</v>
      </c>
    </row>
    <row r="162" spans="1:10" x14ac:dyDescent="0.25">
      <c r="A162" t="s">
        <v>569</v>
      </c>
      <c r="B162" t="s">
        <v>174</v>
      </c>
      <c r="C162" t="s">
        <v>386</v>
      </c>
      <c r="D162" s="14">
        <v>13945.2</v>
      </c>
      <c r="E162" t="s">
        <v>371</v>
      </c>
      <c r="F162" t="s">
        <v>139</v>
      </c>
      <c r="G162" t="s">
        <v>24</v>
      </c>
      <c r="H162" t="s">
        <v>387</v>
      </c>
      <c r="I162" t="s">
        <v>267</v>
      </c>
    </row>
    <row r="163" spans="1:10" x14ac:dyDescent="0.25">
      <c r="A163" t="s">
        <v>570</v>
      </c>
      <c r="B163" t="s">
        <v>174</v>
      </c>
      <c r="C163" t="s">
        <v>389</v>
      </c>
      <c r="D163" s="14">
        <v>13149.5</v>
      </c>
      <c r="E163" t="s">
        <v>371</v>
      </c>
      <c r="F163" t="s">
        <v>139</v>
      </c>
      <c r="G163" t="s">
        <v>24</v>
      </c>
      <c r="H163" t="s">
        <v>387</v>
      </c>
      <c r="I163" t="s">
        <v>390</v>
      </c>
    </row>
    <row r="164" spans="1:10" x14ac:dyDescent="0.25">
      <c r="A164" t="s">
        <v>571</v>
      </c>
      <c r="B164" t="s">
        <v>174</v>
      </c>
      <c r="C164" t="s">
        <v>392</v>
      </c>
      <c r="D164" s="14">
        <v>13058.3</v>
      </c>
      <c r="E164" t="s">
        <v>371</v>
      </c>
      <c r="F164" t="s">
        <v>139</v>
      </c>
      <c r="G164" t="s">
        <v>24</v>
      </c>
      <c r="H164" t="s">
        <v>387</v>
      </c>
      <c r="I164" t="s">
        <v>393</v>
      </c>
    </row>
    <row r="165" spans="1:10" x14ac:dyDescent="0.25">
      <c r="A165" t="s">
        <v>572</v>
      </c>
      <c r="B165" t="s">
        <v>174</v>
      </c>
      <c r="C165" t="s">
        <v>395</v>
      </c>
      <c r="D165" s="14">
        <v>2599</v>
      </c>
      <c r="E165" t="s">
        <v>371</v>
      </c>
      <c r="F165" t="s">
        <v>139</v>
      </c>
      <c r="G165" t="s">
        <v>24</v>
      </c>
      <c r="H165" t="s">
        <v>396</v>
      </c>
      <c r="I165" t="s">
        <v>390</v>
      </c>
    </row>
    <row r="166" spans="1:10" x14ac:dyDescent="0.25">
      <c r="A166" t="s">
        <v>573</v>
      </c>
      <c r="B166" t="s">
        <v>174</v>
      </c>
      <c r="C166" t="s">
        <v>398</v>
      </c>
      <c r="D166" s="14">
        <v>2540.6</v>
      </c>
      <c r="E166" t="s">
        <v>371</v>
      </c>
      <c r="F166" t="s">
        <v>139</v>
      </c>
      <c r="G166" t="s">
        <v>24</v>
      </c>
      <c r="H166" t="s">
        <v>396</v>
      </c>
      <c r="I166" t="s">
        <v>393</v>
      </c>
    </row>
    <row r="167" spans="1:10" x14ac:dyDescent="0.25">
      <c r="A167" t="s">
        <v>574</v>
      </c>
      <c r="B167" t="s">
        <v>174</v>
      </c>
      <c r="C167" t="s">
        <v>400</v>
      </c>
      <c r="D167" s="15" t="s">
        <v>153</v>
      </c>
      <c r="E167" t="s">
        <v>371</v>
      </c>
      <c r="F167" t="s">
        <v>139</v>
      </c>
      <c r="G167" t="s">
        <v>401</v>
      </c>
      <c r="H167" t="s">
        <v>477</v>
      </c>
      <c r="I167" t="s">
        <v>267</v>
      </c>
    </row>
    <row r="168" spans="1:10" x14ac:dyDescent="0.25">
      <c r="A168" t="s">
        <v>575</v>
      </c>
      <c r="B168" t="s">
        <v>174</v>
      </c>
      <c r="C168" t="s">
        <v>404</v>
      </c>
      <c r="D168" s="14">
        <v>763.6</v>
      </c>
      <c r="E168" t="s">
        <v>371</v>
      </c>
      <c r="F168" t="s">
        <v>139</v>
      </c>
      <c r="G168" t="s">
        <v>24</v>
      </c>
      <c r="H168" t="s">
        <v>387</v>
      </c>
      <c r="I168" t="s">
        <v>267</v>
      </c>
    </row>
    <row r="169" spans="1:10" x14ac:dyDescent="0.25">
      <c r="A169" t="s">
        <v>576</v>
      </c>
      <c r="B169" t="s">
        <v>174</v>
      </c>
      <c r="C169" t="s">
        <v>406</v>
      </c>
      <c r="D169" s="14">
        <v>18.71</v>
      </c>
      <c r="E169" t="s">
        <v>79</v>
      </c>
      <c r="G169" t="s">
        <v>24</v>
      </c>
      <c r="H169" t="s">
        <v>407</v>
      </c>
      <c r="I169" t="s">
        <v>267</v>
      </c>
    </row>
    <row r="170" spans="1:10" x14ac:dyDescent="0.25">
      <c r="A170" t="s">
        <v>577</v>
      </c>
      <c r="B170" t="s">
        <v>174</v>
      </c>
      <c r="C170" t="s">
        <v>409</v>
      </c>
      <c r="D170" s="14">
        <v>16.5</v>
      </c>
      <c r="E170" t="s">
        <v>79</v>
      </c>
      <c r="G170" t="s">
        <v>24</v>
      </c>
      <c r="H170" t="s">
        <v>407</v>
      </c>
      <c r="I170" t="s">
        <v>267</v>
      </c>
      <c r="J170" t="s">
        <v>410</v>
      </c>
    </row>
    <row r="171" spans="1:10" x14ac:dyDescent="0.25">
      <c r="A171" t="s">
        <v>578</v>
      </c>
      <c r="B171" t="s">
        <v>174</v>
      </c>
      <c r="C171" t="s">
        <v>412</v>
      </c>
      <c r="D171" s="14">
        <v>8.4700000000000006</v>
      </c>
      <c r="E171" t="s">
        <v>79</v>
      </c>
      <c r="G171" t="s">
        <v>24</v>
      </c>
      <c r="H171" t="s">
        <v>407</v>
      </c>
      <c r="I171" t="s">
        <v>267</v>
      </c>
      <c r="J171" t="s">
        <v>413</v>
      </c>
    </row>
    <row r="172" spans="1:10" x14ac:dyDescent="0.25">
      <c r="A172" t="s">
        <v>579</v>
      </c>
      <c r="B172" t="s">
        <v>174</v>
      </c>
      <c r="C172" t="s">
        <v>415</v>
      </c>
      <c r="D172" s="14">
        <v>7.87</v>
      </c>
      <c r="E172" t="s">
        <v>79</v>
      </c>
      <c r="G172" t="s">
        <v>24</v>
      </c>
      <c r="H172" t="s">
        <v>407</v>
      </c>
      <c r="I172" t="s">
        <v>267</v>
      </c>
      <c r="J172" t="s">
        <v>416</v>
      </c>
    </row>
    <row r="173" spans="1:10" x14ac:dyDescent="0.25">
      <c r="A173" t="s">
        <v>580</v>
      </c>
      <c r="B173" t="s">
        <v>177</v>
      </c>
      <c r="C173" t="s">
        <v>370</v>
      </c>
      <c r="D173" s="14">
        <v>179200.5</v>
      </c>
      <c r="E173" t="s">
        <v>371</v>
      </c>
      <c r="F173" t="s">
        <v>139</v>
      </c>
      <c r="G173" t="s">
        <v>24</v>
      </c>
      <c r="H173" t="s">
        <v>372</v>
      </c>
      <c r="I173" t="s">
        <v>267</v>
      </c>
    </row>
    <row r="174" spans="1:10" x14ac:dyDescent="0.25">
      <c r="A174" t="s">
        <v>581</v>
      </c>
      <c r="B174" t="s">
        <v>177</v>
      </c>
      <c r="C174" t="s">
        <v>374</v>
      </c>
      <c r="D174" s="14">
        <v>1362.7</v>
      </c>
      <c r="E174" t="s">
        <v>300</v>
      </c>
      <c r="F174" t="s">
        <v>301</v>
      </c>
      <c r="G174" t="s">
        <v>24</v>
      </c>
      <c r="H174" t="s">
        <v>372</v>
      </c>
      <c r="I174" t="s">
        <v>267</v>
      </c>
    </row>
    <row r="175" spans="1:10" x14ac:dyDescent="0.25">
      <c r="A175" t="s">
        <v>582</v>
      </c>
      <c r="B175" t="s">
        <v>177</v>
      </c>
      <c r="C175" t="s">
        <v>376</v>
      </c>
      <c r="D175" s="14">
        <v>220113.5</v>
      </c>
      <c r="E175" t="s">
        <v>371</v>
      </c>
      <c r="F175" t="s">
        <v>139</v>
      </c>
      <c r="G175" t="s">
        <v>24</v>
      </c>
      <c r="H175" t="s">
        <v>372</v>
      </c>
      <c r="I175" t="s">
        <v>267</v>
      </c>
    </row>
    <row r="176" spans="1:10" x14ac:dyDescent="0.25">
      <c r="A176" t="s">
        <v>583</v>
      </c>
      <c r="B176" t="s">
        <v>177</v>
      </c>
      <c r="C176" t="s">
        <v>378</v>
      </c>
      <c r="D176" s="14">
        <v>195</v>
      </c>
      <c r="E176" t="s">
        <v>371</v>
      </c>
      <c r="F176" t="s">
        <v>139</v>
      </c>
      <c r="G176" t="s">
        <v>24</v>
      </c>
      <c r="H176" t="s">
        <v>379</v>
      </c>
      <c r="I176" t="s">
        <v>267</v>
      </c>
      <c r="J176" t="s">
        <v>584</v>
      </c>
    </row>
    <row r="177" spans="1:10" x14ac:dyDescent="0.25">
      <c r="A177" t="s">
        <v>585</v>
      </c>
      <c r="B177" t="s">
        <v>177</v>
      </c>
      <c r="C177" t="s">
        <v>382</v>
      </c>
      <c r="D177" s="14">
        <v>40718</v>
      </c>
      <c r="E177" t="s">
        <v>371</v>
      </c>
      <c r="F177" t="s">
        <v>139</v>
      </c>
      <c r="G177" t="s">
        <v>24</v>
      </c>
      <c r="H177" t="s">
        <v>372</v>
      </c>
      <c r="I177" t="s">
        <v>267</v>
      </c>
    </row>
    <row r="178" spans="1:10" x14ac:dyDescent="0.25">
      <c r="A178" t="s">
        <v>586</v>
      </c>
      <c r="B178" t="s">
        <v>177</v>
      </c>
      <c r="C178" t="s">
        <v>384</v>
      </c>
      <c r="D178" s="14">
        <v>19171</v>
      </c>
      <c r="E178" t="s">
        <v>371</v>
      </c>
      <c r="F178" t="s">
        <v>139</v>
      </c>
      <c r="G178" t="s">
        <v>24</v>
      </c>
      <c r="H178" t="s">
        <v>372</v>
      </c>
      <c r="I178" t="s">
        <v>267</v>
      </c>
    </row>
    <row r="179" spans="1:10" x14ac:dyDescent="0.25">
      <c r="A179" t="s">
        <v>587</v>
      </c>
      <c r="B179" t="s">
        <v>177</v>
      </c>
      <c r="C179" t="s">
        <v>386</v>
      </c>
      <c r="D179" s="14">
        <v>98241</v>
      </c>
      <c r="E179" t="s">
        <v>371</v>
      </c>
      <c r="F179" t="s">
        <v>139</v>
      </c>
      <c r="G179" t="s">
        <v>24</v>
      </c>
      <c r="H179" t="s">
        <v>387</v>
      </c>
      <c r="I179" t="s">
        <v>267</v>
      </c>
    </row>
    <row r="180" spans="1:10" x14ac:dyDescent="0.25">
      <c r="A180" t="s">
        <v>588</v>
      </c>
      <c r="B180" t="s">
        <v>177</v>
      </c>
      <c r="C180" t="s">
        <v>389</v>
      </c>
      <c r="D180" s="14">
        <v>91854</v>
      </c>
      <c r="E180" t="s">
        <v>371</v>
      </c>
      <c r="F180" t="s">
        <v>139</v>
      </c>
      <c r="G180" t="s">
        <v>24</v>
      </c>
      <c r="H180" t="s">
        <v>387</v>
      </c>
      <c r="I180" t="s">
        <v>390</v>
      </c>
    </row>
    <row r="181" spans="1:10" x14ac:dyDescent="0.25">
      <c r="A181" t="s">
        <v>589</v>
      </c>
      <c r="B181" t="s">
        <v>177</v>
      </c>
      <c r="C181" t="s">
        <v>392</v>
      </c>
      <c r="D181" s="14">
        <v>93925</v>
      </c>
      <c r="E181" t="s">
        <v>371</v>
      </c>
      <c r="F181" t="s">
        <v>139</v>
      </c>
      <c r="G181" t="s">
        <v>24</v>
      </c>
      <c r="H181" t="s">
        <v>387</v>
      </c>
      <c r="I181" t="s">
        <v>393</v>
      </c>
    </row>
    <row r="182" spans="1:10" x14ac:dyDescent="0.25">
      <c r="A182" t="s">
        <v>590</v>
      </c>
      <c r="B182" t="s">
        <v>177</v>
      </c>
      <c r="C182" t="s">
        <v>395</v>
      </c>
      <c r="D182" s="14">
        <v>17842</v>
      </c>
      <c r="E182" t="s">
        <v>371</v>
      </c>
      <c r="F182" t="s">
        <v>139</v>
      </c>
      <c r="G182" t="s">
        <v>24</v>
      </c>
      <c r="H182" t="s">
        <v>396</v>
      </c>
      <c r="I182" t="s">
        <v>390</v>
      </c>
    </row>
    <row r="183" spans="1:10" x14ac:dyDescent="0.25">
      <c r="A183" t="s">
        <v>591</v>
      </c>
      <c r="B183" t="s">
        <v>177</v>
      </c>
      <c r="C183" t="s">
        <v>398</v>
      </c>
      <c r="D183" s="14">
        <v>18174</v>
      </c>
      <c r="E183" t="s">
        <v>371</v>
      </c>
      <c r="F183" t="s">
        <v>139</v>
      </c>
      <c r="G183" t="s">
        <v>24</v>
      </c>
      <c r="H183" t="s">
        <v>396</v>
      </c>
      <c r="I183" t="s">
        <v>393</v>
      </c>
    </row>
    <row r="184" spans="1:10" x14ac:dyDescent="0.25">
      <c r="A184" t="s">
        <v>592</v>
      </c>
      <c r="B184" t="s">
        <v>177</v>
      </c>
      <c r="C184" t="s">
        <v>400</v>
      </c>
      <c r="D184" s="14">
        <v>53216</v>
      </c>
      <c r="E184" t="s">
        <v>371</v>
      </c>
      <c r="F184" t="s">
        <v>139</v>
      </c>
      <c r="G184" t="s">
        <v>24</v>
      </c>
      <c r="H184" t="s">
        <v>535</v>
      </c>
      <c r="I184" t="s">
        <v>267</v>
      </c>
    </row>
    <row r="185" spans="1:10" x14ac:dyDescent="0.25">
      <c r="A185" t="s">
        <v>593</v>
      </c>
      <c r="B185" t="s">
        <v>177</v>
      </c>
      <c r="C185" t="s">
        <v>404</v>
      </c>
      <c r="D185" s="14">
        <v>9044.2999999999993</v>
      </c>
      <c r="E185" t="s">
        <v>371</v>
      </c>
      <c r="F185" t="s">
        <v>139</v>
      </c>
      <c r="G185" t="s">
        <v>24</v>
      </c>
      <c r="H185" t="s">
        <v>387</v>
      </c>
      <c r="I185" t="s">
        <v>267</v>
      </c>
    </row>
    <row r="186" spans="1:10" x14ac:dyDescent="0.25">
      <c r="A186" t="s">
        <v>594</v>
      </c>
      <c r="B186" t="s">
        <v>177</v>
      </c>
      <c r="C186" t="s">
        <v>406</v>
      </c>
      <c r="D186" s="14">
        <v>16.149999999999999</v>
      </c>
      <c r="E186" t="s">
        <v>79</v>
      </c>
      <c r="G186" t="s">
        <v>24</v>
      </c>
      <c r="H186" t="s">
        <v>407</v>
      </c>
      <c r="I186" t="s">
        <v>267</v>
      </c>
    </row>
    <row r="187" spans="1:10" x14ac:dyDescent="0.25">
      <c r="A187" t="s">
        <v>595</v>
      </c>
      <c r="B187" t="s">
        <v>177</v>
      </c>
      <c r="C187" t="s">
        <v>409</v>
      </c>
      <c r="D187" s="14">
        <v>15.53</v>
      </c>
      <c r="E187" t="s">
        <v>79</v>
      </c>
      <c r="G187" t="s">
        <v>24</v>
      </c>
      <c r="H187" t="s">
        <v>407</v>
      </c>
      <c r="I187" t="s">
        <v>267</v>
      </c>
      <c r="J187" t="s">
        <v>410</v>
      </c>
    </row>
    <row r="188" spans="1:10" x14ac:dyDescent="0.25">
      <c r="A188" t="s">
        <v>596</v>
      </c>
      <c r="B188" t="s">
        <v>177</v>
      </c>
      <c r="C188" t="s">
        <v>412</v>
      </c>
      <c r="D188" s="14">
        <v>10.35</v>
      </c>
      <c r="E188" t="s">
        <v>79</v>
      </c>
      <c r="G188" t="s">
        <v>24</v>
      </c>
      <c r="H188" t="s">
        <v>407</v>
      </c>
      <c r="I188" t="s">
        <v>267</v>
      </c>
      <c r="J188" t="s">
        <v>413</v>
      </c>
    </row>
    <row r="189" spans="1:10" x14ac:dyDescent="0.25">
      <c r="A189" t="s">
        <v>597</v>
      </c>
      <c r="B189" t="s">
        <v>177</v>
      </c>
      <c r="C189" t="s">
        <v>415</v>
      </c>
      <c r="D189" s="14">
        <v>11.24</v>
      </c>
      <c r="E189" t="s">
        <v>79</v>
      </c>
      <c r="G189" t="s">
        <v>24</v>
      </c>
      <c r="H189" t="s">
        <v>407</v>
      </c>
      <c r="I189" t="s">
        <v>267</v>
      </c>
      <c r="J189" t="s">
        <v>416</v>
      </c>
    </row>
    <row r="190" spans="1:10" x14ac:dyDescent="0.25">
      <c r="A190" s="3" t="s">
        <v>598</v>
      </c>
      <c r="B190" s="4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t="s">
        <v>599</v>
      </c>
      <c r="B191" t="s">
        <v>136</v>
      </c>
      <c r="C191" t="s">
        <v>600</v>
      </c>
      <c r="D191" s="14">
        <v>1686.2</v>
      </c>
      <c r="E191" t="s">
        <v>371</v>
      </c>
      <c r="F191" t="s">
        <v>139</v>
      </c>
      <c r="G191" t="s">
        <v>24</v>
      </c>
      <c r="H191" t="s">
        <v>601</v>
      </c>
      <c r="I191" t="s">
        <v>602</v>
      </c>
    </row>
    <row r="192" spans="1:10" x14ac:dyDescent="0.25">
      <c r="A192" t="s">
        <v>603</v>
      </c>
      <c r="B192" t="s">
        <v>136</v>
      </c>
      <c r="C192" t="s">
        <v>604</v>
      </c>
      <c r="D192" s="14">
        <v>0</v>
      </c>
      <c r="E192" t="s">
        <v>371</v>
      </c>
      <c r="F192" t="s">
        <v>139</v>
      </c>
      <c r="G192" t="s">
        <v>24</v>
      </c>
      <c r="H192" t="s">
        <v>605</v>
      </c>
      <c r="I192" t="s">
        <v>602</v>
      </c>
      <c r="J192" t="s">
        <v>606</v>
      </c>
    </row>
    <row r="193" spans="1:10" x14ac:dyDescent="0.25">
      <c r="A193" t="s">
        <v>607</v>
      </c>
      <c r="B193" t="s">
        <v>136</v>
      </c>
      <c r="C193" t="s">
        <v>608</v>
      </c>
      <c r="D193" s="14">
        <v>317.10199999999998</v>
      </c>
      <c r="E193" t="s">
        <v>371</v>
      </c>
      <c r="F193" t="s">
        <v>139</v>
      </c>
      <c r="G193" t="s">
        <v>24</v>
      </c>
      <c r="H193" t="s">
        <v>605</v>
      </c>
      <c r="I193" t="s">
        <v>602</v>
      </c>
    </row>
    <row r="194" spans="1:10" x14ac:dyDescent="0.25">
      <c r="A194" t="s">
        <v>609</v>
      </c>
      <c r="B194" t="s">
        <v>136</v>
      </c>
      <c r="C194" t="s">
        <v>610</v>
      </c>
      <c r="D194" s="14">
        <v>0</v>
      </c>
      <c r="E194" t="s">
        <v>371</v>
      </c>
      <c r="F194" t="s">
        <v>139</v>
      </c>
      <c r="G194" t="s">
        <v>24</v>
      </c>
      <c r="H194" t="s">
        <v>611</v>
      </c>
      <c r="I194" t="s">
        <v>602</v>
      </c>
      <c r="J194" t="s">
        <v>380</v>
      </c>
    </row>
    <row r="195" spans="1:10" x14ac:dyDescent="0.25">
      <c r="A195" t="s">
        <v>612</v>
      </c>
      <c r="B195" t="s">
        <v>136</v>
      </c>
      <c r="C195" t="s">
        <v>613</v>
      </c>
      <c r="D195" s="14">
        <v>52.765999999999998</v>
      </c>
      <c r="E195" t="s">
        <v>371</v>
      </c>
      <c r="F195" t="s">
        <v>139</v>
      </c>
      <c r="G195" t="s">
        <v>24</v>
      </c>
      <c r="H195" t="s">
        <v>611</v>
      </c>
      <c r="I195" t="s">
        <v>602</v>
      </c>
    </row>
    <row r="196" spans="1:10" x14ac:dyDescent="0.25">
      <c r="A196" t="s">
        <v>614</v>
      </c>
      <c r="B196" t="s">
        <v>136</v>
      </c>
      <c r="C196" t="s">
        <v>125</v>
      </c>
      <c r="D196" s="15" t="s">
        <v>141</v>
      </c>
      <c r="E196" t="s">
        <v>615</v>
      </c>
      <c r="G196" t="s">
        <v>24</v>
      </c>
      <c r="H196" t="s">
        <v>616</v>
      </c>
      <c r="I196" t="s">
        <v>602</v>
      </c>
    </row>
    <row r="197" spans="1:10" x14ac:dyDescent="0.25">
      <c r="A197" t="s">
        <v>617</v>
      </c>
      <c r="B197" t="s">
        <v>136</v>
      </c>
      <c r="C197" t="s">
        <v>618</v>
      </c>
      <c r="D197" s="15" t="s">
        <v>142</v>
      </c>
      <c r="E197" t="s">
        <v>615</v>
      </c>
      <c r="G197" t="s">
        <v>24</v>
      </c>
      <c r="H197" t="s">
        <v>619</v>
      </c>
      <c r="I197" t="s">
        <v>284</v>
      </c>
    </row>
    <row r="198" spans="1:10" x14ac:dyDescent="0.25">
      <c r="A198" t="s">
        <v>620</v>
      </c>
      <c r="B198" t="s">
        <v>161</v>
      </c>
      <c r="C198" t="s">
        <v>600</v>
      </c>
      <c r="D198" s="14">
        <v>6737.8</v>
      </c>
      <c r="E198" t="s">
        <v>371</v>
      </c>
      <c r="F198" t="s">
        <v>139</v>
      </c>
      <c r="G198" t="s">
        <v>24</v>
      </c>
      <c r="H198" t="s">
        <v>621</v>
      </c>
      <c r="I198" t="s">
        <v>622</v>
      </c>
    </row>
    <row r="199" spans="1:10" x14ac:dyDescent="0.25">
      <c r="A199" t="s">
        <v>623</v>
      </c>
      <c r="B199" t="s">
        <v>161</v>
      </c>
      <c r="C199" t="s">
        <v>604</v>
      </c>
      <c r="D199" s="14">
        <v>9.6</v>
      </c>
      <c r="E199" t="s">
        <v>371</v>
      </c>
      <c r="F199" t="s">
        <v>139</v>
      </c>
      <c r="G199" t="s">
        <v>24</v>
      </c>
      <c r="H199" t="s">
        <v>605</v>
      </c>
      <c r="I199" t="s">
        <v>622</v>
      </c>
      <c r="J199" t="s">
        <v>606</v>
      </c>
    </row>
    <row r="200" spans="1:10" x14ac:dyDescent="0.25">
      <c r="A200" t="s">
        <v>624</v>
      </c>
      <c r="B200" t="s">
        <v>161</v>
      </c>
      <c r="C200" t="s">
        <v>608</v>
      </c>
      <c r="D200" s="14">
        <v>192.8</v>
      </c>
      <c r="E200" t="s">
        <v>371</v>
      </c>
      <c r="F200" t="s">
        <v>139</v>
      </c>
      <c r="G200" t="s">
        <v>24</v>
      </c>
      <c r="H200" t="s">
        <v>605</v>
      </c>
      <c r="I200" t="s">
        <v>622</v>
      </c>
    </row>
    <row r="201" spans="1:10" x14ac:dyDescent="0.25">
      <c r="A201" t="s">
        <v>625</v>
      </c>
      <c r="B201" t="s">
        <v>161</v>
      </c>
      <c r="C201" t="s">
        <v>610</v>
      </c>
      <c r="D201" s="14">
        <v>0</v>
      </c>
      <c r="E201" t="s">
        <v>371</v>
      </c>
      <c r="F201" t="s">
        <v>139</v>
      </c>
      <c r="G201" t="s">
        <v>24</v>
      </c>
      <c r="H201" t="s">
        <v>626</v>
      </c>
      <c r="I201" t="s">
        <v>622</v>
      </c>
      <c r="J201" t="s">
        <v>506</v>
      </c>
    </row>
    <row r="202" spans="1:10" x14ac:dyDescent="0.25">
      <c r="A202" t="s">
        <v>627</v>
      </c>
      <c r="B202" t="s">
        <v>161</v>
      </c>
      <c r="C202" t="s">
        <v>613</v>
      </c>
      <c r="D202" s="14">
        <v>43.2</v>
      </c>
      <c r="E202" t="s">
        <v>371</v>
      </c>
      <c r="F202" t="s">
        <v>139</v>
      </c>
      <c r="G202" t="s">
        <v>24</v>
      </c>
      <c r="H202" t="s">
        <v>626</v>
      </c>
      <c r="I202" t="s">
        <v>622</v>
      </c>
    </row>
    <row r="203" spans="1:10" x14ac:dyDescent="0.25">
      <c r="A203" t="s">
        <v>628</v>
      </c>
      <c r="B203" t="s">
        <v>161</v>
      </c>
      <c r="C203" t="s">
        <v>125</v>
      </c>
      <c r="D203" s="15" t="s">
        <v>164</v>
      </c>
      <c r="E203" t="s">
        <v>615</v>
      </c>
      <c r="G203" t="s">
        <v>24</v>
      </c>
      <c r="H203" t="s">
        <v>616</v>
      </c>
      <c r="I203" t="s">
        <v>622</v>
      </c>
    </row>
    <row r="204" spans="1:10" x14ac:dyDescent="0.25">
      <c r="A204" t="s">
        <v>629</v>
      </c>
      <c r="B204" t="s">
        <v>161</v>
      </c>
      <c r="C204" t="s">
        <v>618</v>
      </c>
      <c r="D204" s="15" t="s">
        <v>148</v>
      </c>
      <c r="E204" t="s">
        <v>615</v>
      </c>
      <c r="G204" t="s">
        <v>24</v>
      </c>
      <c r="H204" t="s">
        <v>148</v>
      </c>
      <c r="I204" t="s">
        <v>284</v>
      </c>
    </row>
    <row r="205" spans="1:10" x14ac:dyDescent="0.25">
      <c r="A205" t="s">
        <v>630</v>
      </c>
      <c r="B205" t="s">
        <v>166</v>
      </c>
      <c r="C205" t="s">
        <v>600</v>
      </c>
      <c r="D205" s="14">
        <v>7053</v>
      </c>
      <c r="E205" t="s">
        <v>371</v>
      </c>
      <c r="F205" t="s">
        <v>139</v>
      </c>
      <c r="G205" t="s">
        <v>24</v>
      </c>
      <c r="H205" t="s">
        <v>631</v>
      </c>
      <c r="I205" t="s">
        <v>632</v>
      </c>
    </row>
    <row r="206" spans="1:10" x14ac:dyDescent="0.25">
      <c r="A206" t="s">
        <v>633</v>
      </c>
      <c r="B206" t="s">
        <v>166</v>
      </c>
      <c r="C206" t="s">
        <v>604</v>
      </c>
      <c r="D206" s="14">
        <v>84</v>
      </c>
      <c r="E206" t="s">
        <v>371</v>
      </c>
      <c r="F206" t="s">
        <v>139</v>
      </c>
      <c r="G206" t="s">
        <v>24</v>
      </c>
      <c r="H206" t="s">
        <v>605</v>
      </c>
      <c r="I206" t="s">
        <v>632</v>
      </c>
      <c r="J206" t="s">
        <v>606</v>
      </c>
    </row>
    <row r="207" spans="1:10" x14ac:dyDescent="0.25">
      <c r="A207" t="s">
        <v>634</v>
      </c>
      <c r="B207" t="s">
        <v>166</v>
      </c>
      <c r="C207" t="s">
        <v>608</v>
      </c>
      <c r="D207" s="14">
        <v>313</v>
      </c>
      <c r="E207" t="s">
        <v>371</v>
      </c>
      <c r="F207" t="s">
        <v>139</v>
      </c>
      <c r="G207" t="s">
        <v>24</v>
      </c>
      <c r="H207" t="s">
        <v>605</v>
      </c>
      <c r="I207" t="s">
        <v>632</v>
      </c>
    </row>
    <row r="208" spans="1:10" x14ac:dyDescent="0.25">
      <c r="A208" t="s">
        <v>635</v>
      </c>
      <c r="B208" t="s">
        <v>166</v>
      </c>
      <c r="C208" t="s">
        <v>610</v>
      </c>
      <c r="D208" s="14">
        <v>306</v>
      </c>
      <c r="E208" t="s">
        <v>371</v>
      </c>
      <c r="F208" t="s">
        <v>139</v>
      </c>
      <c r="G208" t="s">
        <v>24</v>
      </c>
      <c r="H208" t="s">
        <v>636</v>
      </c>
      <c r="I208" t="s">
        <v>632</v>
      </c>
      <c r="J208" t="s">
        <v>526</v>
      </c>
    </row>
    <row r="209" spans="1:10" x14ac:dyDescent="0.25">
      <c r="A209" t="s">
        <v>637</v>
      </c>
      <c r="B209" t="s">
        <v>166</v>
      </c>
      <c r="C209" t="s">
        <v>613</v>
      </c>
      <c r="D209" s="14">
        <v>394</v>
      </c>
      <c r="E209" t="s">
        <v>371</v>
      </c>
      <c r="F209" t="s">
        <v>139</v>
      </c>
      <c r="G209" t="s">
        <v>24</v>
      </c>
      <c r="H209" t="s">
        <v>636</v>
      </c>
      <c r="I209" t="s">
        <v>632</v>
      </c>
    </row>
    <row r="210" spans="1:10" x14ac:dyDescent="0.25">
      <c r="A210" t="s">
        <v>638</v>
      </c>
      <c r="B210" t="s">
        <v>166</v>
      </c>
      <c r="C210" t="s">
        <v>125</v>
      </c>
      <c r="D210" s="15" t="s">
        <v>168</v>
      </c>
      <c r="E210" t="s">
        <v>615</v>
      </c>
      <c r="G210" t="s">
        <v>24</v>
      </c>
      <c r="H210" t="s">
        <v>616</v>
      </c>
      <c r="I210" t="s">
        <v>632</v>
      </c>
    </row>
    <row r="211" spans="1:10" x14ac:dyDescent="0.25">
      <c r="A211" t="s">
        <v>639</v>
      </c>
      <c r="B211" t="s">
        <v>166</v>
      </c>
      <c r="C211" t="s">
        <v>618</v>
      </c>
      <c r="D211" s="15" t="s">
        <v>148</v>
      </c>
      <c r="E211" t="s">
        <v>615</v>
      </c>
      <c r="G211" t="s">
        <v>24</v>
      </c>
      <c r="H211" t="s">
        <v>148</v>
      </c>
      <c r="I211" t="s">
        <v>284</v>
      </c>
    </row>
    <row r="212" spans="1:10" x14ac:dyDescent="0.25">
      <c r="A212" t="s">
        <v>640</v>
      </c>
      <c r="B212" t="s">
        <v>170</v>
      </c>
      <c r="C212" t="s">
        <v>600</v>
      </c>
      <c r="D212" s="14">
        <v>21450</v>
      </c>
      <c r="E212" t="s">
        <v>371</v>
      </c>
      <c r="F212" t="s">
        <v>139</v>
      </c>
      <c r="G212" t="s">
        <v>24</v>
      </c>
      <c r="H212" t="s">
        <v>641</v>
      </c>
      <c r="I212" t="s">
        <v>642</v>
      </c>
    </row>
    <row r="213" spans="1:10" x14ac:dyDescent="0.25">
      <c r="A213" t="s">
        <v>643</v>
      </c>
      <c r="B213" t="s">
        <v>170</v>
      </c>
      <c r="C213" t="s">
        <v>604</v>
      </c>
      <c r="D213" s="14">
        <v>0</v>
      </c>
      <c r="E213" t="s">
        <v>371</v>
      </c>
      <c r="F213" t="s">
        <v>139</v>
      </c>
      <c r="G213" t="s">
        <v>24</v>
      </c>
      <c r="H213" t="s">
        <v>605</v>
      </c>
      <c r="I213" t="s">
        <v>642</v>
      </c>
      <c r="J213" t="s">
        <v>606</v>
      </c>
    </row>
    <row r="214" spans="1:10" x14ac:dyDescent="0.25">
      <c r="A214" t="s">
        <v>644</v>
      </c>
      <c r="B214" t="s">
        <v>170</v>
      </c>
      <c r="C214" t="s">
        <v>608</v>
      </c>
      <c r="D214" s="14">
        <v>609</v>
      </c>
      <c r="E214" t="s">
        <v>371</v>
      </c>
      <c r="F214" t="s">
        <v>139</v>
      </c>
      <c r="G214" t="s">
        <v>24</v>
      </c>
      <c r="H214" t="s">
        <v>605</v>
      </c>
      <c r="I214" t="s">
        <v>642</v>
      </c>
      <c r="J214" t="s">
        <v>645</v>
      </c>
    </row>
    <row r="215" spans="1:10" x14ac:dyDescent="0.25">
      <c r="A215" t="s">
        <v>646</v>
      </c>
      <c r="B215" t="s">
        <v>170</v>
      </c>
      <c r="C215" t="s">
        <v>610</v>
      </c>
      <c r="D215" s="14">
        <v>53</v>
      </c>
      <c r="E215" t="s">
        <v>371</v>
      </c>
      <c r="F215" t="s">
        <v>139</v>
      </c>
      <c r="G215" t="s">
        <v>24</v>
      </c>
      <c r="H215" t="s">
        <v>647</v>
      </c>
      <c r="I215" t="s">
        <v>642</v>
      </c>
      <c r="J215" t="s">
        <v>545</v>
      </c>
    </row>
    <row r="216" spans="1:10" x14ac:dyDescent="0.25">
      <c r="A216" t="s">
        <v>648</v>
      </c>
      <c r="B216" t="s">
        <v>170</v>
      </c>
      <c r="C216" t="s">
        <v>613</v>
      </c>
      <c r="D216" s="14">
        <v>1716</v>
      </c>
      <c r="E216" t="s">
        <v>371</v>
      </c>
      <c r="F216" t="s">
        <v>139</v>
      </c>
      <c r="G216" t="s">
        <v>24</v>
      </c>
      <c r="H216" t="s">
        <v>647</v>
      </c>
      <c r="I216" t="s">
        <v>642</v>
      </c>
    </row>
    <row r="217" spans="1:10" x14ac:dyDescent="0.25">
      <c r="A217" t="s">
        <v>649</v>
      </c>
      <c r="B217" t="s">
        <v>170</v>
      </c>
      <c r="C217" t="s">
        <v>125</v>
      </c>
      <c r="D217" s="15" t="s">
        <v>172</v>
      </c>
      <c r="E217" t="s">
        <v>615</v>
      </c>
      <c r="G217" t="s">
        <v>24</v>
      </c>
      <c r="H217" t="s">
        <v>616</v>
      </c>
      <c r="I217" t="s">
        <v>642</v>
      </c>
    </row>
    <row r="218" spans="1:10" x14ac:dyDescent="0.25">
      <c r="A218" t="s">
        <v>650</v>
      </c>
      <c r="B218" t="s">
        <v>170</v>
      </c>
      <c r="C218" t="s">
        <v>618</v>
      </c>
      <c r="D218" s="15" t="s">
        <v>148</v>
      </c>
      <c r="E218" t="s">
        <v>615</v>
      </c>
      <c r="G218" t="s">
        <v>24</v>
      </c>
      <c r="H218" t="s">
        <v>148</v>
      </c>
      <c r="I218" t="s">
        <v>284</v>
      </c>
    </row>
    <row r="219" spans="1:10" x14ac:dyDescent="0.25">
      <c r="A219" t="s">
        <v>651</v>
      </c>
      <c r="B219" t="s">
        <v>177</v>
      </c>
      <c r="C219" t="s">
        <v>600</v>
      </c>
      <c r="D219" s="14">
        <v>51881</v>
      </c>
      <c r="E219" t="s">
        <v>371</v>
      </c>
      <c r="F219" t="s">
        <v>139</v>
      </c>
      <c r="G219" t="s">
        <v>24</v>
      </c>
      <c r="H219" t="s">
        <v>652</v>
      </c>
      <c r="I219" t="s">
        <v>653</v>
      </c>
    </row>
    <row r="220" spans="1:10" x14ac:dyDescent="0.25">
      <c r="A220" t="s">
        <v>654</v>
      </c>
      <c r="B220" t="s">
        <v>177</v>
      </c>
      <c r="C220" t="s">
        <v>604</v>
      </c>
      <c r="D220" s="14">
        <v>0</v>
      </c>
      <c r="E220" t="s">
        <v>371</v>
      </c>
      <c r="F220" t="s">
        <v>139</v>
      </c>
      <c r="G220" t="s">
        <v>24</v>
      </c>
      <c r="H220" t="s">
        <v>605</v>
      </c>
      <c r="I220" t="s">
        <v>653</v>
      </c>
      <c r="J220" t="s">
        <v>606</v>
      </c>
    </row>
    <row r="221" spans="1:10" x14ac:dyDescent="0.25">
      <c r="A221" t="s">
        <v>655</v>
      </c>
      <c r="B221" t="s">
        <v>177</v>
      </c>
      <c r="C221" t="s">
        <v>608</v>
      </c>
      <c r="D221" s="14">
        <v>3846</v>
      </c>
      <c r="E221" t="s">
        <v>371</v>
      </c>
      <c r="F221" t="s">
        <v>139</v>
      </c>
      <c r="G221" t="s">
        <v>24</v>
      </c>
      <c r="H221" t="s">
        <v>605</v>
      </c>
      <c r="I221" t="s">
        <v>653</v>
      </c>
      <c r="J221" t="s">
        <v>656</v>
      </c>
    </row>
    <row r="222" spans="1:10" x14ac:dyDescent="0.25">
      <c r="A222" t="s">
        <v>657</v>
      </c>
      <c r="B222" t="s">
        <v>177</v>
      </c>
      <c r="C222" t="s">
        <v>610</v>
      </c>
      <c r="D222" s="14">
        <v>195</v>
      </c>
      <c r="E222" t="s">
        <v>371</v>
      </c>
      <c r="F222" t="s">
        <v>139</v>
      </c>
      <c r="G222" t="s">
        <v>24</v>
      </c>
      <c r="H222" t="s">
        <v>658</v>
      </c>
      <c r="I222" t="s">
        <v>653</v>
      </c>
      <c r="J222" t="s">
        <v>584</v>
      </c>
    </row>
    <row r="223" spans="1:10" x14ac:dyDescent="0.25">
      <c r="A223" t="s">
        <v>659</v>
      </c>
      <c r="B223" t="s">
        <v>177</v>
      </c>
      <c r="C223" t="s">
        <v>613</v>
      </c>
      <c r="D223" s="14">
        <v>10675</v>
      </c>
      <c r="E223" t="s">
        <v>371</v>
      </c>
      <c r="F223" t="s">
        <v>139</v>
      </c>
      <c r="G223" t="s">
        <v>24</v>
      </c>
      <c r="H223" t="s">
        <v>658</v>
      </c>
      <c r="I223" t="s">
        <v>653</v>
      </c>
      <c r="J223" t="s">
        <v>660</v>
      </c>
    </row>
    <row r="224" spans="1:10" x14ac:dyDescent="0.25">
      <c r="A224" t="s">
        <v>661</v>
      </c>
      <c r="B224" t="s">
        <v>177</v>
      </c>
      <c r="C224" t="s">
        <v>125</v>
      </c>
      <c r="D224" s="15" t="s">
        <v>179</v>
      </c>
      <c r="E224" t="s">
        <v>615</v>
      </c>
      <c r="G224" t="s">
        <v>24</v>
      </c>
      <c r="H224" t="s">
        <v>616</v>
      </c>
      <c r="I224" t="s">
        <v>653</v>
      </c>
    </row>
    <row r="225" spans="1:10" x14ac:dyDescent="0.25">
      <c r="A225" t="s">
        <v>662</v>
      </c>
      <c r="B225" t="s">
        <v>177</v>
      </c>
      <c r="C225" t="s">
        <v>618</v>
      </c>
      <c r="D225" s="15" t="s">
        <v>180</v>
      </c>
      <c r="E225" t="s">
        <v>615</v>
      </c>
      <c r="G225" t="s">
        <v>24</v>
      </c>
      <c r="H225" t="s">
        <v>148</v>
      </c>
      <c r="I225" t="s">
        <v>284</v>
      </c>
    </row>
    <row r="226" spans="1:10" x14ac:dyDescent="0.25">
      <c r="A226" t="s">
        <v>663</v>
      </c>
      <c r="B226" t="s">
        <v>144</v>
      </c>
      <c r="C226" t="s">
        <v>600</v>
      </c>
      <c r="D226" s="14">
        <v>1698.6</v>
      </c>
      <c r="E226" t="s">
        <v>371</v>
      </c>
      <c r="F226" t="s">
        <v>139</v>
      </c>
      <c r="G226" t="s">
        <v>24</v>
      </c>
      <c r="H226" t="s">
        <v>664</v>
      </c>
      <c r="I226" t="s">
        <v>665</v>
      </c>
    </row>
    <row r="227" spans="1:10" x14ac:dyDescent="0.25">
      <c r="A227" t="s">
        <v>666</v>
      </c>
      <c r="B227" t="s">
        <v>144</v>
      </c>
      <c r="C227" t="s">
        <v>604</v>
      </c>
      <c r="D227" s="14">
        <v>0</v>
      </c>
      <c r="E227" t="s">
        <v>371</v>
      </c>
      <c r="F227" t="s">
        <v>139</v>
      </c>
      <c r="G227" t="s">
        <v>24</v>
      </c>
      <c r="H227" t="s">
        <v>605</v>
      </c>
      <c r="I227" t="s">
        <v>665</v>
      </c>
      <c r="J227" t="s">
        <v>606</v>
      </c>
    </row>
    <row r="228" spans="1:10" x14ac:dyDescent="0.25">
      <c r="A228" t="s">
        <v>667</v>
      </c>
      <c r="B228" t="s">
        <v>144</v>
      </c>
      <c r="C228" t="s">
        <v>608</v>
      </c>
      <c r="D228" s="14">
        <v>413.2</v>
      </c>
      <c r="E228" t="s">
        <v>371</v>
      </c>
      <c r="F228" t="s">
        <v>139</v>
      </c>
      <c r="G228" t="s">
        <v>24</v>
      </c>
      <c r="H228" t="s">
        <v>605</v>
      </c>
      <c r="I228" t="s">
        <v>665</v>
      </c>
    </row>
    <row r="229" spans="1:10" x14ac:dyDescent="0.25">
      <c r="A229" t="s">
        <v>668</v>
      </c>
      <c r="B229" t="s">
        <v>144</v>
      </c>
      <c r="C229" t="s">
        <v>610</v>
      </c>
      <c r="D229" s="14">
        <v>2.8</v>
      </c>
      <c r="E229" t="s">
        <v>371</v>
      </c>
      <c r="F229" t="s">
        <v>139</v>
      </c>
      <c r="G229" t="s">
        <v>24</v>
      </c>
      <c r="H229" t="s">
        <v>669</v>
      </c>
      <c r="I229" t="s">
        <v>665</v>
      </c>
    </row>
    <row r="230" spans="1:10" x14ac:dyDescent="0.25">
      <c r="A230" t="s">
        <v>670</v>
      </c>
      <c r="B230" t="s">
        <v>144</v>
      </c>
      <c r="C230" t="s">
        <v>613</v>
      </c>
      <c r="D230" s="14">
        <v>483.6</v>
      </c>
      <c r="E230" t="s">
        <v>371</v>
      </c>
      <c r="F230" t="s">
        <v>139</v>
      </c>
      <c r="G230" t="s">
        <v>24</v>
      </c>
      <c r="H230" t="s">
        <v>669</v>
      </c>
      <c r="I230" t="s">
        <v>665</v>
      </c>
    </row>
    <row r="231" spans="1:10" x14ac:dyDescent="0.25">
      <c r="A231" t="s">
        <v>671</v>
      </c>
      <c r="B231" t="s">
        <v>144</v>
      </c>
      <c r="C231" t="s">
        <v>125</v>
      </c>
      <c r="D231" s="15" t="s">
        <v>147</v>
      </c>
      <c r="E231" t="s">
        <v>615</v>
      </c>
      <c r="G231" t="s">
        <v>24</v>
      </c>
      <c r="H231" t="s">
        <v>616</v>
      </c>
      <c r="I231" t="s">
        <v>665</v>
      </c>
    </row>
    <row r="232" spans="1:10" x14ac:dyDescent="0.25">
      <c r="A232" t="s">
        <v>672</v>
      </c>
      <c r="B232" t="s">
        <v>144</v>
      </c>
      <c r="C232" t="s">
        <v>618</v>
      </c>
      <c r="D232" s="15" t="s">
        <v>148</v>
      </c>
      <c r="E232" t="s">
        <v>615</v>
      </c>
      <c r="G232" t="s">
        <v>24</v>
      </c>
      <c r="H232" t="s">
        <v>148</v>
      </c>
      <c r="I232" t="s">
        <v>284</v>
      </c>
    </row>
    <row r="233" spans="1:10" x14ac:dyDescent="0.25">
      <c r="A233" t="s">
        <v>673</v>
      </c>
      <c r="B233" t="s">
        <v>156</v>
      </c>
      <c r="C233" t="s">
        <v>600</v>
      </c>
      <c r="D233" s="14">
        <v>986.9</v>
      </c>
      <c r="E233" t="s">
        <v>371</v>
      </c>
      <c r="F233" t="s">
        <v>139</v>
      </c>
      <c r="G233" t="s">
        <v>295</v>
      </c>
      <c r="H233" t="s">
        <v>674</v>
      </c>
      <c r="I233" t="s">
        <v>675</v>
      </c>
      <c r="J233" t="s">
        <v>676</v>
      </c>
    </row>
    <row r="234" spans="1:10" x14ac:dyDescent="0.25">
      <c r="A234" t="s">
        <v>677</v>
      </c>
      <c r="B234" t="s">
        <v>156</v>
      </c>
      <c r="C234" t="s">
        <v>604</v>
      </c>
      <c r="D234" s="14">
        <v>0</v>
      </c>
      <c r="E234" t="s">
        <v>371</v>
      </c>
      <c r="F234" t="s">
        <v>139</v>
      </c>
      <c r="G234" t="s">
        <v>24</v>
      </c>
      <c r="H234" t="s">
        <v>605</v>
      </c>
      <c r="I234" t="s">
        <v>675</v>
      </c>
      <c r="J234" t="s">
        <v>606</v>
      </c>
    </row>
    <row r="235" spans="1:10" x14ac:dyDescent="0.25">
      <c r="A235" t="s">
        <v>678</v>
      </c>
      <c r="B235" t="s">
        <v>156</v>
      </c>
      <c r="C235" t="s">
        <v>608</v>
      </c>
      <c r="D235" s="14">
        <v>0</v>
      </c>
      <c r="E235" t="s">
        <v>371</v>
      </c>
      <c r="F235" t="s">
        <v>139</v>
      </c>
      <c r="G235" t="s">
        <v>295</v>
      </c>
      <c r="H235" t="s">
        <v>605</v>
      </c>
      <c r="I235" t="s">
        <v>675</v>
      </c>
      <c r="J235" t="s">
        <v>679</v>
      </c>
    </row>
    <row r="236" spans="1:10" x14ac:dyDescent="0.25">
      <c r="A236" t="s">
        <v>680</v>
      </c>
      <c r="B236" t="s">
        <v>156</v>
      </c>
      <c r="C236" t="s">
        <v>610</v>
      </c>
      <c r="D236" s="14">
        <v>-17.399999999999999</v>
      </c>
      <c r="E236" t="s">
        <v>371</v>
      </c>
      <c r="F236" t="s">
        <v>139</v>
      </c>
      <c r="G236" t="s">
        <v>22</v>
      </c>
      <c r="H236" t="s">
        <v>681</v>
      </c>
      <c r="I236" t="s">
        <v>675</v>
      </c>
      <c r="J236" t="s">
        <v>488</v>
      </c>
    </row>
    <row r="237" spans="1:10" x14ac:dyDescent="0.25">
      <c r="A237" t="s">
        <v>682</v>
      </c>
      <c r="B237" t="s">
        <v>156</v>
      </c>
      <c r="C237" t="s">
        <v>613</v>
      </c>
      <c r="D237" s="14">
        <v>85</v>
      </c>
      <c r="E237" t="s">
        <v>371</v>
      </c>
      <c r="F237" t="s">
        <v>139</v>
      </c>
      <c r="G237" t="s">
        <v>24</v>
      </c>
      <c r="H237" t="s">
        <v>683</v>
      </c>
      <c r="I237" t="s">
        <v>675</v>
      </c>
    </row>
    <row r="238" spans="1:10" x14ac:dyDescent="0.25">
      <c r="A238" t="s">
        <v>684</v>
      </c>
      <c r="B238" t="s">
        <v>156</v>
      </c>
      <c r="C238" t="s">
        <v>125</v>
      </c>
      <c r="D238" s="15" t="s">
        <v>159</v>
      </c>
      <c r="E238" t="s">
        <v>615</v>
      </c>
      <c r="G238" t="s">
        <v>24</v>
      </c>
      <c r="H238" t="s">
        <v>616</v>
      </c>
      <c r="I238" t="s">
        <v>675</v>
      </c>
    </row>
    <row r="239" spans="1:10" x14ac:dyDescent="0.25">
      <c r="A239" t="s">
        <v>685</v>
      </c>
      <c r="B239" t="s">
        <v>156</v>
      </c>
      <c r="C239" t="s">
        <v>618</v>
      </c>
      <c r="D239" s="15" t="s">
        <v>148</v>
      </c>
      <c r="E239" t="s">
        <v>615</v>
      </c>
      <c r="G239" t="s">
        <v>24</v>
      </c>
      <c r="H239" t="s">
        <v>148</v>
      </c>
      <c r="I239" t="s">
        <v>284</v>
      </c>
    </row>
    <row r="240" spans="1:10" x14ac:dyDescent="0.25">
      <c r="A240" t="s">
        <v>686</v>
      </c>
      <c r="B240" t="s">
        <v>287</v>
      </c>
      <c r="C240" t="s">
        <v>618</v>
      </c>
      <c r="D240" s="15" t="s">
        <v>687</v>
      </c>
      <c r="E240" t="s">
        <v>615</v>
      </c>
      <c r="G240" t="s">
        <v>24</v>
      </c>
      <c r="H240" t="s">
        <v>688</v>
      </c>
      <c r="I240" t="s">
        <v>284</v>
      </c>
    </row>
    <row r="241" spans="1:10" x14ac:dyDescent="0.25">
      <c r="A241" s="3" t="s">
        <v>689</v>
      </c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25">
      <c r="A242" t="s">
        <v>690</v>
      </c>
      <c r="B242" t="s">
        <v>136</v>
      </c>
      <c r="C242" t="s">
        <v>691</v>
      </c>
      <c r="D242" s="12">
        <v>46389</v>
      </c>
      <c r="E242" t="s">
        <v>265</v>
      </c>
      <c r="G242" t="s">
        <v>24</v>
      </c>
      <c r="H242" t="s">
        <v>692</v>
      </c>
      <c r="I242" t="s">
        <v>267</v>
      </c>
      <c r="J242" t="s">
        <v>693</v>
      </c>
    </row>
    <row r="243" spans="1:10" x14ac:dyDescent="0.25">
      <c r="A243" t="s">
        <v>694</v>
      </c>
      <c r="B243" t="s">
        <v>136</v>
      </c>
      <c r="C243" t="s">
        <v>695</v>
      </c>
      <c r="D243" s="14">
        <v>458.6</v>
      </c>
      <c r="E243" t="s">
        <v>371</v>
      </c>
      <c r="F243" t="s">
        <v>139</v>
      </c>
      <c r="G243" t="s">
        <v>24</v>
      </c>
      <c r="H243" t="s">
        <v>696</v>
      </c>
      <c r="I243" t="s">
        <v>267</v>
      </c>
    </row>
    <row r="244" spans="1:10" x14ac:dyDescent="0.25">
      <c r="A244" t="s">
        <v>697</v>
      </c>
      <c r="B244" t="s">
        <v>136</v>
      </c>
      <c r="C244" t="s">
        <v>698</v>
      </c>
      <c r="D244" s="14">
        <v>5075.8</v>
      </c>
      <c r="E244" t="s">
        <v>371</v>
      </c>
      <c r="F244" t="s">
        <v>139</v>
      </c>
      <c r="G244" t="s">
        <v>24</v>
      </c>
      <c r="H244" t="s">
        <v>696</v>
      </c>
      <c r="I244" t="s">
        <v>267</v>
      </c>
    </row>
    <row r="245" spans="1:10" x14ac:dyDescent="0.25">
      <c r="A245" t="s">
        <v>699</v>
      </c>
      <c r="B245" t="s">
        <v>136</v>
      </c>
      <c r="C245" t="s">
        <v>700</v>
      </c>
      <c r="D245" s="14">
        <v>430.1</v>
      </c>
      <c r="E245" t="s">
        <v>371</v>
      </c>
      <c r="F245" t="s">
        <v>139</v>
      </c>
      <c r="G245" t="s">
        <v>24</v>
      </c>
      <c r="H245" t="s">
        <v>696</v>
      </c>
      <c r="I245" t="s">
        <v>267</v>
      </c>
    </row>
    <row r="246" spans="1:10" x14ac:dyDescent="0.25">
      <c r="A246" t="s">
        <v>701</v>
      </c>
      <c r="B246" t="s">
        <v>136</v>
      </c>
      <c r="C246" t="s">
        <v>702</v>
      </c>
      <c r="D246" s="14">
        <v>5058.3</v>
      </c>
      <c r="E246" t="s">
        <v>371</v>
      </c>
      <c r="F246" t="s">
        <v>139</v>
      </c>
      <c r="G246" t="s">
        <v>24</v>
      </c>
      <c r="H246" t="s">
        <v>696</v>
      </c>
      <c r="I246" t="s">
        <v>267</v>
      </c>
    </row>
    <row r="247" spans="1:10" x14ac:dyDescent="0.25">
      <c r="A247" t="s">
        <v>703</v>
      </c>
      <c r="B247" t="s">
        <v>150</v>
      </c>
      <c r="C247" t="s">
        <v>691</v>
      </c>
      <c r="D247" s="12">
        <v>46387</v>
      </c>
      <c r="E247" t="s">
        <v>265</v>
      </c>
      <c r="G247" t="s">
        <v>24</v>
      </c>
      <c r="H247" t="s">
        <v>692</v>
      </c>
      <c r="I247" t="s">
        <v>267</v>
      </c>
      <c r="J247" t="s">
        <v>704</v>
      </c>
    </row>
    <row r="248" spans="1:10" x14ac:dyDescent="0.25">
      <c r="A248" t="s">
        <v>705</v>
      </c>
      <c r="B248" t="s">
        <v>150</v>
      </c>
      <c r="C248" t="s">
        <v>706</v>
      </c>
      <c r="D248" s="14">
        <v>700.1</v>
      </c>
      <c r="E248" t="s">
        <v>371</v>
      </c>
      <c r="F248" t="s">
        <v>139</v>
      </c>
      <c r="G248" t="s">
        <v>24</v>
      </c>
      <c r="H248" t="s">
        <v>696</v>
      </c>
      <c r="I248" t="s">
        <v>267</v>
      </c>
    </row>
    <row r="249" spans="1:10" x14ac:dyDescent="0.25">
      <c r="A249" t="s">
        <v>707</v>
      </c>
      <c r="B249" t="s">
        <v>150</v>
      </c>
      <c r="C249" t="s">
        <v>698</v>
      </c>
      <c r="D249" s="14">
        <v>8564.4</v>
      </c>
      <c r="E249" t="s">
        <v>371</v>
      </c>
      <c r="F249" t="s">
        <v>139</v>
      </c>
      <c r="G249" t="s">
        <v>24</v>
      </c>
      <c r="H249" t="s">
        <v>696</v>
      </c>
      <c r="I249" t="s">
        <v>267</v>
      </c>
    </row>
    <row r="250" spans="1:10" x14ac:dyDescent="0.25">
      <c r="A250" t="s">
        <v>708</v>
      </c>
      <c r="B250" t="s">
        <v>150</v>
      </c>
      <c r="C250" t="s">
        <v>709</v>
      </c>
      <c r="D250" s="14">
        <v>741.5</v>
      </c>
      <c r="E250" t="s">
        <v>371</v>
      </c>
      <c r="F250" t="s">
        <v>139</v>
      </c>
      <c r="G250" t="s">
        <v>24</v>
      </c>
      <c r="H250" t="s">
        <v>696</v>
      </c>
      <c r="I250" t="s">
        <v>267</v>
      </c>
    </row>
    <row r="251" spans="1:10" x14ac:dyDescent="0.25">
      <c r="A251" t="s">
        <v>710</v>
      </c>
      <c r="B251" t="s">
        <v>150</v>
      </c>
      <c r="C251" t="s">
        <v>702</v>
      </c>
      <c r="D251" s="14">
        <v>8795</v>
      </c>
      <c r="E251" t="s">
        <v>371</v>
      </c>
      <c r="F251" t="s">
        <v>139</v>
      </c>
      <c r="G251" t="s">
        <v>24</v>
      </c>
      <c r="H251" t="s">
        <v>696</v>
      </c>
      <c r="I251" t="s">
        <v>267</v>
      </c>
    </row>
    <row r="252" spans="1:10" x14ac:dyDescent="0.25">
      <c r="A252" t="s">
        <v>711</v>
      </c>
      <c r="B252" t="s">
        <v>156</v>
      </c>
      <c r="C252" t="s">
        <v>691</v>
      </c>
      <c r="D252" s="12">
        <v>46387</v>
      </c>
      <c r="E252" t="s">
        <v>265</v>
      </c>
      <c r="G252" t="s">
        <v>295</v>
      </c>
      <c r="H252" t="s">
        <v>692</v>
      </c>
      <c r="I252" t="s">
        <v>267</v>
      </c>
      <c r="J252" t="s">
        <v>712</v>
      </c>
    </row>
    <row r="253" spans="1:10" x14ac:dyDescent="0.25">
      <c r="A253" t="s">
        <v>713</v>
      </c>
      <c r="B253" t="s">
        <v>156</v>
      </c>
      <c r="C253" t="s">
        <v>714</v>
      </c>
      <c r="D253" s="14">
        <v>354.7</v>
      </c>
      <c r="E253" t="s">
        <v>371</v>
      </c>
      <c r="F253" t="s">
        <v>139</v>
      </c>
      <c r="G253" t="s">
        <v>24</v>
      </c>
      <c r="H253" t="s">
        <v>696</v>
      </c>
      <c r="I253" t="s">
        <v>267</v>
      </c>
    </row>
    <row r="254" spans="1:10" x14ac:dyDescent="0.25">
      <c r="A254" t="s">
        <v>715</v>
      </c>
      <c r="B254" t="s">
        <v>156</v>
      </c>
      <c r="C254" t="s">
        <v>698</v>
      </c>
      <c r="D254" s="14">
        <v>2594.6999999999998</v>
      </c>
      <c r="E254" t="s">
        <v>371</v>
      </c>
      <c r="F254" t="s">
        <v>139</v>
      </c>
      <c r="G254" t="s">
        <v>24</v>
      </c>
      <c r="H254" t="s">
        <v>696</v>
      </c>
      <c r="I254" t="s">
        <v>267</v>
      </c>
    </row>
    <row r="255" spans="1:10" x14ac:dyDescent="0.25">
      <c r="A255" t="s">
        <v>716</v>
      </c>
      <c r="B255" t="s">
        <v>156</v>
      </c>
      <c r="C255" t="s">
        <v>709</v>
      </c>
      <c r="D255" s="14">
        <v>363.6</v>
      </c>
      <c r="E255" t="s">
        <v>371</v>
      </c>
      <c r="F255" t="s">
        <v>139</v>
      </c>
      <c r="G255" t="s">
        <v>24</v>
      </c>
      <c r="H255" t="s">
        <v>696</v>
      </c>
      <c r="I255" t="s">
        <v>267</v>
      </c>
    </row>
    <row r="256" spans="1:10" x14ac:dyDescent="0.25">
      <c r="A256" t="s">
        <v>717</v>
      </c>
      <c r="B256" t="s">
        <v>156</v>
      </c>
      <c r="C256" t="s">
        <v>702</v>
      </c>
      <c r="D256" s="14">
        <v>2562.6</v>
      </c>
      <c r="E256" t="s">
        <v>371</v>
      </c>
      <c r="F256" t="s">
        <v>139</v>
      </c>
      <c r="G256" t="s">
        <v>24</v>
      </c>
      <c r="H256" t="s">
        <v>696</v>
      </c>
      <c r="I256" t="s">
        <v>267</v>
      </c>
    </row>
    <row r="257" spans="1:10" x14ac:dyDescent="0.25">
      <c r="A257" t="s">
        <v>718</v>
      </c>
      <c r="B257" t="s">
        <v>161</v>
      </c>
      <c r="C257" t="s">
        <v>691</v>
      </c>
      <c r="D257" s="12">
        <v>46507</v>
      </c>
      <c r="E257" t="s">
        <v>265</v>
      </c>
      <c r="G257" t="s">
        <v>24</v>
      </c>
      <c r="H257" t="s">
        <v>692</v>
      </c>
      <c r="I257" t="s">
        <v>267</v>
      </c>
      <c r="J257" t="s">
        <v>719</v>
      </c>
    </row>
    <row r="258" spans="1:10" x14ac:dyDescent="0.25">
      <c r="A258" t="s">
        <v>720</v>
      </c>
      <c r="B258" t="s">
        <v>161</v>
      </c>
      <c r="C258" t="s">
        <v>721</v>
      </c>
      <c r="D258" s="14">
        <v>2181.3000000000002</v>
      </c>
      <c r="E258" t="s">
        <v>371</v>
      </c>
      <c r="F258" t="s">
        <v>139</v>
      </c>
      <c r="G258" t="s">
        <v>24</v>
      </c>
      <c r="H258" t="s">
        <v>696</v>
      </c>
      <c r="I258" t="s">
        <v>267</v>
      </c>
      <c r="J258" t="s">
        <v>722</v>
      </c>
    </row>
    <row r="259" spans="1:10" x14ac:dyDescent="0.25">
      <c r="A259" t="s">
        <v>723</v>
      </c>
      <c r="B259" t="s">
        <v>161</v>
      </c>
      <c r="C259" t="s">
        <v>698</v>
      </c>
      <c r="D259" s="14">
        <v>8930.2999999999993</v>
      </c>
      <c r="E259" t="s">
        <v>371</v>
      </c>
      <c r="F259" t="s">
        <v>139</v>
      </c>
      <c r="G259" t="s">
        <v>24</v>
      </c>
      <c r="H259" t="s">
        <v>696</v>
      </c>
      <c r="I259" t="s">
        <v>267</v>
      </c>
    </row>
    <row r="260" spans="1:10" x14ac:dyDescent="0.25">
      <c r="A260" t="s">
        <v>724</v>
      </c>
      <c r="B260" t="s">
        <v>161</v>
      </c>
      <c r="C260" t="s">
        <v>725</v>
      </c>
      <c r="D260" s="14">
        <v>2175.4</v>
      </c>
      <c r="E260" t="s">
        <v>371</v>
      </c>
      <c r="F260" t="s">
        <v>139</v>
      </c>
      <c r="G260" t="s">
        <v>24</v>
      </c>
      <c r="H260" t="s">
        <v>696</v>
      </c>
      <c r="I260" t="s">
        <v>267</v>
      </c>
    </row>
    <row r="261" spans="1:10" x14ac:dyDescent="0.25">
      <c r="A261" t="s">
        <v>726</v>
      </c>
      <c r="B261" t="s">
        <v>161</v>
      </c>
      <c r="C261" t="s">
        <v>702</v>
      </c>
      <c r="D261" s="14">
        <v>9037.5</v>
      </c>
      <c r="E261" t="s">
        <v>371</v>
      </c>
      <c r="F261" t="s">
        <v>139</v>
      </c>
      <c r="G261" t="s">
        <v>24</v>
      </c>
      <c r="H261" t="s">
        <v>696</v>
      </c>
      <c r="I261" t="s">
        <v>267</v>
      </c>
    </row>
    <row r="262" spans="1:10" x14ac:dyDescent="0.25">
      <c r="A262" t="s">
        <v>727</v>
      </c>
      <c r="B262" t="s">
        <v>166</v>
      </c>
      <c r="C262" t="s">
        <v>691</v>
      </c>
      <c r="D262" s="12">
        <v>46600</v>
      </c>
      <c r="E262" t="s">
        <v>265</v>
      </c>
      <c r="G262" t="s">
        <v>24</v>
      </c>
      <c r="H262" t="s">
        <v>692</v>
      </c>
      <c r="I262" t="s">
        <v>267</v>
      </c>
      <c r="J262" t="s">
        <v>728</v>
      </c>
    </row>
    <row r="263" spans="1:10" x14ac:dyDescent="0.25">
      <c r="A263" t="s">
        <v>729</v>
      </c>
      <c r="B263" t="s">
        <v>166</v>
      </c>
      <c r="C263" t="s">
        <v>730</v>
      </c>
      <c r="D263" s="14">
        <v>1464.6</v>
      </c>
      <c r="E263" t="s">
        <v>371</v>
      </c>
      <c r="F263" t="s">
        <v>139</v>
      </c>
      <c r="G263" t="s">
        <v>24</v>
      </c>
      <c r="H263" t="s">
        <v>696</v>
      </c>
      <c r="I263" t="s">
        <v>267</v>
      </c>
      <c r="J263" t="s">
        <v>722</v>
      </c>
    </row>
    <row r="264" spans="1:10" x14ac:dyDescent="0.25">
      <c r="A264" t="s">
        <v>731</v>
      </c>
      <c r="B264" t="s">
        <v>166</v>
      </c>
      <c r="C264" t="s">
        <v>698</v>
      </c>
      <c r="D264" s="14">
        <v>9496.6</v>
      </c>
      <c r="E264" t="s">
        <v>371</v>
      </c>
      <c r="F264" t="s">
        <v>139</v>
      </c>
      <c r="G264" t="s">
        <v>24</v>
      </c>
      <c r="H264" t="s">
        <v>696</v>
      </c>
      <c r="I264" t="s">
        <v>267</v>
      </c>
    </row>
    <row r="265" spans="1:10" x14ac:dyDescent="0.25">
      <c r="A265" t="s">
        <v>732</v>
      </c>
      <c r="B265" t="s">
        <v>166</v>
      </c>
      <c r="C265" t="s">
        <v>733</v>
      </c>
      <c r="D265" s="14">
        <v>1519.8</v>
      </c>
      <c r="E265" t="s">
        <v>371</v>
      </c>
      <c r="F265" t="s">
        <v>139</v>
      </c>
      <c r="G265" t="s">
        <v>24</v>
      </c>
      <c r="H265" t="s">
        <v>696</v>
      </c>
      <c r="I265" t="s">
        <v>267</v>
      </c>
    </row>
    <row r="266" spans="1:10" x14ac:dyDescent="0.25">
      <c r="A266" t="s">
        <v>734</v>
      </c>
      <c r="B266" t="s">
        <v>166</v>
      </c>
      <c r="C266" t="s">
        <v>702</v>
      </c>
      <c r="D266" s="14">
        <v>9469.4</v>
      </c>
      <c r="E266" t="s">
        <v>371</v>
      </c>
      <c r="F266" t="s">
        <v>139</v>
      </c>
      <c r="G266" t="s">
        <v>24</v>
      </c>
      <c r="H266" t="s">
        <v>696</v>
      </c>
      <c r="I266" t="s">
        <v>267</v>
      </c>
    </row>
    <row r="267" spans="1:10" x14ac:dyDescent="0.25">
      <c r="A267" t="s">
        <v>735</v>
      </c>
      <c r="B267" t="s">
        <v>170</v>
      </c>
      <c r="C267" t="s">
        <v>691</v>
      </c>
      <c r="D267" s="12">
        <v>46387</v>
      </c>
      <c r="E267" t="s">
        <v>265</v>
      </c>
      <c r="G267" t="s">
        <v>24</v>
      </c>
      <c r="H267" t="s">
        <v>692</v>
      </c>
      <c r="I267" t="s">
        <v>267</v>
      </c>
      <c r="J267" t="s">
        <v>704</v>
      </c>
    </row>
    <row r="268" spans="1:10" x14ac:dyDescent="0.25">
      <c r="A268" t="s">
        <v>736</v>
      </c>
      <c r="B268" t="s">
        <v>170</v>
      </c>
      <c r="C268" t="s">
        <v>706</v>
      </c>
      <c r="D268" s="14">
        <v>6735.2</v>
      </c>
      <c r="E268" t="s">
        <v>371</v>
      </c>
      <c r="F268" t="s">
        <v>139</v>
      </c>
      <c r="G268" t="s">
        <v>24</v>
      </c>
      <c r="H268" t="s">
        <v>696</v>
      </c>
      <c r="I268" t="s">
        <v>267</v>
      </c>
    </row>
    <row r="269" spans="1:10" x14ac:dyDescent="0.25">
      <c r="A269" t="s">
        <v>737</v>
      </c>
      <c r="B269" t="s">
        <v>170</v>
      </c>
      <c r="C269" t="s">
        <v>698</v>
      </c>
      <c r="D269" s="14">
        <v>40101.199999999997</v>
      </c>
      <c r="E269" t="s">
        <v>371</v>
      </c>
      <c r="F269" t="s">
        <v>139</v>
      </c>
      <c r="G269" t="s">
        <v>24</v>
      </c>
      <c r="H269" t="s">
        <v>696</v>
      </c>
      <c r="I269" t="s">
        <v>267</v>
      </c>
    </row>
    <row r="270" spans="1:10" x14ac:dyDescent="0.25">
      <c r="A270" t="s">
        <v>738</v>
      </c>
      <c r="B270" t="s">
        <v>170</v>
      </c>
      <c r="C270" t="s">
        <v>709</v>
      </c>
      <c r="D270" s="14">
        <v>7265</v>
      </c>
      <c r="E270" t="s">
        <v>371</v>
      </c>
      <c r="F270" t="s">
        <v>139</v>
      </c>
      <c r="G270" t="s">
        <v>24</v>
      </c>
      <c r="H270" t="s">
        <v>696</v>
      </c>
      <c r="I270" t="s">
        <v>267</v>
      </c>
    </row>
    <row r="271" spans="1:10" x14ac:dyDescent="0.25">
      <c r="A271" t="s">
        <v>739</v>
      </c>
      <c r="B271" t="s">
        <v>170</v>
      </c>
      <c r="C271" t="s">
        <v>702</v>
      </c>
      <c r="D271" s="14">
        <v>41232.9</v>
      </c>
      <c r="E271" t="s">
        <v>371</v>
      </c>
      <c r="F271" t="s">
        <v>139</v>
      </c>
      <c r="G271" t="s">
        <v>24</v>
      </c>
      <c r="H271" t="s">
        <v>696</v>
      </c>
      <c r="I271" t="s">
        <v>267</v>
      </c>
    </row>
    <row r="272" spans="1:10" x14ac:dyDescent="0.25">
      <c r="A272" t="s">
        <v>740</v>
      </c>
      <c r="B272" t="s">
        <v>174</v>
      </c>
      <c r="C272" t="s">
        <v>691</v>
      </c>
      <c r="D272" s="12">
        <v>46387</v>
      </c>
      <c r="E272" t="s">
        <v>265</v>
      </c>
      <c r="G272" t="s">
        <v>24</v>
      </c>
      <c r="H272" t="s">
        <v>692</v>
      </c>
      <c r="I272" t="s">
        <v>267</v>
      </c>
      <c r="J272" t="s">
        <v>704</v>
      </c>
    </row>
    <row r="273" spans="1:10" x14ac:dyDescent="0.25">
      <c r="A273" t="s">
        <v>741</v>
      </c>
      <c r="B273" t="s">
        <v>174</v>
      </c>
      <c r="C273" t="s">
        <v>706</v>
      </c>
      <c r="D273" s="14">
        <v>2930.2</v>
      </c>
      <c r="E273" t="s">
        <v>371</v>
      </c>
      <c r="F273" t="s">
        <v>139</v>
      </c>
      <c r="G273" t="s">
        <v>24</v>
      </c>
      <c r="H273" t="s">
        <v>696</v>
      </c>
      <c r="I273" t="s">
        <v>267</v>
      </c>
    </row>
    <row r="274" spans="1:10" x14ac:dyDescent="0.25">
      <c r="A274" t="s">
        <v>742</v>
      </c>
      <c r="B274" t="s">
        <v>174</v>
      </c>
      <c r="C274" t="s">
        <v>698</v>
      </c>
      <c r="D274" s="14">
        <v>14453.8</v>
      </c>
      <c r="E274" t="s">
        <v>371</v>
      </c>
      <c r="F274" t="s">
        <v>139</v>
      </c>
      <c r="G274" t="s">
        <v>24</v>
      </c>
      <c r="H274" t="s">
        <v>696</v>
      </c>
      <c r="I274" t="s">
        <v>267</v>
      </c>
    </row>
    <row r="275" spans="1:10" x14ac:dyDescent="0.25">
      <c r="A275" t="s">
        <v>743</v>
      </c>
      <c r="B275" t="s">
        <v>174</v>
      </c>
      <c r="C275" t="s">
        <v>709</v>
      </c>
      <c r="D275" s="14">
        <v>3006.3</v>
      </c>
      <c r="E275" t="s">
        <v>371</v>
      </c>
      <c r="F275" t="s">
        <v>139</v>
      </c>
      <c r="G275" t="s">
        <v>24</v>
      </c>
      <c r="H275" t="s">
        <v>696</v>
      </c>
      <c r="I275" t="s">
        <v>267</v>
      </c>
    </row>
    <row r="276" spans="1:10" x14ac:dyDescent="0.25">
      <c r="A276" t="s">
        <v>744</v>
      </c>
      <c r="B276" t="s">
        <v>174</v>
      </c>
      <c r="C276" t="s">
        <v>702</v>
      </c>
      <c r="D276" s="14">
        <v>14628.6</v>
      </c>
      <c r="E276" t="s">
        <v>371</v>
      </c>
      <c r="F276" t="s">
        <v>139</v>
      </c>
      <c r="G276" t="s">
        <v>24</v>
      </c>
      <c r="H276" t="s">
        <v>696</v>
      </c>
      <c r="I276" t="s">
        <v>267</v>
      </c>
    </row>
    <row r="277" spans="1:10" x14ac:dyDescent="0.25">
      <c r="A277" t="s">
        <v>745</v>
      </c>
      <c r="B277" t="s">
        <v>177</v>
      </c>
      <c r="C277" t="s">
        <v>691</v>
      </c>
      <c r="D277" s="12">
        <v>46387</v>
      </c>
      <c r="E277" t="s">
        <v>265</v>
      </c>
      <c r="G277" t="s">
        <v>24</v>
      </c>
      <c r="H277" t="s">
        <v>692</v>
      </c>
      <c r="I277" t="s">
        <v>267</v>
      </c>
      <c r="J277" t="s">
        <v>704</v>
      </c>
    </row>
    <row r="278" spans="1:10" x14ac:dyDescent="0.25">
      <c r="A278" t="s">
        <v>746</v>
      </c>
      <c r="B278" t="s">
        <v>177</v>
      </c>
      <c r="C278" t="s">
        <v>706</v>
      </c>
      <c r="D278" s="14">
        <v>19050.5</v>
      </c>
      <c r="E278" t="s">
        <v>371</v>
      </c>
      <c r="F278" t="s">
        <v>139</v>
      </c>
      <c r="G278" t="s">
        <v>24</v>
      </c>
      <c r="H278" t="s">
        <v>696</v>
      </c>
      <c r="I278" t="s">
        <v>267</v>
      </c>
    </row>
    <row r="279" spans="1:10" x14ac:dyDescent="0.25">
      <c r="A279" t="s">
        <v>747</v>
      </c>
      <c r="B279" t="s">
        <v>177</v>
      </c>
      <c r="C279" t="s">
        <v>698</v>
      </c>
      <c r="D279" s="14">
        <v>99300.5</v>
      </c>
      <c r="E279" t="s">
        <v>371</v>
      </c>
      <c r="F279" t="s">
        <v>139</v>
      </c>
      <c r="G279" t="s">
        <v>24</v>
      </c>
      <c r="H279" t="s">
        <v>696</v>
      </c>
      <c r="I279" t="s">
        <v>267</v>
      </c>
    </row>
    <row r="280" spans="1:10" x14ac:dyDescent="0.25">
      <c r="A280" t="s">
        <v>748</v>
      </c>
      <c r="B280" t="s">
        <v>177</v>
      </c>
      <c r="C280" t="s">
        <v>709</v>
      </c>
      <c r="D280" s="14">
        <v>19587.099999999999</v>
      </c>
      <c r="E280" t="s">
        <v>371</v>
      </c>
      <c r="F280" t="s">
        <v>139</v>
      </c>
      <c r="G280" t="s">
        <v>24</v>
      </c>
      <c r="H280" t="s">
        <v>696</v>
      </c>
      <c r="I280" t="s">
        <v>267</v>
      </c>
    </row>
    <row r="281" spans="1:10" x14ac:dyDescent="0.25">
      <c r="A281" t="s">
        <v>749</v>
      </c>
      <c r="B281" t="s">
        <v>177</v>
      </c>
      <c r="C281" t="s">
        <v>702</v>
      </c>
      <c r="D281" s="14">
        <v>101773.1</v>
      </c>
      <c r="E281" t="s">
        <v>371</v>
      </c>
      <c r="F281" t="s">
        <v>139</v>
      </c>
      <c r="G281" t="s">
        <v>24</v>
      </c>
      <c r="H281" t="s">
        <v>696</v>
      </c>
      <c r="I281" t="s">
        <v>267</v>
      </c>
    </row>
    <row r="282" spans="1:10" x14ac:dyDescent="0.25">
      <c r="A282" t="s">
        <v>750</v>
      </c>
      <c r="B282" t="s">
        <v>751</v>
      </c>
      <c r="C282" t="s">
        <v>752</v>
      </c>
      <c r="D282" s="12">
        <v>46387</v>
      </c>
      <c r="E282" t="s">
        <v>265</v>
      </c>
      <c r="G282" t="s">
        <v>24</v>
      </c>
      <c r="H282" t="s">
        <v>753</v>
      </c>
      <c r="I282" t="s">
        <v>267</v>
      </c>
    </row>
    <row r="283" spans="1:10" x14ac:dyDescent="0.25">
      <c r="A283" t="s">
        <v>754</v>
      </c>
      <c r="B283" t="s">
        <v>751</v>
      </c>
      <c r="C283" t="s">
        <v>755</v>
      </c>
      <c r="D283" s="15" t="s">
        <v>153</v>
      </c>
      <c r="E283" t="s">
        <v>371</v>
      </c>
      <c r="F283" t="s">
        <v>139</v>
      </c>
      <c r="G283" t="s">
        <v>401</v>
      </c>
      <c r="H283" t="s">
        <v>756</v>
      </c>
      <c r="I283" t="s">
        <v>284</v>
      </c>
      <c r="J283" t="s">
        <v>757</v>
      </c>
    </row>
    <row r="284" spans="1:10" x14ac:dyDescent="0.25">
      <c r="A284" s="3" t="s">
        <v>758</v>
      </c>
      <c r="B284" s="4"/>
      <c r="C284" s="4"/>
      <c r="D284" s="4"/>
      <c r="E284" s="4"/>
      <c r="F284" s="4"/>
      <c r="G284" s="4"/>
      <c r="H284" s="4"/>
      <c r="I284" s="4"/>
      <c r="J284" s="4"/>
    </row>
    <row r="285" spans="1:10" x14ac:dyDescent="0.25">
      <c r="A285" t="s">
        <v>759</v>
      </c>
      <c r="B285" t="s">
        <v>136</v>
      </c>
      <c r="C285" t="s">
        <v>760</v>
      </c>
      <c r="D285" s="15" t="s">
        <v>140</v>
      </c>
      <c r="E285" t="s">
        <v>761</v>
      </c>
      <c r="G285" t="s">
        <v>24</v>
      </c>
      <c r="H285" t="s">
        <v>762</v>
      </c>
      <c r="I285" t="s">
        <v>267</v>
      </c>
    </row>
    <row r="286" spans="1:10" x14ac:dyDescent="0.25">
      <c r="A286" t="s">
        <v>763</v>
      </c>
      <c r="B286" t="s">
        <v>136</v>
      </c>
      <c r="C286" t="s">
        <v>764</v>
      </c>
      <c r="D286" s="14">
        <v>317.10199999999998</v>
      </c>
      <c r="E286" t="s">
        <v>371</v>
      </c>
      <c r="F286" t="s">
        <v>139</v>
      </c>
      <c r="G286" t="s">
        <v>24</v>
      </c>
      <c r="H286" t="s">
        <v>765</v>
      </c>
      <c r="I286" t="s">
        <v>308</v>
      </c>
    </row>
    <row r="287" spans="1:10" x14ac:dyDescent="0.25">
      <c r="A287" t="s">
        <v>766</v>
      </c>
      <c r="B287" t="s">
        <v>136</v>
      </c>
      <c r="C287" t="s">
        <v>767</v>
      </c>
      <c r="D287" s="14">
        <v>74.183000000000007</v>
      </c>
      <c r="E287" t="s">
        <v>371</v>
      </c>
      <c r="F287" t="s">
        <v>139</v>
      </c>
      <c r="G287" t="s">
        <v>24</v>
      </c>
      <c r="H287" t="s">
        <v>768</v>
      </c>
      <c r="I287" t="s">
        <v>390</v>
      </c>
    </row>
    <row r="288" spans="1:10" x14ac:dyDescent="0.25">
      <c r="A288" t="s">
        <v>769</v>
      </c>
      <c r="B288" t="s">
        <v>136</v>
      </c>
      <c r="C288" t="s">
        <v>770</v>
      </c>
      <c r="D288" s="14">
        <v>91.968999999999994</v>
      </c>
      <c r="E288" t="s">
        <v>371</v>
      </c>
      <c r="F288" t="s">
        <v>139</v>
      </c>
      <c r="G288" t="s">
        <v>24</v>
      </c>
      <c r="H288" t="s">
        <v>771</v>
      </c>
      <c r="I288" t="s">
        <v>393</v>
      </c>
    </row>
    <row r="289" spans="1:10" x14ac:dyDescent="0.25">
      <c r="A289" t="s">
        <v>772</v>
      </c>
      <c r="B289" t="s">
        <v>136</v>
      </c>
      <c r="C289" t="s">
        <v>773</v>
      </c>
      <c r="D289" s="14">
        <v>91.808999999999997</v>
      </c>
      <c r="E289" t="s">
        <v>371</v>
      </c>
      <c r="F289" t="s">
        <v>139</v>
      </c>
      <c r="G289" t="s">
        <v>24</v>
      </c>
      <c r="H289" t="s">
        <v>774</v>
      </c>
      <c r="I289" t="s">
        <v>267</v>
      </c>
      <c r="J289" t="s">
        <v>775</v>
      </c>
    </row>
    <row r="290" spans="1:10" x14ac:dyDescent="0.25">
      <c r="A290" t="s">
        <v>776</v>
      </c>
      <c r="B290" t="s">
        <v>161</v>
      </c>
      <c r="C290" t="s">
        <v>760</v>
      </c>
      <c r="D290" s="15" t="s">
        <v>140</v>
      </c>
      <c r="E290" t="s">
        <v>761</v>
      </c>
      <c r="G290" t="s">
        <v>24</v>
      </c>
      <c r="H290" t="s">
        <v>777</v>
      </c>
      <c r="I290" t="s">
        <v>267</v>
      </c>
    </row>
    <row r="291" spans="1:10" x14ac:dyDescent="0.25">
      <c r="A291" t="s">
        <v>778</v>
      </c>
      <c r="B291" t="s">
        <v>161</v>
      </c>
      <c r="C291" t="s">
        <v>764</v>
      </c>
      <c r="D291" s="14">
        <v>192.8</v>
      </c>
      <c r="E291" t="s">
        <v>371</v>
      </c>
      <c r="F291" t="s">
        <v>139</v>
      </c>
      <c r="G291" t="s">
        <v>24</v>
      </c>
      <c r="H291" t="s">
        <v>765</v>
      </c>
      <c r="I291" t="s">
        <v>308</v>
      </c>
    </row>
    <row r="292" spans="1:10" x14ac:dyDescent="0.25">
      <c r="A292" t="s">
        <v>779</v>
      </c>
      <c r="B292" t="s">
        <v>161</v>
      </c>
      <c r="C292" t="s">
        <v>767</v>
      </c>
      <c r="D292" s="14">
        <v>49.7</v>
      </c>
      <c r="E292" t="s">
        <v>371</v>
      </c>
      <c r="F292" t="s">
        <v>139</v>
      </c>
      <c r="G292" t="s">
        <v>24</v>
      </c>
      <c r="H292" t="s">
        <v>768</v>
      </c>
      <c r="I292" t="s">
        <v>390</v>
      </c>
    </row>
    <row r="293" spans="1:10" x14ac:dyDescent="0.25">
      <c r="A293" t="s">
        <v>780</v>
      </c>
      <c r="B293" t="s">
        <v>161</v>
      </c>
      <c r="C293" t="s">
        <v>770</v>
      </c>
      <c r="D293" s="14">
        <v>46.2</v>
      </c>
      <c r="E293" t="s">
        <v>371</v>
      </c>
      <c r="F293" t="s">
        <v>139</v>
      </c>
      <c r="G293" t="s">
        <v>24</v>
      </c>
      <c r="H293" t="s">
        <v>771</v>
      </c>
      <c r="I293" t="s">
        <v>393</v>
      </c>
    </row>
    <row r="294" spans="1:10" x14ac:dyDescent="0.25">
      <c r="A294" t="s">
        <v>781</v>
      </c>
      <c r="B294" t="s">
        <v>161</v>
      </c>
      <c r="C294" t="s">
        <v>773</v>
      </c>
      <c r="D294" s="14">
        <v>46.9</v>
      </c>
      <c r="E294" t="s">
        <v>371</v>
      </c>
      <c r="F294" t="s">
        <v>139</v>
      </c>
      <c r="G294" t="s">
        <v>24</v>
      </c>
      <c r="H294" t="s">
        <v>774</v>
      </c>
      <c r="I294" t="s">
        <v>267</v>
      </c>
      <c r="J294" t="s">
        <v>775</v>
      </c>
    </row>
    <row r="295" spans="1:10" x14ac:dyDescent="0.25">
      <c r="A295" t="s">
        <v>782</v>
      </c>
      <c r="B295" t="s">
        <v>166</v>
      </c>
      <c r="C295" t="s">
        <v>760</v>
      </c>
      <c r="D295" s="15" t="s">
        <v>140</v>
      </c>
      <c r="E295" t="s">
        <v>761</v>
      </c>
      <c r="G295" t="s">
        <v>24</v>
      </c>
      <c r="H295" t="s">
        <v>783</v>
      </c>
      <c r="I295" t="s">
        <v>267</v>
      </c>
    </row>
    <row r="296" spans="1:10" x14ac:dyDescent="0.25">
      <c r="A296" t="s">
        <v>784</v>
      </c>
      <c r="B296" t="s">
        <v>166</v>
      </c>
      <c r="C296" t="s">
        <v>764</v>
      </c>
      <c r="D296" s="14">
        <v>313</v>
      </c>
      <c r="E296" t="s">
        <v>371</v>
      </c>
      <c r="F296" t="s">
        <v>139</v>
      </c>
      <c r="G296" t="s">
        <v>24</v>
      </c>
      <c r="H296" t="s">
        <v>765</v>
      </c>
      <c r="I296" t="s">
        <v>308</v>
      </c>
    </row>
    <row r="297" spans="1:10" x14ac:dyDescent="0.25">
      <c r="A297" t="s">
        <v>785</v>
      </c>
      <c r="B297" t="s">
        <v>166</v>
      </c>
      <c r="C297" t="s">
        <v>767</v>
      </c>
      <c r="D297" s="14">
        <v>101</v>
      </c>
      <c r="E297" t="s">
        <v>371</v>
      </c>
      <c r="F297" t="s">
        <v>139</v>
      </c>
      <c r="G297" t="s">
        <v>24</v>
      </c>
      <c r="H297" t="s">
        <v>768</v>
      </c>
      <c r="I297" t="s">
        <v>390</v>
      </c>
    </row>
    <row r="298" spans="1:10" x14ac:dyDescent="0.25">
      <c r="A298" t="s">
        <v>786</v>
      </c>
      <c r="B298" t="s">
        <v>166</v>
      </c>
      <c r="C298" t="s">
        <v>770</v>
      </c>
      <c r="D298" s="14">
        <v>115</v>
      </c>
      <c r="E298" t="s">
        <v>371</v>
      </c>
      <c r="F298" t="s">
        <v>139</v>
      </c>
      <c r="G298" t="s">
        <v>24</v>
      </c>
      <c r="H298" t="s">
        <v>771</v>
      </c>
      <c r="I298" t="s">
        <v>393</v>
      </c>
    </row>
    <row r="299" spans="1:10" x14ac:dyDescent="0.25">
      <c r="A299" t="s">
        <v>787</v>
      </c>
      <c r="B299" t="s">
        <v>166</v>
      </c>
      <c r="C299" t="s">
        <v>773</v>
      </c>
      <c r="D299" s="14">
        <v>114</v>
      </c>
      <c r="E299" t="s">
        <v>371</v>
      </c>
      <c r="F299" t="s">
        <v>139</v>
      </c>
      <c r="G299" t="s">
        <v>24</v>
      </c>
      <c r="H299" t="s">
        <v>774</v>
      </c>
      <c r="I299" t="s">
        <v>267</v>
      </c>
      <c r="J299" t="s">
        <v>775</v>
      </c>
    </row>
    <row r="300" spans="1:10" x14ac:dyDescent="0.25">
      <c r="A300" t="s">
        <v>788</v>
      </c>
      <c r="B300" t="s">
        <v>170</v>
      </c>
      <c r="C300" t="s">
        <v>760</v>
      </c>
      <c r="D300" s="15" t="s">
        <v>140</v>
      </c>
      <c r="E300" t="s">
        <v>761</v>
      </c>
      <c r="G300" t="s">
        <v>24</v>
      </c>
      <c r="H300" t="s">
        <v>789</v>
      </c>
      <c r="I300" t="s">
        <v>267</v>
      </c>
    </row>
    <row r="301" spans="1:10" x14ac:dyDescent="0.25">
      <c r="A301" t="s">
        <v>790</v>
      </c>
      <c r="B301" t="s">
        <v>170</v>
      </c>
      <c r="C301" t="s">
        <v>764</v>
      </c>
      <c r="D301" s="14">
        <v>609</v>
      </c>
      <c r="E301" t="s">
        <v>371</v>
      </c>
      <c r="F301" t="s">
        <v>139</v>
      </c>
      <c r="G301" t="s">
        <v>24</v>
      </c>
      <c r="H301" t="s">
        <v>765</v>
      </c>
      <c r="I301" t="s">
        <v>308</v>
      </c>
      <c r="J301" t="s">
        <v>791</v>
      </c>
    </row>
    <row r="302" spans="1:10" x14ac:dyDescent="0.25">
      <c r="A302" t="s">
        <v>792</v>
      </c>
      <c r="B302" t="s">
        <v>170</v>
      </c>
      <c r="C302" t="s">
        <v>767</v>
      </c>
      <c r="D302" s="14">
        <v>234</v>
      </c>
      <c r="E302" t="s">
        <v>371</v>
      </c>
      <c r="F302" t="s">
        <v>139</v>
      </c>
      <c r="G302" t="s">
        <v>24</v>
      </c>
      <c r="H302" t="s">
        <v>768</v>
      </c>
      <c r="I302" t="s">
        <v>390</v>
      </c>
    </row>
    <row r="303" spans="1:10" x14ac:dyDescent="0.25">
      <c r="A303" t="s">
        <v>793</v>
      </c>
      <c r="B303" t="s">
        <v>170</v>
      </c>
      <c r="C303" t="s">
        <v>770</v>
      </c>
      <c r="D303" s="14">
        <v>246</v>
      </c>
      <c r="E303" t="s">
        <v>371</v>
      </c>
      <c r="F303" t="s">
        <v>139</v>
      </c>
      <c r="G303" t="s">
        <v>24</v>
      </c>
      <c r="H303" t="s">
        <v>771</v>
      </c>
      <c r="I303" t="s">
        <v>393</v>
      </c>
    </row>
    <row r="304" spans="1:10" x14ac:dyDescent="0.25">
      <c r="A304" t="s">
        <v>794</v>
      </c>
      <c r="B304" t="s">
        <v>170</v>
      </c>
      <c r="C304" t="s">
        <v>773</v>
      </c>
      <c r="D304" s="14">
        <v>246</v>
      </c>
      <c r="E304" t="s">
        <v>371</v>
      </c>
      <c r="F304" t="s">
        <v>139</v>
      </c>
      <c r="G304" t="s">
        <v>795</v>
      </c>
      <c r="H304" t="s">
        <v>774</v>
      </c>
      <c r="I304" t="s">
        <v>267</v>
      </c>
      <c r="J304" t="s">
        <v>775</v>
      </c>
    </row>
    <row r="305" spans="1:10" x14ac:dyDescent="0.25">
      <c r="A305" t="s">
        <v>796</v>
      </c>
      <c r="B305" t="s">
        <v>177</v>
      </c>
      <c r="C305" t="s">
        <v>760</v>
      </c>
      <c r="D305" s="15" t="s">
        <v>146</v>
      </c>
      <c r="E305" t="s">
        <v>761</v>
      </c>
      <c r="G305" t="s">
        <v>24</v>
      </c>
      <c r="H305" t="s">
        <v>797</v>
      </c>
      <c r="I305" t="s">
        <v>267</v>
      </c>
    </row>
    <row r="306" spans="1:10" x14ac:dyDescent="0.25">
      <c r="A306" t="s">
        <v>798</v>
      </c>
      <c r="B306" t="s">
        <v>177</v>
      </c>
      <c r="C306" t="s">
        <v>764</v>
      </c>
      <c r="D306" s="14">
        <v>3846</v>
      </c>
      <c r="E306" t="s">
        <v>371</v>
      </c>
      <c r="F306" t="s">
        <v>139</v>
      </c>
      <c r="G306" t="s">
        <v>24</v>
      </c>
      <c r="H306" t="s">
        <v>765</v>
      </c>
      <c r="I306" t="s">
        <v>799</v>
      </c>
      <c r="J306" t="s">
        <v>800</v>
      </c>
    </row>
    <row r="307" spans="1:10" x14ac:dyDescent="0.25">
      <c r="A307" t="s">
        <v>801</v>
      </c>
      <c r="B307" t="s">
        <v>177</v>
      </c>
      <c r="C307" t="s">
        <v>767</v>
      </c>
      <c r="D307" s="14">
        <v>788</v>
      </c>
      <c r="E307" t="s">
        <v>371</v>
      </c>
      <c r="F307" t="s">
        <v>139</v>
      </c>
      <c r="G307" t="s">
        <v>24</v>
      </c>
      <c r="H307" t="s">
        <v>768</v>
      </c>
      <c r="I307" t="s">
        <v>390</v>
      </c>
    </row>
    <row r="308" spans="1:10" x14ac:dyDescent="0.25">
      <c r="A308" t="s">
        <v>802</v>
      </c>
      <c r="B308" t="s">
        <v>177</v>
      </c>
      <c r="C308" t="s">
        <v>770</v>
      </c>
      <c r="D308" s="14">
        <v>880</v>
      </c>
      <c r="E308" t="s">
        <v>371</v>
      </c>
      <c r="F308" t="s">
        <v>139</v>
      </c>
      <c r="G308" t="s">
        <v>24</v>
      </c>
      <c r="H308" t="s">
        <v>771</v>
      </c>
      <c r="I308" t="s">
        <v>393</v>
      </c>
    </row>
    <row r="309" spans="1:10" x14ac:dyDescent="0.25">
      <c r="A309" t="s">
        <v>803</v>
      </c>
      <c r="B309" t="s">
        <v>177</v>
      </c>
      <c r="C309" t="s">
        <v>773</v>
      </c>
      <c r="D309" s="14">
        <v>880</v>
      </c>
      <c r="E309" t="s">
        <v>371</v>
      </c>
      <c r="F309" t="s">
        <v>139</v>
      </c>
      <c r="G309" t="s">
        <v>795</v>
      </c>
      <c r="H309" t="s">
        <v>774</v>
      </c>
      <c r="I309" t="s">
        <v>267</v>
      </c>
      <c r="J309" t="s">
        <v>775</v>
      </c>
    </row>
    <row r="310" spans="1:10" x14ac:dyDescent="0.25">
      <c r="A310" s="3" t="s">
        <v>804</v>
      </c>
      <c r="B310" s="4"/>
      <c r="C310" s="4"/>
      <c r="D310" s="4"/>
      <c r="E310" s="4"/>
      <c r="F310" s="4"/>
      <c r="G310" s="4"/>
      <c r="H310" s="4"/>
      <c r="I310" s="4"/>
      <c r="J310" s="4"/>
    </row>
    <row r="311" spans="1:10" x14ac:dyDescent="0.25">
      <c r="A311" t="s">
        <v>805</v>
      </c>
      <c r="B311" t="s">
        <v>144</v>
      </c>
      <c r="C311" t="s">
        <v>806</v>
      </c>
      <c r="D311" s="15" t="s">
        <v>140</v>
      </c>
      <c r="E311" t="s">
        <v>761</v>
      </c>
      <c r="G311" t="s">
        <v>24</v>
      </c>
      <c r="H311" t="s">
        <v>807</v>
      </c>
      <c r="I311" t="s">
        <v>308</v>
      </c>
    </row>
    <row r="312" spans="1:10" x14ac:dyDescent="0.25">
      <c r="A312" t="s">
        <v>808</v>
      </c>
      <c r="B312" t="s">
        <v>144</v>
      </c>
      <c r="C312" t="s">
        <v>809</v>
      </c>
      <c r="D312" s="14">
        <v>413.2</v>
      </c>
      <c r="E312" t="s">
        <v>371</v>
      </c>
      <c r="F312" t="s">
        <v>139</v>
      </c>
      <c r="G312" t="s">
        <v>24</v>
      </c>
      <c r="H312" t="s">
        <v>810</v>
      </c>
      <c r="I312" t="s">
        <v>308</v>
      </c>
    </row>
    <row r="313" spans="1:10" x14ac:dyDescent="0.25">
      <c r="A313" t="s">
        <v>811</v>
      </c>
      <c r="B313" t="s">
        <v>144</v>
      </c>
      <c r="C313" t="s">
        <v>812</v>
      </c>
      <c r="D313" s="14">
        <v>0</v>
      </c>
      <c r="E313" t="s">
        <v>371</v>
      </c>
      <c r="F313" t="s">
        <v>139</v>
      </c>
      <c r="G313" t="s">
        <v>24</v>
      </c>
      <c r="H313" t="s">
        <v>813</v>
      </c>
      <c r="I313" t="s">
        <v>308</v>
      </c>
      <c r="J313" t="s">
        <v>814</v>
      </c>
    </row>
    <row r="314" spans="1:10" x14ac:dyDescent="0.25">
      <c r="A314" t="s">
        <v>815</v>
      </c>
      <c r="B314" t="s">
        <v>144</v>
      </c>
      <c r="C314" t="s">
        <v>816</v>
      </c>
      <c r="D314" s="15" t="s">
        <v>140</v>
      </c>
      <c r="E314" t="s">
        <v>761</v>
      </c>
      <c r="G314" t="s">
        <v>22</v>
      </c>
      <c r="H314" t="s">
        <v>817</v>
      </c>
      <c r="I314" t="s">
        <v>284</v>
      </c>
      <c r="J314" t="s">
        <v>818</v>
      </c>
    </row>
    <row r="315" spans="1:10" x14ac:dyDescent="0.25">
      <c r="A315" t="s">
        <v>819</v>
      </c>
      <c r="B315" t="s">
        <v>156</v>
      </c>
      <c r="C315" t="s">
        <v>806</v>
      </c>
      <c r="D315" s="15" t="s">
        <v>153</v>
      </c>
      <c r="E315" t="s">
        <v>761</v>
      </c>
      <c r="G315" t="s">
        <v>401</v>
      </c>
      <c r="H315" t="s">
        <v>820</v>
      </c>
      <c r="I315" t="s">
        <v>308</v>
      </c>
    </row>
    <row r="316" spans="1:10" x14ac:dyDescent="0.25">
      <c r="A316" t="s">
        <v>821</v>
      </c>
      <c r="B316" t="s">
        <v>156</v>
      </c>
      <c r="C316" t="s">
        <v>809</v>
      </c>
      <c r="D316" s="15" t="s">
        <v>153</v>
      </c>
      <c r="E316" t="s">
        <v>371</v>
      </c>
      <c r="F316" t="s">
        <v>139</v>
      </c>
      <c r="G316" t="s">
        <v>401</v>
      </c>
      <c r="H316" t="s">
        <v>463</v>
      </c>
      <c r="I316" t="s">
        <v>308</v>
      </c>
    </row>
    <row r="317" spans="1:10" x14ac:dyDescent="0.25">
      <c r="A317" t="s">
        <v>822</v>
      </c>
      <c r="B317" t="s">
        <v>156</v>
      </c>
      <c r="C317" t="s">
        <v>812</v>
      </c>
      <c r="D317" s="15" t="s">
        <v>153</v>
      </c>
      <c r="E317" t="s">
        <v>371</v>
      </c>
      <c r="F317" t="s">
        <v>139</v>
      </c>
      <c r="G317" t="s">
        <v>401</v>
      </c>
      <c r="H317" t="s">
        <v>463</v>
      </c>
      <c r="I317" t="s">
        <v>308</v>
      </c>
      <c r="J317" t="s">
        <v>814</v>
      </c>
    </row>
    <row r="318" spans="1:10" x14ac:dyDescent="0.25">
      <c r="A318" t="s">
        <v>823</v>
      </c>
      <c r="B318" t="s">
        <v>156</v>
      </c>
      <c r="C318" t="s">
        <v>816</v>
      </c>
      <c r="D318" s="15" t="s">
        <v>146</v>
      </c>
      <c r="E318" t="s">
        <v>761</v>
      </c>
      <c r="G318" t="s">
        <v>22</v>
      </c>
      <c r="H318" t="s">
        <v>817</v>
      </c>
      <c r="I318" t="s">
        <v>284</v>
      </c>
      <c r="J318" t="s">
        <v>824</v>
      </c>
    </row>
    <row r="319" spans="1:10" x14ac:dyDescent="0.25">
      <c r="A319" t="s">
        <v>825</v>
      </c>
      <c r="B319" t="s">
        <v>174</v>
      </c>
      <c r="C319" t="s">
        <v>806</v>
      </c>
      <c r="D319" s="15" t="s">
        <v>153</v>
      </c>
      <c r="E319" t="s">
        <v>761</v>
      </c>
      <c r="G319" t="s">
        <v>401</v>
      </c>
      <c r="H319" t="s">
        <v>820</v>
      </c>
      <c r="I319" t="s">
        <v>308</v>
      </c>
    </row>
    <row r="320" spans="1:10" x14ac:dyDescent="0.25">
      <c r="A320" t="s">
        <v>826</v>
      </c>
      <c r="B320" t="s">
        <v>174</v>
      </c>
      <c r="C320" t="s">
        <v>809</v>
      </c>
      <c r="D320" s="15" t="s">
        <v>153</v>
      </c>
      <c r="E320" t="s">
        <v>371</v>
      </c>
      <c r="F320" t="s">
        <v>139</v>
      </c>
      <c r="G320" t="s">
        <v>401</v>
      </c>
      <c r="H320" t="s">
        <v>463</v>
      </c>
      <c r="I320" t="s">
        <v>308</v>
      </c>
    </row>
    <row r="321" spans="1:10" x14ac:dyDescent="0.25">
      <c r="A321" t="s">
        <v>827</v>
      </c>
      <c r="B321" t="s">
        <v>174</v>
      </c>
      <c r="C321" t="s">
        <v>812</v>
      </c>
      <c r="D321" s="15" t="s">
        <v>153</v>
      </c>
      <c r="E321" t="s">
        <v>371</v>
      </c>
      <c r="F321" t="s">
        <v>139</v>
      </c>
      <c r="G321" t="s">
        <v>401</v>
      </c>
      <c r="H321" t="s">
        <v>463</v>
      </c>
      <c r="I321" t="s">
        <v>308</v>
      </c>
      <c r="J321" t="s">
        <v>814</v>
      </c>
    </row>
    <row r="322" spans="1:10" x14ac:dyDescent="0.25">
      <c r="A322" t="s">
        <v>828</v>
      </c>
      <c r="B322" t="s">
        <v>174</v>
      </c>
      <c r="C322" t="s">
        <v>816</v>
      </c>
      <c r="D322" s="15" t="s">
        <v>146</v>
      </c>
      <c r="E322" t="s">
        <v>761</v>
      </c>
      <c r="G322" t="s">
        <v>22</v>
      </c>
      <c r="H322" t="s">
        <v>817</v>
      </c>
      <c r="I322" t="s">
        <v>284</v>
      </c>
      <c r="J322" t="s">
        <v>829</v>
      </c>
    </row>
    <row r="323" spans="1:10" x14ac:dyDescent="0.25">
      <c r="A323" t="s">
        <v>830</v>
      </c>
      <c r="B323" t="s">
        <v>150</v>
      </c>
      <c r="C323" t="s">
        <v>806</v>
      </c>
      <c r="D323" s="15" t="s">
        <v>153</v>
      </c>
      <c r="E323" t="s">
        <v>761</v>
      </c>
      <c r="G323" t="s">
        <v>401</v>
      </c>
      <c r="H323" t="s">
        <v>831</v>
      </c>
      <c r="I323" t="s">
        <v>308</v>
      </c>
    </row>
    <row r="324" spans="1:10" x14ac:dyDescent="0.25">
      <c r="A324" t="s">
        <v>832</v>
      </c>
      <c r="B324" t="s">
        <v>150</v>
      </c>
      <c r="C324" t="s">
        <v>809</v>
      </c>
      <c r="D324" s="15" t="s">
        <v>153</v>
      </c>
      <c r="E324" t="s">
        <v>371</v>
      </c>
      <c r="F324" t="s">
        <v>139</v>
      </c>
      <c r="G324" t="s">
        <v>401</v>
      </c>
      <c r="H324" t="s">
        <v>463</v>
      </c>
      <c r="I324" t="s">
        <v>308</v>
      </c>
    </row>
    <row r="325" spans="1:10" x14ac:dyDescent="0.25">
      <c r="A325" t="s">
        <v>833</v>
      </c>
      <c r="B325" t="s">
        <v>150</v>
      </c>
      <c r="C325" t="s">
        <v>812</v>
      </c>
      <c r="D325" s="15" t="s">
        <v>153</v>
      </c>
      <c r="E325" t="s">
        <v>371</v>
      </c>
      <c r="F325" t="s">
        <v>139</v>
      </c>
      <c r="G325" t="s">
        <v>401</v>
      </c>
      <c r="H325" t="s">
        <v>463</v>
      </c>
      <c r="I325" t="s">
        <v>308</v>
      </c>
      <c r="J325" t="s">
        <v>814</v>
      </c>
    </row>
    <row r="326" spans="1:10" x14ac:dyDescent="0.25">
      <c r="A326" t="s">
        <v>834</v>
      </c>
      <c r="B326" t="s">
        <v>150</v>
      </c>
      <c r="C326" t="s">
        <v>816</v>
      </c>
      <c r="D326" s="15" t="s">
        <v>146</v>
      </c>
      <c r="E326" t="s">
        <v>761</v>
      </c>
      <c r="G326" t="s">
        <v>22</v>
      </c>
      <c r="H326" t="s">
        <v>817</v>
      </c>
      <c r="I326" t="s">
        <v>284</v>
      </c>
      <c r="J326" t="s">
        <v>835</v>
      </c>
    </row>
    <row r="327" spans="1:10" x14ac:dyDescent="0.25">
      <c r="A327" t="s">
        <v>836</v>
      </c>
      <c r="B327" t="s">
        <v>287</v>
      </c>
      <c r="C327" t="s">
        <v>752</v>
      </c>
      <c r="D327" s="12">
        <v>46387</v>
      </c>
      <c r="E327" t="s">
        <v>265</v>
      </c>
      <c r="G327" t="s">
        <v>24</v>
      </c>
      <c r="H327" t="s">
        <v>837</v>
      </c>
      <c r="I327" t="s">
        <v>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/>
  </sheetViews>
  <sheetFormatPr defaultRowHeight="15" x14ac:dyDescent="0.25"/>
  <cols>
    <col min="1" max="1" width="70" customWidth="1"/>
    <col min="2" max="7" width="18" customWidth="1"/>
    <col min="8" max="8" width="80" customWidth="1"/>
  </cols>
  <sheetData>
    <row r="1" spans="1:7" ht="15.75" x14ac:dyDescent="0.25">
      <c r="A1" s="1" t="s">
        <v>838</v>
      </c>
    </row>
    <row r="3" spans="1:7" x14ac:dyDescent="0.25">
      <c r="A3" s="10" t="s">
        <v>839</v>
      </c>
    </row>
    <row r="4" spans="1:7" ht="30" x14ac:dyDescent="0.25">
      <c r="A4" s="11" t="s">
        <v>108</v>
      </c>
      <c r="B4" s="11" t="s">
        <v>840</v>
      </c>
      <c r="C4" s="11" t="s">
        <v>841</v>
      </c>
      <c r="D4" s="11" t="s">
        <v>842</v>
      </c>
      <c r="E4" s="11" t="s">
        <v>843</v>
      </c>
      <c r="F4" s="11" t="s">
        <v>844</v>
      </c>
      <c r="G4" s="11" t="s">
        <v>845</v>
      </c>
    </row>
    <row r="5" spans="1:7" x14ac:dyDescent="0.25">
      <c r="A5" t="s">
        <v>136</v>
      </c>
      <c r="B5">
        <f>Inputs_Sources!$D$39</f>
        <v>3250.7</v>
      </c>
      <c r="C5">
        <f>PeerAnalysis!O12</f>
        <v>3246.2359999999999</v>
      </c>
      <c r="D5">
        <f t="shared" ref="D5:D10" si="0">C5-B5</f>
        <v>-4.4639999999999418</v>
      </c>
      <c r="E5" s="16">
        <f t="shared" ref="E5:E10" si="1">IFERROR(D5/B5,"n/a")</f>
        <v>-1.3732426861906488E-3</v>
      </c>
      <c r="F5" t="str">
        <f t="shared" ref="F5:F10" si="2">IF(ABS(E5)&gt;0.005,"FLAG","ok")</f>
        <v>ok</v>
      </c>
      <c r="G5" t="s">
        <v>846</v>
      </c>
    </row>
    <row r="6" spans="1:7" x14ac:dyDescent="0.25">
      <c r="A6" t="s">
        <v>161</v>
      </c>
      <c r="B6">
        <f>Inputs_Sources!$D$107</f>
        <v>20509.5</v>
      </c>
      <c r="C6">
        <f>PeerAnalysis!O16</f>
        <v>20509.5</v>
      </c>
      <c r="D6">
        <f t="shared" si="0"/>
        <v>0</v>
      </c>
      <c r="E6" s="16">
        <f t="shared" si="1"/>
        <v>0</v>
      </c>
      <c r="F6" t="str">
        <f t="shared" si="2"/>
        <v>ok</v>
      </c>
      <c r="G6" t="s">
        <v>847</v>
      </c>
    </row>
    <row r="7" spans="1:7" x14ac:dyDescent="0.25">
      <c r="A7" t="s">
        <v>166</v>
      </c>
      <c r="B7">
        <f>Inputs_Sources!$D$124</f>
        <v>13287.9</v>
      </c>
      <c r="C7">
        <f>PeerAnalysis!O17</f>
        <v>13287.9</v>
      </c>
      <c r="D7">
        <f t="shared" si="0"/>
        <v>0</v>
      </c>
      <c r="E7" s="16">
        <f t="shared" si="1"/>
        <v>0</v>
      </c>
      <c r="F7" t="str">
        <f t="shared" si="2"/>
        <v>ok</v>
      </c>
      <c r="G7" t="s">
        <v>848</v>
      </c>
    </row>
    <row r="8" spans="1:7" x14ac:dyDescent="0.25">
      <c r="A8" t="s">
        <v>170</v>
      </c>
      <c r="B8">
        <f>Inputs_Sources!$D$141</f>
        <v>101964.8</v>
      </c>
      <c r="C8">
        <f>PeerAnalysis!O18</f>
        <v>101964.8</v>
      </c>
      <c r="D8">
        <f t="shared" si="0"/>
        <v>0</v>
      </c>
      <c r="E8" s="16">
        <f t="shared" si="1"/>
        <v>0</v>
      </c>
      <c r="F8" t="str">
        <f t="shared" si="2"/>
        <v>ok</v>
      </c>
      <c r="G8" t="s">
        <v>849</v>
      </c>
    </row>
    <row r="9" spans="1:7" x14ac:dyDescent="0.25">
      <c r="A9" t="s">
        <v>177</v>
      </c>
      <c r="B9">
        <f>Inputs_Sources!$D$175</f>
        <v>220113.5</v>
      </c>
      <c r="C9">
        <f>PeerAnalysis!O20</f>
        <v>224447.5</v>
      </c>
      <c r="D9">
        <f t="shared" si="0"/>
        <v>4334</v>
      </c>
      <c r="E9" s="16">
        <f t="shared" si="1"/>
        <v>1.9689841831600514E-2</v>
      </c>
      <c r="F9" t="str">
        <f t="shared" si="2"/>
        <v>FLAG</v>
      </c>
      <c r="G9" t="s">
        <v>850</v>
      </c>
    </row>
    <row r="10" spans="1:7" x14ac:dyDescent="0.25">
      <c r="A10" t="s">
        <v>156</v>
      </c>
      <c r="B10">
        <f>Inputs_Sources!$D$90</f>
        <v>2103.3000000000002</v>
      </c>
      <c r="C10">
        <f>PeerAnalysis!O15</f>
        <v>2103.3000000000002</v>
      </c>
      <c r="D10">
        <f t="shared" si="0"/>
        <v>0</v>
      </c>
      <c r="E10" s="16">
        <f t="shared" si="1"/>
        <v>0</v>
      </c>
      <c r="F10" t="str">
        <f t="shared" si="2"/>
        <v>ok</v>
      </c>
      <c r="G10" t="s">
        <v>851</v>
      </c>
    </row>
    <row r="12" spans="1:7" x14ac:dyDescent="0.25">
      <c r="A12" s="10" t="s">
        <v>852</v>
      </c>
    </row>
    <row r="13" spans="1:7" x14ac:dyDescent="0.25">
      <c r="A13" t="s">
        <v>853</v>
      </c>
      <c r="B13">
        <f>IFERROR(PeerAnalysis!D60+PeerAnalysis!E60,"n/a")</f>
        <v>1</v>
      </c>
      <c r="C13" t="str">
        <f t="shared" ref="C13:C22" si="3">IF(ISNUMBER(B13),IF(ABS(B13-1)&lt;0.000001,"ok","FLAG"),"n/a")</f>
        <v>ok</v>
      </c>
    </row>
    <row r="14" spans="1:7" x14ac:dyDescent="0.25">
      <c r="A14" t="s">
        <v>854</v>
      </c>
      <c r="B14">
        <f>IFERROR(PeerAnalysis!D61+PeerAnalysis!E61,"n/a")</f>
        <v>1</v>
      </c>
      <c r="C14" t="str">
        <f t="shared" si="3"/>
        <v>ok</v>
      </c>
    </row>
    <row r="15" spans="1:7" x14ac:dyDescent="0.25">
      <c r="A15" t="s">
        <v>855</v>
      </c>
      <c r="B15">
        <f>IFERROR(PeerAnalysis!D62+PeerAnalysis!E62,"n/a")</f>
        <v>1</v>
      </c>
      <c r="C15" t="str">
        <f t="shared" si="3"/>
        <v>ok</v>
      </c>
    </row>
    <row r="16" spans="1:7" x14ac:dyDescent="0.25">
      <c r="A16" t="s">
        <v>856</v>
      </c>
      <c r="B16">
        <f>IFERROR(PeerAnalysis!D63+PeerAnalysis!E63,"n/a")</f>
        <v>1</v>
      </c>
      <c r="C16" t="str">
        <f t="shared" si="3"/>
        <v>ok</v>
      </c>
    </row>
    <row r="17" spans="1:6" x14ac:dyDescent="0.25">
      <c r="A17" t="s">
        <v>857</v>
      </c>
      <c r="B17">
        <f>IFERROR(PeerAnalysis!D64+PeerAnalysis!E64,"n/a")</f>
        <v>1</v>
      </c>
      <c r="C17" t="str">
        <f t="shared" si="3"/>
        <v>ok</v>
      </c>
    </row>
    <row r="18" spans="1:6" x14ac:dyDescent="0.25">
      <c r="A18" t="s">
        <v>858</v>
      </c>
      <c r="B18">
        <f>IFERROR(PeerAnalysis!D65+PeerAnalysis!E65,"n/a")</f>
        <v>1</v>
      </c>
      <c r="C18" t="str">
        <f t="shared" si="3"/>
        <v>ok</v>
      </c>
    </row>
    <row r="19" spans="1:6" x14ac:dyDescent="0.25">
      <c r="A19" t="s">
        <v>859</v>
      </c>
      <c r="B19">
        <f>IFERROR(PeerAnalysis!D66+PeerAnalysis!E66,"n/a")</f>
        <v>1</v>
      </c>
      <c r="C19" t="str">
        <f t="shared" si="3"/>
        <v>ok</v>
      </c>
    </row>
    <row r="20" spans="1:6" x14ac:dyDescent="0.25">
      <c r="A20" t="s">
        <v>860</v>
      </c>
      <c r="B20">
        <f>IFERROR(PeerAnalysis!D67+PeerAnalysis!E67,"n/a")</f>
        <v>1</v>
      </c>
      <c r="C20" t="str">
        <f t="shared" si="3"/>
        <v>ok</v>
      </c>
    </row>
    <row r="21" spans="1:6" x14ac:dyDescent="0.25">
      <c r="A21" t="s">
        <v>861</v>
      </c>
      <c r="B21">
        <f>IFERROR(PeerAnalysis!D68+PeerAnalysis!E68,"n/a")</f>
        <v>1</v>
      </c>
      <c r="C21" t="str">
        <f t="shared" si="3"/>
        <v>ok</v>
      </c>
    </row>
    <row r="22" spans="1:6" x14ac:dyDescent="0.25">
      <c r="A22" t="s">
        <v>862</v>
      </c>
      <c r="B22">
        <f>IFERROR(PeerAnalysis!D69+PeerAnalysis!E69,"n/a")</f>
        <v>1</v>
      </c>
      <c r="C22" t="str">
        <f t="shared" si="3"/>
        <v>ok</v>
      </c>
    </row>
    <row r="24" spans="1:6" x14ac:dyDescent="0.25">
      <c r="A24" s="10" t="s">
        <v>863</v>
      </c>
    </row>
    <row r="25" spans="1:6" x14ac:dyDescent="0.25">
      <c r="A25" t="s">
        <v>864</v>
      </c>
      <c r="B25">
        <f>Inputs_Sources!$D$25+Inputs_Sources!$D$26+Inputs_Sources!$D$27+Inputs_Sources!$D$28</f>
        <v>60919</v>
      </c>
      <c r="C25" t="str">
        <f>IF(ABS(B25-60919)&lt;0.5,"ok","FLAG")</f>
        <v>ok</v>
      </c>
    </row>
    <row r="27" spans="1:6" x14ac:dyDescent="0.25">
      <c r="A27" s="10" t="s">
        <v>865</v>
      </c>
    </row>
    <row r="28" spans="1:6" x14ac:dyDescent="0.25">
      <c r="A28" s="2" t="s">
        <v>866</v>
      </c>
      <c r="B28" s="2" t="s">
        <v>867</v>
      </c>
      <c r="C28" s="2" t="s">
        <v>868</v>
      </c>
      <c r="D28" s="2" t="s">
        <v>869</v>
      </c>
      <c r="E28" s="2" t="s">
        <v>390</v>
      </c>
      <c r="F28" s="2" t="s">
        <v>393</v>
      </c>
    </row>
    <row r="29" spans="1:6" x14ac:dyDescent="0.25">
      <c r="A29" t="s">
        <v>870</v>
      </c>
      <c r="B29">
        <f>TearSheet!C30-TearSheet!C33-TearSheet!C35</f>
        <v>0</v>
      </c>
      <c r="C29">
        <f>TearSheet!D30-TearSheet!D33-TearSheet!D35</f>
        <v>0</v>
      </c>
      <c r="D29">
        <f>TearSheet!E30-TearSheet!E33-TearSheet!E35</f>
        <v>0</v>
      </c>
      <c r="E29">
        <f>TearSheet!F30-TearSheet!F33-TearSheet!F35</f>
        <v>0</v>
      </c>
      <c r="F29">
        <f>TearSheet!G30-TearSheet!G33-TearSheet!G35</f>
        <v>0</v>
      </c>
    </row>
    <row r="30" spans="1:6" x14ac:dyDescent="0.25">
      <c r="A30" t="s">
        <v>871</v>
      </c>
      <c r="B30">
        <f>TearSheet!C37-(TearSheet!C36-TearSheet!C28)</f>
        <v>0</v>
      </c>
      <c r="C30">
        <f>TearSheet!D37-(TearSheet!D36-TearSheet!D28)</f>
        <v>0</v>
      </c>
      <c r="D30">
        <f>TearSheet!E37-(TearSheet!E36-TearSheet!E28)</f>
        <v>0</v>
      </c>
      <c r="E30">
        <f>TearSheet!F37-(TearSheet!F36-TearSheet!F28)</f>
        <v>0</v>
      </c>
      <c r="F30">
        <f>TearSheet!G37-(TearSheet!G36-TearSheet!G28)</f>
        <v>0</v>
      </c>
    </row>
    <row r="31" spans="1:6" x14ac:dyDescent="0.25">
      <c r="A31" t="s">
        <v>872</v>
      </c>
      <c r="B31">
        <f>TearSheet!C7-338792</f>
        <v>0</v>
      </c>
      <c r="C31">
        <f>TearSheet!D7-398706</f>
        <v>0</v>
      </c>
      <c r="D31">
        <f>TearSheet!E7-399879</f>
        <v>0</v>
      </c>
      <c r="F31">
        <f>TearSheet!G7-426952</f>
        <v>11</v>
      </c>
    </row>
    <row r="32" spans="1:6" x14ac:dyDescent="0.25">
      <c r="A32" t="s">
        <v>873</v>
      </c>
      <c r="B32">
        <f>TearSheet!H19/Inputs_Sources!$D$11-3558.4</f>
        <v>-0.72531500572767982</v>
      </c>
    </row>
    <row r="34" spans="1:2" x14ac:dyDescent="0.25">
      <c r="A34" s="10" t="s">
        <v>874</v>
      </c>
    </row>
    <row r="35" spans="1:2" x14ac:dyDescent="0.25">
      <c r="A35" t="s">
        <v>875</v>
      </c>
      <c r="B35">
        <f>SUMPRODUCT(--ISERROR(PeerAnalysis!A1:T90))</f>
        <v>0</v>
      </c>
    </row>
    <row r="36" spans="1:2" x14ac:dyDescent="0.25">
      <c r="A36" t="s">
        <v>876</v>
      </c>
      <c r="B36">
        <f>SUMPRODUCT(--ISERROR(TearSheet!A1:L80))</f>
        <v>0</v>
      </c>
    </row>
    <row r="37" spans="1:2" x14ac:dyDescent="0.25">
      <c r="A37" t="s">
        <v>877</v>
      </c>
      <c r="B37">
        <f>SUMPRODUCT(--ISERROR(A1:H36))</f>
        <v>0</v>
      </c>
    </row>
    <row r="39" spans="1:2" x14ac:dyDescent="0.25">
      <c r="A39" s="10" t="s">
        <v>878</v>
      </c>
    </row>
    <row r="40" spans="1:2" x14ac:dyDescent="0.25">
      <c r="A40" t="s">
        <v>879</v>
      </c>
    </row>
    <row r="41" spans="1:2" x14ac:dyDescent="0.25">
      <c r="A41" t="s">
        <v>880</v>
      </c>
    </row>
    <row r="42" spans="1:2" x14ac:dyDescent="0.25">
      <c r="A42" t="s">
        <v>881</v>
      </c>
    </row>
    <row r="43" spans="1:2" x14ac:dyDescent="0.25">
      <c r="A43" t="s">
        <v>882</v>
      </c>
    </row>
    <row r="44" spans="1:2" x14ac:dyDescent="0.25">
      <c r="A44" t="s">
        <v>883</v>
      </c>
    </row>
    <row r="45" spans="1:2" x14ac:dyDescent="0.25">
      <c r="A45" t="s">
        <v>884</v>
      </c>
    </row>
    <row r="46" spans="1:2" x14ac:dyDescent="0.25">
      <c r="A46" t="s">
        <v>885</v>
      </c>
    </row>
    <row r="48" spans="1:2" x14ac:dyDescent="0.25">
      <c r="A48" s="10" t="s">
        <v>886</v>
      </c>
    </row>
    <row r="49" spans="1:8" ht="45" x14ac:dyDescent="0.25">
      <c r="A49" s="11" t="s">
        <v>108</v>
      </c>
      <c r="B49" s="11" t="s">
        <v>887</v>
      </c>
      <c r="C49" s="11" t="s">
        <v>888</v>
      </c>
      <c r="D49" s="11" t="s">
        <v>889</v>
      </c>
      <c r="E49" s="11" t="s">
        <v>890</v>
      </c>
      <c r="F49" s="11" t="s">
        <v>891</v>
      </c>
      <c r="G49" s="11" t="s">
        <v>892</v>
      </c>
      <c r="H49" s="11" t="s">
        <v>893</v>
      </c>
    </row>
    <row r="50" spans="1:8" x14ac:dyDescent="0.25">
      <c r="A50" t="s">
        <v>136</v>
      </c>
      <c r="B50">
        <v>2007.8</v>
      </c>
      <c r="C50">
        <v>1686.2</v>
      </c>
      <c r="D50" s="16">
        <f>C50/B50-1</f>
        <v>-0.16017531626656034</v>
      </c>
      <c r="E50">
        <v>2003.3</v>
      </c>
      <c r="F50" s="16">
        <f>E50/B50-1</f>
        <v>-2.2412590895507511E-3</v>
      </c>
      <c r="G50" t="s">
        <v>140</v>
      </c>
      <c r="H50" t="s">
        <v>894</v>
      </c>
    </row>
    <row r="51" spans="1:8" x14ac:dyDescent="0.25">
      <c r="A51" t="s">
        <v>161</v>
      </c>
      <c r="B51">
        <v>6940.2</v>
      </c>
      <c r="C51">
        <v>6737.8</v>
      </c>
      <c r="D51" s="16">
        <f>C51/B51-1</f>
        <v>-2.9163424685167527E-2</v>
      </c>
      <c r="E51">
        <v>6930.6</v>
      </c>
      <c r="F51" s="16">
        <f>E51/B51-1</f>
        <v>-1.383245439612657E-3</v>
      </c>
      <c r="G51" t="s">
        <v>140</v>
      </c>
      <c r="H51" t="s">
        <v>895</v>
      </c>
    </row>
    <row r="52" spans="1:8" x14ac:dyDescent="0.25">
      <c r="A52" t="s">
        <v>166</v>
      </c>
      <c r="B52">
        <v>7450</v>
      </c>
      <c r="C52">
        <v>7137</v>
      </c>
      <c r="D52" s="16">
        <f>C52/B52-1</f>
        <v>-4.2013422818791946E-2</v>
      </c>
      <c r="E52">
        <v>7450</v>
      </c>
      <c r="F52" s="16">
        <f>E52/B52-1</f>
        <v>0</v>
      </c>
      <c r="G52" t="s">
        <v>140</v>
      </c>
      <c r="H52" t="s">
        <v>896</v>
      </c>
    </row>
    <row r="53" spans="1:8" x14ac:dyDescent="0.25">
      <c r="A53" t="s">
        <v>170</v>
      </c>
      <c r="B53">
        <v>22059</v>
      </c>
      <c r="C53">
        <v>21450</v>
      </c>
      <c r="D53" s="16">
        <f>C53/B53-1</f>
        <v>-2.7607779137766908E-2</v>
      </c>
      <c r="E53">
        <v>22059</v>
      </c>
      <c r="F53" s="16">
        <f>E53/B53-1</f>
        <v>0</v>
      </c>
      <c r="G53" t="s">
        <v>140</v>
      </c>
      <c r="H53" t="s">
        <v>897</v>
      </c>
    </row>
    <row r="54" spans="1:8" x14ac:dyDescent="0.25">
      <c r="A54" t="s">
        <v>177</v>
      </c>
      <c r="B54">
        <v>51881</v>
      </c>
      <c r="C54">
        <v>51881</v>
      </c>
      <c r="D54" s="16">
        <f>C54/B54-1</f>
        <v>0</v>
      </c>
      <c r="E54">
        <v>55727</v>
      </c>
      <c r="F54" s="16">
        <f>E54/B54-1</f>
        <v>7.4131184826815133E-2</v>
      </c>
      <c r="G54" t="s">
        <v>146</v>
      </c>
      <c r="H54" t="s">
        <v>898</v>
      </c>
    </row>
    <row r="56" spans="1:8" x14ac:dyDescent="0.25">
      <c r="A56" s="10" t="s">
        <v>899</v>
      </c>
    </row>
    <row r="57" spans="1:8" x14ac:dyDescent="0.25">
      <c r="A57" t="s">
        <v>900</v>
      </c>
    </row>
    <row r="58" spans="1:8" x14ac:dyDescent="0.25">
      <c r="A58" t="s">
        <v>901</v>
      </c>
    </row>
    <row r="59" spans="1:8" x14ac:dyDescent="0.25">
      <c r="A59" t="s">
        <v>902</v>
      </c>
    </row>
    <row r="60" spans="1:8" x14ac:dyDescent="0.25">
      <c r="A60" t="s">
        <v>903</v>
      </c>
    </row>
    <row r="61" spans="1:8" x14ac:dyDescent="0.25">
      <c r="A61" t="s">
        <v>904</v>
      </c>
    </row>
    <row r="62" spans="1:8" x14ac:dyDescent="0.25">
      <c r="A62" t="s">
        <v>905</v>
      </c>
    </row>
    <row r="64" spans="1:8" x14ac:dyDescent="0.25">
      <c r="A64" s="10" t="s">
        <v>906</v>
      </c>
    </row>
    <row r="65" spans="1:1" x14ac:dyDescent="0.25">
      <c r="A65" t="s">
        <v>907</v>
      </c>
    </row>
    <row r="66" spans="1:1" x14ac:dyDescent="0.25">
      <c r="A66" t="s">
        <v>908</v>
      </c>
    </row>
    <row r="67" spans="1:1" x14ac:dyDescent="0.25">
      <c r="A67" t="s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TearSheet</vt:lpstr>
      <vt:lpstr>PeerAnalysis</vt:lpstr>
      <vt:lpstr>Inputs_Sources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2026-10-17T07:51:55Z</dcterms:created>
  <dcterms:modified xsi:type="dcterms:W3CDTF">2026-10-17T07:52:01Z</dcterms:modified>
</cp:coreProperties>
</file>