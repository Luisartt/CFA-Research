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Cfa reserach\valuation\"/>
    </mc:Choice>
  </mc:AlternateContent>
  <xr:revisionPtr revIDLastSave="0" documentId="13_ncr:1_{6D66FD1C-09F9-4CD2-B0FD-5ECD07C8A8DB}" xr6:coauthVersionLast="47" xr6:coauthVersionMax="47" xr10:uidLastSave="{00000000-0000-0000-0000-000000000000}"/>
  <bookViews>
    <workbookView xWindow="-120" yWindow="-120" windowWidth="29040" windowHeight="15720" xr2:uid="{00000000-000D-0000-FFFF-FFFF00000000}"/>
  </bookViews>
  <sheets>
    <sheet name="TearSheet" sheetId="1" r:id="rId1"/>
    <sheet name="PeerAnalysis" sheetId="2" r:id="rId2"/>
    <sheet name="Detail_TearSheet" sheetId="3" r:id="rId3"/>
    <sheet name="Detail_PeerAnalysis" sheetId="4" r:id="rId4"/>
    <sheet name="Inputs_Sources" sheetId="5" r:id="rId5"/>
    <sheet name="Check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4" i="6" l="1"/>
  <c r="D54" i="6"/>
  <c r="F53" i="6"/>
  <c r="D53" i="6"/>
  <c r="F52" i="6"/>
  <c r="D52" i="6"/>
  <c r="F51" i="6"/>
  <c r="D51" i="6"/>
  <c r="F50" i="6"/>
  <c r="D50" i="6"/>
  <c r="B32" i="6"/>
  <c r="F31" i="6"/>
  <c r="D31" i="6"/>
  <c r="C31" i="6"/>
  <c r="B31" i="6"/>
  <c r="F30" i="6"/>
  <c r="E30" i="6"/>
  <c r="D30" i="6"/>
  <c r="C30" i="6"/>
  <c r="B30" i="6"/>
  <c r="F29" i="6"/>
  <c r="E29" i="6"/>
  <c r="D29" i="6"/>
  <c r="C29" i="6"/>
  <c r="B29" i="6"/>
  <c r="B25" i="6"/>
  <c r="C25" i="6" s="1"/>
  <c r="B10" i="6"/>
  <c r="B9" i="6"/>
  <c r="B8" i="6"/>
  <c r="B7" i="6"/>
  <c r="B6" i="6"/>
  <c r="B5" i="6"/>
  <c r="D634" i="5"/>
  <c r="D633" i="5"/>
  <c r="D597" i="5"/>
  <c r="D596" i="5"/>
  <c r="D560" i="5"/>
  <c r="D559" i="5"/>
  <c r="D449" i="5"/>
  <c r="T34" i="2" s="1"/>
  <c r="D448" i="5"/>
  <c r="D412" i="5"/>
  <c r="T33" i="2" s="1"/>
  <c r="D411" i="5"/>
  <c r="D375" i="5"/>
  <c r="T32" i="2" s="1"/>
  <c r="D338" i="5"/>
  <c r="T31" i="2" s="1"/>
  <c r="D337" i="5"/>
  <c r="D324" i="5"/>
  <c r="D320" i="5"/>
  <c r="D316" i="5"/>
  <c r="D235" i="5"/>
  <c r="K15" i="4" s="1"/>
  <c r="D233" i="5"/>
  <c r="J15" i="4" s="1"/>
  <c r="D158" i="5"/>
  <c r="H19" i="4" s="1"/>
  <c r="F20" i="2" s="1"/>
  <c r="D73" i="5"/>
  <c r="H14" i="4" s="1"/>
  <c r="F15" i="2" s="1"/>
  <c r="D56" i="5"/>
  <c r="D11" i="5"/>
  <c r="H11" i="4" s="1"/>
  <c r="B77" i="4"/>
  <c r="B73" i="4"/>
  <c r="J69" i="4"/>
  <c r="I69" i="4"/>
  <c r="G69" i="4"/>
  <c r="F69" i="4"/>
  <c r="B69" i="4"/>
  <c r="C69" i="4" s="1"/>
  <c r="D69" i="4" s="1"/>
  <c r="J68" i="4"/>
  <c r="I68" i="4"/>
  <c r="G68" i="4"/>
  <c r="F68" i="4"/>
  <c r="B68" i="4"/>
  <c r="C68" i="4" s="1"/>
  <c r="D68" i="4" s="1"/>
  <c r="J67" i="4"/>
  <c r="I67" i="4"/>
  <c r="G67" i="4"/>
  <c r="F67" i="4"/>
  <c r="B67" i="4"/>
  <c r="C67" i="4" s="1"/>
  <c r="D67" i="4" s="1"/>
  <c r="J66" i="4"/>
  <c r="I66" i="4"/>
  <c r="G66" i="4"/>
  <c r="F66" i="4"/>
  <c r="B66" i="4"/>
  <c r="C66" i="4" s="1"/>
  <c r="D66" i="4" s="1"/>
  <c r="J65" i="4"/>
  <c r="I65" i="4"/>
  <c r="G65" i="4"/>
  <c r="F65" i="4"/>
  <c r="B65" i="4"/>
  <c r="C65" i="4" s="1"/>
  <c r="D65" i="4" s="1"/>
  <c r="J64" i="4"/>
  <c r="I64" i="4"/>
  <c r="G64" i="4"/>
  <c r="F64" i="4"/>
  <c r="B64" i="4"/>
  <c r="C64" i="4" s="1"/>
  <c r="D64" i="4" s="1"/>
  <c r="J63" i="4"/>
  <c r="I63" i="4"/>
  <c r="G63" i="4"/>
  <c r="F63" i="4"/>
  <c r="B63" i="4"/>
  <c r="C63" i="4" s="1"/>
  <c r="D63" i="4" s="1"/>
  <c r="M62" i="4"/>
  <c r="L62" i="4"/>
  <c r="J62" i="4"/>
  <c r="I62" i="4"/>
  <c r="G62" i="4"/>
  <c r="F62" i="4"/>
  <c r="B62" i="4"/>
  <c r="C62" i="4" s="1"/>
  <c r="D62" i="4" s="1"/>
  <c r="J61" i="4"/>
  <c r="I61" i="4"/>
  <c r="G61" i="4"/>
  <c r="F61" i="4"/>
  <c r="B61" i="4"/>
  <c r="C61" i="4" s="1"/>
  <c r="D61" i="4" s="1"/>
  <c r="M60" i="4"/>
  <c r="L60" i="4"/>
  <c r="J60" i="4"/>
  <c r="I60" i="4"/>
  <c r="G60" i="4"/>
  <c r="F60" i="4"/>
  <c r="B60" i="4"/>
  <c r="C60" i="4" s="1"/>
  <c r="D60" i="4" s="1"/>
  <c r="M48" i="4"/>
  <c r="L48" i="4"/>
  <c r="K48" i="4"/>
  <c r="J48" i="4"/>
  <c r="F48" i="4"/>
  <c r="E48" i="4"/>
  <c r="M47" i="4"/>
  <c r="L47" i="4"/>
  <c r="K47" i="4"/>
  <c r="J47" i="4"/>
  <c r="F47" i="4"/>
  <c r="E47" i="4"/>
  <c r="M46" i="4"/>
  <c r="L46" i="4"/>
  <c r="K46" i="4"/>
  <c r="J46" i="4"/>
  <c r="F46" i="4"/>
  <c r="E46" i="4"/>
  <c r="M45" i="4"/>
  <c r="L45" i="4"/>
  <c r="K45" i="4"/>
  <c r="J45" i="4"/>
  <c r="F45" i="4"/>
  <c r="E45" i="4"/>
  <c r="M44" i="4"/>
  <c r="L44" i="4"/>
  <c r="K44" i="4"/>
  <c r="J44" i="4"/>
  <c r="F44" i="4"/>
  <c r="E44" i="4"/>
  <c r="M43" i="4"/>
  <c r="L43" i="4"/>
  <c r="K43" i="4"/>
  <c r="J43" i="4"/>
  <c r="F43" i="4"/>
  <c r="E43" i="4"/>
  <c r="M42" i="4"/>
  <c r="L42" i="4"/>
  <c r="K42" i="4"/>
  <c r="J42" i="4"/>
  <c r="F42" i="4"/>
  <c r="B88" i="6" s="1"/>
  <c r="D88" i="6" s="1"/>
  <c r="E42" i="4"/>
  <c r="B87" i="6" s="1"/>
  <c r="D87" i="6" s="1"/>
  <c r="K41" i="4"/>
  <c r="J41" i="4"/>
  <c r="M40" i="4"/>
  <c r="L40" i="4"/>
  <c r="K40" i="4"/>
  <c r="J40" i="4"/>
  <c r="F40" i="4"/>
  <c r="E40" i="4"/>
  <c r="N34" i="4"/>
  <c r="M34" i="4"/>
  <c r="O39" i="2" s="1"/>
  <c r="I34" i="4"/>
  <c r="H34" i="4"/>
  <c r="J34" i="4" s="1"/>
  <c r="G34" i="4"/>
  <c r="S39" i="2" s="1"/>
  <c r="F34" i="4"/>
  <c r="R39" i="2" s="1"/>
  <c r="D34" i="4"/>
  <c r="I39" i="2" s="1"/>
  <c r="C34" i="4"/>
  <c r="G39" i="2" s="1"/>
  <c r="B34" i="4"/>
  <c r="F39" i="2" s="1"/>
  <c r="N33" i="4"/>
  <c r="M33" i="4"/>
  <c r="O38" i="2" s="1"/>
  <c r="I33" i="4"/>
  <c r="H33" i="4"/>
  <c r="J33" i="4" s="1"/>
  <c r="G33" i="4"/>
  <c r="S38" i="2" s="1"/>
  <c r="F33" i="4"/>
  <c r="R38" i="2" s="1"/>
  <c r="D33" i="4"/>
  <c r="I38" i="2" s="1"/>
  <c r="C33" i="4"/>
  <c r="G38" i="2" s="1"/>
  <c r="B33" i="4"/>
  <c r="F38" i="2" s="1"/>
  <c r="N32" i="4"/>
  <c r="M32" i="4"/>
  <c r="O37" i="2" s="1"/>
  <c r="I32" i="4"/>
  <c r="H32" i="4"/>
  <c r="G32" i="4"/>
  <c r="S37" i="2" s="1"/>
  <c r="F32" i="4"/>
  <c r="R37" i="2" s="1"/>
  <c r="D32" i="4"/>
  <c r="I37" i="2" s="1"/>
  <c r="C32" i="4"/>
  <c r="G37" i="2" s="1"/>
  <c r="B32" i="4"/>
  <c r="F37" i="2" s="1"/>
  <c r="N31" i="4"/>
  <c r="M31" i="4"/>
  <c r="O36" i="2" s="1"/>
  <c r="I31" i="4"/>
  <c r="H31" i="4"/>
  <c r="G31" i="4"/>
  <c r="F31" i="4"/>
  <c r="R36" i="2" s="1"/>
  <c r="D31" i="4"/>
  <c r="I36" i="2" s="1"/>
  <c r="C31" i="4"/>
  <c r="G36" i="2" s="1"/>
  <c r="B31" i="4"/>
  <c r="F36" i="2" s="1"/>
  <c r="N30" i="4"/>
  <c r="M30" i="4"/>
  <c r="I30" i="4"/>
  <c r="H30" i="4"/>
  <c r="J30" i="4" s="1"/>
  <c r="G30" i="4"/>
  <c r="F30" i="4"/>
  <c r="D30" i="4"/>
  <c r="C30" i="4"/>
  <c r="B30" i="4"/>
  <c r="N29" i="4"/>
  <c r="M29" i="4"/>
  <c r="I29" i="4"/>
  <c r="H29" i="4"/>
  <c r="J29" i="4" s="1"/>
  <c r="G29" i="4"/>
  <c r="F29" i="4"/>
  <c r="D29" i="4"/>
  <c r="I34" i="2" s="1"/>
  <c r="C29" i="4"/>
  <c r="G34" i="2" s="1"/>
  <c r="B29" i="4"/>
  <c r="F34" i="2" s="1"/>
  <c r="N28" i="4"/>
  <c r="M28" i="4"/>
  <c r="H28" i="4"/>
  <c r="J28" i="4" s="1"/>
  <c r="G28" i="4"/>
  <c r="S33" i="2" s="1"/>
  <c r="F28" i="4"/>
  <c r="R33" i="2" s="1"/>
  <c r="D28" i="4"/>
  <c r="C28" i="4"/>
  <c r="B28" i="4"/>
  <c r="N27" i="4"/>
  <c r="M27" i="4"/>
  <c r="I27" i="4"/>
  <c r="H27" i="4"/>
  <c r="J27" i="4" s="1"/>
  <c r="G27" i="4"/>
  <c r="S32" i="2" s="1"/>
  <c r="F27" i="4"/>
  <c r="D27" i="4"/>
  <c r="C27" i="4"/>
  <c r="B27" i="4"/>
  <c r="N26" i="4"/>
  <c r="M26" i="4"/>
  <c r="I26" i="4"/>
  <c r="H26" i="4"/>
  <c r="J26" i="4" s="1"/>
  <c r="G26" i="4"/>
  <c r="F26" i="4"/>
  <c r="D26" i="4"/>
  <c r="C26" i="4"/>
  <c r="B26" i="4"/>
  <c r="Q25" i="4"/>
  <c r="M20" i="4"/>
  <c r="L20" i="4"/>
  <c r="K20" i="4"/>
  <c r="J20" i="4"/>
  <c r="N20" i="4" s="1"/>
  <c r="G20" i="4"/>
  <c r="F20" i="4"/>
  <c r="N19" i="4"/>
  <c r="G19" i="4"/>
  <c r="F19" i="4"/>
  <c r="M18" i="4"/>
  <c r="L18" i="4"/>
  <c r="K18" i="4"/>
  <c r="J18" i="4"/>
  <c r="N18" i="4" s="1"/>
  <c r="G18" i="4"/>
  <c r="F18" i="4"/>
  <c r="M17" i="4"/>
  <c r="L17" i="4"/>
  <c r="K17" i="4"/>
  <c r="J17" i="4"/>
  <c r="N17" i="4" s="1"/>
  <c r="G17" i="4"/>
  <c r="F17" i="4"/>
  <c r="M16" i="4"/>
  <c r="L16" i="4"/>
  <c r="K16" i="4"/>
  <c r="J16" i="4"/>
  <c r="N16" i="4" s="1"/>
  <c r="G16" i="4"/>
  <c r="F16" i="4"/>
  <c r="M15" i="4"/>
  <c r="L15" i="4"/>
  <c r="G15" i="4"/>
  <c r="F15" i="4"/>
  <c r="N14" i="4"/>
  <c r="G14" i="4"/>
  <c r="F14" i="4"/>
  <c r="M13" i="4"/>
  <c r="L13" i="4"/>
  <c r="K13" i="4"/>
  <c r="J13" i="4"/>
  <c r="N13" i="4" s="1"/>
  <c r="G13" i="4"/>
  <c r="F13" i="4"/>
  <c r="M12" i="4"/>
  <c r="L12" i="4"/>
  <c r="K12" i="4"/>
  <c r="J12" i="4"/>
  <c r="N12" i="4" s="1"/>
  <c r="G12" i="4"/>
  <c r="F12" i="4"/>
  <c r="G11" i="4"/>
  <c r="F11" i="4"/>
  <c r="G50" i="3"/>
  <c r="E50" i="3"/>
  <c r="D50" i="3"/>
  <c r="C50" i="3"/>
  <c r="J43" i="3"/>
  <c r="I43" i="3"/>
  <c r="H43" i="3"/>
  <c r="G43" i="3"/>
  <c r="F43" i="3"/>
  <c r="E43" i="3"/>
  <c r="D43" i="3"/>
  <c r="C43" i="3"/>
  <c r="G39" i="3"/>
  <c r="F39" i="3"/>
  <c r="E39" i="3"/>
  <c r="D39" i="3"/>
  <c r="C39" i="3"/>
  <c r="G34" i="3"/>
  <c r="G46" i="1" s="1"/>
  <c r="F34" i="3"/>
  <c r="F46" i="1" s="1"/>
  <c r="E34" i="3"/>
  <c r="E46" i="1" s="1"/>
  <c r="D34" i="3"/>
  <c r="C34" i="3"/>
  <c r="G31" i="3"/>
  <c r="G44" i="1" s="1"/>
  <c r="F31" i="3"/>
  <c r="F44" i="1" s="1"/>
  <c r="E31" i="3"/>
  <c r="E44" i="1" s="1"/>
  <c r="D31" i="3"/>
  <c r="C31" i="3"/>
  <c r="J23" i="3"/>
  <c r="I23" i="3"/>
  <c r="H23" i="3"/>
  <c r="G23" i="3"/>
  <c r="F23" i="3"/>
  <c r="E23" i="3"/>
  <c r="D23" i="3"/>
  <c r="C23" i="3"/>
  <c r="J20" i="3"/>
  <c r="I20" i="3"/>
  <c r="H20" i="3"/>
  <c r="G20" i="3"/>
  <c r="F20" i="3"/>
  <c r="E20" i="3"/>
  <c r="D20" i="3"/>
  <c r="C20" i="3"/>
  <c r="J17" i="3"/>
  <c r="I17" i="3"/>
  <c r="H17" i="3"/>
  <c r="G17" i="3"/>
  <c r="F17" i="3"/>
  <c r="E17" i="3"/>
  <c r="D17" i="3"/>
  <c r="C17" i="3"/>
  <c r="J13" i="3"/>
  <c r="I13" i="3"/>
  <c r="H13" i="3"/>
  <c r="G13" i="3"/>
  <c r="F13" i="3"/>
  <c r="E13" i="3"/>
  <c r="D13" i="3"/>
  <c r="C13" i="3"/>
  <c r="G10" i="3"/>
  <c r="F10" i="3"/>
  <c r="E10" i="3"/>
  <c r="D10" i="3"/>
  <c r="C10" i="3"/>
  <c r="J8" i="3"/>
  <c r="I8" i="3"/>
  <c r="H8" i="3"/>
  <c r="G8" i="3"/>
  <c r="B36" i="6" s="1"/>
  <c r="F8" i="3"/>
  <c r="E8" i="3"/>
  <c r="D8" i="3"/>
  <c r="H91" i="2"/>
  <c r="G91" i="2"/>
  <c r="F91" i="2"/>
  <c r="E91" i="2"/>
  <c r="B91" i="2"/>
  <c r="H89" i="2"/>
  <c r="G89" i="2"/>
  <c r="F89" i="2"/>
  <c r="E89" i="2"/>
  <c r="B89" i="2"/>
  <c r="H88" i="2"/>
  <c r="G88" i="2"/>
  <c r="F88" i="2"/>
  <c r="E88" i="2"/>
  <c r="B88" i="2"/>
  <c r="H87" i="2"/>
  <c r="G87" i="2"/>
  <c r="F87" i="2"/>
  <c r="E87" i="2"/>
  <c r="B87" i="2"/>
  <c r="H86" i="2"/>
  <c r="G86" i="2"/>
  <c r="F86" i="2"/>
  <c r="E86" i="2"/>
  <c r="B86" i="2"/>
  <c r="H85" i="2"/>
  <c r="G85" i="2"/>
  <c r="F85" i="2"/>
  <c r="E85" i="2"/>
  <c r="B85" i="2"/>
  <c r="H84" i="2"/>
  <c r="G84" i="2"/>
  <c r="F84" i="2"/>
  <c r="E84" i="2"/>
  <c r="B84" i="2"/>
  <c r="H83" i="2"/>
  <c r="G83" i="2"/>
  <c r="F83" i="2"/>
  <c r="E83" i="2"/>
  <c r="B83" i="2"/>
  <c r="H82" i="2"/>
  <c r="G82" i="2"/>
  <c r="F82" i="2"/>
  <c r="E82" i="2"/>
  <c r="B82" i="2"/>
  <c r="H81" i="2"/>
  <c r="H90" i="2" s="1"/>
  <c r="G81" i="2"/>
  <c r="G90" i="2" s="1"/>
  <c r="F81" i="2"/>
  <c r="F90" i="2" s="1"/>
  <c r="E81" i="2"/>
  <c r="B81" i="2"/>
  <c r="N73" i="2"/>
  <c r="M73" i="2"/>
  <c r="E73" i="2"/>
  <c r="B73" i="2"/>
  <c r="N72" i="2"/>
  <c r="M72" i="2"/>
  <c r="E72" i="2"/>
  <c r="B72" i="2"/>
  <c r="N71" i="2"/>
  <c r="M71" i="2"/>
  <c r="E71" i="2"/>
  <c r="B71" i="2"/>
  <c r="N70" i="2"/>
  <c r="M70" i="2"/>
  <c r="E70" i="2"/>
  <c r="B70" i="2"/>
  <c r="N69" i="2"/>
  <c r="M69" i="2"/>
  <c r="E69" i="2"/>
  <c r="B69" i="2"/>
  <c r="N68" i="2"/>
  <c r="M68" i="2"/>
  <c r="E68" i="2"/>
  <c r="B68" i="2"/>
  <c r="N67" i="2"/>
  <c r="M67" i="2"/>
  <c r="E67" i="2"/>
  <c r="B67" i="2"/>
  <c r="N66" i="2"/>
  <c r="M66" i="2"/>
  <c r="J66" i="2"/>
  <c r="I66" i="2"/>
  <c r="E66" i="2"/>
  <c r="B66" i="2"/>
  <c r="N65" i="2"/>
  <c r="M65" i="2"/>
  <c r="E65" i="2"/>
  <c r="B65" i="2"/>
  <c r="N64" i="2"/>
  <c r="M64" i="2"/>
  <c r="E64" i="2"/>
  <c r="B64" i="2"/>
  <c r="T59" i="2"/>
  <c r="S59" i="2"/>
  <c r="H59" i="2"/>
  <c r="G59" i="2"/>
  <c r="E59" i="2"/>
  <c r="B59" i="2"/>
  <c r="E58" i="2"/>
  <c r="B58" i="2"/>
  <c r="E57" i="2"/>
  <c r="B57" i="2"/>
  <c r="E56" i="2"/>
  <c r="B56" i="2"/>
  <c r="E55" i="2"/>
  <c r="B55" i="2"/>
  <c r="E54" i="2"/>
  <c r="B54" i="2"/>
  <c r="E53" i="2"/>
  <c r="B53" i="2"/>
  <c r="E52" i="2"/>
  <c r="B52" i="2"/>
  <c r="U51" i="2"/>
  <c r="S51" i="2"/>
  <c r="R51" i="2"/>
  <c r="I51" i="2"/>
  <c r="G51" i="2"/>
  <c r="F51" i="2"/>
  <c r="E51" i="2"/>
  <c r="B51" i="2"/>
  <c r="E50" i="2"/>
  <c r="B50" i="2"/>
  <c r="T40" i="2"/>
  <c r="S40" i="2"/>
  <c r="R40" i="2"/>
  <c r="N40" i="2"/>
  <c r="M40" i="2"/>
  <c r="L40" i="2"/>
  <c r="H40" i="2"/>
  <c r="E40" i="2"/>
  <c r="B40" i="2"/>
  <c r="M39" i="2"/>
  <c r="L39" i="2"/>
  <c r="E39" i="2"/>
  <c r="B39" i="2"/>
  <c r="M38" i="2"/>
  <c r="L38" i="2"/>
  <c r="E38" i="2"/>
  <c r="B38" i="2"/>
  <c r="M37" i="2"/>
  <c r="L37" i="2"/>
  <c r="E37" i="2"/>
  <c r="B37" i="2"/>
  <c r="W36" i="2"/>
  <c r="M36" i="2"/>
  <c r="L36" i="2"/>
  <c r="H36" i="2"/>
  <c r="E36" i="2"/>
  <c r="B36" i="2"/>
  <c r="W35" i="2"/>
  <c r="T35" i="2"/>
  <c r="S35" i="2"/>
  <c r="R35" i="2"/>
  <c r="M35" i="2"/>
  <c r="L35" i="2"/>
  <c r="I35" i="2"/>
  <c r="H35" i="2"/>
  <c r="G35" i="2"/>
  <c r="F35" i="2"/>
  <c r="E35" i="2"/>
  <c r="B35" i="2"/>
  <c r="S34" i="2"/>
  <c r="R34" i="2"/>
  <c r="O34" i="2"/>
  <c r="M34" i="2"/>
  <c r="L34" i="2"/>
  <c r="E34" i="2"/>
  <c r="B34" i="2"/>
  <c r="O33" i="2"/>
  <c r="M33" i="2"/>
  <c r="L33" i="2"/>
  <c r="I33" i="2"/>
  <c r="G33" i="2"/>
  <c r="F33" i="2"/>
  <c r="E33" i="2"/>
  <c r="B33" i="2"/>
  <c r="R32" i="2"/>
  <c r="O32" i="2"/>
  <c r="N32" i="2"/>
  <c r="M32" i="2"/>
  <c r="L32" i="2"/>
  <c r="I32" i="2"/>
  <c r="H32" i="2"/>
  <c r="G32" i="2"/>
  <c r="F32" i="2"/>
  <c r="E32" i="2"/>
  <c r="B32" i="2"/>
  <c r="S31" i="2"/>
  <c r="R31" i="2"/>
  <c r="O31" i="2"/>
  <c r="M31" i="2"/>
  <c r="L31" i="2"/>
  <c r="I31" i="2"/>
  <c r="G31" i="2"/>
  <c r="F31" i="2"/>
  <c r="E31" i="2"/>
  <c r="B31" i="2"/>
  <c r="R22" i="2"/>
  <c r="Q22" i="2"/>
  <c r="B130" i="6" s="1"/>
  <c r="D130" i="6" s="1"/>
  <c r="P22" i="2"/>
  <c r="B129" i="6" s="1"/>
  <c r="D129" i="6" s="1"/>
  <c r="O22" i="2"/>
  <c r="B128" i="6" s="1"/>
  <c r="D128" i="6" s="1"/>
  <c r="N22" i="2"/>
  <c r="B127" i="6" s="1"/>
  <c r="D127" i="6" s="1"/>
  <c r="M22" i="2"/>
  <c r="B126" i="6" s="1"/>
  <c r="D126" i="6" s="1"/>
  <c r="L22" i="2"/>
  <c r="B125" i="6" s="1"/>
  <c r="D125" i="6" s="1"/>
  <c r="K22" i="2"/>
  <c r="H22" i="2"/>
  <c r="G22" i="2"/>
  <c r="E22" i="2"/>
  <c r="B22" i="2"/>
  <c r="R21" i="2"/>
  <c r="Q21" i="2"/>
  <c r="B160" i="6" s="1"/>
  <c r="D160" i="6" s="1"/>
  <c r="P21" i="2"/>
  <c r="B159" i="6" s="1"/>
  <c r="D159" i="6" s="1"/>
  <c r="O21" i="2"/>
  <c r="B158" i="6" s="1"/>
  <c r="D158" i="6" s="1"/>
  <c r="N21" i="2"/>
  <c r="B157" i="6" s="1"/>
  <c r="D157" i="6" s="1"/>
  <c r="M21" i="2"/>
  <c r="B156" i="6" s="1"/>
  <c r="D156" i="6" s="1"/>
  <c r="L21" i="2"/>
  <c r="B155" i="6" s="1"/>
  <c r="D155" i="6" s="1"/>
  <c r="F21" i="2"/>
  <c r="E21" i="2"/>
  <c r="B21" i="2"/>
  <c r="R20" i="2"/>
  <c r="Q20" i="2"/>
  <c r="B118" i="6" s="1"/>
  <c r="D118" i="6" s="1"/>
  <c r="P20" i="2"/>
  <c r="B117" i="6" s="1"/>
  <c r="D117" i="6" s="1"/>
  <c r="O20" i="2"/>
  <c r="B116" i="6" s="1"/>
  <c r="D116" i="6" s="1"/>
  <c r="N20" i="2"/>
  <c r="B115" i="6" s="1"/>
  <c r="D115" i="6" s="1"/>
  <c r="M20" i="2"/>
  <c r="B114" i="6" s="1"/>
  <c r="D114" i="6" s="1"/>
  <c r="L20" i="2"/>
  <c r="B113" i="6" s="1"/>
  <c r="D113" i="6" s="1"/>
  <c r="E20" i="2"/>
  <c r="B20" i="2"/>
  <c r="R19" i="2"/>
  <c r="Q19" i="2"/>
  <c r="B154" i="6" s="1"/>
  <c r="D154" i="6" s="1"/>
  <c r="P19" i="2"/>
  <c r="B153" i="6" s="1"/>
  <c r="D153" i="6" s="1"/>
  <c r="O19" i="2"/>
  <c r="B152" i="6" s="1"/>
  <c r="D152" i="6" s="1"/>
  <c r="N19" i="2"/>
  <c r="B151" i="6" s="1"/>
  <c r="D151" i="6" s="1"/>
  <c r="M19" i="2"/>
  <c r="B150" i="6" s="1"/>
  <c r="D150" i="6" s="1"/>
  <c r="L19" i="2"/>
  <c r="B149" i="6" s="1"/>
  <c r="D149" i="6" s="1"/>
  <c r="F19" i="2"/>
  <c r="E19" i="2"/>
  <c r="B19" i="2"/>
  <c r="R18" i="2"/>
  <c r="Q18" i="2"/>
  <c r="B136" i="6" s="1"/>
  <c r="D136" i="6" s="1"/>
  <c r="P18" i="2"/>
  <c r="B135" i="6" s="1"/>
  <c r="D135" i="6" s="1"/>
  <c r="O18" i="2"/>
  <c r="B134" i="6" s="1"/>
  <c r="D134" i="6" s="1"/>
  <c r="N18" i="2"/>
  <c r="B133" i="6" s="1"/>
  <c r="D133" i="6" s="1"/>
  <c r="M18" i="2"/>
  <c r="B132" i="6" s="1"/>
  <c r="D132" i="6" s="1"/>
  <c r="L18" i="2"/>
  <c r="B131" i="6" s="1"/>
  <c r="D131" i="6" s="1"/>
  <c r="F18" i="2"/>
  <c r="E18" i="2"/>
  <c r="B18" i="2"/>
  <c r="R17" i="2"/>
  <c r="Q17" i="2"/>
  <c r="B166" i="6" s="1"/>
  <c r="D166" i="6" s="1"/>
  <c r="P17" i="2"/>
  <c r="B165" i="6" s="1"/>
  <c r="D165" i="6" s="1"/>
  <c r="O17" i="2"/>
  <c r="B164" i="6" s="1"/>
  <c r="D164" i="6" s="1"/>
  <c r="N17" i="2"/>
  <c r="B163" i="6" s="1"/>
  <c r="D163" i="6" s="1"/>
  <c r="M17" i="2"/>
  <c r="B162" i="6" s="1"/>
  <c r="D162" i="6" s="1"/>
  <c r="L17" i="2"/>
  <c r="B161" i="6" s="1"/>
  <c r="D161" i="6" s="1"/>
  <c r="F17" i="2"/>
  <c r="E17" i="2"/>
  <c r="B17" i="2"/>
  <c r="R16" i="2"/>
  <c r="Q16" i="2"/>
  <c r="B124" i="6" s="1"/>
  <c r="D124" i="6" s="1"/>
  <c r="P16" i="2"/>
  <c r="B123" i="6" s="1"/>
  <c r="D123" i="6" s="1"/>
  <c r="O16" i="2"/>
  <c r="B122" i="6" s="1"/>
  <c r="D122" i="6" s="1"/>
  <c r="N16" i="2"/>
  <c r="B121" i="6" s="1"/>
  <c r="D121" i="6" s="1"/>
  <c r="M16" i="2"/>
  <c r="B120" i="6" s="1"/>
  <c r="D120" i="6" s="1"/>
  <c r="L16" i="2"/>
  <c r="B119" i="6" s="1"/>
  <c r="D119" i="6" s="1"/>
  <c r="F16" i="2"/>
  <c r="E16" i="2"/>
  <c r="B16" i="2"/>
  <c r="R15" i="2"/>
  <c r="Q15" i="2"/>
  <c r="B172" i="6" s="1"/>
  <c r="D172" i="6" s="1"/>
  <c r="P15" i="2"/>
  <c r="B171" i="6" s="1"/>
  <c r="D171" i="6" s="1"/>
  <c r="O15" i="2"/>
  <c r="B170" i="6" s="1"/>
  <c r="D170" i="6" s="1"/>
  <c r="N15" i="2"/>
  <c r="B169" i="6" s="1"/>
  <c r="D169" i="6" s="1"/>
  <c r="M15" i="2"/>
  <c r="B168" i="6" s="1"/>
  <c r="D168" i="6" s="1"/>
  <c r="L15" i="2"/>
  <c r="B167" i="6" s="1"/>
  <c r="D167" i="6" s="1"/>
  <c r="E15" i="2"/>
  <c r="B15" i="2"/>
  <c r="R14" i="2"/>
  <c r="Q14" i="2"/>
  <c r="B148" i="6" s="1"/>
  <c r="D148" i="6" s="1"/>
  <c r="P14" i="2"/>
  <c r="B147" i="6" s="1"/>
  <c r="D147" i="6" s="1"/>
  <c r="O14" i="2"/>
  <c r="B146" i="6" s="1"/>
  <c r="D146" i="6" s="1"/>
  <c r="N14" i="2"/>
  <c r="B145" i="6" s="1"/>
  <c r="D145" i="6" s="1"/>
  <c r="M14" i="2"/>
  <c r="B144" i="6" s="1"/>
  <c r="D144" i="6" s="1"/>
  <c r="L14" i="2"/>
  <c r="B143" i="6" s="1"/>
  <c r="D143" i="6" s="1"/>
  <c r="E14" i="2"/>
  <c r="B14" i="2"/>
  <c r="R13" i="2"/>
  <c r="Q13" i="2"/>
  <c r="B142" i="6" s="1"/>
  <c r="D142" i="6" s="1"/>
  <c r="P13" i="2"/>
  <c r="B141" i="6" s="1"/>
  <c r="D141" i="6" s="1"/>
  <c r="O13" i="2"/>
  <c r="B140" i="6" s="1"/>
  <c r="D140" i="6" s="1"/>
  <c r="N13" i="2"/>
  <c r="B139" i="6" s="1"/>
  <c r="D139" i="6" s="1"/>
  <c r="M13" i="2"/>
  <c r="B138" i="6" s="1"/>
  <c r="D138" i="6" s="1"/>
  <c r="L13" i="2"/>
  <c r="B137" i="6" s="1"/>
  <c r="D137" i="6" s="1"/>
  <c r="F13" i="2"/>
  <c r="E13" i="2"/>
  <c r="B13" i="2"/>
  <c r="K61" i="1"/>
  <c r="J61" i="1"/>
  <c r="I61" i="1"/>
  <c r="H61" i="1"/>
  <c r="G61" i="1"/>
  <c r="F61" i="1"/>
  <c r="E61" i="1"/>
  <c r="K60" i="1"/>
  <c r="J60" i="1"/>
  <c r="I60" i="1"/>
  <c r="H60" i="1"/>
  <c r="G60" i="1"/>
  <c r="F60" i="1"/>
  <c r="E60" i="1"/>
  <c r="K59" i="1"/>
  <c r="J59" i="1"/>
  <c r="I59" i="1"/>
  <c r="H59" i="1"/>
  <c r="G59" i="1"/>
  <c r="F59" i="1"/>
  <c r="E59" i="1"/>
  <c r="K58" i="1"/>
  <c r="J58" i="1"/>
  <c r="I58" i="1"/>
  <c r="H58" i="1"/>
  <c r="G58" i="1"/>
  <c r="F58" i="1"/>
  <c r="E58" i="1"/>
  <c r="G57" i="1"/>
  <c r="F57" i="1"/>
  <c r="E57" i="1"/>
  <c r="G54" i="1"/>
  <c r="F54" i="1"/>
  <c r="E54" i="1"/>
  <c r="G53" i="1"/>
  <c r="F53" i="1"/>
  <c r="E53" i="1"/>
  <c r="J52" i="1"/>
  <c r="I52" i="1"/>
  <c r="H52" i="1"/>
  <c r="G52" i="1"/>
  <c r="F52" i="1"/>
  <c r="E52" i="1"/>
  <c r="G51" i="1"/>
  <c r="F51" i="1"/>
  <c r="E51" i="1"/>
  <c r="K50" i="1"/>
  <c r="J50" i="1"/>
  <c r="I50" i="1"/>
  <c r="H50" i="1"/>
  <c r="G50" i="1"/>
  <c r="F50" i="1"/>
  <c r="E50" i="1"/>
  <c r="K47" i="1"/>
  <c r="J47" i="1"/>
  <c r="I47" i="1"/>
  <c r="H47" i="1"/>
  <c r="G47" i="1"/>
  <c r="F47" i="1"/>
  <c r="E47" i="1"/>
  <c r="G45" i="1"/>
  <c r="F45" i="1"/>
  <c r="E45" i="1"/>
  <c r="G43" i="1"/>
  <c r="F43" i="1"/>
  <c r="E43" i="1"/>
  <c r="G42" i="1"/>
  <c r="F42" i="1"/>
  <c r="E42" i="1"/>
  <c r="K39" i="1"/>
  <c r="J39" i="1"/>
  <c r="I39" i="1"/>
  <c r="H39" i="1"/>
  <c r="G39" i="1"/>
  <c r="F39" i="1"/>
  <c r="E39" i="1"/>
  <c r="K37" i="1"/>
  <c r="J37" i="1"/>
  <c r="I37" i="1"/>
  <c r="H37" i="1"/>
  <c r="G37" i="1"/>
  <c r="F37" i="1"/>
  <c r="E37" i="1"/>
  <c r="E38" i="1" s="1"/>
  <c r="K36" i="1"/>
  <c r="J36" i="1"/>
  <c r="I36" i="1"/>
  <c r="H36" i="1"/>
  <c r="G36" i="1"/>
  <c r="F36" i="1"/>
  <c r="E36" i="1"/>
  <c r="J35" i="1"/>
  <c r="I35" i="1"/>
  <c r="H35" i="1"/>
  <c r="G35" i="1"/>
  <c r="F35" i="1"/>
  <c r="E35" i="1"/>
  <c r="K34" i="1"/>
  <c r="J34" i="1"/>
  <c r="I34" i="1"/>
  <c r="H34" i="1"/>
  <c r="G34" i="1"/>
  <c r="F34" i="1"/>
  <c r="E34" i="1"/>
  <c r="K33" i="1"/>
  <c r="J33" i="1"/>
  <c r="I33" i="1"/>
  <c r="H33" i="1"/>
  <c r="G33" i="1"/>
  <c r="F33" i="1"/>
  <c r="E33" i="1"/>
  <c r="G32" i="1"/>
  <c r="F32" i="1"/>
  <c r="E32" i="1"/>
  <c r="K31" i="1"/>
  <c r="J31" i="1"/>
  <c r="I31" i="1"/>
  <c r="H31" i="1"/>
  <c r="G31" i="1"/>
  <c r="F31" i="1"/>
  <c r="E31" i="1"/>
  <c r="G30" i="1"/>
  <c r="F30" i="1"/>
  <c r="E30" i="1"/>
  <c r="K28" i="1"/>
  <c r="J28" i="1"/>
  <c r="I28" i="1"/>
  <c r="H28" i="1"/>
  <c r="G28" i="1"/>
  <c r="F28" i="1"/>
  <c r="E28" i="1"/>
  <c r="E29" i="1" s="1"/>
  <c r="P31" i="4" l="1"/>
  <c r="J32" i="4"/>
  <c r="P34" i="4"/>
  <c r="O34" i="4"/>
  <c r="I48" i="4" s="1"/>
  <c r="L72" i="2" s="1"/>
  <c r="P33" i="4"/>
  <c r="J31" i="4"/>
  <c r="O30" i="4"/>
  <c r="I44" i="4" s="1"/>
  <c r="L68" i="2" s="1"/>
  <c r="P29" i="4"/>
  <c r="O29" i="4"/>
  <c r="I43" i="4" s="1"/>
  <c r="L67" i="2" s="1"/>
  <c r="P28" i="4"/>
  <c r="O28" i="4"/>
  <c r="I42" i="4" s="1"/>
  <c r="L66" i="2" s="1"/>
  <c r="P27" i="4"/>
  <c r="O27" i="4"/>
  <c r="I41" i="4" s="1"/>
  <c r="L65" i="2" s="1"/>
  <c r="P26" i="4"/>
  <c r="O26" i="4"/>
  <c r="I40" i="4" s="1"/>
  <c r="I52" i="4" s="1"/>
  <c r="K38" i="1"/>
  <c r="J38" i="1"/>
  <c r="I38" i="1"/>
  <c r="H38" i="1"/>
  <c r="G38" i="1"/>
  <c r="F38" i="1"/>
  <c r="G29" i="1"/>
  <c r="F29" i="1"/>
  <c r="T39" i="2"/>
  <c r="T38" i="2"/>
  <c r="T37" i="2"/>
  <c r="P32" i="4"/>
  <c r="J64" i="2"/>
  <c r="B80" i="6"/>
  <c r="D80" i="6" s="1"/>
  <c r="I64" i="2"/>
  <c r="B79" i="6"/>
  <c r="D79" i="6" s="1"/>
  <c r="S36" i="2"/>
  <c r="T36" i="2"/>
  <c r="P30" i="4"/>
  <c r="O35" i="2"/>
  <c r="H39" i="2"/>
  <c r="N39" i="2"/>
  <c r="H38" i="2"/>
  <c r="N38" i="2"/>
  <c r="N37" i="2"/>
  <c r="H37" i="2"/>
  <c r="H34" i="2"/>
  <c r="N34" i="2"/>
  <c r="H33" i="2"/>
  <c r="N33" i="2"/>
  <c r="H31" i="2"/>
  <c r="N31" i="2"/>
  <c r="D67" i="5"/>
  <c r="Q27" i="4" s="1"/>
  <c r="H13" i="4"/>
  <c r="C25" i="4"/>
  <c r="G40" i="2" s="1"/>
  <c r="H25" i="4"/>
  <c r="J25" i="4" s="1"/>
  <c r="M25" i="4"/>
  <c r="N25" i="4"/>
  <c r="F22" i="2"/>
  <c r="J11" i="4"/>
  <c r="K11" i="4"/>
  <c r="L11" i="4"/>
  <c r="M11" i="4"/>
  <c r="B25" i="4"/>
  <c r="F40" i="2" s="1"/>
  <c r="D25" i="4"/>
  <c r="I40" i="2" s="1"/>
  <c r="F25" i="4"/>
  <c r="G25" i="4"/>
  <c r="K39" i="2"/>
  <c r="Q39" i="2"/>
  <c r="E69" i="4"/>
  <c r="B22" i="6"/>
  <c r="C22" i="6" s="1"/>
  <c r="P39" i="2"/>
  <c r="E68" i="4"/>
  <c r="H68" i="4"/>
  <c r="K33" i="4" s="1"/>
  <c r="K68" i="4"/>
  <c r="E33" i="4" s="1"/>
  <c r="J38" i="2" s="1"/>
  <c r="B21" i="6"/>
  <c r="C21" i="6" s="1"/>
  <c r="K38" i="2"/>
  <c r="P38" i="2"/>
  <c r="Q38" i="2"/>
  <c r="W38" i="2"/>
  <c r="E67" i="4"/>
  <c r="H67" i="4"/>
  <c r="K32" i="4" s="1"/>
  <c r="K67" i="4"/>
  <c r="E32" i="4" s="1"/>
  <c r="J37" i="2" s="1"/>
  <c r="B20" i="6"/>
  <c r="C20" i="6" s="1"/>
  <c r="P37" i="2"/>
  <c r="K37" i="2"/>
  <c r="Q37" i="2"/>
  <c r="W37" i="2"/>
  <c r="E66" i="4"/>
  <c r="Q36" i="2"/>
  <c r="P36" i="2"/>
  <c r="E65" i="4"/>
  <c r="H65" i="4"/>
  <c r="K30" i="4" s="1"/>
  <c r="K65" i="4"/>
  <c r="E30" i="4" s="1"/>
  <c r="J35" i="2" s="1"/>
  <c r="B18" i="6"/>
  <c r="C18" i="6" s="1"/>
  <c r="E64" i="4"/>
  <c r="H64" i="4"/>
  <c r="K29" i="4" s="1"/>
  <c r="K64" i="4"/>
  <c r="E29" i="4" s="1"/>
  <c r="J34" i="2" s="1"/>
  <c r="B17" i="6"/>
  <c r="C17" i="6" s="1"/>
  <c r="P34" i="2"/>
  <c r="K34" i="2"/>
  <c r="Q34" i="2"/>
  <c r="W34" i="2"/>
  <c r="E63" i="4"/>
  <c r="P33" i="2"/>
  <c r="K33" i="2"/>
  <c r="Q33" i="2"/>
  <c r="E62" i="4"/>
  <c r="K62" i="4"/>
  <c r="E27" i="4" s="1"/>
  <c r="J32" i="2" s="1"/>
  <c r="N62" i="4"/>
  <c r="B15" i="6"/>
  <c r="C15" i="6" s="1"/>
  <c r="P32" i="2"/>
  <c r="K32" i="2"/>
  <c r="Q32" i="2"/>
  <c r="E61" i="4"/>
  <c r="H61" i="4"/>
  <c r="K26" i="4" s="1"/>
  <c r="K61" i="4"/>
  <c r="E26" i="4" s="1"/>
  <c r="J31" i="2" s="1"/>
  <c r="B14" i="6"/>
  <c r="C14" i="6" s="1"/>
  <c r="P31" i="2"/>
  <c r="W31" i="2"/>
  <c r="K31" i="2"/>
  <c r="Q31" i="2"/>
  <c r="E60" i="4"/>
  <c r="J72" i="2"/>
  <c r="B112" i="6"/>
  <c r="D112" i="6" s="1"/>
  <c r="B111" i="6"/>
  <c r="D111" i="6" s="1"/>
  <c r="I72" i="2"/>
  <c r="J71" i="2"/>
  <c r="B108" i="6"/>
  <c r="D108" i="6" s="1"/>
  <c r="I71" i="2"/>
  <c r="B107" i="6"/>
  <c r="D107" i="6" s="1"/>
  <c r="J70" i="2"/>
  <c r="B104" i="6"/>
  <c r="D104" i="6" s="1"/>
  <c r="I70" i="2"/>
  <c r="B103" i="6"/>
  <c r="D103" i="6" s="1"/>
  <c r="B100" i="6"/>
  <c r="D100" i="6" s="1"/>
  <c r="J69" i="2"/>
  <c r="B99" i="6"/>
  <c r="D99" i="6" s="1"/>
  <c r="I69" i="2"/>
  <c r="J68" i="2"/>
  <c r="B96" i="6"/>
  <c r="D96" i="6" s="1"/>
  <c r="I68" i="2"/>
  <c r="B95" i="6"/>
  <c r="D95" i="6" s="1"/>
  <c r="J67" i="2"/>
  <c r="B92" i="6"/>
  <c r="D92" i="6" s="1"/>
  <c r="B91" i="6"/>
  <c r="D91" i="6" s="1"/>
  <c r="I67" i="2"/>
  <c r="O33" i="4"/>
  <c r="I47" i="4" s="1"/>
  <c r="H47" i="4"/>
  <c r="K71" i="2" s="1"/>
  <c r="I53" i="4"/>
  <c r="L75" i="2" s="1"/>
  <c r="I55" i="4"/>
  <c r="L77" i="2" s="1"/>
  <c r="I50" i="4"/>
  <c r="L74" i="2" s="1"/>
  <c r="L64" i="2"/>
  <c r="I54" i="4"/>
  <c r="L76" i="2" s="1"/>
  <c r="R34" i="4"/>
  <c r="I20" i="4"/>
  <c r="Q34" i="4"/>
  <c r="I19" i="4"/>
  <c r="R33" i="4"/>
  <c r="Q33" i="4"/>
  <c r="Q32" i="4"/>
  <c r="R32" i="4"/>
  <c r="I18" i="4"/>
  <c r="R31" i="4"/>
  <c r="I17" i="4"/>
  <c r="Q31" i="4"/>
  <c r="Q30" i="4"/>
  <c r="R30" i="4"/>
  <c r="I16" i="4"/>
  <c r="R29" i="4"/>
  <c r="Q29" i="4"/>
  <c r="I15" i="4"/>
  <c r="Q28" i="4"/>
  <c r="R28" i="4"/>
  <c r="I14" i="4"/>
  <c r="I12" i="4"/>
  <c r="R26" i="4"/>
  <c r="Q26" i="4"/>
  <c r="I11" i="4"/>
  <c r="E39" i="4"/>
  <c r="I73" i="2" s="1"/>
  <c r="K30" i="1"/>
  <c r="K29" i="1"/>
  <c r="J29" i="1"/>
  <c r="J30" i="1"/>
  <c r="I30" i="1"/>
  <c r="I29" i="1"/>
  <c r="H30" i="1"/>
  <c r="H29" i="1"/>
  <c r="N15" i="4"/>
  <c r="H43" i="4" s="1"/>
  <c r="K67" i="2" s="1"/>
  <c r="H48" i="4"/>
  <c r="K72" i="2" s="1"/>
  <c r="H44" i="4"/>
  <c r="K68" i="2" s="1"/>
  <c r="H42" i="4"/>
  <c r="K66" i="2" s="1"/>
  <c r="H41" i="4"/>
  <c r="K65" i="2" s="1"/>
  <c r="H40" i="4"/>
  <c r="O32" i="4" l="1"/>
  <c r="I46" i="4" s="1"/>
  <c r="L70" i="2" s="1"/>
  <c r="H46" i="4"/>
  <c r="K70" i="2" s="1"/>
  <c r="O31" i="4"/>
  <c r="I45" i="4" s="1"/>
  <c r="L69" i="2" s="1"/>
  <c r="H45" i="4"/>
  <c r="W54" i="2"/>
  <c r="Q35" i="2"/>
  <c r="J54" i="2"/>
  <c r="K54" i="2"/>
  <c r="K35" i="2"/>
  <c r="Q54" i="2" s="1"/>
  <c r="P35" i="2"/>
  <c r="V54" i="2"/>
  <c r="K60" i="4"/>
  <c r="E25" i="4" s="1"/>
  <c r="J40" i="2" s="1"/>
  <c r="P59" i="2" s="1"/>
  <c r="Q40" i="2"/>
  <c r="P40" i="2"/>
  <c r="H60" i="4"/>
  <c r="B13" i="6"/>
  <c r="C13" i="6" s="1"/>
  <c r="N60" i="4"/>
  <c r="R25" i="4" s="1"/>
  <c r="F39" i="4" s="1"/>
  <c r="J73" i="2" s="1"/>
  <c r="L71" i="2"/>
  <c r="I51" i="4"/>
  <c r="V57" i="2"/>
  <c r="K57" i="2"/>
  <c r="J57" i="2"/>
  <c r="W57" i="2"/>
  <c r="V56" i="2"/>
  <c r="K56" i="2"/>
  <c r="W56" i="2"/>
  <c r="J56" i="2"/>
  <c r="W53" i="2"/>
  <c r="K53" i="2"/>
  <c r="J53" i="2"/>
  <c r="V53" i="2"/>
  <c r="K52" i="2"/>
  <c r="V52" i="2"/>
  <c r="W52" i="2"/>
  <c r="W50" i="2"/>
  <c r="K50" i="2"/>
  <c r="V50" i="2"/>
  <c r="J50" i="2"/>
  <c r="E41" i="4"/>
  <c r="L41" i="4"/>
  <c r="O25" i="4"/>
  <c r="I39" i="4" s="1"/>
  <c r="L73" i="2" s="1"/>
  <c r="B76" i="4"/>
  <c r="P25" i="4"/>
  <c r="O40" i="2"/>
  <c r="G39" i="4"/>
  <c r="U59" i="2"/>
  <c r="I59" i="2"/>
  <c r="L33" i="4"/>
  <c r="V38" i="2"/>
  <c r="L32" i="4"/>
  <c r="V37" i="2"/>
  <c r="L30" i="4"/>
  <c r="V35" i="2"/>
  <c r="L29" i="4"/>
  <c r="V34" i="2"/>
  <c r="L26" i="4"/>
  <c r="V31" i="2"/>
  <c r="O20" i="4"/>
  <c r="F58" i="2"/>
  <c r="G58" i="2"/>
  <c r="H58" i="2"/>
  <c r="I58" i="2"/>
  <c r="L58" i="2"/>
  <c r="M58" i="2"/>
  <c r="N58" i="2"/>
  <c r="O58" i="2"/>
  <c r="Q58" i="2"/>
  <c r="R58" i="2"/>
  <c r="S58" i="2"/>
  <c r="T58" i="2"/>
  <c r="U58" i="2"/>
  <c r="G48" i="4"/>
  <c r="O19" i="4"/>
  <c r="F57" i="2"/>
  <c r="G57" i="2"/>
  <c r="H57" i="2"/>
  <c r="I57" i="2"/>
  <c r="L57" i="2"/>
  <c r="M57" i="2"/>
  <c r="N57" i="2"/>
  <c r="O57" i="2"/>
  <c r="P57" i="2"/>
  <c r="Q57" i="2"/>
  <c r="R57" i="2"/>
  <c r="S57" i="2"/>
  <c r="T57" i="2"/>
  <c r="U57" i="2"/>
  <c r="G47" i="4"/>
  <c r="O18" i="4"/>
  <c r="F56" i="2"/>
  <c r="G56" i="2"/>
  <c r="H56" i="2"/>
  <c r="I56" i="2"/>
  <c r="L56" i="2"/>
  <c r="M56" i="2"/>
  <c r="N56" i="2"/>
  <c r="O56" i="2"/>
  <c r="P56" i="2"/>
  <c r="Q56" i="2"/>
  <c r="R56" i="2"/>
  <c r="S56" i="2"/>
  <c r="T56" i="2"/>
  <c r="U56" i="2"/>
  <c r="G46" i="4"/>
  <c r="O17" i="4"/>
  <c r="F55" i="2"/>
  <c r="G55" i="2"/>
  <c r="I55" i="2"/>
  <c r="L55" i="2"/>
  <c r="M55" i="2"/>
  <c r="N55" i="2"/>
  <c r="O55" i="2"/>
  <c r="R55" i="2"/>
  <c r="S55" i="2"/>
  <c r="U55" i="2"/>
  <c r="G45" i="4"/>
  <c r="O16" i="4"/>
  <c r="F54" i="2"/>
  <c r="G54" i="2"/>
  <c r="I54" i="2"/>
  <c r="L54" i="2"/>
  <c r="M54" i="2"/>
  <c r="N54" i="2"/>
  <c r="O54" i="2"/>
  <c r="P54" i="2"/>
  <c r="R54" i="2"/>
  <c r="S54" i="2"/>
  <c r="U54" i="2"/>
  <c r="G44" i="4"/>
  <c r="O15" i="4"/>
  <c r="G43" i="4"/>
  <c r="F53" i="2"/>
  <c r="G53" i="2"/>
  <c r="H53" i="2"/>
  <c r="I53" i="2"/>
  <c r="L53" i="2"/>
  <c r="M53" i="2"/>
  <c r="N53" i="2"/>
  <c r="O53" i="2"/>
  <c r="P53" i="2"/>
  <c r="Q53" i="2"/>
  <c r="R53" i="2"/>
  <c r="S53" i="2"/>
  <c r="T53" i="2"/>
  <c r="U53" i="2"/>
  <c r="G42" i="4"/>
  <c r="O14" i="4"/>
  <c r="F52" i="2"/>
  <c r="G52" i="2"/>
  <c r="H52" i="2"/>
  <c r="I52" i="2"/>
  <c r="L52" i="2"/>
  <c r="M52" i="2"/>
  <c r="N52" i="2"/>
  <c r="O52" i="2"/>
  <c r="Q52" i="2"/>
  <c r="R52" i="2"/>
  <c r="S52" i="2"/>
  <c r="T52" i="2"/>
  <c r="U52" i="2"/>
  <c r="G40" i="4"/>
  <c r="O12" i="4"/>
  <c r="F50" i="2"/>
  <c r="G50" i="2"/>
  <c r="H50" i="2"/>
  <c r="I50" i="2"/>
  <c r="L50" i="2"/>
  <c r="M50" i="2"/>
  <c r="N50" i="2"/>
  <c r="O50" i="2"/>
  <c r="P50" i="2"/>
  <c r="Q50" i="2"/>
  <c r="R50" i="2"/>
  <c r="S50" i="2"/>
  <c r="T50" i="2"/>
  <c r="U50" i="2"/>
  <c r="L59" i="2"/>
  <c r="M59" i="2"/>
  <c r="N59" i="2"/>
  <c r="O59" i="2"/>
  <c r="K32" i="1"/>
  <c r="K57" i="1"/>
  <c r="J32" i="1"/>
  <c r="J57" i="1"/>
  <c r="I32" i="1"/>
  <c r="I57" i="1"/>
  <c r="H32" i="1"/>
  <c r="H57" i="1"/>
  <c r="K64" i="2"/>
  <c r="N11" i="4"/>
  <c r="O11" i="4" s="1"/>
  <c r="F14" i="2"/>
  <c r="I13" i="4"/>
  <c r="J58" i="2"/>
  <c r="K58" i="2"/>
  <c r="V58" i="2"/>
  <c r="W58" i="2"/>
  <c r="H69" i="4"/>
  <c r="K34" i="4" s="1"/>
  <c r="K69" i="4"/>
  <c r="E34" i="4" s="1"/>
  <c r="J39" i="2" s="1"/>
  <c r="P58" i="2" s="1"/>
  <c r="B19" i="6"/>
  <c r="C19" i="6" s="1"/>
  <c r="J55" i="2"/>
  <c r="K55" i="2"/>
  <c r="V55" i="2"/>
  <c r="W55" i="2"/>
  <c r="H66" i="4"/>
  <c r="K31" i="4" s="1"/>
  <c r="K36" i="2"/>
  <c r="Q55" i="2" s="1"/>
  <c r="K66" i="4"/>
  <c r="E31" i="4" s="1"/>
  <c r="J36" i="2" s="1"/>
  <c r="P55" i="2" s="1"/>
  <c r="K63" i="4"/>
  <c r="E28" i="4" s="1"/>
  <c r="J33" i="2" s="1"/>
  <c r="P52" i="2" s="1"/>
  <c r="B16" i="6"/>
  <c r="C16" i="6" s="1"/>
  <c r="H63" i="4"/>
  <c r="K28" i="4" s="1"/>
  <c r="J52" i="2"/>
  <c r="D68" i="5"/>
  <c r="H62" i="4"/>
  <c r="K27" i="4" s="1"/>
  <c r="V59" i="2"/>
  <c r="W59" i="2"/>
  <c r="K40" i="2"/>
  <c r="Q59" i="2" s="1"/>
  <c r="J59" i="2"/>
  <c r="K59" i="2"/>
  <c r="K69" i="2" l="1"/>
  <c r="H55" i="4"/>
  <c r="K77" i="2" s="1"/>
  <c r="H52" i="4"/>
  <c r="H51" i="4"/>
  <c r="H50" i="4"/>
  <c r="K74" i="2" s="1"/>
  <c r="H54" i="4"/>
  <c r="K76" i="2" s="1"/>
  <c r="H53" i="4"/>
  <c r="K75" i="2" s="1"/>
  <c r="K25" i="4"/>
  <c r="W40" i="2"/>
  <c r="B83" i="6"/>
  <c r="D83" i="6" s="1"/>
  <c r="E52" i="4"/>
  <c r="E50" i="4"/>
  <c r="I74" i="2" s="1"/>
  <c r="E51" i="4"/>
  <c r="E55" i="4"/>
  <c r="I77" i="2" s="1"/>
  <c r="E53" i="4"/>
  <c r="I65" i="2"/>
  <c r="E54" i="4"/>
  <c r="I76" i="2" s="1"/>
  <c r="C9" i="6"/>
  <c r="D9" i="6" s="1"/>
  <c r="E9" i="6" s="1"/>
  <c r="F9" i="6" s="1"/>
  <c r="B48" i="4"/>
  <c r="D48" i="4"/>
  <c r="H72" i="2" s="1"/>
  <c r="B47" i="4"/>
  <c r="C47" i="4"/>
  <c r="D47" i="4"/>
  <c r="H71" i="2" s="1"/>
  <c r="C8" i="6"/>
  <c r="D8" i="6" s="1"/>
  <c r="E8" i="6" s="1"/>
  <c r="F8" i="6" s="1"/>
  <c r="B46" i="4"/>
  <c r="C46" i="4"/>
  <c r="D46" i="4"/>
  <c r="H70" i="2" s="1"/>
  <c r="C7" i="6"/>
  <c r="D7" i="6" s="1"/>
  <c r="E7" i="6" s="1"/>
  <c r="F7" i="6" s="1"/>
  <c r="B45" i="4"/>
  <c r="D45" i="4"/>
  <c r="H69" i="2" s="1"/>
  <c r="C6" i="6"/>
  <c r="D6" i="6" s="1"/>
  <c r="E6" i="6" s="1"/>
  <c r="F6" i="6" s="1"/>
  <c r="B44" i="4"/>
  <c r="C44" i="4"/>
  <c r="D44" i="4"/>
  <c r="H68" i="2" s="1"/>
  <c r="C43" i="4"/>
  <c r="B43" i="4"/>
  <c r="D43" i="4"/>
  <c r="H67" i="2" s="1"/>
  <c r="C10" i="6"/>
  <c r="D10" i="6" s="1"/>
  <c r="E10" i="6" s="1"/>
  <c r="F10" i="6" s="1"/>
  <c r="B42" i="4"/>
  <c r="D42" i="4"/>
  <c r="H66" i="2" s="1"/>
  <c r="B40" i="4"/>
  <c r="C40" i="4"/>
  <c r="D40" i="4"/>
  <c r="C5" i="6"/>
  <c r="B39" i="4"/>
  <c r="F73" i="2" s="1"/>
  <c r="D39" i="4"/>
  <c r="H73" i="2" s="1"/>
  <c r="B75" i="4"/>
  <c r="B79" i="4"/>
  <c r="B78" i="4"/>
  <c r="B74" i="4"/>
  <c r="H39" i="4"/>
  <c r="K73" i="2" s="1"/>
  <c r="T51" i="2"/>
  <c r="Q51" i="2"/>
  <c r="P51" i="2"/>
  <c r="O51" i="2"/>
  <c r="N51" i="2"/>
  <c r="M51" i="2"/>
  <c r="L51" i="2"/>
  <c r="H51" i="2"/>
  <c r="O13" i="4"/>
  <c r="G41" i="4"/>
  <c r="J51" i="2"/>
  <c r="V51" i="2"/>
  <c r="K51" i="2"/>
  <c r="W51" i="2"/>
  <c r="V39" i="2"/>
  <c r="L34" i="4"/>
  <c r="C48" i="4" s="1"/>
  <c r="W39" i="2"/>
  <c r="V36" i="2"/>
  <c r="L31" i="4"/>
  <c r="C45" i="4" s="1"/>
  <c r="V33" i="2"/>
  <c r="L28" i="4"/>
  <c r="W33" i="2"/>
  <c r="M41" i="4"/>
  <c r="F41" i="4"/>
  <c r="R27" i="4"/>
  <c r="V32" i="2"/>
  <c r="L27" i="4"/>
  <c r="W32" i="2"/>
  <c r="L25" i="4" l="1"/>
  <c r="V40" i="2"/>
  <c r="B174" i="6" s="1"/>
  <c r="I75" i="2"/>
  <c r="B75" i="6"/>
  <c r="D75" i="6" s="1"/>
  <c r="B109" i="6"/>
  <c r="D109" i="6" s="1"/>
  <c r="F72" i="2"/>
  <c r="B110" i="6"/>
  <c r="D110" i="6" s="1"/>
  <c r="G72" i="2"/>
  <c r="B105" i="6"/>
  <c r="D105" i="6" s="1"/>
  <c r="F71" i="2"/>
  <c r="B106" i="6"/>
  <c r="D106" i="6" s="1"/>
  <c r="G71" i="2"/>
  <c r="B101" i="6"/>
  <c r="D101" i="6" s="1"/>
  <c r="F70" i="2"/>
  <c r="B102" i="6"/>
  <c r="D102" i="6" s="1"/>
  <c r="G70" i="2"/>
  <c r="B97" i="6"/>
  <c r="D97" i="6" s="1"/>
  <c r="F69" i="2"/>
  <c r="B98" i="6"/>
  <c r="D98" i="6" s="1"/>
  <c r="G69" i="2"/>
  <c r="B93" i="6"/>
  <c r="D93" i="6" s="1"/>
  <c r="F68" i="2"/>
  <c r="B94" i="6"/>
  <c r="D94" i="6" s="1"/>
  <c r="G68" i="2"/>
  <c r="B90" i="6"/>
  <c r="D90" i="6" s="1"/>
  <c r="G67" i="2"/>
  <c r="F67" i="2"/>
  <c r="B89" i="6"/>
  <c r="D89" i="6" s="1"/>
  <c r="B85" i="6"/>
  <c r="D85" i="6" s="1"/>
  <c r="F66" i="2"/>
  <c r="B77" i="6"/>
  <c r="D77" i="6" s="1"/>
  <c r="F64" i="2"/>
  <c r="B55" i="4"/>
  <c r="F77" i="2" s="1"/>
  <c r="B78" i="6"/>
  <c r="D78" i="6" s="1"/>
  <c r="G64" i="2"/>
  <c r="D54" i="4"/>
  <c r="H76" i="2" s="1"/>
  <c r="D51" i="4"/>
  <c r="D52" i="4"/>
  <c r="H64" i="2"/>
  <c r="D53" i="4"/>
  <c r="H75" i="2" s="1"/>
  <c r="D50" i="4"/>
  <c r="H74" i="2" s="1"/>
  <c r="D55" i="4"/>
  <c r="H77" i="2" s="1"/>
  <c r="D5" i="6"/>
  <c r="B41" i="4"/>
  <c r="C41" i="4"/>
  <c r="D41" i="4"/>
  <c r="H65" i="2" s="1"/>
  <c r="F53" i="4"/>
  <c r="F55" i="4"/>
  <c r="J77" i="2" s="1"/>
  <c r="B84" i="6"/>
  <c r="D84" i="6" s="1"/>
  <c r="F50" i="4"/>
  <c r="J74" i="2" s="1"/>
  <c r="F51" i="4"/>
  <c r="F52" i="4"/>
  <c r="J65" i="2"/>
  <c r="F54" i="4"/>
  <c r="J76" i="2" s="1"/>
  <c r="B173" i="6"/>
  <c r="G50" i="4"/>
  <c r="G51" i="4"/>
  <c r="G52" i="4"/>
  <c r="G54" i="4"/>
  <c r="G55" i="4"/>
  <c r="G53" i="4"/>
  <c r="C42" i="4"/>
  <c r="C39" i="4" l="1"/>
  <c r="G73" i="2" s="1"/>
  <c r="B80" i="4"/>
  <c r="B51" i="4"/>
  <c r="B54" i="4"/>
  <c r="F76" i="2" s="1"/>
  <c r="B52" i="4"/>
  <c r="B53" i="4"/>
  <c r="B50" i="4"/>
  <c r="F75" i="2"/>
  <c r="B73" i="6"/>
  <c r="D73" i="6" s="1"/>
  <c r="B71" i="6"/>
  <c r="D71" i="6" s="1"/>
  <c r="F74" i="2"/>
  <c r="B81" i="6"/>
  <c r="D81" i="6" s="1"/>
  <c r="F65" i="2"/>
  <c r="B82" i="6"/>
  <c r="D82" i="6" s="1"/>
  <c r="G65" i="2"/>
  <c r="B76" i="6"/>
  <c r="D76" i="6" s="1"/>
  <c r="J75" i="2"/>
  <c r="G66" i="2"/>
  <c r="B86" i="6"/>
  <c r="D86" i="6" s="1"/>
  <c r="E5" i="6"/>
  <c r="F5" i="6" s="1"/>
  <c r="C50" i="4"/>
  <c r="C55" i="4"/>
  <c r="G77" i="2" s="1"/>
  <c r="C52" i="4"/>
  <c r="C53" i="4"/>
  <c r="C54" i="4"/>
  <c r="G76" i="2" s="1"/>
  <c r="C51" i="4"/>
  <c r="G74" i="2" l="1"/>
  <c r="B72" i="6"/>
  <c r="D72" i="6" s="1"/>
  <c r="B35" i="6"/>
  <c r="B37" i="6" s="1"/>
  <c r="B74" i="6"/>
  <c r="D74" i="6" s="1"/>
  <c r="G75" i="2"/>
</calcChain>
</file>

<file path=xl/sharedStrings.xml><?xml version="1.0" encoding="utf-8"?>
<sst xmlns="http://schemas.openxmlformats.org/spreadsheetml/2006/main" count="6719" uniqueCount="1751">
  <si>
    <t>Financials &amp; Peer Analysis</t>
  </si>
  <si>
    <t>Company set-up (static values: the CIQ Excel plugin is not used)</t>
  </si>
  <si>
    <t>Step 1. Company identifier</t>
  </si>
  <si>
    <t>BMV:BIMBO A</t>
  </si>
  <si>
    <t>Notes:</t>
  </si>
  <si>
    <t>Layout after the S&amp;P Capital IQ Pro 'Financials &amp; Peer Analysis' template. Numbers are static and tagged; detail and sources are in Detail_TearSheet and Inputs_Sources.</t>
  </si>
  <si>
    <t>A = actual (CIQ quarterly sums or company filings); E = consensus mean (CIQ, 20-Sep-2026). Shaded blank = not in the local data; pending a CIQ refresh.</t>
  </si>
  <si>
    <t>Step 2. Latest completed year</t>
  </si>
  <si>
    <t>FY2025</t>
  </si>
  <si>
    <t>Step 3. As-of date</t>
  </si>
  <si>
    <t>2026-10-16</t>
  </si>
  <si>
    <t>Step 4. Currency</t>
  </si>
  <si>
    <t>Mexican peso (MXN)</t>
  </si>
  <si>
    <t>Step 5. Magnitude</t>
  </si>
  <si>
    <t>Millions</t>
  </si>
  <si>
    <t>Step 6. Source</t>
  </si>
  <si>
    <t>Company filings and CIQ (A); S&amp;P Capital IQ consensus mean (E)</t>
  </si>
  <si>
    <t>Step 7. Refresh</t>
  </si>
  <si>
    <t>Not linked to CIQ: re-run valuation/build/build_peer_workbook.py</t>
  </si>
  <si>
    <t>Grupo Bimbo, S.A.B. de C.V.</t>
  </si>
  <si>
    <t>Data in (MXN m), except per share</t>
  </si>
  <si>
    <t>A</t>
  </si>
  <si>
    <t>E</t>
  </si>
  <si>
    <t>Income Statement</t>
  </si>
  <si>
    <t>FY2023</t>
  </si>
  <si>
    <t>FY2024</t>
  </si>
  <si>
    <t>FY2026</t>
  </si>
  <si>
    <t>FY2027</t>
  </si>
  <si>
    <t>FY2028</t>
  </si>
  <si>
    <t>FY2029</t>
  </si>
  <si>
    <t>Tag / source</t>
  </si>
  <si>
    <t>Sales</t>
  </si>
  <si>
    <t>Total revenue</t>
  </si>
  <si>
    <t>[sourced] A: Detail_TearSheet (CIQ / filings); E: CIQ consensus mean</t>
  </si>
  <si>
    <t xml:space="preserve"> - growth YoY</t>
  </si>
  <si>
    <t>[calc]</t>
  </si>
  <si>
    <t>Gross Profit</t>
  </si>
  <si>
    <t>Gross Profit / (loss)</t>
  </si>
  <si>
    <t>[sourced] A: Detail_TearSheet (CIQ / filings); E: CIQ consensus mean; E = revenue x consensus gross margin [calc]</t>
  </si>
  <si>
    <t>SG&amp;A</t>
  </si>
  <si>
    <t>Selling, general and administrative expenses</t>
  </si>
  <si>
    <t>Operating Expenses</t>
  </si>
  <si>
    <t>Total operating expenses</t>
  </si>
  <si>
    <t>[sourced] A: Detail_TearSheet (CIQ / filings); E: CIQ consensus mean; E = gross profit - EBIT [calc]</t>
  </si>
  <si>
    <t>EBIT</t>
  </si>
  <si>
    <t>Operating income/(loss), company basis</t>
  </si>
  <si>
    <t>EBITDA</t>
  </si>
  <si>
    <t>Adjusted EBITDA, company (IFRS 16)</t>
  </si>
  <si>
    <t>Pre tax profit</t>
  </si>
  <si>
    <t>Income from continuing operations before taxes</t>
  </si>
  <si>
    <t>[sourced] A: Detail_TearSheet (CIQ / filings); E: CIQ consensus mean; E: not in CIQ consensus</t>
  </si>
  <si>
    <t>NPAT</t>
  </si>
  <si>
    <t>Net income to majority</t>
  </si>
  <si>
    <t>EPS</t>
  </si>
  <si>
    <t>EPS, basic, total (E: normalised)</t>
  </si>
  <si>
    <t>DPS</t>
  </si>
  <si>
    <t>Dividend per share</t>
  </si>
  <si>
    <t>Balance Sheet</t>
  </si>
  <si>
    <t>Cash and Equivalents</t>
  </si>
  <si>
    <t>Cash and short-term investments</t>
  </si>
  <si>
    <t>Current Assets</t>
  </si>
  <si>
    <t>Total current assets</t>
  </si>
  <si>
    <t>Non-Current Assets</t>
  </si>
  <si>
    <t>Total non-current assets</t>
  </si>
  <si>
    <t>Current Liabilities</t>
  </si>
  <si>
    <t>Total current liabilities</t>
  </si>
  <si>
    <t>Non-Current Liabilities</t>
  </si>
  <si>
    <t>Total non-current liabilities</t>
  </si>
  <si>
    <t>Net Debt</t>
  </si>
  <si>
    <t>Net debt (A: CIQ incl. IFRS 16 leases; E: consensus)</t>
  </si>
  <si>
    <t>[sourced] A: Detail_TearSheet (CIQ / filings); E: CIQ consensus mean; E = consensus net debt (broker definition; FY25A 149,031 vs 182,232 incl. leases)</t>
  </si>
  <si>
    <t>Cash Flow</t>
  </si>
  <si>
    <t>Capex</t>
  </si>
  <si>
    <t>Capital expenditures</t>
  </si>
  <si>
    <t>Change in working capital</t>
  </si>
  <si>
    <t>(Increase)/decrease in working capital</t>
  </si>
  <si>
    <t>Net cash flow from operations</t>
  </si>
  <si>
    <t>Net cash flows from operating activities</t>
  </si>
  <si>
    <t>Net cash flow from investing activities</t>
  </si>
  <si>
    <t>Net cash flows from investing activities</t>
  </si>
  <si>
    <t>Net cash flow from financing activities</t>
  </si>
  <si>
    <t>Net cash flows from financing activities</t>
  </si>
  <si>
    <t>Margins / Ratios</t>
  </si>
  <si>
    <t>Gross margin</t>
  </si>
  <si>
    <t>SG&amp;A / Sales</t>
  </si>
  <si>
    <t>Operating margin</t>
  </si>
  <si>
    <t>EBITDA margin</t>
  </si>
  <si>
    <t>Net margin</t>
  </si>
  <si>
    <t>Source: S&amp;P Capital IQ Pro (CIQ CSV exports and consensus, 19/20-Sep-2026) and Grupo Bimbo filings; compiled in Inputs_Sources and Detail_TearSheet.</t>
  </si>
  <si>
    <t>Performance Valuation - Grupo Bimbo and peers</t>
  </si>
  <si>
    <t>Pricing date 16-Oct-2026. USD m; MXN figures converted at the pricing-date rate, MXN 18.479 per USD (Bimbo's own multiples are computed in MXN).</t>
  </si>
  <si>
    <t>Enterprise value on one claim basis for every company: financial debt + lease liabilities + NCI at book - cash (pensions, MEPP and derivatives excluded); US GAAP EBITDA + operating lease cost.</t>
  </si>
  <si>
    <t>Shaded blank = not available (peers' 52-week range and 1-day change were not returned by Capital IQ). Price changes over 1, 2, 3 and 5 years are month-end approximations (base 31-Oct); QTD and YTD are exact.</t>
  </si>
  <si>
    <t>NTM and STM: CIQ consensus calendarised from the pricing date with fiscal-year day weights (STM = the 12 months after NTM).</t>
  </si>
  <si>
    <t>Data in ($M)</t>
  </si>
  <si>
    <t>Market Data</t>
  </si>
  <si>
    <t>Share Price ($)</t>
  </si>
  <si>
    <t>Price High ($)</t>
  </si>
  <si>
    <t>Price Low ($)</t>
  </si>
  <si>
    <t>Market Cap. ($M)</t>
  </si>
  <si>
    <t>Enterprise Value ($M)</t>
  </si>
  <si>
    <t>Price Performance (%)</t>
  </si>
  <si>
    <t>Dividends per share</t>
  </si>
  <si>
    <t>Company Name</t>
  </si>
  <si>
    <t>Group</t>
  </si>
  <si>
    <t>Exchange:Ticker</t>
  </si>
  <si>
    <t>52W</t>
  </si>
  <si>
    <t>1D</t>
  </si>
  <si>
    <t>1Y</t>
  </si>
  <si>
    <t>2Y</t>
  </si>
  <si>
    <t>3Y</t>
  </si>
  <si>
    <t>5Y</t>
  </si>
  <si>
    <t>QTD</t>
  </si>
  <si>
    <t>YTD</t>
  </si>
  <si>
    <t>Core</t>
  </si>
  <si>
    <t>Secondary</t>
  </si>
  <si>
    <t>Subject Company &gt;&gt;</t>
  </si>
  <si>
    <t>EBITDA, YoY (%)</t>
  </si>
  <si>
    <t>Financials ($M)</t>
  </si>
  <si>
    <t>Ratios &amp; Margins</t>
  </si>
  <si>
    <t>LTM</t>
  </si>
  <si>
    <t>NTM</t>
  </si>
  <si>
    <t>STM</t>
  </si>
  <si>
    <t>Free Cash Flow Yield (%)</t>
  </si>
  <si>
    <t>Price / Sales (x)</t>
  </si>
  <si>
    <t>Price / Free Cash Flow (x)</t>
  </si>
  <si>
    <t>Performance Valuations</t>
  </si>
  <si>
    <t>Valuation on the claim basis (lease-normalised; drives the exit multiple in the DCF)</t>
  </si>
  <si>
    <t>EV/EBITDA LTM (x)</t>
  </si>
  <si>
    <t>EV/EBITDA NTM (x)</t>
  </si>
  <si>
    <t>EV/Sales LTM (x)</t>
  </si>
  <si>
    <t>P/E LTM (x)</t>
  </si>
  <si>
    <t>P/E NTM (x)</t>
  </si>
  <si>
    <t>Net debt / EBITDA LTM (x)</t>
  </si>
  <si>
    <t>EBITDA margin LTM</t>
  </si>
  <si>
    <t>In median: valuation</t>
  </si>
  <si>
    <t>In median: P/E</t>
  </si>
  <si>
    <t>Core median (eligible)</t>
  </si>
  <si>
    <t>All-peer median (eligible)</t>
  </si>
  <si>
    <t>All-peer mean (eligible)</t>
  </si>
  <si>
    <t>All-peer: number eligible</t>
  </si>
  <si>
    <t>Capital intensity: consensus capex / consensus revenue (Capital IQ, FY1-FY3)</t>
  </si>
  <si>
    <t>FY1</t>
  </si>
  <si>
    <t>FY2</t>
  </si>
  <si>
    <t>FY3</t>
  </si>
  <si>
    <t>Peer median (excluding Bimbo)</t>
  </si>
  <si>
    <t>FY1-FY3 = FY2026E-FY2028E; Smucker FY2027E-FY2029E (April year-end); Campbell's FY2027E-FY2029E (July year-end). The DCF terminal capex is a team decision: compare it with this benchmark.</t>
  </si>
  <si>
    <t>Source: S&amp;P Capital IQ Pro (Task 1A/2A/2B pulls, 15/16-Oct-2026), SEC XBRL filings and company reports; compiled in Inputs_Sources and Detail_PeerAnalysis.</t>
  </si>
  <si>
    <t>TearSheet: Grupo Bimbo, S.A.B. de C.V. (BMV:BIMBO A), MXN millions unless stated</t>
  </si>
  <si>
    <t>Actuals: CIQ quarterly CSVs (sum of quarters; FY2021 restated) with company annual values where the CSV lacks Q4 2024 (flagged). FY2026E-FY2028E: CIQ consensus mean (20-Sep-2026). Adjusted EBITDA is the company IFRS 16 figure; CIQ EBITDA is standardised and sits after lease depreciation.</t>
  </si>
  <si>
    <t>Tags: sourced = CIQ CSV or company filing; calc = computed here; consensus = CIQ mean estimate; memo rows are not used in valuation except where stated.</t>
  </si>
  <si>
    <t>Line item</t>
  </si>
  <si>
    <t>Unit</t>
  </si>
  <si>
    <t>FY2021A</t>
  </si>
  <si>
    <t>FY2022A</t>
  </si>
  <si>
    <t>FY2023A</t>
  </si>
  <si>
    <t>FY2024A</t>
  </si>
  <si>
    <t>FY2025A</t>
  </si>
  <si>
    <t>FY2026E</t>
  </si>
  <si>
    <t>FY2027E</t>
  </si>
  <si>
    <t>FY2028E</t>
  </si>
  <si>
    <t>Tag</t>
  </si>
  <si>
    <t>Source / note</t>
  </si>
  <si>
    <t>Income statement</t>
  </si>
  <si>
    <t>MXN m</t>
  </si>
  <si>
    <t>sourced / consensus</t>
  </si>
  <si>
    <t>CSV income_statement 'Total Revenue' (FY2021 restated = 338,792); FY2024 company annual (4Q24 missing in CSV; wiki/Financials/bimbo-income-statement-fy21-fy25.md s.1); FY26E-28E consensus.csv Revenue mean</t>
  </si>
  <si>
    <t>Revenue growth YoY</t>
  </si>
  <si>
    <t>%</t>
  </si>
  <si>
    <t>calc</t>
  </si>
  <si>
    <t>Gross profit</t>
  </si>
  <si>
    <t>sourced</t>
  </si>
  <si>
    <t>CSV 'Gross Profit' (CIQ basis; company FY24 214,928; company FY25 223,487 differs by 0.3%)</t>
  </si>
  <si>
    <t>Gross margin, consensus mean</t>
  </si>
  <si>
    <t>consensus</t>
  </si>
  <si>
    <t>consensus.csv Gross Margin (%) mean</t>
  </si>
  <si>
    <t>SG&amp;A (selling, general and administrative)</t>
  </si>
  <si>
    <t>CSV 'Selling General &amp; Admin Exp.' (CIQ basis); FY2024 company general expenses 175,164; FY26E-28E consensus mean</t>
  </si>
  <si>
    <t>SG&amp;A / sales</t>
  </si>
  <si>
    <t>Total operating expenses, CIQ basis</t>
  </si>
  <si>
    <t>CSV 'Other Operating Exp., Total'; FY2024 company total operating expenses (wiki s.1)</t>
  </si>
  <si>
    <t>EBIT, CIQ standardised</t>
  </si>
  <si>
    <t>CSV 'Operating Income' (sum of quarters); not like-for-like with company operating income (see next row); FY2024 CSV Q4 missing</t>
  </si>
  <si>
    <t>Operating income, company basis (FY26E-28E: consensus EBIT)</t>
  </si>
  <si>
    <t>Company FY21 restated 32,580 and FY22 53,696 incl. MEPP/Ricolino one-offs (wiki s.1); consensus.csv EBIT is company basis (FY25A 34,146)</t>
  </si>
  <si>
    <t>Operating margin, company basis</t>
  </si>
  <si>
    <t>EBITDA, CIQ standardised (after lease depreciation)</t>
  </si>
  <si>
    <t>CSV 'EBITDA' (sum of quarters); about 6 bn below company Adj. EBITDA (ROU depreciation); not the valuation basis</t>
  </si>
  <si>
    <t>Adjusted EBITDA, company, IFRS 16 (valuation basis)</t>
  </si>
  <si>
    <t>Company Adj. EBITDA FY21 restated, FY22-25 (wiki s.1; FY24 55,473 vs 55,474 in releases); FY26E-28E consensus EBITDA mean (same definition, FY25A 59,456)</t>
  </si>
  <si>
    <t>Adjusted EBITDA margin</t>
  </si>
  <si>
    <t>Pre-tax profit (continuing)</t>
  </si>
  <si>
    <t>CSV 'EBT Incl. Unusual Items' (FY2024 company 21,034); FY26E-28E consensus EBT normalised mean</t>
  </si>
  <si>
    <t>CSV 'NI to Common Incl Extra Items' (FY2024 company 12,544); FY26E-28E consensus net income normalised mean</t>
  </si>
  <si>
    <t>EPS, basic, total (E = consensus normalised EPS mean)</t>
  </si>
  <si>
    <t>MXN/share</t>
  </si>
  <si>
    <t>Company basic EPS total (wiki s.1); consensus.csv 'EPS Normalized' mean FY26E-28E (3.07 / 3.35 / 3.80)</t>
  </si>
  <si>
    <t>DPS declared for the fiscal year (E = consensus mean)</t>
  </si>
  <si>
    <t>Company declared DPS (wiki s.1). CIQ actual DPS differs for FY21-FY23 (memo row below)</t>
  </si>
  <si>
    <t>DPS, CIQ actual (memo; timing differs)</t>
  </si>
  <si>
    <t>consensus.csv 'Dividend per share' Actual (A); see Checks</t>
  </si>
  <si>
    <t>Balance sheet (fiscal year-end; CSV Q4)</t>
  </si>
  <si>
    <t>CSV balance_sheet 'Cash &amp; Short-term Investments' Q4</t>
  </si>
  <si>
    <t>CSV 'Total Current Assets' Q4</t>
  </si>
  <si>
    <t>Total assets</t>
  </si>
  <si>
    <t>CSV 'Total Assets' Q4</t>
  </si>
  <si>
    <t>Non-current assets (total assets less current assets)</t>
  </si>
  <si>
    <t>CSV 'Total Current Liabilities' Q4</t>
  </si>
  <si>
    <t>Total liabilities (excl. NCI)</t>
  </si>
  <si>
    <t>CSV 'Total Liabilities' Q4</t>
  </si>
  <si>
    <t>Non-current liabilities (total liabilities less current)</t>
  </si>
  <si>
    <t>Total equity incl. NCI</t>
  </si>
  <si>
    <t>CSV 'Total Equity' Q4</t>
  </si>
  <si>
    <t>Total debt incl. IFRS 16 leases (CIQ)</t>
  </si>
  <si>
    <t>CSV 'Total Debt' Q4 (= financial debt + lease liabilities)</t>
  </si>
  <si>
    <t>Net debt incl. IFRS 16 leases (CIQ)</t>
  </si>
  <si>
    <t>CSV 'Net Debt' Q4</t>
  </si>
  <si>
    <t>Net debt ex-IFRS 16 (company; memo)</t>
  </si>
  <si>
    <t>Company, RA25 p.299 and wiki; FY21 84,107 (wiki cross-source); FY22 71,741 from consensus.csv 'Net Debt' actual (basis unconfirmed)</t>
  </si>
  <si>
    <t>Net debt incl. leases / Adjusted EBITDA</t>
  </si>
  <si>
    <t>x</t>
  </si>
  <si>
    <t>Cash flow</t>
  </si>
  <si>
    <t>Cash from operations</t>
  </si>
  <si>
    <t>CSV 'Cash from Ops.' FY22, FY23, FY25; FY21 and FY24 from company (wiki cash-flow article; CSV quarter missing). Consensus CFO actuals differ for FY23/FY24 (see Checks)</t>
  </si>
  <si>
    <t>Capital expenditure</t>
  </si>
  <si>
    <t>CSV 'Capital Expenditure' FY22, FY23, FY25; FY21 and FY24 company (wiki); FY26E-28E consensus mean (sign flipped)</t>
  </si>
  <si>
    <t>Capex / sales</t>
  </si>
  <si>
    <t>Cash from investing</t>
  </si>
  <si>
    <t>sourced / calc</t>
  </si>
  <si>
    <t>CSV 'Cash from Investing' FY22, FY23, FY25; FY24 = sum of company investing lines (wiki cash-flow article, incl. residual that ties to CFI) [calc]</t>
  </si>
  <si>
    <t>Cash from financing</t>
  </si>
  <si>
    <t>CSV 'Cash from Financing'; FY21 and FY24 not available (CSV quarter missing; company totals not in wiki)</t>
  </si>
  <si>
    <t>Change in working capital, CIQ basis</t>
  </si>
  <si>
    <t>CSV 'Change in Net Working Capital' (CIQ definition; sign and size differ from company lines, see memo)</t>
  </si>
  <si>
    <t>Change in working capital, company lines (memo)</t>
  </si>
  <si>
    <t>wiki/Financials/bimbo-cash-flow-and-fcf.md (six working-capital lines); not used in valuation</t>
  </si>
  <si>
    <t>Levered free cash flow, CIQ (memo)</t>
  </si>
  <si>
    <t>CSV 'Levered Free Cash Flow' (CIQ definition; memo only)</t>
  </si>
  <si>
    <t>Margins and ratios (calc from the rows above)</t>
  </si>
  <si>
    <t>EBITDA margin, CIQ standardised</t>
  </si>
  <si>
    <t>PeerAnalysis: Grupo Bimbo vs bakery and packaged-food peers (USD m unless stated)</t>
  </si>
  <si>
    <t>Pricing date 16-Oct-2026 (CIQ 15/16-Oct-2026). Forward horizon: NTM from 16-Oct-2026, calendarised from each company's fiscal-year consensus by day weights (block D).</t>
  </si>
  <si>
    <t>EV claim basis (one basis for all eligible peers and for Bimbo): EV = market cap + financial debt (incl. finance leases) + lease liabilities (operating or IFRS 16) + NCI at book incl. redeemable NCI - cash. Pensions/OPEB, MEPP and derivatives are excluded for every company (not sourced for all eligible peers).</t>
  </si>
  <si>
    <t>Lease basis: IFRS 16-equivalent. EBITDA is before operating lease cost: US GAAP peers add back operating lease cost (LTM; held flat for NTM) because EV includes their operating lease liabilities. Peers without a reconciled basis are shown but excluded from medians.</t>
  </si>
  <si>
    <t>Bimbo: company Adjusted EBITDA (IFRS 16, 60,919) includes consolidated BBU independent-operator earnings (profit to NCI per coordinator); NCI is taken at book (722), which understates the NCI claim if that profit is attributed to NCI. Model-basis EBIT + D&amp;A is shown as a memo (block D).</t>
  </si>
  <si>
    <t>Bimbo price MXN 58.60 (BMV official close 16-Oct-2026) and shares 4,294.9m (BMV notice 29-Jul-2026: 4,294,943,715). USD columns convert at the pricing-date rate (Inputs_Sources fx_bmv_disp = fx_mxn_spot, MXN 18.479 per USD on 16-Oct-2026) for size only; multiples are computed in MXN.</t>
  </si>
  <si>
    <t>P/E for peers = CIQ multiples tool (NTM / LTM), EPS derived as price / P/E; Gruma = price / EPS (Capital IQ prompt 4: diluted EPS LTM and consensus FY2026E-FY2027E, day-weighted). Gross profit, dividends and price performance are on the front sheets (Capital IQ prompts 5-6); blank = not retrieved, never zero.</t>
  </si>
  <si>
    <t>Medians and means use only peers with in-median flag = yes (AGGREGATE / SUMPRODUCT formulas; n/a cells are ignored). Core = Flowers, Gruma, Yamazaki, Aryzta; at present Yamazaki (lease basis) and Aryzta (NCI not verified) are excluded.</t>
  </si>
  <si>
    <t>A. Market data and enterprise value on the claim basis</t>
  </si>
  <si>
    <t>Company</t>
  </si>
  <si>
    <t>Ticker</t>
  </si>
  <si>
    <t>Price currency</t>
  </si>
  <si>
    <t>Reporting currency</t>
  </si>
  <si>
    <t>Price (local)</t>
  </si>
  <si>
    <t>Shares (m)</t>
  </si>
  <si>
    <t>FX local to USD</t>
  </si>
  <si>
    <t>Market cap (USD m)</t>
  </si>
  <si>
    <t>Financial debt incl. finance leases (USD m)</t>
  </si>
  <si>
    <t>Lease liabilities, operating / IFRS 16 (USD m)</t>
  </si>
  <si>
    <t>NCI at book incl. redeemable (USD m)</t>
  </si>
  <si>
    <t>Cash (USD m)</t>
  </si>
  <si>
    <t>Net debt, claim basis (USD m)</t>
  </si>
  <si>
    <t>EV, claim basis (USD m)</t>
  </si>
  <si>
    <t>In median: valuation (yes/no)</t>
  </si>
  <si>
    <t>In median: P/E (yes/no)</t>
  </si>
  <si>
    <t>EV claim basis (categories included and excluded)</t>
  </si>
  <si>
    <t>Distributor / IO earnings in EBITDA?</t>
  </si>
  <si>
    <t>Eligibility notes</t>
  </si>
  <si>
    <t>Grupo Bimbo, S.A.B. de C.V. (subject)</t>
  </si>
  <si>
    <t>Subject</t>
  </si>
  <si>
    <t>MXN</t>
  </si>
  <si>
    <t>subject</t>
  </si>
  <si>
    <t>Financial debt 153,660 + IFRS 16 lease liabilities 33,361 + NCI at book 722 - cash 16,563 (MXN m, 30-Jun-2026). Excludes MEPP, pensions/OPEB and derivatives.</t>
  </si>
  <si>
    <t>Yes: BBU independent operators (US route partners) are consolidated structured entities (RA25 p.249-250); their profit to NCI is the coordinator's statement, not confirmed in the wiki (FY25 NCI profit share 1,813).</t>
  </si>
  <si>
    <t>Subject. Price: BMV official close 16-Oct-2026; shares: BMV notice 29-Jul-2026. EBITDA includes consolidated IO earnings.</t>
  </si>
  <si>
    <t>Flowers Foods, Inc.</t>
  </si>
  <si>
    <t>NYSE:FLO</t>
  </si>
  <si>
    <t>USD</t>
  </si>
  <si>
    <t>yes</t>
  </si>
  <si>
    <t>Financial debt 1,686.2 (current 399.9, non-current 1,286.4; no finance leases tagged) + operating lease liabilities 317.1 (75.2 + 241.9) + NCI nil (no minority interest reported) - cash 52.8. CIQ total debt is 2,007.8, 4.5 above these components (not added).</t>
  </si>
  <si>
    <t>No: independent distributors not consolidated (coordinator statement; not re-verified in this session)</t>
  </si>
  <si>
    <t>US GAAP, lease basis reconciled: CIQ total debt 2,007.8 vs financial debt 1,686.2 + operating leases 317.1 (-0.2%); EBITDA + LTM operating lease cost 91.8; NCI nil (filings). P/E available (23.45x / 8.93x) and not distorted. Unchanged.</t>
  </si>
  <si>
    <t>Gruma, S.A.B. de C.V.</t>
  </si>
  <si>
    <t>BMV:GRUMA B</t>
  </si>
  <si>
    <t>Bank loans, carrying (ST 365.2 + LT 1,333.4) + IFRS 16 lease liabilities 413.2 (current 52.8, non-current 360.4) + NCI 2.8 - cash 483.6. Reports in USD.</t>
  </si>
  <si>
    <t>Not checked</t>
  </si>
  <si>
    <t>IFRS 16, USD statements: debt + IFRS 16 leases reconcile to CIQ total debt 2,111.8; EBITDA before lease costs (company UAFIRDA); NCI 2.8 from filings. Consensus FY2026E-FY2028E is now available on the same company basis (FY26E 1,111.37 vs LTM 1,108.9), so Gruma enters the NTM medians. P/E now available: price USD 13.10 / diluted EPS LTM 1.40 = 9.36x, NTM 9.74x; earnings not depressed, so P/E-eligible (it was 'no' only for lack of data).</t>
  </si>
  <si>
    <t>Yamazaki Baking Co., Ltd.</t>
  </si>
  <si>
    <t>TSE:2212</t>
  </si>
  <si>
    <t>JPY</t>
  </si>
  <si>
    <t>n/a</t>
  </si>
  <si>
    <t>no</t>
  </si>
  <si>
    <t>Descriptive only, not the claim basis: EV = market cap + Capital IQ net debt -473.5 (includes J-GAAP finance-lease obligations, JPY 7,853m; operating leases are off balance sheet; NCI not returned). Excluded from medians.</t>
  </si>
  <si>
    <t>Fails the lease test. Under J-GAAP operating leases are off balance sheet (CIQ's JPY 7,853m are finance-lease obligations) and no operating lease cost is available to add back, so EBITDA is after operating lease costs: neither 'debt includes leases' nor 'EBITDA before lease costs' holds. NCI not returned (CIQ N/A). Peers without a reconciled basis are excluded from all medians, P/E included. Unchanged.</t>
  </si>
  <si>
    <t>ARYZTA AG</t>
  </si>
  <si>
    <t>SWX:ARYN</t>
  </si>
  <si>
    <t>EUR</t>
  </si>
  <si>
    <t>Long-term debt 791.2 (EUR 678.2) + IFRS 16 lease liabilities 195.7 (EUR 167.8: current 35.5 + non-current 132.3) = CIQ total debt 986.9; + CIQ TEV residual -17.4 (unexplained, not a book NCI) - cash 85.0 (EUR 72.9). USD at Capital IQ's 1.166559. Lease basis reconciled; NCI not verified, so descriptive only.</t>
  </si>
  <si>
    <t>Lease basis now passes: CIQ total debt EUR 845.9m = long-term debt 678.2 + IFRS 16 leases 167.8 (35.5 + 132.3); IFRS 16 EBITDA is before lease costs; shares 24.8m in three CIQ pulls. Fails the claim basis on NCI: Capital IQ returns minority interest as N/A for every company, including CPB (306), MDLZ (53), PEP (195) and Gruma (2.8), whose filings show NCI, so N/A is not zero, and the CIQ TEV residual (-17.4) is unexplained. NCI not verified, so excluded from all medians. Unchanged.</t>
  </si>
  <si>
    <t>The J. M. Smucker Company</t>
  </si>
  <si>
    <t>NYSE:SJM</t>
  </si>
  <si>
    <t>Financial debt 6,737.8 (ST borrowings 193.5, current LTD 150.0, LTD 6,394.3) + finance leases 9.6 + operating lease liabilities 192.8 + NCI nil (not reported) - cash 43.2. Ties exactly to CIQ EV.</t>
  </si>
  <si>
    <t>US GAAP, lease basis reconciled (exact tie incl. finance leases 9.6); EBITDA + operating lease cost 46.9; in EV medians. P/E excluded: LTM 58.6x reflects depressed earnings [assumption]. Unchanged.</t>
  </si>
  <si>
    <t>The Campbell's Company</t>
  </si>
  <si>
    <t>NasdaqGS:CPB</t>
  </si>
  <si>
    <t>Financial debt 7,053.0 + finance leases 84.0 + operating lease liabilities 313.0 + NCI 2.0 + redeemable NCI (mezzanine) 304.0 - cash 394.0. Ties to CIQ EV including the 306 residual.</t>
  </si>
  <si>
    <t>US GAAP, lease basis reconciled (exact tie); EBITDA + operating lease cost 114.0; EV includes redeemable NCI 304 and NCI 2. P/E 15.11x / 11.72x. Unchanged.</t>
  </si>
  <si>
    <t>Mondelez International, Inc.</t>
  </si>
  <si>
    <t>NasdaqGS:MDLZ</t>
  </si>
  <si>
    <t>Financial debt 21,450 (includes finance leases, not separated at 30-Jun-26; 423 at 31-Dec-25) + noncurrent operating lease liabilities 609 (current portion not found; 164 at 31-Dec-25) + NCI 53 - cash 1,716. Ties to CIQ EV.</t>
  </si>
  <si>
    <t>US GAAP, lease basis reconciled on noncurrent leases (exact tie) + current leases 164 (Dec-25 proxy) [assumption]; EBITDA + FY25 operating lease cost 246 [assumption]; NCI 53. P/E 23.1x / 19.8x. Unchanged.</t>
  </si>
  <si>
    <t>Arca Continental, S.A.B. de C.V.</t>
  </si>
  <si>
    <t>BMV:AC</t>
  </si>
  <si>
    <t>Descriptive only, not the claim basis: EV = market cap + Capital IQ net debt 2,015.4 (includes IFRS 16 leases, MXN 1,832.2m; NCI not returned: the CIQ tool's 8.47x implies about MXN 19.9bn of claims missing from this EV). Excluded from medians.</t>
  </si>
  <si>
    <t>Lease basis now passes: CIQ total debt MXN 65,427m includes IFRS 16 leases 1,832.2 (reconciles within 3.7 once two derivation slips in the output are corrected); IFRS 16 EBITDA; shares 1,696.2m; price corroborated by the CIQ chart. Fails the claim basis on NCI: CIQ N/A, and the CIQ tool's 8.47x vs 8.06x ex-NCI implies about MXN 19.9bn of claims missing from our EV, consistent with a material NCI. Excluded from all medians. Unchanged.</t>
  </si>
  <si>
    <t>PepsiCo, Inc.</t>
  </si>
  <si>
    <t>NasdaqGS:PEP</t>
  </si>
  <si>
    <t>Financial debt 51,881 (= CIQ total debt; finance leases not separated) + operating lease liabilities 3,846 (27-Dec-2025 10-K; Sep-2026 not found; CIQ excludes leases) + NCI 195 - cash 10,675. CIQ net debt (40,718) deducts a further 488 that is not cash and is not used.</t>
  </si>
  <si>
    <t>Not checked (franchise bottler consolidation not verified)</t>
  </si>
  <si>
    <t>US GAAP: CIQ debt excludes operating leases, so EV adds 3,846 (27-Dec-2025 10-K) [assumption]; EBITDA + FY25 operating lease cost 880 [assumption]; NCI 195. P/E 16.15x / 15.53x. Unchanged.</t>
  </si>
  <si>
    <t>B. Financials (USD m; Bimbo converted at the MXN display rate)</t>
  </si>
  <si>
    <t>Revenue FY2024</t>
  </si>
  <si>
    <t>Revenue FY2025</t>
  </si>
  <si>
    <t>Revenue LTM</t>
  </si>
  <si>
    <t>Revenue NTM (calendarised)</t>
  </si>
  <si>
    <t>EBITDA FY2024 (reported)</t>
  </si>
  <si>
    <t>EBITDA FY2025 (reported)</t>
  </si>
  <si>
    <t>EBITDA LTM (reported)</t>
  </si>
  <si>
    <t>Operating lease cost add-back, LTM</t>
  </si>
  <si>
    <t>EBITDA LTM, IFRS 16-equivalent</t>
  </si>
  <si>
    <t>EBITDA NTM (reported, calendarised)</t>
  </si>
  <si>
    <t>EBITDA NTM, IFRS 16-equivalent</t>
  </si>
  <si>
    <t>Gross profit LTM</t>
  </si>
  <si>
    <t>Levered FCF LTM</t>
  </si>
  <si>
    <t>EBITDA margin LTM (IFRS 16-eq.)</t>
  </si>
  <si>
    <t>Gross margin LTM</t>
  </si>
  <si>
    <t>EPS LTM (local)</t>
  </si>
  <si>
    <t>EPS NTM (local)</t>
  </si>
  <si>
    <t>Grupo Bimbo (subject)</t>
  </si>
  <si>
    <t>C. Valuation (EV on the claim basis; IFRS 16-equivalent EBITDA; medians over eligible peers)</t>
  </si>
  <si>
    <t>FCF yield LTM (levered, %)</t>
  </si>
  <si>
    <t>Net debt / EBITDA LTM (x, claim basis)</t>
  </si>
  <si>
    <t>EBITDA margin LTM (%)</t>
  </si>
  <si>
    <t>CIQ tool EV/EBITDA LTM (audit)</t>
  </si>
  <si>
    <t>CIQ tool EV/EBITDA NTM (audit)</t>
  </si>
  <si>
    <t>CIQ tool P/E LTM (audit)</t>
  </si>
  <si>
    <t>CIQ tool P/E NTM (audit)</t>
  </si>
  <si>
    <t>Notes</t>
  </si>
  <si>
    <t>Bimbo on the same claim basis (block D memo gives the model-basis EBIT + D&amp;A multiple)</t>
  </si>
  <si>
    <t>CIQ tool values are audit only; EV-based multiples use the claim-basis EV</t>
  </si>
  <si>
    <t>Statistics (valuation metrics)</t>
  </si>
  <si>
    <t>Core median (eligible peers)</t>
  </si>
  <si>
    <t>Core mean (eligible peers)</t>
  </si>
  <si>
    <t>Core: number of eligible peers</t>
  </si>
  <si>
    <t>All-peer median (eligible peers)</t>
  </si>
  <si>
    <t>All-peer mean (eligible peers)</t>
  </si>
  <si>
    <t>All-peer: number of eligible peers</t>
  </si>
  <si>
    <t>D. Calendarisation to NTM from 16-Oct-2026 (local currency; weights from fiscal year-end dates)</t>
  </si>
  <si>
    <t>FY1 year end (contains pricing date)</t>
  </si>
  <si>
    <t>Days from pricing date to FY1 end (incl.)</t>
  </si>
  <si>
    <t>Weight FY1</t>
  </si>
  <si>
    <t>Weight FY2</t>
  </si>
  <si>
    <t>EBITDA FY1 (local m)</t>
  </si>
  <si>
    <t>EBITDA FY2 (local m)</t>
  </si>
  <si>
    <t>EBITDA NTM (local m)</t>
  </si>
  <si>
    <t>Revenue FY1 (local m)</t>
  </si>
  <si>
    <t>Revenue FY2 (local m)</t>
  </si>
  <si>
    <t>Revenue NTM (local m)</t>
  </si>
  <si>
    <t>EPS FY1 (local)</t>
  </si>
  <si>
    <t>EPS FY2 (local)</t>
  </si>
  <si>
    <t>Grupo Bimbo (MXN)</t>
  </si>
  <si>
    <t>FY1 = FY2026E, FY2 = FY2027E (CIQ consensus mean, MXN, 20-Sep-2026)</t>
  </si>
  <si>
    <t>CIQ consensus in USD; CIQ conversion basis not stated</t>
  </si>
  <si>
    <t>CIQ consensus (prompt 4C, company EBITDA basis), USD as converted by Capital IQ at the query-date rate</t>
  </si>
  <si>
    <t>CIQ consensus (USD); FY1 for SJM and CPB is FY27E (FY26 closed)</t>
  </si>
  <si>
    <t>Memo: Grupo Bimbo on the same claim basis (MXN m unless stated)</t>
  </si>
  <si>
    <t>Market cap = price x shares (MXN m)</t>
  </si>
  <si>
    <t>Net debt, claim basis = financial debt + leases + NCI - cash (MXN m)</t>
  </si>
  <si>
    <t>Enterprise value, claim basis (MXN m)</t>
  </si>
  <si>
    <t>LTM EBITDA, company IFRS 16 Adjusted (MXN m)</t>
  </si>
  <si>
    <t>LTM EBITDA, model basis = operating income + D&amp;A (MXN m; 35,666 + 24,660)</t>
  </si>
  <si>
    <t>EV/EBITDA LTM, company IFRS 16 basis (x)</t>
  </si>
  <si>
    <t>EV/EBITDA LTM, model basis EBIT + D&amp;A (x)</t>
  </si>
  <si>
    <t>EV/EBITDA NTM, calendarised, company IFRS 16 basis (x)</t>
  </si>
  <si>
    <t>Inputs and sources: every number used in PeerAnalysis and Checks</t>
  </si>
  <si>
    <t>Tags: sourced (filing or CIQ), guidance, assumption, calc, unverified, pending (not found: shown as n/a). Blue = hard-coded input.</t>
  </si>
  <si>
    <t>Key</t>
  </si>
  <si>
    <t>Entity</t>
  </si>
  <si>
    <t>Item</t>
  </si>
  <si>
    <t>Value</t>
  </si>
  <si>
    <t>Currency</t>
  </si>
  <si>
    <t>Source (document, section/metric/period, URL)</t>
  </si>
  <si>
    <t>As-of</t>
  </si>
  <si>
    <t>Note</t>
  </si>
  <si>
    <t>A. General</t>
  </si>
  <si>
    <t>pricing_date</t>
  </si>
  <si>
    <t>All</t>
  </si>
  <si>
    <t>Pricing / valuation date</t>
  </si>
  <si>
    <t>date</t>
  </si>
  <si>
    <t>CIQ pricing 15/16-Oct-2026 (data/capitaliq/capiq-ai-prompt1_2026-10-16.md)</t>
  </si>
  <si>
    <t>fx_cic_jpy</t>
  </si>
  <si>
    <t>CIQ conversion JPY to USD (Yamazaki LTM figures)</t>
  </si>
  <si>
    <t>USD per JPY</t>
  </si>
  <si>
    <t>data/capitaliq/capiq-ai-prompt1_2026-10-16.md Task 1A (market data, LTM balance sheet) note: TSE:2212 converted at 0.006482 USD/JPY</t>
  </si>
  <si>
    <t>fx_cic_eur</t>
  </si>
  <si>
    <t>CIQ conversion EUR to USD (Aryzta)</t>
  </si>
  <si>
    <t>USD per EUR</t>
  </si>
  <si>
    <t>data/capitaliq/capiq-ai-prompt1_2026-10-16.md Task 1A (market data, LTM balance sheet) note: ARYN converted at 1.166559 USD/EUR</t>
  </si>
  <si>
    <t>fx_cic_mxn_old</t>
  </si>
  <si>
    <t>CIQ note MXN to USD (memo: implies 17.96 MXN/USD, not used)</t>
  </si>
  <si>
    <t>USD per MXN</t>
  </si>
  <si>
    <t>Memo, not used. The Capital IQ AI says it converted the LTM 06/30/2026 figures at 0.055690 USD per MXN (17.957) (data/capitaliq/capiq-ai-prompt1_2026-10-16.md Task 1A; data/capitaliq/capiq-ai-model-gaps-4_2026-10-17.md). It is not the 30-Jun-2026 closing rate (17.47 per the company, 2Q26 release p.6 note 12; Capital IQ's own USD figures for Bimbo's 30-Jun debt also imply 17.47 = 189,679.4 / 10,855) nor the 16-Oct-2026 rate (18.479); probably an LTM average used for income-statement items [unverified].</t>
  </si>
  <si>
    <t>fx_mxn_spot</t>
  </si>
  <si>
    <t>MXN per USD, spot used for all MXN market values (Bimbo display, Gruma and Arca prices)</t>
  </si>
  <si>
    <t>MXN per USD</t>
  </si>
  <si>
    <t>USD/MXN close 16-Oct-2026 = 18.479 (Yahoo Finance MXN=X, last bar 2026-10-16T21:00:38Z; data/market/usdmxn_daily_2026-09-15_2026-10-16.csv). Capital IQ chart cross-check (data/capitaliq/capiq-ai-model-gaps-5_2026-10-17.md and data/capitaliq/capiq-ai-model-gaps-1_2026-10-17.md): Gruma USD 13.09 vs MXN 242.02, BIMBO A USD 3.17 vs MXN 58.60 and Arca USD 11.34 vs MXN 209.66 each imply about 18.49. Replaces the 17.46 of v1/v2, which was the rate implied in the Capital IQ consensus dashboard (wiki/Valuation/bimbo-consensus-dashboard-capiq-2026-10.md: MXN 426,275m revenue / USD 24,418.7m), not a pricing-date rate.</t>
  </si>
  <si>
    <t>2026-10-17</t>
  </si>
  <si>
    <t>Single spot for market values; balance-sheet and LTM figures are taken in USD from the filings or CIQ</t>
  </si>
  <si>
    <t>fx_bmv_disp</t>
  </si>
  <si>
    <t>Grupo Bimbo</t>
  </si>
  <si>
    <t>MXN per USD used for USD display of Bimbo</t>
  </si>
  <si>
    <t>Same rate as fx_mxn_spot (link)</t>
  </si>
  <si>
    <t>Display only: Bimbo multiples are computed in MXN and do not depend on this rate</t>
  </si>
  <si>
    <t>B. Grupo Bimbo market data and balance sheet (MXN m unless stated)</t>
  </si>
  <si>
    <t>bmv_price</t>
  </si>
  <si>
    <t>Share price (BMV:BIMBO A), MXN</t>
  </si>
  <si>
    <t>MXN per share</t>
  </si>
  <si>
    <t>BMV official close 16-Oct-2026 = PPP 58.60 (last trade 58.62), bmv.com.mx/es/emisoras/estadisticas/BIMBO-5163</t>
  </si>
  <si>
    <t>Confirm against the BMV close before the report; MXN 1 per share = about 0.07x on EV/EBITDA</t>
  </si>
  <si>
    <t>bmv_shares</t>
  </si>
  <si>
    <t>Shares outstanding (m)</t>
  </si>
  <si>
    <t>m shares</t>
  </si>
  <si>
    <t>shares</t>
  </si>
  <si>
    <t>BMV notice 29-Jul-2026: 4,294,943,715 shares (valuation/inputs/spg_inputs.yaml shares_out); 4,294.9m used here (market cap -0.001% vs full precision). CIQ balance sheet 2026 FQ2 shows 4,296.3m (filing 2026-07-24)</t>
  </si>
  <si>
    <t>2026-07-24</t>
  </si>
  <si>
    <t>Difference to CIQ 2Q26 is 0.03%; dashboard register 4,304.7m is 0.2% higher</t>
  </si>
  <si>
    <t>bmv_td</t>
  </si>
  <si>
    <t>Total debt incl. IFRS 16 leases, 30-Jun-2026</t>
  </si>
  <si>
    <t>data/capitaliq/balance_sheet.csv 'Total Debt' 2026 FQ2 (= long-term debt 150,019.5 + current portion 6,299.0 + leases 33,361)</t>
  </si>
  <si>
    <t>2026-06-30</t>
  </si>
  <si>
    <t>CIQ basis; company ex-IFRS 16 total debt is 153,663 (wiki/Valuation/bimbo-capital-structure-and-debt.md)</t>
  </si>
  <si>
    <t>bmv_cash</t>
  </si>
  <si>
    <t>Cash, 30-Jun-2026 (claim basis)</t>
  </si>
  <si>
    <t>data/capitaliq/balance_sheet.csv 'Cash &amp; Short-term Investments' 2026 FQ2 (company ~16.6bn; coordinator value 16,563)</t>
  </si>
  <si>
    <t>bmv_nci</t>
  </si>
  <si>
    <t>Non-controlling interest at book, 30-Jun-2026 (claim basis)</t>
  </si>
  <si>
    <t>Company 2Q26 p.8: NCI 722 (CIQ 721.7); coordinator value 722. Book value understates the economic claim if IO profit is attributed to NCI (see Checks)</t>
  </si>
  <si>
    <t>bmv_fin_debt</t>
  </si>
  <si>
    <t>Financial debt excluding leases, 30-Jun-2026 (claim basis)</t>
  </si>
  <si>
    <t>Company total debt 153,660 (coordinator; wiki/Valuation/bimbo-capital-structure-and-debt.md: 153,663 at Jun-26)</t>
  </si>
  <si>
    <t>CIQ financial debt is 156,319 (LTD 150,019.5 + CPLTD 6,299.0); the 2,659 difference is not added</t>
  </si>
  <si>
    <t>bmv_leases</t>
  </si>
  <si>
    <t>IFRS 16 lease liabilities, 30-Jun-2026 (claim basis)</t>
  </si>
  <si>
    <t>data/capitaliq/balance_sheet.csv 'Current Portion of Leases' 7,112.9 + 'Long-term Leases' 26,248.0 (2026 FQ2)</t>
  </si>
  <si>
    <t>bmv_ltm_ebit</t>
  </si>
  <si>
    <t>Operating income, LTM to 30-Jun-2026 (model basis)</t>
  </si>
  <si>
    <t>BMV Jun-26 p.27 via wiki/Financials/bimbo-quarterly-trend-4q21-2q26.md line 62</t>
  </si>
  <si>
    <t>bmv_ltm_da</t>
  </si>
  <si>
    <t>D&amp;A, LTM to 30-Jun-2026 (model basis; includes IFRS 16 right-of-use depreciation)</t>
  </si>
  <si>
    <t>bmv_lease_cur</t>
  </si>
  <si>
    <t>IFRS 16 lease liabilities, current (memo)</t>
  </si>
  <si>
    <t>data/capitaliq/balance_sheet.csv 'Current Portion of Leases' 2026 FQ2</t>
  </si>
  <si>
    <t>bmv_lease_nc</t>
  </si>
  <si>
    <t>IFRS 16 lease liabilities, non-current (memo)</t>
  </si>
  <si>
    <t>data/capitaliq/balance_sheet.csv 'Long-term Leases' 2026 FQ2</t>
  </si>
  <si>
    <t>bmv_netdebt_co</t>
  </si>
  <si>
    <t>Company net debt ex-IFRS 16, 30-Jun-2026 (memo)</t>
  </si>
  <si>
    <t>2Q26 release p.6 via wiki/Valuation/bimbo-capital-structure-and-debt.md (137.1bn; excludes leases)</t>
  </si>
  <si>
    <t>Not used for EV: excludes IFRS 16 leases while EBITDA is IFRS 16</t>
  </si>
  <si>
    <t>bmv_ebitda_3Q25</t>
  </si>
  <si>
    <t>Adj. EBITDA (IFRS 16), quarter 3Q25</t>
  </si>
  <si>
    <t>Company quarterly release via wiki/Financials/bimbo-quarterly-trend-4q21-2q26.md; wiki/Financials/bimbo-balance-sheet-and-leverage.md line 83</t>
  </si>
  <si>
    <t>bmv_ebitda_4Q25</t>
  </si>
  <si>
    <t>Adj. EBITDA (IFRS 16), quarter 4Q25</t>
  </si>
  <si>
    <t>bmv_ebitda_1Q26</t>
  </si>
  <si>
    <t>Adj. EBITDA (IFRS 16), quarter 1Q26</t>
  </si>
  <si>
    <t>bmv_ebitda_2Q26</t>
  </si>
  <si>
    <t>Adj. EBITDA (IFRS 16), quarter 2Q26</t>
  </si>
  <si>
    <t>bmv_rev_ltm</t>
  </si>
  <si>
    <t>Net sales, LTM to 30-Jun-2026</t>
  </si>
  <si>
    <t>BMV Jun-26 p.27 via wiki/Financials/bimbo-quarterly-trend-4q21-2q26.md line 62 (CIQ quarterly sum 421,435 differs by 0.1%)</t>
  </si>
  <si>
    <t>bmv_eps_3Q25</t>
  </si>
  <si>
    <t>Normalized diluted EPS, quarter 3Q25</t>
  </si>
  <si>
    <t>data/capitaliq/income_statement.csv 'Normalized Diluted EPS' 3Q25</t>
  </si>
  <si>
    <t>bmv_eps_4Q25</t>
  </si>
  <si>
    <t>Normalized diluted EPS, quarter 4Q25</t>
  </si>
  <si>
    <t>data/capitaliq/income_statement.csv 'Normalized Diluted EPS' 4Q25</t>
  </si>
  <si>
    <t>bmv_eps_1Q26</t>
  </si>
  <si>
    <t>Normalized diluted EPS, quarter 1Q26</t>
  </si>
  <si>
    <t>data/capitaliq/income_statement.csv 'Normalized Diluted EPS' 1Q26</t>
  </si>
  <si>
    <t>bmv_eps_2Q26</t>
  </si>
  <si>
    <t>Normalized diluted EPS, quarter 2Q26</t>
  </si>
  <si>
    <t>data/capitaliq/income_statement.csv 'Normalized Diluted EPS' 2Q26</t>
  </si>
  <si>
    <t>bmv_gp_ltm</t>
  </si>
  <si>
    <t>Gross profit, LTM to 30-Jun-2026 (CIQ basis)</t>
  </si>
  <si>
    <t>data/capitaliq/income_statement.csv 'Gross Profit', 3Q25 to 2Q26 (sum of quarters, MXN thousands / 1,000)</t>
  </si>
  <si>
    <t>bmv_lfcf_ltm</t>
  </si>
  <si>
    <t>Levered free cash flow, LTM to 30-Jun-2026 (CIQ basis)</t>
  </si>
  <si>
    <t>data/capitaliq/cash_flow.csv 'Levered Free Cash Flow', 3Q25 to 2Q26 (sum of quarters, MXN thousands / 1,000)</t>
  </si>
  <si>
    <t>C. Peers: market data, net debt, LTM and history (USD m unless stated)</t>
  </si>
  <si>
    <t>FLO.mc</t>
  </si>
  <si>
    <t>Market capitalisation (CIQ, LTM date)</t>
  </si>
  <si>
    <t>USD m</t>
  </si>
  <si>
    <t>data/capitaliq/capiq-ai-prompt1_2026-10-16.md Task 1A (market data, LTM balance sheet)</t>
  </si>
  <si>
    <t>FLO.shares</t>
  </si>
  <si>
    <t>Diluted shares (CIQ)</t>
  </si>
  <si>
    <t>FLO.ev_ciq</t>
  </si>
  <si>
    <t>Enterprise value (CIQ table)</t>
  </si>
  <si>
    <t>FLO.nci_filings</t>
  </si>
  <si>
    <t>NCI and redeemable NCI from filings (memo, USD m)</t>
  </si>
  <si>
    <t>SEC XBRL MinorityInterest and balance sheet (research: see Checks section 1)</t>
  </si>
  <si>
    <t>0.0 (no NCI)</t>
  </si>
  <si>
    <t>FLO.nd</t>
  </si>
  <si>
    <t>Net debt incl. leases (USD m)</t>
  </si>
  <si>
    <t>FLO.ebitda_ltm</t>
  </si>
  <si>
    <t>EBITDA, LTM (reported basis, USD m)</t>
  </si>
  <si>
    <t>FLO.rev_ltm</t>
  </si>
  <si>
    <t>Revenue, LTM (USD m)</t>
  </si>
  <si>
    <t>data/capitaliq/capiq-ai-prompt1_2026-10-16.md Task 2B (revenue, levered FCF, consensus)</t>
  </si>
  <si>
    <t>FLO.rev_fy24</t>
  </si>
  <si>
    <t>Revenue, FY2024 (fiscal label per CIQ / company)</t>
  </si>
  <si>
    <t>FLO.rev_fy25</t>
  </si>
  <si>
    <t>Revenue, FY2025 (fiscal label per CIQ / company)</t>
  </si>
  <si>
    <t>FLO.ebitda_fy24</t>
  </si>
  <si>
    <t>EBITDA, FY2024 (reported basis)</t>
  </si>
  <si>
    <t>data/capitaliq/capiq-ai-prompt1_2026-10-16.md Task 1B (annual leverage history, EBITDA)</t>
  </si>
  <si>
    <t>FLO.ebitda_fy25</t>
  </si>
  <si>
    <t>EBITDA, FY2025 (reported basis)</t>
  </si>
  <si>
    <t>FLO.gp_ltm</t>
  </si>
  <si>
    <t>Gross profit, LTM (USD m)</t>
  </si>
  <si>
    <t>CIQ LTM gross profit to 18-Jul-2026 (data/capitaliq/capiq-ai-model-gaps-6_2026-10-17.md Task 6A, USD m).</t>
  </si>
  <si>
    <t>FLO.lfcf_ltm</t>
  </si>
  <si>
    <t>Levered free cash flow, LTM (CIQ basis)</t>
  </si>
  <si>
    <t>FLO.pe_ltm</t>
  </si>
  <si>
    <t>P/E LTM (CIQ multiples tool)</t>
  </si>
  <si>
    <t>data/capitaliq/capiq-ai-prompt1_2026-10-16.md Task 2A (CIQ multiples tool)</t>
  </si>
  <si>
    <t>FLO.pe_ntm</t>
  </si>
  <si>
    <t>P/E NTM (CIQ multiples tool)</t>
  </si>
  <si>
    <t>Tool value; EPS NTM is derived as price / this P/E [calc]</t>
  </si>
  <si>
    <t>FLO.ev_ebitda_ltm_tool</t>
  </si>
  <si>
    <t>EV/EBITDA LTM, CIQ multiples tool (audit only)</t>
  </si>
  <si>
    <t>Not used: tool EV differs from the table EV (wiki discrepancy #7)</t>
  </si>
  <si>
    <t>FLO.ev_ebitda_ntm_tool</t>
  </si>
  <si>
    <t>EV/EBITDA NTM, CIQ multiples tool (audit only)</t>
  </si>
  <si>
    <t>Audit only</t>
  </si>
  <si>
    <t>GRUMA.price_local</t>
  </si>
  <si>
    <t>Share price, local currency (pricing date)</t>
  </si>
  <si>
    <t>Delayed quote MXN 242.02 (Yahoo Finance, 16-Oct-2026 1:59 PM CST; no official BMV close found). Corroborated by the Capital IQ chart close USD 13.09 x 18.479 = MXN 241.89 (-0.05%) (data/capitaliq/capiq-ai-model-gaps-5_2026-10-17.md chart table).</t>
  </si>
  <si>
    <t>Delayed quote (Yahoo Finance, 16-Oct-2026 1:59 PM CST); StockAnalysis 242.71; no official BMV close found</t>
  </si>
  <si>
    <t>GRUMA.shares</t>
  </si>
  <si>
    <t>Shares outstanding</t>
  </si>
  <si>
    <t>Company filings (see note)</t>
  </si>
  <si>
    <t>Outstanding Series B shares at 30-Jun-2026 (2Q26 BMV report p.53); treasury 6,463,051 excluded</t>
  </si>
  <si>
    <t>GRUMA.fx</t>
  </si>
  <si>
    <t>Local currency to USD for market values</t>
  </si>
  <si>
    <t>USD per MXN = 1 / fx_mxn_spot (link)</t>
  </si>
  <si>
    <t>Linked: 1 / fx_mxn_spot (USD/MXN 18.479 on 16-Oct-2026); v1/v2 used 17.46</t>
  </si>
  <si>
    <t>GRUMA.nci_usd</t>
  </si>
  <si>
    <t>Non-controlling interest, USD m (filings)</t>
  </si>
  <si>
    <t>Non-controlling interest 30-Jun-2026, USD m (2Q26 BMV report p.20)</t>
  </si>
  <si>
    <t>GRUMA.nd</t>
  </si>
  <si>
    <t>Calc from Gruma 2Q26 BMV report (USD): total debt incl. leases 2,111.8 (ST 365.2 p.35; LT 1,333.4 p.20; leases 413.2 p.19-20) less cash 483.6 (p.19)</t>
  </si>
  <si>
    <t>Calc: total debt incl. leases 2,111.8 (ST bank loans 365.2 + LT debt 1,333.4 + leases 413.2, carrying; 2Q26 report p.19-20, p.35) less cash 483.6 (p.19)</t>
  </si>
  <si>
    <t>GRUMA.ebitda_ltm</t>
  </si>
  <si>
    <t>Calc from Gruma FY25 release (S3 p.11, EBITDA 1,136.0) + 1H26 538.5 - 1H25 565.6 (2Q26 BMV report p.12 and p.33)</t>
  </si>
  <si>
    <t>Calc: FY25 1,136.0 + 1H26 538.5 - 1H25 565.6 (company EBITDA = operating income + D&amp;A + impairment, before lease costs under IFRS 16)</t>
  </si>
  <si>
    <t>GRUMA.rev_ltm</t>
  </si>
  <si>
    <t>Calc from Gruma FY25 release (S3 p.11, net sales 6,374.6) + 1H26 3,274.7 - 1H25 3,149.2 (2Q26 BMV report p.34 cross-check 6,500.057)</t>
  </si>
  <si>
    <t>GRUMA.rev_fy24</t>
  </si>
  <si>
    <t>Gruma FY25 release, FY24 comparative (S3 p.11)</t>
  </si>
  <si>
    <t>GRUMA.rev_fy25</t>
  </si>
  <si>
    <t>Gruma FY25 release (S3 p.11)</t>
  </si>
  <si>
    <t>GRUMA.ebitda_fy24</t>
  </si>
  <si>
    <t>Gruma FY25 release, FY24 comparative (S3 p.11) EBITDA UAFIRDA</t>
  </si>
  <si>
    <t>GRUMA.ebitda_fy25</t>
  </si>
  <si>
    <t>Gruma FY25 release (S3 p.11) EBITDA UAFIRDA</t>
  </si>
  <si>
    <t>GRUMA.gp_ltm</t>
  </si>
  <si>
    <t>Calc from Gruma FY25 gross profit 2,492.7 (S3 p.11) + 1H26 1,276.1 - 1H25 1,246.6 (S1 p.12)</t>
  </si>
  <si>
    <t>GRUMA.lfcf_ltm</t>
  </si>
  <si>
    <t>pending</t>
  </si>
  <si>
    <t>Not retrieved (pending)</t>
  </si>
  <si>
    <t>GRUMA.pe_ltm</t>
  </si>
  <si>
    <t>calc: price in USD / diluted EPS LTM USD 1.40 (Capital IQ, prompt 4B)</t>
  </si>
  <si>
    <t>GRUMA.pe_ntm</t>
  </si>
  <si>
    <t>calc: price in USD / NTM EPS (FY2026E 1.40 and FY2027E 1.33 consensus, day-weighted; Capital IQ, prompt 4C)</t>
  </si>
  <si>
    <t>GRUMA.ev_ebitda_ltm_tool</t>
  </si>
  <si>
    <t>not in CIQ pull</t>
  </si>
  <si>
    <t>GRUMA.ev_ebitda_ntm_tool</t>
  </si>
  <si>
    <t>YMZ.price_local</t>
  </si>
  <si>
    <t>JPY per share</t>
  </si>
  <si>
    <t>TSE close JPY 3,816 on 16-Oct-2026 (Yahoo Finance Japan history, aggregator). Corroborated by the Capital IQ chart close USD 24.17 x 157.987 = JPY 3,818.5 (+0.07%) (data/capitaliq/capiq-ai-model-gaps-5_2026-10-17.md).</t>
  </si>
  <si>
    <t>TSE close 16-Oct-2026 (Yahoo Finance Japan, aggregator); CIQ chart within 0.07%</t>
  </si>
  <si>
    <t>YMZ.shares</t>
  </si>
  <si>
    <t>Basic shares outstanding 196.9m at 30-Jun-2026 (data/capitaliq/capiq-ai-model-gaps-4_2026-10-17.md Task 4A; diluted returned N/A).</t>
  </si>
  <si>
    <t>Not found</t>
  </si>
  <si>
    <t>YMZ.fx</t>
  </si>
  <si>
    <t>USD per JPY = 1 / 157.987 (Yahoo Finance JPY=X close 16-Oct-2026, see fx.usd_per_jpy). v2 used Capital IQ's 0.006482 (LTM 30-Jun-2026 conversion).</t>
  </si>
  <si>
    <t>CIQ conversion 0.006482 USD per JPY</t>
  </si>
  <si>
    <t>YMZ.nci_usd</t>
  </si>
  <si>
    <t>Not found in research</t>
  </si>
  <si>
    <t>YMZ.nd</t>
  </si>
  <si>
    <t>YMZ.ebitda_ltm</t>
  </si>
  <si>
    <t>YMZ.rev_ltm</t>
  </si>
  <si>
    <t>YMZ.rev_fy24</t>
  </si>
  <si>
    <t>YMZ.rev_fy25</t>
  </si>
  <si>
    <t>data/capitaliq/capiq-ai-model-gaps-7_2026-10-17.md Task 7A corrected revenue table: FY2025 USD 8,773.2m = JPY 1,353,459m (data/capitaliq/capiq-ai-model-gaps-4_2026-10-17.md Task 4B) x 0.006482. Resolves wiki discrepancy #11: the copy error was the Prompt 1 FY2021 value (FY2021 is 9,592.8).</t>
  </si>
  <si>
    <t>Not used: CIQ value equals the FY2021 figure (wiki discrepancy #11)</t>
  </si>
  <si>
    <t>YMZ.ebitda_fy24</t>
  </si>
  <si>
    <t>YMZ.ebitda_fy25</t>
  </si>
  <si>
    <t>YMZ.gp_ltm</t>
  </si>
  <si>
    <t>CIQ LTM gross profit to 30-Jun-2026 (data/capitaliq/capiq-ai-model-gaps-6_2026-10-17.md Task 6A, USD m).</t>
  </si>
  <si>
    <t>YMZ.lfcf_ltm</t>
  </si>
  <si>
    <t>YMZ.pe_ltm</t>
  </si>
  <si>
    <t>YMZ.pe_ntm</t>
  </si>
  <si>
    <t>YMZ.ev_ebitda_ltm_tool</t>
  </si>
  <si>
    <t>YMZ.ev_ebitda_ntm_tool</t>
  </si>
  <si>
    <t>ARYN.mc</t>
  </si>
  <si>
    <t>ARYN.shares</t>
  </si>
  <si>
    <t>24.8m in three Capital IQ pulls: Task 1A diluted (data/capitaliq/capiq-ai-prompt1_2026-10-16.md), basic at 30-Jun-2026 (data/capitaliq/capiq-ai-model-gaps-4_2026-10-17.md Task 4A) and latest (data/capitaliq/capiq-ai-model-gaps-5_2026-10-17.md).</t>
  </si>
  <si>
    <t>CIQ share count 24.8m not verified (Aryzta H1-26 report not read)</t>
  </si>
  <si>
    <t>ARYN.ev_ciq</t>
  </si>
  <si>
    <t>ARYN.nci_filings</t>
  </si>
  <si>
    <t>CIQ residual -17.4 unexplained (NCI not found in research)</t>
  </si>
  <si>
    <t>ARYN.nd</t>
  </si>
  <si>
    <t>ARYN.ebitda_ltm</t>
  </si>
  <si>
    <t>ARYN.rev_ltm</t>
  </si>
  <si>
    <t>ARYN.rev_fy24</t>
  </si>
  <si>
    <t>ARYN.rev_fy25</t>
  </si>
  <si>
    <t>ARYN.ebitda_fy24</t>
  </si>
  <si>
    <t>ARYN.ebitda_fy25</t>
  </si>
  <si>
    <t>ARYN.gp_ltm</t>
  </si>
  <si>
    <t>ARYN.lfcf_ltm</t>
  </si>
  <si>
    <t>ARYN.pe_ltm</t>
  </si>
  <si>
    <t>ARYN.pe_ntm</t>
  </si>
  <si>
    <t>ARYN.ev_ebitda_ltm_tool</t>
  </si>
  <si>
    <t>ARYN.ev_ebitda_ntm_tool</t>
  </si>
  <si>
    <t>SJM.mc</t>
  </si>
  <si>
    <t>SJM.shares</t>
  </si>
  <si>
    <t>SJM.ev_ciq</t>
  </si>
  <si>
    <t>SJM.nci_filings</t>
  </si>
  <si>
    <t>residual 0 (no NCI found)</t>
  </si>
  <si>
    <t>SJM.nd</t>
  </si>
  <si>
    <t>SJM.ebitda_ltm</t>
  </si>
  <si>
    <t>SJM.rev_ltm</t>
  </si>
  <si>
    <t>SJM.rev_fy24</t>
  </si>
  <si>
    <t>SJM.rev_fy25</t>
  </si>
  <si>
    <t>SJM.ebitda_fy24</t>
  </si>
  <si>
    <t>SJM.ebitda_fy25</t>
  </si>
  <si>
    <t>SJM.gp_ltm</t>
  </si>
  <si>
    <t>CIQ LTM gross profit to 31-Jul-2026. The SEC research had flagged an unexplained Q1 FY27 vs Q1 FY26 gap; the CIQ standardized figure is shown for display only (no multiple uses it) (data/capitaliq/capiq-ai-model-gaps-6_2026-10-17.md Task 6A, USD m).</t>
  </si>
  <si>
    <t>SJM LTM not used: unexplained Q1 FY27 vs Q1 FY26 gap (SEC research)</t>
  </si>
  <si>
    <t>SJM.lfcf_ltm</t>
  </si>
  <si>
    <t>SJM.pe_ltm</t>
  </si>
  <si>
    <t>SJM 58.6x reflects depressed earnings; excluded from P/E medians (assumption)</t>
  </si>
  <si>
    <t>SJM.pe_ntm</t>
  </si>
  <si>
    <t>SJM.ev_ebitda_ltm_tool</t>
  </si>
  <si>
    <t>SJM.ev_ebitda_ntm_tool</t>
  </si>
  <si>
    <t>CPB.mc</t>
  </si>
  <si>
    <t>CPB.shares</t>
  </si>
  <si>
    <t>CPB.ev_ciq</t>
  </si>
  <si>
    <t>CPB.nci_filings</t>
  </si>
  <si>
    <t>306.0 = NCI 2.0 + redeemable NCI 304.0 (10-Q/10-K); matches CIQ residual</t>
  </si>
  <si>
    <t>CPB.nd</t>
  </si>
  <si>
    <t>CPB.ebitda_ltm</t>
  </si>
  <si>
    <t>CPB.rev_ltm</t>
  </si>
  <si>
    <t>CPB.rev_fy24</t>
  </si>
  <si>
    <t>CPB.rev_fy25</t>
  </si>
  <si>
    <t>CPB.ebitda_fy24</t>
  </si>
  <si>
    <t>CPB.ebitda_fy25</t>
  </si>
  <si>
    <t>CPB.gp_ltm</t>
  </si>
  <si>
    <t>CIQ LTM gross profit to 2-Aug-2026 (= FY2026). Replaces the SEC calculation 2,742 so that LTM, the CIQ FY2024/FY2025 columns and the CIQ revenue denominator are on one basis (data/capitaliq/capiq-ai-model-gaps-6_2026-10-17.md Task 6A, USD m).</t>
  </si>
  <si>
    <t>CPB.lfcf_ltm</t>
  </si>
  <si>
    <t>CPB.pe_ltm</t>
  </si>
  <si>
    <t>CPB.pe_ntm</t>
  </si>
  <si>
    <t>CPB.ev_ebitda_ltm_tool</t>
  </si>
  <si>
    <t>CPB.ev_ebitda_ntm_tool</t>
  </si>
  <si>
    <t>MDLZ.mc</t>
  </si>
  <si>
    <t>MDLZ.shares</t>
  </si>
  <si>
    <t>MDLZ.ev_ciq</t>
  </si>
  <si>
    <t>MDLZ.nci_filings</t>
  </si>
  <si>
    <t>53.0 (text, 2Q26 10-Q) matches CIQ residual</t>
  </si>
  <si>
    <t>MDLZ.nd</t>
  </si>
  <si>
    <t>MDLZ.ebitda_ltm</t>
  </si>
  <si>
    <t>MDLZ.rev_ltm</t>
  </si>
  <si>
    <t>MDLZ.rev_fy24</t>
  </si>
  <si>
    <t>MDLZ.rev_fy25</t>
  </si>
  <si>
    <t>MDLZ.ebitda_fy24</t>
  </si>
  <si>
    <t>MDLZ.ebitda_fy25</t>
  </si>
  <si>
    <t>One-off year for MDLZ (wiki discrepancy #13), descriptive only</t>
  </si>
  <si>
    <t>MDLZ.gp_ltm</t>
  </si>
  <si>
    <t>SEC XBRL GrossProfit / calc from Revenues less CostOfGoodsAndServicesSold (CPB) (research)</t>
  </si>
  <si>
    <t>MDLZ.lfcf_ltm</t>
  </si>
  <si>
    <t>MDLZ.pe_ltm</t>
  </si>
  <si>
    <t>MDLZ.pe_ntm</t>
  </si>
  <si>
    <t>MDLZ.ev_ebitda_ltm_tool</t>
  </si>
  <si>
    <t>MDLZ.ev_ebitda_ntm_tool</t>
  </si>
  <si>
    <t>AC.price_local</t>
  </si>
  <si>
    <t>Quote MXN 209.66 on 16-Oct-2026 (Yahoo header and Rankia, aggregators; no BMV primary). Corroborated by the Capital IQ chart close USD 11.34 x 18.479 = MXN 209.55 (-0.05%) (data/capitaliq/capiq-ai-model-gaps-5_2026-10-17.md; the BMV:AC column is Arca's own series).</t>
  </si>
  <si>
    <t>Quote 16-Oct-2026 (Yahoo, Rankia); CIQ chart within 0.05%; Yahoo 15-Oct close 206.85</t>
  </si>
  <si>
    <t>AC.shares</t>
  </si>
  <si>
    <t>Basic shares outstanding 1,696.2m at 30-Jun-2026 (data/capitaliq/capiq-ai-model-gaps-4_2026-10-17.md Task 4A; diluted N/A). A BMV buyback notice shows 1,698.2m (+0.1%).</t>
  </si>
  <si>
    <t>Not found (a BMV buyback notice shows 1,698,192,061 in an unlabelled field; not used)</t>
  </si>
  <si>
    <t>AC.fx</t>
  </si>
  <si>
    <t>AC.nci_usd</t>
  </si>
  <si>
    <t>AC.nd</t>
  </si>
  <si>
    <t>AC.ebitda_ltm</t>
  </si>
  <si>
    <t>AC.rev_ltm</t>
  </si>
  <si>
    <t>AC.rev_fy24</t>
  </si>
  <si>
    <t>AC.rev_fy25</t>
  </si>
  <si>
    <t>AC.ebitda_fy24</t>
  </si>
  <si>
    <t>AC.ebitda_fy25</t>
  </si>
  <si>
    <t>AC.gp_ltm</t>
  </si>
  <si>
    <t>AC.lfcf_ltm</t>
  </si>
  <si>
    <t>AC.pe_ltm</t>
  </si>
  <si>
    <t>AC.pe_ntm</t>
  </si>
  <si>
    <t>AC.ev_ebitda_ltm_tool</t>
  </si>
  <si>
    <t>AC.ev_ebitda_ntm_tool</t>
  </si>
  <si>
    <t>PEP.mc</t>
  </si>
  <si>
    <t>PEP.shares</t>
  </si>
  <si>
    <t>PEP.ev_ciq</t>
  </si>
  <si>
    <t>PEP.nci_filings</t>
  </si>
  <si>
    <t>195.0 (10-K) matches CIQ residual</t>
  </si>
  <si>
    <t>PEP.nd</t>
  </si>
  <si>
    <t>PEP.ebitda_ltm</t>
  </si>
  <si>
    <t>PEP.rev_ltm</t>
  </si>
  <si>
    <t>PEP.rev_fy24</t>
  </si>
  <si>
    <t>PEP.rev_fy25</t>
  </si>
  <si>
    <t>PEP.ebitda_fy24</t>
  </si>
  <si>
    <t>PEP.ebitda_fy25</t>
  </si>
  <si>
    <t>PEP.gp_ltm</t>
  </si>
  <si>
    <t>CIQ LTM gross profit to 5-Sep-2026. Replaces the SEC calculation 53,216 for one basis with CIQ revenue and the FY columns (data/capitaliq/capiq-ai-model-gaps-6_2026-10-17.md Task 6A, USD m).</t>
  </si>
  <si>
    <t>PEP.lfcf_ltm</t>
  </si>
  <si>
    <t>PEP.pe_ltm</t>
  </si>
  <si>
    <t>PEP.pe_ntm</t>
  </si>
  <si>
    <t>PEP.ev_ebitda_ltm_tool</t>
  </si>
  <si>
    <t>PEP.ev_ebitda_ntm_tool</t>
  </si>
  <si>
    <t>D0. EV claim basis components (USD m, balance sheet dates per row); pensions, MEPP and derivatives excluded for all companies</t>
  </si>
  <si>
    <t>FLO.fin_debt</t>
  </si>
  <si>
    <t>Financial debt incl. finance leases (claim basis)</t>
  </si>
  <si>
    <t>Filings: 18-Jul-2026 (10-Q); see EV claim basis text</t>
  </si>
  <si>
    <t>18-Jul-2026 (10-Q)</t>
  </si>
  <si>
    <t>FLO.fin_lease</t>
  </si>
  <si>
    <t>Finance leases (memo: included in financial debt above)</t>
  </si>
  <si>
    <t>Filings (see claim text)</t>
  </si>
  <si>
    <t>Memo only; not added again</t>
  </si>
  <si>
    <t>FLO.lease</t>
  </si>
  <si>
    <t>Operating / IFRS 16 lease liabilities (claim basis)</t>
  </si>
  <si>
    <t>FLO.nci_book</t>
  </si>
  <si>
    <t>NCI at book incl. redeemable NCI (claim basis; ARYN = CIQ residual)</t>
  </si>
  <si>
    <t>Filings: 18-Jul-2026 (10-Q)</t>
  </si>
  <si>
    <t>FLO.cash</t>
  </si>
  <si>
    <t>Cash and equivalents (claim basis)</t>
  </si>
  <si>
    <t>FLO.claims</t>
  </si>
  <si>
    <t>text</t>
  </si>
  <si>
    <t>Coordinator rule 17-Oct-2026 applied; see components above</t>
  </si>
  <si>
    <t>FLO.io_flag</t>
  </si>
  <si>
    <t>Consolidated distributor / independent-operator earnings in EBITDA?</t>
  </si>
  <si>
    <t>Coordinator statement (Flowers independent distributors not consolidated); not re-verified</t>
  </si>
  <si>
    <t>SJM.fin_debt</t>
  </si>
  <si>
    <t>Filings: 31-Jul-2026 (10-Q); see EV claim basis text</t>
  </si>
  <si>
    <t>31-Jul-2026 (10-Q)</t>
  </si>
  <si>
    <t>SJM.fin_lease</t>
  </si>
  <si>
    <t>SJM.lease</t>
  </si>
  <si>
    <t>SJM.nci_book</t>
  </si>
  <si>
    <t>Filings: 31-Jul-2026 (10-Q)</t>
  </si>
  <si>
    <t>SJM.cash</t>
  </si>
  <si>
    <t>SJM.claims</t>
  </si>
  <si>
    <t>SJM.io_flag</t>
  </si>
  <si>
    <t>CPB.fin_debt</t>
  </si>
  <si>
    <t>Filings: 2-Aug-2026 (FY26 10-K); see EV claim basis text</t>
  </si>
  <si>
    <t>2-Aug-2026 (FY26 10-K)</t>
  </si>
  <si>
    <t>CPB.fin_lease</t>
  </si>
  <si>
    <t>CPB.lease</t>
  </si>
  <si>
    <t>CPB.nci_book</t>
  </si>
  <si>
    <t>Filings: 2-Aug-2026 (FY26 10-K)</t>
  </si>
  <si>
    <t>CPB.cash</t>
  </si>
  <si>
    <t>CPB.claims</t>
  </si>
  <si>
    <t>CPB.io_flag</t>
  </si>
  <si>
    <t>MDLZ.fin_debt</t>
  </si>
  <si>
    <t>Filings: 30-Jun-2026 (10-Q); see EV claim basis text</t>
  </si>
  <si>
    <t>30-Jun-2026 (10-Q)</t>
  </si>
  <si>
    <t>MDLZ.fin_lease</t>
  </si>
  <si>
    <t>MDLZ.lease</t>
  </si>
  <si>
    <t>assumption</t>
  </si>
  <si>
    <t>Noncurrent operating leases 609 (10-Q 30-Jun-2026) + current 164 (31-Dec-2025 10-K, proxy) [assumption]</t>
  </si>
  <si>
    <t>MDLZ: noncurrent only at 30-Jun-2026 (current portion not found)</t>
  </si>
  <si>
    <t>MDLZ.nci_book</t>
  </si>
  <si>
    <t>Filings: 30-Jun-2026 (10-Q)</t>
  </si>
  <si>
    <t>MDLZ.cash</t>
  </si>
  <si>
    <t>MDLZ.claims</t>
  </si>
  <si>
    <t>Financial debt 21,450 (includes finance leases, not separated at 30-Jun-26; 423 at 31-Dec-25) + operating lease liabilities 773 (noncurrent 609 at 30-Jun-26 + current 164 at 31-Dec-25 as a proxy) + NCI 53 - cash 1,716. CIQ EV + 164.</t>
  </si>
  <si>
    <t>MDLZ.io_flag</t>
  </si>
  <si>
    <t>PEP.fin_debt</t>
  </si>
  <si>
    <t>Filings: 5-Sep-2026 (debt, cash); 27-Dec-2025 (operating leases); see EV claim basis text</t>
  </si>
  <si>
    <t>5-Sep-2026 (debt, cash); 27-Dec-2025 (operating leases)</t>
  </si>
  <si>
    <t>PEP.fin_lease</t>
  </si>
  <si>
    <t>PEP.lease</t>
  </si>
  <si>
    <t>PEP: 27-Dec-2025 10-K balance (Sep-2026 not found); CIQ excludes leases for PEP</t>
  </si>
  <si>
    <t>PEP.nci_book</t>
  </si>
  <si>
    <t>Filings: 5-Sep-2026 (debt, cash); 27-Dec-2025 (operating leases)</t>
  </si>
  <si>
    <t>PEP.cash</t>
  </si>
  <si>
    <t>PEP: CIQ net debt deducts a further 488 (not cash); not used</t>
  </si>
  <si>
    <t>PEP.claims</t>
  </si>
  <si>
    <t>PEP.io_flag</t>
  </si>
  <si>
    <t>GRUMA.fin_debt</t>
  </si>
  <si>
    <t>Filings: 30-Jun-2026 (2Q26 BMV report); see EV claim basis text</t>
  </si>
  <si>
    <t>30-Jun-2026 (2Q26 BMV report)</t>
  </si>
  <si>
    <t>GRUMA.fin_lease</t>
  </si>
  <si>
    <t>GRUMA.lease</t>
  </si>
  <si>
    <t>GRUMA.nci_book</t>
  </si>
  <si>
    <t>Filings: 30-Jun-2026 (2Q26 BMV report)</t>
  </si>
  <si>
    <t>GRUMA.cash</t>
  </si>
  <si>
    <t>GRUMA.claims</t>
  </si>
  <si>
    <t>GRUMA.io_flag</t>
  </si>
  <si>
    <t>ARYN.fin_debt</t>
  </si>
  <si>
    <t>Long-term debt EUR 678.2m x Capital IQ rate 1.166559 (fx_cic_eur) = USD 791.2m (data/capitaliq/capiq-ai-model-gaps-4_2026-10-17.md Task 4A). No short-term borrowings returned; the current 'LT debt &amp; leases' line equals current leases.</t>
  </si>
  <si>
    <t>30-Jun-2026 (CIQ LTM)</t>
  </si>
  <si>
    <t>Descriptive only: Aryzta H1-26 report not read</t>
  </si>
  <si>
    <t>ARYN.fin_lease</t>
  </si>
  <si>
    <t>ARYN.lease</t>
  </si>
  <si>
    <t>IFRS 16 lease liabilities EUR 167.8m (current 35.5 + non-current 132.3) x 1.166559 = USD 195.7m. The output's 'EUR 167.8 - 35.5 = 119.1' is a subtraction error (132.3). 678.2 + 167.8 = 846.0 ties to CIQ total debt EUR 845.9.</t>
  </si>
  <si>
    <t>Aryzta: lease split not verified (included in CIQ total debt)</t>
  </si>
  <si>
    <t>ARYN.nci_book</t>
  </si>
  <si>
    <t>Value kept from v2 so that the descriptive EV ties to CIQ TEV 2,103.3 (= TEV - market cap 1,218.8 - CIQ net debt 901.9). It is not a book NCI: it is negative and unexplained. Capital IQ returns minority interest as N/A for every company, including CPB (306), MDLZ (53), PEP (195) and Gruma (2.8), whose filings show NCI, so N/A is not zero; ARYZTA's NCI is not verified.</t>
  </si>
  <si>
    <t>ARYN.cash</t>
  </si>
  <si>
    <t>Filings: 30-Jun-2026 (CIQ LTM)</t>
  </si>
  <si>
    <t>ARYN.claims</t>
  </si>
  <si>
    <t>Text value; components from data/capitaliq/capiq-ai-model-gaps-4_2026-10-17.md Task 4A. Copy the same text to Detail_PeerAnalysis R15.</t>
  </si>
  <si>
    <t>ARYN.io_flag</t>
  </si>
  <si>
    <t>BIMBO.io_flag</t>
  </si>
  <si>
    <t>Yes: BBU independent operators consolidated as structured entities; profit attribution to NCI per coordinator, not confirmed in the wiki</t>
  </si>
  <si>
    <t>RA25 p.249-250 (note 7, structured entities) via wiki/Company/bimbo-business-model.md; NCI share of FY25 profit 1,813 (wiki/Financials/bimbo-income-statement-fy21-fy25.md)</t>
  </si>
  <si>
    <t>D. Consensus (CIQ, USD m) used for calendarisation to NTM from 16-Oct-2026</t>
  </si>
  <si>
    <t>FLO.fye</t>
  </si>
  <si>
    <t>Fiscal year end of the year containing the pricing date (FY1)</t>
  </si>
  <si>
    <t>Company fiscal calendar; CIQ fiscal year-end (Dec for ARYN per CIQ; December FYE confirmed by Aryzta 2026 interim dates)</t>
  </si>
  <si>
    <t>FY26E (year to ~2-Jan-2027)</t>
  </si>
  <si>
    <t>FLO.cons1_ebitda</t>
  </si>
  <si>
    <t>Consensus EBITDA, FY1 (FY26E (year to ~2-Jan-2027))</t>
  </si>
  <si>
    <t>wiki/Valuation/peer-multiples-and-operations-capiq-2026-10.md section 5 (CIQ consensus, US$m)</t>
  </si>
  <si>
    <t>FLO.cons1_rev</t>
  </si>
  <si>
    <t>Consensus revenue, FY1</t>
  </si>
  <si>
    <t>FLO.cons2_ebitda</t>
  </si>
  <si>
    <t>Consensus EBITDA, FY2 (FY27E (year to ~1-Jan-2028))</t>
  </si>
  <si>
    <t>FLO.cons2_rev</t>
  </si>
  <si>
    <t>Consensus revenue, FY2</t>
  </si>
  <si>
    <t>YMZ.fye</t>
  </si>
  <si>
    <t>FY26E (Dec-2026)</t>
  </si>
  <si>
    <t>YMZ.cons1_ebitda</t>
  </si>
  <si>
    <t>Consensus EBITDA, FY1 (FY26E (Dec-2026))</t>
  </si>
  <si>
    <t>YMZ.cons1_rev</t>
  </si>
  <si>
    <t>YMZ.cons2_ebitda</t>
  </si>
  <si>
    <t>Consensus EBITDA, FY2 (FY27E (Dec-2027))</t>
  </si>
  <si>
    <t>YMZ.cons2_rev</t>
  </si>
  <si>
    <t>ARYN.fye</t>
  </si>
  <si>
    <t>unverified</t>
  </si>
  <si>
    <t>FY26E (Dec-2026; December FYE confirmed)</t>
  </si>
  <si>
    <t>ARYN.cons1_ebitda</t>
  </si>
  <si>
    <t>Consensus EBITDA, FY1 (FY26E (Dec-2026; December FYE confirmed))</t>
  </si>
  <si>
    <t>ARYN.cons1_rev</t>
  </si>
  <si>
    <t>ARYN.cons2_ebitda</t>
  </si>
  <si>
    <t>ARYN.cons2_rev</t>
  </si>
  <si>
    <t>SJM.fye</t>
  </si>
  <si>
    <t>FY27E (year to 30-Apr-2027)</t>
  </si>
  <si>
    <t>SJM.cons1_ebitda</t>
  </si>
  <si>
    <t>Consensus EBITDA, FY1 (FY27E (year to 30-Apr-2027))</t>
  </si>
  <si>
    <t>SJM/CPB FY1 is FY27E because FY26 is closed (A)</t>
  </si>
  <si>
    <t>SJM.cons1_rev</t>
  </si>
  <si>
    <t>SJM.cons2_ebitda</t>
  </si>
  <si>
    <t>Consensus EBITDA, FY2 (FY28E (year to 30-Apr-2028))</t>
  </si>
  <si>
    <t>SJM.cons2_rev</t>
  </si>
  <si>
    <t>CPB.fye</t>
  </si>
  <si>
    <t>FY27E (year to ~1-Aug-2027)</t>
  </si>
  <si>
    <t>CPB.cons1_ebitda</t>
  </si>
  <si>
    <t>Consensus EBITDA, FY1 (FY27E (year to ~1-Aug-2027))</t>
  </si>
  <si>
    <t>CPB.cons1_rev</t>
  </si>
  <si>
    <t>CPB.cons2_ebitda</t>
  </si>
  <si>
    <t>Consensus EBITDA, FY2 (FY28E (year to ~31-Jul-2028))</t>
  </si>
  <si>
    <t>CPB.cons2_rev</t>
  </si>
  <si>
    <t>MDLZ.fye</t>
  </si>
  <si>
    <t>MDLZ.cons1_ebitda</t>
  </si>
  <si>
    <t>MDLZ.cons1_rev</t>
  </si>
  <si>
    <t>MDLZ.cons2_ebitda</t>
  </si>
  <si>
    <t>MDLZ.cons2_rev</t>
  </si>
  <si>
    <t>AC.fye</t>
  </si>
  <si>
    <t>AC.cons1_ebitda</t>
  </si>
  <si>
    <t>AC.cons1_rev</t>
  </si>
  <si>
    <t>AC.cons2_ebitda</t>
  </si>
  <si>
    <t>AC.cons2_rev</t>
  </si>
  <si>
    <t>PEP.fye</t>
  </si>
  <si>
    <t>PEP.cons1_ebitda</t>
  </si>
  <si>
    <t>PEP.cons1_rev</t>
  </si>
  <si>
    <t>PEP.cons2_ebitda</t>
  </si>
  <si>
    <t>PEP.cons2_rev</t>
  </si>
  <si>
    <t>GRUMA.fye</t>
  </si>
  <si>
    <t>GRUMA</t>
  </si>
  <si>
    <t>Fiscal year end of the year containing the pricing date (FY1 = FY2026)</t>
  </si>
  <si>
    <t>Gruma FY = calendar year (FY25 release 18-Feb-2026)</t>
  </si>
  <si>
    <t>GRUMA.cons1_ebitda</t>
  </si>
  <si>
    <t>Consensus EBITDA, FY1</t>
  </si>
  <si>
    <t>data/capitaliq/capiq-ai-model-gaps-4_2026-10-17.md Task 4C: EBITDA FY2026E consensus mean USD 1,111.37m (12 analysts, as of 14-Oct-2026; USD as converted by Capital IQ). Company EBITDA (UAFIRDA) basis, the same basis as the LTM 1,108.9 (test in judgment_calls). Gruma now enters the NTM medians.</t>
  </si>
  <si>
    <t>Blank: Gruma NTM metrics stay n/a; Gruma enters LTM medians only</t>
  </si>
  <si>
    <t>E. US GAAP lease normalisation (SEC XBRL, 10-K and 10-Q; research 17-Oct-2026)</t>
  </si>
  <si>
    <t>FLO.lease_incl</t>
  </si>
  <si>
    <t>CIQ total debt includes operating lease liabilities? (reconciliation)</t>
  </si>
  <si>
    <t>yes/no</t>
  </si>
  <si>
    <t>A (financial debt) -16.0%; B (+ operating lease liabilities) -0.22%: CIQ includes leases</t>
  </si>
  <si>
    <t>FLO.op_liab</t>
  </si>
  <si>
    <t>Operating lease liabilities, latest balance (USD m)</t>
  </si>
  <si>
    <t>SEC XBRL OperatingLeaseLiability current + noncurrent (10-Q; 10-K for PEP and MDLZ current item)</t>
  </si>
  <si>
    <t>FLO.op_cost_fy24</t>
  </si>
  <si>
    <t>Operating lease cost, FY2024 (10-K, memo)</t>
  </si>
  <si>
    <t>SEC XBRL OperatingLeaseCost, FY2024 10-K</t>
  </si>
  <si>
    <t>FLO.op_cost_fy25</t>
  </si>
  <si>
    <t>Operating lease cost, FY2025 (10-K)</t>
  </si>
  <si>
    <t>SEC XBRL OperatingLeaseCost, FY2025 10-K</t>
  </si>
  <si>
    <t>FLO.op_cost_ltm</t>
  </si>
  <si>
    <t>Operating lease cost, LTM (add-back to EBITDA; operating lease cost only)</t>
  </si>
  <si>
    <t>FLO: FY25 91.969 + YTD 49.457 - YTD 49.617 (10-Q 18-Jul-2026); SJM: FY Apr-26 47.6 + Q1 FY27 11.7 - Q1 FY26 12.4; CPB: FY Aug-26 10-K 114.0; MDLZ and PEP: FY2025 10-K (LTM 10-Q YTD not found)</t>
  </si>
  <si>
    <t>Excludes short-term and variable lease cost (ASC 842)</t>
  </si>
  <si>
    <t>SJM.lease_incl</t>
  </si>
  <si>
    <t>B (+ operating lease liabilities 192.8 + finance leases 9.6) = 6,940.2 exact: CIQ includes leases</t>
  </si>
  <si>
    <t>SJM.op_liab</t>
  </si>
  <si>
    <t>SJM.op_cost_fy24</t>
  </si>
  <si>
    <t>SJM.op_cost_fy25</t>
  </si>
  <si>
    <t>SJM.op_cost_ltm</t>
  </si>
  <si>
    <t>CPB.lease_incl</t>
  </si>
  <si>
    <t>B (+ operating lease liabilities 313) = 7,450.0 exact: CIQ includes leases</t>
  </si>
  <si>
    <t>CPB.op_liab</t>
  </si>
  <si>
    <t>CPB.op_cost_fy24</t>
  </si>
  <si>
    <t>CPB.op_cost_fy25</t>
  </si>
  <si>
    <t>CPB.op_cost_ltm</t>
  </si>
  <si>
    <t>MDLZ.lease_incl</t>
  </si>
  <si>
    <t>B (+ noncurrent operating lease liabilities 609) = 22,059 exact; current portion not found at 30-Jun-26: CIQ includes leases (LTM cost = FY25 10-K)</t>
  </si>
  <si>
    <t>MDLZ.op_liab</t>
  </si>
  <si>
    <t>MDLZ: noncurrent only at 30-Jun-2026; current 164 at 31-Dec-2025</t>
  </si>
  <si>
    <t>MDLZ.op_cost_fy24</t>
  </si>
  <si>
    <t>MDLZ.op_cost_fy25</t>
  </si>
  <si>
    <t>MDLZ.op_cost_ltm</t>
  </si>
  <si>
    <t>PEP.lease_incl</t>
  </si>
  <si>
    <t>A (financial debt) = 51,881 exact: CIQ EXCLUDES operating leases; add 3,846 (27-Dec-2025 10-K; 5-Sep-2026 balance not found)</t>
  </si>
  <si>
    <t>PEP.op_liab</t>
  </si>
  <si>
    <t>2025-12-27</t>
  </si>
  <si>
    <t>PEP: 5-Sep-2026 balance not found; 27-Dec-2025 10-K used (date mismatch flagged)</t>
  </si>
  <si>
    <t>PEP.op_cost_fy24</t>
  </si>
  <si>
    <t>PEP.op_cost_fy25</t>
  </si>
  <si>
    <t>PEP.op_cost_ltm</t>
  </si>
  <si>
    <t>F. IFRS 16 / J-GAAP lease basis (filings research 17-Oct-2026)</t>
  </si>
  <si>
    <t>GRUMA.lease_incl</t>
  </si>
  <si>
    <t>CIQ total debt includes IFRS 16 lease liabilities?</t>
  </si>
  <si>
    <t>Gruma 2Q26 BMV report: total debt incl. leases 2,111.8 carrying (CIQ 2,112)</t>
  </si>
  <si>
    <t>GRUMA.lease_liab</t>
  </si>
  <si>
    <t>Lease liabilities added to EV (USD m; IFRS 16 memo)</t>
  </si>
  <si>
    <t>Gruma 2Q26 BMV report p.19-20 (current 52.8; non-current 360.4)</t>
  </si>
  <si>
    <t>GRUMA.lease_addback_ltm</t>
  </si>
  <si>
    <t>Lease depreciation add-back to EBITDA, LTM (USD m)</t>
  </si>
  <si>
    <t>Not needed: company EBITDA is before lease costs (operating income + D&amp;A incl. ROU depreciation)</t>
  </si>
  <si>
    <t>Add only if CIQ or company EBITDA is after lease depreciation</t>
  </si>
  <si>
    <t>GRUMA.ifrs_basis_ok</t>
  </si>
  <si>
    <t>Lease basis established on IFRS 16-equivalent (yes/no)</t>
  </si>
  <si>
    <t>Decision rule: yes only if CIQ or company debt includes leases and EBITDA is before lease costs</t>
  </si>
  <si>
    <t>Gruma: inferred from IFRS 16 mechanics (D&amp;A includes ROU depreciation); confirm in the BMV report</t>
  </si>
  <si>
    <t>ARYN.lease_incl</t>
  </si>
  <si>
    <t>Text value. CIQ total debt EUR 845.9m = long-term debt 678.2 + IFRS 16 lease liabilities 167.8 (within 0.1), so Capital IQ debt includes the leases (data/capitaliq/capiq-ai-model-gaps-4_2026-10-17.md Task 4A).</t>
  </si>
  <si>
    <t>ARYN.lease_liab</t>
  </si>
  <si>
    <t>IFRS 16 lease liabilities EUR 167.8m x 1.166559 = USD 195.7m (same as ARYN.lease).</t>
  </si>
  <si>
    <t>ARYN.lease_addback_ltm</t>
  </si>
  <si>
    <t>Not needed: ARYZTA reports under IFRS 16, so CIQ EBITDA is before lease costs (right-of-use depreciation and lease interest sit below EBITDA). Same inference as for Gruma.</t>
  </si>
  <si>
    <t>ARYN.ifrs_basis_ok</t>
  </si>
  <si>
    <t>Text value. Rule: yes only if CIQ or company debt includes leases and EBITDA is before lease costs. Both now hold (debt reconciled incl. leases; IFRS 16 EBITDA). ARYZTA stays out of the medians on NCI (claim basis), not on leases.</t>
  </si>
  <si>
    <t>Aryzta: not verified (H1-26 report not read)</t>
  </si>
  <si>
    <t>AC.lease_incl</t>
  </si>
  <si>
    <t>Text value. CIQ total debt MXN 65,427m includes IFRS 16 leases: current LT debt &amp; leases 17,753 + long-term debt 46,487 + non-current leases 1,190.7 (= leases 1,832.2 - current 641.5) = 65,430.7 (within 3.7). The output's derived 17,027 (17,753 - 641.5 = 17,111.5) and 1,174.0 (1,832.2 - 641.5 = 1,190.7) are arithmetic slips; with them the components are 97.5 short (data/capitaliq/capiq-ai-model-gaps-4_2026-10-17.md Task 4A).</t>
  </si>
  <si>
    <t>AC.lease_liab</t>
  </si>
  <si>
    <t>IFRS 16 lease liabilities MXN 1,832.2m (current 641.5 + non-current 1,190.7) x Capital IQ rate 0.055690 (fx_cic_mxn_old) = USD 102.0m; already inside CIQ total debt and net debt.</t>
  </si>
  <si>
    <t>AC.lease_addback_ltm</t>
  </si>
  <si>
    <t>Not needed: Arca reports under IFRS 16, so CIQ EBITDA is before lease costs. Same inference as for Gruma.</t>
  </si>
  <si>
    <t>AC.ifrs_basis_ok</t>
  </si>
  <si>
    <t>Text value. Rule: yes only if CIQ or company debt includes leases and EBITDA is before lease costs. Both now hold. Arca stays out of the medians on NCI (claim basis), not on leases.</t>
  </si>
  <si>
    <t>Arca: not verified (2Q26 report not read; shares and NCI not found)</t>
  </si>
  <si>
    <t>YMZ.lease_incl</t>
  </si>
  <si>
    <t>Text value. J-GAAP: CIQ total debt JPY 92,699m = short-term borrowings 51,337 + long-term debt 33,503 + lease obligations 7,853 (current 3,278 + non-current 4,575), within 6. These are J-GAAP (finance) lease obligations; operating leases are off balance sheet and no operating lease cost is available to add back (data/capitaliq/capiq-ai-model-gaps-4_2026-10-17.md Task 4A).</t>
  </si>
  <si>
    <t>YMZ.lease_liab</t>
  </si>
  <si>
    <t>J-GAAP lease obligations JPY 7,853m x Capital IQ rate 0.006482 (fx_cic_jpy) = USD 50.9m; already inside CIQ total debt and net debt. Operating leases not included.</t>
  </si>
  <si>
    <t>YMZ.lease_addback_ltm</t>
  </si>
  <si>
    <t>YMZ.ifrs_basis_ok</t>
  </si>
  <si>
    <t>Text value. Rule: yes only if CIQ or company debt includes leases and EBITDA is before lease costs. J-GAAP: operating leases are off balance sheet and EBITDA is after operating lease costs, with no add-back available. Fails.</t>
  </si>
  <si>
    <t>Yamazaki: J-GAAP; operating lease obligations not established</t>
  </si>
  <si>
    <t>BIMBO.fye</t>
  </si>
  <si>
    <t>Fiscal year = calendar year (company)</t>
  </si>
  <si>
    <t>G. Template extras (v3, 17-Oct-2026): peer history and consensus (Capital IQ prompts 1 and 4-7), Bimbo FY2029 consensus and market data; shaded blank = not available</t>
  </si>
  <si>
    <t>GRUMA.cons1_rev</t>
  </si>
  <si>
    <t>Revenue, consensus FY1 (FY2026E)</t>
  </si>
  <si>
    <t>data/capitaliq/capiq-ai-model-gaps-4_2026-10-17.md Task 4C (EBITDA, revenue and EPS normalized consensus means FY2026E-FY2028E) and Task 4B (diluted EPS LTM 1.40). Basis = company (UAFIRDA); see judgment_calls.</t>
  </si>
  <si>
    <t>GRUMA.cons2_rev</t>
  </si>
  <si>
    <t>Revenue, consensus FY2 (FY2027E)</t>
  </si>
  <si>
    <t>GRUMA.cons2_ebitda</t>
  </si>
  <si>
    <t>EBITDA, consensus FY2 (FY2027E)</t>
  </si>
  <si>
    <t>GRUMA.eps_fy1</t>
  </si>
  <si>
    <t>EPS normalised, consensus FY1 (USD)</t>
  </si>
  <si>
    <t>USD/share</t>
  </si>
  <si>
    <t>GRUMA.eps_fy2</t>
  </si>
  <si>
    <t>EPS normalised, consensus FY2 (USD)</t>
  </si>
  <si>
    <t>GRUMA.eps_ltm</t>
  </si>
  <si>
    <t>EPS diluted, LTM Jun-2026 (USD)</t>
  </si>
  <si>
    <t>data/capitaliq/capiq-ai-model-gaps-4_2026-10-17.md Task 4B</t>
  </si>
  <si>
    <t>FLO.ebitda_fy23</t>
  </si>
  <si>
    <t>EBITDA, FY2023 (reported, CIQ margin x revenue)</t>
  </si>
  <si>
    <t>data/capitaliq/capiq-ai-prompt1_2026-10-16.md Task 2B: revenue FY2023 5,090.8 x EBITDA margin 9.6% (margin rounded to 0.1 pp)</t>
  </si>
  <si>
    <t>FLO.rev_fy26</t>
  </si>
  <si>
    <t>Revenue, FY2026E (= consensus FY1)</t>
  </si>
  <si>
    <t>Link to cons1_rev</t>
  </si>
  <si>
    <t>FLO.ebitda_fy26</t>
  </si>
  <si>
    <t>EBITDA, FY2026E (= consensus FY1)</t>
  </si>
  <si>
    <t>Link to cons1_ebitda</t>
  </si>
  <si>
    <t>FLO.cons3_rev</t>
  </si>
  <si>
    <t>Revenue, consensus FY3</t>
  </si>
  <si>
    <t>data/capitaliq/capiq-ai-prompt1_2026-10-16.md consensus table (FY2028E)</t>
  </si>
  <si>
    <t>FLO.cons3_ebitda</t>
  </si>
  <si>
    <t>EBITDA, consensus FY3</t>
  </si>
  <si>
    <t>FLO.lfcf_fy24</t>
  </si>
  <si>
    <t>Levered FCF, FY2024 (CIQ)</t>
  </si>
  <si>
    <t>data/capitaliq/capiq-ai-prompt1_2026-10-16.md Task 2B levered FCF table</t>
  </si>
  <si>
    <t>FLO.lfcf_fy25</t>
  </si>
  <si>
    <t>Levered FCF, FY2025 (CIQ)</t>
  </si>
  <si>
    <t>FLO.w52_high</t>
  </si>
  <si>
    <t>Price high, 52 weeks (USD)</t>
  </si>
  <si>
    <t>Not returned by Capital IQ (data/capitaliq/capiq-ai-model-gaps-5_2026-10-17.md)</t>
  </si>
  <si>
    <t>FLO.w52_low</t>
  </si>
  <si>
    <t>Price low, 52 weeks (USD)</t>
  </si>
  <si>
    <t>FLO.perf_1d</t>
  </si>
  <si>
    <t>Price performance 1D (%)</t>
  </si>
  <si>
    <t>FLO.px_2026-10-16</t>
  </si>
  <si>
    <t>Share price USD, month-end 2026-10-16</t>
  </si>
  <si>
    <t>data/capitaliq/capiq-ai-model-gaps-5_2026-10-17.md chart table, columns NYSE:FLO, BMV:GRUMA B, TSE:2212, SWX:ARYN, NYSE:SJM, NASDAQGS:CPB, NASDAQGS:MDLZ, BMV:AC (Arca's own series) and NASDAQGS:PEP (USD).</t>
  </si>
  <si>
    <t>FLO.px_2026-09-30</t>
  </si>
  <si>
    <t>Share price USD, month-end 2026-09-30</t>
  </si>
  <si>
    <t>FLO.px_2025-12-31</t>
  </si>
  <si>
    <t>Share price USD, month-end 2025-12-31</t>
  </si>
  <si>
    <t>FLO.px_2025-10-31</t>
  </si>
  <si>
    <t>Share price USD, month-end 2025-10-31</t>
  </si>
  <si>
    <t>FLO.px_2024-10-31</t>
  </si>
  <si>
    <t>Share price USD, month-end 2024-10-31</t>
  </si>
  <si>
    <t>FLO.px_2023-10-31</t>
  </si>
  <si>
    <t>Share price USD, month-end 2023-10-31</t>
  </si>
  <si>
    <t>FLO.px_2021-10-29</t>
  </si>
  <si>
    <t>Share price USD, month-end 2021-10-29</t>
  </si>
  <si>
    <t>FLO.dps</t>
  </si>
  <si>
    <t>Dividend per share, last 12 months (USD)</t>
  </si>
  <si>
    <t>DPS last 12 months USD 0.87 (LTM to 18-Jul-2026; data/capitaliq/capiq-ai-model-gaps-5_2026-10-17.md market data table).</t>
  </si>
  <si>
    <t>FLO.dps_fy24</t>
  </si>
  <si>
    <t>Dividend per share FY2024 (USD)</t>
  </si>
  <si>
    <t>data/capitaliq/capiq-ai-model-gaps-5_2026-10-17.md market data table, row 'DPS - FY2024 (USD)'. ARYN 0.0 (no dividend).</t>
  </si>
  <si>
    <t>FLO.dps_fy25</t>
  </si>
  <si>
    <t>Dividend per share FY2025 (USD)</t>
  </si>
  <si>
    <t>data/capitaliq/capiq-ai-model-gaps-5_2026-10-17.md market data table, row 'DPS - FY2025 (USD)'. ARYN 0.0 (no dividend). The note saying SJM 4.40 and CPB 1.56 sit in this column contradicts the table (4.32, 1.54).</t>
  </si>
  <si>
    <t>FLO.gp_fy24</t>
  </si>
  <si>
    <t>Gross profit, FY2024</t>
  </si>
  <si>
    <t>Gross profit FY2024 USD 2,526.3m (fiscal years ending about 31-Dec; data/capitaliq/capiq-ai-model-gaps-6_2026-10-17.md Task 6A).</t>
  </si>
  <si>
    <t>FLO.gp_fy25</t>
  </si>
  <si>
    <t>Gross profit, FY2025</t>
  </si>
  <si>
    <t>Gross profit FY2025 USD 2,568.9m (fiscal years ending about 31-Dec; data/capitaliq/capiq-ai-model-gaps-6_2026-10-17.md Task 6A).</t>
  </si>
  <si>
    <t>FLO.gm_cons_1</t>
  </si>
  <si>
    <t>Gross margin, consensus FY1</t>
  </si>
  <si>
    <t>data/capitaliq/capiq-ai-model-gaps-6_2026-10-17.md Task 6B, Gross Margin % mean consensus FY1-FY3 (in %).</t>
  </si>
  <si>
    <t>FLO.gm_cons_2</t>
  </si>
  <si>
    <t>Gross margin, consensus FY2</t>
  </si>
  <si>
    <t>FLO.gm_cons_3</t>
  </si>
  <si>
    <t>Gross margin, consensus FY3</t>
  </si>
  <si>
    <t>FLO.fcf_cons_1</t>
  </si>
  <si>
    <t>Free cash flow, consensus FY1</t>
  </si>
  <si>
    <t>data/capitaliq/capiq-ai-model-gaps-6_2026-10-17.md Task 6B, Free Cash Flow mean consensus FY1-FY3 (USD m).</t>
  </si>
  <si>
    <t>FLO.fcf_cons_2</t>
  </si>
  <si>
    <t>Free cash flow, consensus FY2</t>
  </si>
  <si>
    <t>FLO.fcf_cons_3</t>
  </si>
  <si>
    <t>Free cash flow, consensus FY3</t>
  </si>
  <si>
    <t>FLO.dps_cons_1</t>
  </si>
  <si>
    <t>Dividend per share, consensus FY1</t>
  </si>
  <si>
    <t>data/capitaliq/capiq-ai-model-gaps-6_2026-10-17.md Task 6B, Dividends Per Share mean consensus FY1-FY3 (USD).</t>
  </si>
  <si>
    <t>FLO.dps_cons_2</t>
  </si>
  <si>
    <t>Dividend per share, consensus FY2</t>
  </si>
  <si>
    <t>FLO.dps_cons_3</t>
  </si>
  <si>
    <t>Dividend per share, consensus FY3</t>
  </si>
  <si>
    <t>FLO.capex_cons_1</t>
  </si>
  <si>
    <t>Capex, consensus FY1</t>
  </si>
  <si>
    <t>data/capitaliq/capiq-ai-model-gaps-7_2026-10-17.md Task 7B, consensus mean capital expenditures FY1-FY3 (USD m), incl. Grupo Bimbo.</t>
  </si>
  <si>
    <t>FLO.capex_cons_2</t>
  </si>
  <si>
    <t>Capex, consensus FY2</t>
  </si>
  <si>
    <t>FLO.capex_cons_3</t>
  </si>
  <si>
    <t>Capex, consensus FY3</t>
  </si>
  <si>
    <t>FLO.rev_cons_1</t>
  </si>
  <si>
    <t>Revenue, consensus (prompt 7) FY1</t>
  </si>
  <si>
    <t>data/capitaliq/capiq-ai-model-gaps-7_2026-10-17.md Task 7B, consensus mean revenue FY1-FY3 (USD m), incl. Grupo Bimbo.</t>
  </si>
  <si>
    <t>FLO.rev_cons_2</t>
  </si>
  <si>
    <t>Revenue, consensus (prompt 7) FY2</t>
  </si>
  <si>
    <t>FLO.rev_cons_3</t>
  </si>
  <si>
    <t>Revenue, consensus (prompt 7) FY3</t>
  </si>
  <si>
    <t>GRUMA.ebitda_fy23</t>
  </si>
  <si>
    <t>EBITDA, FY2023</t>
  </si>
  <si>
    <t>Not in the CIQ pull; pending CIQ refresh</t>
  </si>
  <si>
    <t>GRUMA.rev_fy26</t>
  </si>
  <si>
    <t>Revenue FY2026E consensus mean USD 6,648.35m (12 analysts; data/capitaliq/capiq-ai-model-gaps-4_2026-10-17.md Task 4C; same value in data/capitaliq/capiq-ai-model-gaps-7_2026-10-17.md Task 7B).</t>
  </si>
  <si>
    <t>GRUMA.ebitda_fy26</t>
  </si>
  <si>
    <t>Link to GRUMA.cons1_ebitda (FY2026E consensus mean).</t>
  </si>
  <si>
    <t>GRUMA.cons3_rev</t>
  </si>
  <si>
    <t>Revenue FY2028E consensus mean USD 6,615.66m (9 analysts; data/capitaliq/capiq-ai-model-gaps-4_2026-10-17.md Task 4C).</t>
  </si>
  <si>
    <t>GRUMA.cons3_ebitda</t>
  </si>
  <si>
    <t>EBITDA FY2028E consensus mean USD 1,101.24m (9 analysts; data/capitaliq/capiq-ai-model-gaps-4_2026-10-17.md Task 4C).</t>
  </si>
  <si>
    <t>GRUMA.lfcf_fy24</t>
  </si>
  <si>
    <t>Not returned by Capital IQ</t>
  </si>
  <si>
    <t>GRUMA.lfcf_fy25</t>
  </si>
  <si>
    <t>GRUMA.w52_high</t>
  </si>
  <si>
    <t>GRUMA.w52_low</t>
  </si>
  <si>
    <t>GRUMA.perf_1d</t>
  </si>
  <si>
    <t>GRUMA.px_2026-10-16</t>
  </si>
  <si>
    <t>GRUMA.px_2026-09-30</t>
  </si>
  <si>
    <t>GRUMA.px_2025-12-31</t>
  </si>
  <si>
    <t>GRUMA.px_2025-10-31</t>
  </si>
  <si>
    <t>GRUMA.px_2024-10-31</t>
  </si>
  <si>
    <t>GRUMA.px_2023-10-31</t>
  </si>
  <si>
    <t>GRUMA.px_2021-10-29</t>
  </si>
  <si>
    <t>GRUMA.dps</t>
  </si>
  <si>
    <t>DPS last 12 months USD 0.32 (LTM to 30-Jun-2026; USD as converted by CIQ; data/capitaliq/capiq-ai-model-gaps-5_2026-10-17.md market data table).</t>
  </si>
  <si>
    <t>GRUMA.dps_fy24</t>
  </si>
  <si>
    <t>GRUMA.dps_fy25</t>
  </si>
  <si>
    <t>GRUMA.gp_fy24</t>
  </si>
  <si>
    <t>Gross profit FY2024 USD 2,498.6m (fiscal years ending 31-Dec; data/capitaliq/capiq-ai-model-gaps-6_2026-10-17.md Task 6A).</t>
  </si>
  <si>
    <t>GRUMA.gp_fy25</t>
  </si>
  <si>
    <t>Gross profit FY2025 USD 2,492.7m (fiscal years ending 31-Dec; data/capitaliq/capiq-ai-model-gaps-6_2026-10-17.md Task 6A).</t>
  </si>
  <si>
    <t>GRUMA.gm_cons_1</t>
  </si>
  <si>
    <t>GRUMA.gm_cons_2</t>
  </si>
  <si>
    <t>GRUMA.gm_cons_3</t>
  </si>
  <si>
    <t>GRUMA.fcf_cons_1</t>
  </si>
  <si>
    <t>GRUMA.fcf_cons_2</t>
  </si>
  <si>
    <t>GRUMA.fcf_cons_3</t>
  </si>
  <si>
    <t>GRUMA.dps_cons_1</t>
  </si>
  <si>
    <t>GRUMA.dps_cons_2</t>
  </si>
  <si>
    <t>GRUMA.dps_cons_3</t>
  </si>
  <si>
    <t>GRUMA.capex_cons_1</t>
  </si>
  <si>
    <t>GRUMA.capex_cons_2</t>
  </si>
  <si>
    <t>GRUMA.capex_cons_3</t>
  </si>
  <si>
    <t>GRUMA.rev_cons_1</t>
  </si>
  <si>
    <t>GRUMA.rev_cons_2</t>
  </si>
  <si>
    <t>GRUMA.rev_cons_3</t>
  </si>
  <si>
    <t>YMZ.ebitda_fy23</t>
  </si>
  <si>
    <t>data/capitaliq/capiq-ai-prompt1_2026-10-16.md Task 2B: revenue FY2023 8,383.8 x EBITDA margin 7.1% (margin rounded to 0.1 pp)</t>
  </si>
  <si>
    <t>YMZ.rev_fy26</t>
  </si>
  <si>
    <t>YMZ.ebitda_fy26</t>
  </si>
  <si>
    <t>YMZ.cons3_rev</t>
  </si>
  <si>
    <t>YMZ.cons3_ebitda</t>
  </si>
  <si>
    <t>YMZ.lfcf_fy24</t>
  </si>
  <si>
    <t>YMZ.lfcf_fy25</t>
  </si>
  <si>
    <t>YMZ.w52_high</t>
  </si>
  <si>
    <t>YMZ.w52_low</t>
  </si>
  <si>
    <t>YMZ.perf_1d</t>
  </si>
  <si>
    <t>YMZ.px_2026-10-16</t>
  </si>
  <si>
    <t>YMZ.px_2026-09-30</t>
  </si>
  <si>
    <t>YMZ.px_2025-12-31</t>
  </si>
  <si>
    <t>YMZ.px_2025-10-31</t>
  </si>
  <si>
    <t>YMZ.px_2024-10-31</t>
  </si>
  <si>
    <t>YMZ.px_2023-10-31</t>
  </si>
  <si>
    <t>YMZ.px_2021-10-29</t>
  </si>
  <si>
    <t>YMZ.dps</t>
  </si>
  <si>
    <t>DPS last 12 months USD 0.39 (LTM to 30-Jun-2026; USD as converted by CIQ; data/capitaliq/capiq-ai-model-gaps-5_2026-10-17.md market data table).</t>
  </si>
  <si>
    <t>YMZ.dps_fy24</t>
  </si>
  <si>
    <t>YMZ.dps_fy25</t>
  </si>
  <si>
    <t>YMZ.gp_fy24</t>
  </si>
  <si>
    <t>Gross profit FY2024 USD 2,678.3m (fiscal years ending 31-Dec; data/capitaliq/capiq-ai-model-gaps-6_2026-10-17.md Task 6A).</t>
  </si>
  <si>
    <t>YMZ.gp_fy25</t>
  </si>
  <si>
    <t>Gross profit FY2025 USD 2,865.9m (fiscal years ending 31-Dec; data/capitaliq/capiq-ai-model-gaps-6_2026-10-17.md Task 6A).</t>
  </si>
  <si>
    <t>YMZ.gm_cons_1</t>
  </si>
  <si>
    <t>YMZ.gm_cons_2</t>
  </si>
  <si>
    <t>YMZ.gm_cons_3</t>
  </si>
  <si>
    <t>YMZ.fcf_cons_1</t>
  </si>
  <si>
    <t>YMZ.fcf_cons_2</t>
  </si>
  <si>
    <t>YMZ.fcf_cons_3</t>
  </si>
  <si>
    <t>YMZ.dps_cons_1</t>
  </si>
  <si>
    <t>YMZ.dps_cons_2</t>
  </si>
  <si>
    <t>YMZ.dps_cons_3</t>
  </si>
  <si>
    <t>YMZ.capex_cons_1</t>
  </si>
  <si>
    <t>YMZ.capex_cons_2</t>
  </si>
  <si>
    <t>YMZ.capex_cons_3</t>
  </si>
  <si>
    <t>YMZ.rev_cons_1</t>
  </si>
  <si>
    <t>YMZ.rev_cons_2</t>
  </si>
  <si>
    <t>YMZ.rev_cons_3</t>
  </si>
  <si>
    <t>ARYN.ebitda_fy23</t>
  </si>
  <si>
    <t>data/capitaliq/capiq-ai-prompt1_2026-10-16.md Task 2B: revenue FY2023 2,238.6 x EBITDA margin 10.6% (margin rounded to 0.1 pp)</t>
  </si>
  <si>
    <t>ARYN.rev_fy26</t>
  </si>
  <si>
    <t>ARYN.ebitda_fy26</t>
  </si>
  <si>
    <t>ARYN.cons3_rev</t>
  </si>
  <si>
    <t>ARYN.cons3_ebitda</t>
  </si>
  <si>
    <t>ARYN.lfcf_fy24</t>
  </si>
  <si>
    <t>ARYN.lfcf_fy25</t>
  </si>
  <si>
    <t>ARYN.w52_high</t>
  </si>
  <si>
    <t>ARYN.w52_low</t>
  </si>
  <si>
    <t>ARYN.perf_1d</t>
  </si>
  <si>
    <t>ARYN.px_2026-10-16</t>
  </si>
  <si>
    <t>ARYN.px_2026-09-30</t>
  </si>
  <si>
    <t>ARYN.px_2025-12-31</t>
  </si>
  <si>
    <t>ARYN.px_2025-10-31</t>
  </si>
  <si>
    <t>ARYN.px_2024-10-31</t>
  </si>
  <si>
    <t>ARYN.px_2023-10-31</t>
  </si>
  <si>
    <t>ARYN.px_2021-10-29</t>
  </si>
  <si>
    <t>ARYN.dps</t>
  </si>
  <si>
    <t>No dividend: Capital IQ returns N/A for LTM, FY2024 and FY2025 and states that ARYZTA does not pay a dividend (data/capitaliq/capiq-ai-model-gaps-5_2026-10-17.md, Items Not Retrieved); FY2026E consensus DPS is 0.00 (data/capitaliq/capiq-ai-model-gaps-6_2026-10-17.md Task 6B).</t>
  </si>
  <si>
    <t>ARYN.dps_fy24</t>
  </si>
  <si>
    <t>ARYN.dps_fy25</t>
  </si>
  <si>
    <t>ARYN.gp_fy24</t>
  </si>
  <si>
    <t>Gross profit FY2024 USD 507.6m (fiscal years ending 31-Dec; data/capitaliq/capiq-ai-model-gaps-6_2026-10-17.md Task 6A).</t>
  </si>
  <si>
    <t>ARYN.gp_fy25</t>
  </si>
  <si>
    <t>Gross profit FY2025 USD 506.5m (fiscal years ending 31-Dec; data/capitaliq/capiq-ai-model-gaps-6_2026-10-17.md Task 6A).</t>
  </si>
  <si>
    <t>ARYN.gm_cons_1</t>
  </si>
  <si>
    <t>ARYN.gm_cons_2</t>
  </si>
  <si>
    <t>ARYN.gm_cons_3</t>
  </si>
  <si>
    <t>ARYN.fcf_cons_1</t>
  </si>
  <si>
    <t>ARYN.fcf_cons_2</t>
  </si>
  <si>
    <t>ARYN.fcf_cons_3</t>
  </si>
  <si>
    <t>ARYN.dps_cons_1</t>
  </si>
  <si>
    <t>ARYN.dps_cons_2</t>
  </si>
  <si>
    <t>ARYN.dps_cons_3</t>
  </si>
  <si>
    <t>ARYN.capex_cons_1</t>
  </si>
  <si>
    <t>ARYN.capex_cons_2</t>
  </si>
  <si>
    <t>ARYN.capex_cons_3</t>
  </si>
  <si>
    <t>ARYN.rev_cons_1</t>
  </si>
  <si>
    <t>ARYN.rev_cons_2</t>
  </si>
  <si>
    <t>ARYN.rev_cons_3</t>
  </si>
  <si>
    <t>SJM.ebitda_fy23</t>
  </si>
  <si>
    <t>data/capitaliq/capiq-ai-prompt1_2026-10-16.md Task 2B: revenue FY2023 8,529.2 x EBITDA margin 18.8% (margin rounded to 0.1 pp)</t>
  </si>
  <si>
    <t>SJM.rev_fy26</t>
  </si>
  <si>
    <t>Revenue, FY2026 (actual: fiscal year closed)</t>
  </si>
  <si>
    <t>data/capitaliq/capiq-ai-prompt1_2026-10-16.md consensus table ('A')</t>
  </si>
  <si>
    <t>SJM.ebitda_fy26</t>
  </si>
  <si>
    <t>EBITDA, FY2026 (actual)</t>
  </si>
  <si>
    <t>SJM.cons3_rev</t>
  </si>
  <si>
    <t>FY3 = FY2029E (year to 30-Apr-2029) revenue consensus mean USD 9,190.85m (10 analysts; data/capitaliq/capiq-ai-model-gaps-7_2026-10-17.md Task 7B). Makes STM revenue available.</t>
  </si>
  <si>
    <t>SJM.cons3_ebitda</t>
  </si>
  <si>
    <t>FY3 consensus not returned by Capital IQ</t>
  </si>
  <si>
    <t>SJM.lfcf_fy24</t>
  </si>
  <si>
    <t>SJM.lfcf_fy25</t>
  </si>
  <si>
    <t>SJM.w52_high</t>
  </si>
  <si>
    <t>SJM.w52_low</t>
  </si>
  <si>
    <t>SJM.perf_1d</t>
  </si>
  <si>
    <t>SJM.px_2026-10-16</t>
  </si>
  <si>
    <t>SJM.px_2026-09-30</t>
  </si>
  <si>
    <t>SJM.px_2025-12-31</t>
  </si>
  <si>
    <t>SJM.px_2025-10-31</t>
  </si>
  <si>
    <t>SJM.px_2024-10-31</t>
  </si>
  <si>
    <t>SJM.px_2023-10-31</t>
  </si>
  <si>
    <t>SJM.px_2021-10-29</t>
  </si>
  <si>
    <t>SJM.dps</t>
  </si>
  <si>
    <t>DPS last 12 months USD 4.42 (LTM to 31-Jul-2026; data/capitaliq/capiq-ai-model-gaps-5_2026-10-17.md market data table).</t>
  </si>
  <si>
    <t>SJM.dps_fy24</t>
  </si>
  <si>
    <t>SJM.dps_fy25</t>
  </si>
  <si>
    <t>SJM.gp_fy24</t>
  </si>
  <si>
    <t>Gross profit FY2024 USD 3,118.3m (fiscal years ending April; data/capitaliq/capiq-ai-model-gaps-6_2026-10-17.md Task 6A).</t>
  </si>
  <si>
    <t>SJM.gp_fy25</t>
  </si>
  <si>
    <t>Gross profit FY2025 USD 3,393.8m (fiscal years ending April; data/capitaliq/capiq-ai-model-gaps-6_2026-10-17.md Task 6A).</t>
  </si>
  <si>
    <t>SJM.gm_cons_1</t>
  </si>
  <si>
    <t>SJM.gm_cons_2</t>
  </si>
  <si>
    <t>SJM.gm_cons_3</t>
  </si>
  <si>
    <t>SJM.fcf_cons_1</t>
  </si>
  <si>
    <t>SJM.fcf_cons_2</t>
  </si>
  <si>
    <t>SJM.fcf_cons_3</t>
  </si>
  <si>
    <t>SJM.dps_cons_1</t>
  </si>
  <si>
    <t>SJM.dps_cons_2</t>
  </si>
  <si>
    <t>SJM.dps_cons_3</t>
  </si>
  <si>
    <t>SJM.capex_cons_1</t>
  </si>
  <si>
    <t>SJM.capex_cons_2</t>
  </si>
  <si>
    <t>SJM.capex_cons_3</t>
  </si>
  <si>
    <t>SJM.rev_cons_1</t>
  </si>
  <si>
    <t>SJM.rev_cons_2</t>
  </si>
  <si>
    <t>SJM.rev_cons_3</t>
  </si>
  <si>
    <t>CPB.ebitda_fy23</t>
  </si>
  <si>
    <t>data/capitaliq/capiq-ai-prompt1_2026-10-16.md Task 2B: revenue FY2023 9,357.0 x EBITDA margin 19.1% (margin rounded to 0.1 pp)</t>
  </si>
  <si>
    <t>CPB.rev_fy26</t>
  </si>
  <si>
    <t>CPB.ebitda_fy26</t>
  </si>
  <si>
    <t>CPB.cons3_rev</t>
  </si>
  <si>
    <t>FY3 = FY2029E (year to about 31-Jul-2029) revenue consensus mean USD 9,555.92m (10 analysts; data/capitaliq/capiq-ai-model-gaps-7_2026-10-17.md Task 7B). Makes STM revenue available.</t>
  </si>
  <si>
    <t>CPB.cons3_ebitda</t>
  </si>
  <si>
    <t>CPB.lfcf_fy24</t>
  </si>
  <si>
    <t>CPB.lfcf_fy25</t>
  </si>
  <si>
    <t>CPB.w52_high</t>
  </si>
  <si>
    <t>CPB.w52_low</t>
  </si>
  <si>
    <t>CPB.perf_1d</t>
  </si>
  <si>
    <t>CPB.px_2026-10-16</t>
  </si>
  <si>
    <t>CPB.px_2026-09-30</t>
  </si>
  <si>
    <t>CPB.px_2025-12-31</t>
  </si>
  <si>
    <t>CPB.px_2025-10-31</t>
  </si>
  <si>
    <t>CPB.px_2024-10-31</t>
  </si>
  <si>
    <t>CPB.px_2023-10-31</t>
  </si>
  <si>
    <t>CPB.px_2021-10-29</t>
  </si>
  <si>
    <t>CPB.dps</t>
  </si>
  <si>
    <t>DPS last 12 months USD 1.56 (LTM to 2-Aug-2026 (= FY2026); data/capitaliq/capiq-ai-model-gaps-5_2026-10-17.md market data table).</t>
  </si>
  <si>
    <t>CPB.dps_fy24</t>
  </si>
  <si>
    <t>CPB.dps_fy25</t>
  </si>
  <si>
    <t>CPB.gp_fy24</t>
  </si>
  <si>
    <t>Gross profit FY2024 USD 3,017.0m (fiscal years ending about 1-Aug; data/capitaliq/capiq-ai-model-gaps-6_2026-10-17.md Task 6A).</t>
  </si>
  <si>
    <t>CPB.gp_fy25</t>
  </si>
  <si>
    <t>Gross profit FY2025 USD 3,151.0m (fiscal years ending about 1-Aug; data/capitaliq/capiq-ai-model-gaps-6_2026-10-17.md Task 6A).</t>
  </si>
  <si>
    <t>CPB.gm_cons_1</t>
  </si>
  <si>
    <t>CPB.gm_cons_2</t>
  </si>
  <si>
    <t>CPB.gm_cons_3</t>
  </si>
  <si>
    <t>CPB.fcf_cons_1</t>
  </si>
  <si>
    <t>CPB.fcf_cons_2</t>
  </si>
  <si>
    <t>CPB.fcf_cons_3</t>
  </si>
  <si>
    <t>CPB.dps_cons_1</t>
  </si>
  <si>
    <t>CPB.dps_cons_2</t>
  </si>
  <si>
    <t>CPB.dps_cons_3</t>
  </si>
  <si>
    <t>CPB.capex_cons_1</t>
  </si>
  <si>
    <t>CPB.capex_cons_2</t>
  </si>
  <si>
    <t>CPB.capex_cons_3</t>
  </si>
  <si>
    <t>CPB.rev_cons_1</t>
  </si>
  <si>
    <t>CPB.rev_cons_2</t>
  </si>
  <si>
    <t>CPB.rev_cons_3</t>
  </si>
  <si>
    <t>MDLZ.ebitda_fy23</t>
  </si>
  <si>
    <t>data/capitaliq/capiq-ai-prompt1_2026-10-16.md Task 2B: revenue FY2023 36,016.0 x EBITDA margin 19.2% (margin rounded to 0.1 pp)</t>
  </si>
  <si>
    <t>MDLZ.rev_fy26</t>
  </si>
  <si>
    <t>MDLZ.ebitda_fy26</t>
  </si>
  <si>
    <t>MDLZ.cons3_rev</t>
  </si>
  <si>
    <t>MDLZ.cons3_ebitda</t>
  </si>
  <si>
    <t>MDLZ.lfcf_fy24</t>
  </si>
  <si>
    <t>MDLZ.lfcf_fy25</t>
  </si>
  <si>
    <t>MDLZ.w52_high</t>
  </si>
  <si>
    <t>MDLZ.w52_low</t>
  </si>
  <si>
    <t>MDLZ.perf_1d</t>
  </si>
  <si>
    <t>MDLZ.px_2026-10-16</t>
  </si>
  <si>
    <t>MDLZ.px_2026-09-30</t>
  </si>
  <si>
    <t>MDLZ.px_2025-12-31</t>
  </si>
  <si>
    <t>MDLZ.px_2025-10-31</t>
  </si>
  <si>
    <t>MDLZ.px_2024-10-31</t>
  </si>
  <si>
    <t>MDLZ.px_2023-10-31</t>
  </si>
  <si>
    <t>MDLZ.px_2021-10-29</t>
  </si>
  <si>
    <t>MDLZ.dps</t>
  </si>
  <si>
    <t>DPS last 12 months USD 2.00 (LTM to 30-Jun-2026; data/capitaliq/capiq-ai-model-gaps-5_2026-10-17.md market data table).</t>
  </si>
  <si>
    <t>MDLZ.dps_fy24</t>
  </si>
  <si>
    <t>MDLZ.dps_fy25</t>
  </si>
  <si>
    <t>MDLZ.gp_fy24</t>
  </si>
  <si>
    <t>Gross profit FY2024 USD 14,257.0m (fiscal years ending 31-Dec; data/capitaliq/capiq-ai-model-gaps-6_2026-10-17.md Task 6A).</t>
  </si>
  <si>
    <t>MDLZ.gp_fy25</t>
  </si>
  <si>
    <t>Gross profit FY2025 USD 10,935.0m (fiscal years ending 31-Dec; data/capitaliq/capiq-ai-model-gaps-6_2026-10-17.md Task 6A). FY2025 looks like the one-off year of wiki discrepancy #13 (FY2025 EBITDA 4,990); descriptive only.</t>
  </si>
  <si>
    <t>MDLZ.gm_cons_1</t>
  </si>
  <si>
    <t>MDLZ.gm_cons_2</t>
  </si>
  <si>
    <t>MDLZ.gm_cons_3</t>
  </si>
  <si>
    <t>MDLZ.fcf_cons_1</t>
  </si>
  <si>
    <t>MDLZ.fcf_cons_2</t>
  </si>
  <si>
    <t>MDLZ.fcf_cons_3</t>
  </si>
  <si>
    <t>MDLZ.dps_cons_1</t>
  </si>
  <si>
    <t>MDLZ.dps_cons_2</t>
  </si>
  <si>
    <t>MDLZ.dps_cons_3</t>
  </si>
  <si>
    <t>MDLZ.capex_cons_1</t>
  </si>
  <si>
    <t>MDLZ.capex_cons_2</t>
  </si>
  <si>
    <t>MDLZ.capex_cons_3</t>
  </si>
  <si>
    <t>MDLZ.rev_cons_1</t>
  </si>
  <si>
    <t>MDLZ.rev_cons_2</t>
  </si>
  <si>
    <t>MDLZ.rev_cons_3</t>
  </si>
  <si>
    <t>AC.ebitda_fy23</t>
  </si>
  <si>
    <t>data/capitaliq/capiq-ai-prompt1_2026-10-16.md Task 2B: revenue FY2023 12,179.4 x EBITDA margin 19.3% (margin rounded to 0.1 pp)</t>
  </si>
  <si>
    <t>AC.rev_fy26</t>
  </si>
  <si>
    <t>AC.ebitda_fy26</t>
  </si>
  <si>
    <t>AC.cons3_rev</t>
  </si>
  <si>
    <t>AC.cons3_ebitda</t>
  </si>
  <si>
    <t>AC.lfcf_fy24</t>
  </si>
  <si>
    <t>AC.lfcf_fy25</t>
  </si>
  <si>
    <t>AC.w52_high</t>
  </si>
  <si>
    <t>AC.w52_low</t>
  </si>
  <si>
    <t>AC.perf_1d</t>
  </si>
  <si>
    <t>AC.px_2026-10-16</t>
  </si>
  <si>
    <t>AC.px_2026-09-30</t>
  </si>
  <si>
    <t>AC.px_2025-12-31</t>
  </si>
  <si>
    <t>AC.px_2025-10-31</t>
  </si>
  <si>
    <t>AC.px_2024-10-31</t>
  </si>
  <si>
    <t>AC.px_2023-10-31</t>
  </si>
  <si>
    <t>AC.px_2021-10-29</t>
  </si>
  <si>
    <t>AC.dps</t>
  </si>
  <si>
    <t>DPS last 12 months USD 0.24 (LTM to 30-Jun-2026; USD as converted by CIQ; data/capitaliq/capiq-ai-model-gaps-5_2026-10-17.md market data table).</t>
  </si>
  <si>
    <t>AC.dps_fy24</t>
  </si>
  <si>
    <t>AC.dps_fy25</t>
  </si>
  <si>
    <t>AC.gp_fy24</t>
  </si>
  <si>
    <t>Gross profit FY2024 USD 6,131.3m (fiscal years ending 31-Dec; data/capitaliq/capiq-ai-model-gaps-6_2026-10-17.md Task 6A).</t>
  </si>
  <si>
    <t>AC.gp_fy25</t>
  </si>
  <si>
    <t>Gross profit FY2025 USD 6,074.7m (fiscal years ending 31-Dec; data/capitaliq/capiq-ai-model-gaps-6_2026-10-17.md Task 6A).</t>
  </si>
  <si>
    <t>AC.gm_cons_1</t>
  </si>
  <si>
    <t>AC.gm_cons_2</t>
  </si>
  <si>
    <t>AC.gm_cons_3</t>
  </si>
  <si>
    <t>AC.fcf_cons_1</t>
  </si>
  <si>
    <t>AC.fcf_cons_2</t>
  </si>
  <si>
    <t>AC.fcf_cons_3</t>
  </si>
  <si>
    <t>AC.dps_cons_1</t>
  </si>
  <si>
    <t>AC.dps_cons_2</t>
  </si>
  <si>
    <t>AC.dps_cons_3</t>
  </si>
  <si>
    <t>AC.capex_cons_1</t>
  </si>
  <si>
    <t>AC.capex_cons_2</t>
  </si>
  <si>
    <t>AC.capex_cons_3</t>
  </si>
  <si>
    <t>AC.rev_cons_1</t>
  </si>
  <si>
    <t>AC.rev_cons_2</t>
  </si>
  <si>
    <t>AC.rev_cons_3</t>
  </si>
  <si>
    <t>PEP.ebitda_fy23</t>
  </si>
  <si>
    <t>data/capitaliq/capiq-ai-prompt1_2026-10-16.md Task 2B: revenue FY2023 91,471.0 x EBITDA margin 18.4% (margin rounded to 0.1 pp)</t>
  </si>
  <si>
    <t>PEP.rev_fy26</t>
  </si>
  <si>
    <t>PEP.ebitda_fy26</t>
  </si>
  <si>
    <t>PEP.cons3_rev</t>
  </si>
  <si>
    <t>PEP.cons3_ebitda</t>
  </si>
  <si>
    <t>PEP.lfcf_fy24</t>
  </si>
  <si>
    <t>PEP.lfcf_fy25</t>
  </si>
  <si>
    <t>PEP.w52_high</t>
  </si>
  <si>
    <t>PEP.w52_low</t>
  </si>
  <si>
    <t>PEP.perf_1d</t>
  </si>
  <si>
    <t>PEP.px_2026-10-16</t>
  </si>
  <si>
    <t>PEP.px_2026-09-30</t>
  </si>
  <si>
    <t>PEP.px_2025-12-31</t>
  </si>
  <si>
    <t>PEP.px_2025-10-31</t>
  </si>
  <si>
    <t>PEP.px_2024-10-31</t>
  </si>
  <si>
    <t>PEP.px_2023-10-31</t>
  </si>
  <si>
    <t>PEP.px_2021-10-29</t>
  </si>
  <si>
    <t>PEP.dps</t>
  </si>
  <si>
    <t>DPS last 12 months USD 5.81 (LTM to 5-Sep-2026; data/capitaliq/capiq-ai-model-gaps-5_2026-10-17.md market data table).</t>
  </si>
  <si>
    <t>PEP.dps_fy24</t>
  </si>
  <si>
    <t>PEP.dps_fy25</t>
  </si>
  <si>
    <t>PEP.gp_fy24</t>
  </si>
  <si>
    <t>Gross profit FY2024 USD 50,419.0m (fiscal years ending 31-Dec; data/capitaliq/capiq-ai-model-gaps-6_2026-10-17.md Task 6A).</t>
  </si>
  <si>
    <t>PEP.gp_fy25</t>
  </si>
  <si>
    <t>Gross profit FY2025 USD 51,152.0m (fiscal years ending 31-Dec; data/capitaliq/capiq-ai-model-gaps-6_2026-10-17.md Task 6A).</t>
  </si>
  <si>
    <t>PEP.gm_cons_1</t>
  </si>
  <si>
    <t>PEP.gm_cons_2</t>
  </si>
  <si>
    <t>PEP.gm_cons_3</t>
  </si>
  <si>
    <t>PEP.fcf_cons_1</t>
  </si>
  <si>
    <t>PEP.fcf_cons_2</t>
  </si>
  <si>
    <t>PEP.fcf_cons_3</t>
  </si>
  <si>
    <t>PEP.dps_cons_1</t>
  </si>
  <si>
    <t>PEP.dps_cons_2</t>
  </si>
  <si>
    <t>PEP.dps_cons_3</t>
  </si>
  <si>
    <t>PEP.capex_cons_1</t>
  </si>
  <si>
    <t>PEP.capex_cons_2</t>
  </si>
  <si>
    <t>PEP.capex_cons_3</t>
  </si>
  <si>
    <t>PEP.rev_cons_1</t>
  </si>
  <si>
    <t>PEP.rev_cons_2</t>
  </si>
  <si>
    <t>PEP.rev_cons_3</t>
  </si>
  <si>
    <t>BIMBO.cons_rev_2026</t>
  </si>
  <si>
    <t>Revenue, FY2026E consensus</t>
  </si>
  <si>
    <t>data/capitaliq/consensus.csv (CIQ consensus mean, 20-Sep-2026)</t>
  </si>
  <si>
    <t>BIMBO.cons_ebitda_2026</t>
  </si>
  <si>
    <t>EBITDA (company basis), FY2026E consensus</t>
  </si>
  <si>
    <t>BIMBO.cons_ebit_2026</t>
  </si>
  <si>
    <t>EBIT (company basis), FY2026E consensus</t>
  </si>
  <si>
    <t>BIMBO.cons_ni_2026</t>
  </si>
  <si>
    <t>Net income, normalised, FY2026E consensus</t>
  </si>
  <si>
    <t>BIMBO.cons_eps_2026</t>
  </si>
  <si>
    <t>EPS, normalised, FY2026E consensus</t>
  </si>
  <si>
    <t>BIMBO.cons_dps_2026</t>
  </si>
  <si>
    <t>Dividend per share, FY2026E consensus</t>
  </si>
  <si>
    <t>BIMBO.cons_capex_2026</t>
  </si>
  <si>
    <t>Capital expenditures, FY2026E consensus</t>
  </si>
  <si>
    <t>BIMBO.cons_cfo_2026</t>
  </si>
  <si>
    <t>Cash from operations, FY2026E consensus</t>
  </si>
  <si>
    <t>BIMBO.cons_fcf_2026</t>
  </si>
  <si>
    <t>Free cash flow (consensus definition), FY2026E consensus</t>
  </si>
  <si>
    <t>BIMBO.cons_nd_2026</t>
  </si>
  <si>
    <t>Net debt (consensus definition), FY2026E consensus</t>
  </si>
  <si>
    <t>BIMBO.cons_gm_2026</t>
  </si>
  <si>
    <t>Gross margin (%), FY2026E consensus</t>
  </si>
  <si>
    <t>BIMBO.cons_sga_2026</t>
  </si>
  <si>
    <t>SG&amp;A, FY2026E consensus</t>
  </si>
  <si>
    <t>BIMBO.cons_rev_2027</t>
  </si>
  <si>
    <t>Revenue, FY2027E consensus</t>
  </si>
  <si>
    <t>BIMBO.cons_ebitda_2027</t>
  </si>
  <si>
    <t>EBITDA (company basis), FY2027E consensus</t>
  </si>
  <si>
    <t>BIMBO.cons_ebit_2027</t>
  </si>
  <si>
    <t>EBIT (company basis), FY2027E consensus</t>
  </si>
  <si>
    <t>BIMBO.cons_ni_2027</t>
  </si>
  <si>
    <t>Net income, normalised, FY2027E consensus</t>
  </si>
  <si>
    <t>BIMBO.cons_eps_2027</t>
  </si>
  <si>
    <t>EPS, normalised, FY2027E consensus</t>
  </si>
  <si>
    <t>BIMBO.cons_dps_2027</t>
  </si>
  <si>
    <t>Dividend per share, FY2027E consensus</t>
  </si>
  <si>
    <t>BIMBO.cons_capex_2027</t>
  </si>
  <si>
    <t>Capital expenditures, FY2027E consensus</t>
  </si>
  <si>
    <t>BIMBO.cons_cfo_2027</t>
  </si>
  <si>
    <t>Cash from operations, FY2027E consensus</t>
  </si>
  <si>
    <t>BIMBO.cons_fcf_2027</t>
  </si>
  <si>
    <t>Free cash flow (consensus definition), FY2027E consensus</t>
  </si>
  <si>
    <t>BIMBO.cons_nd_2027</t>
  </si>
  <si>
    <t>Net debt (consensus definition), FY2027E consensus</t>
  </si>
  <si>
    <t>BIMBO.cons_gm_2027</t>
  </si>
  <si>
    <t>Gross margin (%), FY2027E consensus</t>
  </si>
  <si>
    <t>BIMBO.cons_sga_2027</t>
  </si>
  <si>
    <t>SG&amp;A, FY2027E consensus</t>
  </si>
  <si>
    <t>BIMBO.cons_rev_2028</t>
  </si>
  <si>
    <t>Revenue, FY2028E consensus</t>
  </si>
  <si>
    <t>BIMBO.cons_ebitda_2028</t>
  </si>
  <si>
    <t>EBITDA (company basis), FY2028E consensus</t>
  </si>
  <si>
    <t>BIMBO.cons_ebit_2028</t>
  </si>
  <si>
    <t>EBIT (company basis), FY2028E consensus</t>
  </si>
  <si>
    <t>BIMBO.cons_ni_2028</t>
  </si>
  <si>
    <t>Net income, normalised, FY2028E consensus</t>
  </si>
  <si>
    <t>BIMBO.cons_eps_2028</t>
  </si>
  <si>
    <t>EPS, normalised, FY2028E consensus</t>
  </si>
  <si>
    <t>BIMBO.cons_dps_2028</t>
  </si>
  <si>
    <t>Dividend per share, FY2028E consensus</t>
  </si>
  <si>
    <t>BIMBO.cons_capex_2028</t>
  </si>
  <si>
    <t>Capital expenditures, FY2028E consensus</t>
  </si>
  <si>
    <t>BIMBO.cons_cfo_2028</t>
  </si>
  <si>
    <t>Cash from operations, FY2028E consensus</t>
  </si>
  <si>
    <t>BIMBO.cons_fcf_2028</t>
  </si>
  <si>
    <t>Free cash flow (consensus definition), FY2028E consensus</t>
  </si>
  <si>
    <t>BIMBO.cons_nd_2028</t>
  </si>
  <si>
    <t>Net debt (consensus definition), FY2028E consensus</t>
  </si>
  <si>
    <t>BIMBO.cons_gm_2028</t>
  </si>
  <si>
    <t>Gross margin (%), FY2028E consensus</t>
  </si>
  <si>
    <t>BIMBO.cons_sga_2028</t>
  </si>
  <si>
    <t>SG&amp;A, FY2028E consensus</t>
  </si>
  <si>
    <t>BIMBO.cons_rev_2029</t>
  </si>
  <si>
    <t>Revenue, FY2029E consensus</t>
  </si>
  <si>
    <t>BIMBO.cons_ebitda_2029</t>
  </si>
  <si>
    <t>EBITDA (company basis), FY2029E consensus</t>
  </si>
  <si>
    <t>BIMBO.cons_ebit_2029</t>
  </si>
  <si>
    <t>EBIT (company basis), FY2029E consensus</t>
  </si>
  <si>
    <t>BIMBO.cons_ni_2029</t>
  </si>
  <si>
    <t>Net income, normalised, FY2029E consensus</t>
  </si>
  <si>
    <t>BIMBO.cons_eps_2029</t>
  </si>
  <si>
    <t>EPS, normalised, FY2029E consensus</t>
  </si>
  <si>
    <t>BIMBO.cons_dps_2029</t>
  </si>
  <si>
    <t>Dividend per share, FY2029E consensus</t>
  </si>
  <si>
    <t>BIMBO.cons_capex_2029</t>
  </si>
  <si>
    <t>Capital expenditures, FY2029E consensus</t>
  </si>
  <si>
    <t>BIMBO.cons_cfo_2029</t>
  </si>
  <si>
    <t>Cash from operations, FY2029E consensus</t>
  </si>
  <si>
    <t>Not in consensus.csv</t>
  </si>
  <si>
    <t>BIMBO.cons_fcf_2029</t>
  </si>
  <si>
    <t>Free cash flow (consensus definition), FY2029E consensus</t>
  </si>
  <si>
    <t>BIMBO.cons_nd_2029</t>
  </si>
  <si>
    <t>Net debt (consensus definition), FY2029E consensus</t>
  </si>
  <si>
    <t>BIMBO.cons_gm_2029</t>
  </si>
  <si>
    <t>Gross margin (%), FY2029E consensus</t>
  </si>
  <si>
    <t>BIMBO.cons_sga_2029</t>
  </si>
  <si>
    <t>SG&amp;A, FY2029E consensus</t>
  </si>
  <si>
    <t>BIMBO.w52_high</t>
  </si>
  <si>
    <t>Price high, 52 weeks (MXN)</t>
  </si>
  <si>
    <t>CIQ corporate_issuance.csv, as of 06-Oct-2026</t>
  </si>
  <si>
    <t>BIMBO.w52_low</t>
  </si>
  <si>
    <t>Price low, 52 weeks (MXN)</t>
  </si>
  <si>
    <t>BIMBO.perf_1d</t>
  </si>
  <si>
    <t>BMV estadísticas BIMBO serie A, 16-Oct-2026: 58.60 vs 57.97</t>
  </si>
  <si>
    <t>BIMBO.px_2026-10-16</t>
  </si>
  <si>
    <t>Share price MXN, month-end 2026-10-16</t>
  </si>
  <si>
    <t>data/market/bimbo_ipc_monthly_2021-11_2026-10.csv column bimbo_close_mxn, rows 2026-10-16, 2026-09, 2025-12, 2025-10, 2024-10 and 2023-10; 29-Oct-2021 = 60.94 from data/capitaliq/capiq-ai-model-gaps-1_2026-10-17.md Task 1B.</t>
  </si>
  <si>
    <t>BIMBO.px_2026-09-30</t>
  </si>
  <si>
    <t>Share price MXN, month-end 2026-09-30</t>
  </si>
  <si>
    <t>BIMBO.px_2025-12-31</t>
  </si>
  <si>
    <t>Share price MXN, month-end 2025-12-31</t>
  </si>
  <si>
    <t>BIMBO.px_2025-10-31</t>
  </si>
  <si>
    <t>Share price MXN, month-end 2025-10-31</t>
  </si>
  <si>
    <t>BIMBO.px_2024-10-31</t>
  </si>
  <si>
    <t>Share price MXN, month-end 2024-10-31</t>
  </si>
  <si>
    <t>BIMBO.px_2023-10-31</t>
  </si>
  <si>
    <t>Share price MXN, month-end 2023-10-31</t>
  </si>
  <si>
    <t>BIMBO.px_2021-10-29</t>
  </si>
  <si>
    <t>Share price MXN, month-end 2021-10-29</t>
  </si>
  <si>
    <t>BIMBO.dps_ltm</t>
  </si>
  <si>
    <t>Dividend paid, last 12 months (MXN)</t>
  </si>
  <si>
    <t>Paid 13-May-2026 (valuation/inputs/wacc_inputs.yaml C1-C4)</t>
  </si>
  <si>
    <t>Checks (formulas; flags shown as FLAG when a test fails)</t>
  </si>
  <si>
    <t>1. Enterprise value: CIQ table EV vs our EV on the claim basis (CIQ-quoted peers)</t>
  </si>
  <si>
    <t>CIQ EV (USD m)</t>
  </si>
  <si>
    <t>Our EV, claim basis (USD m)</t>
  </si>
  <si>
    <t>Difference</t>
  </si>
  <si>
    <t>Difference % of CIQ EV</t>
  </si>
  <si>
    <t>Flag (&gt;0.5%)</t>
  </si>
  <si>
    <t>Explanation</t>
  </si>
  <si>
    <t>Components 2,003.3 (debt 1,686.2 + operating leases 317.1) vs CIQ total debt 2,007.8: 4.5 unreconciled; NCI nil</t>
  </si>
  <si>
    <t>Exact: financial debt + finance leases + operating leases - cash = CIQ net debt</t>
  </si>
  <si>
    <t>Exact: redeemable NCI 304 + NCI 2 is the CIQ residual of 306</t>
  </si>
  <si>
    <t>Exact except the current operating lease portion (164, 31-Dec-2025 proxy), which our claim basis adds (v2); NCI 53 is the CIQ residual</t>
  </si>
  <si>
    <t>Our EV adds operating leases 3,846 (CIQ excludes them) and deducts cash 10,675 only (CIQ deducts 488 more)</t>
  </si>
  <si>
    <t>Lease split reconciled to CIQ total debt (791.2 + 195.7 = 986.9); the CIQ TEV residual -17.4 is kept (unexplained, not a book NCI); the 0.01 gap is the EUR conversion of the components</t>
  </si>
  <si>
    <t>2. Calendarisation weights sum to 1</t>
  </si>
  <si>
    <t>Weights check: BIMBO</t>
  </si>
  <si>
    <t>Weights check: FLO</t>
  </si>
  <si>
    <t>Weights check: GRUMA</t>
  </si>
  <si>
    <t>Weights check: YMZ</t>
  </si>
  <si>
    <t>Weights check: ARYN</t>
  </si>
  <si>
    <t>Weights check: SJM</t>
  </si>
  <si>
    <t>Weights check: CPB</t>
  </si>
  <si>
    <t>Weights check: MDLZ</t>
  </si>
  <si>
    <t>Weights check: AC</t>
  </si>
  <si>
    <t>Weights check: PEP</t>
  </si>
  <si>
    <t>3. Bimbo LTM Adjusted EBITDA: sum of four quarters vs company LTM (60,919)</t>
  </si>
  <si>
    <t>Sum of quarters 3Q25 to 2Q26 (MXN m)</t>
  </si>
  <si>
    <t>4. TearSheet identities and cross-checks</t>
  </si>
  <si>
    <t>Test</t>
  </si>
  <si>
    <t>FY2021</t>
  </si>
  <si>
    <t>FY2022</t>
  </si>
  <si>
    <t>Balance sheet identity: total assets - total liabilities - equity (should be 0)</t>
  </si>
  <si>
    <t>Net debt CIQ incl. leases minus (total debt incl. leases minus cash) (should be 0)</t>
  </si>
  <si>
    <t>Revenue CIQ sum of quarters minus company annual (MXN m; FY2025 company 426,952; FY2021-23 restated company)</t>
  </si>
  <si>
    <t>Consensus FY2026E EBITDA in USD at 17.46 (the rate implied in the CIQ dashboard, not the pricing-date rate) minus CIQ dashboard US$3,558.4m (should be about 0)</t>
  </si>
  <si>
    <t>5. Error scan (count of error values in formula areas; must be 0)</t>
  </si>
  <si>
    <t>PeerAnalysis error cells</t>
  </si>
  <si>
    <t>TearSheet error cells</t>
  </si>
  <si>
    <t>Checks sheet error cells</t>
  </si>
  <si>
    <t>6. Known gaps and memo items (no value is invented; blank = not found)</t>
  </si>
  <si>
    <t>CIQ dividend and CFO actuals differ from company values in some years (TearSheet memo rows); company values used where stated.</t>
  </si>
  <si>
    <t>Gross profit LTM: Capital IQ (prompt 6) for seven peers; Gruma (company report) and Mondelez (SEC) unchanged and equal to CIQ; Campbell's and PepsiCo moved from the SEC calculations (2,742 and 53,216) to the CIQ basis. Price performance: CIQ chart (prompt 5).</t>
  </si>
  <si>
    <t>Yamazaki (lease basis fails under J-GAAP), Aryzta and Arca (NCI not verified) are excluded from medians; their EVs are descriptive (Detail rows 14, 15 and 19). Shares and prices are now sourced from Capital IQ (prompts 4-5).</t>
  </si>
  <si>
    <t>Gruma price is a delayed quote (Yahoo, 16-Oct-2026), corroborated by the CIQ chart within 0.05%; replace it with the BMV official close before the report.</t>
  </si>
  <si>
    <t>Bimbo price MXN 58.60 (BMV official close 16-Oct-2026) and shares 4,294.9m (BMV notice 29-Jul-2026) are sourced; each MXN 1 per share moves EV/EBITDA by about 0.07x.</t>
  </si>
  <si>
    <t>Bimbo NCI at book (722) is small against the FY25 NCI profit share (1,813) because consolidated IO profit is attributed to NCI (coordinator statement); on an economic NCI claim EV would be higher.</t>
  </si>
  <si>
    <t>CIQ NTM multiples tool values are audit only; they differ from the table-based NTM multiples by up to about 0.5x.</t>
  </si>
  <si>
    <t>7. Lease normalisation: CIQ total debt vs reconciled debt (US GAAP peers; values from SEC research)</t>
  </si>
  <si>
    <t>CIQ total debt (USD m)</t>
  </si>
  <si>
    <t>(A) financial debt (USD m)</t>
  </si>
  <si>
    <t>(A) vs CIQ</t>
  </si>
  <si>
    <t>(B) financial debt + op. lease liabilities (USD m)</t>
  </si>
  <si>
    <t>(B) vs CIQ</t>
  </si>
  <si>
    <t>CIQ includes op. leases?</t>
  </si>
  <si>
    <t>Basis note</t>
  </si>
  <si>
    <t>18-Jul-2026: financial debt 1,686.2 + op. lease liabilities 317.1 (75.2 + 241.9)</t>
  </si>
  <si>
    <t>31-Jul-2026: (B) with finance leases 9.6 = 6,940.2 exact</t>
  </si>
  <si>
    <t>2-Aug-2026 (FY26 10-K): 7,137 + op. lease liabilities 313 = 7,450 exact</t>
  </si>
  <si>
    <t>30-Jun-2026: noncurrent op. lease 609 ties exactly; current portion not found</t>
  </si>
  <si>
    <t>5-Sep-2026: (A) exact, so CIQ excludes leases; (B) uses 27-Dec-2025 liabilities 3,846</t>
  </si>
  <si>
    <t>8. FX and basis memo</t>
  </si>
  <si>
    <t>MXN per USD 18.479 (USD/MXN close 16-Oct-2026, Yahoo Finance MXN=X; the CIQ chart implies about 18.49) is used for every MXN market value (Gruma and Arca prices; Bimbo USD display). v1/v2 used 17.46, the rate implied in the CIQ consensus dashboard, not a pricing-date rate.</t>
  </si>
  <si>
    <t>CIQ's 0.055690 USD per MXN (17.957), stated for its LTM USD figures, is neither the 30-Jun-2026 closing rate (17.47, company 2Q26 release) nor the 16-Oct rate (18.479); it is used only to put Arca's MXN lease figure on CIQ's USD basis.</t>
  </si>
  <si>
    <t>CIQ's USD net debt for Bimbo (9,907) implies 17.47 MXN per USD (173,116 / 9,907): the 30-Jun-2026 balance-sheet rate, not the pricing-date rate.</t>
  </si>
  <si>
    <t>Bimbo multiples are computed in MXN and do not depend on FX; the USD columns are for size only.</t>
  </si>
  <si>
    <t>Gruma reports in USD: its balance-sheet items are USD at historical rates; its market cap uses the spot rate.</t>
  </si>
  <si>
    <t>Consensus for peers is in USD as converted by CIQ; Bimbo's MXN consensus against CIQ's USD values implies 17.46 for FY1 and about 18.50 for FY2-FY3, so NTM figures may differ from LTM by a few percent (Gruma: judgment_calls in valuation/inputs/peer_extras_v3.yaml).</t>
  </si>
  <si>
    <t>9. EV claim basis: categories included and excluded (one basis for all eligible peers and Bimbo)</t>
  </si>
  <si>
    <t>Included: financial debt (incl. finance leases where separated), operating or IFRS 16 lease liabilities, NCI at book including redeemable NCI, less cash and equivalents.</t>
  </si>
  <si>
    <t>Excluded for every company: pensions and OPEB, Bimbo's MEPP, derivative assets and liabilities, equity-method investments, short-term investments (except as CIQ deducts them, flagged for PepsiCo).</t>
  </si>
  <si>
    <t>Reason: these claims are not sourced for every eligible peer (Gruma, Flowers, Smucker, Campbell's, Mondelez, PepsiCo); adding them would change the basis by company.</t>
  </si>
  <si>
    <t>10. v3: results against the independent calculation's expected values, and v2 -&gt; v3 changes</t>
  </si>
  <si>
    <t>Workbook</t>
  </si>
  <si>
    <t>Expected (spec)</t>
  </si>
  <si>
    <t>Flag</t>
  </si>
  <si>
    <t>v2</t>
  </si>
  <si>
    <t>Core median EV/EBITDA LTM</t>
  </si>
  <si>
    <t>Core median EV/EBITDA NTM</t>
  </si>
  <si>
    <t>All-peer median EV/EBITDA LTM</t>
  </si>
  <si>
    <t>All-peer median EV/EBITDA NTM</t>
  </si>
  <si>
    <t>All-peer median P/E LTM</t>
  </si>
  <si>
    <t>All-peer median P/E NTM</t>
  </si>
  <si>
    <t>FLO ev_ebitda_ltm</t>
  </si>
  <si>
    <t>FLO ev_ebitda_ntm</t>
  </si>
  <si>
    <t>FLO pe_ltm</t>
  </si>
  <si>
    <t>FLO pe_ntm</t>
  </si>
  <si>
    <t>GRUMA ev_ebitda_ltm</t>
  </si>
  <si>
    <t>GRUMA ev_ebitda_ntm</t>
  </si>
  <si>
    <t>GRUMA pe_ltm</t>
  </si>
  <si>
    <t>GRUMA pe_ntm</t>
  </si>
  <si>
    <t>YMZ ev_ebitda_ltm</t>
  </si>
  <si>
    <t>YMZ ev_ebitda_ntm</t>
  </si>
  <si>
    <t>YMZ pe_ltm</t>
  </si>
  <si>
    <t>YMZ pe_ntm</t>
  </si>
  <si>
    <t>ARYN ev_ebitda_ltm</t>
  </si>
  <si>
    <t>ARYN ev_ebitda_ntm</t>
  </si>
  <si>
    <t>ARYN pe_ltm</t>
  </si>
  <si>
    <t>ARYN pe_ntm</t>
  </si>
  <si>
    <t>SJM ev_ebitda_ltm</t>
  </si>
  <si>
    <t>SJM ev_ebitda_ntm</t>
  </si>
  <si>
    <t>SJM pe_ltm</t>
  </si>
  <si>
    <t>SJM pe_ntm</t>
  </si>
  <si>
    <t>CPB ev_ebitda_ltm</t>
  </si>
  <si>
    <t>CPB ev_ebitda_ntm</t>
  </si>
  <si>
    <t>CPB pe_ltm</t>
  </si>
  <si>
    <t>CPB pe_ntm</t>
  </si>
  <si>
    <t>MDLZ ev_ebitda_ltm</t>
  </si>
  <si>
    <t>MDLZ ev_ebitda_ntm</t>
  </si>
  <si>
    <t>MDLZ pe_ltm</t>
  </si>
  <si>
    <t>MDLZ pe_ntm</t>
  </si>
  <si>
    <t>AC ev_ebitda_ltm</t>
  </si>
  <si>
    <t>AC ev_ebitda_ntm</t>
  </si>
  <si>
    <t>AC pe_ltm</t>
  </si>
  <si>
    <t>AC pe_ntm</t>
  </si>
  <si>
    <t>PEP ev_ebitda_ltm</t>
  </si>
  <si>
    <t>PEP ev_ebitda_ntm</t>
  </si>
  <si>
    <t>PEP pe_ltm</t>
  </si>
  <si>
    <t>PEP pe_ntm</t>
  </si>
  <si>
    <t>AC perf_1y</t>
  </si>
  <si>
    <t>AC perf_2y</t>
  </si>
  <si>
    <t>AC perf_3y</t>
  </si>
  <si>
    <t>AC perf_5y</t>
  </si>
  <si>
    <t>AC perf_qtd</t>
  </si>
  <si>
    <t>AC perf_ytd</t>
  </si>
  <si>
    <t>ARYN perf_1y</t>
  </si>
  <si>
    <t>ARYN perf_2y</t>
  </si>
  <si>
    <t>ARYN perf_3y</t>
  </si>
  <si>
    <t>ARYN perf_5y</t>
  </si>
  <si>
    <t>ARYN perf_qtd</t>
  </si>
  <si>
    <t>ARYN perf_ytd</t>
  </si>
  <si>
    <t>BIMBO perf_1y</t>
  </si>
  <si>
    <t>BIMBO perf_2y</t>
  </si>
  <si>
    <t>BIMBO perf_3y</t>
  </si>
  <si>
    <t>BIMBO perf_5y</t>
  </si>
  <si>
    <t>BIMBO perf_qtd</t>
  </si>
  <si>
    <t>BIMBO perf_ytd</t>
  </si>
  <si>
    <t>CPB perf_1y</t>
  </si>
  <si>
    <t>CPB perf_2y</t>
  </si>
  <si>
    <t>CPB perf_3y</t>
  </si>
  <si>
    <t>CPB perf_5y</t>
  </si>
  <si>
    <t>CPB perf_qtd</t>
  </si>
  <si>
    <t>CPB perf_ytd</t>
  </si>
  <si>
    <t>FLO perf_1y</t>
  </si>
  <si>
    <t>FLO perf_2y</t>
  </si>
  <si>
    <t>FLO perf_3y</t>
  </si>
  <si>
    <t>FLO perf_5y</t>
  </si>
  <si>
    <t>FLO perf_qtd</t>
  </si>
  <si>
    <t>FLO perf_ytd</t>
  </si>
  <si>
    <t>GRUMA perf_1y</t>
  </si>
  <si>
    <t>GRUMA perf_2y</t>
  </si>
  <si>
    <t>GRUMA perf_3y</t>
  </si>
  <si>
    <t>GRUMA perf_5y</t>
  </si>
  <si>
    <t>GRUMA perf_qtd</t>
  </si>
  <si>
    <t>GRUMA perf_ytd</t>
  </si>
  <si>
    <t>MDLZ perf_1y</t>
  </si>
  <si>
    <t>MDLZ perf_2y</t>
  </si>
  <si>
    <t>MDLZ perf_3y</t>
  </si>
  <si>
    <t>MDLZ perf_5y</t>
  </si>
  <si>
    <t>MDLZ perf_qtd</t>
  </si>
  <si>
    <t>MDLZ perf_ytd</t>
  </si>
  <si>
    <t>PEP perf_1y</t>
  </si>
  <si>
    <t>PEP perf_2y</t>
  </si>
  <si>
    <t>PEP perf_3y</t>
  </si>
  <si>
    <t>PEP perf_5y</t>
  </si>
  <si>
    <t>PEP perf_qtd</t>
  </si>
  <si>
    <t>PEP perf_ytd</t>
  </si>
  <si>
    <t>SJM perf_1y</t>
  </si>
  <si>
    <t>SJM perf_2y</t>
  </si>
  <si>
    <t>SJM perf_3y</t>
  </si>
  <si>
    <t>SJM perf_5y</t>
  </si>
  <si>
    <t>SJM perf_qtd</t>
  </si>
  <si>
    <t>SJM perf_ytd</t>
  </si>
  <si>
    <t>YMZ perf_1y</t>
  </si>
  <si>
    <t>YMZ perf_2y</t>
  </si>
  <si>
    <t>YMZ perf_3y</t>
  </si>
  <si>
    <t>YMZ perf_5y</t>
  </si>
  <si>
    <t>YMZ perf_qtd</t>
  </si>
  <si>
    <t>YMZ perf_ytd</t>
  </si>
  <si>
    <t>Template cells filled (TearSheet E28:K61 and PeerAnalysis F13:W59)</t>
  </si>
  <si>
    <t>Cells not available (shaded, blank)</t>
  </si>
  <si>
    <t>Changes v2 -&gt; v3 (calculator spec)</t>
  </si>
  <si>
    <t>FX: fx_mxn_spot 17.46 -&gt; 18.479 (fx_bmv_disp, GRUMA.fx and AC.fx follow by formula). Gruma market cap USD 4,660.3m -&gt; 4,403.3m, EV 6,291.3 -&gt; 6,034.3, EV/EBITDA LTM 5.67x -&gt; 5.44x. Core LTM median 5.64x -&gt; 5.53x. All-peer LTM median unchanged at 8.27x (Gruma stays below the middle pair). Bimbo's multiples are unchanged (computed in MXN; EV/EBITDA LTM 6.9414x); its USD display falls (market cap 14,414.7 -&gt; 13,619.8, EV 24,218.9 -&gt; 22,883.3).</t>
  </si>
  <si>
    <t>Gruma consensus (prompt 4C, company EBITDA basis) wired through patch_gruma(): Detail F62 -&gt; Inputs GRUMA.cons1_ebitda; G62, I62, J62, L62 and M62 -&gt; new template rows GRUMA.cons2_ebitda 1,059.18, cons1_rev 6,648.35, cons2_rev 6,444.43, eps_fy1 1.40 and eps_fy2 1.33; N62 = D62*L62+E62*M62 (build() does not call patch_gruma() yet). NTM EBITDA 1,070.2; EV/EBITDA NTM n/a -&gt; 5.64x. Core NTM median 6.15x (n=1) -&gt; 5.89x (n=2); all-peer NTM median 9.22x (n=5) -&gt; 8.79x (n=6).</t>
  </si>
  <si>
    <t>Gruma becomes P/E-eligible (Detail Q13 no -&gt; yes): P/E LTM 9.36x, NTM 9.74x. All-peer P/E LTM median 19.62x (n=4) -&gt; 16.15x (n=5); P/E NTM median 13.62x -&gt; 11.72x (n=5).</t>
  </si>
  <si>
    <t>Yamazaki: shares 196.9m; USD per JPY 1/157.987 (was 0.006482); price tag unverified -&gt; sourced. Market cap n/a -&gt; USD 4,755.9m. Descriptive EV 4,282.4 = market cap + CIQ net debt incl. J-GAAP lease obligations (YMZ.nd -473.5; NCI not available): EV/EBITDA LTM 6.06x in USD vs 6.23x in JPY. Requires Detail N14 = Inputs_Sources D75 (YMZ.nd), because J14:M14 are hard-coded n/a and no YMZ debt, cash or NCI keys exist. Excluded, so no median moves.</t>
  </si>
  <si>
    <t>ARYZTA: lease split built (fin_debt 986.9 -&gt; 791.2, lease 0 -&gt; 195.7; the sum equals CIQ total debt); lease_incl and ifrs_basis_ok -&gt; yes; lease add-back 0. EV (2,103.3) and EV/EBITDA LTM (8.33x) are unchanged because the CIQ TEV residual -17.4 is kept; in EUR the multiple is 8.59x. Still excluded (NCI), so no median moves.</t>
  </si>
  <si>
    <t>Arca: shares 1,696.2m; price tag unverified -&gt; sourced; lease_incl and ifrs_basis_ok -&gt; yes. Market cap n/a -&gt; USD 19,244.8m. Descriptive EV 21,260.2 = market cap + CIQ net debt incl. leases (AC.nd 2,015.4; NCI not available): EV/EBITDA LTM 7.85x in USD vs 8.06x in MXN vs 8.47x in the CIQ tool. Requires Detail N19 = Inputs_Sources D160 (AC.nd). Excluded, so no median moves.</t>
  </si>
  <si>
    <t>Template fills from prompts 5-7 (no multiple or median moves): {peer}.dps (LTM), gp_fy24, gp_fy25 and gp_ltm for all nine peers (gp_ltm for CPB 2,742 -&gt; 2,781.0 and PEP 53,216 -&gt; 53,371.0 on the CIQ basis, gross margin LTM +0.4 pp and +0.2 pp); price performance QTD, YTD, 1Y, 2Y, 3Y and 5Y for the peers (USD) and Bimbo (MXN); consensus gross margin, FCF, DPS, capex and revenue FY1-FY3; DPS FY2024 and FY2025 as new template rows.</t>
  </si>
  <si>
    <t>SJM.cons3_rev 9,190.85 and CPB.cons3_rev 9,555.92 (FY2029E) make STM revenue available for both (cons3_ebitda stays pending). GRUMA.rev_fy26, ebitda_fy26, cons3_rev, cons3_ebitda and dps filled. No multiple uses them.</t>
  </si>
  <si>
    <t>YMZ.rev_fy25 n/a -&gt; 8,773.2 (= JPY 1,353,459m x 0.006482), which resolves wiki discrepancy #11. Display only.</t>
  </si>
  <si>
    <t>Builder leftovers that must change: (a) FX_MXN = 17.46 is hard-coded in build_peer_workbook.py and used in the front-sheet formulas for Bimbo (52-week high and low, DPS, revenue, gross profit and FCF) and in the texts pa_n1, Detail A6 and Checks section 8; point them at Inputs fx_bmv_disp. (b) Checks row 32 divides by fx_bmv_disp to test the CIQ dashboard; at 18.479 it reads -196.9 instead of about 0, so it should keep dividing by the dashboard's own 17.46. (c) The Checks section 10 regression rows will FLAG the core LTM and all-peer NTM medians: reset them to the v3 values (5.525583 and 8.786609); Mondelez 16.144 and the all-peer LTM median 8.269323 stay. (d) Update the Detail R and T texts for rows 13, 14, 15 and 19 from the eligibility notes, and O62 for Gruma.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</si>
</sst>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quot;x&quot;"/>
    <numFmt numFmtId="166" formatCode="yyyy\-mm\-dd"/>
    <numFmt numFmtId="167" formatCode="0.000000"/>
    <numFmt numFmtId="168" formatCode="#,##0.0"/>
    <numFmt numFmtId="169" formatCode="#,##0.0;\(#,##0.0\);&quot;-&quot;"/>
    <numFmt numFmtId="170" formatCode="0.0%;\(0.0%\);&quot;-&quot;"/>
  </numFmts>
  <fonts count="11" x14ac:knownFonts="1">
    <font>
      <sz val="11"/>
      <color theme="1"/>
      <name val="Calibri"/>
      <family val="2"/>
      <scheme val="minor"/>
    </font>
    <font>
      <b/>
      <sz val="12"/>
      <name val="Calibri"/>
    </font>
    <font>
      <b/>
      <sz val="11"/>
      <name val="Calibri"/>
    </font>
    <font>
      <sz val="11"/>
      <color rgb="FF0000CC"/>
      <name val="Calibri"/>
    </font>
    <font>
      <b/>
      <sz val="10"/>
      <name val="Calibri"/>
    </font>
    <font>
      <sz val="10"/>
      <color rgb="FF0000FF"/>
      <name val="Calibri"/>
    </font>
    <font>
      <b/>
      <sz val="14"/>
      <color rgb="FF1F3864"/>
      <name val="Calibri"/>
    </font>
    <font>
      <i/>
      <sz val="9"/>
      <color rgb="FF595959"/>
      <name val="Calibri"/>
    </font>
    <font>
      <b/>
      <sz val="10"/>
      <color rgb="FFFFFFFF"/>
      <name val="Calibri"/>
    </font>
    <font>
      <sz val="10"/>
      <color rgb="FF00803C"/>
      <name val="Calibri"/>
    </font>
    <font>
      <sz val="10"/>
      <name val="Calibri"/>
    </font>
  </fonts>
  <fills count="7">
    <fill>
      <patternFill patternType="none"/>
    </fill>
    <fill>
      <patternFill patternType="gray125"/>
    </fill>
    <fill>
      <patternFill patternType="solid">
        <fgColor rgb="FFDDE6F0"/>
      </patternFill>
    </fill>
    <fill>
      <patternFill patternType="solid">
        <fgColor rgb="FFF2F2F2"/>
      </patternFill>
    </fill>
    <fill>
      <patternFill patternType="solid">
        <fgColor rgb="FFF2F2F2"/>
      </patternFill>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2" fillId="3" borderId="0" xfId="0" applyFont="1" applyFill="1"/>
    <xf numFmtId="0" fontId="0" fillId="3" borderId="0" xfId="0" applyFill="1"/>
    <xf numFmtId="3" fontId="3" fillId="0" borderId="0" xfId="0" applyNumberFormat="1" applyFont="1"/>
    <xf numFmtId="164" fontId="0" fillId="0" borderId="0" xfId="0" applyNumberFormat="1"/>
    <xf numFmtId="2" fontId="3" fillId="0" borderId="0" xfId="0" applyNumberFormat="1" applyFont="1"/>
    <xf numFmtId="3" fontId="0" fillId="0" borderId="0" xfId="0" applyNumberFormat="1"/>
    <xf numFmtId="165" fontId="0" fillId="0" borderId="0" xfId="0" applyNumberFormat="1"/>
    <xf numFmtId="0" fontId="2" fillId="0" borderId="0" xfId="0" applyFont="1"/>
    <xf numFmtId="0" fontId="2" fillId="2" borderId="0" xfId="0" applyFont="1" applyFill="1" applyAlignment="1">
      <alignment wrapText="1"/>
    </xf>
    <xf numFmtId="166" fontId="3" fillId="0" borderId="0" xfId="0" applyNumberFormat="1" applyFont="1"/>
    <xf numFmtId="167" fontId="3" fillId="0" borderId="0" xfId="0" applyNumberFormat="1" applyFont="1"/>
    <xf numFmtId="168" fontId="3" fillId="0" borderId="0" xfId="0" applyNumberFormat="1" applyFont="1"/>
    <xf numFmtId="0" fontId="3" fillId="0" borderId="0" xfId="0" applyFont="1"/>
    <xf numFmtId="10" fontId="0" fillId="0" borderId="0" xfId="0" applyNumberFormat="1"/>
    <xf numFmtId="0" fontId="6" fillId="0" borderId="0" xfId="0" applyFont="1"/>
    <xf numFmtId="0" fontId="4" fillId="0" borderId="0" xfId="0" applyFont="1"/>
    <xf numFmtId="0" fontId="5" fillId="0" borderId="0" xfId="0" applyFont="1"/>
    <xf numFmtId="0" fontId="7" fillId="0" borderId="0" xfId="0" applyFont="1"/>
    <xf numFmtId="0" fontId="0" fillId="0" borderId="0" xfId="0" applyAlignment="1">
      <alignment horizontal="right"/>
    </xf>
    <xf numFmtId="0" fontId="8" fillId="5" borderId="0" xfId="0" applyFont="1" applyFill="1"/>
    <xf numFmtId="0" fontId="0" fillId="5" borderId="0" xfId="0" applyFill="1"/>
    <xf numFmtId="0" fontId="8" fillId="5" borderId="0" xfId="0" applyFont="1" applyFill="1" applyAlignment="1">
      <alignment horizontal="right"/>
    </xf>
    <xf numFmtId="169" fontId="9" fillId="0" borderId="0" xfId="0" applyNumberFormat="1" applyFont="1"/>
    <xf numFmtId="169" fontId="10" fillId="0" borderId="0" xfId="0" applyNumberFormat="1" applyFont="1"/>
    <xf numFmtId="170" fontId="10" fillId="0" borderId="0" xfId="0" applyNumberFormat="1" applyFont="1"/>
    <xf numFmtId="0" fontId="0" fillId="4" borderId="0" xfId="0" applyFill="1"/>
    <xf numFmtId="2" fontId="9" fillId="0" borderId="0" xfId="0" applyNumberFormat="1" applyFont="1"/>
    <xf numFmtId="2" fontId="10" fillId="0" borderId="0" xfId="0" applyNumberFormat="1" applyFont="1"/>
    <xf numFmtId="0" fontId="4" fillId="6" borderId="0" xfId="0" applyFont="1" applyFill="1"/>
    <xf numFmtId="0" fontId="0" fillId="6" borderId="0" xfId="0" applyFill="1"/>
    <xf numFmtId="0" fontId="4" fillId="0" borderId="0" xfId="0" applyFont="1" applyAlignment="1">
      <alignment vertical="top" wrapText="1"/>
    </xf>
    <xf numFmtId="0" fontId="9" fillId="0" borderId="0" xfId="0" applyFont="1"/>
    <xf numFmtId="4" fontId="0" fillId="0" borderId="0" xfId="0" applyNumberFormat="1" applyAlignment="1">
      <alignment horizontal="right"/>
    </xf>
    <xf numFmtId="170" fontId="0" fillId="0" borderId="0" xfId="0" applyNumberFormat="1" applyAlignment="1">
      <alignment horizontal="right"/>
    </xf>
    <xf numFmtId="2" fontId="0" fillId="0" borderId="0" xfId="0" applyNumberFormat="1" applyAlignment="1">
      <alignment horizontal="right"/>
    </xf>
    <xf numFmtId="169" fontId="0" fillId="0" borderId="0" xfId="0" applyNumberFormat="1" applyAlignment="1">
      <alignment horizontal="right"/>
    </xf>
    <xf numFmtId="165" fontId="0" fillId="0" borderId="0" xfId="0" applyNumberFormat="1" applyAlignment="1">
      <alignment horizontal="right"/>
    </xf>
    <xf numFmtId="0" fontId="5"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Chart 1: Revenue and EBITDA (MXN m)</a:t>
            </a:r>
          </a:p>
        </c:rich>
      </c:tx>
      <c:overlay val="1"/>
    </c:title>
    <c:autoTitleDeleted val="0"/>
    <c:plotArea>
      <c:layout/>
      <c:barChart>
        <c:barDir val="col"/>
        <c:grouping val="clustered"/>
        <c:varyColors val="1"/>
        <c:ser>
          <c:idx val="0"/>
          <c:order val="0"/>
          <c:tx>
            <c:v>Sales</c:v>
          </c:tx>
          <c:spPr>
            <a:ln>
              <a:prstDash val="solid"/>
            </a:ln>
          </c:spPr>
          <c:invertIfNegative val="1"/>
          <c:cat>
            <c:strRef>
              <c:f>TearSheet!$E$27:$K$27</c:f>
              <c:strCache>
                <c:ptCount val="7"/>
                <c:pt idx="0">
                  <c:v>FY2023</c:v>
                </c:pt>
                <c:pt idx="1">
                  <c:v>FY2024</c:v>
                </c:pt>
                <c:pt idx="2">
                  <c:v>FY2025</c:v>
                </c:pt>
                <c:pt idx="3">
                  <c:v>FY2026</c:v>
                </c:pt>
                <c:pt idx="4">
                  <c:v>FY2027</c:v>
                </c:pt>
                <c:pt idx="5">
                  <c:v>FY2028</c:v>
                </c:pt>
                <c:pt idx="6">
                  <c:v>FY2029</c:v>
                </c:pt>
              </c:strCache>
            </c:strRef>
          </c:cat>
          <c:val>
            <c:numRef>
              <c:f>TearSheet!$E$28:$K$28</c:f>
              <c:numCache>
                <c:formatCode>#,##0.0;\(#,##0.0\);"-"</c:formatCode>
                <c:ptCount val="7"/>
                <c:pt idx="0">
                  <c:v>399879</c:v>
                </c:pt>
                <c:pt idx="1">
                  <c:v>408335</c:v>
                </c:pt>
                <c:pt idx="2">
                  <c:v>426963</c:v>
                </c:pt>
                <c:pt idx="3">
                  <c:v>426274.7</c:v>
                </c:pt>
                <c:pt idx="4">
                  <c:v>445288</c:v>
                </c:pt>
                <c:pt idx="5">
                  <c:v>468430.9</c:v>
                </c:pt>
                <c:pt idx="6">
                  <c:v>477018</c:v>
                </c:pt>
              </c:numCache>
            </c:numRef>
          </c:val>
          <c:extLst>
            <c:ext xmlns:c16="http://schemas.microsoft.com/office/drawing/2014/chart" uri="{C3380CC4-5D6E-409C-BE32-E72D297353CC}">
              <c16:uniqueId val="{00000000-91B3-4BB5-ABF8-34E457D1AB29}"/>
            </c:ext>
          </c:extLst>
        </c:ser>
        <c:ser>
          <c:idx val="1"/>
          <c:order val="1"/>
          <c:tx>
            <c:v>EBITDA</c:v>
          </c:tx>
          <c:spPr>
            <a:ln>
              <a:prstDash val="solid"/>
            </a:ln>
          </c:spPr>
          <c:invertIfNegative val="1"/>
          <c:cat>
            <c:strRef>
              <c:f>TearSheet!$E$27:$K$27</c:f>
              <c:strCache>
                <c:ptCount val="7"/>
                <c:pt idx="0">
                  <c:v>FY2023</c:v>
                </c:pt>
                <c:pt idx="1">
                  <c:v>FY2024</c:v>
                </c:pt>
                <c:pt idx="2">
                  <c:v>FY2025</c:v>
                </c:pt>
                <c:pt idx="3">
                  <c:v>FY2026</c:v>
                </c:pt>
                <c:pt idx="4">
                  <c:v>FY2027</c:v>
                </c:pt>
                <c:pt idx="5">
                  <c:v>FY2028</c:v>
                </c:pt>
                <c:pt idx="6">
                  <c:v>FY2029</c:v>
                </c:pt>
              </c:strCache>
            </c:strRef>
          </c:cat>
          <c:val>
            <c:numRef>
              <c:f>TearSheet!$E$34:$K$34</c:f>
              <c:numCache>
                <c:formatCode>#,##0.0;\(#,##0.0\);"-"</c:formatCode>
                <c:ptCount val="7"/>
                <c:pt idx="0">
                  <c:v>54942</c:v>
                </c:pt>
                <c:pt idx="1">
                  <c:v>55473</c:v>
                </c:pt>
                <c:pt idx="2">
                  <c:v>59456</c:v>
                </c:pt>
                <c:pt idx="3">
                  <c:v>62117</c:v>
                </c:pt>
                <c:pt idx="4">
                  <c:v>64891</c:v>
                </c:pt>
                <c:pt idx="5">
                  <c:v>68999</c:v>
                </c:pt>
                <c:pt idx="6">
                  <c:v>70667.5</c:v>
                </c:pt>
              </c:numCache>
            </c:numRef>
          </c:val>
          <c:extLst>
            <c:ext xmlns:c16="http://schemas.microsoft.com/office/drawing/2014/chart" uri="{C3380CC4-5D6E-409C-BE32-E72D297353CC}">
              <c16:uniqueId val="{00000001-91B3-4BB5-ABF8-34E457D1AB29}"/>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MXN m</a:t>
                </a:r>
              </a:p>
            </c:rich>
          </c:tx>
          <c:overlay val="1"/>
        </c:title>
        <c:numFmt formatCode="#,##0.0;\(#,##0.0\);&quot;-&quot;"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13</xdr:col>
      <xdr:colOff>0</xdr:colOff>
      <xdr:row>26</xdr:row>
      <xdr:rowOff>0</xdr:rowOff>
    </xdr:from>
    <xdr:ext cx="5760000" cy="270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63"/>
  <sheetViews>
    <sheetView showGridLines="0" tabSelected="1" workbookViewId="0">
      <pane xSplit="4" ySplit="27" topLeftCell="E28" activePane="bottomRight" state="frozen"/>
      <selection pane="topRight"/>
      <selection pane="bottomLeft"/>
      <selection pane="bottomRight"/>
    </sheetView>
  </sheetViews>
  <sheetFormatPr defaultRowHeight="15" x14ac:dyDescent="0.25"/>
  <cols>
    <col min="1" max="1" width="2" customWidth="1"/>
    <col min="2" max="2" width="34" customWidth="1"/>
    <col min="3" max="3" width="44" customWidth="1"/>
    <col min="4" max="4" width="2" customWidth="1"/>
    <col min="5" max="11" width="12" customWidth="1"/>
    <col min="12" max="12" width="70" customWidth="1"/>
  </cols>
  <sheetData>
    <row r="2" spans="2:8" ht="18.75" x14ac:dyDescent="0.3">
      <c r="B2" s="17" t="s">
        <v>0</v>
      </c>
    </row>
    <row r="4" spans="2:8" x14ac:dyDescent="0.25">
      <c r="B4" s="18" t="s">
        <v>1</v>
      </c>
    </row>
    <row r="5" spans="2:8" x14ac:dyDescent="0.25">
      <c r="B5" t="s">
        <v>2</v>
      </c>
      <c r="E5" s="19" t="s">
        <v>3</v>
      </c>
      <c r="H5" s="18" t="s">
        <v>4</v>
      </c>
    </row>
    <row r="6" spans="2:8" x14ac:dyDescent="0.25">
      <c r="H6" s="20" t="s">
        <v>5</v>
      </c>
    </row>
    <row r="7" spans="2:8" x14ac:dyDescent="0.25">
      <c r="H7" s="20" t="s">
        <v>6</v>
      </c>
    </row>
    <row r="8" spans="2:8" x14ac:dyDescent="0.25">
      <c r="B8" t="s">
        <v>7</v>
      </c>
      <c r="E8" s="19" t="s">
        <v>8</v>
      </c>
    </row>
    <row r="11" spans="2:8" x14ac:dyDescent="0.25">
      <c r="B11" t="s">
        <v>9</v>
      </c>
      <c r="E11" s="19" t="s">
        <v>10</v>
      </c>
    </row>
    <row r="14" spans="2:8" x14ac:dyDescent="0.25">
      <c r="B14" t="s">
        <v>11</v>
      </c>
      <c r="E14" s="19" t="s">
        <v>12</v>
      </c>
    </row>
    <row r="16" spans="2:8" x14ac:dyDescent="0.25">
      <c r="B16" t="s">
        <v>13</v>
      </c>
      <c r="E16" s="19" t="s">
        <v>14</v>
      </c>
    </row>
    <row r="18" spans="2:12" x14ac:dyDescent="0.25">
      <c r="B18" t="s">
        <v>15</v>
      </c>
      <c r="E18" s="19" t="s">
        <v>16</v>
      </c>
    </row>
    <row r="21" spans="2:12" x14ac:dyDescent="0.25">
      <c r="B21" t="s">
        <v>17</v>
      </c>
      <c r="E21" s="19" t="s">
        <v>18</v>
      </c>
    </row>
    <row r="25" spans="2:12" ht="18.75" x14ac:dyDescent="0.3">
      <c r="B25" s="17" t="s">
        <v>19</v>
      </c>
      <c r="K25" s="20" t="s">
        <v>20</v>
      </c>
    </row>
    <row r="26" spans="2:12" x14ac:dyDescent="0.25">
      <c r="E26" s="21" t="s">
        <v>21</v>
      </c>
      <c r="F26" s="21" t="s">
        <v>21</v>
      </c>
      <c r="G26" s="21" t="s">
        <v>21</v>
      </c>
      <c r="H26" s="21" t="s">
        <v>22</v>
      </c>
      <c r="I26" s="21" t="s">
        <v>22</v>
      </c>
      <c r="J26" s="21" t="s">
        <v>22</v>
      </c>
      <c r="K26" s="21" t="s">
        <v>22</v>
      </c>
    </row>
    <row r="27" spans="2:12" x14ac:dyDescent="0.25">
      <c r="B27" s="22" t="s">
        <v>23</v>
      </c>
      <c r="C27" s="23"/>
      <c r="D27" s="23"/>
      <c r="E27" s="24" t="s">
        <v>24</v>
      </c>
      <c r="F27" s="24" t="s">
        <v>25</v>
      </c>
      <c r="G27" s="24" t="s">
        <v>8</v>
      </c>
      <c r="H27" s="24" t="s">
        <v>26</v>
      </c>
      <c r="I27" s="24" t="s">
        <v>27</v>
      </c>
      <c r="J27" s="24" t="s">
        <v>28</v>
      </c>
      <c r="K27" s="24" t="s">
        <v>29</v>
      </c>
      <c r="L27" s="22" t="s">
        <v>30</v>
      </c>
    </row>
    <row r="28" spans="2:12" x14ac:dyDescent="0.25">
      <c r="B28" t="s">
        <v>31</v>
      </c>
      <c r="C28" s="20" t="s">
        <v>32</v>
      </c>
      <c r="E28" s="25">
        <f>IF(ISNUMBER(Detail_TearSheet!E7),Detail_TearSheet!E7,"n/a")</f>
        <v>399879</v>
      </c>
      <c r="F28" s="25">
        <f>IF(ISNUMBER(Detail_TearSheet!F7),Detail_TearSheet!F7,"n/a")</f>
        <v>408335</v>
      </c>
      <c r="G28" s="25">
        <f>IF(ISNUMBER(Detail_TearSheet!G7),Detail_TearSheet!G7,"n/a")</f>
        <v>426963</v>
      </c>
      <c r="H28" s="25">
        <f>IF(ISNUMBER(Detail_TearSheet!H7),Detail_TearSheet!H7,"n/a")</f>
        <v>426274.7</v>
      </c>
      <c r="I28" s="25">
        <f>IF(ISNUMBER(Detail_TearSheet!I7),Detail_TearSheet!I7,"n/a")</f>
        <v>445288</v>
      </c>
      <c r="J28" s="25">
        <f>IF(ISNUMBER(Detail_TearSheet!J7),Detail_TearSheet!J7,"n/a")</f>
        <v>468430.9</v>
      </c>
      <c r="K28" s="26">
        <f>Inputs_Sources!$D$705</f>
        <v>477018</v>
      </c>
      <c r="L28" s="20" t="s">
        <v>33</v>
      </c>
    </row>
    <row r="29" spans="2:12" x14ac:dyDescent="0.25">
      <c r="B29" t="s">
        <v>34</v>
      </c>
      <c r="C29" s="20"/>
      <c r="E29" s="27">
        <f>IFERROR(E28/Detail_TearSheet!D7-1,"n/a")</f>
        <v>2.9420174263743437E-3</v>
      </c>
      <c r="F29" s="27">
        <f t="shared" ref="F29:K29" si="0">IFERROR(F28/E28-1,"n/a")</f>
        <v>2.1146396785027388E-2</v>
      </c>
      <c r="G29" s="27">
        <f t="shared" si="0"/>
        <v>4.5619405635078936E-2</v>
      </c>
      <c r="H29" s="27">
        <f t="shared" si="0"/>
        <v>-1.6120834826436337E-3</v>
      </c>
      <c r="I29" s="27">
        <f t="shared" si="0"/>
        <v>4.4603397762053465E-2</v>
      </c>
      <c r="J29" s="27">
        <f t="shared" si="0"/>
        <v>5.1972880472862526E-2</v>
      </c>
      <c r="K29" s="27">
        <f t="shared" si="0"/>
        <v>1.8331625859865364E-2</v>
      </c>
      <c r="L29" s="20" t="s">
        <v>35</v>
      </c>
    </row>
    <row r="30" spans="2:12" x14ac:dyDescent="0.25">
      <c r="B30" t="s">
        <v>36</v>
      </c>
      <c r="C30" s="20" t="s">
        <v>37</v>
      </c>
      <c r="E30" s="25">
        <f>IF(ISNUMBER(Detail_TearSheet!E9),Detail_TearSheet!E9,"n/a")</f>
        <v>206159.5</v>
      </c>
      <c r="F30" s="25">
        <f>IF(ISNUMBER(Detail_TearSheet!F9),Detail_TearSheet!F9,"n/a")</f>
        <v>214928</v>
      </c>
      <c r="G30" s="25">
        <f>IF(ISNUMBER(Detail_TearSheet!G9),Detail_TearSheet!G9,"n/a")</f>
        <v>224241.7</v>
      </c>
      <c r="H30" s="26">
        <f>IFERROR(H28*Detail_TearSheet!H11/100,"n/a")</f>
        <v>222941.66809999998</v>
      </c>
      <c r="I30" s="26">
        <f>IFERROR(I28*Detail_TearSheet!I11/100,"n/a")</f>
        <v>231549.76</v>
      </c>
      <c r="J30" s="26">
        <f>IFERROR(J28*Detail_TearSheet!J11/100,"n/a")</f>
        <v>243818.28344999999</v>
      </c>
      <c r="K30" s="26">
        <f>IFERROR(K28*Inputs_Sources!$D$715/100,"n/a")</f>
        <v>248526.378</v>
      </c>
      <c r="L30" s="20" t="s">
        <v>38</v>
      </c>
    </row>
    <row r="31" spans="2:12" x14ac:dyDescent="0.25">
      <c r="B31" t="s">
        <v>39</v>
      </c>
      <c r="C31" s="20" t="s">
        <v>40</v>
      </c>
      <c r="E31" s="25">
        <f>IF(ISNUMBER(Detail_TearSheet!E12),Detail_TearSheet!E12,"n/a")</f>
        <v>165748</v>
      </c>
      <c r="F31" s="25">
        <f>IF(ISNUMBER(Detail_TearSheet!F12),Detail_TearSheet!F12,"n/a")</f>
        <v>175164</v>
      </c>
      <c r="G31" s="25">
        <f>IF(ISNUMBER(Detail_TearSheet!G12),Detail_TearSheet!G12,"n/a")</f>
        <v>184186</v>
      </c>
      <c r="H31" s="25">
        <f>IF(ISNUMBER(Detail_TearSheet!H12),Detail_TearSheet!H12,"n/a")</f>
        <v>177262</v>
      </c>
      <c r="I31" s="25">
        <f>IF(ISNUMBER(Detail_TearSheet!I12),Detail_TearSheet!I12,"n/a")</f>
        <v>189938</v>
      </c>
      <c r="J31" s="25">
        <f>IF(ISNUMBER(Detail_TearSheet!J12),Detail_TearSheet!J12,"n/a")</f>
        <v>197030</v>
      </c>
      <c r="K31" s="26">
        <f>Inputs_Sources!$D$716</f>
        <v>216662</v>
      </c>
      <c r="L31" s="20" t="s">
        <v>33</v>
      </c>
    </row>
    <row r="32" spans="2:12" x14ac:dyDescent="0.25">
      <c r="B32" t="s">
        <v>41</v>
      </c>
      <c r="C32" s="20" t="s">
        <v>42</v>
      </c>
      <c r="E32" s="25">
        <f>IF(ISNUMBER(Detail_TearSheet!E14),Detail_TearSheet!E14,"n/a")</f>
        <v>168704.7</v>
      </c>
      <c r="F32" s="25">
        <f>IF(ISNUMBER(Detail_TearSheet!F14),Detail_TearSheet!F14,"n/a")</f>
        <v>181779</v>
      </c>
      <c r="G32" s="25">
        <f>IF(ISNUMBER(Detail_TearSheet!G14),Detail_TearSheet!G14,"n/a")</f>
        <v>187970.1</v>
      </c>
      <c r="H32" s="26">
        <f>IFERROR(H30-H33,"n/a")</f>
        <v>185495.66809999998</v>
      </c>
      <c r="I32" s="26">
        <f>IFERROR(I30-I33,"n/a")</f>
        <v>192770.76</v>
      </c>
      <c r="J32" s="26">
        <f>IFERROR(J30-J33,"n/a")</f>
        <v>201892.28344999999</v>
      </c>
      <c r="K32" s="26">
        <f>IFERROR(K30-K33,"n/a")</f>
        <v>208504.378</v>
      </c>
      <c r="L32" s="20" t="s">
        <v>43</v>
      </c>
    </row>
    <row r="33" spans="2:12" x14ac:dyDescent="0.25">
      <c r="B33" t="s">
        <v>44</v>
      </c>
      <c r="C33" s="20" t="s">
        <v>45</v>
      </c>
      <c r="E33" s="25">
        <f>IF(ISNUMBER(Detail_TearSheet!E16),Detail_TearSheet!E16,"n/a")</f>
        <v>35455</v>
      </c>
      <c r="F33" s="25">
        <f>IF(ISNUMBER(Detail_TearSheet!F16),Detail_TearSheet!F16,"n/a")</f>
        <v>33149</v>
      </c>
      <c r="G33" s="25">
        <f>IF(ISNUMBER(Detail_TearSheet!G16),Detail_TearSheet!G16,"n/a")</f>
        <v>34146</v>
      </c>
      <c r="H33" s="25">
        <f>IF(ISNUMBER(Detail_TearSheet!H16),Detail_TearSheet!H16,"n/a")</f>
        <v>37446</v>
      </c>
      <c r="I33" s="25">
        <f>IF(ISNUMBER(Detail_TearSheet!I16),Detail_TearSheet!I16,"n/a")</f>
        <v>38779</v>
      </c>
      <c r="J33" s="25">
        <f>IF(ISNUMBER(Detail_TearSheet!J16),Detail_TearSheet!J16,"n/a")</f>
        <v>41926</v>
      </c>
      <c r="K33" s="26">
        <f>Inputs_Sources!$D$707</f>
        <v>40022</v>
      </c>
      <c r="L33" s="20" t="s">
        <v>33</v>
      </c>
    </row>
    <row r="34" spans="2:12" x14ac:dyDescent="0.25">
      <c r="B34" t="s">
        <v>46</v>
      </c>
      <c r="C34" s="20" t="s">
        <v>47</v>
      </c>
      <c r="E34" s="25">
        <f>IF(ISNUMBER(Detail_TearSheet!E19),Detail_TearSheet!E19,"n/a")</f>
        <v>54942</v>
      </c>
      <c r="F34" s="25">
        <f>IF(ISNUMBER(Detail_TearSheet!F19),Detail_TearSheet!F19,"n/a")</f>
        <v>55473</v>
      </c>
      <c r="G34" s="25">
        <f>IF(ISNUMBER(Detail_TearSheet!G19),Detail_TearSheet!G19,"n/a")</f>
        <v>59456</v>
      </c>
      <c r="H34" s="25">
        <f>IF(ISNUMBER(Detail_TearSheet!H19),Detail_TearSheet!H19,"n/a")</f>
        <v>62117</v>
      </c>
      <c r="I34" s="25">
        <f>IF(ISNUMBER(Detail_TearSheet!I19),Detail_TearSheet!I19,"n/a")</f>
        <v>64891</v>
      </c>
      <c r="J34" s="25">
        <f>IF(ISNUMBER(Detail_TearSheet!J19),Detail_TearSheet!J19,"n/a")</f>
        <v>68999</v>
      </c>
      <c r="K34" s="26">
        <f>Inputs_Sources!$D$706</f>
        <v>70667.5</v>
      </c>
      <c r="L34" s="20" t="s">
        <v>33</v>
      </c>
    </row>
    <row r="35" spans="2:12" x14ac:dyDescent="0.25">
      <c r="B35" t="s">
        <v>48</v>
      </c>
      <c r="C35" s="20" t="s">
        <v>49</v>
      </c>
      <c r="E35" s="25">
        <f>IF(ISNUMBER(Detail_TearSheet!E21),Detail_TearSheet!E21,"n/a")</f>
        <v>25324</v>
      </c>
      <c r="F35" s="25">
        <f>IF(ISNUMBER(Detail_TearSheet!F21),Detail_TearSheet!F21,"n/a")</f>
        <v>21034</v>
      </c>
      <c r="G35" s="25">
        <f>IF(ISNUMBER(Detail_TearSheet!G21),Detail_TearSheet!G21,"n/a")</f>
        <v>20143</v>
      </c>
      <c r="H35" s="25">
        <f>IF(ISNUMBER(Detail_TearSheet!H21),Detail_TearSheet!H21,"n/a")</f>
        <v>23597</v>
      </c>
      <c r="I35" s="25">
        <f>IF(ISNUMBER(Detail_TearSheet!I21),Detail_TearSheet!I21,"n/a")</f>
        <v>25677</v>
      </c>
      <c r="J35" s="25">
        <f>IF(ISNUMBER(Detail_TearSheet!J21),Detail_TearSheet!J21,"n/a")</f>
        <v>30308</v>
      </c>
      <c r="K35" s="28"/>
      <c r="L35" s="20" t="s">
        <v>50</v>
      </c>
    </row>
    <row r="36" spans="2:12" x14ac:dyDescent="0.25">
      <c r="B36" t="s">
        <v>51</v>
      </c>
      <c r="C36" s="20" t="s">
        <v>52</v>
      </c>
      <c r="E36" s="25">
        <f>IF(ISNUMBER(Detail_TearSheet!E22),Detail_TearSheet!E22,"n/a")</f>
        <v>15477</v>
      </c>
      <c r="F36" s="25">
        <f>IF(ISNUMBER(Detail_TearSheet!F22),Detail_TearSheet!F22,"n/a")</f>
        <v>12544</v>
      </c>
      <c r="G36" s="25">
        <f>IF(ISNUMBER(Detail_TearSheet!G22),Detail_TearSheet!G22,"n/a")</f>
        <v>11133</v>
      </c>
      <c r="H36" s="25">
        <f>IF(ISNUMBER(Detail_TearSheet!H22),Detail_TearSheet!H22,"n/a")</f>
        <v>13688</v>
      </c>
      <c r="I36" s="25">
        <f>IF(ISNUMBER(Detail_TearSheet!I22),Detail_TearSheet!I22,"n/a")</f>
        <v>15011</v>
      </c>
      <c r="J36" s="25">
        <f>IF(ISNUMBER(Detail_TearSheet!J22),Detail_TearSheet!J22,"n/a")</f>
        <v>17371</v>
      </c>
      <c r="K36" s="26">
        <f>Inputs_Sources!$D$708</f>
        <v>16735</v>
      </c>
      <c r="L36" s="20" t="s">
        <v>33</v>
      </c>
    </row>
    <row r="37" spans="2:12" x14ac:dyDescent="0.25">
      <c r="B37" t="s">
        <v>53</v>
      </c>
      <c r="C37" s="20" t="s">
        <v>54</v>
      </c>
      <c r="E37" s="29">
        <f>IF(ISNUMBER(Detail_TearSheet!E24),Detail_TearSheet!E24,"n/a")</f>
        <v>3.5</v>
      </c>
      <c r="F37" s="29">
        <f>IF(ISNUMBER(Detail_TearSheet!F24),Detail_TearSheet!F24,"n/a")</f>
        <v>2.88</v>
      </c>
      <c r="G37" s="29">
        <f>IF(ISNUMBER(Detail_TearSheet!G24),Detail_TearSheet!G24,"n/a")</f>
        <v>2.58</v>
      </c>
      <c r="H37" s="29">
        <f>IF(ISNUMBER(Detail_TearSheet!H24),Detail_TearSheet!H24,"n/a")</f>
        <v>3.07</v>
      </c>
      <c r="I37" s="29">
        <f>IF(ISNUMBER(Detail_TearSheet!I24),Detail_TearSheet!I24,"n/a")</f>
        <v>3.35</v>
      </c>
      <c r="J37" s="29">
        <f>IF(ISNUMBER(Detail_TearSheet!J24),Detail_TearSheet!J24,"n/a")</f>
        <v>3.8</v>
      </c>
      <c r="K37" s="30">
        <f>Inputs_Sources!$D$709</f>
        <v>4.0199999999999996</v>
      </c>
      <c r="L37" s="20" t="s">
        <v>33</v>
      </c>
    </row>
    <row r="38" spans="2:12" x14ac:dyDescent="0.25">
      <c r="B38" t="s">
        <v>34</v>
      </c>
      <c r="C38" s="20"/>
      <c r="E38" s="27">
        <f>IFERROR(E37/Detail_TearSheet!D24-1,"n/a")</f>
        <v>-0.66793168880455411</v>
      </c>
      <c r="F38" s="27">
        <f t="shared" ref="F38:K38" si="1">IFERROR(F37/E37-1,"n/a")</f>
        <v>-0.17714285714285716</v>
      </c>
      <c r="G38" s="27">
        <f t="shared" si="1"/>
        <v>-0.10416666666666663</v>
      </c>
      <c r="H38" s="27">
        <f t="shared" si="1"/>
        <v>0.18992248062015493</v>
      </c>
      <c r="I38" s="27">
        <f t="shared" si="1"/>
        <v>9.1205211726384405E-2</v>
      </c>
      <c r="J38" s="27">
        <f t="shared" si="1"/>
        <v>0.13432835820895517</v>
      </c>
      <c r="K38" s="27">
        <f t="shared" si="1"/>
        <v>5.7894736842105221E-2</v>
      </c>
      <c r="L38" s="20" t="s">
        <v>35</v>
      </c>
    </row>
    <row r="39" spans="2:12" x14ac:dyDescent="0.25">
      <c r="B39" t="s">
        <v>55</v>
      </c>
      <c r="C39" s="20" t="s">
        <v>56</v>
      </c>
      <c r="E39" s="29">
        <f>IF(ISNUMBER(Detail_TearSheet!E25),Detail_TearSheet!E25,"n/a")</f>
        <v>0.78</v>
      </c>
      <c r="F39" s="29">
        <f>IF(ISNUMBER(Detail_TearSheet!F25),Detail_TearSheet!F25,"n/a")</f>
        <v>0.94</v>
      </c>
      <c r="G39" s="29">
        <f>IF(ISNUMBER(Detail_TearSheet!G25),Detail_TearSheet!G25,"n/a")</f>
        <v>1</v>
      </c>
      <c r="H39" s="29">
        <f>IF(ISNUMBER(Detail_TearSheet!H25),Detail_TearSheet!H25,"n/a")</f>
        <v>1.01</v>
      </c>
      <c r="I39" s="29">
        <f>IF(ISNUMBER(Detail_TearSheet!I25),Detail_TearSheet!I25,"n/a")</f>
        <v>1.05</v>
      </c>
      <c r="J39" s="29">
        <f>IF(ISNUMBER(Detail_TearSheet!J25),Detail_TearSheet!J25,"n/a")</f>
        <v>1.24</v>
      </c>
      <c r="K39" s="30">
        <f>Inputs_Sources!$D$710</f>
        <v>1.24</v>
      </c>
      <c r="L39" s="20" t="s">
        <v>33</v>
      </c>
    </row>
    <row r="41" spans="2:12" x14ac:dyDescent="0.25">
      <c r="B41" s="31" t="s">
        <v>57</v>
      </c>
      <c r="C41" s="32"/>
      <c r="D41" s="32"/>
      <c r="E41" s="32"/>
      <c r="F41" s="32"/>
      <c r="G41" s="32"/>
      <c r="H41" s="32"/>
      <c r="I41" s="32"/>
      <c r="J41" s="32"/>
      <c r="K41" s="32"/>
      <c r="L41" s="32"/>
    </row>
    <row r="42" spans="2:12" x14ac:dyDescent="0.25">
      <c r="B42" t="s">
        <v>58</v>
      </c>
      <c r="C42" s="20" t="s">
        <v>59</v>
      </c>
      <c r="E42" s="25">
        <f>IF(ISNUMBER(Detail_TearSheet!E28),Detail_TearSheet!E28,"n/a")</f>
        <v>6353</v>
      </c>
      <c r="F42" s="25">
        <f>IF(ISNUMBER(Detail_TearSheet!F28),Detail_TearSheet!F28,"n/a")</f>
        <v>8057</v>
      </c>
      <c r="G42" s="25">
        <f>IF(ISNUMBER(Detail_TearSheet!G28),Detail_TearSheet!G28,"n/a")</f>
        <v>8535</v>
      </c>
      <c r="H42" s="28"/>
      <c r="I42" s="28"/>
      <c r="J42" s="28"/>
      <c r="K42" s="28"/>
      <c r="L42" s="20" t="s">
        <v>50</v>
      </c>
    </row>
    <row r="43" spans="2:12" x14ac:dyDescent="0.25">
      <c r="B43" t="s">
        <v>60</v>
      </c>
      <c r="C43" s="20" t="s">
        <v>61</v>
      </c>
      <c r="E43" s="25">
        <f>IF(ISNUMBER(Detail_TearSheet!E29),Detail_TearSheet!E29,"n/a")</f>
        <v>58914</v>
      </c>
      <c r="F43" s="25">
        <f>IF(ISNUMBER(Detail_TearSheet!F29),Detail_TearSheet!F29,"n/a")</f>
        <v>67180</v>
      </c>
      <c r="G43" s="25">
        <f>IF(ISNUMBER(Detail_TearSheet!G29),Detail_TearSheet!G29,"n/a")</f>
        <v>64671</v>
      </c>
      <c r="H43" s="28"/>
      <c r="I43" s="28"/>
      <c r="J43" s="28"/>
      <c r="K43" s="28"/>
      <c r="L43" s="20" t="s">
        <v>50</v>
      </c>
    </row>
    <row r="44" spans="2:12" x14ac:dyDescent="0.25">
      <c r="B44" t="s">
        <v>62</v>
      </c>
      <c r="C44" s="20" t="s">
        <v>63</v>
      </c>
      <c r="E44" s="25">
        <f>IF(ISNUMBER(Detail_TearSheet!E31),Detail_TearSheet!E31,"n/a")</f>
        <v>289188</v>
      </c>
      <c r="F44" s="25">
        <f>IF(ISNUMBER(Detail_TearSheet!F31),Detail_TearSheet!F31,"n/a")</f>
        <v>349624</v>
      </c>
      <c r="G44" s="25">
        <f>IF(ISNUMBER(Detail_TearSheet!G31),Detail_TearSheet!G31,"n/a")</f>
        <v>345134</v>
      </c>
      <c r="H44" s="28"/>
      <c r="I44" s="28"/>
      <c r="J44" s="28"/>
      <c r="K44" s="28"/>
      <c r="L44" s="20" t="s">
        <v>50</v>
      </c>
    </row>
    <row r="45" spans="2:12" x14ac:dyDescent="0.25">
      <c r="B45" t="s">
        <v>64</v>
      </c>
      <c r="C45" s="20" t="s">
        <v>65</v>
      </c>
      <c r="E45" s="25">
        <f>IF(ISNUMBER(Detail_TearSheet!E32),Detail_TearSheet!E32,"n/a")</f>
        <v>87192</v>
      </c>
      <c r="F45" s="25">
        <f>IF(ISNUMBER(Detail_TearSheet!F32),Detail_TearSheet!F32,"n/a")</f>
        <v>85155</v>
      </c>
      <c r="G45" s="25">
        <f>IF(ISNUMBER(Detail_TearSheet!G32),Detail_TearSheet!G32,"n/a")</f>
        <v>90573</v>
      </c>
      <c r="H45" s="28"/>
      <c r="I45" s="28"/>
      <c r="J45" s="28"/>
      <c r="K45" s="28"/>
      <c r="L45" s="20" t="s">
        <v>50</v>
      </c>
    </row>
    <row r="46" spans="2:12" x14ac:dyDescent="0.25">
      <c r="B46" t="s">
        <v>66</v>
      </c>
      <c r="C46" s="20" t="s">
        <v>67</v>
      </c>
      <c r="E46" s="25">
        <f>IF(ISNUMBER(Detail_TearSheet!E34),Detail_TearSheet!E34,"n/a")</f>
        <v>149282</v>
      </c>
      <c r="F46" s="25">
        <f>IF(ISNUMBER(Detail_TearSheet!F34),Detail_TearSheet!F34,"n/a")</f>
        <v>203951</v>
      </c>
      <c r="G46" s="25">
        <f>IF(ISNUMBER(Detail_TearSheet!G34),Detail_TearSheet!G34,"n/a")</f>
        <v>198977</v>
      </c>
      <c r="H46" s="28"/>
      <c r="I46" s="28"/>
      <c r="J46" s="28"/>
      <c r="K46" s="28"/>
      <c r="L46" s="20" t="s">
        <v>50</v>
      </c>
    </row>
    <row r="47" spans="2:12" x14ac:dyDescent="0.25">
      <c r="B47" t="s">
        <v>68</v>
      </c>
      <c r="C47" s="20" t="s">
        <v>69</v>
      </c>
      <c r="E47" s="25">
        <f>IF(ISNUMBER(Detail_TearSheet!E37),Detail_TearSheet!E37,"n/a")</f>
        <v>133186</v>
      </c>
      <c r="F47" s="25">
        <f>IF(ISNUMBER(Detail_TearSheet!F37),Detail_TearSheet!F37,"n/a")</f>
        <v>179338</v>
      </c>
      <c r="G47" s="25">
        <f>IF(ISNUMBER(Detail_TearSheet!G37),Detail_TearSheet!G37,"n/a")</f>
        <v>182232</v>
      </c>
      <c r="H47" s="26">
        <f>Inputs_Sources!$D$678</f>
        <v>146911.02387999999</v>
      </c>
      <c r="I47" s="26">
        <f>Inputs_Sources!$D$690</f>
        <v>133766.75873999999</v>
      </c>
      <c r="J47" s="26">
        <f>Inputs_Sources!$D$702</f>
        <v>119433.53672</v>
      </c>
      <c r="K47" s="26">
        <f>Inputs_Sources!$D$714</f>
        <v>109707</v>
      </c>
      <c r="L47" s="20" t="s">
        <v>70</v>
      </c>
    </row>
    <row r="49" spans="2:12" x14ac:dyDescent="0.25">
      <c r="B49" s="31" t="s">
        <v>71</v>
      </c>
      <c r="C49" s="32"/>
      <c r="D49" s="32"/>
      <c r="E49" s="32"/>
      <c r="F49" s="32"/>
      <c r="G49" s="32"/>
      <c r="H49" s="32"/>
      <c r="I49" s="32"/>
      <c r="J49" s="32"/>
      <c r="K49" s="32"/>
      <c r="L49" s="32"/>
    </row>
    <row r="50" spans="2:12" x14ac:dyDescent="0.25">
      <c r="B50" t="s">
        <v>72</v>
      </c>
      <c r="C50" s="20" t="s">
        <v>73</v>
      </c>
      <c r="E50" s="25">
        <f>IF(ISNUMBER(Detail_TearSheet!E42),Detail_TearSheet!E42,"n/a")</f>
        <v>-34754</v>
      </c>
      <c r="F50" s="25">
        <f>IF(ISNUMBER(Detail_TearSheet!F42),Detail_TearSheet!F42,"n/a")</f>
        <v>-29402</v>
      </c>
      <c r="G50" s="25">
        <f>IF(ISNUMBER(Detail_TearSheet!G42),Detail_TearSheet!G42,"n/a")</f>
        <v>-22530</v>
      </c>
      <c r="H50" s="25">
        <f>IF(ISNUMBER(Detail_TearSheet!H42),Detail_TearSheet!H42,"n/a")</f>
        <v>-21978.799999999999</v>
      </c>
      <c r="I50" s="25">
        <f>IF(ISNUMBER(Detail_TearSheet!I42),Detail_TearSheet!I42,"n/a")</f>
        <v>-22341.3</v>
      </c>
      <c r="J50" s="25">
        <f>IF(ISNUMBER(Detail_TearSheet!J42),Detail_TearSheet!J42,"n/a")</f>
        <v>-22933.5</v>
      </c>
      <c r="K50" s="26">
        <f>-Inputs_Sources!$D$711</f>
        <v>-19308</v>
      </c>
      <c r="L50" s="20" t="s">
        <v>33</v>
      </c>
    </row>
    <row r="51" spans="2:12" x14ac:dyDescent="0.25">
      <c r="B51" t="s">
        <v>74</v>
      </c>
      <c r="C51" s="20" t="s">
        <v>75</v>
      </c>
      <c r="E51" s="25">
        <f>IF(ISNUMBER(Detail_TearSheet!E46),Detail_TearSheet!E46,"n/a")</f>
        <v>11165</v>
      </c>
      <c r="F51" s="25">
        <f>IF(ISNUMBER(Detail_TearSheet!F46),Detail_TearSheet!F46,"n/a")</f>
        <v>1017</v>
      </c>
      <c r="G51" s="25">
        <f>IF(ISNUMBER(Detail_TearSheet!G46),Detail_TearSheet!G46,"n/a")</f>
        <v>-696</v>
      </c>
      <c r="H51" s="28"/>
      <c r="I51" s="28"/>
      <c r="J51" s="28"/>
      <c r="K51" s="28"/>
      <c r="L51" s="20" t="s">
        <v>50</v>
      </c>
    </row>
    <row r="52" spans="2:12" x14ac:dyDescent="0.25">
      <c r="B52" t="s">
        <v>76</v>
      </c>
      <c r="C52" s="20" t="s">
        <v>77</v>
      </c>
      <c r="E52" s="25">
        <f>IF(ISNUMBER(Detail_TearSheet!E41),Detail_TearSheet!E41,"n/a")</f>
        <v>31411</v>
      </c>
      <c r="F52" s="25">
        <f>IF(ISNUMBER(Detail_TearSheet!F41),Detail_TearSheet!F41,"n/a")</f>
        <v>39907</v>
      </c>
      <c r="G52" s="25">
        <f>IF(ISNUMBER(Detail_TearSheet!G41),Detail_TearSheet!G41,"n/a")</f>
        <v>47753</v>
      </c>
      <c r="H52" s="26">
        <f>Inputs_Sources!$D$676</f>
        <v>35594.5</v>
      </c>
      <c r="I52" s="26">
        <f>Inputs_Sources!$D$688</f>
        <v>38165</v>
      </c>
      <c r="J52" s="26">
        <f>Inputs_Sources!$D$700</f>
        <v>43566</v>
      </c>
      <c r="K52" s="28"/>
      <c r="L52" s="20" t="s">
        <v>33</v>
      </c>
    </row>
    <row r="53" spans="2:12" x14ac:dyDescent="0.25">
      <c r="B53" t="s">
        <v>78</v>
      </c>
      <c r="C53" s="20" t="s">
        <v>79</v>
      </c>
      <c r="E53" s="25">
        <f>IF(ISNUMBER(Detail_TearSheet!E44),Detail_TearSheet!E44,"n/a")</f>
        <v>-42440</v>
      </c>
      <c r="F53" s="25">
        <f>IF(ISNUMBER(Detail_TearSheet!F44),Detail_TearSheet!F44,"n/a")</f>
        <v>-36138</v>
      </c>
      <c r="G53" s="25">
        <f>IF(ISNUMBER(Detail_TearSheet!G44),Detail_TearSheet!G44,"n/a")</f>
        <v>-34652</v>
      </c>
      <c r="H53" s="28"/>
      <c r="I53" s="28"/>
      <c r="J53" s="28"/>
      <c r="K53" s="28"/>
      <c r="L53" s="20" t="s">
        <v>50</v>
      </c>
    </row>
    <row r="54" spans="2:12" x14ac:dyDescent="0.25">
      <c r="B54" t="s">
        <v>80</v>
      </c>
      <c r="C54" s="20" t="s">
        <v>81</v>
      </c>
      <c r="E54" s="25">
        <f>IF(ISNUMBER(Detail_TearSheet!E45),Detail_TearSheet!E45,"n/a")</f>
        <v>5904</v>
      </c>
      <c r="F54" s="25" t="str">
        <f>IF(ISNUMBER(Detail_TearSheet!F45),Detail_TearSheet!F45,"n/a")</f>
        <v>n/a</v>
      </c>
      <c r="G54" s="25">
        <f>IF(ISNUMBER(Detail_TearSheet!G45),Detail_TearSheet!G45,"n/a")</f>
        <v>-11908</v>
      </c>
      <c r="H54" s="28"/>
      <c r="I54" s="28"/>
      <c r="J54" s="28"/>
      <c r="K54" s="28"/>
      <c r="L54" s="20" t="s">
        <v>50</v>
      </c>
    </row>
    <row r="56" spans="2:12" x14ac:dyDescent="0.25">
      <c r="B56" s="31" t="s">
        <v>82</v>
      </c>
      <c r="C56" s="32"/>
      <c r="D56" s="32"/>
      <c r="E56" s="32"/>
      <c r="F56" s="32"/>
      <c r="G56" s="32"/>
      <c r="H56" s="32"/>
      <c r="I56" s="32"/>
      <c r="J56" s="32"/>
      <c r="K56" s="32"/>
      <c r="L56" s="32"/>
    </row>
    <row r="57" spans="2:12" x14ac:dyDescent="0.25">
      <c r="B57" t="s">
        <v>83</v>
      </c>
      <c r="C57" s="20" t="s">
        <v>83</v>
      </c>
      <c r="E57" s="27">
        <f t="shared" ref="E57:K57" si="2">IFERROR(E30/E28,"n/a")</f>
        <v>0.51555470529835279</v>
      </c>
      <c r="F57" s="27">
        <f t="shared" si="2"/>
        <v>0.52635213733821495</v>
      </c>
      <c r="G57" s="27">
        <f t="shared" si="2"/>
        <v>0.52520171537112115</v>
      </c>
      <c r="H57" s="27">
        <f t="shared" si="2"/>
        <v>0.52299999999999991</v>
      </c>
      <c r="I57" s="27">
        <f t="shared" si="2"/>
        <v>0.52</v>
      </c>
      <c r="J57" s="27">
        <f t="shared" si="2"/>
        <v>0.52049999999999996</v>
      </c>
      <c r="K57" s="27">
        <f t="shared" si="2"/>
        <v>0.52100000000000002</v>
      </c>
      <c r="L57" s="20" t="s">
        <v>35</v>
      </c>
    </row>
    <row r="58" spans="2:12" x14ac:dyDescent="0.25">
      <c r="B58" t="s">
        <v>84</v>
      </c>
      <c r="C58" s="20" t="s">
        <v>84</v>
      </c>
      <c r="E58" s="27">
        <f t="shared" ref="E58:K58" si="3">IFERROR(E31/E28,"n/a")</f>
        <v>0.41449538485391829</v>
      </c>
      <c r="F58" s="27">
        <f t="shared" si="3"/>
        <v>0.42897131032118235</v>
      </c>
      <c r="G58" s="27">
        <f t="shared" si="3"/>
        <v>0.43138632621562056</v>
      </c>
      <c r="H58" s="27">
        <f t="shared" si="3"/>
        <v>0.41583983285895221</v>
      </c>
      <c r="I58" s="27">
        <f t="shared" si="3"/>
        <v>0.42655090637969134</v>
      </c>
      <c r="J58" s="27">
        <f t="shared" si="3"/>
        <v>0.42061700028755572</v>
      </c>
      <c r="K58" s="27">
        <f t="shared" si="3"/>
        <v>0.45420088969388994</v>
      </c>
      <c r="L58" s="20" t="s">
        <v>35</v>
      </c>
    </row>
    <row r="59" spans="2:12" x14ac:dyDescent="0.25">
      <c r="B59" t="s">
        <v>85</v>
      </c>
      <c r="C59" s="20" t="s">
        <v>85</v>
      </c>
      <c r="E59" s="27">
        <f t="shared" ref="E59:K59" si="4">IFERROR(E33/E28,"n/a")</f>
        <v>8.8664320957089524E-2</v>
      </c>
      <c r="F59" s="27">
        <f t="shared" si="4"/>
        <v>8.1180893139211674E-2</v>
      </c>
      <c r="G59" s="27">
        <f t="shared" si="4"/>
        <v>7.9974142958523342E-2</v>
      </c>
      <c r="H59" s="27">
        <f t="shared" si="4"/>
        <v>8.7844763013146213E-2</v>
      </c>
      <c r="I59" s="27">
        <f t="shared" si="4"/>
        <v>8.7087458004707061E-2</v>
      </c>
      <c r="J59" s="27">
        <f t="shared" si="4"/>
        <v>8.950306224461281E-2</v>
      </c>
      <c r="K59" s="27">
        <f t="shared" si="4"/>
        <v>8.3900397888549277E-2</v>
      </c>
      <c r="L59" s="20" t="s">
        <v>35</v>
      </c>
    </row>
    <row r="60" spans="2:12" x14ac:dyDescent="0.25">
      <c r="B60" t="s">
        <v>86</v>
      </c>
      <c r="C60" s="20" t="s">
        <v>86</v>
      </c>
      <c r="E60" s="27">
        <f t="shared" ref="E60:K60" si="5">IFERROR(E34/E28,"n/a")</f>
        <v>0.1373965624601442</v>
      </c>
      <c r="F60" s="27">
        <f t="shared" si="5"/>
        <v>0.13585169040126366</v>
      </c>
      <c r="G60" s="27">
        <f t="shared" si="5"/>
        <v>0.1392532842424285</v>
      </c>
      <c r="H60" s="27">
        <f t="shared" si="5"/>
        <v>0.14572058815594732</v>
      </c>
      <c r="I60" s="27">
        <f t="shared" si="5"/>
        <v>0.14572815795619914</v>
      </c>
      <c r="J60" s="27">
        <f t="shared" si="5"/>
        <v>0.14729813938405856</v>
      </c>
      <c r="K60" s="27">
        <f t="shared" si="5"/>
        <v>0.14814430482707153</v>
      </c>
      <c r="L60" s="20" t="s">
        <v>35</v>
      </c>
    </row>
    <row r="61" spans="2:12" x14ac:dyDescent="0.25">
      <c r="B61" t="s">
        <v>87</v>
      </c>
      <c r="C61" s="20" t="s">
        <v>87</v>
      </c>
      <c r="E61" s="27">
        <f t="shared" ref="E61:K61" si="6">IFERROR(E36/E28,"n/a")</f>
        <v>3.8704208022926935E-2</v>
      </c>
      <c r="F61" s="27">
        <f t="shared" si="6"/>
        <v>3.0719874612756683E-2</v>
      </c>
      <c r="G61" s="27">
        <f t="shared" si="6"/>
        <v>2.6074858945622923E-2</v>
      </c>
      <c r="H61" s="27">
        <f t="shared" si="6"/>
        <v>3.2110749242214E-2</v>
      </c>
      <c r="I61" s="27">
        <f t="shared" si="6"/>
        <v>3.3710766964301753E-2</v>
      </c>
      <c r="J61" s="27">
        <f t="shared" si="6"/>
        <v>3.7083377719104353E-2</v>
      </c>
      <c r="K61" s="27">
        <f t="shared" si="6"/>
        <v>3.508253357315657E-2</v>
      </c>
      <c r="L61" s="20" t="s">
        <v>35</v>
      </c>
    </row>
    <row r="63" spans="2:12" x14ac:dyDescent="0.25">
      <c r="B63" s="20" t="s">
        <v>88</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W94"/>
  <sheetViews>
    <sheetView showGridLines="0" workbookViewId="0">
      <pane xSplit="5" ySplit="12" topLeftCell="F13" activePane="bottomRight" state="frozen"/>
      <selection pane="topRight"/>
      <selection pane="bottomLeft"/>
      <selection pane="bottomRight"/>
    </sheetView>
  </sheetViews>
  <sheetFormatPr defaultRowHeight="15" x14ac:dyDescent="0.25"/>
  <cols>
    <col min="1" max="1" width="2" customWidth="1"/>
    <col min="2" max="2" width="34" customWidth="1"/>
    <col min="3" max="3" width="2" customWidth="1"/>
    <col min="4" max="4" width="11" customWidth="1"/>
    <col min="5" max="5" width="18" customWidth="1"/>
    <col min="6" max="23" width="11" customWidth="1"/>
  </cols>
  <sheetData>
    <row r="2" spans="2:23" ht="18.75" x14ac:dyDescent="0.3">
      <c r="B2" s="17" t="s">
        <v>89</v>
      </c>
    </row>
    <row r="4" spans="2:23" x14ac:dyDescent="0.25">
      <c r="B4" s="18" t="s">
        <v>4</v>
      </c>
    </row>
    <row r="5" spans="2:23" x14ac:dyDescent="0.25">
      <c r="B5" s="20" t="s">
        <v>90</v>
      </c>
    </row>
    <row r="6" spans="2:23" x14ac:dyDescent="0.25">
      <c r="B6" s="20" t="s">
        <v>91</v>
      </c>
    </row>
    <row r="7" spans="2:23" x14ac:dyDescent="0.25">
      <c r="B7" s="20" t="s">
        <v>92</v>
      </c>
    </row>
    <row r="8" spans="2:23" x14ac:dyDescent="0.25">
      <c r="B8" s="20" t="s">
        <v>93</v>
      </c>
    </row>
    <row r="9" spans="2:23" x14ac:dyDescent="0.25">
      <c r="B9" s="20" t="s">
        <v>94</v>
      </c>
    </row>
    <row r="10" spans="2:23" x14ac:dyDescent="0.25">
      <c r="B10" s="32"/>
      <c r="C10" s="32"/>
      <c r="D10" s="32"/>
      <c r="E10" s="32"/>
      <c r="F10" s="31" t="s">
        <v>95</v>
      </c>
      <c r="G10" s="32"/>
      <c r="H10" s="32"/>
      <c r="I10" s="32"/>
      <c r="J10" s="32"/>
      <c r="K10" s="32"/>
      <c r="L10" s="32"/>
      <c r="M10" s="32"/>
      <c r="N10" s="32"/>
      <c r="O10" s="32"/>
      <c r="P10" s="32"/>
      <c r="Q10" s="32"/>
      <c r="R10" s="32"/>
      <c r="S10" s="32"/>
      <c r="T10" s="32"/>
      <c r="U10" s="32"/>
      <c r="V10" s="32"/>
      <c r="W10" s="32"/>
    </row>
    <row r="11" spans="2:23" ht="38.25" x14ac:dyDescent="0.25">
      <c r="F11" s="33" t="s">
        <v>96</v>
      </c>
      <c r="G11" s="33" t="s">
        <v>97</v>
      </c>
      <c r="H11" s="33" t="s">
        <v>98</v>
      </c>
      <c r="I11" s="33" t="s">
        <v>99</v>
      </c>
      <c r="J11" s="33" t="s">
        <v>100</v>
      </c>
      <c r="K11" s="33" t="s">
        <v>101</v>
      </c>
      <c r="R11" s="33" t="s">
        <v>102</v>
      </c>
    </row>
    <row r="12" spans="2:23" x14ac:dyDescent="0.25">
      <c r="B12" s="22" t="s">
        <v>103</v>
      </c>
      <c r="C12" s="23"/>
      <c r="D12" s="22" t="s">
        <v>104</v>
      </c>
      <c r="E12" s="22" t="s">
        <v>105</v>
      </c>
      <c r="F12" s="23"/>
      <c r="G12" s="22" t="s">
        <v>106</v>
      </c>
      <c r="H12" s="22" t="s">
        <v>106</v>
      </c>
      <c r="I12" s="23"/>
      <c r="J12" s="23"/>
      <c r="K12" s="22" t="s">
        <v>107</v>
      </c>
      <c r="L12" s="22" t="s">
        <v>108</v>
      </c>
      <c r="M12" s="22" t="s">
        <v>109</v>
      </c>
      <c r="N12" s="22" t="s">
        <v>110</v>
      </c>
      <c r="O12" s="22" t="s">
        <v>111</v>
      </c>
      <c r="P12" s="22" t="s">
        <v>112</v>
      </c>
      <c r="Q12" s="22" t="s">
        <v>113</v>
      </c>
      <c r="R12" s="23"/>
    </row>
    <row r="13" spans="2:23" x14ac:dyDescent="0.25">
      <c r="B13" s="34" t="str">
        <f>Detail_PeerAnalysis!A12</f>
        <v>Flowers Foods, Inc.</v>
      </c>
      <c r="D13" t="s">
        <v>114</v>
      </c>
      <c r="E13" s="34" t="str">
        <f>Detail_PeerAnalysis!B12</f>
        <v>NYSE:FLO</v>
      </c>
      <c r="F13" s="35">
        <f>IFERROR(Detail_PeerAnalysis!F12*Detail_PeerAnalysis!H12,"n/a")</f>
        <v>6.108910891089109</v>
      </c>
      <c r="G13" s="28"/>
      <c r="H13" s="28"/>
      <c r="K13" s="28"/>
      <c r="L13" s="36">
        <f>IF(AND(ISNUMBER(Inputs_Sources!$D$346),ISNUMBER(Inputs_Sources!$D$349)),Inputs_Sources!$D$346/Inputs_Sources!$D$349-1,"n/a")</f>
        <v>-0.48784576697401505</v>
      </c>
      <c r="M13" s="36">
        <f>IF(AND(ISNUMBER(Inputs_Sources!$D$346),ISNUMBER(Inputs_Sources!$D$350)),Inputs_Sources!$D$346/Inputs_Sources!$D$350-1,"n/a")</f>
        <v>-0.72514619883040932</v>
      </c>
      <c r="N13" s="36">
        <f>IF(AND(ISNUMBER(Inputs_Sources!$D$346),ISNUMBER(Inputs_Sources!$D$351)),Inputs_Sources!$D$346/Inputs_Sources!$D$351-1,"n/a")</f>
        <v>-0.72138622891016868</v>
      </c>
      <c r="O13" s="36">
        <f>IF(AND(ISNUMBER(Inputs_Sources!$D$346),ISNUMBER(Inputs_Sources!$D$352)),Inputs_Sources!$D$346/Inputs_Sources!$D$352-1,"n/a")</f>
        <v>-0.7531313131313131</v>
      </c>
      <c r="P13" s="36">
        <f>IF(AND(ISNUMBER(Inputs_Sources!$D$346),ISNUMBER(Inputs_Sources!$D$347)),Inputs_Sources!$D$346/Inputs_Sources!$D$347-1,"n/a")</f>
        <v>0.10090090090090098</v>
      </c>
      <c r="Q13" s="36">
        <f>IF(AND(ISNUMBER(Inputs_Sources!$D$346),ISNUMBER(Inputs_Sources!$D$348)),Inputs_Sources!$D$346/Inputs_Sources!$D$348-1,"n/a")</f>
        <v>-0.43841911764705888</v>
      </c>
      <c r="R13" s="37">
        <f>IF(ISNUMBER(Inputs_Sources!$D$353),Inputs_Sources!$D$353,"n/a")</f>
        <v>0.87</v>
      </c>
    </row>
    <row r="14" spans="2:23" x14ac:dyDescent="0.25">
      <c r="B14" s="34" t="str">
        <f>Detail_PeerAnalysis!A13</f>
        <v>Gruma, S.A.B. de C.V.</v>
      </c>
      <c r="D14" t="s">
        <v>114</v>
      </c>
      <c r="E14" s="34" t="str">
        <f>Detail_PeerAnalysis!B13</f>
        <v>BMV:GRUMA B</v>
      </c>
      <c r="F14" s="35">
        <f>IFERROR(Detail_PeerAnalysis!F13*Detail_PeerAnalysis!H13,"n/a")</f>
        <v>13.097029060014071</v>
      </c>
      <c r="G14" s="28"/>
      <c r="H14" s="28"/>
      <c r="K14" s="28"/>
      <c r="L14" s="36">
        <f>IF(AND(ISNUMBER(Inputs_Sources!$D$383),ISNUMBER(Inputs_Sources!$D$386)),Inputs_Sources!$D$383/Inputs_Sources!$D$386-1,"n/a")</f>
        <v>-0.22954679223072394</v>
      </c>
      <c r="M14" s="36">
        <f>IF(AND(ISNUMBER(Inputs_Sources!$D$383),ISNUMBER(Inputs_Sources!$D$387)),Inputs_Sources!$D$383/Inputs_Sources!$D$387-1,"n/a")</f>
        <v>-0.24071925754060319</v>
      </c>
      <c r="N14" s="36">
        <f>IF(AND(ISNUMBER(Inputs_Sources!$D$383),ISNUMBER(Inputs_Sources!$D$388)),Inputs_Sources!$D$383/Inputs_Sources!$D$388-1,"n/a")</f>
        <v>-0.24553314121037473</v>
      </c>
      <c r="O14" s="36">
        <f>IF(AND(ISNUMBER(Inputs_Sources!$D$383),ISNUMBER(Inputs_Sources!$D$389)),Inputs_Sources!$D$383/Inputs_Sources!$D$389-1,"n/a")</f>
        <v>0.11309523809523814</v>
      </c>
      <c r="P14" s="36">
        <f>IF(AND(ISNUMBER(Inputs_Sources!$D$383),ISNUMBER(Inputs_Sources!$D$384)),Inputs_Sources!$D$383/Inputs_Sources!$D$384-1,"n/a")</f>
        <v>4.6047582501917983E-3</v>
      </c>
      <c r="Q14" s="36">
        <f>IF(AND(ISNUMBER(Inputs_Sources!$D$383),ISNUMBER(Inputs_Sources!$D$385)),Inputs_Sources!$D$383/Inputs_Sources!$D$385-1,"n/a")</f>
        <v>-0.24027858386535117</v>
      </c>
      <c r="R14" s="37">
        <f>IF(ISNUMBER(Inputs_Sources!$D$390),Inputs_Sources!$D$390,"n/a")</f>
        <v>0.32</v>
      </c>
    </row>
    <row r="15" spans="2:23" x14ac:dyDescent="0.25">
      <c r="B15" s="34" t="str">
        <f>Detail_PeerAnalysis!A14</f>
        <v>Yamazaki Baking Co., Ltd.</v>
      </c>
      <c r="D15" t="s">
        <v>114</v>
      </c>
      <c r="E15" s="34" t="str">
        <f>Detail_PeerAnalysis!B14</f>
        <v>TSE:2212</v>
      </c>
      <c r="F15" s="35">
        <f>IFERROR(Detail_PeerAnalysis!F14*Detail_PeerAnalysis!H14,"n/a")</f>
        <v>24.153886079234368</v>
      </c>
      <c r="G15" s="28"/>
      <c r="H15" s="28"/>
      <c r="K15" s="28"/>
      <c r="L15" s="36">
        <f>IF(AND(ISNUMBER(Inputs_Sources!$D$420),ISNUMBER(Inputs_Sources!$D$423)),Inputs_Sources!$D$420/Inputs_Sources!$D$423-1,"n/a")</f>
        <v>0.23379275140377764</v>
      </c>
      <c r="M15" s="36">
        <f>IF(AND(ISNUMBER(Inputs_Sources!$D$420),ISNUMBER(Inputs_Sources!$D$424)),Inputs_Sources!$D$420/Inputs_Sources!$D$424-1,"n/a")</f>
        <v>0.18364348677766884</v>
      </c>
      <c r="N15" s="36">
        <f>IF(AND(ISNUMBER(Inputs_Sources!$D$420),ISNUMBER(Inputs_Sources!$D$425)),Inputs_Sources!$D$420/Inputs_Sources!$D$425-1,"n/a")</f>
        <v>0.14278959810874725</v>
      </c>
      <c r="O15" s="36">
        <f>IF(AND(ISNUMBER(Inputs_Sources!$D$420),ISNUMBER(Inputs_Sources!$D$426)),Inputs_Sources!$D$420/Inputs_Sources!$D$426-1,"n/a")</f>
        <v>0.59327620303230066</v>
      </c>
      <c r="P15" s="36">
        <f>IF(AND(ISNUMBER(Inputs_Sources!$D$420),ISNUMBER(Inputs_Sources!$D$421)),Inputs_Sources!$D$420/Inputs_Sources!$D$421-1,"n/a")</f>
        <v>5.3159041394335693E-2</v>
      </c>
      <c r="Q15" s="36">
        <f>IF(AND(ISNUMBER(Inputs_Sources!$D$420),ISNUMBER(Inputs_Sources!$D$422)),Inputs_Sources!$D$420/Inputs_Sources!$D$422-1,"n/a")</f>
        <v>0.14712861888941631</v>
      </c>
      <c r="R15" s="37">
        <f>IF(ISNUMBER(Inputs_Sources!$D$427),Inputs_Sources!$D$427,"n/a")</f>
        <v>0.39</v>
      </c>
    </row>
    <row r="16" spans="2:23" x14ac:dyDescent="0.25">
      <c r="B16" s="34" t="str">
        <f>Detail_PeerAnalysis!A15</f>
        <v>ARYZTA AG</v>
      </c>
      <c r="D16" t="s">
        <v>114</v>
      </c>
      <c r="E16" s="34" t="str">
        <f>Detail_PeerAnalysis!B15</f>
        <v>SWX:ARYN</v>
      </c>
      <c r="F16" s="35">
        <f>IFERROR(Detail_PeerAnalysis!F15*Detail_PeerAnalysis!H15,"n/a")</f>
        <v>49.145161290322577</v>
      </c>
      <c r="G16" s="28"/>
      <c r="H16" s="28"/>
      <c r="K16" s="28"/>
      <c r="L16" s="36">
        <f>IF(AND(ISNUMBER(Inputs_Sources!$D$457),ISNUMBER(Inputs_Sources!$D$460)),Inputs_Sources!$D$457/Inputs_Sources!$D$460-1,"n/a")</f>
        <v>-0.23412884105443765</v>
      </c>
      <c r="M16" s="36">
        <f>IF(AND(ISNUMBER(Inputs_Sources!$D$457),ISNUMBER(Inputs_Sources!$D$461)),Inputs_Sources!$D$457/Inputs_Sources!$D$461-1,"n/a")</f>
        <v>-0.3042369278730338</v>
      </c>
      <c r="N16" s="36">
        <f>IF(AND(ISNUMBER(Inputs_Sources!$D$457),ISNUMBER(Inputs_Sources!$D$462)),Inputs_Sources!$D$457/Inputs_Sources!$D$462-1,"n/a")</f>
        <v>-0.32850109409190376</v>
      </c>
      <c r="O16" s="36">
        <f>IF(AND(ISNUMBER(Inputs_Sources!$D$457),ISNUMBER(Inputs_Sources!$D$463)),Inputs_Sources!$D$457/Inputs_Sources!$D$463-1,"n/a")</f>
        <v>-5.9747223286097273E-2</v>
      </c>
      <c r="P16" s="36">
        <f>IF(AND(ISNUMBER(Inputs_Sources!$D$457),ISNUMBER(Inputs_Sources!$D$458)),Inputs_Sources!$D$457/Inputs_Sources!$D$458-1,"n/a")</f>
        <v>7.9358100681468535E-2</v>
      </c>
      <c r="Q16" s="36">
        <f>IF(AND(ISNUMBER(Inputs_Sources!$D$457),ISNUMBER(Inputs_Sources!$D$459)),Inputs_Sources!$D$457/Inputs_Sources!$D$459-1,"n/a")</f>
        <v>-0.24693251533742333</v>
      </c>
      <c r="R16" s="37">
        <f>IF(ISNUMBER(Inputs_Sources!$D$464),Inputs_Sources!$D$464,"n/a")</f>
        <v>0</v>
      </c>
    </row>
    <row r="17" spans="2:23" x14ac:dyDescent="0.25">
      <c r="B17" s="34" t="str">
        <f>Detail_PeerAnalysis!A16</f>
        <v>The J. M. Smucker Company</v>
      </c>
      <c r="D17" t="s">
        <v>115</v>
      </c>
      <c r="E17" s="34" t="str">
        <f>Detail_PeerAnalysis!B16</f>
        <v>NYSE:SJM</v>
      </c>
      <c r="F17" s="35">
        <f>IFERROR(Detail_PeerAnalysis!F16*Detail_PeerAnalysis!H16,"n/a")</f>
        <v>127.45786516853933</v>
      </c>
      <c r="G17" s="28"/>
      <c r="H17" s="28"/>
      <c r="K17" s="28"/>
      <c r="L17" s="36">
        <f>IF(AND(ISNUMBER(Inputs_Sources!$D$494),ISNUMBER(Inputs_Sources!$D$497)),Inputs_Sources!$D$494/Inputs_Sources!$D$497-1,"n/a")</f>
        <v>0.23061323032351533</v>
      </c>
      <c r="M17" s="36">
        <f>IF(AND(ISNUMBER(Inputs_Sources!$D$494),ISNUMBER(Inputs_Sources!$D$498)),Inputs_Sources!$D$494/Inputs_Sources!$D$498-1,"n/a")</f>
        <v>0.12263236719231796</v>
      </c>
      <c r="N17" s="36">
        <f>IF(AND(ISNUMBER(Inputs_Sources!$D$494),ISNUMBER(Inputs_Sources!$D$499)),Inputs_Sources!$D$494/Inputs_Sources!$D$499-1,"n/a")</f>
        <v>0.11937807449051308</v>
      </c>
      <c r="O17" s="36">
        <f>IF(AND(ISNUMBER(Inputs_Sources!$D$494),ISNUMBER(Inputs_Sources!$D$500)),Inputs_Sources!$D$494/Inputs_Sources!$D$500-1,"n/a")</f>
        <v>3.7196809376526252E-2</v>
      </c>
      <c r="P17" s="36">
        <f>IF(AND(ISNUMBER(Inputs_Sources!$D$494),ISNUMBER(Inputs_Sources!$D$495)),Inputs_Sources!$D$494/Inputs_Sources!$D$495-1,"n/a")</f>
        <v>7.1650828357581409E-2</v>
      </c>
      <c r="Q17" s="36">
        <f>IF(AND(ISNUMBER(Inputs_Sources!$D$494),ISNUMBER(Inputs_Sources!$D$496)),Inputs_Sources!$D$494/Inputs_Sources!$D$496-1,"n/a")</f>
        <v>0.3028320212657194</v>
      </c>
      <c r="R17" s="37">
        <f>IF(ISNUMBER(Inputs_Sources!$D$501),Inputs_Sources!$D$501,"n/a")</f>
        <v>4.42</v>
      </c>
    </row>
    <row r="18" spans="2:23" x14ac:dyDescent="0.25">
      <c r="B18" s="34" t="str">
        <f>Detail_PeerAnalysis!A17</f>
        <v>The Campbell's Company</v>
      </c>
      <c r="D18" t="s">
        <v>115</v>
      </c>
      <c r="E18" s="34" t="str">
        <f>Detail_PeerAnalysis!B17</f>
        <v>NasdaqGS:CPB</v>
      </c>
      <c r="F18" s="35">
        <f>IFERROR(Detail_PeerAnalysis!F17*Detail_PeerAnalysis!H17,"n/a")</f>
        <v>19.872233400402415</v>
      </c>
      <c r="G18" s="28"/>
      <c r="H18" s="28"/>
      <c r="K18" s="28"/>
      <c r="L18" s="36">
        <f>IF(AND(ISNUMBER(Inputs_Sources!$D$531),ISNUMBER(Inputs_Sources!$D$534)),Inputs_Sources!$D$531/Inputs_Sources!$D$534-1,"n/a")</f>
        <v>-0.34052439429140391</v>
      </c>
      <c r="M18" s="36">
        <f>IF(AND(ISNUMBER(Inputs_Sources!$D$531),ISNUMBER(Inputs_Sources!$D$535)),Inputs_Sources!$D$531/Inputs_Sources!$D$535-1,"n/a")</f>
        <v>-0.57406216505894958</v>
      </c>
      <c r="N18" s="36">
        <f>IF(AND(ISNUMBER(Inputs_Sources!$D$531),ISNUMBER(Inputs_Sources!$D$536)),Inputs_Sources!$D$531/Inputs_Sources!$D$536-1,"n/a")</f>
        <v>-0.50829002722098482</v>
      </c>
      <c r="O18" s="36">
        <f>IF(AND(ISNUMBER(Inputs_Sources!$D$531),ISNUMBER(Inputs_Sources!$D$537)),Inputs_Sources!$D$531/Inputs_Sources!$D$537-1,"n/a")</f>
        <v>-0.5026282853566959</v>
      </c>
      <c r="P18" s="36">
        <f>IF(AND(ISNUMBER(Inputs_Sources!$D$531),ISNUMBER(Inputs_Sources!$D$532)),Inputs_Sources!$D$531/Inputs_Sources!$D$532-1,"n/a")</f>
        <v>2.0171457387798686E-3</v>
      </c>
      <c r="Q18" s="36">
        <f>IF(AND(ISNUMBER(Inputs_Sources!$D$531),ISNUMBER(Inputs_Sources!$D$533)),Inputs_Sources!$D$531/Inputs_Sources!$D$533-1,"n/a")</f>
        <v>-0.28704700394689631</v>
      </c>
      <c r="R18" s="37">
        <f>IF(ISNUMBER(Inputs_Sources!$D$538),Inputs_Sources!$D$538,"n/a")</f>
        <v>1.56</v>
      </c>
    </row>
    <row r="19" spans="2:23" x14ac:dyDescent="0.25">
      <c r="B19" s="34" t="str">
        <f>Detail_PeerAnalysis!A18</f>
        <v>Mondelez International, Inc.</v>
      </c>
      <c r="D19" t="s">
        <v>115</v>
      </c>
      <c r="E19" s="34" t="str">
        <f>Detail_PeerAnalysis!B18</f>
        <v>NasdaqGS:MDLZ</v>
      </c>
      <c r="F19" s="35">
        <f>IFERROR(Detail_PeerAnalysis!F18*Detail_PeerAnalysis!H18,"n/a")</f>
        <v>63.910365901433835</v>
      </c>
      <c r="G19" s="28"/>
      <c r="H19" s="28"/>
      <c r="K19" s="28"/>
      <c r="L19" s="36">
        <f>IF(AND(ISNUMBER(Inputs_Sources!$D$568),ISNUMBER(Inputs_Sources!$D$571)),Inputs_Sources!$D$568/Inputs_Sources!$D$571-1,"n/a")</f>
        <v>0.11225200139227276</v>
      </c>
      <c r="M19" s="36">
        <f>IF(AND(ISNUMBER(Inputs_Sources!$D$568),ISNUMBER(Inputs_Sources!$D$572)),Inputs_Sources!$D$568/Inputs_Sources!$D$572-1,"n/a")</f>
        <v>-6.6734813084112221E-2</v>
      </c>
      <c r="N19" s="36">
        <f>IF(AND(ISNUMBER(Inputs_Sources!$D$568),ISNUMBER(Inputs_Sources!$D$573)),Inputs_Sources!$D$568/Inputs_Sources!$D$573-1,"n/a")</f>
        <v>-3.4737954991693076E-2</v>
      </c>
      <c r="O19" s="36">
        <f>IF(AND(ISNUMBER(Inputs_Sources!$D$568),ISNUMBER(Inputs_Sources!$D$574)),Inputs_Sources!$D$568/Inputs_Sources!$D$574-1,"n/a")</f>
        <v>5.2189660849522479E-2</v>
      </c>
      <c r="P19" s="36">
        <f>IF(AND(ISNUMBER(Inputs_Sources!$D$568),ISNUMBER(Inputs_Sources!$D$569)),Inputs_Sources!$D$568/Inputs_Sources!$D$569-1,"n/a")</f>
        <v>0.10532687651331707</v>
      </c>
      <c r="Q19" s="36">
        <f>IF(AND(ISNUMBER(Inputs_Sources!$D$568),ISNUMBER(Inputs_Sources!$D$570)),Inputs_Sources!$D$568/Inputs_Sources!$D$570-1,"n/a")</f>
        <v>0.18725617685305584</v>
      </c>
      <c r="R19" s="37">
        <f>IF(ISNUMBER(Inputs_Sources!$D$575),Inputs_Sources!$D$575,"n/a")</f>
        <v>2</v>
      </c>
    </row>
    <row r="20" spans="2:23" x14ac:dyDescent="0.25">
      <c r="B20" s="34" t="str">
        <f>Detail_PeerAnalysis!A19</f>
        <v>Arca Continental, S.A.B. de C.V.</v>
      </c>
      <c r="D20" t="s">
        <v>115</v>
      </c>
      <c r="E20" s="34" t="str">
        <f>Detail_PeerAnalysis!B19</f>
        <v>BMV:AC</v>
      </c>
      <c r="F20" s="35">
        <f>IFERROR(Detail_PeerAnalysis!F19*Detail_PeerAnalysis!H19,"n/a")</f>
        <v>11.345852048271011</v>
      </c>
      <c r="G20" s="28"/>
      <c r="H20" s="28"/>
      <c r="K20" s="28"/>
      <c r="L20" s="36">
        <f>IF(AND(ISNUMBER(Inputs_Sources!$D$605),ISNUMBER(Inputs_Sources!$D$608)),Inputs_Sources!$D$605/Inputs_Sources!$D$608-1,"n/a")</f>
        <v>0.1702786377708978</v>
      </c>
      <c r="M20" s="36">
        <f>IF(AND(ISNUMBER(Inputs_Sources!$D$605),ISNUMBER(Inputs_Sources!$D$609)),Inputs_Sources!$D$605/Inputs_Sources!$D$609-1,"n/a")</f>
        <v>0.32631578947368411</v>
      </c>
      <c r="N20" s="36">
        <f>IF(AND(ISNUMBER(Inputs_Sources!$D$605),ISNUMBER(Inputs_Sources!$D$610)),Inputs_Sources!$D$605/Inputs_Sources!$D$610-1,"n/a")</f>
        <v>0.26845637583892623</v>
      </c>
      <c r="O20" s="36">
        <f>IF(AND(ISNUMBER(Inputs_Sources!$D$605),ISNUMBER(Inputs_Sources!$D$611)),Inputs_Sources!$D$605/Inputs_Sources!$D$611-1,"n/a")</f>
        <v>0.85597381342062184</v>
      </c>
      <c r="P20" s="36">
        <f>IF(AND(ISNUMBER(Inputs_Sources!$D$605),ISNUMBER(Inputs_Sources!$D$606)),Inputs_Sources!$D$605/Inputs_Sources!$D$606-1,"n/a")</f>
        <v>5.5865921787709549E-2</v>
      </c>
      <c r="Q20" s="36">
        <f>IF(AND(ISNUMBER(Inputs_Sources!$D$605),ISNUMBER(Inputs_Sources!$D$607)),Inputs_Sources!$D$605/Inputs_Sources!$D$607-1,"n/a")</f>
        <v>4.8059149722735617E-2</v>
      </c>
      <c r="R20" s="37">
        <f>IF(ISNUMBER(Inputs_Sources!$D$612),Inputs_Sources!$D$612,"n/a")</f>
        <v>0.24</v>
      </c>
    </row>
    <row r="21" spans="2:23" x14ac:dyDescent="0.25">
      <c r="B21" s="34" t="str">
        <f>Detail_PeerAnalysis!A20</f>
        <v>PepsiCo, Inc.</v>
      </c>
      <c r="D21" t="s">
        <v>115</v>
      </c>
      <c r="E21" s="34" t="str">
        <f>Detail_PeerAnalysis!B20</f>
        <v>NasdaqGS:PEP</v>
      </c>
      <c r="F21" s="35">
        <f>IFERROR(Detail_PeerAnalysis!F20*Detail_PeerAnalysis!H20,"n/a")</f>
        <v>131.5039994129302</v>
      </c>
      <c r="G21" s="28"/>
      <c r="H21" s="28"/>
      <c r="K21" s="28"/>
      <c r="L21" s="36">
        <f>IF(AND(ISNUMBER(Inputs_Sources!$D$642),ISNUMBER(Inputs_Sources!$D$645)),Inputs_Sources!$D$642/Inputs_Sources!$D$645-1,"n/a")</f>
        <v>-9.9938394140598241E-2</v>
      </c>
      <c r="M21" s="36">
        <f>IF(AND(ISNUMBER(Inputs_Sources!$D$642),ISNUMBER(Inputs_Sources!$D$646)),Inputs_Sources!$D$642/Inputs_Sources!$D$646-1,"n/a")</f>
        <v>-0.20827312138728327</v>
      </c>
      <c r="N21" s="36">
        <f>IF(AND(ISNUMBER(Inputs_Sources!$D$642),ISNUMBER(Inputs_Sources!$D$647)),Inputs_Sources!$D$642/Inputs_Sources!$D$647-1,"n/a")</f>
        <v>-0.1946962273395394</v>
      </c>
      <c r="O21" s="36">
        <f>IF(AND(ISNUMBER(Inputs_Sources!$D$642),ISNUMBER(Inputs_Sources!$D$648)),Inputs_Sources!$D$642/Inputs_Sources!$D$648-1,"n/a")</f>
        <v>-0.18632425742574243</v>
      </c>
      <c r="P21" s="36">
        <f>IF(AND(ISNUMBER(Inputs_Sources!$D$642),ISNUMBER(Inputs_Sources!$D$643)),Inputs_Sources!$D$642/Inputs_Sources!$D$643-1,"n/a")</f>
        <v>3.7642045454545636E-2</v>
      </c>
      <c r="Q21" s="36">
        <f>IF(AND(ISNUMBER(Inputs_Sources!$D$642),ISNUMBER(Inputs_Sources!$D$644)),Inputs_Sources!$D$642/Inputs_Sources!$D$644-1,"n/a")</f>
        <v>-8.382107023411367E-2</v>
      </c>
      <c r="R21" s="37">
        <f>IF(ISNUMBER(Inputs_Sources!$D$649),Inputs_Sources!$D$649,"n/a")</f>
        <v>5.81</v>
      </c>
    </row>
    <row r="22" spans="2:23" x14ac:dyDescent="0.25">
      <c r="B22" s="34" t="str">
        <f>Detail_PeerAnalysis!A11</f>
        <v>Grupo Bimbo, S.A.B. de C.V. (subject)</v>
      </c>
      <c r="D22" t="s">
        <v>116</v>
      </c>
      <c r="E22" s="34" t="str">
        <f>Detail_PeerAnalysis!B11</f>
        <v>BMV:BIMBO A</v>
      </c>
      <c r="F22" s="35">
        <f>IFERROR(Detail_PeerAnalysis!F11*Detail_PeerAnalysis!H11,"n/a")</f>
        <v>3.1711672709562206</v>
      </c>
      <c r="G22" s="35">
        <f>Inputs_Sources!$D$717/Inputs_Sources!$D$10</f>
        <v>3.7161101791222473</v>
      </c>
      <c r="H22" s="35">
        <f>Inputs_Sources!$D$718/Inputs_Sources!$D$10</f>
        <v>2.8697440337680611</v>
      </c>
      <c r="K22" s="36">
        <f>IF(ISNUMBER(Inputs_Sources!$D$719),Inputs_Sources!$D$719,"n/a")</f>
        <v>1.0867999999999999E-2</v>
      </c>
      <c r="L22" s="36">
        <f>IF(AND(ISNUMBER(Inputs_Sources!$D$720),ISNUMBER(Inputs_Sources!$D$723)),Inputs_Sources!$D$720/Inputs_Sources!$D$723-1,"n/a")</f>
        <v>-8.6658354114713121E-2</v>
      </c>
      <c r="M22" s="36">
        <f>IF(AND(ISNUMBER(Inputs_Sources!$D$720),ISNUMBER(Inputs_Sources!$D$724)),Inputs_Sources!$D$720/Inputs_Sources!$D$724-1,"n/a")</f>
        <v>-5.4381152170404956E-2</v>
      </c>
      <c r="N22" s="36">
        <f>IF(AND(ISNUMBER(Inputs_Sources!$D$720),ISNUMBER(Inputs_Sources!$D$725)),Inputs_Sources!$D$720/Inputs_Sources!$D$725-1,"n/a")</f>
        <v>-0.19923476359661119</v>
      </c>
      <c r="O22" s="36">
        <f>IF(AND(ISNUMBER(Inputs_Sources!$D$720),ISNUMBER(Inputs_Sources!$D$726)),Inputs_Sources!$D$720/Inputs_Sources!$D$726-1,"n/a")</f>
        <v>-3.8398424680013088E-2</v>
      </c>
      <c r="P22" s="36">
        <f>IF(AND(ISNUMBER(Inputs_Sources!$D$720),ISNUMBER(Inputs_Sources!$D$721)),Inputs_Sources!$D$720/Inputs_Sources!$D$721-1,"n/a")</f>
        <v>6.7395264116575593E-2</v>
      </c>
      <c r="Q22" s="36">
        <f>IF(AND(ISNUMBER(Inputs_Sources!$D$720),ISNUMBER(Inputs_Sources!$D$722)),Inputs_Sources!$D$720/Inputs_Sources!$D$722-1,"n/a")</f>
        <v>-6.7796610169491567E-3</v>
      </c>
      <c r="R22" s="37">
        <f>Inputs_Sources!$D$727/Inputs_Sources!$D$10</f>
        <v>5.8174143622490397E-2</v>
      </c>
    </row>
    <row r="27" spans="2:23" x14ac:dyDescent="0.25">
      <c r="R27" s="18" t="s">
        <v>117</v>
      </c>
    </row>
    <row r="28" spans="2:23" x14ac:dyDescent="0.25">
      <c r="B28" s="32"/>
      <c r="C28" s="32"/>
      <c r="D28" s="32"/>
      <c r="E28" s="32"/>
      <c r="F28" s="31" t="s">
        <v>118</v>
      </c>
      <c r="G28" s="32"/>
      <c r="H28" s="32"/>
      <c r="I28" s="32"/>
      <c r="J28" s="32"/>
      <c r="K28" s="32"/>
      <c r="L28" s="32"/>
      <c r="M28" s="32"/>
      <c r="N28" s="32"/>
      <c r="O28" s="32"/>
      <c r="P28" s="32"/>
      <c r="Q28" s="32"/>
      <c r="R28" s="31" t="s">
        <v>119</v>
      </c>
      <c r="S28" s="32"/>
      <c r="T28" s="32"/>
      <c r="U28" s="32"/>
      <c r="V28" s="32"/>
      <c r="W28" s="32"/>
    </row>
    <row r="29" spans="2:23" x14ac:dyDescent="0.25">
      <c r="F29" s="22" t="s">
        <v>25</v>
      </c>
      <c r="G29" s="22" t="s">
        <v>8</v>
      </c>
      <c r="H29" s="22" t="s">
        <v>26</v>
      </c>
      <c r="I29" s="22" t="s">
        <v>120</v>
      </c>
      <c r="J29" s="22" t="s">
        <v>121</v>
      </c>
      <c r="K29" s="22" t="s">
        <v>122</v>
      </c>
      <c r="L29" s="22" t="s">
        <v>25</v>
      </c>
      <c r="M29" s="22" t="s">
        <v>8</v>
      </c>
      <c r="N29" s="22" t="s">
        <v>26</v>
      </c>
      <c r="O29" s="22" t="s">
        <v>120</v>
      </c>
      <c r="P29" s="22" t="s">
        <v>121</v>
      </c>
      <c r="Q29" s="22" t="s">
        <v>122</v>
      </c>
      <c r="R29" s="22" t="s">
        <v>25</v>
      </c>
      <c r="S29" s="22" t="s">
        <v>8</v>
      </c>
      <c r="T29" s="22" t="s">
        <v>26</v>
      </c>
      <c r="U29" s="22" t="s">
        <v>120</v>
      </c>
      <c r="V29" s="22" t="s">
        <v>121</v>
      </c>
      <c r="W29" s="22" t="s">
        <v>122</v>
      </c>
    </row>
    <row r="30" spans="2:23" x14ac:dyDescent="0.25">
      <c r="B30" s="18" t="s">
        <v>103</v>
      </c>
      <c r="D30" s="18" t="s">
        <v>104</v>
      </c>
      <c r="E30" s="18" t="s">
        <v>105</v>
      </c>
      <c r="F30" s="18" t="s">
        <v>32</v>
      </c>
      <c r="L30" s="18" t="s">
        <v>37</v>
      </c>
      <c r="R30" s="18" t="s">
        <v>117</v>
      </c>
    </row>
    <row r="31" spans="2:23" x14ac:dyDescent="0.25">
      <c r="B31" s="34" t="str">
        <f>Detail_PeerAnalysis!A12</f>
        <v>Flowers Foods, Inc.</v>
      </c>
      <c r="D31" t="s">
        <v>114</v>
      </c>
      <c r="E31" s="34" t="str">
        <f>Detail_PeerAnalysis!B12</f>
        <v>NYSE:FLO</v>
      </c>
      <c r="F31" s="38">
        <f>Detail_PeerAnalysis!B26</f>
        <v>5103.5</v>
      </c>
      <c r="G31" s="38">
        <f>Detail_PeerAnalysis!C26</f>
        <v>5256.5</v>
      </c>
      <c r="H31" s="38">
        <f>IF(ISNUMBER(Inputs_Sources!$D$337),Inputs_Sources!$D$337,"n/a")</f>
        <v>5075.8</v>
      </c>
      <c r="I31" s="38">
        <f>Detail_PeerAnalysis!D26</f>
        <v>5223.8999999999996</v>
      </c>
      <c r="J31" s="38">
        <f>IF(ISNUMBER(Detail_PeerAnalysis!E26),Detail_PeerAnalysis!E26,"n/a")</f>
        <v>5062.0876712328773</v>
      </c>
      <c r="K31" s="38">
        <f>IF(AND(ISNUMBER(Inputs_Sources!$D$246),ISNUMBER(Inputs_Sources!$D$339)),Detail_PeerAnalysis!D61*Inputs_Sources!$D$246+Detail_PeerAnalysis!E61*Inputs_Sources!$D$339,"n/a")</f>
        <v>5038.1624657534248</v>
      </c>
      <c r="L31" s="38">
        <f>IF(ISNUMBER(Inputs_Sources!$D$356),Inputs_Sources!$D$356,"n/a")</f>
        <v>2526.3000000000002</v>
      </c>
      <c r="M31" s="38">
        <f>IF(ISNUMBER(Inputs_Sources!$D$357),Inputs_Sources!$D$357,"n/a")</f>
        <v>2568.9</v>
      </c>
      <c r="N31" s="38">
        <f>IF(AND(ISNUMBER(Inputs_Sources!$D$337),ISNUMBER(Inputs_Sources!$D$358)),Inputs_Sources!$D$337*Inputs_Sources!$D$358/100,"n/a")</f>
        <v>2424.70966</v>
      </c>
      <c r="O31" s="38">
        <f>IF(ISNUMBER(Detail_PeerAnalysis!M26),Detail_PeerAnalysis!M26,"n/a")</f>
        <v>2540.4</v>
      </c>
      <c r="P31" s="38">
        <f>IF(AND(ISNUMBER(Inputs_Sources!$D$244),ISNUMBER(Inputs_Sources!$D$246),ISNUMBER(Inputs_Sources!$D$358),ISNUMBER(Inputs_Sources!$D$359)),(Detail_PeerAnalysis!D61*Inputs_Sources!$D$244*Inputs_Sources!$D$358+Detail_PeerAnalysis!E61*Inputs_Sources!$D$246*Inputs_Sources!$D$359)/100,"n/a")</f>
        <v>2394.3783413698634</v>
      </c>
      <c r="Q31" s="38">
        <f>IF(AND(ISNUMBER(Inputs_Sources!$D$246),ISNUMBER(Inputs_Sources!$D$339),ISNUMBER(Inputs_Sources!$D$359),ISNUMBER(Inputs_Sources!$D$360)),(Detail_PeerAnalysis!D61*Inputs_Sources!$D$246*Inputs_Sources!$D$359+Detail_PeerAnalysis!E61*Inputs_Sources!$D$339*Inputs_Sources!$D$360)/100,"n/a")</f>
        <v>2413.1744117534249</v>
      </c>
      <c r="R31" s="36">
        <f>IF(ISNUMBER(Inputs_Sources!$D$336),IFERROR(Detail_PeerAnalysis!F26/Inputs_Sources!$D$336-1,"n/a"),"n/a")</f>
        <v>6.5479844485369476E-2</v>
      </c>
      <c r="S31" s="36">
        <f>IFERROR(Detail_PeerAnalysis!G26/Detail_PeerAnalysis!F26-1,"n/a")</f>
        <v>-1.133090071058207E-2</v>
      </c>
      <c r="T31" s="36">
        <f>IF(ISNUMBER(Inputs_Sources!$D$338),IFERROR(Inputs_Sources!$D$338/Detail_PeerAnalysis!G26-1,"n/a"),"n/a")</f>
        <v>-0.10916860916860904</v>
      </c>
      <c r="U31" s="28"/>
      <c r="V31" s="36">
        <f>IFERROR(Detail_PeerAnalysis!K26/Detail_PeerAnalysis!H26-1,"n/a")</f>
        <v>-0.10398748582730544</v>
      </c>
      <c r="W31" s="36">
        <f>IF(AND(ISNUMBER(Inputs_Sources!$D$245),ISNUMBER(Inputs_Sources!$D$340)),IFERROR((Detail_PeerAnalysis!D61*Inputs_Sources!$D$245+Detail_PeerAnalysis!E61*Inputs_Sources!$D$340)/Detail_PeerAnalysis!K26-1,"n/a"),"n/a")</f>
        <v>-1.0008289478642074E-2</v>
      </c>
    </row>
    <row r="32" spans="2:23" x14ac:dyDescent="0.25">
      <c r="B32" s="34" t="str">
        <f>Detail_PeerAnalysis!A13</f>
        <v>Gruma, S.A.B. de C.V.</v>
      </c>
      <c r="D32" t="s">
        <v>114</v>
      </c>
      <c r="E32" s="34" t="str">
        <f>Detail_PeerAnalysis!B13</f>
        <v>BMV:GRUMA B</v>
      </c>
      <c r="F32" s="38">
        <f>Detail_PeerAnalysis!B27</f>
        <v>6486.9</v>
      </c>
      <c r="G32" s="38">
        <f>Detail_PeerAnalysis!C27</f>
        <v>6374.6</v>
      </c>
      <c r="H32" s="38">
        <f>IF(ISNUMBER(Inputs_Sources!$D$374),Inputs_Sources!$D$374,"n/a")</f>
        <v>6648.35</v>
      </c>
      <c r="I32" s="38">
        <f>Detail_PeerAnalysis!D27</f>
        <v>6500.1</v>
      </c>
      <c r="J32" s="38">
        <f>IF(ISNUMBER(Detail_PeerAnalysis!E27),Detail_PeerAnalysis!E27,"n/a")</f>
        <v>6487.4487397260273</v>
      </c>
      <c r="K32" s="38">
        <f>IF(AND(ISNUMBER(Inputs_Sources!$D$331),ISNUMBER(Inputs_Sources!$D$376)),Detail_PeerAnalysis!D62*Inputs_Sources!$D$331+Detail_PeerAnalysis!E62*Inputs_Sources!$D$376,"n/a")</f>
        <v>6579.5375068493149</v>
      </c>
      <c r="L32" s="38">
        <f>IF(ISNUMBER(Inputs_Sources!$D$393),Inputs_Sources!$D$393,"n/a")</f>
        <v>2498.6</v>
      </c>
      <c r="M32" s="38">
        <f>IF(ISNUMBER(Inputs_Sources!$D$394),Inputs_Sources!$D$394,"n/a")</f>
        <v>2492.6999999999998</v>
      </c>
      <c r="N32" s="38">
        <f>IF(AND(ISNUMBER(Inputs_Sources!$D$374),ISNUMBER(Inputs_Sources!$D$395)),Inputs_Sources!$D$374*Inputs_Sources!$D$395/100,"n/a")</f>
        <v>2562.9389249999999</v>
      </c>
      <c r="O32" s="38">
        <f>IF(ISNUMBER(Detail_PeerAnalysis!M27),Detail_PeerAnalysis!M27,"n/a")</f>
        <v>2522.1999999999998</v>
      </c>
      <c r="P32" s="38">
        <f>IF(AND(ISNUMBER(Inputs_Sources!$D$330),ISNUMBER(Inputs_Sources!$D$331),ISNUMBER(Inputs_Sources!$D$395),ISNUMBER(Inputs_Sources!$D$396)),(Detail_PeerAnalysis!D62*Inputs_Sources!$D$330*Inputs_Sources!$D$395+Detail_PeerAnalysis!E62*Inputs_Sources!$D$331*Inputs_Sources!$D$396)/100,"n/a")</f>
        <v>2500.9114891643835</v>
      </c>
      <c r="Q32" s="38">
        <f>IF(AND(ISNUMBER(Inputs_Sources!$D$331),ISNUMBER(Inputs_Sources!$D$376),ISNUMBER(Inputs_Sources!$D$396),ISNUMBER(Inputs_Sources!$D$397)),(Detail_PeerAnalysis!D62*Inputs_Sources!$D$331*Inputs_Sources!$D$396+Detail_PeerAnalysis!E62*Inputs_Sources!$D$376*Inputs_Sources!$D$397)/100,"n/a")</f>
        <v>2539.0217226986301</v>
      </c>
      <c r="R32" s="36" t="str">
        <f>IF(ISNUMBER(Inputs_Sources!$D$373),IFERROR(Detail_PeerAnalysis!F27/Inputs_Sources!$D$373-1,"n/a"),"n/a")</f>
        <v>n/a</v>
      </c>
      <c r="S32" s="36">
        <f>IFERROR(Detail_PeerAnalysis!G27/Detail_PeerAnalysis!F27-1,"n/a")</f>
        <v>4.3320661303156704E-3</v>
      </c>
      <c r="T32" s="36">
        <f>IF(ISNUMBER(Inputs_Sources!$D$375),IFERROR(Inputs_Sources!$D$375/Detail_PeerAnalysis!G27-1,"n/a"),"n/a")</f>
        <v>-2.1681338028169073E-2</v>
      </c>
      <c r="U32" s="28"/>
      <c r="V32" s="36">
        <f>IFERROR(Detail_PeerAnalysis!K27/Detail_PeerAnalysis!H27-1,"n/a")</f>
        <v>-3.4908517264424788E-2</v>
      </c>
      <c r="W32" s="36">
        <f>IF(AND(ISNUMBER(Inputs_Sources!$D$332),ISNUMBER(Inputs_Sources!$D$377)),IFERROR((Detail_PeerAnalysis!D62*Inputs_Sources!$D$332+Detail_PeerAnalysis!E62*Inputs_Sources!$D$377)/Detail_PeerAnalysis!K27-1,"n/a"),"n/a")</f>
        <v>2.0722604792753119E-2</v>
      </c>
    </row>
    <row r="33" spans="2:23" x14ac:dyDescent="0.25">
      <c r="B33" s="34" t="str">
        <f>Detail_PeerAnalysis!A14</f>
        <v>Yamazaki Baking Co., Ltd.</v>
      </c>
      <c r="D33" t="s">
        <v>114</v>
      </c>
      <c r="E33" s="34" t="str">
        <f>Detail_PeerAnalysis!B14</f>
        <v>TSE:2212</v>
      </c>
      <c r="F33" s="38">
        <f>Detail_PeerAnalysis!B28</f>
        <v>8224.6</v>
      </c>
      <c r="G33" s="38">
        <f>Detail_PeerAnalysis!C28</f>
        <v>8773.2000000000007</v>
      </c>
      <c r="H33" s="38">
        <f>IF(ISNUMBER(Inputs_Sources!$D$411),Inputs_Sources!$D$411,"n/a")</f>
        <v>8564.4</v>
      </c>
      <c r="I33" s="38">
        <f>Detail_PeerAnalysis!D28</f>
        <v>8669.9</v>
      </c>
      <c r="J33" s="38">
        <f>IF(ISNUMBER(Detail_PeerAnalysis!E28),Detail_PeerAnalysis!E28,"n/a")</f>
        <v>8746.352876712328</v>
      </c>
      <c r="K33" s="38">
        <f>IF(AND(ISNUMBER(Inputs_Sources!$D$251),ISNUMBER(Inputs_Sources!$D$413)),Detail_PeerAnalysis!D63*Inputs_Sources!$D$251+Detail_PeerAnalysis!E63*Inputs_Sources!$D$413,"n/a")</f>
        <v>8925.6652054794522</v>
      </c>
      <c r="L33" s="38">
        <f>IF(ISNUMBER(Inputs_Sources!$D$430),Inputs_Sources!$D$430,"n/a")</f>
        <v>2678.3</v>
      </c>
      <c r="M33" s="38">
        <f>IF(ISNUMBER(Inputs_Sources!$D$431),Inputs_Sources!$D$431,"n/a")</f>
        <v>2865.9</v>
      </c>
      <c r="N33" s="38">
        <f>IF(AND(ISNUMBER(Inputs_Sources!$D$411),ISNUMBER(Inputs_Sources!$D$432)),Inputs_Sources!$D$411*Inputs_Sources!$D$432/100,"n/a")</f>
        <v>2835.6728399999997</v>
      </c>
      <c r="O33" s="38">
        <f>IF(ISNUMBER(Detail_PeerAnalysis!M28),Detail_PeerAnalysis!M28,"n/a")</f>
        <v>2834.9</v>
      </c>
      <c r="P33" s="38">
        <f>IF(AND(ISNUMBER(Inputs_Sources!$D$249),ISNUMBER(Inputs_Sources!$D$251),ISNUMBER(Inputs_Sources!$D$432),ISNUMBER(Inputs_Sources!$D$433)),(Detail_PeerAnalysis!D63*Inputs_Sources!$D$249*Inputs_Sources!$D$432+Detail_PeerAnalysis!E63*Inputs_Sources!$D$251*Inputs_Sources!$D$433)/100,"n/a")</f>
        <v>2898.6932840547943</v>
      </c>
      <c r="Q33" s="38">
        <f>IF(AND(ISNUMBER(Inputs_Sources!$D$251),ISNUMBER(Inputs_Sources!$D$413),ISNUMBER(Inputs_Sources!$D$433),ISNUMBER(Inputs_Sources!$D$434)),(Detail_PeerAnalysis!D63*Inputs_Sources!$D$251*Inputs_Sources!$D$433+Detail_PeerAnalysis!E63*Inputs_Sources!$D$413*Inputs_Sources!$D$434)/100,"n/a")</f>
        <v>2967.3423535890411</v>
      </c>
      <c r="R33" s="36">
        <f>IF(ISNUMBER(Inputs_Sources!$D$410),IFERROR(Detail_PeerAnalysis!F28/Inputs_Sources!$D$410-1,"n/a"),"n/a")</f>
        <v>5.8971774193548265E-2</v>
      </c>
      <c r="S33" s="36">
        <f>IFERROR(Detail_PeerAnalysis!G28/Detail_PeerAnalysis!F28-1,"n/a")</f>
        <v>0.12962081548468984</v>
      </c>
      <c r="T33" s="36">
        <f>IF(ISNUMBER(Inputs_Sources!$D$412),IFERROR(Inputs_Sources!$D$412/Detail_PeerAnalysis!G28-1,"n/a"),"n/a")</f>
        <v>-1.6713483146067354E-2</v>
      </c>
      <c r="U33" s="28"/>
      <c r="V33" s="36">
        <f>IFERROR(Detail_PeerAnalysis!K28/Detail_PeerAnalysis!H28-1,"n/a")</f>
        <v>3.6884535686801945E-2</v>
      </c>
      <c r="W33" s="36">
        <f>IF(AND(ISNUMBER(Inputs_Sources!$D$250),ISNUMBER(Inputs_Sources!$D$414)),IFERROR((Detail_PeerAnalysis!D63*Inputs_Sources!$D$250+Detail_PeerAnalysis!E63*Inputs_Sources!$D$414)/Detail_PeerAnalysis!K28-1,"n/a"),"n/a")</f>
        <v>3.8192669774175236E-2</v>
      </c>
    </row>
    <row r="34" spans="2:23" x14ac:dyDescent="0.25">
      <c r="B34" s="34" t="str">
        <f>Detail_PeerAnalysis!A15</f>
        <v>ARYZTA AG</v>
      </c>
      <c r="D34" t="s">
        <v>114</v>
      </c>
      <c r="E34" s="34" t="str">
        <f>Detail_PeerAnalysis!B15</f>
        <v>SWX:ARYN</v>
      </c>
      <c r="F34" s="38">
        <f>Detail_PeerAnalysis!B29</f>
        <v>2374.1</v>
      </c>
      <c r="G34" s="38">
        <f>Detail_PeerAnalysis!C29</f>
        <v>2513.6999999999998</v>
      </c>
      <c r="H34" s="38">
        <f>IF(ISNUMBER(Inputs_Sources!$D$448),Inputs_Sources!$D$448,"n/a")</f>
        <v>2594.6999999999998</v>
      </c>
      <c r="I34" s="38">
        <f>Detail_PeerAnalysis!D29</f>
        <v>2567.4</v>
      </c>
      <c r="J34" s="38">
        <f>IF(ISNUMBER(Detail_PeerAnalysis!E29),Detail_PeerAnalysis!E29,"n/a")</f>
        <v>2569.3717808219176</v>
      </c>
      <c r="K34" s="38">
        <f>IF(AND(ISNUMBER(Inputs_Sources!$D$256),ISNUMBER(Inputs_Sources!$D$450)),Detail_PeerAnalysis!D64*Inputs_Sources!$D$256+Detail_PeerAnalysis!E64*Inputs_Sources!$D$450,"n/a")</f>
        <v>2599.290410958904</v>
      </c>
      <c r="L34" s="38">
        <f>IF(ISNUMBER(Inputs_Sources!$D$467),Inputs_Sources!$D$467,"n/a")</f>
        <v>507.6</v>
      </c>
      <c r="M34" s="38">
        <f>IF(ISNUMBER(Inputs_Sources!$D$468),Inputs_Sources!$D$468,"n/a")</f>
        <v>506.5</v>
      </c>
      <c r="N34" s="38">
        <f>IF(AND(ISNUMBER(Inputs_Sources!$D$448),ISNUMBER(Inputs_Sources!$D$469)),Inputs_Sources!$D$448*Inputs_Sources!$D$469/100,"n/a")</f>
        <v>679.03299000000004</v>
      </c>
      <c r="O34" s="38">
        <f>IF(ISNUMBER(Detail_PeerAnalysis!M29),Detail_PeerAnalysis!M29,"n/a")</f>
        <v>514.79999999999995</v>
      </c>
      <c r="P34" s="38">
        <f>IF(AND(ISNUMBER(Inputs_Sources!$D$254),ISNUMBER(Inputs_Sources!$D$256),ISNUMBER(Inputs_Sources!$D$469),ISNUMBER(Inputs_Sources!$D$470)),(Detail_PeerAnalysis!D64*Inputs_Sources!$D$254*Inputs_Sources!$D$469+Detail_PeerAnalysis!E64*Inputs_Sources!$D$256*Inputs_Sources!$D$470)/100,"n/a")</f>
        <v>676.04418912328765</v>
      </c>
      <c r="Q34" s="38">
        <f>IF(AND(ISNUMBER(Inputs_Sources!$D$256),ISNUMBER(Inputs_Sources!$D$450),ISNUMBER(Inputs_Sources!$D$470),ISNUMBER(Inputs_Sources!$D$471)),(Detail_PeerAnalysis!D64*Inputs_Sources!$D$256*Inputs_Sources!$D$470+Detail_PeerAnalysis!E64*Inputs_Sources!$D$450*Inputs_Sources!$D$471)/100,"n/a")</f>
        <v>690.88321594520539</v>
      </c>
      <c r="R34" s="36">
        <f>IF(ISNUMBER(Inputs_Sources!$D$447),IFERROR(Detail_PeerAnalysis!F29/Inputs_Sources!$D$447-1,"n/a"),"n/a")</f>
        <v>0.24441635061104083</v>
      </c>
      <c r="S34" s="36">
        <f>IFERROR(Detail_PeerAnalysis!G29/Detail_PeerAnalysis!F29-1,"n/a")</f>
        <v>-2.6752455130376052E-2</v>
      </c>
      <c r="T34" s="36">
        <f>IF(ISNUMBER(Inputs_Sources!$D$449),IFERROR(Inputs_Sources!$D$449/Detail_PeerAnalysis!G29-1,"n/a"),"n/a")</f>
        <v>0.23416840640222691</v>
      </c>
      <c r="U34" s="28"/>
      <c r="V34" s="36">
        <f>IFERROR(Detail_PeerAnalysis!K29/Detail_PeerAnalysis!H29-1,"n/a")</f>
        <v>0.43313179775524824</v>
      </c>
      <c r="W34" s="36">
        <f>IF(AND(ISNUMBER(Inputs_Sources!$D$255),ISNUMBER(Inputs_Sources!$D$451)),IFERROR((Detail_PeerAnalysis!D64*Inputs_Sources!$D$255+Detail_PeerAnalysis!E64*Inputs_Sources!$D$451)/Detail_PeerAnalysis!K29-1,"n/a"),"n/a")</f>
        <v>4.3364056451362432E-2</v>
      </c>
    </row>
    <row r="35" spans="2:23" x14ac:dyDescent="0.25">
      <c r="B35" s="34" t="str">
        <f>Detail_PeerAnalysis!A16</f>
        <v>The J. M. Smucker Company</v>
      </c>
      <c r="D35" t="s">
        <v>115</v>
      </c>
      <c r="E35" s="34" t="str">
        <f>Detail_PeerAnalysis!B16</f>
        <v>NYSE:SJM</v>
      </c>
      <c r="F35" s="38">
        <f>Detail_PeerAnalysis!B30</f>
        <v>8178.7</v>
      </c>
      <c r="G35" s="38">
        <f>Detail_PeerAnalysis!C30</f>
        <v>8726.1</v>
      </c>
      <c r="H35" s="38">
        <f>IF(ISNUMBER(Inputs_Sources!$D$485),Inputs_Sources!$D$485,"n/a")</f>
        <v>9050.9</v>
      </c>
      <c r="I35" s="38">
        <f>Detail_PeerAnalysis!D30</f>
        <v>9156.9</v>
      </c>
      <c r="J35" s="38">
        <f>IF(ISNUMBER(Detail_PeerAnalysis!E30),Detail_PeerAnalysis!E30,"n/a")</f>
        <v>8979.6413698630131</v>
      </c>
      <c r="K35" s="38">
        <f>IF(AND(ISNUMBER(Inputs_Sources!$D$261),ISNUMBER(Inputs_Sources!$D$487)),Detail_PeerAnalysis!D65*Inputs_Sources!$D$261+Detail_PeerAnalysis!E65*Inputs_Sources!$D$487,"n/a")</f>
        <v>9108.0830136986297</v>
      </c>
      <c r="L35" s="38">
        <f>IF(ISNUMBER(Inputs_Sources!$D$504),Inputs_Sources!$D$504,"n/a")</f>
        <v>3118.3</v>
      </c>
      <c r="M35" s="38">
        <f>IF(ISNUMBER(Inputs_Sources!$D$505),Inputs_Sources!$D$505,"n/a")</f>
        <v>3393.8</v>
      </c>
      <c r="N35" s="28"/>
      <c r="O35" s="38">
        <f>IF(ISNUMBER(Detail_PeerAnalysis!M30),Detail_PeerAnalysis!M30,"n/a")</f>
        <v>3475.1</v>
      </c>
      <c r="P35" s="38">
        <f>IF(AND(ISNUMBER(Inputs_Sources!$D$259),ISNUMBER(Inputs_Sources!$D$261),ISNUMBER(Inputs_Sources!$D$506),ISNUMBER(Inputs_Sources!$D$507)),(Detail_PeerAnalysis!D65*Inputs_Sources!$D$259*Inputs_Sources!$D$506+Detail_PeerAnalysis!E65*Inputs_Sources!$D$261*Inputs_Sources!$D$507)/100,"n/a")</f>
        <v>3457.1683692876713</v>
      </c>
      <c r="Q35" s="38">
        <f>IF(AND(ISNUMBER(Inputs_Sources!$D$261),ISNUMBER(Inputs_Sources!$D$487),ISNUMBER(Inputs_Sources!$D$507),ISNUMBER(Inputs_Sources!$D$508)),(Detail_PeerAnalysis!D65*Inputs_Sources!$D$261*Inputs_Sources!$D$507+Detail_PeerAnalysis!E65*Inputs_Sources!$D$487*Inputs_Sources!$D$508)/100,"n/a")</f>
        <v>3508.5717846575344</v>
      </c>
      <c r="R35" s="36">
        <f>IF(ISNUMBER(Inputs_Sources!$D$484),IFERROR(Detail_PeerAnalysis!F30/Inputs_Sources!$D$484-1,"n/a"),"n/a")</f>
        <v>0.16875584658559406</v>
      </c>
      <c r="S35" s="36">
        <f>IFERROR(Detail_PeerAnalysis!G30/Detail_PeerAnalysis!F30-1,"n/a")</f>
        <v>0.1505255856144283</v>
      </c>
      <c r="T35" s="36">
        <f>IF(ISNUMBER(Inputs_Sources!$D$486),IFERROR(Inputs_Sources!$D$486/Detail_PeerAnalysis!G30-1,"n/a"),"n/a")</f>
        <v>-6.0986921435859265E-2</v>
      </c>
      <c r="U35" s="28"/>
      <c r="V35" s="36">
        <f>IFERROR(Detail_PeerAnalysis!K30/Detail_PeerAnalysis!H30-1,"n/a")</f>
        <v>-3.7685240707785561E-2</v>
      </c>
      <c r="W35" s="36" t="str">
        <f>IF(AND(ISNUMBER(Inputs_Sources!$D$260),ISNUMBER(Inputs_Sources!$D$488)),IFERROR((Detail_PeerAnalysis!D65*Inputs_Sources!$D$260+Detail_PeerAnalysis!E65*Inputs_Sources!$D$488)/Detail_PeerAnalysis!K30-1,"n/a"),"n/a")</f>
        <v>n/a</v>
      </c>
    </row>
    <row r="36" spans="2:23" x14ac:dyDescent="0.25">
      <c r="B36" s="34" t="str">
        <f>Detail_PeerAnalysis!A17</f>
        <v>The Campbell's Company</v>
      </c>
      <c r="D36" t="s">
        <v>115</v>
      </c>
      <c r="E36" s="34" t="str">
        <f>Detail_PeerAnalysis!B17</f>
        <v>NasdaqGS:CPB</v>
      </c>
      <c r="F36" s="38">
        <f>Detail_PeerAnalysis!B31</f>
        <v>9636</v>
      </c>
      <c r="G36" s="38">
        <f>Detail_PeerAnalysis!C31</f>
        <v>10253</v>
      </c>
      <c r="H36" s="38">
        <f>IF(ISNUMBER(Inputs_Sources!$D$522),Inputs_Sources!$D$522,"n/a")</f>
        <v>9744</v>
      </c>
      <c r="I36" s="38">
        <f>Detail_PeerAnalysis!D31</f>
        <v>9744</v>
      </c>
      <c r="J36" s="38">
        <f>IF(ISNUMBER(Detail_PeerAnalysis!E31),Detail_PeerAnalysis!E31,"n/a")</f>
        <v>9491.0109589041094</v>
      </c>
      <c r="K36" s="38">
        <f>IF(AND(ISNUMBER(Inputs_Sources!$D$266),ISNUMBER(Inputs_Sources!$D$524)),Detail_PeerAnalysis!D66*Inputs_Sources!$D$266+Detail_PeerAnalysis!E66*Inputs_Sources!$D$524,"n/a")</f>
        <v>9487.17808219178</v>
      </c>
      <c r="L36" s="38">
        <f>IF(ISNUMBER(Inputs_Sources!$D$541),Inputs_Sources!$D$541,"n/a")</f>
        <v>3017</v>
      </c>
      <c r="M36" s="38">
        <f>IF(ISNUMBER(Inputs_Sources!$D$542),Inputs_Sources!$D$542,"n/a")</f>
        <v>3151</v>
      </c>
      <c r="N36" s="28"/>
      <c r="O36" s="38">
        <f>IF(ISNUMBER(Detail_PeerAnalysis!M31),Detail_PeerAnalysis!M31,"n/a")</f>
        <v>2781</v>
      </c>
      <c r="P36" s="38">
        <f>IF(AND(ISNUMBER(Inputs_Sources!$D$264),ISNUMBER(Inputs_Sources!$D$266),ISNUMBER(Inputs_Sources!$D$543),ISNUMBER(Inputs_Sources!$D$544)),(Detail_PeerAnalysis!D66*Inputs_Sources!$D$264*Inputs_Sources!$D$543+Detail_PeerAnalysis!E66*Inputs_Sources!$D$266*Inputs_Sources!$D$544)/100,"n/a")</f>
        <v>2646.0614389041093</v>
      </c>
      <c r="Q36" s="38">
        <f>IF(AND(ISNUMBER(Inputs_Sources!$D$266),ISNUMBER(Inputs_Sources!$D$524),ISNUMBER(Inputs_Sources!$D$544),ISNUMBER(Inputs_Sources!$D$545)),(Detail_PeerAnalysis!D66*Inputs_Sources!$D$266*Inputs_Sources!$D$544+Detail_PeerAnalysis!E66*Inputs_Sources!$D$524*Inputs_Sources!$D$545)/100,"n/a")</f>
        <v>2704.5670361643838</v>
      </c>
      <c r="R36" s="36">
        <f>IF(ISNUMBER(Inputs_Sources!$D$521),IFERROR(Detail_PeerAnalysis!F31/Inputs_Sources!$D$521-1,"n/a"),"n/a")</f>
        <v>-2.3500447627574639E-3</v>
      </c>
      <c r="S36" s="36">
        <f>IFERROR(Detail_PeerAnalysis!G31/Detail_PeerAnalysis!F31-1,"n/a")</f>
        <v>5.8889512058328597E-2</v>
      </c>
      <c r="T36" s="36">
        <f>IF(ISNUMBER(Inputs_Sources!$D$523),IFERROR(Inputs_Sources!$D$523/Detail_PeerAnalysis!G31-1,"n/a"),"n/a")</f>
        <v>-0.15572033898305082</v>
      </c>
      <c r="U36" s="28"/>
      <c r="V36" s="36">
        <f>IFERROR(Detail_PeerAnalysis!K31/Detail_PeerAnalysis!H31-1,"n/a")</f>
        <v>-8.8924403855910716E-2</v>
      </c>
      <c r="W36" s="36" t="str">
        <f>IF(AND(ISNUMBER(Inputs_Sources!$D$265),ISNUMBER(Inputs_Sources!$D$525)),IFERROR((Detail_PeerAnalysis!D66*Inputs_Sources!$D$265+Detail_PeerAnalysis!E66*Inputs_Sources!$D$525)/Detail_PeerAnalysis!K31-1,"n/a"),"n/a")</f>
        <v>n/a</v>
      </c>
    </row>
    <row r="37" spans="2:23" x14ac:dyDescent="0.25">
      <c r="B37" s="34" t="str">
        <f>Detail_PeerAnalysis!A18</f>
        <v>Mondelez International, Inc.</v>
      </c>
      <c r="D37" t="s">
        <v>115</v>
      </c>
      <c r="E37" s="34" t="str">
        <f>Detail_PeerAnalysis!B18</f>
        <v>NasdaqGS:MDLZ</v>
      </c>
      <c r="F37" s="38">
        <f>Detail_PeerAnalysis!B32</f>
        <v>36441</v>
      </c>
      <c r="G37" s="38">
        <f>Detail_PeerAnalysis!C32</f>
        <v>38537</v>
      </c>
      <c r="H37" s="38">
        <f>IF(ISNUMBER(Inputs_Sources!$D$559),Inputs_Sources!$D$559,"n/a")</f>
        <v>40101.199999999997</v>
      </c>
      <c r="I37" s="38">
        <f>Detail_PeerAnalysis!D32</f>
        <v>39675</v>
      </c>
      <c r="J37" s="38">
        <f>IF(ISNUMBER(Detail_PeerAnalysis!E32),Detail_PeerAnalysis!E32,"n/a")</f>
        <v>40994.157808219177</v>
      </c>
      <c r="K37" s="38">
        <f>IF(AND(ISNUMBER(Inputs_Sources!$D$271),ISNUMBER(Inputs_Sources!$D$561)),Detail_PeerAnalysis!D67*Inputs_Sources!$D$271+Detail_PeerAnalysis!E67*Inputs_Sources!$D$561,"n/a")</f>
        <v>42355.863287671229</v>
      </c>
      <c r="L37" s="38">
        <f>IF(ISNUMBER(Inputs_Sources!$D$578),Inputs_Sources!$D$578,"n/a")</f>
        <v>14257</v>
      </c>
      <c r="M37" s="38">
        <f>IF(ISNUMBER(Inputs_Sources!$D$579),Inputs_Sources!$D$579,"n/a")</f>
        <v>10935</v>
      </c>
      <c r="N37" s="38">
        <f>IF(AND(ISNUMBER(Inputs_Sources!$D$559),ISNUMBER(Inputs_Sources!$D$580)),Inputs_Sources!$D$559*Inputs_Sources!$D$580/100,"n/a")</f>
        <v>13269.487080000001</v>
      </c>
      <c r="O37" s="38">
        <f>IF(ISNUMBER(Detail_PeerAnalysis!M32),Detail_PeerAnalysis!M32,"n/a")</f>
        <v>12357</v>
      </c>
      <c r="P37" s="38">
        <f>IF(AND(ISNUMBER(Inputs_Sources!$D$269),ISNUMBER(Inputs_Sources!$D$271),ISNUMBER(Inputs_Sources!$D$580),ISNUMBER(Inputs_Sources!$D$581)),(Detail_PeerAnalysis!D67*Inputs_Sources!$D$269*Inputs_Sources!$D$580+Detail_PeerAnalysis!E67*Inputs_Sources!$D$271*Inputs_Sources!$D$581)/100,"n/a")</f>
        <v>14137.573184547946</v>
      </c>
      <c r="Q37" s="38">
        <f>IF(AND(ISNUMBER(Inputs_Sources!$D$271),ISNUMBER(Inputs_Sources!$D$561),ISNUMBER(Inputs_Sources!$D$581),ISNUMBER(Inputs_Sources!$D$582)),(Detail_PeerAnalysis!D67*Inputs_Sources!$D$271*Inputs_Sources!$D$581+Detail_PeerAnalysis!E67*Inputs_Sources!$D$561*Inputs_Sources!$D$582)/100,"n/a")</f>
        <v>14882.185052958905</v>
      </c>
      <c r="R37" s="36">
        <f>IF(ISNUMBER(Inputs_Sources!$D$558),IFERROR(Detail_PeerAnalysis!F32/Inputs_Sources!$D$558-1,"n/a"),"n/a")</f>
        <v>0.11928967043137484</v>
      </c>
      <c r="S37" s="36">
        <f>IFERROR(Detail_PeerAnalysis!G32/Detail_PeerAnalysis!F32-1,"n/a")</f>
        <v>-0.35529715762273906</v>
      </c>
      <c r="T37" s="36">
        <f>IF(ISNUMBER(Inputs_Sources!$D$560),IFERROR(Inputs_Sources!$D$560/Detail_PeerAnalysis!G32-1,"n/a"),"n/a")</f>
        <v>0.34973947895791579</v>
      </c>
      <c r="U37" s="28"/>
      <c r="V37" s="36">
        <f>IFERROR(Detail_PeerAnalysis!K32/Detail_PeerAnalysis!H32-1,"n/a")</f>
        <v>0.1765187454938717</v>
      </c>
      <c r="W37" s="36">
        <f>IF(AND(ISNUMBER(Inputs_Sources!$D$270),ISNUMBER(Inputs_Sources!$D$562)),IFERROR((Detail_PeerAnalysis!D67*Inputs_Sources!$D$270+Detail_PeerAnalysis!E67*Inputs_Sources!$D$562)/Detail_PeerAnalysis!K32-1,"n/a"),"n/a")</f>
        <v>6.3640532126019167E-2</v>
      </c>
    </row>
    <row r="38" spans="2:23" x14ac:dyDescent="0.25">
      <c r="B38" s="34" t="str">
        <f>Detail_PeerAnalysis!A19</f>
        <v>Arca Continental, S.A.B. de C.V.</v>
      </c>
      <c r="D38" t="s">
        <v>115</v>
      </c>
      <c r="E38" s="34" t="str">
        <f>Detail_PeerAnalysis!B19</f>
        <v>BMV:AC</v>
      </c>
      <c r="F38" s="38">
        <f>Detail_PeerAnalysis!B33</f>
        <v>13149.5</v>
      </c>
      <c r="G38" s="38">
        <f>Detail_PeerAnalysis!C33</f>
        <v>13058.3</v>
      </c>
      <c r="H38" s="38">
        <f>IF(ISNUMBER(Inputs_Sources!$D$596),Inputs_Sources!$D$596,"n/a")</f>
        <v>14453.8</v>
      </c>
      <c r="I38" s="38">
        <f>Detail_PeerAnalysis!D33</f>
        <v>13945.2</v>
      </c>
      <c r="J38" s="38">
        <f>IF(ISNUMBER(Detail_PeerAnalysis!E33),Detail_PeerAnalysis!E33,"n/a")</f>
        <v>14591.724383561643</v>
      </c>
      <c r="K38" s="38">
        <f>IF(AND(ISNUMBER(Inputs_Sources!$D$276),ISNUMBER(Inputs_Sources!$D$598)),Detail_PeerAnalysis!D68*Inputs_Sources!$D$276+Detail_PeerAnalysis!E68*Inputs_Sources!$D$598,"n/a")</f>
        <v>15424.900273972602</v>
      </c>
      <c r="L38" s="38">
        <f>IF(ISNUMBER(Inputs_Sources!$D$615),Inputs_Sources!$D$615,"n/a")</f>
        <v>6131.3</v>
      </c>
      <c r="M38" s="38">
        <f>IF(ISNUMBER(Inputs_Sources!$D$616),Inputs_Sources!$D$616,"n/a")</f>
        <v>6074.7</v>
      </c>
      <c r="N38" s="38">
        <f>IF(AND(ISNUMBER(Inputs_Sources!$D$596),ISNUMBER(Inputs_Sources!$D$617)),Inputs_Sources!$D$596*Inputs_Sources!$D$617/100,"n/a")</f>
        <v>6855.4373399999995</v>
      </c>
      <c r="O38" s="38">
        <f>IF(ISNUMBER(Detail_PeerAnalysis!M33),Detail_PeerAnalysis!M33,"n/a")</f>
        <v>6537.9</v>
      </c>
      <c r="P38" s="38">
        <f>IF(AND(ISNUMBER(Inputs_Sources!$D$274),ISNUMBER(Inputs_Sources!$D$276),ISNUMBER(Inputs_Sources!$D$617),ISNUMBER(Inputs_Sources!$D$618)),(Detail_PeerAnalysis!D68*Inputs_Sources!$D$274*Inputs_Sources!$D$617+Detail_PeerAnalysis!E68*Inputs_Sources!$D$276*Inputs_Sources!$D$618)/100,"n/a")</f>
        <v>6933.5516983561638</v>
      </c>
      <c r="Q38" s="38">
        <f>IF(AND(ISNUMBER(Inputs_Sources!$D$276),ISNUMBER(Inputs_Sources!$D$598),ISNUMBER(Inputs_Sources!$D$618),ISNUMBER(Inputs_Sources!$D$619)),(Detail_PeerAnalysis!D68*Inputs_Sources!$D$276*Inputs_Sources!$D$618+Detail_PeerAnalysis!E68*Inputs_Sources!$D$598*Inputs_Sources!$D$619)/100,"n/a")</f>
        <v>7337.9331369863012</v>
      </c>
      <c r="R38" s="36">
        <f>IF(ISNUMBER(Inputs_Sources!$D$595),IFERROR(Detail_PeerAnalysis!F33/Inputs_Sources!$D$595-1,"n/a"),"n/a")</f>
        <v>0.10567514677103729</v>
      </c>
      <c r="S38" s="36">
        <f>IFERROR(Detail_PeerAnalysis!G33/Detail_PeerAnalysis!F33-1,"n/a")</f>
        <v>-2.247018083878416E-2</v>
      </c>
      <c r="T38" s="36">
        <f>IF(ISNUMBER(Inputs_Sources!$D$597),IFERROR(Inputs_Sources!$D$597/Detail_PeerAnalysis!G33-1,"n/a"),"n/a")</f>
        <v>0.15334960245611273</v>
      </c>
      <c r="U38" s="28"/>
      <c r="V38" s="36">
        <f>IFERROR(Detail_PeerAnalysis!K33/Detail_PeerAnalysis!H33-1,"n/a")</f>
        <v>0.10463466102595498</v>
      </c>
      <c r="W38" s="36">
        <f>IF(AND(ISNUMBER(Inputs_Sources!$D$275),ISNUMBER(Inputs_Sources!$D$599)),IFERROR((Detail_PeerAnalysis!D68*Inputs_Sources!$D$275+Detail_PeerAnalysis!E68*Inputs_Sources!$D$599)/Detail_PeerAnalysis!K33-1,"n/a"),"n/a")</f>
        <v>6.5505124515342183E-2</v>
      </c>
    </row>
    <row r="39" spans="2:23" x14ac:dyDescent="0.25">
      <c r="B39" s="34" t="str">
        <f>Detail_PeerAnalysis!A20</f>
        <v>PepsiCo, Inc.</v>
      </c>
      <c r="D39" t="s">
        <v>115</v>
      </c>
      <c r="E39" s="34" t="str">
        <f>Detail_PeerAnalysis!B20</f>
        <v>NasdaqGS:PEP</v>
      </c>
      <c r="F39" s="38">
        <f>Detail_PeerAnalysis!B34</f>
        <v>91854</v>
      </c>
      <c r="G39" s="38">
        <f>Detail_PeerAnalysis!C34</f>
        <v>93925</v>
      </c>
      <c r="H39" s="38">
        <f>IF(ISNUMBER(Inputs_Sources!$D$633),Inputs_Sources!$D$633,"n/a")</f>
        <v>99300.5</v>
      </c>
      <c r="I39" s="38">
        <f>Detail_PeerAnalysis!D34</f>
        <v>98241</v>
      </c>
      <c r="J39" s="38">
        <f>IF(ISNUMBER(Detail_PeerAnalysis!E34),Detail_PeerAnalysis!E34,"n/a")</f>
        <v>101251.48301369864</v>
      </c>
      <c r="K39" s="38">
        <f>IF(AND(ISNUMBER(Inputs_Sources!$D$281),ISNUMBER(Inputs_Sources!$D$635)),Detail_PeerAnalysis!D69*Inputs_Sources!$D$281+Detail_PeerAnalysis!E69*Inputs_Sources!$D$635,"n/a")</f>
        <v>104438.71753424656</v>
      </c>
      <c r="L39" s="38">
        <f>IF(ISNUMBER(Inputs_Sources!$D$652),Inputs_Sources!$D$652,"n/a")</f>
        <v>50419</v>
      </c>
      <c r="M39" s="38">
        <f>IF(ISNUMBER(Inputs_Sources!$D$653),Inputs_Sources!$D$653,"n/a")</f>
        <v>51152</v>
      </c>
      <c r="N39" s="38">
        <f>IF(AND(ISNUMBER(Inputs_Sources!$D$633),ISNUMBER(Inputs_Sources!$D$654)),Inputs_Sources!$D$633*Inputs_Sources!$D$654/100,"n/a")</f>
        <v>53711.640449999999</v>
      </c>
      <c r="O39" s="38">
        <f>IF(ISNUMBER(Detail_PeerAnalysis!M34),Detail_PeerAnalysis!M34,"n/a")</f>
        <v>53371</v>
      </c>
      <c r="P39" s="38">
        <f>IF(AND(ISNUMBER(Inputs_Sources!$D$279),ISNUMBER(Inputs_Sources!$D$281),ISNUMBER(Inputs_Sources!$D$654),ISNUMBER(Inputs_Sources!$D$655)),(Detail_PeerAnalysis!D69*Inputs_Sources!$D$279*Inputs_Sources!$D$654+Detail_PeerAnalysis!E69*Inputs_Sources!$D$281*Inputs_Sources!$D$655)/100,"n/a")</f>
        <v>54694.654319589048</v>
      </c>
      <c r="Q39" s="38">
        <f>IF(AND(ISNUMBER(Inputs_Sources!$D$281),ISNUMBER(Inputs_Sources!$D$635),ISNUMBER(Inputs_Sources!$D$655),ISNUMBER(Inputs_Sources!$D$656)),(Detail_PeerAnalysis!D69*Inputs_Sources!$D$281*Inputs_Sources!$D$655+Detail_PeerAnalysis!E69*Inputs_Sources!$D$635*Inputs_Sources!$D$656)/100,"n/a")</f>
        <v>56454.98561161643</v>
      </c>
      <c r="R39" s="36">
        <f>IF(ISNUMBER(Inputs_Sources!$D$632),IFERROR(Detail_PeerAnalysis!F34/Inputs_Sources!$D$632-1,"n/a"),"n/a")</f>
        <v>6.0086627413001192E-2</v>
      </c>
      <c r="S39" s="36">
        <f>IFERROR(Detail_PeerAnalysis!G34/Detail_PeerAnalysis!F34-1,"n/a")</f>
        <v>1.8607779396928592E-2</v>
      </c>
      <c r="T39" s="36">
        <f>IF(ISNUMBER(Inputs_Sources!$D$634),IFERROR(Inputs_Sources!$D$634/Detail_PeerAnalysis!G34-1,"n/a"),"n/a")</f>
        <v>4.8228238142401292E-2</v>
      </c>
      <c r="U39" s="28"/>
      <c r="V39" s="36">
        <f>IFERROR(Detail_PeerAnalysis!K34/Detail_PeerAnalysis!H34-1,"n/a")</f>
        <v>1.5799877526200712E-2</v>
      </c>
      <c r="W39" s="36">
        <f>IF(AND(ISNUMBER(Inputs_Sources!$D$280),ISNUMBER(Inputs_Sources!$D$636)),IFERROR((Detail_PeerAnalysis!D69*Inputs_Sources!$D$280+Detail_PeerAnalysis!E69*Inputs_Sources!$D$636)/Detail_PeerAnalysis!K34-1,"n/a"),"n/a")</f>
        <v>4.6432110261303228E-2</v>
      </c>
    </row>
    <row r="40" spans="2:23" x14ac:dyDescent="0.25">
      <c r="B40" s="34" t="str">
        <f>Detail_PeerAnalysis!A11</f>
        <v>Grupo Bimbo, S.A.B. de C.V. (subject)</v>
      </c>
      <c r="D40" t="s">
        <v>116</v>
      </c>
      <c r="E40" s="34" t="str">
        <f>Detail_PeerAnalysis!B11</f>
        <v>BMV:BIMBO A</v>
      </c>
      <c r="F40" s="38">
        <f>Detail_PeerAnalysis!B25</f>
        <v>22097.245521943827</v>
      </c>
      <c r="G40" s="38">
        <f>Detail_PeerAnalysis!C25</f>
        <v>23105.308728827316</v>
      </c>
      <c r="H40" s="38">
        <f>Inputs_Sources!$D$669/Inputs_Sources!$D$10</f>
        <v>23068.062803181991</v>
      </c>
      <c r="I40" s="38">
        <f>Detail_PeerAnalysis!D25</f>
        <v>22805.508956112346</v>
      </c>
      <c r="J40" s="38">
        <f>Detail_PeerAnalysis!E25</f>
        <v>23879.916395286167</v>
      </c>
      <c r="K40" s="38">
        <f>(Detail_PeerAnalysis!D60*Inputs_Sources!$D$681+Detail_PeerAnalysis!E60*Inputs_Sources!$D$693)/Inputs_Sources!$D$10</f>
        <v>25085.161257412525</v>
      </c>
      <c r="L40" s="38">
        <f>Detail_TearSheet!F9/Inputs_Sources!$D$10</f>
        <v>11630.932409762434</v>
      </c>
      <c r="M40" s="38">
        <f>Detail_TearSheet!G9/Inputs_Sources!$D$10</f>
        <v>12134.947778559446</v>
      </c>
      <c r="N40" s="38">
        <f>Inputs_Sources!$D$669*Inputs_Sources!$D$679/100/Inputs_Sources!$D$10</f>
        <v>12064.59684606418</v>
      </c>
      <c r="O40" s="38">
        <f>Detail_PeerAnalysis!M25</f>
        <v>11986.052437902485</v>
      </c>
      <c r="P40" s="38">
        <f>(Detail_PeerAnalysis!D60*Inputs_Sources!$D$669*Inputs_Sources!$D$679+Detail_PeerAnalysis!E60*Inputs_Sources!$D$681*Inputs_Sources!$D$691)/100/Inputs_Sources!$D$10</f>
        <v>12432.155021471443</v>
      </c>
      <c r="Q40" s="38">
        <f>(Detail_PeerAnalysis!D60*Inputs_Sources!$D$681*Inputs_Sources!$D$691+Detail_PeerAnalysis!E60*Inputs_Sources!$D$693*Inputs_Sources!$D$703)/100/Inputs_Sources!$D$10</f>
        <v>13054.28469901077</v>
      </c>
      <c r="R40" s="36">
        <f>IFERROR(Detail_TearSheet!F19/Detail_TearSheet!E19-1,"n/a")</f>
        <v>9.664737359397213E-3</v>
      </c>
      <c r="S40" s="36">
        <f>IFERROR(Detail_TearSheet!G19/Detail_TearSheet!F19-1,"n/a")</f>
        <v>7.1800695834009387E-2</v>
      </c>
      <c r="T40" s="36">
        <f>IFERROR(Inputs_Sources!$D$670/Detail_TearSheet!G19-1,"n/a")</f>
        <v>4.4753863865715671E-2</v>
      </c>
      <c r="U40" s="28"/>
      <c r="V40" s="36">
        <f>IFERROR(Detail_PeerAnalysis!K25/Detail_PeerAnalysis!H25-1,"n/a")</f>
        <v>5.5595134522890888E-2</v>
      </c>
      <c r="W40" s="36">
        <f>IFERROR((Detail_PeerAnalysis!D60*Inputs_Sources!$D$682+Detail_PeerAnalysis!E60*Inputs_Sources!$D$694)/(Detail_PeerAnalysis!H60)-1,"n/a")</f>
        <v>5.9500620641091739E-2</v>
      </c>
    </row>
    <row r="45" spans="2:23" x14ac:dyDescent="0.25">
      <c r="F45" s="18" t="s">
        <v>123</v>
      </c>
      <c r="L45" s="18" t="s">
        <v>124</v>
      </c>
      <c r="R45" s="18" t="s">
        <v>125</v>
      </c>
    </row>
    <row r="47" spans="2:23" x14ac:dyDescent="0.25">
      <c r="B47" s="32"/>
      <c r="C47" s="32"/>
      <c r="D47" s="32"/>
      <c r="E47" s="32"/>
      <c r="F47" s="31" t="s">
        <v>126</v>
      </c>
      <c r="G47" s="32"/>
      <c r="H47" s="32"/>
      <c r="I47" s="32"/>
      <c r="J47" s="32"/>
      <c r="K47" s="32"/>
      <c r="L47" s="32"/>
      <c r="M47" s="32"/>
      <c r="N47" s="32"/>
      <c r="O47" s="32"/>
      <c r="P47" s="32"/>
      <c r="Q47" s="32"/>
      <c r="R47" s="32"/>
      <c r="S47" s="32"/>
      <c r="T47" s="32"/>
      <c r="U47" s="32"/>
      <c r="V47" s="32"/>
      <c r="W47" s="32"/>
    </row>
    <row r="48" spans="2:23" x14ac:dyDescent="0.25">
      <c r="F48" s="22" t="s">
        <v>25</v>
      </c>
      <c r="G48" s="22" t="s">
        <v>8</v>
      </c>
      <c r="H48" s="22" t="s">
        <v>26</v>
      </c>
      <c r="I48" s="22" t="s">
        <v>120</v>
      </c>
      <c r="J48" s="22" t="s">
        <v>121</v>
      </c>
      <c r="K48" s="22" t="s">
        <v>122</v>
      </c>
      <c r="L48" s="22" t="s">
        <v>25</v>
      </c>
      <c r="M48" s="22" t="s">
        <v>8</v>
      </c>
      <c r="N48" s="22" t="s">
        <v>26</v>
      </c>
      <c r="O48" s="22" t="s">
        <v>120</v>
      </c>
      <c r="P48" s="22" t="s">
        <v>121</v>
      </c>
      <c r="Q48" s="22" t="s">
        <v>122</v>
      </c>
      <c r="R48" s="22" t="s">
        <v>25</v>
      </c>
      <c r="S48" s="22" t="s">
        <v>8</v>
      </c>
      <c r="T48" s="22" t="s">
        <v>26</v>
      </c>
      <c r="U48" s="22" t="s">
        <v>120</v>
      </c>
      <c r="V48" s="22" t="s">
        <v>121</v>
      </c>
      <c r="W48" s="22" t="s">
        <v>122</v>
      </c>
    </row>
    <row r="49" spans="2:23" x14ac:dyDescent="0.25">
      <c r="B49" s="18" t="s">
        <v>103</v>
      </c>
      <c r="D49" s="18" t="s">
        <v>104</v>
      </c>
      <c r="E49" s="18" t="s">
        <v>105</v>
      </c>
    </row>
    <row r="50" spans="2:23" x14ac:dyDescent="0.25">
      <c r="B50" s="34" t="str">
        <f>Detail_PeerAnalysis!A12</f>
        <v>Flowers Foods, Inc.</v>
      </c>
      <c r="D50" t="s">
        <v>114</v>
      </c>
      <c r="E50" s="34" t="str">
        <f>Detail_PeerAnalysis!B12</f>
        <v>NYSE:FLO</v>
      </c>
      <c r="F50" s="36">
        <f>IFERROR(IF(ISNUMBER(Inputs_Sources!$D$341),(Inputs_Sources!$D$341)/Detail_PeerAnalysis!I12,"n/a"),"n/a")</f>
        <v>0.12117002392529135</v>
      </c>
      <c r="G50" s="36">
        <f>IFERROR(IF(ISNUMBER(Inputs_Sources!$D$342),(Inputs_Sources!$D$342)/Detail_PeerAnalysis!I12,"n/a"),"n/a")</f>
        <v>0.17064135216485296</v>
      </c>
      <c r="H50" s="36">
        <f>IFERROR(IF(ISNUMBER(Inputs_Sources!$D$361),(Inputs_Sources!$D$361)/Detail_PeerAnalysis!I12,"n/a"),"n/a")</f>
        <v>0.1703866635795323</v>
      </c>
      <c r="I50" s="36">
        <f>IFERROR(IF(ISNUMBER(Detail_PeerAnalysis!N26),(Detail_PeerAnalysis!N26)/Detail_PeerAnalysis!I12,"n/a"),"n/a")</f>
        <v>0.23037740217642971</v>
      </c>
      <c r="J50" s="36">
        <f>IFERROR(IF(ISNUMBER((Detail_PeerAnalysis!D61*Inputs_Sources!$D$361+Detail_PeerAnalysis!E61*Inputs_Sources!$D$362)),((Detail_PeerAnalysis!D61*Inputs_Sources!$D$361+Detail_PeerAnalysis!E61*Inputs_Sources!$D$362))/Detail_PeerAnalysis!I12,"n/a"),"n/a")</f>
        <v>0.14567093896460473</v>
      </c>
      <c r="K50" s="36">
        <f>IFERROR(IF(ISNUMBER((Detail_PeerAnalysis!D61*Inputs_Sources!$D$362+Detail_PeerAnalysis!E61*Inputs_Sources!$D$363)),((Detail_PeerAnalysis!D61*Inputs_Sources!$D$362+Detail_PeerAnalysis!E61*Inputs_Sources!$D$363))/Detail_PeerAnalysis!I12,"n/a"),"n/a")</f>
        <v>0.13709012212153793</v>
      </c>
      <c r="L50" s="39">
        <f>IFERROR(Detail_PeerAnalysis!I12/F31,"n/a")</f>
        <v>0.25388458900754385</v>
      </c>
      <c r="M50" s="39">
        <f>IFERROR(Detail_PeerAnalysis!I12/G31,"n/a")</f>
        <v>0.24649481594216685</v>
      </c>
      <c r="N50" s="39">
        <f>IFERROR(Detail_PeerAnalysis!I12/H31,"n/a")</f>
        <v>0.2552701052050908</v>
      </c>
      <c r="O50" s="39">
        <f>IFERROR(Detail_PeerAnalysis!I12/I31,"n/a")</f>
        <v>0.24803307873427902</v>
      </c>
      <c r="P50" s="39">
        <f>IFERROR(Detail_PeerAnalysis!I12/J31,"n/a")</f>
        <v>0.25596158821256265</v>
      </c>
      <c r="Q50" s="39">
        <f>IFERROR(Detail_PeerAnalysis!I12/K31,"n/a")</f>
        <v>0.25717709756432722</v>
      </c>
      <c r="R50" s="39">
        <f>IFERROR(IF(ISNUMBER(Inputs_Sources!$D$341),IF((Inputs_Sources!$D$341)&gt;0,Detail_PeerAnalysis!I12/(Inputs_Sources!$D$341),"n.m."),"n/a"),"n/a")</f>
        <v>8.2528662420382162</v>
      </c>
      <c r="S50" s="39">
        <f>IFERROR(IF(ISNUMBER(Inputs_Sources!$D$342),IF((Inputs_Sources!$D$342)&gt;0,Detail_PeerAnalysis!I12/(Inputs_Sources!$D$342),"n.m."),"n/a"),"n/a")</f>
        <v>5.8602442333785625</v>
      </c>
      <c r="T50" s="39">
        <f>IFERROR(IF(ISNUMBER(Inputs_Sources!$D$361),IF((Inputs_Sources!$D$361)&gt;0,Detail_PeerAnalysis!I12/(Inputs_Sources!$D$361),"n.m."),"n/a"),"n/a")</f>
        <v>5.8690039407528198</v>
      </c>
      <c r="U50" s="39">
        <f>IFERROR(IF(ISNUMBER(Detail_PeerAnalysis!N26),IF((Detail_PeerAnalysis!N26)&gt;0,Detail_PeerAnalysis!I12/(Detail_PeerAnalysis!N26),"n.m."),"n/a"),"n/a")</f>
        <v>4.34070351758794</v>
      </c>
      <c r="V50" s="39">
        <f>IFERROR(IF(ISNUMBER((Detail_PeerAnalysis!D61*Inputs_Sources!$D$361+Detail_PeerAnalysis!E61*Inputs_Sources!$D$362)),IF(((Detail_PeerAnalysis!D61*Inputs_Sources!$D$361+Detail_PeerAnalysis!E61*Inputs_Sources!$D$362))&gt;0,Detail_PeerAnalysis!I12/((Detail_PeerAnalysis!D61*Inputs_Sources!$D$361+Detail_PeerAnalysis!E61*Inputs_Sources!$D$362)),"n.m."),"n/a"),"n/a")</f>
        <v>6.8647872191101964</v>
      </c>
      <c r="W50" s="39">
        <f>IFERROR(IF(ISNUMBER((Detail_PeerAnalysis!D61*Inputs_Sources!$D$362+Detail_PeerAnalysis!E61*Inputs_Sources!$D$363)),IF(((Detail_PeerAnalysis!D61*Inputs_Sources!$D$362+Detail_PeerAnalysis!E61*Inputs_Sources!$D$363))&gt;0,Detail_PeerAnalysis!I12/((Detail_PeerAnalysis!D61*Inputs_Sources!$D$362+Detail_PeerAnalysis!E61*Inputs_Sources!$D$363)),"n.m."),"n/a"),"n/a")</f>
        <v>7.2944715820841202</v>
      </c>
    </row>
    <row r="51" spans="2:23" x14ac:dyDescent="0.25">
      <c r="B51" s="34" t="str">
        <f>Detail_PeerAnalysis!A13</f>
        <v>Gruma, S.A.B. de C.V.</v>
      </c>
      <c r="D51" t="s">
        <v>114</v>
      </c>
      <c r="E51" s="34" t="str">
        <f>Detail_PeerAnalysis!B13</f>
        <v>BMV:GRUMA B</v>
      </c>
      <c r="F51" s="36" t="str">
        <f>IFERROR(IF(ISNUMBER(Inputs_Sources!$D$378),(Inputs_Sources!$D$378)/Detail_PeerAnalysis!I13,"n/a"),"n/a")</f>
        <v>n/a</v>
      </c>
      <c r="G51" s="36" t="str">
        <f>IFERROR(IF(ISNUMBER(Inputs_Sources!$D$379),(Inputs_Sources!$D$379)/Detail_PeerAnalysis!I13,"n/a"),"n/a")</f>
        <v>n/a</v>
      </c>
      <c r="H51" s="36">
        <f>IFERROR(IF(ISNUMBER(Inputs_Sources!$D$398),(Inputs_Sources!$D$398)/Detail_PeerAnalysis!I13,"n/a"),"n/a")</f>
        <v>3.9749500706321203E-2</v>
      </c>
      <c r="I51" s="36" t="str">
        <f>IFERROR(IF(ISNUMBER(Detail_PeerAnalysis!N27),(Detail_PeerAnalysis!N27)/Detail_PeerAnalysis!I13,"n/a"),"n/a")</f>
        <v>n/a</v>
      </c>
      <c r="J51" s="36">
        <f>IFERROR(IF(ISNUMBER((Detail_PeerAnalysis!D62*Inputs_Sources!$D$398+Detail_PeerAnalysis!E62*Inputs_Sources!$D$399)),((Detail_PeerAnalysis!D62*Inputs_Sources!$D$398+Detail_PeerAnalysis!E62*Inputs_Sources!$D$399))/Detail_PeerAnalysis!I13,"n/a"),"n/a")</f>
        <v>0.1039396872683007</v>
      </c>
      <c r="K51" s="36">
        <f>IFERROR(IF(ISNUMBER((Detail_PeerAnalysis!D62*Inputs_Sources!$D$399+Detail_PeerAnalysis!E62*Inputs_Sources!$D$400)),((Detail_PeerAnalysis!D62*Inputs_Sources!$D$399+Detail_PeerAnalysis!E62*Inputs_Sources!$D$400))/Detail_PeerAnalysis!I13,"n/a"),"n/a")</f>
        <v>0.12068771316730532</v>
      </c>
      <c r="L51" s="39">
        <f>IFERROR(Detail_PeerAnalysis!I13/F32,"n/a")</f>
        <v>0.6788027794098529</v>
      </c>
      <c r="M51" s="39">
        <f>IFERROR(Detail_PeerAnalysis!I13/G32,"n/a")</f>
        <v>0.69076110654061029</v>
      </c>
      <c r="N51" s="39">
        <f>IFERROR(Detail_PeerAnalysis!I13/H32,"n/a")</f>
        <v>0.66231858276922451</v>
      </c>
      <c r="O51" s="39">
        <f>IFERROR(Detail_PeerAnalysis!I13/I32,"n/a")</f>
        <v>0.67742430881890647</v>
      </c>
      <c r="P51" s="39">
        <f>IFERROR(Detail_PeerAnalysis!I13/J32,"n/a")</f>
        <v>0.67874536299453392</v>
      </c>
      <c r="Q51" s="39">
        <f>IFERROR(Detail_PeerAnalysis!I13/K32,"n/a")</f>
        <v>0.66924548194609446</v>
      </c>
      <c r="R51" s="39" t="str">
        <f>IFERROR(IF(ISNUMBER(Inputs_Sources!$D$378),IF((Inputs_Sources!$D$378)&gt;0,Detail_PeerAnalysis!I13/(Inputs_Sources!$D$378),"n.m."),"n/a"),"n/a")</f>
        <v>n/a</v>
      </c>
      <c r="S51" s="39" t="str">
        <f>IFERROR(IF(ISNUMBER(Inputs_Sources!$D$379),IF((Inputs_Sources!$D$379)&gt;0,Detail_PeerAnalysis!I13/(Inputs_Sources!$D$379),"n.m."),"n/a"),"n/a")</f>
        <v>n/a</v>
      </c>
      <c r="T51" s="39">
        <f>IFERROR(IF(ISNUMBER(Inputs_Sources!$D$398),IF((Inputs_Sources!$D$398)&gt;0,Detail_PeerAnalysis!I13/(Inputs_Sources!$D$398),"n.m."),"n/a"),"n/a")</f>
        <v>25.157548704529361</v>
      </c>
      <c r="U51" s="39" t="str">
        <f>IFERROR(IF(ISNUMBER(Detail_PeerAnalysis!N27),IF((Detail_PeerAnalysis!N27)&gt;0,Detail_PeerAnalysis!I13/(Detail_PeerAnalysis!N27),"n.m."),"n/a"),"n/a")</f>
        <v>n/a</v>
      </c>
      <c r="V51" s="39">
        <f>IFERROR(IF(ISNUMBER((Detail_PeerAnalysis!D62*Inputs_Sources!$D$398+Detail_PeerAnalysis!E62*Inputs_Sources!$D$399)),IF(((Detail_PeerAnalysis!D62*Inputs_Sources!$D$398+Detail_PeerAnalysis!E62*Inputs_Sources!$D$399))&gt;0,Detail_PeerAnalysis!I13/((Detail_PeerAnalysis!D62*Inputs_Sources!$D$398+Detail_PeerAnalysis!E62*Inputs_Sources!$D$399)),"n.m."),"n/a"),"n/a")</f>
        <v>9.6209641021786858</v>
      </c>
      <c r="W51" s="39">
        <f>IFERROR(IF(ISNUMBER((Detail_PeerAnalysis!D62*Inputs_Sources!$D$399+Detail_PeerAnalysis!E62*Inputs_Sources!$D$400)),IF(((Detail_PeerAnalysis!D62*Inputs_Sources!$D$399+Detail_PeerAnalysis!E62*Inputs_Sources!$D$400))&gt;0,Detail_PeerAnalysis!I13/((Detail_PeerAnalysis!D62*Inputs_Sources!$D$399+Detail_PeerAnalysis!E62*Inputs_Sources!$D$400)),"n.m."),"n/a"),"n/a")</f>
        <v>8.2858476124552425</v>
      </c>
    </row>
    <row r="52" spans="2:23" x14ac:dyDescent="0.25">
      <c r="B52" s="34" t="str">
        <f>Detail_PeerAnalysis!A14</f>
        <v>Yamazaki Baking Co., Ltd.</v>
      </c>
      <c r="D52" t="s">
        <v>114</v>
      </c>
      <c r="E52" s="34" t="str">
        <f>Detail_PeerAnalysis!B14</f>
        <v>TSE:2212</v>
      </c>
      <c r="F52" s="36">
        <f>IFERROR(IF(ISNUMBER(Inputs_Sources!$D$415),(Inputs_Sources!$D$415)/Detail_PeerAnalysis!I14,"n/a"),"n/a")</f>
        <v>3.8709811698730744E-2</v>
      </c>
      <c r="G52" s="36">
        <f>IFERROR(IF(ISNUMBER(Inputs_Sources!$D$416),(Inputs_Sources!$D$416)/Detail_PeerAnalysis!I14,"n/a"),"n/a")</f>
        <v>3.5513781618227172E-2</v>
      </c>
      <c r="H52" s="36">
        <f>IFERROR(IF(ISNUMBER(Inputs_Sources!$D$435),(Inputs_Sources!$D$435)/Detail_PeerAnalysis!I14,"n/a"),"n/a")</f>
        <v>3.8772891239793314E-2</v>
      </c>
      <c r="I52" s="36">
        <f>IFERROR(IF(ISNUMBER(Detail_PeerAnalysis!N28),(Detail_PeerAnalysis!N28)/Detail_PeerAnalysis!I14,"n/a"),"n/a")</f>
        <v>2.3844066521651636E-2</v>
      </c>
      <c r="J52" s="36">
        <f>IFERROR(IF(ISNUMBER((Detail_PeerAnalysis!D63*Inputs_Sources!$D$435+Detail_PeerAnalysis!E63*Inputs_Sources!$D$436)),((Detail_PeerAnalysis!D63*Inputs_Sources!$D$435+Detail_PeerAnalysis!E63*Inputs_Sources!$D$436))/Detail_PeerAnalysis!I14,"n/a"),"n/a")</f>
        <v>4.6072835937006944E-2</v>
      </c>
      <c r="K52" s="36">
        <f>IFERROR(IF(ISNUMBER((Detail_PeerAnalysis!D63*Inputs_Sources!$D$436+Detail_PeerAnalysis!E63*Inputs_Sources!$D$437)),((Detail_PeerAnalysis!D63*Inputs_Sources!$D$436+Detail_PeerAnalysis!E63*Inputs_Sources!$D$437))/Detail_PeerAnalysis!I14,"n/a"),"n/a")</f>
        <v>5.3950785093768897E-2</v>
      </c>
      <c r="L52" s="39">
        <f>IFERROR(Detail_PeerAnalysis!I14/F33,"n/a")</f>
        <v>0.57825306628908968</v>
      </c>
      <c r="M52" s="39">
        <f>IFERROR(Detail_PeerAnalysis!I14/G33,"n/a")</f>
        <v>0.54209412403698165</v>
      </c>
      <c r="N52" s="39">
        <f>IFERROR(Detail_PeerAnalysis!I14/H33,"n/a")</f>
        <v>0.55531037422367568</v>
      </c>
      <c r="O52" s="39">
        <f>IFERROR(Detail_PeerAnalysis!I14/I33,"n/a")</f>
        <v>0.54855305932032061</v>
      </c>
      <c r="P52" s="39">
        <f>IFERROR(Detail_PeerAnalysis!I14/J33,"n/a")</f>
        <v>0.5437580939209653</v>
      </c>
      <c r="Q52" s="39">
        <f>IFERROR(Detail_PeerAnalysis!I14/K33,"n/a")</f>
        <v>0.53283425487229874</v>
      </c>
      <c r="R52" s="39">
        <f>IFERROR(IF(ISNUMBER(Inputs_Sources!$D$415),IF((Inputs_Sources!$D$415)&gt;0,Detail_PeerAnalysis!I14/(Inputs_Sources!$D$415),"n.m."),"n/a"),"n/a")</f>
        <v>25.833243720810689</v>
      </c>
      <c r="S52" s="39">
        <f>IFERROR(IF(ISNUMBER(Inputs_Sources!$D$416),IF((Inputs_Sources!$D$416)&gt;0,Detail_PeerAnalysis!I14/(Inputs_Sources!$D$416),"n.m."),"n/a"),"n/a")</f>
        <v>28.158082705750427</v>
      </c>
      <c r="T52" s="39">
        <f>IFERROR(IF(ISNUMBER(Inputs_Sources!$D$435),IF((Inputs_Sources!$D$435)&gt;0,Detail_PeerAnalysis!I14/(Inputs_Sources!$D$435),"n.m."),"n/a"),"n/a")</f>
        <v>25.791215667034962</v>
      </c>
      <c r="U52" s="39">
        <f>IFERROR(IF(ISNUMBER(Detail_PeerAnalysis!N28),IF((Detail_PeerAnalysis!N28)&gt;0,Detail_PeerAnalysis!I14/(Detail_PeerAnalysis!N28),"n.m."),"n/a"),"n/a")</f>
        <v>41.939154929464259</v>
      </c>
      <c r="V52" s="39">
        <f>IFERROR(IF(ISNUMBER((Detail_PeerAnalysis!D63*Inputs_Sources!$D$435+Detail_PeerAnalysis!E63*Inputs_Sources!$D$436)),IF(((Detail_PeerAnalysis!D63*Inputs_Sources!$D$435+Detail_PeerAnalysis!E63*Inputs_Sources!$D$436))&gt;0,Detail_PeerAnalysis!I14/((Detail_PeerAnalysis!D63*Inputs_Sources!$D$435+Detail_PeerAnalysis!E63*Inputs_Sources!$D$436)),"n.m."),"n/a"),"n/a")</f>
        <v>21.704763330984214</v>
      </c>
      <c r="W52" s="39">
        <f>IFERROR(IF(ISNUMBER((Detail_PeerAnalysis!D63*Inputs_Sources!$D$436+Detail_PeerAnalysis!E63*Inputs_Sources!$D$437)),IF(((Detail_PeerAnalysis!D63*Inputs_Sources!$D$436+Detail_PeerAnalysis!E63*Inputs_Sources!$D$437))&gt;0,Detail_PeerAnalysis!I14/((Detail_PeerAnalysis!D63*Inputs_Sources!$D$436+Detail_PeerAnalysis!E63*Inputs_Sources!$D$437)),"n.m."),"n/a"),"n/a")</f>
        <v>18.535411454383006</v>
      </c>
    </row>
    <row r="53" spans="2:23" x14ac:dyDescent="0.25">
      <c r="B53" s="34" t="str">
        <f>Detail_PeerAnalysis!A15</f>
        <v>ARYZTA AG</v>
      </c>
      <c r="D53" t="s">
        <v>114</v>
      </c>
      <c r="E53" s="34" t="str">
        <f>Detail_PeerAnalysis!B15</f>
        <v>SWX:ARYN</v>
      </c>
      <c r="F53" s="36">
        <f>IFERROR(IF(ISNUMBER(Inputs_Sources!$D$452),(Inputs_Sources!$D$452)/Detail_PeerAnalysis!I15,"n/a"),"n/a")</f>
        <v>0.1325894322284214</v>
      </c>
      <c r="G53" s="36">
        <f>IFERROR(IF(ISNUMBER(Inputs_Sources!$D$453),(Inputs_Sources!$D$453)/Detail_PeerAnalysis!I15,"n/a"),"n/a")</f>
        <v>0.12709222185756483</v>
      </c>
      <c r="H53" s="36">
        <f>IFERROR(IF(ISNUMBER(Inputs_Sources!$D$472),(Inputs_Sources!$D$472)/Detail_PeerAnalysis!I15,"n/a"),"n/a")</f>
        <v>0.11438299967180834</v>
      </c>
      <c r="I53" s="36">
        <f>IFERROR(IF(ISNUMBER(Detail_PeerAnalysis!N29),(Detail_PeerAnalysis!N29)/Detail_PeerAnalysis!I15,"n/a"),"n/a")</f>
        <v>0.1133081719724319</v>
      </c>
      <c r="J53" s="36">
        <f>IFERROR(IF(ISNUMBER((Detail_PeerAnalysis!D64*Inputs_Sources!$D$472+Detail_PeerAnalysis!E64*Inputs_Sources!$D$473)),((Detail_PeerAnalysis!D64*Inputs_Sources!$D$472+Detail_PeerAnalysis!E64*Inputs_Sources!$D$473))/Detail_PeerAnalysis!I15,"n/a"),"n/a")</f>
        <v>0.14033046203092195</v>
      </c>
      <c r="K53" s="36">
        <f>IFERROR(IF(ISNUMBER((Detail_PeerAnalysis!D64*Inputs_Sources!$D$473+Detail_PeerAnalysis!E64*Inputs_Sources!$D$474)),((Detail_PeerAnalysis!D64*Inputs_Sources!$D$473+Detail_PeerAnalysis!E64*Inputs_Sources!$D$474))/Detail_PeerAnalysis!I15,"n/a"),"n/a")</f>
        <v>0.16114141014516861</v>
      </c>
      <c r="L53" s="39">
        <f>IFERROR(Detail_PeerAnalysis!I15/F34,"n/a")</f>
        <v>0.51337348890105727</v>
      </c>
      <c r="M53" s="39">
        <f>IFERROR(Detail_PeerAnalysis!I15/G34,"n/a")</f>
        <v>0.48486295102836457</v>
      </c>
      <c r="N53" s="39">
        <f>IFERROR(Detail_PeerAnalysis!I15/H34,"n/a")</f>
        <v>0.46972675068408681</v>
      </c>
      <c r="O53" s="39">
        <f>IFERROR(Detail_PeerAnalysis!I15/I34,"n/a")</f>
        <v>0.47472150814053127</v>
      </c>
      <c r="P53" s="39">
        <f>IFERROR(Detail_PeerAnalysis!I15/J34,"n/a")</f>
        <v>0.47435719855618458</v>
      </c>
      <c r="Q53" s="39">
        <f>IFERROR(Detail_PeerAnalysis!I15/K34,"n/a")</f>
        <v>0.46889720165988402</v>
      </c>
      <c r="R53" s="39">
        <f>IFERROR(IF(ISNUMBER(Inputs_Sources!$D$452),IF((Inputs_Sources!$D$452)&gt;0,Detail_PeerAnalysis!I15/(Inputs_Sources!$D$452),"n.m."),"n/a"),"n/a")</f>
        <v>7.5420792079207919</v>
      </c>
      <c r="S53" s="39">
        <f>IFERROR(IF(ISNUMBER(Inputs_Sources!$D$453),IF((Inputs_Sources!$D$453)&gt;0,Detail_PeerAnalysis!I15/(Inputs_Sources!$D$453),"n.m."),"n/a"),"n/a")</f>
        <v>7.8683021304067138</v>
      </c>
      <c r="T53" s="39">
        <f>IFERROR(IF(ISNUMBER(Inputs_Sources!$D$472),IF((Inputs_Sources!$D$472)&gt;0,Detail_PeerAnalysis!I15/(Inputs_Sources!$D$472),"n.m."),"n/a"),"n/a")</f>
        <v>8.742557922674127</v>
      </c>
      <c r="U53" s="39">
        <f>IFERROR(IF(ISNUMBER(Detail_PeerAnalysis!N29),IF((Detail_PeerAnalysis!N29)&gt;0,Detail_PeerAnalysis!I15/(Detail_PeerAnalysis!N29),"n.m."),"n/a"),"n/a")</f>
        <v>8.8254887762490952</v>
      </c>
      <c r="V53" s="39">
        <f>IFERROR(IF(ISNUMBER((Detail_PeerAnalysis!D64*Inputs_Sources!$D$472+Detail_PeerAnalysis!E64*Inputs_Sources!$D$473)),IF(((Detail_PeerAnalysis!D64*Inputs_Sources!$D$472+Detail_PeerAnalysis!E64*Inputs_Sources!$D$473))&gt;0,Detail_PeerAnalysis!I15/((Detail_PeerAnalysis!D64*Inputs_Sources!$D$472+Detail_PeerAnalysis!E64*Inputs_Sources!$D$473)),"n.m."),"n/a"),"n/a")</f>
        <v>7.1260365392344323</v>
      </c>
      <c r="W53" s="39">
        <f>IFERROR(IF(ISNUMBER((Detail_PeerAnalysis!D64*Inputs_Sources!$D$473+Detail_PeerAnalysis!E64*Inputs_Sources!$D$474)),IF(((Detail_PeerAnalysis!D64*Inputs_Sources!$D$473+Detail_PeerAnalysis!E64*Inputs_Sources!$D$474))&gt;0,Detail_PeerAnalysis!I15/((Detail_PeerAnalysis!D64*Inputs_Sources!$D$473+Detail_PeerAnalysis!E64*Inputs_Sources!$D$474)),"n.m."),"n/a"),"n/a")</f>
        <v>6.2057294838063219</v>
      </c>
    </row>
    <row r="54" spans="2:23" x14ac:dyDescent="0.25">
      <c r="B54" s="34" t="str">
        <f>Detail_PeerAnalysis!A16</f>
        <v>The J. M. Smucker Company</v>
      </c>
      <c r="D54" t="s">
        <v>115</v>
      </c>
      <c r="E54" s="34" t="str">
        <f>Detail_PeerAnalysis!B16</f>
        <v>NYSE:SJM</v>
      </c>
      <c r="F54" s="36">
        <f>IFERROR(IF(ISNUMBER(Inputs_Sources!$D$489),(Inputs_Sources!$D$489)/Detail_PeerAnalysis!I16,"n/a"),"n/a")</f>
        <v>4.3379247015610654E-2</v>
      </c>
      <c r="G54" s="36">
        <f>IFERROR(IF(ISNUMBER(Inputs_Sources!$D$490),(Inputs_Sources!$D$490)/Detail_PeerAnalysis!I16,"n/a"),"n/a")</f>
        <v>4.4099173553719007E-2</v>
      </c>
      <c r="H54" s="28"/>
      <c r="I54" s="36">
        <f>IFERROR(IF(ISNUMBER(Detail_PeerAnalysis!N30),(Detail_PeerAnalysis!N30)/Detail_PeerAnalysis!I16,"n/a"),"n/a")</f>
        <v>0.1075702479338843</v>
      </c>
      <c r="J54" s="36">
        <f>IFERROR(IF(ISNUMBER((Detail_PeerAnalysis!D65*Inputs_Sources!$D$509+Detail_PeerAnalysis!E65*Inputs_Sources!$D$510)),((Detail_PeerAnalysis!D65*Inputs_Sources!$D$509+Detail_PeerAnalysis!E65*Inputs_Sources!$D$510))/Detail_PeerAnalysis!I16,"n/a"),"n/a")</f>
        <v>8.9778470130948335E-2</v>
      </c>
      <c r="K54" s="36">
        <f>IFERROR(IF(ISNUMBER((Detail_PeerAnalysis!D65*Inputs_Sources!$D$510+Detail_PeerAnalysis!E65*Inputs_Sources!$D$511)),((Detail_PeerAnalysis!D65*Inputs_Sources!$D$510+Detail_PeerAnalysis!E65*Inputs_Sources!$D$511))/Detail_PeerAnalysis!I16,"n/a"),"n/a")</f>
        <v>9.410326628677812E-2</v>
      </c>
      <c r="L54" s="39">
        <f>IFERROR(Detail_PeerAnalysis!I16/F35,"n/a")</f>
        <v>1.6643843153557412</v>
      </c>
      <c r="M54" s="39">
        <f>IFERROR(Detail_PeerAnalysis!I16/G35,"n/a")</f>
        <v>1.5599752466737717</v>
      </c>
      <c r="N54" s="39">
        <f>IFERROR(Detail_PeerAnalysis!I16/H35,"n/a")</f>
        <v>1.5039940779370009</v>
      </c>
      <c r="O54" s="39">
        <f>IFERROR(Detail_PeerAnalysis!I16/I35,"n/a")</f>
        <v>1.4865838875602007</v>
      </c>
      <c r="P54" s="39">
        <f>IFERROR(Detail_PeerAnalysis!I16/J35,"n/a")</f>
        <v>1.5159291378479252</v>
      </c>
      <c r="Q54" s="39">
        <f>IFERROR(Detail_PeerAnalysis!I16/K35,"n/a")</f>
        <v>1.4945515954923436</v>
      </c>
      <c r="R54" s="39">
        <f>IFERROR(IF(ISNUMBER(Inputs_Sources!$D$489),IF((Inputs_Sources!$D$489)&gt;0,Detail_PeerAnalysis!I16/(Inputs_Sources!$D$489),"n.m."),"n/a"),"n/a")</f>
        <v>23.052497883149872</v>
      </c>
      <c r="S54" s="39">
        <f>IFERROR(IF(ISNUMBER(Inputs_Sources!$D$490),IF((Inputs_Sources!$D$490)&gt;0,Detail_PeerAnalysis!I16/(Inputs_Sources!$D$490),"n.m."),"n/a"),"n/a")</f>
        <v>22.676161919040482</v>
      </c>
      <c r="T54" s="28"/>
      <c r="U54" s="39">
        <f>IFERROR(IF(ISNUMBER(Detail_PeerAnalysis!N30),IF((Detail_PeerAnalysis!N30)&gt;0,Detail_PeerAnalysis!I16/(Detail_PeerAnalysis!N30),"n.m."),"n/a"),"n/a")</f>
        <v>9.2962507682851871</v>
      </c>
      <c r="V54" s="39">
        <f>IFERROR(IF(ISNUMBER((Detail_PeerAnalysis!D65*Inputs_Sources!$D$509+Detail_PeerAnalysis!E65*Inputs_Sources!$D$510)),IF(((Detail_PeerAnalysis!D65*Inputs_Sources!$D$509+Detail_PeerAnalysis!E65*Inputs_Sources!$D$510))&gt;0,Detail_PeerAnalysis!I16/((Detail_PeerAnalysis!D65*Inputs_Sources!$D$509+Detail_PeerAnalysis!E65*Inputs_Sources!$D$510)),"n.m."),"n/a"),"n/a")</f>
        <v>11.138527962677781</v>
      </c>
      <c r="W54" s="39">
        <f>IFERROR(IF(ISNUMBER((Detail_PeerAnalysis!D65*Inputs_Sources!$D$510+Detail_PeerAnalysis!E65*Inputs_Sources!$D$511)),IF(((Detail_PeerAnalysis!D65*Inputs_Sources!$D$510+Detail_PeerAnalysis!E65*Inputs_Sources!$D$511))&gt;0,Detail_PeerAnalysis!I16/((Detail_PeerAnalysis!D65*Inputs_Sources!$D$510+Detail_PeerAnalysis!E65*Inputs_Sources!$D$511)),"n.m."),"n/a"),"n/a")</f>
        <v>10.626623702438945</v>
      </c>
    </row>
    <row r="55" spans="2:23" x14ac:dyDescent="0.25">
      <c r="B55" s="34" t="str">
        <f>Detail_PeerAnalysis!A17</f>
        <v>The Campbell's Company</v>
      </c>
      <c r="D55" t="s">
        <v>115</v>
      </c>
      <c r="E55" s="34" t="str">
        <f>Detail_PeerAnalysis!B17</f>
        <v>NasdaqGS:CPB</v>
      </c>
      <c r="F55" s="36">
        <f>IFERROR(IF(ISNUMBER(Inputs_Sources!$D$526),(Inputs_Sources!$D$526)/Detail_PeerAnalysis!I17,"n/a"),"n/a")</f>
        <v>9.7335425842488055E-2</v>
      </c>
      <c r="G55" s="36">
        <f>IFERROR(IF(ISNUMBER(Inputs_Sources!$D$527),(Inputs_Sources!$D$527)/Detail_PeerAnalysis!I17,"n/a"),"n/a")</f>
        <v>0.12109552979294286</v>
      </c>
      <c r="H55" s="28"/>
      <c r="I55" s="36">
        <f>IFERROR(IF(ISNUMBER(Detail_PeerAnalysis!N31),(Detail_PeerAnalysis!N31)/Detail_PeerAnalysis!I17,"n/a"),"n/a")</f>
        <v>0.10707234344150256</v>
      </c>
      <c r="J55" s="36">
        <f>IFERROR(IF(ISNUMBER((Detail_PeerAnalysis!D66*Inputs_Sources!$D$546+Detail_PeerAnalysis!E66*Inputs_Sources!$D$547)),((Detail_PeerAnalysis!D66*Inputs_Sources!$D$546+Detail_PeerAnalysis!E66*Inputs_Sources!$D$547))/Detail_PeerAnalysis!I17,"n/a"),"n/a")</f>
        <v>0.12757708383467328</v>
      </c>
      <c r="K55" s="36">
        <f>IFERROR(IF(ISNUMBER((Detail_PeerAnalysis!D66*Inputs_Sources!$D$547+Detail_PeerAnalysis!E66*Inputs_Sources!$D$548)),((Detail_PeerAnalysis!D66*Inputs_Sources!$D$547+Detail_PeerAnalysis!E66*Inputs_Sources!$D$548))/Detail_PeerAnalysis!I17,"n/a"),"n/a")</f>
        <v>0.11792472653711696</v>
      </c>
      <c r="L55" s="39">
        <f>IFERROR(Detail_PeerAnalysis!I17/F36,"n/a")</f>
        <v>0.61497509339975087</v>
      </c>
      <c r="M55" s="39">
        <f>IFERROR(Detail_PeerAnalysis!I17/G36,"n/a")</f>
        <v>0.57796742416853597</v>
      </c>
      <c r="N55" s="39">
        <f>IFERROR(Detail_PeerAnalysis!I17/H36,"n/a")</f>
        <v>0.60815886699507382</v>
      </c>
      <c r="O55" s="39">
        <f>IFERROR(Detail_PeerAnalysis!I17/I36,"n/a")</f>
        <v>0.60815886699507382</v>
      </c>
      <c r="P55" s="39">
        <f>IFERROR(Detail_PeerAnalysis!I17/J36,"n/a")</f>
        <v>0.62436973528521145</v>
      </c>
      <c r="Q55" s="39">
        <f>IFERROR(Detail_PeerAnalysis!I17/K36,"n/a")</f>
        <v>0.62462198439422201</v>
      </c>
      <c r="R55" s="39">
        <f>IFERROR(IF(ISNUMBER(Inputs_Sources!$D$526),IF((Inputs_Sources!$D$526)&gt;0,Detail_PeerAnalysis!I17/(Inputs_Sources!$D$526),"n.m."),"n/a"),"n/a")</f>
        <v>10.27375173370319</v>
      </c>
      <c r="S55" s="39">
        <f>IFERROR(IF(ISNUMBER(Inputs_Sources!$D$527),IF((Inputs_Sources!$D$527)&gt;0,Detail_PeerAnalysis!I17/(Inputs_Sources!$D$527),"n.m."),"n/a"),"n/a")</f>
        <v>8.2579431438127084</v>
      </c>
      <c r="T55" s="28"/>
      <c r="U55" s="39">
        <f>IFERROR(IF(ISNUMBER(Detail_PeerAnalysis!N31),IF((Detail_PeerAnalysis!N31)&gt;0,Detail_PeerAnalysis!I17/(Detail_PeerAnalysis!N31),"n.m."),"n/a"),"n/a")</f>
        <v>9.3394799054373525</v>
      </c>
      <c r="V55" s="39">
        <f>IFERROR(IF(ISNUMBER((Detail_PeerAnalysis!D66*Inputs_Sources!$D$546+Detail_PeerAnalysis!E66*Inputs_Sources!$D$547)),IF(((Detail_PeerAnalysis!D66*Inputs_Sources!$D$546+Detail_PeerAnalysis!E66*Inputs_Sources!$D$547))&gt;0,Detail_PeerAnalysis!I17/((Detail_PeerAnalysis!D66*Inputs_Sources!$D$546+Detail_PeerAnalysis!E66*Inputs_Sources!$D$547)),"n.m."),"n/a"),"n/a")</f>
        <v>7.8383983231337737</v>
      </c>
      <c r="W55" s="39">
        <f>IFERROR(IF(ISNUMBER((Detail_PeerAnalysis!D66*Inputs_Sources!$D$547+Detail_PeerAnalysis!E66*Inputs_Sources!$D$548)),IF(((Detail_PeerAnalysis!D66*Inputs_Sources!$D$547+Detail_PeerAnalysis!E66*Inputs_Sources!$D$548))&gt;0,Detail_PeerAnalysis!I17/((Detail_PeerAnalysis!D66*Inputs_Sources!$D$547+Detail_PeerAnalysis!E66*Inputs_Sources!$D$548)),"n.m."),"n/a"),"n/a")</f>
        <v>8.4799857448492677</v>
      </c>
    </row>
    <row r="56" spans="2:23" x14ac:dyDescent="0.25">
      <c r="B56" s="34" t="str">
        <f>Detail_PeerAnalysis!A18</f>
        <v>Mondelez International, Inc.</v>
      </c>
      <c r="D56" t="s">
        <v>115</v>
      </c>
      <c r="E56" s="34" t="str">
        <f>Detail_PeerAnalysis!B18</f>
        <v>NasdaqGS:MDLZ</v>
      </c>
      <c r="F56" s="36">
        <f>IFERROR(IF(ISNUMBER(Inputs_Sources!$D$563),(Inputs_Sources!$D$563)/Detail_PeerAnalysis!I18,"n/a"),"n/a")</f>
        <v>3.3686899893096381E-2</v>
      </c>
      <c r="G56" s="36">
        <f>IFERROR(IF(ISNUMBER(Inputs_Sources!$D$564),(Inputs_Sources!$D$564)/Detail_PeerAnalysis!I18,"n/a"),"n/a")</f>
        <v>4.3987406949716069E-2</v>
      </c>
      <c r="H56" s="36">
        <f>IFERROR(IF(ISNUMBER(Inputs_Sources!$D$583),(Inputs_Sources!$D$583)/Detail_PeerAnalysis!I18,"n/a"),"n/a")</f>
        <v>4.0162047253361574E-2</v>
      </c>
      <c r="I56" s="36">
        <f>IFERROR(IF(ISNUMBER(Detail_PeerAnalysis!N32),(Detail_PeerAnalysis!N32)/Detail_PeerAnalysis!I18,"n/a"),"n/a")</f>
        <v>2.7613499279136141E-2</v>
      </c>
      <c r="J56" s="36">
        <f>IFERROR(IF(ISNUMBER((Detail_PeerAnalysis!D67*Inputs_Sources!$D$583+Detail_PeerAnalysis!E67*Inputs_Sources!$D$584)),((Detail_PeerAnalysis!D67*Inputs_Sources!$D$583+Detail_PeerAnalysis!E67*Inputs_Sources!$D$584))/Detail_PeerAnalysis!I18,"n/a"),"n/a")</f>
        <v>4.972247950566111E-2</v>
      </c>
      <c r="K56" s="36">
        <f>IFERROR(IF(ISNUMBER((Detail_PeerAnalysis!D67*Inputs_Sources!$D$584+Detail_PeerAnalysis!E67*Inputs_Sources!$D$585)),((Detail_PeerAnalysis!D67*Inputs_Sources!$D$584+Detail_PeerAnalysis!E67*Inputs_Sources!$D$585))/Detail_PeerAnalysis!I18,"n/a"),"n/a")</f>
        <v>5.7849915889139986E-2</v>
      </c>
      <c r="L56" s="39">
        <f>IFERROR(Detail_PeerAnalysis!I18/F37,"n/a")</f>
        <v>2.2383798468757719</v>
      </c>
      <c r="M56" s="39">
        <f>IFERROR(Detail_PeerAnalysis!I18/G37,"n/a")</f>
        <v>2.1166359602459974</v>
      </c>
      <c r="N56" s="39">
        <f>IFERROR(Detail_PeerAnalysis!I18/H37,"n/a")</f>
        <v>2.0340737933029436</v>
      </c>
      <c r="O56" s="39">
        <f>IFERROR(Detail_PeerAnalysis!I18/I37,"n/a")</f>
        <v>2.0559243856332703</v>
      </c>
      <c r="P56" s="39">
        <f>IFERROR(Detail_PeerAnalysis!I18/J37,"n/a")</f>
        <v>1.9897664535907544</v>
      </c>
      <c r="Q56" s="39">
        <f>IFERROR(Detail_PeerAnalysis!I18/K37,"n/a")</f>
        <v>1.9257971309899546</v>
      </c>
      <c r="R56" s="39">
        <f>IFERROR(IF(ISNUMBER(Inputs_Sources!$D$563),IF((Inputs_Sources!$D$563)&gt;0,Detail_PeerAnalysis!I18/(Inputs_Sources!$D$563),"n.m."),"n/a"),"n/a")</f>
        <v>29.685129922119511</v>
      </c>
      <c r="S56" s="39">
        <f>IFERROR(IF(ISNUMBER(Inputs_Sources!$D$564),IF((Inputs_Sources!$D$564)&gt;0,Detail_PeerAnalysis!I18/(Inputs_Sources!$D$564),"n.m."),"n/a"),"n/a")</f>
        <v>22.733779264214046</v>
      </c>
      <c r="T56" s="39">
        <f>IFERROR(IF(ISNUMBER(Inputs_Sources!$D$583),IF((Inputs_Sources!$D$583)&gt;0,Detail_PeerAnalysis!I18/(Inputs_Sources!$D$583),"n.m."),"n/a"),"n/a")</f>
        <v>24.899129112903967</v>
      </c>
      <c r="U56" s="39">
        <f>IFERROR(IF(ISNUMBER(Detail_PeerAnalysis!N32),IF((Detail_PeerAnalysis!N32)&gt;0,Detail_PeerAnalysis!I18/(Detail_PeerAnalysis!N32),"n.m."),"n/a"),"n/a")</f>
        <v>36.2141715503463</v>
      </c>
      <c r="V56" s="39">
        <f>IFERROR(IF(ISNUMBER((Detail_PeerAnalysis!D67*Inputs_Sources!$D$583+Detail_PeerAnalysis!E67*Inputs_Sources!$D$584)),IF(((Detail_PeerAnalysis!D67*Inputs_Sources!$D$583+Detail_PeerAnalysis!E67*Inputs_Sources!$D$584))&gt;0,Detail_PeerAnalysis!I18/((Detail_PeerAnalysis!D67*Inputs_Sources!$D$583+Detail_PeerAnalysis!E67*Inputs_Sources!$D$584)),"n.m."),"n/a"),"n/a")</f>
        <v>20.111627777656299</v>
      </c>
      <c r="W56" s="39">
        <f>IFERROR(IF(ISNUMBER((Detail_PeerAnalysis!D67*Inputs_Sources!$D$584+Detail_PeerAnalysis!E67*Inputs_Sources!$D$585)),IF(((Detail_PeerAnalysis!D67*Inputs_Sources!$D$584+Detail_PeerAnalysis!E67*Inputs_Sources!$D$585))&gt;0,Detail_PeerAnalysis!I18/((Detail_PeerAnalysis!D67*Inputs_Sources!$D$584+Detail_PeerAnalysis!E67*Inputs_Sources!$D$585)),"n.m."),"n/a"),"n/a")</f>
        <v>17.286109834910363</v>
      </c>
    </row>
    <row r="57" spans="2:23" x14ac:dyDescent="0.25">
      <c r="B57" s="34" t="str">
        <f>Detail_PeerAnalysis!A19</f>
        <v>Arca Continental, S.A.B. de C.V.</v>
      </c>
      <c r="D57" t="s">
        <v>115</v>
      </c>
      <c r="E57" s="34" t="str">
        <f>Detail_PeerAnalysis!B19</f>
        <v>BMV:AC</v>
      </c>
      <c r="F57" s="36">
        <f>IFERROR(IF(ISNUMBER(Inputs_Sources!$D$600),(Inputs_Sources!$D$600)/Detail_PeerAnalysis!I19,"n/a"),"n/a")</f>
        <v>4.4905556942221085E-2</v>
      </c>
      <c r="G57" s="36">
        <f>IFERROR(IF(ISNUMBER(Inputs_Sources!$D$601),(Inputs_Sources!$D$601)/Detail_PeerAnalysis!I19,"n/a"),"n/a")</f>
        <v>2.7493092083000666E-2</v>
      </c>
      <c r="H57" s="36">
        <f>IFERROR(IF(ISNUMBER(Inputs_Sources!$D$620),(Inputs_Sources!$D$620)/Detail_PeerAnalysis!I19,"n/a"),"n/a")</f>
        <v>6.3849861443488101E-2</v>
      </c>
      <c r="I57" s="36">
        <f>IFERROR(IF(ISNUMBER(Detail_PeerAnalysis!N33),(Detail_PeerAnalysis!N33)/Detail_PeerAnalysis!I19,"n/a"),"n/a")</f>
        <v>3.9678180144735037E-2</v>
      </c>
      <c r="J57" s="36">
        <f>IFERROR(IF(ISNUMBER((Detail_PeerAnalysis!D68*Inputs_Sources!$D$620+Detail_PeerAnalysis!E68*Inputs_Sources!$D$621)),((Detail_PeerAnalysis!D68*Inputs_Sources!$D$620+Detail_PeerAnalysis!E68*Inputs_Sources!$D$621))/Detail_PeerAnalysis!I19,"n/a"),"n/a")</f>
        <v>6.9947813792788166E-2</v>
      </c>
      <c r="K57" s="36">
        <f>IFERROR(IF(ISNUMBER((Detail_PeerAnalysis!D68*Inputs_Sources!$D$621+Detail_PeerAnalysis!E68*Inputs_Sources!$D$622)),((Detail_PeerAnalysis!D68*Inputs_Sources!$D$621+Detail_PeerAnalysis!E68*Inputs_Sources!$D$622))/Detail_PeerAnalysis!I19,"n/a"),"n/a")</f>
        <v>7.8987716264760185E-2</v>
      </c>
      <c r="L57" s="39">
        <f>IFERROR(Detail_PeerAnalysis!I19/F38,"n/a")</f>
        <v>1.4635411418135509</v>
      </c>
      <c r="M57" s="39">
        <f>IFERROR(Detail_PeerAnalysis!I19/G38,"n/a")</f>
        <v>1.4737626064860885</v>
      </c>
      <c r="N57" s="39">
        <f>IFERROR(Detail_PeerAnalysis!I19/H38,"n/a")</f>
        <v>1.3314722940871804</v>
      </c>
      <c r="O57" s="39">
        <f>IFERROR(Detail_PeerAnalysis!I19/I38,"n/a")</f>
        <v>1.3800328603589254</v>
      </c>
      <c r="P57" s="39">
        <f>IFERROR(Detail_PeerAnalysis!I19/J38,"n/a")</f>
        <v>1.3188869072909315</v>
      </c>
      <c r="Q57" s="39">
        <f>IFERROR(Detail_PeerAnalysis!I19/K38,"n/a")</f>
        <v>1.2476472393633753</v>
      </c>
      <c r="R57" s="39">
        <f>IFERROR(IF(ISNUMBER(Inputs_Sources!$D$600),IF((Inputs_Sources!$D$600)&gt;0,Detail_PeerAnalysis!I19/(Inputs_Sources!$D$600),"n.m."),"n/a"),"n/a")</f>
        <v>22.268958857066984</v>
      </c>
      <c r="S57" s="39">
        <f>IFERROR(IF(ISNUMBER(Inputs_Sources!$D$601),IF((Inputs_Sources!$D$601)&gt;0,Detail_PeerAnalysis!I19/(Inputs_Sources!$D$601),"n.m."),"n/a"),"n/a")</f>
        <v>36.372773094457166</v>
      </c>
      <c r="T57" s="39">
        <f>IFERROR(IF(ISNUMBER(Inputs_Sources!$D$620),IF((Inputs_Sources!$D$620)&gt;0,Detail_PeerAnalysis!I19/(Inputs_Sources!$D$620),"n.m."),"n/a"),"n/a")</f>
        <v>15.661741112548453</v>
      </c>
      <c r="U57" s="39">
        <f>IFERROR(IF(ISNUMBER(Detail_PeerAnalysis!N33),IF((Detail_PeerAnalysis!N33)&gt;0,Detail_PeerAnalysis!I19/(Detail_PeerAnalysis!N33),"n.m."),"n/a"),"n/a")</f>
        <v>25.202768785067164</v>
      </c>
      <c r="V57" s="39">
        <f>IFERROR(IF(ISNUMBER((Detail_PeerAnalysis!D68*Inputs_Sources!$D$620+Detail_PeerAnalysis!E68*Inputs_Sources!$D$621)),IF(((Detail_PeerAnalysis!D68*Inputs_Sources!$D$620+Detail_PeerAnalysis!E68*Inputs_Sources!$D$621))&gt;0,Detail_PeerAnalysis!I19/((Detail_PeerAnalysis!D68*Inputs_Sources!$D$620+Detail_PeerAnalysis!E68*Inputs_Sources!$D$621)),"n.m."),"n/a"),"n/a")</f>
        <v>14.29637247795017</v>
      </c>
      <c r="W57" s="39">
        <f>IFERROR(IF(ISNUMBER((Detail_PeerAnalysis!D68*Inputs_Sources!$D$621+Detail_PeerAnalysis!E68*Inputs_Sources!$D$622)),IF(((Detail_PeerAnalysis!D68*Inputs_Sources!$D$621+Detail_PeerAnalysis!E68*Inputs_Sources!$D$622))&gt;0,Detail_PeerAnalysis!I19/((Detail_PeerAnalysis!D68*Inputs_Sources!$D$621+Detail_PeerAnalysis!E68*Inputs_Sources!$D$622)),"n.m."),"n/a"),"n/a")</f>
        <v>12.660196386082161</v>
      </c>
    </row>
    <row r="58" spans="2:23" x14ac:dyDescent="0.25">
      <c r="B58" s="34" t="str">
        <f>Detail_PeerAnalysis!A20</f>
        <v>PepsiCo, Inc.</v>
      </c>
      <c r="D58" t="s">
        <v>115</v>
      </c>
      <c r="E58" s="34" t="str">
        <f>Detail_PeerAnalysis!B20</f>
        <v>NasdaqGS:PEP</v>
      </c>
      <c r="F58" s="36">
        <f>IFERROR(IF(ISNUMBER(Inputs_Sources!$D$637),(Inputs_Sources!$D$637)/Detail_PeerAnalysis!I20,"n/a"),"n/a")</f>
        <v>4.0183481630910629E-2</v>
      </c>
      <c r="G58" s="36">
        <f>IFERROR(IF(ISNUMBER(Inputs_Sources!$D$638),(Inputs_Sources!$D$638)/Detail_PeerAnalysis!I20,"n/a"),"n/a")</f>
        <v>4.5941836099787664E-2</v>
      </c>
      <c r="H58" s="36">
        <f>IFERROR(IF(ISNUMBER(Inputs_Sources!$D$657),(Inputs_Sources!$D$657)/Detail_PeerAnalysis!I20,"n/a"),"n/a")</f>
        <v>5.8559434823005511E-2</v>
      </c>
      <c r="I58" s="36">
        <f>IFERROR(IF(ISNUMBER(Detail_PeerAnalysis!N34),(Detail_PeerAnalysis!N34)/Detail_PeerAnalysis!I20,"n/a"),"n/a")</f>
        <v>5.0470283286039933E-2</v>
      </c>
      <c r="J58" s="36">
        <f>IFERROR(IF(ISNUMBER((Detail_PeerAnalysis!D69*Inputs_Sources!$D$657+Detail_PeerAnalysis!E69*Inputs_Sources!$D$658)),((Detail_PeerAnalysis!D69*Inputs_Sources!$D$657+Detail_PeerAnalysis!E69*Inputs_Sources!$D$658))/Detail_PeerAnalysis!I20,"n/a"),"n/a")</f>
        <v>6.4665459860469288E-2</v>
      </c>
      <c r="K58" s="36">
        <f>IFERROR(IF(ISNUMBER((Detail_PeerAnalysis!D69*Inputs_Sources!$D$658+Detail_PeerAnalysis!E69*Inputs_Sources!$D$659)),((Detail_PeerAnalysis!D69*Inputs_Sources!$D$658+Detail_PeerAnalysis!E69*Inputs_Sources!$D$659))/Detail_PeerAnalysis!I20,"n/a"),"n/a")</f>
        <v>7.0468695717084015E-2</v>
      </c>
      <c r="L58" s="39">
        <f>IFERROR(Detail_PeerAnalysis!I20/F39,"n/a")</f>
        <v>1.9509275589522503</v>
      </c>
      <c r="M58" s="39">
        <f>IFERROR(Detail_PeerAnalysis!I20/G39,"n/a")</f>
        <v>1.9079105669417089</v>
      </c>
      <c r="N58" s="39">
        <f>IFERROR(Detail_PeerAnalysis!I20/H39,"n/a")</f>
        <v>1.8046283754865282</v>
      </c>
      <c r="O58" s="39">
        <f>IFERROR(Detail_PeerAnalysis!I20/I39,"n/a")</f>
        <v>1.8240907564051669</v>
      </c>
      <c r="P58" s="39">
        <f>IFERROR(Detail_PeerAnalysis!I20/J39,"n/a")</f>
        <v>1.7698555583206161</v>
      </c>
      <c r="Q58" s="39">
        <f>IFERROR(Detail_PeerAnalysis!I20/K39,"n/a")</f>
        <v>1.715843551422759</v>
      </c>
      <c r="R58" s="39">
        <f>IFERROR(IF(ISNUMBER(Inputs_Sources!$D$637),IF((Inputs_Sources!$D$637)&gt;0,Detail_PeerAnalysis!I20/(Inputs_Sources!$D$637),"n.m."),"n/a"),"n/a")</f>
        <v>24.885847602383038</v>
      </c>
      <c r="S58" s="39">
        <f>IFERROR(IF(ISNUMBER(Inputs_Sources!$D$638),IF((Inputs_Sources!$D$638)&gt;0,Detail_PeerAnalysis!I20/(Inputs_Sources!$D$638),"n.m."),"n/a"),"n/a")</f>
        <v>21.766652900592753</v>
      </c>
      <c r="T58" s="39">
        <f>IFERROR(IF(ISNUMBER(Inputs_Sources!$D$657),IF((Inputs_Sources!$D$657)&gt;0,Detail_PeerAnalysis!I20/(Inputs_Sources!$D$657),"n.m."),"n/a"),"n/a")</f>
        <v>17.076667543368135</v>
      </c>
      <c r="U58" s="39">
        <f>IFERROR(IF(ISNUMBER(Detail_PeerAnalysis!N34),IF((Detail_PeerAnalysis!N34)&gt;0,Detail_PeerAnalysis!I20/(Detail_PeerAnalysis!N34),"n.m."),"n/a"),"n/a")</f>
        <v>19.813639529869643</v>
      </c>
      <c r="V58" s="39">
        <f>IFERROR(IF(ISNUMBER((Detail_PeerAnalysis!D69*Inputs_Sources!$D$657+Detail_PeerAnalysis!E69*Inputs_Sources!$D$658)),IF(((Detail_PeerAnalysis!D69*Inputs_Sources!$D$657+Detail_PeerAnalysis!E69*Inputs_Sources!$D$658))&gt;0,Detail_PeerAnalysis!I20/((Detail_PeerAnalysis!D69*Inputs_Sources!$D$657+Detail_PeerAnalysis!E69*Inputs_Sources!$D$658)),"n.m."),"n/a"),"n/a")</f>
        <v>15.464206118037849</v>
      </c>
      <c r="W58" s="39">
        <f>IFERROR(IF(ISNUMBER((Detail_PeerAnalysis!D69*Inputs_Sources!$D$658+Detail_PeerAnalysis!E69*Inputs_Sources!$D$659)),IF(((Detail_PeerAnalysis!D69*Inputs_Sources!$D$658+Detail_PeerAnalysis!E69*Inputs_Sources!$D$659))&gt;0,Detail_PeerAnalysis!I20/((Detail_PeerAnalysis!D69*Inputs_Sources!$D$658+Detail_PeerAnalysis!E69*Inputs_Sources!$D$659)),"n.m."),"n/a"),"n/a")</f>
        <v>14.19069829268269</v>
      </c>
    </row>
    <row r="59" spans="2:23" x14ac:dyDescent="0.25">
      <c r="B59" s="34" t="str">
        <f>Detail_PeerAnalysis!A11</f>
        <v>Grupo Bimbo, S.A.B. de C.V. (subject)</v>
      </c>
      <c r="D59" t="s">
        <v>116</v>
      </c>
      <c r="E59" s="34" t="str">
        <f>Detail_PeerAnalysis!B11</f>
        <v>BMV:BIMBO A</v>
      </c>
      <c r="F59" s="28"/>
      <c r="G59" s="36">
        <f>IFERROR(IF(ISNUMBER(Detail_TearSheet!G48),(Detail_TearSheet!G48)/(Inputs_Sources!$D$13*Inputs_Sources!$D$14),"n/a"),"n/a")</f>
        <v>6.5005268173848871E-2</v>
      </c>
      <c r="H59" s="36">
        <f>IFERROR(IF(ISNUMBER(Inputs_Sources!$D$677),(Inputs_Sources!$D$677)/(Inputs_Sources!$D$13*Inputs_Sources!$D$14),"n/a"),"n/a")</f>
        <v>7.5465858625719834E-2</v>
      </c>
      <c r="I59" s="36">
        <f>IFERROR(IF(ISNUMBER(Detail_PeerAnalysis!N25*Inputs_Sources!$D$10),(Detail_PeerAnalysis!N25*Inputs_Sources!$D$10)/(Inputs_Sources!$D$13*Inputs_Sources!$D$14),"n/a"),"n/a")</f>
        <v>0.10105385479023181</v>
      </c>
      <c r="J59" s="36">
        <f>IFERROR(IF(ISNUMBER((Detail_PeerAnalysis!D60*Inputs_Sources!$D$677+Detail_PeerAnalysis!E60*Inputs_Sources!$D$689)),((Detail_PeerAnalysis!D60*Inputs_Sources!$D$677+Detail_PeerAnalysis!E60*Inputs_Sources!$D$689))/(Inputs_Sources!$D$13*Inputs_Sources!$D$14),"n/a"),"n/a")</f>
        <v>8.4325601302450801E-2</v>
      </c>
      <c r="K59" s="36">
        <f>IFERROR(IF(ISNUMBER((Detail_PeerAnalysis!D60*Inputs_Sources!$D$689+Detail_PeerAnalysis!E60*Inputs_Sources!$D$701)),((Detail_PeerAnalysis!D60*Inputs_Sources!$D$689+Detail_PeerAnalysis!E60*Inputs_Sources!$D$701))/(Inputs_Sources!$D$13*Inputs_Sources!$D$14),"n/a"),"n/a")</f>
        <v>0.10141565357353706</v>
      </c>
      <c r="L59" s="39">
        <f>IFERROR(Detail_PeerAnalysis!I11/F40,"n/a")</f>
        <v>0.6163594597573071</v>
      </c>
      <c r="M59" s="39">
        <f>IFERROR(Detail_PeerAnalysis!I11/G40,"n/a")</f>
        <v>0.58946826774216965</v>
      </c>
      <c r="N59" s="39">
        <f>IFERROR(Detail_PeerAnalysis!I11/H40,"n/a")</f>
        <v>0.59042002912143798</v>
      </c>
      <c r="O59" s="39">
        <f>IFERROR(Detail_PeerAnalysis!I11/I40,"n/a")</f>
        <v>0.5972173801619749</v>
      </c>
      <c r="P59" s="39">
        <f>IFERROR(Detail_PeerAnalysis!I11/J40,"n/a")</f>
        <v>0.57034731975520625</v>
      </c>
      <c r="Q59" s="39">
        <f>IFERROR(Detail_PeerAnalysis!I11/K40,"n/a")</f>
        <v>0.54294433957466715</v>
      </c>
      <c r="R59" s="28"/>
      <c r="S59" s="39">
        <f>IFERROR(IF(ISNUMBER(Detail_TearSheet!G48),IF((Detail_TearSheet!G48)&gt;0,(Inputs_Sources!$D$13*Inputs_Sources!$D$14)/(Detail_TearSheet!G48),"n.m."),"n/a"),"n/a")</f>
        <v>15.383368580614402</v>
      </c>
      <c r="T59" s="39">
        <f>IFERROR(IF(ISNUMBER(Inputs_Sources!$D$677),IF((Inputs_Sources!$D$677)&gt;0,(Inputs_Sources!$D$13*Inputs_Sources!$D$14)/(Inputs_Sources!$D$677),"n.m."),"n/a"),"n/a")</f>
        <v>13.251025274350827</v>
      </c>
      <c r="U59" s="39">
        <f>IFERROR(IF(ISNUMBER(Detail_PeerAnalysis!N25*Inputs_Sources!$D$10),IF((Detail_PeerAnalysis!N25*Inputs_Sources!$D$10)&gt;0,(Inputs_Sources!$D$13*Inputs_Sources!$D$14)/(Detail_PeerAnalysis!N25*Inputs_Sources!$D$10),"n.m."),"n/a"),"n/a")</f>
        <v>9.8957135487389962</v>
      </c>
      <c r="V59" s="39">
        <f>IFERROR(IF(ISNUMBER((Detail_PeerAnalysis!D60*Inputs_Sources!$D$677+Detail_PeerAnalysis!E60*Inputs_Sources!$D$689)),IF(((Detail_PeerAnalysis!D60*Inputs_Sources!$D$677+Detail_PeerAnalysis!E60*Inputs_Sources!$D$689))&gt;0,(Inputs_Sources!$D$13*Inputs_Sources!$D$14)/((Detail_PeerAnalysis!D60*Inputs_Sources!$D$677+Detail_PeerAnalysis!E60*Inputs_Sources!$D$689)),"n.m."),"n/a"),"n/a")</f>
        <v>11.858794773526702</v>
      </c>
      <c r="W59" s="39">
        <f>IFERROR(IF(ISNUMBER((Detail_PeerAnalysis!D60*Inputs_Sources!$D$689+Detail_PeerAnalysis!E60*Inputs_Sources!$D$701)),IF(((Detail_PeerAnalysis!D60*Inputs_Sources!$D$689+Detail_PeerAnalysis!E60*Inputs_Sources!$D$701))&gt;0,(Inputs_Sources!$D$13*Inputs_Sources!$D$14)/((Detail_PeerAnalysis!D60*Inputs_Sources!$D$689+Detail_PeerAnalysis!E60*Inputs_Sources!$D$701)),"n.m."),"n/a"),"n/a")</f>
        <v>9.8604107429519683</v>
      </c>
    </row>
    <row r="62" spans="2:23" x14ac:dyDescent="0.25">
      <c r="B62" s="32"/>
      <c r="C62" s="32"/>
      <c r="D62" s="32"/>
      <c r="E62" s="32"/>
      <c r="F62" s="31" t="s">
        <v>127</v>
      </c>
      <c r="G62" s="32"/>
      <c r="H62" s="32"/>
      <c r="I62" s="32"/>
      <c r="J62" s="32"/>
      <c r="K62" s="32"/>
      <c r="L62" s="32"/>
      <c r="M62" s="32"/>
      <c r="N62" s="32"/>
      <c r="O62" s="32"/>
      <c r="P62" s="32"/>
      <c r="Q62" s="32"/>
      <c r="R62" s="32"/>
      <c r="S62" s="32"/>
      <c r="T62" s="32"/>
      <c r="U62" s="32"/>
      <c r="V62" s="32"/>
      <c r="W62" s="32"/>
    </row>
    <row r="63" spans="2:23" ht="38.25" x14ac:dyDescent="0.25">
      <c r="F63" s="33" t="s">
        <v>128</v>
      </c>
      <c r="G63" s="33" t="s">
        <v>129</v>
      </c>
      <c r="H63" s="33" t="s">
        <v>130</v>
      </c>
      <c r="I63" s="33" t="s">
        <v>131</v>
      </c>
      <c r="J63" s="33" t="s">
        <v>132</v>
      </c>
      <c r="K63" s="33" t="s">
        <v>133</v>
      </c>
      <c r="L63" s="33" t="s">
        <v>134</v>
      </c>
      <c r="M63" s="33" t="s">
        <v>135</v>
      </c>
      <c r="N63" s="33" t="s">
        <v>136</v>
      </c>
    </row>
    <row r="64" spans="2:23" x14ac:dyDescent="0.25">
      <c r="B64" s="34" t="str">
        <f>Detail_PeerAnalysis!A12</f>
        <v>Flowers Foods, Inc.</v>
      </c>
      <c r="D64" t="s">
        <v>114</v>
      </c>
      <c r="E64" s="34" t="str">
        <f>Detail_PeerAnalysis!B12</f>
        <v>NYSE:FLO</v>
      </c>
      <c r="F64" s="39">
        <f>Detail_PeerAnalysis!B40</f>
        <v>5.6094444703642079</v>
      </c>
      <c r="G64" s="39">
        <f>Detail_PeerAnalysis!C40</f>
        <v>6.147272023717357</v>
      </c>
      <c r="H64" s="39">
        <f>Detail_PeerAnalysis!D40</f>
        <v>0.62142001186852736</v>
      </c>
      <c r="I64" s="39">
        <f>Detail_PeerAnalysis!E40</f>
        <v>23.45</v>
      </c>
      <c r="J64" s="39">
        <f>Detail_PeerAnalysis!F40</f>
        <v>8.93</v>
      </c>
      <c r="K64" s="39">
        <f>Detail_PeerAnalysis!H40</f>
        <v>3.3704953612264545</v>
      </c>
      <c r="L64" s="36">
        <f>Detail_PeerAnalysis!I40</f>
        <v>0.11078102567047608</v>
      </c>
      <c r="M64" t="str">
        <f>Detail_PeerAnalysis!P12</f>
        <v>yes</v>
      </c>
      <c r="N64" t="str">
        <f>Detail_PeerAnalysis!Q12</f>
        <v>yes</v>
      </c>
    </row>
    <row r="65" spans="2:23" x14ac:dyDescent="0.25">
      <c r="B65" s="34" t="str">
        <f>Detail_PeerAnalysis!A13</f>
        <v>Gruma, S.A.B. de C.V.</v>
      </c>
      <c r="D65" t="s">
        <v>114</v>
      </c>
      <c r="E65" s="34" t="str">
        <f>Detail_PeerAnalysis!B13</f>
        <v>BMV:GRUMA B</v>
      </c>
      <c r="F65" s="39">
        <f>Detail_PeerAnalysis!B41</f>
        <v>5.4417222019602978</v>
      </c>
      <c r="G65" s="39">
        <f>Detail_PeerAnalysis!C41</f>
        <v>5.638555825335442</v>
      </c>
      <c r="H65" s="39">
        <f>Detail_PeerAnalysis!D41</f>
        <v>0.92834352544634302</v>
      </c>
      <c r="I65" s="39">
        <f>Detail_PeerAnalysis!E41</f>
        <v>9.3550207571529089</v>
      </c>
      <c r="J65" s="39">
        <f>Detail_PeerAnalysis!F41</f>
        <v>9.739254353567631</v>
      </c>
      <c r="K65" s="39">
        <f>Detail_PeerAnalysis!H41</f>
        <v>1.4708269456217873</v>
      </c>
      <c r="L65" s="36">
        <f>Detail_PeerAnalysis!I41</f>
        <v>0.17059737542499345</v>
      </c>
      <c r="M65" t="str">
        <f>Detail_PeerAnalysis!P13</f>
        <v>yes</v>
      </c>
      <c r="N65" t="str">
        <f>Detail_PeerAnalysis!Q13</f>
        <v>yes</v>
      </c>
    </row>
    <row r="66" spans="2:23" x14ac:dyDescent="0.25">
      <c r="B66" s="34" t="str">
        <f>Detail_PeerAnalysis!A14</f>
        <v>Yamazaki Baking Co., Ltd.</v>
      </c>
      <c r="D66" t="s">
        <v>114</v>
      </c>
      <c r="E66" s="34" t="str">
        <f>Detail_PeerAnalysis!B14</f>
        <v>TSE:2212</v>
      </c>
      <c r="F66" s="39">
        <f>Detail_PeerAnalysis!B42</f>
        <v>6.059714403567634</v>
      </c>
      <c r="G66" s="39">
        <f>Detail_PeerAnalysis!C42</f>
        <v>5.8441554435507683</v>
      </c>
      <c r="H66" s="39">
        <f>Detail_PeerAnalysis!D42</f>
        <v>0.49393881924834743</v>
      </c>
      <c r="I66" s="39">
        <f>Detail_PeerAnalysis!E42</f>
        <v>17.739999999999998</v>
      </c>
      <c r="J66" s="39">
        <f>Detail_PeerAnalysis!F42</f>
        <v>16.84</v>
      </c>
      <c r="K66" s="39">
        <f>Detail_PeerAnalysis!H42</f>
        <v>-0.67001556530352335</v>
      </c>
      <c r="L66" s="36">
        <f>Detail_PeerAnalysis!I42</f>
        <v>8.1511897484400062E-2</v>
      </c>
      <c r="M66" t="str">
        <f>Detail_PeerAnalysis!P14</f>
        <v>no</v>
      </c>
      <c r="N66" t="str">
        <f>Detail_PeerAnalysis!Q14</f>
        <v>no</v>
      </c>
    </row>
    <row r="67" spans="2:23" x14ac:dyDescent="0.25">
      <c r="B67" s="34" t="str">
        <f>Detail_PeerAnalysis!A15</f>
        <v>ARYZTA AG</v>
      </c>
      <c r="D67" t="s">
        <v>114</v>
      </c>
      <c r="E67" s="34" t="str">
        <f>Detail_PeerAnalysis!B15</f>
        <v>SWX:ARYN</v>
      </c>
      <c r="F67" s="39">
        <f>Detail_PeerAnalysis!B43</f>
        <v>8.3332365847860537</v>
      </c>
      <c r="G67" s="39">
        <f>Detail_PeerAnalysis!C43</f>
        <v>5.8147035728595373</v>
      </c>
      <c r="H67" s="39">
        <f>Detail_PeerAnalysis!D43</f>
        <v>0.81923693775804318</v>
      </c>
      <c r="I67" s="39">
        <f>Detail_PeerAnalysis!E43</f>
        <v>10.210000000000001</v>
      </c>
      <c r="J67" s="39">
        <f>Detail_PeerAnalysis!F43</f>
        <v>9.01</v>
      </c>
      <c r="K67" s="39">
        <f>Detail_PeerAnalysis!H43</f>
        <v>3.5043934786053885</v>
      </c>
      <c r="L67" s="36">
        <f>Detail_PeerAnalysis!I43</f>
        <v>9.8309573887980062E-2</v>
      </c>
      <c r="M67" t="str">
        <f>Detail_PeerAnalysis!P15</f>
        <v>no</v>
      </c>
      <c r="N67" t="str">
        <f>Detail_PeerAnalysis!Q15</f>
        <v>no</v>
      </c>
    </row>
    <row r="68" spans="2:23" x14ac:dyDescent="0.25">
      <c r="B68" s="34" t="str">
        <f>Detail_PeerAnalysis!A16</f>
        <v>The J. M. Smucker Company</v>
      </c>
      <c r="D68" t="s">
        <v>115</v>
      </c>
      <c r="E68" s="34" t="str">
        <f>Detail_PeerAnalysis!B16</f>
        <v>NYSE:SJM</v>
      </c>
      <c r="F68" s="39">
        <f>Detail_PeerAnalysis!B44</f>
        <v>8.8754976631469606</v>
      </c>
      <c r="G68" s="39">
        <f>Detail_PeerAnalysis!C44</f>
        <v>9.2157465365705189</v>
      </c>
      <c r="H68" s="39">
        <f>Detail_PeerAnalysis!D44</f>
        <v>2.2397863905907021</v>
      </c>
      <c r="I68" s="39">
        <f>Detail_PeerAnalysis!E44</f>
        <v>58.63</v>
      </c>
      <c r="J68" s="39">
        <f>Detail_PeerAnalysis!F44</f>
        <v>12.6</v>
      </c>
      <c r="K68" s="39">
        <f>Detail_PeerAnalysis!H44</f>
        <v>2.9846806300848194</v>
      </c>
      <c r="L68" s="36">
        <f>Detail_PeerAnalysis!I44</f>
        <v>0.25235614673088058</v>
      </c>
      <c r="M68" t="str">
        <f>Detail_PeerAnalysis!P16</f>
        <v>yes</v>
      </c>
      <c r="N68" t="str">
        <f>Detail_PeerAnalysis!Q16</f>
        <v>no</v>
      </c>
    </row>
    <row r="69" spans="2:23" x14ac:dyDescent="0.25">
      <c r="B69" s="34" t="str">
        <f>Detail_PeerAnalysis!A17</f>
        <v>The Campbell's Company</v>
      </c>
      <c r="D69" t="s">
        <v>115</v>
      </c>
      <c r="E69" s="34" t="str">
        <f>Detail_PeerAnalysis!B17</f>
        <v>NasdaqGS:CPB</v>
      </c>
      <c r="F69" s="39">
        <f>Detail_PeerAnalysis!B45</f>
        <v>7.6631487889273355</v>
      </c>
      <c r="G69" s="39">
        <f>Detail_PeerAnalysis!C45</f>
        <v>8.3574722269609136</v>
      </c>
      <c r="H69" s="39">
        <f>Detail_PeerAnalysis!D45</f>
        <v>1.3637007389162561</v>
      </c>
      <c r="I69" s="39">
        <f>Detail_PeerAnalysis!E45</f>
        <v>15.11</v>
      </c>
      <c r="J69" s="39">
        <f>Detail_PeerAnalysis!F45</f>
        <v>11.72</v>
      </c>
      <c r="K69" s="39">
        <f>Detail_PeerAnalysis!H45</f>
        <v>4.2456747404844295</v>
      </c>
      <c r="L69" s="36">
        <f>Detail_PeerAnalysis!I45</f>
        <v>0.17795566502463053</v>
      </c>
      <c r="M69" t="str">
        <f>Detail_PeerAnalysis!P17</f>
        <v>yes</v>
      </c>
      <c r="N69" t="str">
        <f>Detail_PeerAnalysis!Q17</f>
        <v>yes</v>
      </c>
    </row>
    <row r="70" spans="2:23" x14ac:dyDescent="0.25">
      <c r="B70" s="34" t="str">
        <f>Detail_PeerAnalysis!A18</f>
        <v>Mondelez International, Inc.</v>
      </c>
      <c r="D70" t="s">
        <v>115</v>
      </c>
      <c r="E70" s="34" t="str">
        <f>Detail_PeerAnalysis!B18</f>
        <v>NasdaqGS:MDLZ</v>
      </c>
      <c r="F70" s="39">
        <f>Detail_PeerAnalysis!B46</f>
        <v>16.144293392349038</v>
      </c>
      <c r="G70" s="39">
        <f>Detail_PeerAnalysis!C46</f>
        <v>13.802617997775705</v>
      </c>
      <c r="H70" s="39">
        <f>Detail_PeerAnalysis!D46</f>
        <v>2.5741348456206681</v>
      </c>
      <c r="I70" s="39">
        <f>Detail_PeerAnalysis!E46</f>
        <v>23.1</v>
      </c>
      <c r="J70" s="39">
        <f>Detail_PeerAnalysis!F46</f>
        <v>19.829999999999998</v>
      </c>
      <c r="K70" s="39">
        <f>Detail_PeerAnalysis!H46</f>
        <v>3.2500790388871326</v>
      </c>
      <c r="L70" s="36">
        <f>Detail_PeerAnalysis!I46</f>
        <v>0.15944549464398236</v>
      </c>
      <c r="M70" t="str">
        <f>Detail_PeerAnalysis!P18</f>
        <v>yes</v>
      </c>
      <c r="N70" t="str">
        <f>Detail_PeerAnalysis!Q18</f>
        <v>yes</v>
      </c>
    </row>
    <row r="71" spans="2:23" x14ac:dyDescent="0.25">
      <c r="B71" s="34" t="str">
        <f>Detail_PeerAnalysis!A19</f>
        <v>Arca Continental, S.A.B. de C.V.</v>
      </c>
      <c r="D71" t="s">
        <v>115</v>
      </c>
      <c r="E71" s="34" t="str">
        <f>Detail_PeerAnalysis!B19</f>
        <v>BMV:AC</v>
      </c>
      <c r="F71" s="39">
        <f>Detail_PeerAnalysis!B47</f>
        <v>7.8537991297662693</v>
      </c>
      <c r="G71" s="39">
        <f>Detail_PeerAnalysis!C47</f>
        <v>7.1098612119158666</v>
      </c>
      <c r="H71" s="39">
        <f>Detail_PeerAnalysis!D47</f>
        <v>1.5245557069297886</v>
      </c>
      <c r="I71" s="39">
        <f>Detail_PeerAnalysis!E47</f>
        <v>18.71</v>
      </c>
      <c r="J71" s="39">
        <f>Detail_PeerAnalysis!F47</f>
        <v>16.5</v>
      </c>
      <c r="K71" s="39">
        <f>Detail_PeerAnalysis!H47</f>
        <v>0.74451422238640563</v>
      </c>
      <c r="L71" s="36">
        <f>Detail_PeerAnalysis!I47</f>
        <v>0.19411697214812265</v>
      </c>
      <c r="M71" t="str">
        <f>Detail_PeerAnalysis!P19</f>
        <v>no</v>
      </c>
      <c r="N71" t="str">
        <f>Detail_PeerAnalysis!Q19</f>
        <v>no</v>
      </c>
    </row>
    <row r="72" spans="2:23" x14ac:dyDescent="0.25">
      <c r="B72" s="34" t="str">
        <f>Detail_PeerAnalysis!A20</f>
        <v>PepsiCo, Inc.</v>
      </c>
      <c r="D72" t="s">
        <v>115</v>
      </c>
      <c r="E72" s="34" t="str">
        <f>Detail_PeerAnalysis!B20</f>
        <v>NasdaqGS:PEP</v>
      </c>
      <c r="F72" s="39">
        <f>Detail_PeerAnalysis!B48</f>
        <v>11.193830731634332</v>
      </c>
      <c r="G72" s="39">
        <f>Detail_PeerAnalysis!C48</f>
        <v>11.027248146169912</v>
      </c>
      <c r="H72" s="39">
        <f>Detail_PeerAnalysis!D48</f>
        <v>2.2846622082429944</v>
      </c>
      <c r="I72" s="39">
        <f>Detail_PeerAnalysis!E48</f>
        <v>16.149999999999999</v>
      </c>
      <c r="J72" s="39">
        <f>Detail_PeerAnalysis!F48</f>
        <v>15.53</v>
      </c>
      <c r="K72" s="39">
        <f>Detail_PeerAnalysis!H48</f>
        <v>2.2565956810134158</v>
      </c>
      <c r="L72" s="36">
        <f>Detail_PeerAnalysis!I48</f>
        <v>0.20410012113068882</v>
      </c>
      <c r="M72" t="str">
        <f>Detail_PeerAnalysis!P20</f>
        <v>yes</v>
      </c>
      <c r="N72" t="str">
        <f>Detail_PeerAnalysis!Q20</f>
        <v>yes</v>
      </c>
    </row>
    <row r="73" spans="2:23" x14ac:dyDescent="0.25">
      <c r="B73" s="34" t="str">
        <f>Detail_PeerAnalysis!A11</f>
        <v>Grupo Bimbo, S.A.B. de C.V. (subject)</v>
      </c>
      <c r="D73" t="s">
        <v>116</v>
      </c>
      <c r="E73" s="34" t="str">
        <f>Detail_PeerAnalysis!B11</f>
        <v>BMV:BIMBO A</v>
      </c>
      <c r="F73" s="39">
        <f>Detail_PeerAnalysis!B39</f>
        <v>6.9413670611795988</v>
      </c>
      <c r="G73" s="39">
        <f>Detail_PeerAnalysis!C39</f>
        <v>6.5757853879432338</v>
      </c>
      <c r="H73" s="39">
        <f>Detail_PeerAnalysis!D39</f>
        <v>1.003412580708694</v>
      </c>
      <c r="I73" s="39">
        <f>Detail_PeerAnalysis!E39</f>
        <v>18.456692913385826</v>
      </c>
      <c r="J73" s="39">
        <f>Detail_PeerAnalysis!F39</f>
        <v>17.806508545692189</v>
      </c>
      <c r="K73" s="39">
        <f>Detail_PeerAnalysis!H39</f>
        <v>2.8099607675766181</v>
      </c>
      <c r="L73" s="36">
        <f>Detail_PeerAnalysis!I39</f>
        <v>0.14455547039435435</v>
      </c>
      <c r="M73" t="str">
        <f>Detail_PeerAnalysis!P11</f>
        <v>subject</v>
      </c>
      <c r="N73" t="str">
        <f>Detail_PeerAnalysis!Q11</f>
        <v>subject</v>
      </c>
    </row>
    <row r="74" spans="2:23" x14ac:dyDescent="0.25">
      <c r="B74" s="18" t="s">
        <v>137</v>
      </c>
      <c r="F74" s="39">
        <f>Detail_PeerAnalysis!B50</f>
        <v>5.5255833361622528</v>
      </c>
      <c r="G74" s="39">
        <f>Detail_PeerAnalysis!C50</f>
        <v>5.8929139245263995</v>
      </c>
      <c r="H74" s="39">
        <f>Detail_PeerAnalysis!D50</f>
        <v>0.77488176865743519</v>
      </c>
      <c r="I74" s="39">
        <f>Detail_PeerAnalysis!E50</f>
        <v>16.402510378576455</v>
      </c>
      <c r="J74" s="39">
        <f>Detail_PeerAnalysis!F50</f>
        <v>9.3346271767838154</v>
      </c>
      <c r="K74" s="39">
        <f>Detail_PeerAnalysis!H50</f>
        <v>2.4206611534241209</v>
      </c>
      <c r="L74" s="36">
        <f>Detail_PeerAnalysis!I50</f>
        <v>0.14068920054773476</v>
      </c>
    </row>
    <row r="75" spans="2:23" x14ac:dyDescent="0.25">
      <c r="B75" s="18" t="s">
        <v>138</v>
      </c>
      <c r="F75" s="39">
        <f>Detail_PeerAnalysis!B53</f>
        <v>8.2693232260371481</v>
      </c>
      <c r="G75" s="39">
        <f>Detail_PeerAnalysis!C53</f>
        <v>8.7866093817657163</v>
      </c>
      <c r="H75" s="39">
        <f>Detail_PeerAnalysis!D53</f>
        <v>1.8017435647534792</v>
      </c>
      <c r="I75" s="39">
        <f>Detail_PeerAnalysis!E53</f>
        <v>16.149999999999999</v>
      </c>
      <c r="J75" s="39">
        <f>Detail_PeerAnalysis!F53</f>
        <v>11.72</v>
      </c>
      <c r="K75" s="39">
        <f>Detail_PeerAnalysis!H53</f>
        <v>3.117379834485976</v>
      </c>
      <c r="L75" s="36">
        <f>Detail_PeerAnalysis!I53</f>
        <v>0.17427652022481199</v>
      </c>
    </row>
    <row r="76" spans="2:23" x14ac:dyDescent="0.25">
      <c r="B76" s="18" t="s">
        <v>139</v>
      </c>
      <c r="F76" s="39">
        <f>Detail_PeerAnalysis!B54</f>
        <v>9.1546562080636971</v>
      </c>
      <c r="G76" s="39">
        <f>Detail_PeerAnalysis!C54</f>
        <v>9.0314854594216403</v>
      </c>
      <c r="H76" s="39">
        <f>Detail_PeerAnalysis!D54</f>
        <v>1.6686746201142484</v>
      </c>
      <c r="I76" s="39">
        <f>Detail_PeerAnalysis!E54</f>
        <v>17.433004151430584</v>
      </c>
      <c r="J76" s="39">
        <f>Detail_PeerAnalysis!F54</f>
        <v>13.149850870713525</v>
      </c>
      <c r="K76" s="39">
        <f>Detail_PeerAnalysis!H54</f>
        <v>2.9297253995530066</v>
      </c>
      <c r="L76" s="36">
        <f>Detail_PeerAnalysis!I54</f>
        <v>0.17920597143760864</v>
      </c>
    </row>
    <row r="77" spans="2:23" x14ac:dyDescent="0.25">
      <c r="B77" s="18" t="s">
        <v>140</v>
      </c>
      <c r="F77" s="37">
        <f>Detail_PeerAnalysis!B55</f>
        <v>6</v>
      </c>
      <c r="G77" s="37">
        <f>Detail_PeerAnalysis!C55</f>
        <v>6</v>
      </c>
      <c r="H77" s="37">
        <f>Detail_PeerAnalysis!D55</f>
        <v>6</v>
      </c>
      <c r="I77" s="37">
        <f>Detail_PeerAnalysis!E55</f>
        <v>5</v>
      </c>
      <c r="J77" s="37">
        <f>Detail_PeerAnalysis!F55</f>
        <v>5</v>
      </c>
      <c r="K77" s="37">
        <f>Detail_PeerAnalysis!H55</f>
        <v>6</v>
      </c>
      <c r="L77" s="37">
        <f>Detail_PeerAnalysis!I55</f>
        <v>6</v>
      </c>
    </row>
    <row r="79" spans="2:23" x14ac:dyDescent="0.25">
      <c r="B79" s="32"/>
      <c r="C79" s="32"/>
      <c r="D79" s="32"/>
      <c r="E79" s="32"/>
      <c r="F79" s="31" t="s">
        <v>141</v>
      </c>
      <c r="G79" s="32"/>
      <c r="H79" s="32"/>
      <c r="I79" s="32"/>
      <c r="J79" s="32"/>
      <c r="K79" s="32"/>
      <c r="L79" s="32"/>
      <c r="M79" s="32"/>
      <c r="N79" s="32"/>
      <c r="O79" s="32"/>
      <c r="P79" s="32"/>
      <c r="Q79" s="32"/>
      <c r="R79" s="32"/>
      <c r="S79" s="32"/>
      <c r="T79" s="32"/>
      <c r="U79" s="32"/>
      <c r="V79" s="32"/>
      <c r="W79" s="32"/>
    </row>
    <row r="80" spans="2:23" x14ac:dyDescent="0.25">
      <c r="F80" s="22" t="s">
        <v>142</v>
      </c>
      <c r="G80" s="22" t="s">
        <v>143</v>
      </c>
      <c r="H80" s="22" t="s">
        <v>144</v>
      </c>
    </row>
    <row r="81" spans="2:8" x14ac:dyDescent="0.25">
      <c r="B81" s="34" t="str">
        <f>Detail_PeerAnalysis!A12</f>
        <v>Flowers Foods, Inc.</v>
      </c>
      <c r="D81" t="s">
        <v>114</v>
      </c>
      <c r="E81" s="34" t="str">
        <f>Detail_PeerAnalysis!B12</f>
        <v>NYSE:FLO</v>
      </c>
      <c r="F81" s="36">
        <f>IF(AND(ISNUMBER(Inputs_Sources!$D$367),ISNUMBER(Inputs_Sources!$D$370)),Inputs_Sources!$D$367/Inputs_Sources!$D$370,"n/a")</f>
        <v>2.3604207423868994E-2</v>
      </c>
      <c r="G81" s="36">
        <f>IF(AND(ISNUMBER(Inputs_Sources!$D$368),ISNUMBER(Inputs_Sources!$D$371)),Inputs_Sources!$D$368/Inputs_Sources!$D$371,"n/a")</f>
        <v>2.4510453219987152E-2</v>
      </c>
      <c r="H81" s="36">
        <f>IF(AND(ISNUMBER(Inputs_Sources!$D$369),ISNUMBER(Inputs_Sources!$D$372)),Inputs_Sources!$D$369/Inputs_Sources!$D$372,"n/a")</f>
        <v>2.4611532806104199E-2</v>
      </c>
    </row>
    <row r="82" spans="2:8" x14ac:dyDescent="0.25">
      <c r="B82" s="34" t="str">
        <f>Detail_PeerAnalysis!A13</f>
        <v>Gruma, S.A.B. de C.V.</v>
      </c>
      <c r="D82" t="s">
        <v>114</v>
      </c>
      <c r="E82" s="34" t="str">
        <f>Detail_PeerAnalysis!B13</f>
        <v>BMV:GRUMA B</v>
      </c>
      <c r="F82" s="36">
        <f>IF(AND(ISNUMBER(Inputs_Sources!$D$404),ISNUMBER(Inputs_Sources!$D$407)),Inputs_Sources!$D$404/Inputs_Sources!$D$407,"n/a")</f>
        <v>3.3059330510577807E-2</v>
      </c>
      <c r="G82" s="36">
        <f>IF(AND(ISNUMBER(Inputs_Sources!$D$405),ISNUMBER(Inputs_Sources!$D$408)),Inputs_Sources!$D$405/Inputs_Sources!$D$408,"n/a")</f>
        <v>3.6656461471379159E-2</v>
      </c>
      <c r="H82" s="36">
        <f>IF(AND(ISNUMBER(Inputs_Sources!$D$406),ISNUMBER(Inputs_Sources!$D$409)),Inputs_Sources!$D$406/Inputs_Sources!$D$409,"n/a")</f>
        <v>3.7547274194864914E-2</v>
      </c>
    </row>
    <row r="83" spans="2:8" x14ac:dyDescent="0.25">
      <c r="B83" s="34" t="str">
        <f>Detail_PeerAnalysis!A14</f>
        <v>Yamazaki Baking Co., Ltd.</v>
      </c>
      <c r="D83" t="s">
        <v>114</v>
      </c>
      <c r="E83" s="34" t="str">
        <f>Detail_PeerAnalysis!B14</f>
        <v>TSE:2212</v>
      </c>
      <c r="F83" s="36">
        <f>IF(AND(ISNUMBER(Inputs_Sources!$D$441),ISNUMBER(Inputs_Sources!$D$444)),Inputs_Sources!$D$441/Inputs_Sources!$D$444,"n/a")</f>
        <v>4.4692991827827419E-2</v>
      </c>
      <c r="G83" s="36">
        <f>IF(AND(ISNUMBER(Inputs_Sources!$D$442),ISNUMBER(Inputs_Sources!$D$445)),Inputs_Sources!$D$442/Inputs_Sources!$D$445,"n/a")</f>
        <v>4.2575520525391819E-2</v>
      </c>
      <c r="H83" s="36">
        <f>IF(AND(ISNUMBER(Inputs_Sources!$D$443),ISNUMBER(Inputs_Sources!$D$446)),Inputs_Sources!$D$443/Inputs_Sources!$D$446,"n/a")</f>
        <v>4.0658037026579719E-2</v>
      </c>
    </row>
    <row r="84" spans="2:8" x14ac:dyDescent="0.25">
      <c r="B84" s="34" t="str">
        <f>Detail_PeerAnalysis!A15</f>
        <v>ARYZTA AG</v>
      </c>
      <c r="D84" t="s">
        <v>114</v>
      </c>
      <c r="E84" s="34" t="str">
        <f>Detail_PeerAnalysis!B15</f>
        <v>SWX:ARYN</v>
      </c>
      <c r="F84" s="36">
        <f>IF(AND(ISNUMBER(Inputs_Sources!$D$478),ISNUMBER(Inputs_Sources!$D$481)),Inputs_Sources!$D$478/Inputs_Sources!$D$481,"n/a")</f>
        <v>4.1981246603692873E-2</v>
      </c>
      <c r="G84" s="36">
        <f>IF(AND(ISNUMBER(Inputs_Sources!$D$479),ISNUMBER(Inputs_Sources!$D$482)),Inputs_Sources!$D$479/Inputs_Sources!$D$482,"n/a")</f>
        <v>3.9362827161794602E-2</v>
      </c>
      <c r="H84" s="36">
        <f>IF(AND(ISNUMBER(Inputs_Sources!$D$480),ISNUMBER(Inputs_Sources!$D$483)),Inputs_Sources!$D$480/Inputs_Sources!$D$483,"n/a")</f>
        <v>3.8189267604662125E-2</v>
      </c>
    </row>
    <row r="85" spans="2:8" x14ac:dyDescent="0.25">
      <c r="B85" s="34" t="str">
        <f>Detail_PeerAnalysis!A16</f>
        <v>The J. M. Smucker Company</v>
      </c>
      <c r="D85" t="s">
        <v>115</v>
      </c>
      <c r="E85" s="34" t="str">
        <f>Detail_PeerAnalysis!B16</f>
        <v>NYSE:SJM</v>
      </c>
      <c r="F85" s="36">
        <f>IF(AND(ISNUMBER(Inputs_Sources!$D$515),ISNUMBER(Inputs_Sources!$D$518)),Inputs_Sources!$D$515/Inputs_Sources!$D$518,"n/a")</f>
        <v>3.6560758045046438E-2</v>
      </c>
      <c r="G85" s="36">
        <f>IF(AND(ISNUMBER(Inputs_Sources!$D$516),ISNUMBER(Inputs_Sources!$D$519)),Inputs_Sources!$D$516/Inputs_Sources!$D$519,"n/a")</f>
        <v>3.8153123696408199E-2</v>
      </c>
      <c r="H85" s="36">
        <f>IF(AND(ISNUMBER(Inputs_Sources!$D$517),ISNUMBER(Inputs_Sources!$D$520)),Inputs_Sources!$D$517/Inputs_Sources!$D$520,"n/a")</f>
        <v>3.7851776495101103E-2</v>
      </c>
    </row>
    <row r="86" spans="2:8" x14ac:dyDescent="0.25">
      <c r="B86" s="34" t="str">
        <f>Detail_PeerAnalysis!A17</f>
        <v>The Campbell's Company</v>
      </c>
      <c r="D86" t="s">
        <v>115</v>
      </c>
      <c r="E86" s="34" t="str">
        <f>Detail_PeerAnalysis!B17</f>
        <v>NasdaqGS:CPB</v>
      </c>
      <c r="F86" s="36">
        <f>IF(AND(ISNUMBER(Inputs_Sources!$D$552),ISNUMBER(Inputs_Sources!$D$555)),Inputs_Sources!$D$552/Inputs_Sources!$D$555,"n/a")</f>
        <v>3.4197646305609612E-2</v>
      </c>
      <c r="G86" s="36">
        <f>IF(AND(ISNUMBER(Inputs_Sources!$D$553),ISNUMBER(Inputs_Sources!$D$556)),Inputs_Sources!$D$553/Inputs_Sources!$D$556,"n/a")</f>
        <v>3.5820718991106074E-2</v>
      </c>
      <c r="H86" s="36">
        <f>IF(AND(ISNUMBER(Inputs_Sources!$D$554),ISNUMBER(Inputs_Sources!$D$557)),Inputs_Sources!$D$554/Inputs_Sources!$D$557,"n/a")</f>
        <v>3.6676740701052334E-2</v>
      </c>
    </row>
    <row r="87" spans="2:8" x14ac:dyDescent="0.25">
      <c r="B87" s="34" t="str">
        <f>Detail_PeerAnalysis!A18</f>
        <v>Mondelez International, Inc.</v>
      </c>
      <c r="D87" t="s">
        <v>115</v>
      </c>
      <c r="E87" s="34" t="str">
        <f>Detail_PeerAnalysis!B18</f>
        <v>NasdaqGS:MDLZ</v>
      </c>
      <c r="F87" s="36">
        <f>IF(AND(ISNUMBER(Inputs_Sources!$D$589),ISNUMBER(Inputs_Sources!$D$592)),Inputs_Sources!$D$589/Inputs_Sources!$D$592,"n/a")</f>
        <v>3.5667778354651909E-2</v>
      </c>
      <c r="G87" s="36">
        <f>IF(AND(ISNUMBER(Inputs_Sources!$D$590),ISNUMBER(Inputs_Sources!$D$593)),Inputs_Sources!$D$590/Inputs_Sources!$D$593,"n/a")</f>
        <v>3.5780174516023493E-2</v>
      </c>
      <c r="H87" s="36">
        <f>IF(AND(ISNUMBER(Inputs_Sources!$D$591),ISNUMBER(Inputs_Sources!$D$594)),Inputs_Sources!$D$591/Inputs_Sources!$D$594,"n/a")</f>
        <v>3.5712343269852009E-2</v>
      </c>
    </row>
    <row r="88" spans="2:8" x14ac:dyDescent="0.25">
      <c r="B88" s="34" t="str">
        <f>Detail_PeerAnalysis!A19</f>
        <v>Arca Continental, S.A.B. de C.V.</v>
      </c>
      <c r="D88" t="s">
        <v>115</v>
      </c>
      <c r="E88" s="34" t="str">
        <f>Detail_PeerAnalysis!B19</f>
        <v>BMV:AC</v>
      </c>
      <c r="F88" s="36">
        <f>IF(AND(ISNUMBER(Inputs_Sources!$D$626),ISNUMBER(Inputs_Sources!$D$629)),Inputs_Sources!$D$626/Inputs_Sources!$D$629,"n/a")</f>
        <v>6.8803264465726016E-2</v>
      </c>
      <c r="G88" s="36">
        <f>IF(AND(ISNUMBER(Inputs_Sources!$D$627),ISNUMBER(Inputs_Sources!$D$630)),Inputs_Sources!$D$627/Inputs_Sources!$D$630,"n/a")</f>
        <v>6.670704421957277E-2</v>
      </c>
      <c r="H88" s="36">
        <f>IF(AND(ISNUMBER(Inputs_Sources!$D$628),ISNUMBER(Inputs_Sources!$D$631)),Inputs_Sources!$D$628/Inputs_Sources!$D$631,"n/a")</f>
        <v>6.3765567297085574E-2</v>
      </c>
    </row>
    <row r="89" spans="2:8" x14ac:dyDescent="0.25">
      <c r="B89" s="34" t="str">
        <f>Detail_PeerAnalysis!A20</f>
        <v>PepsiCo, Inc.</v>
      </c>
      <c r="D89" t="s">
        <v>115</v>
      </c>
      <c r="E89" s="34" t="str">
        <f>Detail_PeerAnalysis!B20</f>
        <v>NasdaqGS:PEP</v>
      </c>
      <c r="F89" s="36">
        <f>IF(AND(ISNUMBER(Inputs_Sources!$D$663),ISNUMBER(Inputs_Sources!$D$666)),Inputs_Sources!$D$663/Inputs_Sources!$D$666,"n/a")</f>
        <v>4.4320907016215626E-2</v>
      </c>
      <c r="G89" s="36">
        <f>IF(AND(ISNUMBER(Inputs_Sources!$D$664),ISNUMBER(Inputs_Sources!$D$667)),Inputs_Sources!$D$664/Inputs_Sources!$D$667,"n/a")</f>
        <v>4.2846689630824816E-2</v>
      </c>
      <c r="H89" s="36">
        <f>IF(AND(ISNUMBER(Inputs_Sources!$D$665),ISNUMBER(Inputs_Sources!$D$668)),Inputs_Sources!$D$665/Inputs_Sources!$D$668,"n/a")</f>
        <v>4.3246326057979657E-2</v>
      </c>
    </row>
    <row r="90" spans="2:8" x14ac:dyDescent="0.25">
      <c r="B90" s="18" t="s">
        <v>145</v>
      </c>
      <c r="F90" s="36">
        <f>MEDIAN(F81:F89)</f>
        <v>3.6560758045046438E-2</v>
      </c>
      <c r="G90" s="36">
        <f>MEDIAN(G81:G89)</f>
        <v>3.8153123696408199E-2</v>
      </c>
      <c r="H90" s="36">
        <f>MEDIAN(H81:H89)</f>
        <v>3.7851776495101103E-2</v>
      </c>
    </row>
    <row r="91" spans="2:8" x14ac:dyDescent="0.25">
      <c r="B91" s="34" t="str">
        <f>Detail_PeerAnalysis!A11</f>
        <v>Grupo Bimbo, S.A.B. de C.V. (subject)</v>
      </c>
      <c r="D91" t="s">
        <v>116</v>
      </c>
      <c r="E91" s="34" t="str">
        <f>Detail_PeerAnalysis!B11</f>
        <v>BMV:BIMBO A</v>
      </c>
      <c r="F91" s="36">
        <f>IF(AND(ISNUMBER(Inputs_Sources!$D$675),ISNUMBER(Inputs_Sources!$D$669)),Inputs_Sources!$D$675/Inputs_Sources!$D$669,"n/a")</f>
        <v>5.1560094657821631E-2</v>
      </c>
      <c r="G91" s="36">
        <f>IF(AND(ISNUMBER(Inputs_Sources!$D$687),ISNUMBER(Inputs_Sources!$D$681)),Inputs_Sources!$D$687/Inputs_Sources!$D$681,"n/a")</f>
        <v>5.0172716146153998E-2</v>
      </c>
      <c r="H91" s="36">
        <f>IF(AND(ISNUMBER(Inputs_Sources!$D$699),ISNUMBER(Inputs_Sources!$D$693)),Inputs_Sources!$D$699/Inputs_Sources!$D$693,"n/a")</f>
        <v>4.8958119894682781E-2</v>
      </c>
    </row>
    <row r="92" spans="2:8" x14ac:dyDescent="0.25">
      <c r="B92" s="20" t="s">
        <v>146</v>
      </c>
    </row>
    <row r="94" spans="2:8" x14ac:dyDescent="0.25">
      <c r="B94" s="20" t="s">
        <v>147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0"/>
  <sheetViews>
    <sheetView tabSelected="1" workbookViewId="0">
      <pane xSplit="2" ySplit="5" topLeftCell="C6" activePane="bottomRight" state="frozen"/>
      <selection pane="topRight"/>
      <selection pane="bottomLeft"/>
      <selection pane="bottomRight"/>
    </sheetView>
  </sheetViews>
  <sheetFormatPr defaultRowHeight="15" x14ac:dyDescent="0.25"/>
  <cols>
    <col min="1" max="1" width="58" customWidth="1"/>
    <col min="2" max="2" width="10" customWidth="1"/>
    <col min="3" max="10" width="13" customWidth="1"/>
    <col min="11" max="11" width="18" customWidth="1"/>
    <col min="12" max="12" width="110" customWidth="1"/>
  </cols>
  <sheetData>
    <row r="1" spans="1:12" ht="15.75" customHeight="1" x14ac:dyDescent="0.25">
      <c r="A1" s="1" t="s">
        <v>148</v>
      </c>
    </row>
    <row r="2" spans="1:12" x14ac:dyDescent="0.25">
      <c r="A2" t="s">
        <v>149</v>
      </c>
    </row>
    <row r="3" spans="1:12" x14ac:dyDescent="0.25">
      <c r="A3" t="s">
        <v>150</v>
      </c>
    </row>
    <row r="5" spans="1:12" x14ac:dyDescent="0.25">
      <c r="A5" s="2" t="s">
        <v>151</v>
      </c>
      <c r="B5" s="2" t="s">
        <v>152</v>
      </c>
      <c r="C5" s="2" t="s">
        <v>153</v>
      </c>
      <c r="D5" s="2" t="s">
        <v>154</v>
      </c>
      <c r="E5" s="2" t="s">
        <v>155</v>
      </c>
      <c r="F5" s="2" t="s">
        <v>156</v>
      </c>
      <c r="G5" s="2" t="s">
        <v>157</v>
      </c>
      <c r="H5" s="2" t="s">
        <v>158</v>
      </c>
      <c r="I5" s="2" t="s">
        <v>159</v>
      </c>
      <c r="J5" s="2" t="s">
        <v>160</v>
      </c>
      <c r="K5" s="2" t="s">
        <v>161</v>
      </c>
      <c r="L5" s="2" t="s">
        <v>162</v>
      </c>
    </row>
    <row r="6" spans="1:12" x14ac:dyDescent="0.25">
      <c r="A6" s="3" t="s">
        <v>163</v>
      </c>
      <c r="B6" s="4"/>
      <c r="C6" s="4"/>
      <c r="D6" s="4"/>
      <c r="E6" s="4"/>
      <c r="F6" s="4"/>
      <c r="G6" s="4"/>
      <c r="H6" s="4"/>
      <c r="I6" s="4"/>
      <c r="J6" s="4"/>
      <c r="K6" s="4"/>
      <c r="L6" s="4"/>
    </row>
    <row r="7" spans="1:12" x14ac:dyDescent="0.25">
      <c r="A7" t="s">
        <v>32</v>
      </c>
      <c r="B7" t="s">
        <v>164</v>
      </c>
      <c r="C7" s="5">
        <v>338792</v>
      </c>
      <c r="D7" s="5">
        <v>398706</v>
      </c>
      <c r="E7" s="5">
        <v>399879</v>
      </c>
      <c r="F7" s="5">
        <v>408335</v>
      </c>
      <c r="G7" s="5">
        <v>426963</v>
      </c>
      <c r="H7" s="5">
        <v>426274.7</v>
      </c>
      <c r="I7" s="5">
        <v>445288</v>
      </c>
      <c r="J7" s="5">
        <v>468430.9</v>
      </c>
      <c r="K7" t="s">
        <v>165</v>
      </c>
      <c r="L7" t="s">
        <v>166</v>
      </c>
    </row>
    <row r="8" spans="1:12" x14ac:dyDescent="0.25">
      <c r="A8" t="s">
        <v>167</v>
      </c>
      <c r="B8" t="s">
        <v>168</v>
      </c>
      <c r="D8" s="6">
        <f t="shared" ref="D8:J8" si="0">IFERROR(D7/C7-1,"n/a")</f>
        <v>0.17684597038891114</v>
      </c>
      <c r="E8" s="6">
        <f t="shared" si="0"/>
        <v>2.9420174263743437E-3</v>
      </c>
      <c r="F8" s="6">
        <f t="shared" si="0"/>
        <v>2.1146396785027388E-2</v>
      </c>
      <c r="G8" s="6">
        <f t="shared" si="0"/>
        <v>4.5619405635078936E-2</v>
      </c>
      <c r="H8" s="6">
        <f t="shared" si="0"/>
        <v>-1.6120834826436337E-3</v>
      </c>
      <c r="I8" s="6">
        <f t="shared" si="0"/>
        <v>4.4603397762053465E-2</v>
      </c>
      <c r="J8" s="6">
        <f t="shared" si="0"/>
        <v>5.1972880472862526E-2</v>
      </c>
      <c r="K8" t="s">
        <v>169</v>
      </c>
      <c r="L8" t="s">
        <v>169</v>
      </c>
    </row>
    <row r="9" spans="1:12" x14ac:dyDescent="0.25">
      <c r="A9" t="s">
        <v>170</v>
      </c>
      <c r="B9" t="s">
        <v>164</v>
      </c>
      <c r="C9" s="5">
        <v>181789.4</v>
      </c>
      <c r="D9" s="5">
        <v>205974.39999999999</v>
      </c>
      <c r="E9" s="5">
        <v>206159.5</v>
      </c>
      <c r="F9" s="5">
        <v>214928</v>
      </c>
      <c r="G9" s="5">
        <v>224241.7</v>
      </c>
      <c r="K9" t="s">
        <v>171</v>
      </c>
      <c r="L9" t="s">
        <v>172</v>
      </c>
    </row>
    <row r="10" spans="1:12" x14ac:dyDescent="0.25">
      <c r="A10" t="s">
        <v>83</v>
      </c>
      <c r="B10" t="s">
        <v>168</v>
      </c>
      <c r="C10" s="6">
        <f>IFERROR(C9/C7,"n/a")</f>
        <v>0.53658114713452498</v>
      </c>
      <c r="D10" s="6">
        <f>IFERROR(D9/D7,"n/a")</f>
        <v>0.51660722437083961</v>
      </c>
      <c r="E10" s="6">
        <f>IFERROR(E9/E7,"n/a")</f>
        <v>0.51555470529835279</v>
      </c>
      <c r="F10" s="6">
        <f>IFERROR(F9/F7,"n/a")</f>
        <v>0.52635213733821495</v>
      </c>
      <c r="G10" s="6">
        <f>IFERROR(G9/G7,"n/a")</f>
        <v>0.52520171537112115</v>
      </c>
      <c r="K10" t="s">
        <v>169</v>
      </c>
      <c r="L10" t="s">
        <v>169</v>
      </c>
    </row>
    <row r="11" spans="1:12" x14ac:dyDescent="0.25">
      <c r="A11" t="s">
        <v>173</v>
      </c>
      <c r="B11" t="s">
        <v>168</v>
      </c>
      <c r="H11" s="7">
        <v>52.3</v>
      </c>
      <c r="I11" s="7">
        <v>52</v>
      </c>
      <c r="J11" s="7">
        <v>52.05</v>
      </c>
      <c r="K11" t="s">
        <v>174</v>
      </c>
      <c r="L11" t="s">
        <v>175</v>
      </c>
    </row>
    <row r="12" spans="1:12" x14ac:dyDescent="0.25">
      <c r="A12" t="s">
        <v>176</v>
      </c>
      <c r="B12" t="s">
        <v>164</v>
      </c>
      <c r="C12" s="5">
        <v>147963</v>
      </c>
      <c r="D12" s="5">
        <v>167254</v>
      </c>
      <c r="E12" s="5">
        <v>165748</v>
      </c>
      <c r="F12" s="5">
        <v>175164</v>
      </c>
      <c r="G12" s="5">
        <v>184186</v>
      </c>
      <c r="H12" s="5">
        <v>177262</v>
      </c>
      <c r="I12" s="5">
        <v>189938</v>
      </c>
      <c r="J12" s="5">
        <v>197030</v>
      </c>
      <c r="K12" t="s">
        <v>165</v>
      </c>
      <c r="L12" t="s">
        <v>177</v>
      </c>
    </row>
    <row r="13" spans="1:12" x14ac:dyDescent="0.25">
      <c r="A13" t="s">
        <v>178</v>
      </c>
      <c r="B13" t="s">
        <v>168</v>
      </c>
      <c r="C13" s="6">
        <f t="shared" ref="C13:J13" si="1">IFERROR(C12/C7,"n/a")</f>
        <v>0.43673699497036528</v>
      </c>
      <c r="D13" s="6">
        <f t="shared" si="1"/>
        <v>0.41949205680376017</v>
      </c>
      <c r="E13" s="6">
        <f t="shared" si="1"/>
        <v>0.41449538485391829</v>
      </c>
      <c r="F13" s="6">
        <f t="shared" si="1"/>
        <v>0.42897131032118235</v>
      </c>
      <c r="G13" s="6">
        <f t="shared" si="1"/>
        <v>0.43138632621562056</v>
      </c>
      <c r="H13" s="6">
        <f t="shared" si="1"/>
        <v>0.41583983285895221</v>
      </c>
      <c r="I13" s="6">
        <f t="shared" si="1"/>
        <v>0.42655090637969134</v>
      </c>
      <c r="J13" s="6">
        <f t="shared" si="1"/>
        <v>0.42061700028755572</v>
      </c>
      <c r="K13" t="s">
        <v>169</v>
      </c>
      <c r="L13" t="s">
        <v>169</v>
      </c>
    </row>
    <row r="14" spans="1:12" x14ac:dyDescent="0.25">
      <c r="A14" t="s">
        <v>179</v>
      </c>
      <c r="B14" t="s">
        <v>164</v>
      </c>
      <c r="C14" s="5">
        <v>148200.4</v>
      </c>
      <c r="D14" s="5">
        <v>169510.39999999999</v>
      </c>
      <c r="E14" s="5">
        <v>168704.7</v>
      </c>
      <c r="F14" s="5">
        <v>181779</v>
      </c>
      <c r="G14" s="5">
        <v>187970.1</v>
      </c>
      <c r="K14" t="s">
        <v>171</v>
      </c>
      <c r="L14" t="s">
        <v>180</v>
      </c>
    </row>
    <row r="15" spans="1:12" x14ac:dyDescent="0.25">
      <c r="A15" t="s">
        <v>181</v>
      </c>
      <c r="B15" t="s">
        <v>164</v>
      </c>
      <c r="C15" s="5">
        <v>33588.9</v>
      </c>
      <c r="D15" s="5">
        <v>36464.1</v>
      </c>
      <c r="E15" s="5">
        <v>37454.800000000003</v>
      </c>
      <c r="G15" s="5">
        <v>36271.599999999999</v>
      </c>
      <c r="K15" t="s">
        <v>171</v>
      </c>
      <c r="L15" t="s">
        <v>182</v>
      </c>
    </row>
    <row r="16" spans="1:12" x14ac:dyDescent="0.25">
      <c r="A16" t="s">
        <v>183</v>
      </c>
      <c r="B16" t="s">
        <v>164</v>
      </c>
      <c r="C16" s="5">
        <v>32580</v>
      </c>
      <c r="D16" s="5">
        <v>53696</v>
      </c>
      <c r="E16" s="5">
        <v>35455</v>
      </c>
      <c r="F16" s="5">
        <v>33149</v>
      </c>
      <c r="G16" s="5">
        <v>34146</v>
      </c>
      <c r="H16" s="5">
        <v>37446</v>
      </c>
      <c r="I16" s="5">
        <v>38779</v>
      </c>
      <c r="J16" s="5">
        <v>41926</v>
      </c>
      <c r="K16" t="s">
        <v>165</v>
      </c>
      <c r="L16" t="s">
        <v>184</v>
      </c>
    </row>
    <row r="17" spans="1:12" x14ac:dyDescent="0.25">
      <c r="A17" t="s">
        <v>185</v>
      </c>
      <c r="B17" t="s">
        <v>168</v>
      </c>
      <c r="C17" s="6">
        <f t="shared" ref="C17:J17" si="2">IFERROR(C16/C7,"n/a")</f>
        <v>9.616519870599069E-2</v>
      </c>
      <c r="D17" s="6">
        <f t="shared" si="2"/>
        <v>0.1346756758112494</v>
      </c>
      <c r="E17" s="6">
        <f t="shared" si="2"/>
        <v>8.8664320957089524E-2</v>
      </c>
      <c r="F17" s="6">
        <f t="shared" si="2"/>
        <v>8.1180893139211674E-2</v>
      </c>
      <c r="G17" s="6">
        <f t="shared" si="2"/>
        <v>7.9974142958523342E-2</v>
      </c>
      <c r="H17" s="6">
        <f t="shared" si="2"/>
        <v>8.7844763013146213E-2</v>
      </c>
      <c r="I17" s="6">
        <f t="shared" si="2"/>
        <v>8.7087458004707061E-2</v>
      </c>
      <c r="J17" s="6">
        <f t="shared" si="2"/>
        <v>8.950306224461281E-2</v>
      </c>
      <c r="K17" t="s">
        <v>169</v>
      </c>
      <c r="L17" t="s">
        <v>169</v>
      </c>
    </row>
    <row r="18" spans="1:12" x14ac:dyDescent="0.25">
      <c r="A18" t="s">
        <v>186</v>
      </c>
      <c r="B18" t="s">
        <v>164</v>
      </c>
      <c r="C18" s="5">
        <v>45540.9</v>
      </c>
      <c r="D18" s="5">
        <v>50087.1</v>
      </c>
      <c r="E18" s="5">
        <v>51987.8</v>
      </c>
      <c r="G18" s="5">
        <v>54815.1</v>
      </c>
      <c r="K18" t="s">
        <v>171</v>
      </c>
      <c r="L18" t="s">
        <v>187</v>
      </c>
    </row>
    <row r="19" spans="1:12" x14ac:dyDescent="0.25">
      <c r="A19" t="s">
        <v>188</v>
      </c>
      <c r="B19" t="s">
        <v>164</v>
      </c>
      <c r="C19" s="5">
        <v>47372</v>
      </c>
      <c r="D19" s="5">
        <v>53446</v>
      </c>
      <c r="E19" s="5">
        <v>54942</v>
      </c>
      <c r="F19" s="5">
        <v>55473</v>
      </c>
      <c r="G19" s="5">
        <v>59456</v>
      </c>
      <c r="H19" s="5">
        <v>62117</v>
      </c>
      <c r="I19" s="5">
        <v>64891</v>
      </c>
      <c r="J19" s="5">
        <v>68999</v>
      </c>
      <c r="K19" t="s">
        <v>165</v>
      </c>
      <c r="L19" t="s">
        <v>189</v>
      </c>
    </row>
    <row r="20" spans="1:12" x14ac:dyDescent="0.25">
      <c r="A20" t="s">
        <v>190</v>
      </c>
      <c r="B20" t="s">
        <v>168</v>
      </c>
      <c r="C20" s="6">
        <f t="shared" ref="C20:J20" si="3">IFERROR(C19/C7,"n/a")</f>
        <v>0.13982620604972962</v>
      </c>
      <c r="D20" s="6">
        <f t="shared" si="3"/>
        <v>0.13404864737425573</v>
      </c>
      <c r="E20" s="6">
        <f t="shared" si="3"/>
        <v>0.1373965624601442</v>
      </c>
      <c r="F20" s="6">
        <f t="shared" si="3"/>
        <v>0.13585169040126366</v>
      </c>
      <c r="G20" s="6">
        <f t="shared" si="3"/>
        <v>0.1392532842424285</v>
      </c>
      <c r="H20" s="6">
        <f t="shared" si="3"/>
        <v>0.14572058815594732</v>
      </c>
      <c r="I20" s="6">
        <f t="shared" si="3"/>
        <v>0.14572815795619914</v>
      </c>
      <c r="J20" s="6">
        <f t="shared" si="3"/>
        <v>0.14729813938405856</v>
      </c>
      <c r="K20" t="s">
        <v>169</v>
      </c>
      <c r="L20" t="s">
        <v>169</v>
      </c>
    </row>
    <row r="21" spans="1:12" x14ac:dyDescent="0.25">
      <c r="A21" t="s">
        <v>191</v>
      </c>
      <c r="B21" t="s">
        <v>164</v>
      </c>
      <c r="C21" s="5">
        <v>24854</v>
      </c>
      <c r="D21" s="5">
        <v>45878</v>
      </c>
      <c r="E21" s="5">
        <v>25324</v>
      </c>
      <c r="F21" s="5">
        <v>21034</v>
      </c>
      <c r="G21" s="5">
        <v>20143</v>
      </c>
      <c r="H21" s="5">
        <v>23597</v>
      </c>
      <c r="I21" s="5">
        <v>25677</v>
      </c>
      <c r="J21" s="5">
        <v>30308</v>
      </c>
      <c r="K21" t="s">
        <v>165</v>
      </c>
      <c r="L21" t="s">
        <v>192</v>
      </c>
    </row>
    <row r="22" spans="1:12" x14ac:dyDescent="0.25">
      <c r="A22" t="s">
        <v>52</v>
      </c>
      <c r="B22" t="s">
        <v>164</v>
      </c>
      <c r="C22" s="5">
        <v>15916</v>
      </c>
      <c r="D22" s="5">
        <v>46910</v>
      </c>
      <c r="E22" s="5">
        <v>15477</v>
      </c>
      <c r="F22" s="5">
        <v>12544</v>
      </c>
      <c r="G22" s="5">
        <v>11133</v>
      </c>
      <c r="H22" s="5">
        <v>13688</v>
      </c>
      <c r="I22" s="5">
        <v>15011</v>
      </c>
      <c r="J22" s="5">
        <v>17371</v>
      </c>
      <c r="K22" t="s">
        <v>165</v>
      </c>
      <c r="L22" t="s">
        <v>193</v>
      </c>
    </row>
    <row r="23" spans="1:12" x14ac:dyDescent="0.25">
      <c r="A23" t="s">
        <v>87</v>
      </c>
      <c r="B23" t="s">
        <v>168</v>
      </c>
      <c r="C23" s="6">
        <f t="shared" ref="C23:J23" si="4">IFERROR(C22/C7,"n/a")</f>
        <v>4.6978677182460037E-2</v>
      </c>
      <c r="D23" s="6">
        <f t="shared" si="4"/>
        <v>0.11765561591749309</v>
      </c>
      <c r="E23" s="6">
        <f t="shared" si="4"/>
        <v>3.8704208022926935E-2</v>
      </c>
      <c r="F23" s="6">
        <f t="shared" si="4"/>
        <v>3.0719874612756683E-2</v>
      </c>
      <c r="G23" s="6">
        <f t="shared" si="4"/>
        <v>2.6074858945622923E-2</v>
      </c>
      <c r="H23" s="6">
        <f t="shared" si="4"/>
        <v>3.2110749242214E-2</v>
      </c>
      <c r="I23" s="6">
        <f t="shared" si="4"/>
        <v>3.3710766964301753E-2</v>
      </c>
      <c r="J23" s="6">
        <f t="shared" si="4"/>
        <v>3.7083377719104353E-2</v>
      </c>
      <c r="K23" t="s">
        <v>169</v>
      </c>
      <c r="L23" t="s">
        <v>169</v>
      </c>
    </row>
    <row r="24" spans="1:12" x14ac:dyDescent="0.25">
      <c r="A24" t="s">
        <v>194</v>
      </c>
      <c r="B24" t="s">
        <v>195</v>
      </c>
      <c r="C24" s="7">
        <v>3.55</v>
      </c>
      <c r="D24" s="7">
        <v>10.54</v>
      </c>
      <c r="E24" s="7">
        <v>3.5</v>
      </c>
      <c r="F24" s="7">
        <v>2.88</v>
      </c>
      <c r="G24" s="7">
        <v>2.58</v>
      </c>
      <c r="H24" s="7">
        <v>3.07</v>
      </c>
      <c r="I24" s="7">
        <v>3.35</v>
      </c>
      <c r="J24" s="7">
        <v>3.8</v>
      </c>
      <c r="K24" t="s">
        <v>165</v>
      </c>
      <c r="L24" t="s">
        <v>196</v>
      </c>
    </row>
    <row r="25" spans="1:12" x14ac:dyDescent="0.25">
      <c r="A25" t="s">
        <v>197</v>
      </c>
      <c r="B25" t="s">
        <v>195</v>
      </c>
      <c r="C25" s="7">
        <v>1</v>
      </c>
      <c r="D25" s="7">
        <v>0.65</v>
      </c>
      <c r="E25" s="7">
        <v>0.78</v>
      </c>
      <c r="F25" s="7">
        <v>0.94</v>
      </c>
      <c r="G25" s="7">
        <v>1</v>
      </c>
      <c r="H25" s="7">
        <v>1.01</v>
      </c>
      <c r="I25" s="7">
        <v>1.05</v>
      </c>
      <c r="J25" s="7">
        <v>1.24</v>
      </c>
      <c r="K25" t="s">
        <v>165</v>
      </c>
      <c r="L25" t="s">
        <v>198</v>
      </c>
    </row>
    <row r="26" spans="1:12" x14ac:dyDescent="0.25">
      <c r="A26" t="s">
        <v>199</v>
      </c>
      <c r="B26" t="s">
        <v>195</v>
      </c>
      <c r="C26" s="7">
        <v>0</v>
      </c>
      <c r="D26" s="7">
        <v>1.3</v>
      </c>
      <c r="E26" s="7">
        <v>0.94</v>
      </c>
      <c r="F26" s="7">
        <v>0.94</v>
      </c>
      <c r="G26" s="7">
        <v>1</v>
      </c>
      <c r="K26" t="s">
        <v>171</v>
      </c>
      <c r="L26" t="s">
        <v>200</v>
      </c>
    </row>
    <row r="27" spans="1:12" x14ac:dyDescent="0.25">
      <c r="A27" s="3" t="s">
        <v>201</v>
      </c>
      <c r="B27" s="4"/>
      <c r="C27" s="4"/>
      <c r="D27" s="4"/>
      <c r="E27" s="4"/>
      <c r="F27" s="4"/>
      <c r="G27" s="4"/>
      <c r="H27" s="4"/>
      <c r="I27" s="4"/>
      <c r="J27" s="4"/>
      <c r="K27" s="4"/>
      <c r="L27" s="4"/>
    </row>
    <row r="28" spans="1:12" x14ac:dyDescent="0.25">
      <c r="A28" t="s">
        <v>59</v>
      </c>
      <c r="B28" t="s">
        <v>164</v>
      </c>
      <c r="C28" s="5">
        <v>8748</v>
      </c>
      <c r="D28" s="5">
        <v>12313</v>
      </c>
      <c r="E28" s="5">
        <v>6353</v>
      </c>
      <c r="F28" s="5">
        <v>8057</v>
      </c>
      <c r="G28" s="5">
        <v>8535</v>
      </c>
      <c r="K28" t="s">
        <v>171</v>
      </c>
      <c r="L28" t="s">
        <v>202</v>
      </c>
    </row>
    <row r="29" spans="1:12" x14ac:dyDescent="0.25">
      <c r="A29" t="s">
        <v>61</v>
      </c>
      <c r="B29" t="s">
        <v>164</v>
      </c>
      <c r="C29" s="5">
        <v>53411</v>
      </c>
      <c r="D29" s="5">
        <v>63470</v>
      </c>
      <c r="E29" s="5">
        <v>58914</v>
      </c>
      <c r="F29" s="5">
        <v>67180</v>
      </c>
      <c r="G29" s="5">
        <v>64671</v>
      </c>
      <c r="K29" t="s">
        <v>171</v>
      </c>
      <c r="L29" t="s">
        <v>203</v>
      </c>
    </row>
    <row r="30" spans="1:12" x14ac:dyDescent="0.25">
      <c r="A30" t="s">
        <v>204</v>
      </c>
      <c r="B30" t="s">
        <v>164</v>
      </c>
      <c r="C30" s="5">
        <v>337640</v>
      </c>
      <c r="D30" s="5">
        <v>347764</v>
      </c>
      <c r="E30" s="5">
        <v>348102</v>
      </c>
      <c r="F30" s="5">
        <v>416804</v>
      </c>
      <c r="G30" s="5">
        <v>409805</v>
      </c>
      <c r="K30" t="s">
        <v>171</v>
      </c>
      <c r="L30" t="s">
        <v>205</v>
      </c>
    </row>
    <row r="31" spans="1:12" x14ac:dyDescent="0.25">
      <c r="A31" t="s">
        <v>206</v>
      </c>
      <c r="B31" t="s">
        <v>164</v>
      </c>
      <c r="C31" s="8">
        <f>IFERROR(C30-C29,"n/a")</f>
        <v>284229</v>
      </c>
      <c r="D31" s="8">
        <f>IFERROR(D30-D29,"n/a")</f>
        <v>284294</v>
      </c>
      <c r="E31" s="8">
        <f>IFERROR(E30-E29,"n/a")</f>
        <v>289188</v>
      </c>
      <c r="F31" s="8">
        <f>IFERROR(F30-F29,"n/a")</f>
        <v>349624</v>
      </c>
      <c r="G31" s="8">
        <f>IFERROR(G30-G29,"n/a")</f>
        <v>345134</v>
      </c>
      <c r="K31" t="s">
        <v>169</v>
      </c>
      <c r="L31" t="s">
        <v>169</v>
      </c>
    </row>
    <row r="32" spans="1:12" x14ac:dyDescent="0.25">
      <c r="A32" t="s">
        <v>65</v>
      </c>
      <c r="B32" t="s">
        <v>164</v>
      </c>
      <c r="C32" s="5">
        <v>80760</v>
      </c>
      <c r="D32" s="5">
        <v>89734</v>
      </c>
      <c r="E32" s="5">
        <v>87192</v>
      </c>
      <c r="F32" s="5">
        <v>85155</v>
      </c>
      <c r="G32" s="5">
        <v>90573</v>
      </c>
      <c r="K32" t="s">
        <v>171</v>
      </c>
      <c r="L32" t="s">
        <v>207</v>
      </c>
    </row>
    <row r="33" spans="1:12" x14ac:dyDescent="0.25">
      <c r="A33" t="s">
        <v>208</v>
      </c>
      <c r="B33" t="s">
        <v>164</v>
      </c>
      <c r="C33" s="5">
        <v>236034</v>
      </c>
      <c r="D33" s="5">
        <v>220162</v>
      </c>
      <c r="E33" s="5">
        <v>236474</v>
      </c>
      <c r="F33" s="5">
        <v>289106</v>
      </c>
      <c r="G33" s="5">
        <v>289550</v>
      </c>
      <c r="K33" t="s">
        <v>171</v>
      </c>
      <c r="L33" t="s">
        <v>209</v>
      </c>
    </row>
    <row r="34" spans="1:12" x14ac:dyDescent="0.25">
      <c r="A34" t="s">
        <v>210</v>
      </c>
      <c r="B34" t="s">
        <v>164</v>
      </c>
      <c r="C34" s="8">
        <f>IFERROR(C33-C32,"n/a")</f>
        <v>155274</v>
      </c>
      <c r="D34" s="8">
        <f>IFERROR(D33-D32,"n/a")</f>
        <v>130428</v>
      </c>
      <c r="E34" s="8">
        <f>IFERROR(E33-E32,"n/a")</f>
        <v>149282</v>
      </c>
      <c r="F34" s="8">
        <f>IFERROR(F33-F32,"n/a")</f>
        <v>203951</v>
      </c>
      <c r="G34" s="8">
        <f>IFERROR(G33-G32,"n/a")</f>
        <v>198977</v>
      </c>
      <c r="K34" t="s">
        <v>169</v>
      </c>
      <c r="L34" t="s">
        <v>169</v>
      </c>
    </row>
    <row r="35" spans="1:12" x14ac:dyDescent="0.25">
      <c r="A35" t="s">
        <v>211</v>
      </c>
      <c r="B35" t="s">
        <v>164</v>
      </c>
      <c r="C35" s="5">
        <v>101606</v>
      </c>
      <c r="D35" s="5">
        <v>127602</v>
      </c>
      <c r="E35" s="5">
        <v>111628</v>
      </c>
      <c r="F35" s="5">
        <v>127698</v>
      </c>
      <c r="G35" s="5">
        <v>120255</v>
      </c>
      <c r="K35" t="s">
        <v>171</v>
      </c>
      <c r="L35" t="s">
        <v>212</v>
      </c>
    </row>
    <row r="36" spans="1:12" x14ac:dyDescent="0.25">
      <c r="A36" t="s">
        <v>213</v>
      </c>
      <c r="B36" t="s">
        <v>164</v>
      </c>
      <c r="C36" s="5">
        <v>124071</v>
      </c>
      <c r="D36" s="5">
        <v>113829</v>
      </c>
      <c r="E36" s="5">
        <v>139539</v>
      </c>
      <c r="F36" s="5">
        <v>187395</v>
      </c>
      <c r="G36" s="5">
        <v>190767</v>
      </c>
      <c r="K36" t="s">
        <v>171</v>
      </c>
      <c r="L36" t="s">
        <v>214</v>
      </c>
    </row>
    <row r="37" spans="1:12" x14ac:dyDescent="0.25">
      <c r="A37" t="s">
        <v>215</v>
      </c>
      <c r="B37" t="s">
        <v>164</v>
      </c>
      <c r="C37" s="5">
        <v>115323</v>
      </c>
      <c r="D37" s="5">
        <v>101516</v>
      </c>
      <c r="E37" s="5">
        <v>133186</v>
      </c>
      <c r="F37" s="5">
        <v>179338</v>
      </c>
      <c r="G37" s="5">
        <v>182232</v>
      </c>
      <c r="K37" t="s">
        <v>171</v>
      </c>
      <c r="L37" t="s">
        <v>216</v>
      </c>
    </row>
    <row r="38" spans="1:12" x14ac:dyDescent="0.25">
      <c r="A38" t="s">
        <v>217</v>
      </c>
      <c r="B38" t="s">
        <v>164</v>
      </c>
      <c r="C38" s="5">
        <v>84107</v>
      </c>
      <c r="D38" s="5">
        <v>71741</v>
      </c>
      <c r="E38" s="5">
        <v>103582</v>
      </c>
      <c r="F38" s="5">
        <v>142848</v>
      </c>
      <c r="G38" s="5">
        <v>145128</v>
      </c>
      <c r="K38" t="s">
        <v>171</v>
      </c>
      <c r="L38" t="s">
        <v>218</v>
      </c>
    </row>
    <row r="39" spans="1:12" x14ac:dyDescent="0.25">
      <c r="A39" t="s">
        <v>219</v>
      </c>
      <c r="B39" t="s">
        <v>220</v>
      </c>
      <c r="C39" s="9">
        <f>IFERROR(C37/C19,"n/a")</f>
        <v>2.4344127332601535</v>
      </c>
      <c r="D39" s="9">
        <f>IFERROR(D37/D19,"n/a")</f>
        <v>1.8994124911125247</v>
      </c>
      <c r="E39" s="9">
        <f>IFERROR(E37/E19,"n/a")</f>
        <v>2.4241199810709477</v>
      </c>
      <c r="F39" s="9">
        <f>IFERROR(F37/F19,"n/a")</f>
        <v>3.2328880716745085</v>
      </c>
      <c r="G39" s="9">
        <f>IFERROR(G37/G19,"n/a")</f>
        <v>3.064989235737352</v>
      </c>
      <c r="K39" t="s">
        <v>169</v>
      </c>
      <c r="L39" t="s">
        <v>169</v>
      </c>
    </row>
    <row r="40" spans="1:12" x14ac:dyDescent="0.25">
      <c r="A40" s="3" t="s">
        <v>221</v>
      </c>
      <c r="B40" s="4"/>
      <c r="C40" s="4"/>
      <c r="D40" s="4"/>
      <c r="E40" s="4"/>
      <c r="F40" s="4"/>
      <c r="G40" s="4"/>
      <c r="H40" s="4"/>
      <c r="I40" s="4"/>
      <c r="J40" s="4"/>
      <c r="K40" s="4"/>
      <c r="L40" s="4"/>
    </row>
    <row r="41" spans="1:12" x14ac:dyDescent="0.25">
      <c r="A41" t="s">
        <v>222</v>
      </c>
      <c r="B41" t="s">
        <v>164</v>
      </c>
      <c r="C41" s="5">
        <v>45776</v>
      </c>
      <c r="D41" s="5">
        <v>38851</v>
      </c>
      <c r="E41" s="5">
        <v>31411</v>
      </c>
      <c r="F41" s="5">
        <v>39907</v>
      </c>
      <c r="G41" s="5">
        <v>47753</v>
      </c>
      <c r="K41" t="s">
        <v>171</v>
      </c>
      <c r="L41" t="s">
        <v>223</v>
      </c>
    </row>
    <row r="42" spans="1:12" x14ac:dyDescent="0.25">
      <c r="A42" t="s">
        <v>224</v>
      </c>
      <c r="B42" t="s">
        <v>164</v>
      </c>
      <c r="C42" s="5">
        <v>-20671</v>
      </c>
      <c r="D42" s="5">
        <v>-28669</v>
      </c>
      <c r="E42" s="5">
        <v>-34754</v>
      </c>
      <c r="F42" s="5">
        <v>-29402</v>
      </c>
      <c r="G42" s="5">
        <v>-22530</v>
      </c>
      <c r="H42" s="5">
        <v>-21978.799999999999</v>
      </c>
      <c r="I42" s="5">
        <v>-22341.3</v>
      </c>
      <c r="J42" s="5">
        <v>-22933.5</v>
      </c>
      <c r="K42" t="s">
        <v>165</v>
      </c>
      <c r="L42" t="s">
        <v>225</v>
      </c>
    </row>
    <row r="43" spans="1:12" x14ac:dyDescent="0.25">
      <c r="A43" t="s">
        <v>226</v>
      </c>
      <c r="B43" t="s">
        <v>168</v>
      </c>
      <c r="C43" s="6">
        <f t="shared" ref="C43:J43" si="5">IFERROR(-C42/C7,"n/a")</f>
        <v>6.1013837398757938E-2</v>
      </c>
      <c r="D43" s="6">
        <f t="shared" si="5"/>
        <v>7.1905113040686627E-2</v>
      </c>
      <c r="E43" s="6">
        <f t="shared" si="5"/>
        <v>8.6911290665426286E-2</v>
      </c>
      <c r="F43" s="6">
        <f t="shared" si="5"/>
        <v>7.2004604062840566E-2</v>
      </c>
      <c r="G43" s="6">
        <f t="shared" si="5"/>
        <v>5.2768038448296459E-2</v>
      </c>
      <c r="H43" s="6">
        <f t="shared" si="5"/>
        <v>5.156017938667249E-2</v>
      </c>
      <c r="I43" s="6">
        <f t="shared" si="5"/>
        <v>5.0172697220675154E-2</v>
      </c>
      <c r="J43" s="6">
        <f t="shared" si="5"/>
        <v>4.8958128082498401E-2</v>
      </c>
      <c r="K43" t="s">
        <v>169</v>
      </c>
      <c r="L43" t="s">
        <v>169</v>
      </c>
    </row>
    <row r="44" spans="1:12" x14ac:dyDescent="0.25">
      <c r="A44" t="s">
        <v>227</v>
      </c>
      <c r="B44" t="s">
        <v>164</v>
      </c>
      <c r="D44" s="5">
        <v>-9122</v>
      </c>
      <c r="E44" s="5">
        <v>-42440</v>
      </c>
      <c r="F44" s="5">
        <v>-36138</v>
      </c>
      <c r="G44" s="5">
        <v>-34652</v>
      </c>
      <c r="K44" t="s">
        <v>228</v>
      </c>
      <c r="L44" t="s">
        <v>229</v>
      </c>
    </row>
    <row r="45" spans="1:12" x14ac:dyDescent="0.25">
      <c r="A45" t="s">
        <v>230</v>
      </c>
      <c r="B45" t="s">
        <v>164</v>
      </c>
      <c r="D45" s="5">
        <v>-25692</v>
      </c>
      <c r="E45" s="5">
        <v>5904</v>
      </c>
      <c r="G45" s="5">
        <v>-11908</v>
      </c>
      <c r="K45" t="s">
        <v>171</v>
      </c>
      <c r="L45" t="s">
        <v>231</v>
      </c>
    </row>
    <row r="46" spans="1:12" x14ac:dyDescent="0.25">
      <c r="A46" t="s">
        <v>232</v>
      </c>
      <c r="B46" t="s">
        <v>164</v>
      </c>
      <c r="C46" s="5">
        <v>-5502</v>
      </c>
      <c r="D46" s="5">
        <v>-6533</v>
      </c>
      <c r="E46" s="5">
        <v>11165</v>
      </c>
      <c r="F46" s="5">
        <v>1017</v>
      </c>
      <c r="G46" s="5">
        <v>-696</v>
      </c>
      <c r="K46" t="s">
        <v>171</v>
      </c>
      <c r="L46" t="s">
        <v>233</v>
      </c>
    </row>
    <row r="47" spans="1:12" x14ac:dyDescent="0.25">
      <c r="A47" t="s">
        <v>234</v>
      </c>
      <c r="B47" t="s">
        <v>164</v>
      </c>
      <c r="C47" s="5">
        <v>5451</v>
      </c>
      <c r="D47" s="5">
        <v>-2737</v>
      </c>
      <c r="E47" s="5">
        <v>-6542</v>
      </c>
      <c r="F47" s="5">
        <v>-7733</v>
      </c>
      <c r="G47" s="5">
        <v>-655</v>
      </c>
      <c r="K47" t="s">
        <v>171</v>
      </c>
      <c r="L47" t="s">
        <v>235</v>
      </c>
    </row>
    <row r="48" spans="1:12" x14ac:dyDescent="0.25">
      <c r="A48" t="s">
        <v>236</v>
      </c>
      <c r="B48" t="s">
        <v>164</v>
      </c>
      <c r="D48" s="5">
        <v>13502.3</v>
      </c>
      <c r="E48" s="5">
        <v>-10624.6</v>
      </c>
      <c r="G48" s="5">
        <v>16360.6</v>
      </c>
      <c r="K48" t="s">
        <v>171</v>
      </c>
      <c r="L48" t="s">
        <v>237</v>
      </c>
    </row>
    <row r="49" spans="1:12" x14ac:dyDescent="0.25">
      <c r="A49" s="3" t="s">
        <v>238</v>
      </c>
      <c r="B49" s="4"/>
      <c r="C49" s="4"/>
      <c r="D49" s="4"/>
      <c r="E49" s="4"/>
      <c r="F49" s="4"/>
      <c r="G49" s="4"/>
      <c r="H49" s="4"/>
      <c r="I49" s="4"/>
      <c r="J49" s="4"/>
      <c r="K49" s="4"/>
      <c r="L49" s="4"/>
    </row>
    <row r="50" spans="1:12" x14ac:dyDescent="0.25">
      <c r="A50" t="s">
        <v>239</v>
      </c>
      <c r="B50" t="s">
        <v>168</v>
      </c>
      <c r="C50" s="6">
        <f>IFERROR(C18/C7,"n/a")</f>
        <v>0.13442141490944295</v>
      </c>
      <c r="D50" s="6">
        <f>IFERROR(D18/D7,"n/a")</f>
        <v>0.1256241441061835</v>
      </c>
      <c r="E50" s="6">
        <f>IFERROR(E18/E7,"n/a")</f>
        <v>0.13000882767037028</v>
      </c>
      <c r="G50" s="6">
        <f>IFERROR(G18/G7,"n/a")</f>
        <v>0.12838372411660964</v>
      </c>
      <c r="K50" t="s">
        <v>169</v>
      </c>
      <c r="L50" t="s">
        <v>169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80"/>
  <sheetViews>
    <sheetView workbookViewId="0">
      <pane xSplit="1" ySplit="11" topLeftCell="B12" activePane="bottomRight" state="frozen"/>
      <selection pane="topRight"/>
      <selection pane="bottomLeft"/>
      <selection pane="bottomRight"/>
    </sheetView>
  </sheetViews>
  <sheetFormatPr defaultRowHeight="15" x14ac:dyDescent="0.25"/>
  <cols>
    <col min="1" max="1" width="34" customWidth="1"/>
    <col min="2" max="14" width="15" customWidth="1"/>
    <col min="15" max="15" width="18" customWidth="1"/>
    <col min="16" max="17" width="15" customWidth="1"/>
    <col min="18" max="18" width="60" customWidth="1"/>
    <col min="19" max="19" width="50" customWidth="1"/>
    <col min="20" max="20" width="60" customWidth="1"/>
  </cols>
  <sheetData>
    <row r="1" spans="1:20" ht="15.75" customHeight="1" x14ac:dyDescent="0.25">
      <c r="A1" s="1" t="s">
        <v>240</v>
      </c>
    </row>
    <row r="2" spans="1:20" x14ac:dyDescent="0.25">
      <c r="A2" t="s">
        <v>241</v>
      </c>
    </row>
    <row r="3" spans="1:20" x14ac:dyDescent="0.25">
      <c r="A3" t="s">
        <v>242</v>
      </c>
    </row>
    <row r="4" spans="1:20" x14ac:dyDescent="0.25">
      <c r="A4" t="s">
        <v>243</v>
      </c>
    </row>
    <row r="5" spans="1:20" x14ac:dyDescent="0.25">
      <c r="A5" t="s">
        <v>244</v>
      </c>
    </row>
    <row r="6" spans="1:20" x14ac:dyDescent="0.25">
      <c r="A6" t="s">
        <v>245</v>
      </c>
    </row>
    <row r="7" spans="1:20" x14ac:dyDescent="0.25">
      <c r="A7" t="s">
        <v>246</v>
      </c>
    </row>
    <row r="8" spans="1:20" x14ac:dyDescent="0.25">
      <c r="A8" t="s">
        <v>247</v>
      </c>
    </row>
    <row r="9" spans="1:20" x14ac:dyDescent="0.25">
      <c r="A9" s="10" t="s">
        <v>248</v>
      </c>
    </row>
    <row r="10" spans="1:20" ht="60" customHeight="1" x14ac:dyDescent="0.25">
      <c r="A10" s="11" t="s">
        <v>249</v>
      </c>
      <c r="B10" s="11" t="s">
        <v>250</v>
      </c>
      <c r="C10" s="11" t="s">
        <v>104</v>
      </c>
      <c r="D10" s="11" t="s">
        <v>251</v>
      </c>
      <c r="E10" s="11" t="s">
        <v>252</v>
      </c>
      <c r="F10" s="11" t="s">
        <v>253</v>
      </c>
      <c r="G10" s="11" t="s">
        <v>254</v>
      </c>
      <c r="H10" s="11" t="s">
        <v>255</v>
      </c>
      <c r="I10" s="11" t="s">
        <v>256</v>
      </c>
      <c r="J10" s="11" t="s">
        <v>257</v>
      </c>
      <c r="K10" s="11" t="s">
        <v>258</v>
      </c>
      <c r="L10" s="11" t="s">
        <v>259</v>
      </c>
      <c r="M10" s="11" t="s">
        <v>260</v>
      </c>
      <c r="N10" s="11" t="s">
        <v>261</v>
      </c>
      <c r="O10" s="11" t="s">
        <v>262</v>
      </c>
      <c r="P10" s="11" t="s">
        <v>263</v>
      </c>
      <c r="Q10" s="11" t="s">
        <v>264</v>
      </c>
      <c r="R10" s="11" t="s">
        <v>265</v>
      </c>
      <c r="S10" s="11" t="s">
        <v>266</v>
      </c>
      <c r="T10" s="11" t="s">
        <v>267</v>
      </c>
    </row>
    <row r="11" spans="1:20" x14ac:dyDescent="0.25">
      <c r="A11" t="s">
        <v>268</v>
      </c>
      <c r="B11" t="s">
        <v>3</v>
      </c>
      <c r="C11" t="s">
        <v>269</v>
      </c>
      <c r="D11" t="s">
        <v>270</v>
      </c>
      <c r="E11" t="s">
        <v>270</v>
      </c>
      <c r="F11">
        <f>Inputs_Sources!$D$13</f>
        <v>58.6</v>
      </c>
      <c r="G11">
        <f>Inputs_Sources!$D$14</f>
        <v>4294.8999999999996</v>
      </c>
      <c r="H11">
        <f>1/Inputs_Sources!$D$11</f>
        <v>5.411548243952595E-2</v>
      </c>
      <c r="I11">
        <f t="shared" ref="I11:I20" si="0">IFERROR(F11*G11*H11,"n/a")</f>
        <v>13619.846312029871</v>
      </c>
      <c r="J11">
        <f>IFERROR(Inputs_Sources!$D$18*H11,"n/a")</f>
        <v>8315.3850316575572</v>
      </c>
      <c r="K11">
        <f>IFERROR(Inputs_Sources!$D$19*H11,"n/a")</f>
        <v>1805.3466096650252</v>
      </c>
      <c r="L11">
        <f>IFERROR(Inputs_Sources!$D$17*H11,0)</f>
        <v>39.071378321337733</v>
      </c>
      <c r="M11">
        <f>IFERROR(Inputs_Sources!$D$16*H11,"n/a")</f>
        <v>896.31473564586827</v>
      </c>
      <c r="N11">
        <f>IFERROR(J11+K11+L11-M11,"n/a")</f>
        <v>9263.488283998051</v>
      </c>
      <c r="O11">
        <f t="shared" ref="O11:O20" si="1">IFERROR(I11+N11,"n/a")</f>
        <v>22883.334596027922</v>
      </c>
      <c r="P11" t="s">
        <v>271</v>
      </c>
      <c r="Q11" t="s">
        <v>271</v>
      </c>
      <c r="R11" t="s">
        <v>272</v>
      </c>
      <c r="S11" t="s">
        <v>273</v>
      </c>
      <c r="T11" t="s">
        <v>274</v>
      </c>
    </row>
    <row r="12" spans="1:20" x14ac:dyDescent="0.25">
      <c r="A12" t="s">
        <v>275</v>
      </c>
      <c r="B12" t="s">
        <v>276</v>
      </c>
      <c r="C12" t="s">
        <v>114</v>
      </c>
      <c r="D12" t="s">
        <v>277</v>
      </c>
      <c r="E12" t="s">
        <v>277</v>
      </c>
      <c r="F12">
        <f>IFERROR(Inputs_Sources!$D$37/Inputs_Sources!$D$38,"n/a")</f>
        <v>6.108910891089109</v>
      </c>
      <c r="G12">
        <f>Inputs_Sources!$D$38</f>
        <v>212.1</v>
      </c>
      <c r="H12">
        <v>1</v>
      </c>
      <c r="I12">
        <f t="shared" si="0"/>
        <v>1295.7</v>
      </c>
      <c r="J12">
        <f>Inputs_Sources!$D$191+Inputs_Sources!$D$192</f>
        <v>1686.2</v>
      </c>
      <c r="K12">
        <f>Inputs_Sources!$D$193</f>
        <v>317.10199999999998</v>
      </c>
      <c r="L12">
        <f>Inputs_Sources!$D$194</f>
        <v>0</v>
      </c>
      <c r="M12">
        <f>Inputs_Sources!$D$195</f>
        <v>52.765999999999998</v>
      </c>
      <c r="N12">
        <f>IFERROR(J12+K12+L12-M12,"n/a")</f>
        <v>1950.5360000000001</v>
      </c>
      <c r="O12">
        <f t="shared" si="1"/>
        <v>3246.2359999999999</v>
      </c>
      <c r="P12" t="s">
        <v>278</v>
      </c>
      <c r="Q12" t="s">
        <v>278</v>
      </c>
      <c r="R12" t="s">
        <v>279</v>
      </c>
      <c r="S12" t="s">
        <v>280</v>
      </c>
      <c r="T12" t="s">
        <v>281</v>
      </c>
    </row>
    <row r="13" spans="1:20" x14ac:dyDescent="0.25">
      <c r="A13" t="s">
        <v>282</v>
      </c>
      <c r="B13" t="s">
        <v>283</v>
      </c>
      <c r="C13" t="s">
        <v>114</v>
      </c>
      <c r="D13" t="s">
        <v>270</v>
      </c>
      <c r="E13" t="s">
        <v>277</v>
      </c>
      <c r="F13">
        <f>Inputs_Sources!$D$54</f>
        <v>242.02</v>
      </c>
      <c r="G13">
        <f>Inputs_Sources!$D$55</f>
        <v>336.20798500000001</v>
      </c>
      <c r="H13">
        <f>Inputs_Sources!$D$56</f>
        <v>5.411548243952595E-2</v>
      </c>
      <c r="I13">
        <f t="shared" si="0"/>
        <v>4403.3257497537743</v>
      </c>
      <c r="J13">
        <f>Inputs_Sources!$D$226+Inputs_Sources!$D$227</f>
        <v>1698.6</v>
      </c>
      <c r="K13">
        <f>Inputs_Sources!$D$228</f>
        <v>413.2</v>
      </c>
      <c r="L13">
        <f>Inputs_Sources!$D$229</f>
        <v>2.8</v>
      </c>
      <c r="M13">
        <f>Inputs_Sources!$D$230</f>
        <v>483.6</v>
      </c>
      <c r="N13">
        <f>IFERROR(J13+K13+L13-M13,"n/a")</f>
        <v>1631</v>
      </c>
      <c r="O13">
        <f t="shared" si="1"/>
        <v>6034.3257497537743</v>
      </c>
      <c r="P13" t="s">
        <v>278</v>
      </c>
      <c r="Q13" t="s">
        <v>278</v>
      </c>
      <c r="R13" t="s">
        <v>284</v>
      </c>
      <c r="S13" t="s">
        <v>285</v>
      </c>
      <c r="T13" t="s">
        <v>286</v>
      </c>
    </row>
    <row r="14" spans="1:20" x14ac:dyDescent="0.25">
      <c r="A14" t="s">
        <v>287</v>
      </c>
      <c r="B14" t="s">
        <v>288</v>
      </c>
      <c r="C14" t="s">
        <v>114</v>
      </c>
      <c r="D14" t="s">
        <v>289</v>
      </c>
      <c r="E14" t="s">
        <v>289</v>
      </c>
      <c r="F14">
        <f>Inputs_Sources!$D$71</f>
        <v>3816</v>
      </c>
      <c r="G14">
        <f>Inputs_Sources!$D$72</f>
        <v>196.9</v>
      </c>
      <c r="H14">
        <f>Inputs_Sources!$D$73</f>
        <v>6.329634716780495E-3</v>
      </c>
      <c r="I14">
        <f t="shared" si="0"/>
        <v>4755.9001690012474</v>
      </c>
      <c r="J14" t="s">
        <v>290</v>
      </c>
      <c r="K14" t="s">
        <v>290</v>
      </c>
      <c r="L14" t="s">
        <v>290</v>
      </c>
      <c r="M14" t="s">
        <v>290</v>
      </c>
      <c r="N14">
        <f>Inputs_Sources!$D$75</f>
        <v>-473.5</v>
      </c>
      <c r="O14">
        <f t="shared" si="1"/>
        <v>4282.4001690012474</v>
      </c>
      <c r="P14" t="s">
        <v>291</v>
      </c>
      <c r="Q14" t="s">
        <v>291</v>
      </c>
      <c r="R14" t="s">
        <v>292</v>
      </c>
      <c r="S14" t="s">
        <v>285</v>
      </c>
      <c r="T14" t="s">
        <v>293</v>
      </c>
    </row>
    <row r="15" spans="1:20" x14ac:dyDescent="0.25">
      <c r="A15" t="s">
        <v>294</v>
      </c>
      <c r="B15" t="s">
        <v>295</v>
      </c>
      <c r="C15" t="s">
        <v>114</v>
      </c>
      <c r="D15" t="s">
        <v>277</v>
      </c>
      <c r="E15" t="s">
        <v>296</v>
      </c>
      <c r="F15">
        <f>IFERROR(Inputs_Sources!$D$88/Inputs_Sources!$D$89,"n/a")</f>
        <v>49.145161290322577</v>
      </c>
      <c r="G15">
        <f>Inputs_Sources!$D$89</f>
        <v>24.8</v>
      </c>
      <c r="H15">
        <v>1</v>
      </c>
      <c r="I15">
        <f t="shared" si="0"/>
        <v>1218.8</v>
      </c>
      <c r="J15">
        <f>Inputs_Sources!$D$233+Inputs_Sources!$D$234</f>
        <v>791.16031380000004</v>
      </c>
      <c r="K15">
        <f>Inputs_Sources!$D$235</f>
        <v>195.7486002</v>
      </c>
      <c r="L15">
        <f>Inputs_Sources!$D$236</f>
        <v>-17.399999999999999</v>
      </c>
      <c r="M15">
        <f>Inputs_Sources!$D$237</f>
        <v>85</v>
      </c>
      <c r="N15">
        <f>IFERROR(J15+K15+L15-M15,"n/a")</f>
        <v>884.50891400000012</v>
      </c>
      <c r="O15">
        <f t="shared" si="1"/>
        <v>2103.3089140000002</v>
      </c>
      <c r="P15" t="s">
        <v>291</v>
      </c>
      <c r="Q15" t="s">
        <v>291</v>
      </c>
      <c r="R15" t="s">
        <v>297</v>
      </c>
      <c r="S15" t="s">
        <v>285</v>
      </c>
      <c r="T15" t="s">
        <v>298</v>
      </c>
    </row>
    <row r="16" spans="1:20" x14ac:dyDescent="0.25">
      <c r="A16" t="s">
        <v>299</v>
      </c>
      <c r="B16" t="s">
        <v>300</v>
      </c>
      <c r="C16" t="s">
        <v>115</v>
      </c>
      <c r="D16" t="s">
        <v>277</v>
      </c>
      <c r="E16" t="s">
        <v>277</v>
      </c>
      <c r="F16">
        <f>IFERROR(Inputs_Sources!$D$105/Inputs_Sources!$D$106,"n/a")</f>
        <v>127.45786516853933</v>
      </c>
      <c r="G16">
        <f>Inputs_Sources!$D$106</f>
        <v>106.8</v>
      </c>
      <c r="H16">
        <v>1</v>
      </c>
      <c r="I16">
        <f t="shared" si="0"/>
        <v>13612.5</v>
      </c>
      <c r="J16">
        <f>Inputs_Sources!$D$198+Inputs_Sources!$D$199</f>
        <v>6747.4000000000005</v>
      </c>
      <c r="K16">
        <f>Inputs_Sources!$D$200</f>
        <v>192.8</v>
      </c>
      <c r="L16">
        <f>Inputs_Sources!$D$201</f>
        <v>0</v>
      </c>
      <c r="M16">
        <f>Inputs_Sources!$D$202</f>
        <v>43.2</v>
      </c>
      <c r="N16">
        <f>IFERROR(J16+K16+L16-M16,"n/a")</f>
        <v>6897.0000000000009</v>
      </c>
      <c r="O16">
        <f t="shared" si="1"/>
        <v>20509.5</v>
      </c>
      <c r="P16" t="s">
        <v>278</v>
      </c>
      <c r="Q16" t="s">
        <v>291</v>
      </c>
      <c r="R16" t="s">
        <v>301</v>
      </c>
      <c r="S16" t="s">
        <v>285</v>
      </c>
      <c r="T16" t="s">
        <v>302</v>
      </c>
    </row>
    <row r="17" spans="1:20" x14ac:dyDescent="0.25">
      <c r="A17" t="s">
        <v>303</v>
      </c>
      <c r="B17" t="s">
        <v>304</v>
      </c>
      <c r="C17" t="s">
        <v>115</v>
      </c>
      <c r="D17" t="s">
        <v>277</v>
      </c>
      <c r="E17" t="s">
        <v>277</v>
      </c>
      <c r="F17">
        <f>IFERROR(Inputs_Sources!$D$122/Inputs_Sources!$D$123,"n/a")</f>
        <v>19.872233400402415</v>
      </c>
      <c r="G17">
        <f>Inputs_Sources!$D$123</f>
        <v>298.2</v>
      </c>
      <c r="H17">
        <v>1</v>
      </c>
      <c r="I17">
        <f t="shared" si="0"/>
        <v>5925.9</v>
      </c>
      <c r="J17">
        <f>Inputs_Sources!$D$205+Inputs_Sources!$D$206</f>
        <v>7137</v>
      </c>
      <c r="K17">
        <f>Inputs_Sources!$D$207</f>
        <v>313</v>
      </c>
      <c r="L17">
        <f>Inputs_Sources!$D$208</f>
        <v>306</v>
      </c>
      <c r="M17">
        <f>Inputs_Sources!$D$209</f>
        <v>394</v>
      </c>
      <c r="N17">
        <f>IFERROR(J17+K17+L17-M17,"n/a")</f>
        <v>7362</v>
      </c>
      <c r="O17">
        <f t="shared" si="1"/>
        <v>13287.9</v>
      </c>
      <c r="P17" t="s">
        <v>278</v>
      </c>
      <c r="Q17" t="s">
        <v>278</v>
      </c>
      <c r="R17" t="s">
        <v>305</v>
      </c>
      <c r="S17" t="s">
        <v>285</v>
      </c>
      <c r="T17" t="s">
        <v>306</v>
      </c>
    </row>
    <row r="18" spans="1:20" x14ac:dyDescent="0.25">
      <c r="A18" t="s">
        <v>307</v>
      </c>
      <c r="B18" t="s">
        <v>308</v>
      </c>
      <c r="C18" t="s">
        <v>115</v>
      </c>
      <c r="D18" t="s">
        <v>277</v>
      </c>
      <c r="E18" t="s">
        <v>277</v>
      </c>
      <c r="F18">
        <f>IFERROR(Inputs_Sources!$D$139/Inputs_Sources!$D$140,"n/a")</f>
        <v>63.910365901433835</v>
      </c>
      <c r="G18">
        <f>Inputs_Sources!$D$140</f>
        <v>1276.3</v>
      </c>
      <c r="H18">
        <v>1</v>
      </c>
      <c r="I18">
        <f t="shared" si="0"/>
        <v>81568.800000000003</v>
      </c>
      <c r="J18">
        <f>Inputs_Sources!$D$212+Inputs_Sources!$D$213</f>
        <v>21450</v>
      </c>
      <c r="K18">
        <f>Inputs_Sources!$D$214</f>
        <v>773</v>
      </c>
      <c r="L18">
        <f>Inputs_Sources!$D$215</f>
        <v>53</v>
      </c>
      <c r="M18">
        <f>Inputs_Sources!$D$216</f>
        <v>1716</v>
      </c>
      <c r="N18">
        <f>IFERROR(J18+K18+L18-M18,"n/a")</f>
        <v>20560</v>
      </c>
      <c r="O18">
        <f t="shared" si="1"/>
        <v>102128.8</v>
      </c>
      <c r="P18" t="s">
        <v>278</v>
      </c>
      <c r="Q18" t="s">
        <v>278</v>
      </c>
      <c r="R18" t="s">
        <v>309</v>
      </c>
      <c r="S18" t="s">
        <v>285</v>
      </c>
      <c r="T18" t="s">
        <v>310</v>
      </c>
    </row>
    <row r="19" spans="1:20" x14ac:dyDescent="0.25">
      <c r="A19" t="s">
        <v>311</v>
      </c>
      <c r="B19" t="s">
        <v>312</v>
      </c>
      <c r="C19" t="s">
        <v>115</v>
      </c>
      <c r="D19" t="s">
        <v>270</v>
      </c>
      <c r="E19" t="s">
        <v>270</v>
      </c>
      <c r="F19">
        <f>Inputs_Sources!$D$156</f>
        <v>209.66</v>
      </c>
      <c r="G19">
        <f>Inputs_Sources!$D$157</f>
        <v>1696.2</v>
      </c>
      <c r="H19">
        <f>Inputs_Sources!$D$158</f>
        <v>5.411548243952595E-2</v>
      </c>
      <c r="I19">
        <f t="shared" si="0"/>
        <v>19244.834244277288</v>
      </c>
      <c r="J19" t="s">
        <v>290</v>
      </c>
      <c r="K19" t="s">
        <v>290</v>
      </c>
      <c r="L19" t="s">
        <v>290</v>
      </c>
      <c r="M19" t="s">
        <v>290</v>
      </c>
      <c r="N19">
        <f>Inputs_Sources!$D$160</f>
        <v>2015.4</v>
      </c>
      <c r="O19">
        <f t="shared" si="1"/>
        <v>21260.23424427729</v>
      </c>
      <c r="P19" t="s">
        <v>291</v>
      </c>
      <c r="Q19" t="s">
        <v>291</v>
      </c>
      <c r="R19" t="s">
        <v>313</v>
      </c>
      <c r="S19" t="s">
        <v>285</v>
      </c>
      <c r="T19" t="s">
        <v>314</v>
      </c>
    </row>
    <row r="20" spans="1:20" x14ac:dyDescent="0.25">
      <c r="A20" t="s">
        <v>315</v>
      </c>
      <c r="B20" t="s">
        <v>316</v>
      </c>
      <c r="C20" t="s">
        <v>115</v>
      </c>
      <c r="D20" t="s">
        <v>277</v>
      </c>
      <c r="E20" t="s">
        <v>277</v>
      </c>
      <c r="F20">
        <f>IFERROR(Inputs_Sources!$D$173/Inputs_Sources!$D$174,"n/a")</f>
        <v>131.5039994129302</v>
      </c>
      <c r="G20">
        <f>Inputs_Sources!$D$174</f>
        <v>1362.7</v>
      </c>
      <c r="H20">
        <v>1</v>
      </c>
      <c r="I20">
        <f t="shared" si="0"/>
        <v>179200.5</v>
      </c>
      <c r="J20">
        <f>Inputs_Sources!$D$219+Inputs_Sources!$D$220</f>
        <v>51881</v>
      </c>
      <c r="K20">
        <f>Inputs_Sources!$D$221</f>
        <v>3846</v>
      </c>
      <c r="L20">
        <f>Inputs_Sources!$D$222</f>
        <v>195</v>
      </c>
      <c r="M20">
        <f>Inputs_Sources!$D$223</f>
        <v>10675</v>
      </c>
      <c r="N20">
        <f>IFERROR(J20+K20+L20-M20,"n/a")</f>
        <v>45247</v>
      </c>
      <c r="O20">
        <f t="shared" si="1"/>
        <v>224447.5</v>
      </c>
      <c r="P20" t="s">
        <v>278</v>
      </c>
      <c r="Q20" t="s">
        <v>278</v>
      </c>
      <c r="R20" t="s">
        <v>317</v>
      </c>
      <c r="S20" t="s">
        <v>318</v>
      </c>
      <c r="T20" t="s">
        <v>319</v>
      </c>
    </row>
    <row r="23" spans="1:20" x14ac:dyDescent="0.25">
      <c r="A23" s="10" t="s">
        <v>320</v>
      </c>
    </row>
    <row r="24" spans="1:20" ht="45" customHeight="1" x14ac:dyDescent="0.25">
      <c r="A24" s="11" t="s">
        <v>249</v>
      </c>
      <c r="B24" s="11" t="s">
        <v>321</v>
      </c>
      <c r="C24" s="11" t="s">
        <v>322</v>
      </c>
      <c r="D24" s="11" t="s">
        <v>323</v>
      </c>
      <c r="E24" s="11" t="s">
        <v>324</v>
      </c>
      <c r="F24" s="11" t="s">
        <v>325</v>
      </c>
      <c r="G24" s="11" t="s">
        <v>326</v>
      </c>
      <c r="H24" s="11" t="s">
        <v>327</v>
      </c>
      <c r="I24" s="11" t="s">
        <v>328</v>
      </c>
      <c r="J24" s="11" t="s">
        <v>329</v>
      </c>
      <c r="K24" s="11" t="s">
        <v>330</v>
      </c>
      <c r="L24" s="11" t="s">
        <v>331</v>
      </c>
      <c r="M24" s="11" t="s">
        <v>332</v>
      </c>
      <c r="N24" s="11" t="s">
        <v>333</v>
      </c>
      <c r="O24" s="11" t="s">
        <v>334</v>
      </c>
      <c r="P24" s="11" t="s">
        <v>335</v>
      </c>
      <c r="Q24" s="11" t="s">
        <v>336</v>
      </c>
      <c r="R24" s="11" t="s">
        <v>337</v>
      </c>
    </row>
    <row r="25" spans="1:20" x14ac:dyDescent="0.25">
      <c r="A25" t="s">
        <v>338</v>
      </c>
      <c r="B25">
        <f>IFERROR(Detail_TearSheet!$F$7*$H$11,"n/a")</f>
        <v>22097.245521943827</v>
      </c>
      <c r="C25">
        <f>IFERROR(Detail_TearSheet!$G$7*$H$11,"n/a")</f>
        <v>23105.308728827316</v>
      </c>
      <c r="D25">
        <f>IFERROR(Inputs_Sources!$D$29*$H$11,"n/a")</f>
        <v>22805.508956112346</v>
      </c>
      <c r="E25">
        <f>IFERROR(K60*$H$11,"n/a")</f>
        <v>23879.916395286167</v>
      </c>
      <c r="F25">
        <f>IFERROR(Detail_TearSheet!$F$19*$H$11,"n/a")</f>
        <v>3001.9481573678231</v>
      </c>
      <c r="G25">
        <f>IFERROR(Detail_TearSheet!$G$19*$H$11,"n/a")</f>
        <v>3217.490123924455</v>
      </c>
      <c r="H25">
        <f>IFERROR((Inputs_Sources!$D$25+Inputs_Sources!$D$26+Inputs_Sources!$D$27+Inputs_Sources!$D$28)*$H$11,"n/a")</f>
        <v>3296.6610747334812</v>
      </c>
      <c r="I25">
        <v>0</v>
      </c>
      <c r="J25">
        <f t="shared" ref="J25:J34" si="2">IFERROR(H25+I25,"n/a")</f>
        <v>3296.6610747334812</v>
      </c>
      <c r="K25">
        <f>IFERROR(H60*$H$11,"n/a")</f>
        <v>3479.9393906596674</v>
      </c>
      <c r="L25">
        <f t="shared" ref="L25:L34" si="3">IFERROR(K25+I25,"n/a")</f>
        <v>3479.9393906596674</v>
      </c>
      <c r="M25">
        <f>IFERROR(Inputs_Sources!$D$34*$H$11,"n/a")</f>
        <v>11986.052437902485</v>
      </c>
      <c r="N25">
        <f>IFERROR(Inputs_Sources!$D$35*$H$11,"n/a")</f>
        <v>1376.3379714811408</v>
      </c>
      <c r="O25">
        <f t="shared" ref="O25:O34" si="4">IFERROR(J25/D25,"n/a")</f>
        <v>0.14455547039435435</v>
      </c>
      <c r="P25">
        <f t="shared" ref="P25:P34" si="5">IFERROR(M25/D25,"n/a")</f>
        <v>0.52557706390016679</v>
      </c>
      <c r="Q25">
        <f>IFERROR(Inputs_Sources!$D$30+Inputs_Sources!$D$31+Inputs_Sources!$D$32+Inputs_Sources!$D$33,"n/a")</f>
        <v>3.1750000000000003</v>
      </c>
      <c r="R25">
        <f>N60</f>
        <v>3.290931506849315</v>
      </c>
    </row>
    <row r="26" spans="1:20" x14ac:dyDescent="0.25">
      <c r="A26" t="s">
        <v>275</v>
      </c>
      <c r="B26">
        <f>Inputs_Sources!$D$44</f>
        <v>5103.5</v>
      </c>
      <c r="C26">
        <f>Inputs_Sources!$D$45</f>
        <v>5256.5</v>
      </c>
      <c r="D26">
        <f>Inputs_Sources!$D$43</f>
        <v>5223.8999999999996</v>
      </c>
      <c r="E26">
        <f t="shared" ref="E26:E34" si="6">K61</f>
        <v>5062.0876712328773</v>
      </c>
      <c r="F26">
        <f>Inputs_Sources!$D$46</f>
        <v>520.70000000000005</v>
      </c>
      <c r="G26">
        <f>Inputs_Sources!$D$47</f>
        <v>514.79999999999995</v>
      </c>
      <c r="H26">
        <f>Inputs_Sources!$D$42</f>
        <v>486.9</v>
      </c>
      <c r="I26">
        <f>IF(ISNUMBER(Inputs_Sources!$D$289),Inputs_Sources!$D$289,0)</f>
        <v>91.808999999999997</v>
      </c>
      <c r="J26">
        <f t="shared" si="2"/>
        <v>578.70899999999995</v>
      </c>
      <c r="K26">
        <f t="shared" ref="K26:K34" si="7">H61</f>
        <v>436.26849315068495</v>
      </c>
      <c r="L26">
        <f t="shared" si="3"/>
        <v>528.07749315068497</v>
      </c>
      <c r="M26">
        <f>Inputs_Sources!$D$48</f>
        <v>2540.4</v>
      </c>
      <c r="N26">
        <f>Inputs_Sources!$D$49</f>
        <v>298.5</v>
      </c>
      <c r="O26">
        <f t="shared" si="4"/>
        <v>0.11078102567047608</v>
      </c>
      <c r="P26">
        <f t="shared" si="5"/>
        <v>0.48630333658760699</v>
      </c>
      <c r="Q26">
        <f>IFERROR(F12/Inputs_Sources!$D$50,"n/a")</f>
        <v>0.26050792712533516</v>
      </c>
      <c r="R26">
        <f>IFERROR(F12/Inputs_Sources!$D$51,"n/a")</f>
        <v>0.68408856563147924</v>
      </c>
    </row>
    <row r="27" spans="1:20" x14ac:dyDescent="0.25">
      <c r="A27" t="s">
        <v>282</v>
      </c>
      <c r="B27">
        <f>Inputs_Sources!$D$61</f>
        <v>6486.9</v>
      </c>
      <c r="C27">
        <f>Inputs_Sources!$D$62</f>
        <v>6374.6</v>
      </c>
      <c r="D27">
        <f>Inputs_Sources!$D$60</f>
        <v>6500.1</v>
      </c>
      <c r="E27">
        <f t="shared" si="6"/>
        <v>6487.4487397260273</v>
      </c>
      <c r="F27">
        <f>Inputs_Sources!$D$63</f>
        <v>1131.0999999999999</v>
      </c>
      <c r="G27">
        <f>Inputs_Sources!$D$64</f>
        <v>1136</v>
      </c>
      <c r="H27">
        <f>Inputs_Sources!$D$59</f>
        <v>1108.9000000000001</v>
      </c>
      <c r="I27">
        <f>IF(ISNUMBER(Inputs_Sources!$D$313),Inputs_Sources!$D$313,0)</f>
        <v>0</v>
      </c>
      <c r="J27">
        <f t="shared" si="2"/>
        <v>1108.9000000000001</v>
      </c>
      <c r="K27">
        <f t="shared" si="7"/>
        <v>1070.1899452054795</v>
      </c>
      <c r="L27">
        <f t="shared" si="3"/>
        <v>1070.1899452054795</v>
      </c>
      <c r="M27">
        <f>Inputs_Sources!$D$65</f>
        <v>2522.1999999999998</v>
      </c>
      <c r="N27" t="str">
        <f>Inputs_Sources!$D$66</f>
        <v>n/a</v>
      </c>
      <c r="O27">
        <f t="shared" si="4"/>
        <v>0.17059737542499345</v>
      </c>
      <c r="P27">
        <f t="shared" si="5"/>
        <v>0.38802479961846736</v>
      </c>
      <c r="Q27">
        <f>IFERROR(F13/Inputs_Sources!$D$67,"n/a")</f>
        <v>25.870599999999996</v>
      </c>
      <c r="R27">
        <f>IFERROR(F13/Inputs_Sources!$D$68,"n/a")</f>
        <v>24.849951671232876</v>
      </c>
    </row>
    <row r="28" spans="1:20" x14ac:dyDescent="0.25">
      <c r="A28" t="s">
        <v>287</v>
      </c>
      <c r="B28">
        <f>Inputs_Sources!$D$78</f>
        <v>8224.6</v>
      </c>
      <c r="C28">
        <f>Inputs_Sources!$D$79</f>
        <v>8773.2000000000007</v>
      </c>
      <c r="D28">
        <f>Inputs_Sources!$D$77</f>
        <v>8669.9</v>
      </c>
      <c r="E28">
        <f t="shared" si="6"/>
        <v>8746.352876712328</v>
      </c>
      <c r="F28">
        <f>Inputs_Sources!$D$80</f>
        <v>630.29999999999995</v>
      </c>
      <c r="G28">
        <f>Inputs_Sources!$D$81</f>
        <v>712</v>
      </c>
      <c r="H28">
        <f>Inputs_Sources!$D$76</f>
        <v>706.7</v>
      </c>
      <c r="I28">
        <v>0</v>
      </c>
      <c r="J28">
        <f t="shared" si="2"/>
        <v>706.7</v>
      </c>
      <c r="K28">
        <f t="shared" si="7"/>
        <v>732.76630136986296</v>
      </c>
      <c r="L28">
        <f t="shared" si="3"/>
        <v>732.76630136986296</v>
      </c>
      <c r="M28">
        <f>Inputs_Sources!$D$82</f>
        <v>2834.9</v>
      </c>
      <c r="N28">
        <f>Inputs_Sources!$D$83</f>
        <v>113.4</v>
      </c>
      <c r="O28">
        <f t="shared" si="4"/>
        <v>8.1511897484400062E-2</v>
      </c>
      <c r="P28">
        <f t="shared" si="5"/>
        <v>0.32698185676882091</v>
      </c>
      <c r="Q28">
        <f>IFERROR(F14/Inputs_Sources!$D$84,"n/a")</f>
        <v>215.10710259301015</v>
      </c>
      <c r="R28">
        <f>IFERROR(F14/Inputs_Sources!$D$85,"n/a")</f>
        <v>226.60332541567695</v>
      </c>
    </row>
    <row r="29" spans="1:20" x14ac:dyDescent="0.25">
      <c r="A29" t="s">
        <v>294</v>
      </c>
      <c r="B29">
        <f>Inputs_Sources!$D$95</f>
        <v>2374.1</v>
      </c>
      <c r="C29">
        <f>Inputs_Sources!$D$96</f>
        <v>2513.6999999999998</v>
      </c>
      <c r="D29">
        <f>Inputs_Sources!$D$94</f>
        <v>2567.4</v>
      </c>
      <c r="E29">
        <f t="shared" si="6"/>
        <v>2569.3717808219176</v>
      </c>
      <c r="F29">
        <f>Inputs_Sources!$D$97</f>
        <v>295.3</v>
      </c>
      <c r="G29">
        <f>Inputs_Sources!$D$98</f>
        <v>287.39999999999998</v>
      </c>
      <c r="H29">
        <f>Inputs_Sources!$D$93</f>
        <v>252.4</v>
      </c>
      <c r="I29">
        <f>IF(ISNUMBER(Inputs_Sources!$D$317),Inputs_Sources!$D$317,0)</f>
        <v>0</v>
      </c>
      <c r="J29">
        <f t="shared" si="2"/>
        <v>252.4</v>
      </c>
      <c r="K29">
        <f t="shared" si="7"/>
        <v>361.72246575342467</v>
      </c>
      <c r="L29">
        <f t="shared" si="3"/>
        <v>361.72246575342467</v>
      </c>
      <c r="M29">
        <f>Inputs_Sources!$D$99</f>
        <v>514.79999999999995</v>
      </c>
      <c r="N29">
        <f>Inputs_Sources!$D$100</f>
        <v>138.1</v>
      </c>
      <c r="O29">
        <f t="shared" si="4"/>
        <v>9.8309573887980062E-2</v>
      </c>
      <c r="P29">
        <f t="shared" si="5"/>
        <v>0.2005141388174807</v>
      </c>
      <c r="Q29">
        <f>IFERROR(F15/Inputs_Sources!$D$101,"n/a")</f>
        <v>4.8134340147230725</v>
      </c>
      <c r="R29">
        <f>IFERROR(F15/Inputs_Sources!$D$102,"n/a")</f>
        <v>5.4545129068060572</v>
      </c>
    </row>
    <row r="30" spans="1:20" x14ac:dyDescent="0.25">
      <c r="A30" t="s">
        <v>299</v>
      </c>
      <c r="B30">
        <f>Inputs_Sources!$D$112</f>
        <v>8178.7</v>
      </c>
      <c r="C30">
        <f>Inputs_Sources!$D$113</f>
        <v>8726.1</v>
      </c>
      <c r="D30">
        <f>Inputs_Sources!$D$111</f>
        <v>9156.9</v>
      </c>
      <c r="E30">
        <f t="shared" si="6"/>
        <v>8979.6413698630131</v>
      </c>
      <c r="F30">
        <f>Inputs_Sources!$D$114</f>
        <v>1874.1</v>
      </c>
      <c r="G30">
        <f>Inputs_Sources!$D$115</f>
        <v>2156.1999999999998</v>
      </c>
      <c r="H30">
        <f>Inputs_Sources!$D$110</f>
        <v>2263.9</v>
      </c>
      <c r="I30">
        <f>IF(ISNUMBER(Inputs_Sources!$D$294),Inputs_Sources!$D$294,0)</f>
        <v>46.9</v>
      </c>
      <c r="J30">
        <f t="shared" si="2"/>
        <v>2310.8000000000002</v>
      </c>
      <c r="K30">
        <f t="shared" si="7"/>
        <v>2178.5843835616442</v>
      </c>
      <c r="L30">
        <f t="shared" si="3"/>
        <v>2225.4843835616443</v>
      </c>
      <c r="M30">
        <f>Inputs_Sources!$D$116</f>
        <v>3475.1</v>
      </c>
      <c r="N30">
        <f>Inputs_Sources!$D$117</f>
        <v>1464.3</v>
      </c>
      <c r="O30">
        <f t="shared" si="4"/>
        <v>0.25235614673088058</v>
      </c>
      <c r="P30">
        <f t="shared" si="5"/>
        <v>0.3795061647500792</v>
      </c>
      <c r="Q30">
        <f>IFERROR(F16/Inputs_Sources!$D$118,"n/a")</f>
        <v>2.1739359571642387</v>
      </c>
      <c r="R30">
        <f>IFERROR(F16/Inputs_Sources!$D$119,"n/a")</f>
        <v>10.115703584804709</v>
      </c>
    </row>
    <row r="31" spans="1:20" x14ac:dyDescent="0.25">
      <c r="A31" t="s">
        <v>303</v>
      </c>
      <c r="B31">
        <f>Inputs_Sources!$D$129</f>
        <v>9636</v>
      </c>
      <c r="C31">
        <f>Inputs_Sources!$D$130</f>
        <v>10253</v>
      </c>
      <c r="D31">
        <f>Inputs_Sources!$D$128</f>
        <v>9744</v>
      </c>
      <c r="E31">
        <f t="shared" si="6"/>
        <v>9491.0109589041094</v>
      </c>
      <c r="F31">
        <f>Inputs_Sources!$D$131</f>
        <v>1783</v>
      </c>
      <c r="G31">
        <f>Inputs_Sources!$D$132</f>
        <v>1888</v>
      </c>
      <c r="H31">
        <f>Inputs_Sources!$D$127</f>
        <v>1620</v>
      </c>
      <c r="I31">
        <f>IF(ISNUMBER(Inputs_Sources!$D$299),Inputs_Sources!$D$299,0)</f>
        <v>114</v>
      </c>
      <c r="J31">
        <f t="shared" si="2"/>
        <v>1734</v>
      </c>
      <c r="K31">
        <f t="shared" si="7"/>
        <v>1475.9424657534246</v>
      </c>
      <c r="L31">
        <f t="shared" si="3"/>
        <v>1589.9424657534246</v>
      </c>
      <c r="M31">
        <f>Inputs_Sources!$D$133</f>
        <v>2781</v>
      </c>
      <c r="N31">
        <f>Inputs_Sources!$D$134</f>
        <v>634.5</v>
      </c>
      <c r="O31">
        <f t="shared" si="4"/>
        <v>0.17795566502463053</v>
      </c>
      <c r="P31">
        <f t="shared" si="5"/>
        <v>0.28540640394088668</v>
      </c>
      <c r="Q31">
        <f>IFERROR(F17/Inputs_Sources!$D$135,"n/a")</f>
        <v>1.3151709728922842</v>
      </c>
      <c r="R31">
        <f>IFERROR(F17/Inputs_Sources!$D$136,"n/a")</f>
        <v>1.6955830546418442</v>
      </c>
    </row>
    <row r="32" spans="1:20" x14ac:dyDescent="0.25">
      <c r="A32" t="s">
        <v>307</v>
      </c>
      <c r="B32">
        <f>Inputs_Sources!$D$146</f>
        <v>36441</v>
      </c>
      <c r="C32">
        <f>Inputs_Sources!$D$147</f>
        <v>38537</v>
      </c>
      <c r="D32">
        <f>Inputs_Sources!$D$145</f>
        <v>39675</v>
      </c>
      <c r="E32">
        <f t="shared" si="6"/>
        <v>40994.157808219177</v>
      </c>
      <c r="F32">
        <f>Inputs_Sources!$D$148</f>
        <v>7740</v>
      </c>
      <c r="G32">
        <f>Inputs_Sources!$D$149</f>
        <v>4990</v>
      </c>
      <c r="H32">
        <f>Inputs_Sources!$D$144</f>
        <v>6080</v>
      </c>
      <c r="I32">
        <f>IF(ISNUMBER(Inputs_Sources!$D$304),Inputs_Sources!$D$304,0)</f>
        <v>246</v>
      </c>
      <c r="J32">
        <f t="shared" si="2"/>
        <v>6326</v>
      </c>
      <c r="K32">
        <f t="shared" si="7"/>
        <v>7153.2339726027394</v>
      </c>
      <c r="L32">
        <f t="shared" si="3"/>
        <v>7399.2339726027394</v>
      </c>
      <c r="M32">
        <f>Inputs_Sources!$D$150</f>
        <v>12357</v>
      </c>
      <c r="N32">
        <f>Inputs_Sources!$D$151</f>
        <v>2252.4</v>
      </c>
      <c r="O32">
        <f t="shared" si="4"/>
        <v>0.15944549464398236</v>
      </c>
      <c r="P32">
        <f t="shared" si="5"/>
        <v>0.31145557655954631</v>
      </c>
      <c r="Q32">
        <f>IFERROR(F18/Inputs_Sources!$D$152,"n/a")</f>
        <v>2.7666825065555769</v>
      </c>
      <c r="R32">
        <f>IFERROR(F18/Inputs_Sources!$D$153,"n/a")</f>
        <v>3.222913056048101</v>
      </c>
    </row>
    <row r="33" spans="1:18" x14ac:dyDescent="0.25">
      <c r="A33" t="s">
        <v>311</v>
      </c>
      <c r="B33">
        <f>Inputs_Sources!$D$163</f>
        <v>13149.5</v>
      </c>
      <c r="C33">
        <f>Inputs_Sources!$D$164</f>
        <v>13058.3</v>
      </c>
      <c r="D33">
        <f>Inputs_Sources!$D$162</f>
        <v>13945.2</v>
      </c>
      <c r="E33">
        <f t="shared" si="6"/>
        <v>14591.724383561643</v>
      </c>
      <c r="F33">
        <f>Inputs_Sources!$D$165</f>
        <v>2599</v>
      </c>
      <c r="G33">
        <f>Inputs_Sources!$D$166</f>
        <v>2540.6</v>
      </c>
      <c r="H33">
        <f>Inputs_Sources!$D$161</f>
        <v>2707</v>
      </c>
      <c r="I33">
        <f>IF(ISNUMBER(Inputs_Sources!$D$321),Inputs_Sources!$D$321,0)</f>
        <v>0</v>
      </c>
      <c r="J33">
        <f t="shared" si="2"/>
        <v>2707</v>
      </c>
      <c r="K33">
        <f t="shared" si="7"/>
        <v>2990.2460273972601</v>
      </c>
      <c r="L33">
        <f t="shared" si="3"/>
        <v>2990.2460273972601</v>
      </c>
      <c r="M33">
        <f>Inputs_Sources!$D$167</f>
        <v>6537.9</v>
      </c>
      <c r="N33">
        <f>Inputs_Sources!$D$168</f>
        <v>763.6</v>
      </c>
      <c r="O33">
        <f t="shared" si="4"/>
        <v>0.19411697214812265</v>
      </c>
      <c r="P33">
        <f t="shared" si="5"/>
        <v>0.46882798382239044</v>
      </c>
      <c r="Q33">
        <f>IFERROR(F19/Inputs_Sources!$D$169,"n/a")</f>
        <v>11.205772314270442</v>
      </c>
      <c r="R33">
        <f>IFERROR(F19/Inputs_Sources!$D$170,"n/a")</f>
        <v>12.706666666666667</v>
      </c>
    </row>
    <row r="34" spans="1:18" x14ac:dyDescent="0.25">
      <c r="A34" t="s">
        <v>315</v>
      </c>
      <c r="B34">
        <f>Inputs_Sources!$D$180</f>
        <v>91854</v>
      </c>
      <c r="C34">
        <f>Inputs_Sources!$D$181</f>
        <v>93925</v>
      </c>
      <c r="D34">
        <f>Inputs_Sources!$D$179</f>
        <v>98241</v>
      </c>
      <c r="E34">
        <f t="shared" si="6"/>
        <v>101251.48301369864</v>
      </c>
      <c r="F34">
        <f>Inputs_Sources!$D$182</f>
        <v>17842</v>
      </c>
      <c r="G34">
        <f>Inputs_Sources!$D$183</f>
        <v>18174</v>
      </c>
      <c r="H34">
        <f>Inputs_Sources!$D$178</f>
        <v>19171</v>
      </c>
      <c r="I34">
        <f>IF(ISNUMBER(Inputs_Sources!$D$309),Inputs_Sources!$D$309,0)</f>
        <v>880</v>
      </c>
      <c r="J34">
        <f t="shared" si="2"/>
        <v>20051</v>
      </c>
      <c r="K34">
        <f t="shared" si="7"/>
        <v>19473.899452054793</v>
      </c>
      <c r="L34">
        <f t="shared" si="3"/>
        <v>20353.899452054793</v>
      </c>
      <c r="M34">
        <f>Inputs_Sources!$D$184</f>
        <v>53371</v>
      </c>
      <c r="N34">
        <f>Inputs_Sources!$D$185</f>
        <v>9044.2999999999993</v>
      </c>
      <c r="O34">
        <f t="shared" si="4"/>
        <v>0.20410012113068882</v>
      </c>
      <c r="P34">
        <f t="shared" si="5"/>
        <v>0.54326604981626814</v>
      </c>
      <c r="Q34">
        <f>IFERROR(F20/Inputs_Sources!$D$186,"n/a")</f>
        <v>8.1426625023486192</v>
      </c>
      <c r="R34">
        <f>IFERROR(F20/Inputs_Sources!$D$187,"n/a")</f>
        <v>8.4677398205363943</v>
      </c>
    </row>
    <row r="37" spans="1:18" x14ac:dyDescent="0.25">
      <c r="A37" s="10" t="s">
        <v>339</v>
      </c>
    </row>
    <row r="38" spans="1:18" ht="45" customHeight="1" x14ac:dyDescent="0.25">
      <c r="A38" s="11" t="s">
        <v>249</v>
      </c>
      <c r="B38" s="11" t="s">
        <v>128</v>
      </c>
      <c r="C38" s="11" t="s">
        <v>129</v>
      </c>
      <c r="D38" s="11" t="s">
        <v>130</v>
      </c>
      <c r="E38" s="11" t="s">
        <v>131</v>
      </c>
      <c r="F38" s="11" t="s">
        <v>132</v>
      </c>
      <c r="G38" s="11" t="s">
        <v>340</v>
      </c>
      <c r="H38" s="11" t="s">
        <v>341</v>
      </c>
      <c r="I38" s="11" t="s">
        <v>342</v>
      </c>
      <c r="J38" s="11" t="s">
        <v>343</v>
      </c>
      <c r="K38" s="11" t="s">
        <v>344</v>
      </c>
      <c r="L38" s="11" t="s">
        <v>345</v>
      </c>
      <c r="M38" s="11" t="s">
        <v>346</v>
      </c>
      <c r="N38" s="11" t="s">
        <v>347</v>
      </c>
    </row>
    <row r="39" spans="1:18" x14ac:dyDescent="0.25">
      <c r="A39" t="s">
        <v>338</v>
      </c>
      <c r="B39">
        <f t="shared" ref="B39:B48" si="8">IFERROR(O11/J25,"n/a")</f>
        <v>6.9413670611795988</v>
      </c>
      <c r="C39">
        <f t="shared" ref="C39:C48" si="9">IFERROR(O11/L25,"n/a")</f>
        <v>6.5757853879432338</v>
      </c>
      <c r="D39">
        <f t="shared" ref="D39:D48" si="10">IFERROR(O11/D25,"n/a")</f>
        <v>1.003412580708694</v>
      </c>
      <c r="E39">
        <f>IFERROR(F11/Q25,"n/a")</f>
        <v>18.456692913385826</v>
      </c>
      <c r="F39">
        <f>IFERROR(F11/R25,"n/a")</f>
        <v>17.806508545692189</v>
      </c>
      <c r="G39">
        <f t="shared" ref="G39:G48" si="11">IFERROR(N25/I11,"n/a")</f>
        <v>0.10105385479023181</v>
      </c>
      <c r="H39">
        <f t="shared" ref="H39:H48" si="12">IFERROR(N11/J25,"n/a")</f>
        <v>2.8099607675766181</v>
      </c>
      <c r="I39">
        <f t="shared" ref="I39:I48" si="13">O25</f>
        <v>0.14455547039435435</v>
      </c>
      <c r="J39" t="s">
        <v>290</v>
      </c>
      <c r="K39" t="s">
        <v>290</v>
      </c>
      <c r="L39" t="s">
        <v>290</v>
      </c>
      <c r="M39" t="s">
        <v>290</v>
      </c>
      <c r="N39" t="s">
        <v>348</v>
      </c>
    </row>
    <row r="40" spans="1:18" x14ac:dyDescent="0.25">
      <c r="A40" t="s">
        <v>275</v>
      </c>
      <c r="B40">
        <f t="shared" si="8"/>
        <v>5.6094444703642079</v>
      </c>
      <c r="C40">
        <f t="shared" si="9"/>
        <v>6.147272023717357</v>
      </c>
      <c r="D40">
        <f t="shared" si="10"/>
        <v>0.62142001186852736</v>
      </c>
      <c r="E40">
        <f>Inputs_Sources!$D$50</f>
        <v>23.45</v>
      </c>
      <c r="F40">
        <f>Inputs_Sources!$D$51</f>
        <v>8.93</v>
      </c>
      <c r="G40">
        <f t="shared" si="11"/>
        <v>0.23037740217642971</v>
      </c>
      <c r="H40">
        <f t="shared" si="12"/>
        <v>3.3704953612264545</v>
      </c>
      <c r="I40">
        <f t="shared" si="13"/>
        <v>0.11078102567047608</v>
      </c>
      <c r="J40">
        <f>Inputs_Sources!$D$52</f>
        <v>5.15</v>
      </c>
      <c r="K40">
        <f>Inputs_Sources!$D$53</f>
        <v>7.55</v>
      </c>
      <c r="L40">
        <f>Inputs_Sources!$D$50</f>
        <v>23.45</v>
      </c>
      <c r="M40">
        <f>Inputs_Sources!$D$51</f>
        <v>8.93</v>
      </c>
      <c r="N40" t="s">
        <v>349</v>
      </c>
    </row>
    <row r="41" spans="1:18" x14ac:dyDescent="0.25">
      <c r="A41" t="s">
        <v>282</v>
      </c>
      <c r="B41">
        <f t="shared" si="8"/>
        <v>5.4417222019602978</v>
      </c>
      <c r="C41">
        <f t="shared" si="9"/>
        <v>5.638555825335442</v>
      </c>
      <c r="D41">
        <f t="shared" si="10"/>
        <v>0.92834352544634302</v>
      </c>
      <c r="E41">
        <f>Inputs_Sources!$D$67</f>
        <v>9.3550207571529089</v>
      </c>
      <c r="F41">
        <f>Inputs_Sources!$D$68</f>
        <v>9.739254353567631</v>
      </c>
      <c r="G41" t="str">
        <f t="shared" si="11"/>
        <v>n/a</v>
      </c>
      <c r="H41">
        <f t="shared" si="12"/>
        <v>1.4708269456217873</v>
      </c>
      <c r="I41">
        <f t="shared" si="13"/>
        <v>0.17059737542499345</v>
      </c>
      <c r="J41" t="str">
        <f>Inputs_Sources!$D$69</f>
        <v>n/a</v>
      </c>
      <c r="K41" t="str">
        <f>Inputs_Sources!$D$70</f>
        <v>n/a</v>
      </c>
      <c r="L41">
        <f>Inputs_Sources!$D$67</f>
        <v>9.3550207571529089</v>
      </c>
      <c r="M41">
        <f>Inputs_Sources!$D$68</f>
        <v>9.739254353567631</v>
      </c>
      <c r="N41" t="s">
        <v>349</v>
      </c>
    </row>
    <row r="42" spans="1:18" x14ac:dyDescent="0.25">
      <c r="A42" t="s">
        <v>287</v>
      </c>
      <c r="B42">
        <f t="shared" si="8"/>
        <v>6.059714403567634</v>
      </c>
      <c r="C42">
        <f t="shared" si="9"/>
        <v>5.8441554435507683</v>
      </c>
      <c r="D42">
        <f t="shared" si="10"/>
        <v>0.49393881924834743</v>
      </c>
      <c r="E42">
        <f>Inputs_Sources!$D$84</f>
        <v>17.739999999999998</v>
      </c>
      <c r="F42">
        <f>Inputs_Sources!$D$85</f>
        <v>16.84</v>
      </c>
      <c r="G42">
        <f t="shared" si="11"/>
        <v>2.3844066521651636E-2</v>
      </c>
      <c r="H42">
        <f t="shared" si="12"/>
        <v>-0.67001556530352335</v>
      </c>
      <c r="I42">
        <f t="shared" si="13"/>
        <v>8.1511897484400062E-2</v>
      </c>
      <c r="J42">
        <f>Inputs_Sources!$D$86</f>
        <v>6.58</v>
      </c>
      <c r="K42">
        <f>Inputs_Sources!$D$87</f>
        <v>6.37</v>
      </c>
      <c r="L42">
        <f>Inputs_Sources!$D$84</f>
        <v>17.739999999999998</v>
      </c>
      <c r="M42">
        <f>Inputs_Sources!$D$85</f>
        <v>16.84</v>
      </c>
      <c r="N42" t="s">
        <v>349</v>
      </c>
    </row>
    <row r="43" spans="1:18" x14ac:dyDescent="0.25">
      <c r="A43" t="s">
        <v>294</v>
      </c>
      <c r="B43">
        <f t="shared" si="8"/>
        <v>8.3332365847860537</v>
      </c>
      <c r="C43">
        <f t="shared" si="9"/>
        <v>5.8147035728595373</v>
      </c>
      <c r="D43">
        <f t="shared" si="10"/>
        <v>0.81923693775804318</v>
      </c>
      <c r="E43">
        <f>Inputs_Sources!$D$101</f>
        <v>10.210000000000001</v>
      </c>
      <c r="F43">
        <f>Inputs_Sources!$D$102</f>
        <v>9.01</v>
      </c>
      <c r="G43">
        <f t="shared" si="11"/>
        <v>0.1133081719724319</v>
      </c>
      <c r="H43">
        <f t="shared" si="12"/>
        <v>3.5043934786053885</v>
      </c>
      <c r="I43">
        <f t="shared" si="13"/>
        <v>9.8309573887980062E-2</v>
      </c>
      <c r="J43">
        <f>Inputs_Sources!$D$103</f>
        <v>7.31</v>
      </c>
      <c r="K43">
        <f>Inputs_Sources!$D$104</f>
        <v>5.94</v>
      </c>
      <c r="L43">
        <f>Inputs_Sources!$D$101</f>
        <v>10.210000000000001</v>
      </c>
      <c r="M43">
        <f>Inputs_Sources!$D$102</f>
        <v>9.01</v>
      </c>
      <c r="N43" t="s">
        <v>349</v>
      </c>
    </row>
    <row r="44" spans="1:18" x14ac:dyDescent="0.25">
      <c r="A44" t="s">
        <v>299</v>
      </c>
      <c r="B44">
        <f t="shared" si="8"/>
        <v>8.8754976631469606</v>
      </c>
      <c r="C44">
        <f t="shared" si="9"/>
        <v>9.2157465365705189</v>
      </c>
      <c r="D44">
        <f t="shared" si="10"/>
        <v>2.2397863905907021</v>
      </c>
      <c r="E44">
        <f>Inputs_Sources!$D$118</f>
        <v>58.63</v>
      </c>
      <c r="F44">
        <f>Inputs_Sources!$D$119</f>
        <v>12.6</v>
      </c>
      <c r="G44">
        <f t="shared" si="11"/>
        <v>0.1075702479338843</v>
      </c>
      <c r="H44">
        <f t="shared" si="12"/>
        <v>2.9846806300848194</v>
      </c>
      <c r="I44">
        <f t="shared" si="13"/>
        <v>0.25235614673088058</v>
      </c>
      <c r="J44">
        <f>Inputs_Sources!$D$120</f>
        <v>8.57</v>
      </c>
      <c r="K44">
        <f>Inputs_Sources!$D$121</f>
        <v>9.86</v>
      </c>
      <c r="L44">
        <f>Inputs_Sources!$D$118</f>
        <v>58.63</v>
      </c>
      <c r="M44">
        <f>Inputs_Sources!$D$119</f>
        <v>12.6</v>
      </c>
      <c r="N44" t="s">
        <v>349</v>
      </c>
    </row>
    <row r="45" spans="1:18" x14ac:dyDescent="0.25">
      <c r="A45" t="s">
        <v>303</v>
      </c>
      <c r="B45">
        <f t="shared" si="8"/>
        <v>7.6631487889273355</v>
      </c>
      <c r="C45">
        <f t="shared" si="9"/>
        <v>8.3574722269609136</v>
      </c>
      <c r="D45">
        <f t="shared" si="10"/>
        <v>1.3637007389162561</v>
      </c>
      <c r="E45">
        <f>Inputs_Sources!$D$135</f>
        <v>15.11</v>
      </c>
      <c r="F45">
        <f>Inputs_Sources!$D$136</f>
        <v>11.72</v>
      </c>
      <c r="G45">
        <f t="shared" si="11"/>
        <v>0.10707234344150256</v>
      </c>
      <c r="H45">
        <f t="shared" si="12"/>
        <v>4.2456747404844295</v>
      </c>
      <c r="I45">
        <f t="shared" si="13"/>
        <v>0.17795566502463053</v>
      </c>
      <c r="J45">
        <f>Inputs_Sources!$D$137</f>
        <v>6.47</v>
      </c>
      <c r="K45">
        <f>Inputs_Sources!$D$138</f>
        <v>9.07</v>
      </c>
      <c r="L45">
        <f>Inputs_Sources!$D$135</f>
        <v>15.11</v>
      </c>
      <c r="M45">
        <f>Inputs_Sources!$D$136</f>
        <v>11.72</v>
      </c>
      <c r="N45" t="s">
        <v>349</v>
      </c>
    </row>
    <row r="46" spans="1:18" x14ac:dyDescent="0.25">
      <c r="A46" t="s">
        <v>307</v>
      </c>
      <c r="B46">
        <f t="shared" si="8"/>
        <v>16.144293392349038</v>
      </c>
      <c r="C46">
        <f t="shared" si="9"/>
        <v>13.802617997775705</v>
      </c>
      <c r="D46">
        <f t="shared" si="10"/>
        <v>2.5741348456206681</v>
      </c>
      <c r="E46">
        <f>Inputs_Sources!$D$152</f>
        <v>23.1</v>
      </c>
      <c r="F46">
        <f>Inputs_Sources!$D$153</f>
        <v>19.829999999999998</v>
      </c>
      <c r="G46">
        <f t="shared" si="11"/>
        <v>2.7613499279136141E-2</v>
      </c>
      <c r="H46">
        <f t="shared" si="12"/>
        <v>3.2500790388871326</v>
      </c>
      <c r="I46">
        <f t="shared" si="13"/>
        <v>0.15944549464398236</v>
      </c>
      <c r="J46">
        <f>Inputs_Sources!$D$154</f>
        <v>14.48</v>
      </c>
      <c r="K46">
        <f>Inputs_Sources!$D$155</f>
        <v>14.13</v>
      </c>
      <c r="L46">
        <f>Inputs_Sources!$D$152</f>
        <v>23.1</v>
      </c>
      <c r="M46">
        <f>Inputs_Sources!$D$153</f>
        <v>19.829999999999998</v>
      </c>
      <c r="N46" t="s">
        <v>349</v>
      </c>
    </row>
    <row r="47" spans="1:18" x14ac:dyDescent="0.25">
      <c r="A47" t="s">
        <v>311</v>
      </c>
      <c r="B47">
        <f t="shared" si="8"/>
        <v>7.8537991297662693</v>
      </c>
      <c r="C47">
        <f t="shared" si="9"/>
        <v>7.1098612119158666</v>
      </c>
      <c r="D47">
        <f t="shared" si="10"/>
        <v>1.5245557069297886</v>
      </c>
      <c r="E47">
        <f>Inputs_Sources!$D$169</f>
        <v>18.71</v>
      </c>
      <c r="F47">
        <f>Inputs_Sources!$D$170</f>
        <v>16.5</v>
      </c>
      <c r="G47">
        <f t="shared" si="11"/>
        <v>3.9678180144735037E-2</v>
      </c>
      <c r="H47">
        <f t="shared" si="12"/>
        <v>0.74451422238640563</v>
      </c>
      <c r="I47">
        <f t="shared" si="13"/>
        <v>0.19411697214812265</v>
      </c>
      <c r="J47">
        <f>Inputs_Sources!$D$171</f>
        <v>8.4700000000000006</v>
      </c>
      <c r="K47">
        <f>Inputs_Sources!$D$172</f>
        <v>7.87</v>
      </c>
      <c r="L47">
        <f>Inputs_Sources!$D$169</f>
        <v>18.71</v>
      </c>
      <c r="M47">
        <f>Inputs_Sources!$D$170</f>
        <v>16.5</v>
      </c>
      <c r="N47" t="s">
        <v>349</v>
      </c>
    </row>
    <row r="48" spans="1:18" x14ac:dyDescent="0.25">
      <c r="A48" t="s">
        <v>315</v>
      </c>
      <c r="B48">
        <f t="shared" si="8"/>
        <v>11.193830731634332</v>
      </c>
      <c r="C48">
        <f t="shared" si="9"/>
        <v>11.027248146169912</v>
      </c>
      <c r="D48">
        <f t="shared" si="10"/>
        <v>2.2846622082429944</v>
      </c>
      <c r="E48">
        <f>Inputs_Sources!$D$186</f>
        <v>16.149999999999999</v>
      </c>
      <c r="F48">
        <f>Inputs_Sources!$D$187</f>
        <v>15.53</v>
      </c>
      <c r="G48">
        <f t="shared" si="11"/>
        <v>5.0470283286039933E-2</v>
      </c>
      <c r="H48">
        <f t="shared" si="12"/>
        <v>2.2565956810134158</v>
      </c>
      <c r="I48">
        <f t="shared" si="13"/>
        <v>0.20410012113068882</v>
      </c>
      <c r="J48">
        <f>Inputs_Sources!$D$188</f>
        <v>10.35</v>
      </c>
      <c r="K48">
        <f>Inputs_Sources!$D$189</f>
        <v>11.24</v>
      </c>
      <c r="L48">
        <f>Inputs_Sources!$D$186</f>
        <v>16.149999999999999</v>
      </c>
      <c r="M48">
        <f>Inputs_Sources!$D$187</f>
        <v>15.53</v>
      </c>
      <c r="N48" t="s">
        <v>349</v>
      </c>
    </row>
    <row r="49" spans="1:15" x14ac:dyDescent="0.25">
      <c r="A49" s="10" t="s">
        <v>350</v>
      </c>
    </row>
    <row r="50" spans="1:15" x14ac:dyDescent="0.25">
      <c r="A50" s="10" t="s">
        <v>351</v>
      </c>
      <c r="B50" s="9">
        <f>IFERROR(_xlfn.AGGREGATE(16,6,B40:B48/(($C$12:$C$20="Core")*($P$12:$P$20="yes")*ISNUMBER(B40:B48)),0.5),"n/a")</f>
        <v>5.5255833361622528</v>
      </c>
      <c r="C50" s="9">
        <f>IFERROR(_xlfn.AGGREGATE(16,6,C40:C48/(($C$12:$C$20="Core")*($P$12:$P$20="yes")*ISNUMBER(C40:C48)),0.5),"n/a")</f>
        <v>5.8929139245263995</v>
      </c>
      <c r="D50" s="9">
        <f>IFERROR(_xlfn.AGGREGATE(16,6,D40:D48/(($C$12:$C$20="Core")*($P$12:$P$20="yes")*ISNUMBER(D40:D48)),0.5),"n/a")</f>
        <v>0.77488176865743519</v>
      </c>
      <c r="E50" s="9">
        <f>IFERROR(_xlfn.AGGREGATE(16,6,E40:E48/(($C$12:$C$20="Core")*($Q$12:$Q$20="yes")*ISNUMBER(E40:E48)),0.5),"n/a")</f>
        <v>16.402510378576455</v>
      </c>
      <c r="F50" s="9">
        <f>IFERROR(_xlfn.AGGREGATE(16,6,F40:F48/(($C$12:$C$20="Core")*($Q$12:$Q$20="yes")*ISNUMBER(F40:F48)),0.5),"n/a")</f>
        <v>9.3346271767838154</v>
      </c>
      <c r="G50" s="6">
        <f>IFERROR(_xlfn.AGGREGATE(16,6,G40:G48/(($C$12:$C$20="Core")*($P$12:$P$20="yes")*ISNUMBER(G40:G48)),0.5),"n/a")</f>
        <v>0.23037740217642971</v>
      </c>
      <c r="H50" s="9">
        <f>IFERROR(_xlfn.AGGREGATE(16,6,H40:H48/(($C$12:$C$20="Core")*($P$12:$P$20="yes")*ISNUMBER(H40:H48)),0.5),"n/a")</f>
        <v>2.4206611534241209</v>
      </c>
      <c r="I50" s="6">
        <f>IFERROR(_xlfn.AGGREGATE(16,6,I40:I48/(($C$12:$C$20="Core")*($P$12:$P$20="yes")*ISNUMBER(I40:I48)),0.5),"n/a")</f>
        <v>0.14068920054773476</v>
      </c>
    </row>
    <row r="51" spans="1:15" x14ac:dyDescent="0.25">
      <c r="A51" s="10" t="s">
        <v>352</v>
      </c>
      <c r="B51" s="9">
        <f>IFERROR(SUMPRODUCT(($C$12:$C$20="Core")*($P$12:$P$20="yes")*ISNUMBER(B40:B48),B40:B48)/SUMPRODUCT(($C$12:$C$20="Core")*($P$12:$P$20="yes")*ISNUMBER(B40:B48)),"n/a")</f>
        <v>5.5255833361622528</v>
      </c>
      <c r="C51" s="9">
        <f>IFERROR(SUMPRODUCT(($C$12:$C$20="Core")*($P$12:$P$20="yes")*ISNUMBER(C40:C48),C40:C48)/SUMPRODUCT(($C$12:$C$20="Core")*($P$12:$P$20="yes")*ISNUMBER(C40:C48)),"n/a")</f>
        <v>5.8929139245263995</v>
      </c>
      <c r="D51" s="9">
        <f>IFERROR(SUMPRODUCT(($C$12:$C$20="Core")*($P$12:$P$20="yes")*ISNUMBER(D40:D48),D40:D48)/SUMPRODUCT(($C$12:$C$20="Core")*($P$12:$P$20="yes")*ISNUMBER(D40:D48)),"n/a")</f>
        <v>0.77488176865743519</v>
      </c>
      <c r="E51" s="9">
        <f>IFERROR(SUMPRODUCT(($C$12:$C$20="Core")*($Q$12:$Q$20="yes")*ISNUMBER(E40:E48),E40:E48)/SUMPRODUCT(($C$12:$C$20="Core")*($Q$12:$Q$20="yes")*ISNUMBER(E40:E48)),"n/a")</f>
        <v>16.402510378576455</v>
      </c>
      <c r="F51" s="9">
        <f>IFERROR(SUMPRODUCT(($C$12:$C$20="Core")*($Q$12:$Q$20="yes")*ISNUMBER(F40:F48),F40:F48)/SUMPRODUCT(($C$12:$C$20="Core")*($Q$12:$Q$20="yes")*ISNUMBER(F40:F48)),"n/a")</f>
        <v>9.3346271767838154</v>
      </c>
      <c r="G51" s="6">
        <f>IFERROR(SUMPRODUCT(($C$12:$C$20="Core")*($P$12:$P$20="yes")*ISNUMBER(G40:G48),G40:G48)/SUMPRODUCT(($C$12:$C$20="Core")*($P$12:$P$20="yes")*ISNUMBER(G40:G48)),"n/a")</f>
        <v>0.23037740217642971</v>
      </c>
      <c r="H51" s="9">
        <f>IFERROR(SUMPRODUCT(($C$12:$C$20="Core")*($P$12:$P$20="yes")*ISNUMBER(H40:H48),H40:H48)/SUMPRODUCT(($C$12:$C$20="Core")*($P$12:$P$20="yes")*ISNUMBER(H40:H48)),"n/a")</f>
        <v>2.4206611534241209</v>
      </c>
      <c r="I51" s="6">
        <f>IFERROR(SUMPRODUCT(($C$12:$C$20="Core")*($P$12:$P$20="yes")*ISNUMBER(I40:I48),I40:I48)/SUMPRODUCT(($C$12:$C$20="Core")*($P$12:$P$20="yes")*ISNUMBER(I40:I48)),"n/a")</f>
        <v>0.14068920054773476</v>
      </c>
    </row>
    <row r="52" spans="1:15" x14ac:dyDescent="0.25">
      <c r="A52" s="10" t="s">
        <v>353</v>
      </c>
      <c r="B52">
        <f>SUMPRODUCT(($C$12:$C$20="Core")*($P$12:$P$20="yes")*ISNUMBER(B40:B48))</f>
        <v>2</v>
      </c>
      <c r="C52">
        <f>SUMPRODUCT(($C$12:$C$20="Core")*($P$12:$P$20="yes")*ISNUMBER(C40:C48))</f>
        <v>2</v>
      </c>
      <c r="D52">
        <f>SUMPRODUCT(($C$12:$C$20="Core")*($P$12:$P$20="yes")*ISNUMBER(D40:D48))</f>
        <v>2</v>
      </c>
      <c r="E52">
        <f>SUMPRODUCT(($C$12:$C$20="Core")*($Q$12:$Q$20="yes")*ISNUMBER(E40:E48))</f>
        <v>2</v>
      </c>
      <c r="F52">
        <f>SUMPRODUCT(($C$12:$C$20="Core")*($Q$12:$Q$20="yes")*ISNUMBER(F40:F48))</f>
        <v>2</v>
      </c>
      <c r="G52">
        <f>SUMPRODUCT(($C$12:$C$20="Core")*($P$12:$P$20="yes")*ISNUMBER(G40:G48))</f>
        <v>1</v>
      </c>
      <c r="H52">
        <f>SUMPRODUCT(($C$12:$C$20="Core")*($P$12:$P$20="yes")*ISNUMBER(H40:H48))</f>
        <v>2</v>
      </c>
      <c r="I52">
        <f>SUMPRODUCT(($C$12:$C$20="Core")*($P$12:$P$20="yes")*ISNUMBER(I40:I48))</f>
        <v>2</v>
      </c>
    </row>
    <row r="53" spans="1:15" x14ac:dyDescent="0.25">
      <c r="A53" s="10" t="s">
        <v>354</v>
      </c>
      <c r="B53" s="9">
        <f>IFERROR(_xlfn.AGGREGATE(16,6,B40:B48/(($P$12:$P$20="yes")*ISNUMBER(B40:B48)),0.5),"n/a")</f>
        <v>8.2693232260371481</v>
      </c>
      <c r="C53" s="9">
        <f>IFERROR(_xlfn.AGGREGATE(16,6,C40:C48/(($P$12:$P$20="yes")*ISNUMBER(C40:C48)),0.5),"n/a")</f>
        <v>8.7866093817657163</v>
      </c>
      <c r="D53" s="9">
        <f>IFERROR(_xlfn.AGGREGATE(16,6,D40:D48/(($P$12:$P$20="yes")*ISNUMBER(D40:D48)),0.5),"n/a")</f>
        <v>1.8017435647534792</v>
      </c>
      <c r="E53" s="9">
        <f>IFERROR(_xlfn.AGGREGATE(16,6,E40:E48/(($Q$12:$Q$20="yes")*ISNUMBER(E40:E48)),0.5),"n/a")</f>
        <v>16.149999999999999</v>
      </c>
      <c r="F53" s="9">
        <f>IFERROR(_xlfn.AGGREGATE(16,6,F40:F48/(($Q$12:$Q$20="yes")*ISNUMBER(F40:F48)),0.5),"n/a")</f>
        <v>11.72</v>
      </c>
      <c r="G53" s="6">
        <f>IFERROR(_xlfn.AGGREGATE(16,6,G40:G48/(($P$12:$P$20="yes")*ISNUMBER(G40:G48)),0.5),"n/a")</f>
        <v>0.10707234344150256</v>
      </c>
      <c r="H53" s="9">
        <f>IFERROR(_xlfn.AGGREGATE(16,6,H40:H48/(($P$12:$P$20="yes")*ISNUMBER(H40:H48)),0.5),"n/a")</f>
        <v>3.117379834485976</v>
      </c>
      <c r="I53" s="6">
        <f>IFERROR(_xlfn.AGGREGATE(16,6,I40:I48/(($P$12:$P$20="yes")*ISNUMBER(I40:I48)),0.5),"n/a")</f>
        <v>0.17427652022481199</v>
      </c>
    </row>
    <row r="54" spans="1:15" x14ac:dyDescent="0.25">
      <c r="A54" s="10" t="s">
        <v>355</v>
      </c>
      <c r="B54" s="9">
        <f>IFERROR(SUMPRODUCT(($P$12:$P$20="yes")*ISNUMBER(B40:B48),B40:B48)/SUMPRODUCT(($P$12:$P$20="yes")*ISNUMBER(B40:B48)),"n/a")</f>
        <v>9.1546562080636971</v>
      </c>
      <c r="C54" s="9">
        <f>IFERROR(SUMPRODUCT(($P$12:$P$20="yes")*ISNUMBER(C40:C48),C40:C48)/SUMPRODUCT(($P$12:$P$20="yes")*ISNUMBER(C40:C48)),"n/a")</f>
        <v>9.0314854594216403</v>
      </c>
      <c r="D54" s="9">
        <f>IFERROR(SUMPRODUCT(($P$12:$P$20="yes")*ISNUMBER(D40:D48),D40:D48)/SUMPRODUCT(($P$12:$P$20="yes")*ISNUMBER(D40:D48)),"n/a")</f>
        <v>1.6686746201142484</v>
      </c>
      <c r="E54" s="9">
        <f>IFERROR(SUMPRODUCT(($Q$12:$Q$20="yes")*ISNUMBER(E40:E48),E40:E48)/SUMPRODUCT(($Q$12:$Q$20="yes")*ISNUMBER(E40:E48)),"n/a")</f>
        <v>17.433004151430584</v>
      </c>
      <c r="F54" s="9">
        <f>IFERROR(SUMPRODUCT(($Q$12:$Q$20="yes")*ISNUMBER(F40:F48),F40:F48)/SUMPRODUCT(($Q$12:$Q$20="yes")*ISNUMBER(F40:F48)),"n/a")</f>
        <v>13.149850870713525</v>
      </c>
      <c r="G54" s="6">
        <f>IFERROR(SUMPRODUCT(($P$12:$P$20="yes")*ISNUMBER(G40:G48),G40:G48)/SUMPRODUCT(($P$12:$P$20="yes")*ISNUMBER(G40:G48)),"n/a")</f>
        <v>0.10462075522339853</v>
      </c>
      <c r="H54" s="9">
        <f>IFERROR(SUMPRODUCT(($P$12:$P$20="yes")*ISNUMBER(H40:H48),H40:H48)/SUMPRODUCT(($P$12:$P$20="yes")*ISNUMBER(H40:H48)),"n/a")</f>
        <v>2.9297253995530066</v>
      </c>
      <c r="I54" s="6">
        <f>IFERROR(SUMPRODUCT(($P$12:$P$20="yes")*ISNUMBER(I40:I48),I40:I48)/SUMPRODUCT(($P$12:$P$20="yes")*ISNUMBER(I40:I48)),"n/a")</f>
        <v>0.17920597143760864</v>
      </c>
    </row>
    <row r="55" spans="1:15" x14ac:dyDescent="0.25">
      <c r="A55" s="10" t="s">
        <v>356</v>
      </c>
      <c r="B55">
        <f>SUMPRODUCT(($P$12:$P$20="yes")*ISNUMBER(B40:B48))</f>
        <v>6</v>
      </c>
      <c r="C55">
        <f>SUMPRODUCT(($P$12:$P$20="yes")*ISNUMBER(C40:C48))</f>
        <v>6</v>
      </c>
      <c r="D55">
        <f>SUMPRODUCT(($P$12:$P$20="yes")*ISNUMBER(D40:D48))</f>
        <v>6</v>
      </c>
      <c r="E55">
        <f>SUMPRODUCT(($Q$12:$Q$20="yes")*ISNUMBER(E40:E48))</f>
        <v>5</v>
      </c>
      <c r="F55">
        <f>SUMPRODUCT(($Q$12:$Q$20="yes")*ISNUMBER(F40:F48))</f>
        <v>5</v>
      </c>
      <c r="G55">
        <f>SUMPRODUCT(($P$12:$P$20="yes")*ISNUMBER(G40:G48))</f>
        <v>5</v>
      </c>
      <c r="H55">
        <f>SUMPRODUCT(($P$12:$P$20="yes")*ISNUMBER(H40:H48))</f>
        <v>6</v>
      </c>
      <c r="I55">
        <f>SUMPRODUCT(($P$12:$P$20="yes")*ISNUMBER(I40:I48))</f>
        <v>6</v>
      </c>
    </row>
    <row r="58" spans="1:15" x14ac:dyDescent="0.25">
      <c r="A58" s="10" t="s">
        <v>357</v>
      </c>
    </row>
    <row r="59" spans="1:15" ht="45" customHeight="1" x14ac:dyDescent="0.25">
      <c r="A59" s="11" t="s">
        <v>249</v>
      </c>
      <c r="B59" s="11" t="s">
        <v>358</v>
      </c>
      <c r="C59" s="11" t="s">
        <v>359</v>
      </c>
      <c r="D59" s="11" t="s">
        <v>360</v>
      </c>
      <c r="E59" s="11" t="s">
        <v>361</v>
      </c>
      <c r="F59" s="11" t="s">
        <v>362</v>
      </c>
      <c r="G59" s="11" t="s">
        <v>363</v>
      </c>
      <c r="H59" s="11" t="s">
        <v>364</v>
      </c>
      <c r="I59" s="11" t="s">
        <v>365</v>
      </c>
      <c r="J59" s="11" t="s">
        <v>366</v>
      </c>
      <c r="K59" s="11" t="s">
        <v>367</v>
      </c>
      <c r="L59" s="11" t="s">
        <v>368</v>
      </c>
      <c r="M59" s="11" t="s">
        <v>369</v>
      </c>
      <c r="N59" s="11" t="s">
        <v>337</v>
      </c>
      <c r="O59" s="11" t="s">
        <v>347</v>
      </c>
    </row>
    <row r="60" spans="1:15" x14ac:dyDescent="0.25">
      <c r="A60" t="s">
        <v>370</v>
      </c>
      <c r="B60">
        <f>Inputs_Sources!$D$327</f>
        <v>46387</v>
      </c>
      <c r="C60">
        <f>B60-Inputs_Sources!$D$6+1</f>
        <v>77</v>
      </c>
      <c r="D60">
        <f t="shared" ref="D60:D69" si="14">MIN(1,MAX(0,C60/365))</f>
        <v>0.21095890410958903</v>
      </c>
      <c r="E60">
        <f t="shared" ref="E60:E69" si="15">1-D60</f>
        <v>0.78904109589041094</v>
      </c>
      <c r="F60">
        <f>Detail_TearSheet!$H$19</f>
        <v>62117</v>
      </c>
      <c r="G60">
        <f>Detail_TearSheet!$I$19</f>
        <v>64891</v>
      </c>
      <c r="H60">
        <f t="shared" ref="H60:H69" si="16">IFERROR(D60*F60+E60*G60,"n/a")</f>
        <v>64305.799999999996</v>
      </c>
      <c r="I60">
        <f>Detail_TearSheet!$H$7</f>
        <v>426274.7</v>
      </c>
      <c r="J60">
        <f>Detail_TearSheet!$I$7</f>
        <v>445288</v>
      </c>
      <c r="K60">
        <f t="shared" ref="K60:K69" si="17">IFERROR(D60*I60+E60*J60,"n/a")</f>
        <v>441276.97506849311</v>
      </c>
      <c r="L60">
        <f>Detail_TearSheet!$H$24</f>
        <v>3.07</v>
      </c>
      <c r="M60">
        <f>Detail_TearSheet!$I$24</f>
        <v>3.35</v>
      </c>
      <c r="N60">
        <f>IFERROR(D60*L60+E60*M60,"n/a")</f>
        <v>3.290931506849315</v>
      </c>
      <c r="O60" t="s">
        <v>371</v>
      </c>
    </row>
    <row r="61" spans="1:15" x14ac:dyDescent="0.25">
      <c r="A61" t="s">
        <v>275</v>
      </c>
      <c r="B61">
        <f>Inputs_Sources!$D$242</f>
        <v>46389</v>
      </c>
      <c r="C61">
        <f>B61-Inputs_Sources!$D$6+1</f>
        <v>79</v>
      </c>
      <c r="D61">
        <f t="shared" si="14"/>
        <v>0.21643835616438356</v>
      </c>
      <c r="E61">
        <f t="shared" si="15"/>
        <v>0.78356164383561644</v>
      </c>
      <c r="F61">
        <f>Inputs_Sources!$D$243</f>
        <v>458.6</v>
      </c>
      <c r="G61">
        <f>Inputs_Sources!$D$245</f>
        <v>430.1</v>
      </c>
      <c r="H61">
        <f t="shared" si="16"/>
        <v>436.26849315068495</v>
      </c>
      <c r="I61">
        <f>Inputs_Sources!$D$244</f>
        <v>5075.8</v>
      </c>
      <c r="J61">
        <f>Inputs_Sources!$D$246</f>
        <v>5058.3</v>
      </c>
      <c r="K61">
        <f t="shared" si="17"/>
        <v>5062.0876712328773</v>
      </c>
      <c r="L61" t="s">
        <v>290</v>
      </c>
      <c r="M61" t="s">
        <v>290</v>
      </c>
      <c r="N61" t="s">
        <v>290</v>
      </c>
      <c r="O61" t="s">
        <v>372</v>
      </c>
    </row>
    <row r="62" spans="1:15" x14ac:dyDescent="0.25">
      <c r="A62" t="s">
        <v>282</v>
      </c>
      <c r="B62">
        <f>Inputs_Sources!$D$282</f>
        <v>46387</v>
      </c>
      <c r="C62">
        <f>B62-Inputs_Sources!$D$6+1</f>
        <v>77</v>
      </c>
      <c r="D62">
        <f t="shared" si="14"/>
        <v>0.21095890410958903</v>
      </c>
      <c r="E62">
        <f t="shared" si="15"/>
        <v>0.78904109589041094</v>
      </c>
      <c r="F62">
        <f>Inputs_Sources!$D$283</f>
        <v>1111.3699999999999</v>
      </c>
      <c r="G62">
        <f>Inputs_Sources!$D$332</f>
        <v>1059.18</v>
      </c>
      <c r="H62">
        <f t="shared" si="16"/>
        <v>1070.1899452054795</v>
      </c>
      <c r="I62">
        <f>Inputs_Sources!$D$330</f>
        <v>6648.35</v>
      </c>
      <c r="J62">
        <f>Inputs_Sources!$D$331</f>
        <v>6444.43</v>
      </c>
      <c r="K62">
        <f t="shared" si="17"/>
        <v>6487.4487397260273</v>
      </c>
      <c r="L62">
        <f>Inputs_Sources!$D$333</f>
        <v>1.4</v>
      </c>
      <c r="M62">
        <f>Inputs_Sources!$D$334</f>
        <v>1.33</v>
      </c>
      <c r="N62">
        <f>IFERROR(D62*L62+E62*M62,"n/a")</f>
        <v>1.3447671232876712</v>
      </c>
      <c r="O62" t="s">
        <v>373</v>
      </c>
    </row>
    <row r="63" spans="1:15" x14ac:dyDescent="0.25">
      <c r="A63" t="s">
        <v>287</v>
      </c>
      <c r="B63">
        <f>Inputs_Sources!$D$247</f>
        <v>46387</v>
      </c>
      <c r="C63">
        <f>B63-Inputs_Sources!$D$6+1</f>
        <v>77</v>
      </c>
      <c r="D63">
        <f t="shared" si="14"/>
        <v>0.21095890410958903</v>
      </c>
      <c r="E63">
        <f t="shared" si="15"/>
        <v>0.78904109589041094</v>
      </c>
      <c r="F63">
        <f>Inputs_Sources!$D$248</f>
        <v>700.1</v>
      </c>
      <c r="G63">
        <f>Inputs_Sources!$D$250</f>
        <v>741.5</v>
      </c>
      <c r="H63">
        <f t="shared" si="16"/>
        <v>732.76630136986296</v>
      </c>
      <c r="I63">
        <f>Inputs_Sources!$D$249</f>
        <v>8564.4</v>
      </c>
      <c r="J63">
        <f>Inputs_Sources!$D$251</f>
        <v>8795</v>
      </c>
      <c r="K63">
        <f t="shared" si="17"/>
        <v>8746.352876712328</v>
      </c>
      <c r="L63" t="s">
        <v>290</v>
      </c>
      <c r="M63" t="s">
        <v>290</v>
      </c>
      <c r="N63" t="s">
        <v>290</v>
      </c>
      <c r="O63" t="s">
        <v>372</v>
      </c>
    </row>
    <row r="64" spans="1:15" x14ac:dyDescent="0.25">
      <c r="A64" t="s">
        <v>294</v>
      </c>
      <c r="B64">
        <f>Inputs_Sources!$D$252</f>
        <v>46387</v>
      </c>
      <c r="C64">
        <f>B64-Inputs_Sources!$D$6+1</f>
        <v>77</v>
      </c>
      <c r="D64">
        <f t="shared" si="14"/>
        <v>0.21095890410958903</v>
      </c>
      <c r="E64">
        <f t="shared" si="15"/>
        <v>0.78904109589041094</v>
      </c>
      <c r="F64">
        <f>Inputs_Sources!$D$253</f>
        <v>354.7</v>
      </c>
      <c r="G64">
        <f>Inputs_Sources!$D$255</f>
        <v>363.6</v>
      </c>
      <c r="H64">
        <f t="shared" si="16"/>
        <v>361.72246575342467</v>
      </c>
      <c r="I64">
        <f>Inputs_Sources!$D$254</f>
        <v>2594.6999999999998</v>
      </c>
      <c r="J64">
        <f>Inputs_Sources!$D$256</f>
        <v>2562.6</v>
      </c>
      <c r="K64">
        <f t="shared" si="17"/>
        <v>2569.3717808219176</v>
      </c>
      <c r="L64" t="s">
        <v>290</v>
      </c>
      <c r="M64" t="s">
        <v>290</v>
      </c>
      <c r="N64" t="s">
        <v>290</v>
      </c>
      <c r="O64" t="s">
        <v>372</v>
      </c>
    </row>
    <row r="65" spans="1:15" x14ac:dyDescent="0.25">
      <c r="A65" t="s">
        <v>299</v>
      </c>
      <c r="B65">
        <f>Inputs_Sources!$D$257</f>
        <v>46507</v>
      </c>
      <c r="C65">
        <f>B65-Inputs_Sources!$D$6+1</f>
        <v>197</v>
      </c>
      <c r="D65">
        <f t="shared" si="14"/>
        <v>0.53972602739726028</v>
      </c>
      <c r="E65">
        <f t="shared" si="15"/>
        <v>0.46027397260273972</v>
      </c>
      <c r="F65">
        <f>Inputs_Sources!$D$258</f>
        <v>2181.3000000000002</v>
      </c>
      <c r="G65">
        <f>Inputs_Sources!$D$260</f>
        <v>2175.4</v>
      </c>
      <c r="H65">
        <f t="shared" si="16"/>
        <v>2178.5843835616442</v>
      </c>
      <c r="I65">
        <f>Inputs_Sources!$D$259</f>
        <v>8930.2999999999993</v>
      </c>
      <c r="J65">
        <f>Inputs_Sources!$D$261</f>
        <v>9037.5</v>
      </c>
      <c r="K65">
        <f t="shared" si="17"/>
        <v>8979.6413698630131</v>
      </c>
      <c r="L65" t="s">
        <v>290</v>
      </c>
      <c r="M65" t="s">
        <v>290</v>
      </c>
      <c r="N65" t="s">
        <v>290</v>
      </c>
      <c r="O65" t="s">
        <v>374</v>
      </c>
    </row>
    <row r="66" spans="1:15" x14ac:dyDescent="0.25">
      <c r="A66" t="s">
        <v>303</v>
      </c>
      <c r="B66">
        <f>Inputs_Sources!$D$262</f>
        <v>46600</v>
      </c>
      <c r="C66">
        <f>B66-Inputs_Sources!$D$6+1</f>
        <v>290</v>
      </c>
      <c r="D66">
        <f t="shared" si="14"/>
        <v>0.79452054794520544</v>
      </c>
      <c r="E66">
        <f t="shared" si="15"/>
        <v>0.20547945205479456</v>
      </c>
      <c r="F66">
        <f>Inputs_Sources!$D$263</f>
        <v>1464.6</v>
      </c>
      <c r="G66">
        <f>Inputs_Sources!$D$265</f>
        <v>1519.8</v>
      </c>
      <c r="H66">
        <f t="shared" si="16"/>
        <v>1475.9424657534246</v>
      </c>
      <c r="I66">
        <f>Inputs_Sources!$D$264</f>
        <v>9496.6</v>
      </c>
      <c r="J66">
        <f>Inputs_Sources!$D$266</f>
        <v>9469.4</v>
      </c>
      <c r="K66">
        <f t="shared" si="17"/>
        <v>9491.0109589041094</v>
      </c>
      <c r="L66" t="s">
        <v>290</v>
      </c>
      <c r="M66" t="s">
        <v>290</v>
      </c>
      <c r="N66" t="s">
        <v>290</v>
      </c>
      <c r="O66" t="s">
        <v>374</v>
      </c>
    </row>
    <row r="67" spans="1:15" x14ac:dyDescent="0.25">
      <c r="A67" t="s">
        <v>307</v>
      </c>
      <c r="B67">
        <f>Inputs_Sources!$D$267</f>
        <v>46387</v>
      </c>
      <c r="C67">
        <f>B67-Inputs_Sources!$D$6+1</f>
        <v>77</v>
      </c>
      <c r="D67">
        <f t="shared" si="14"/>
        <v>0.21095890410958903</v>
      </c>
      <c r="E67">
        <f t="shared" si="15"/>
        <v>0.78904109589041094</v>
      </c>
      <c r="F67">
        <f>Inputs_Sources!$D$268</f>
        <v>6735.2</v>
      </c>
      <c r="G67">
        <f>Inputs_Sources!$D$270</f>
        <v>7265</v>
      </c>
      <c r="H67">
        <f t="shared" si="16"/>
        <v>7153.2339726027394</v>
      </c>
      <c r="I67">
        <f>Inputs_Sources!$D$269</f>
        <v>40101.199999999997</v>
      </c>
      <c r="J67">
        <f>Inputs_Sources!$D$271</f>
        <v>41232.9</v>
      </c>
      <c r="K67">
        <f t="shared" si="17"/>
        <v>40994.157808219177</v>
      </c>
      <c r="L67" t="s">
        <v>290</v>
      </c>
      <c r="M67" t="s">
        <v>290</v>
      </c>
      <c r="N67" t="s">
        <v>290</v>
      </c>
      <c r="O67" t="s">
        <v>372</v>
      </c>
    </row>
    <row r="68" spans="1:15" x14ac:dyDescent="0.25">
      <c r="A68" t="s">
        <v>311</v>
      </c>
      <c r="B68">
        <f>Inputs_Sources!$D$272</f>
        <v>46387</v>
      </c>
      <c r="C68">
        <f>B68-Inputs_Sources!$D$6+1</f>
        <v>77</v>
      </c>
      <c r="D68">
        <f t="shared" si="14"/>
        <v>0.21095890410958903</v>
      </c>
      <c r="E68">
        <f t="shared" si="15"/>
        <v>0.78904109589041094</v>
      </c>
      <c r="F68">
        <f>Inputs_Sources!$D$273</f>
        <v>2930.2</v>
      </c>
      <c r="G68">
        <f>Inputs_Sources!$D$275</f>
        <v>3006.3</v>
      </c>
      <c r="H68">
        <f t="shared" si="16"/>
        <v>2990.2460273972601</v>
      </c>
      <c r="I68">
        <f>Inputs_Sources!$D$274</f>
        <v>14453.8</v>
      </c>
      <c r="J68">
        <f>Inputs_Sources!$D$276</f>
        <v>14628.6</v>
      </c>
      <c r="K68">
        <f t="shared" si="17"/>
        <v>14591.724383561643</v>
      </c>
      <c r="L68" t="s">
        <v>290</v>
      </c>
      <c r="M68" t="s">
        <v>290</v>
      </c>
      <c r="N68" t="s">
        <v>290</v>
      </c>
      <c r="O68" t="s">
        <v>372</v>
      </c>
    </row>
    <row r="69" spans="1:15" x14ac:dyDescent="0.25">
      <c r="A69" t="s">
        <v>315</v>
      </c>
      <c r="B69">
        <f>Inputs_Sources!$D$277</f>
        <v>46387</v>
      </c>
      <c r="C69">
        <f>B69-Inputs_Sources!$D$6+1</f>
        <v>77</v>
      </c>
      <c r="D69">
        <f t="shared" si="14"/>
        <v>0.21095890410958903</v>
      </c>
      <c r="E69">
        <f t="shared" si="15"/>
        <v>0.78904109589041094</v>
      </c>
      <c r="F69">
        <f>Inputs_Sources!$D$278</f>
        <v>19050.5</v>
      </c>
      <c r="G69">
        <f>Inputs_Sources!$D$280</f>
        <v>19587.099999999999</v>
      </c>
      <c r="H69">
        <f t="shared" si="16"/>
        <v>19473.899452054793</v>
      </c>
      <c r="I69">
        <f>Inputs_Sources!$D$279</f>
        <v>99300.5</v>
      </c>
      <c r="J69">
        <f>Inputs_Sources!$D$281</f>
        <v>101773.1</v>
      </c>
      <c r="K69">
        <f t="shared" si="17"/>
        <v>101251.48301369864</v>
      </c>
      <c r="L69" t="s">
        <v>290</v>
      </c>
      <c r="M69" t="s">
        <v>290</v>
      </c>
      <c r="N69" t="s">
        <v>290</v>
      </c>
      <c r="O69" t="s">
        <v>372</v>
      </c>
    </row>
    <row r="72" spans="1:15" x14ac:dyDescent="0.25">
      <c r="A72" s="10" t="s">
        <v>375</v>
      </c>
    </row>
    <row r="73" spans="1:15" x14ac:dyDescent="0.25">
      <c r="A73" t="s">
        <v>376</v>
      </c>
      <c r="B73" s="8">
        <f>F11*G11</f>
        <v>251681.13999999998</v>
      </c>
    </row>
    <row r="74" spans="1:15" x14ac:dyDescent="0.25">
      <c r="A74" t="s">
        <v>377</v>
      </c>
      <c r="B74" s="8">
        <f>N11/H11</f>
        <v>171179.99999999997</v>
      </c>
    </row>
    <row r="75" spans="1:15" x14ac:dyDescent="0.25">
      <c r="A75" t="s">
        <v>378</v>
      </c>
      <c r="B75" s="8">
        <f>O11/H11</f>
        <v>422861.13999999996</v>
      </c>
    </row>
    <row r="76" spans="1:15" x14ac:dyDescent="0.25">
      <c r="A76" t="s">
        <v>379</v>
      </c>
      <c r="B76" s="8">
        <f>J25/H11</f>
        <v>60919</v>
      </c>
    </row>
    <row r="77" spans="1:15" x14ac:dyDescent="0.25">
      <c r="A77" t="s">
        <v>380</v>
      </c>
      <c r="B77" s="8">
        <f>Inputs_Sources!$D$20+Inputs_Sources!$D$21</f>
        <v>60326</v>
      </c>
    </row>
    <row r="78" spans="1:15" x14ac:dyDescent="0.25">
      <c r="A78" t="s">
        <v>381</v>
      </c>
      <c r="B78" s="9">
        <f>IFERROR(O11/J25,"n/a")</f>
        <v>6.9413670611795988</v>
      </c>
    </row>
    <row r="79" spans="1:15" x14ac:dyDescent="0.25">
      <c r="A79" t="s">
        <v>382</v>
      </c>
      <c r="B79" s="9">
        <f>IFERROR(O11/((Inputs_Sources!$D$20+Inputs_Sources!$D$21)*H11),"n/a")</f>
        <v>7.0096001723966443</v>
      </c>
    </row>
    <row r="80" spans="1:15" x14ac:dyDescent="0.25">
      <c r="A80" t="s">
        <v>383</v>
      </c>
      <c r="B80" s="9">
        <f>IFERROR(O11/L25,"n/a")</f>
        <v>6.5757853879432338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727"/>
  <sheetViews>
    <sheetView workbookViewId="0">
      <pane ySplit="4" topLeftCell="A5" activePane="bottomLeft" state="frozen"/>
      <selection pane="bottomLeft"/>
    </sheetView>
  </sheetViews>
  <sheetFormatPr defaultRowHeight="15" x14ac:dyDescent="0.25"/>
  <cols>
    <col min="1" max="1" width="24" customWidth="1"/>
    <col min="2" max="2" width="26" customWidth="1"/>
    <col min="3" max="3" width="60" customWidth="1"/>
    <col min="4" max="4" width="14" customWidth="1"/>
    <col min="8" max="8" width="80" customWidth="1"/>
    <col min="10" max="10" width="60" customWidth="1"/>
  </cols>
  <sheetData>
    <row r="1" spans="1:10" ht="15.75" customHeight="1" x14ac:dyDescent="0.25">
      <c r="A1" s="1" t="s">
        <v>384</v>
      </c>
    </row>
    <row r="2" spans="1:10" x14ac:dyDescent="0.25">
      <c r="A2" t="s">
        <v>385</v>
      </c>
    </row>
    <row r="4" spans="1:10" x14ac:dyDescent="0.25">
      <c r="A4" s="2" t="s">
        <v>386</v>
      </c>
      <c r="B4" s="2" t="s">
        <v>387</v>
      </c>
      <c r="C4" s="2" t="s">
        <v>388</v>
      </c>
      <c r="D4" s="2" t="s">
        <v>389</v>
      </c>
      <c r="E4" s="2" t="s">
        <v>152</v>
      </c>
      <c r="F4" s="2" t="s">
        <v>390</v>
      </c>
      <c r="G4" s="2" t="s">
        <v>161</v>
      </c>
      <c r="H4" s="2" t="s">
        <v>391</v>
      </c>
      <c r="I4" s="2" t="s">
        <v>392</v>
      </c>
      <c r="J4" s="2" t="s">
        <v>393</v>
      </c>
    </row>
    <row r="5" spans="1:10" x14ac:dyDescent="0.25">
      <c r="A5" s="3" t="s">
        <v>394</v>
      </c>
      <c r="B5" s="4"/>
      <c r="C5" s="4"/>
      <c r="D5" s="4"/>
      <c r="E5" s="4"/>
      <c r="F5" s="4"/>
      <c r="G5" s="4"/>
      <c r="H5" s="4"/>
      <c r="I5" s="4"/>
      <c r="J5" s="4"/>
    </row>
    <row r="6" spans="1:10" x14ac:dyDescent="0.25">
      <c r="A6" t="s">
        <v>395</v>
      </c>
      <c r="B6" t="s">
        <v>396</v>
      </c>
      <c r="C6" t="s">
        <v>397</v>
      </c>
      <c r="D6" s="12">
        <v>46311</v>
      </c>
      <c r="E6" t="s">
        <v>398</v>
      </c>
      <c r="G6" t="s">
        <v>171</v>
      </c>
      <c r="H6" t="s">
        <v>399</v>
      </c>
      <c r="I6" t="s">
        <v>10</v>
      </c>
    </row>
    <row r="7" spans="1:10" x14ac:dyDescent="0.25">
      <c r="A7" t="s">
        <v>400</v>
      </c>
      <c r="B7" t="s">
        <v>396</v>
      </c>
      <c r="C7" t="s">
        <v>401</v>
      </c>
      <c r="D7" s="13">
        <v>6.4819999999999999E-3</v>
      </c>
      <c r="E7" t="s">
        <v>402</v>
      </c>
      <c r="F7" t="s">
        <v>277</v>
      </c>
      <c r="G7" t="s">
        <v>171</v>
      </c>
      <c r="H7" t="s">
        <v>403</v>
      </c>
      <c r="I7" t="s">
        <v>10</v>
      </c>
    </row>
    <row r="8" spans="1:10" x14ac:dyDescent="0.25">
      <c r="A8" t="s">
        <v>404</v>
      </c>
      <c r="B8" t="s">
        <v>396</v>
      </c>
      <c r="C8" t="s">
        <v>405</v>
      </c>
      <c r="D8" s="14">
        <v>1.1665589999999999</v>
      </c>
      <c r="E8" t="s">
        <v>406</v>
      </c>
      <c r="F8" t="s">
        <v>277</v>
      </c>
      <c r="G8" t="s">
        <v>171</v>
      </c>
      <c r="H8" t="s">
        <v>407</v>
      </c>
      <c r="I8" t="s">
        <v>10</v>
      </c>
    </row>
    <row r="9" spans="1:10" x14ac:dyDescent="0.25">
      <c r="A9" t="s">
        <v>408</v>
      </c>
      <c r="B9" t="s">
        <v>396</v>
      </c>
      <c r="C9" t="s">
        <v>409</v>
      </c>
      <c r="D9" s="13">
        <v>5.5690000000000003E-2</v>
      </c>
      <c r="E9" t="s">
        <v>410</v>
      </c>
      <c r="F9" t="s">
        <v>277</v>
      </c>
      <c r="G9" t="s">
        <v>171</v>
      </c>
      <c r="H9" t="s">
        <v>411</v>
      </c>
      <c r="I9" t="s">
        <v>10</v>
      </c>
    </row>
    <row r="10" spans="1:10" x14ac:dyDescent="0.25">
      <c r="A10" t="s">
        <v>412</v>
      </c>
      <c r="B10" t="s">
        <v>396</v>
      </c>
      <c r="C10" t="s">
        <v>413</v>
      </c>
      <c r="D10" s="14">
        <v>18.478999999999999</v>
      </c>
      <c r="E10" t="s">
        <v>414</v>
      </c>
      <c r="F10" t="s">
        <v>270</v>
      </c>
      <c r="G10" t="s">
        <v>171</v>
      </c>
      <c r="H10" t="s">
        <v>415</v>
      </c>
      <c r="I10" t="s">
        <v>416</v>
      </c>
      <c r="J10" t="s">
        <v>417</v>
      </c>
    </row>
    <row r="11" spans="1:10" x14ac:dyDescent="0.25">
      <c r="A11" t="s">
        <v>418</v>
      </c>
      <c r="B11" t="s">
        <v>419</v>
      </c>
      <c r="C11" t="s">
        <v>420</v>
      </c>
      <c r="D11" s="14">
        <f>$D$10</f>
        <v>18.478999999999999</v>
      </c>
      <c r="E11" t="s">
        <v>414</v>
      </c>
      <c r="F11" t="s">
        <v>270</v>
      </c>
      <c r="G11" t="s">
        <v>169</v>
      </c>
      <c r="H11" t="s">
        <v>421</v>
      </c>
      <c r="I11" t="s">
        <v>416</v>
      </c>
      <c r="J11" t="s">
        <v>422</v>
      </c>
    </row>
    <row r="12" spans="1:10" x14ac:dyDescent="0.25">
      <c r="A12" s="3" t="s">
        <v>423</v>
      </c>
      <c r="B12" s="4"/>
      <c r="C12" s="4"/>
      <c r="D12" s="4"/>
      <c r="E12" s="4"/>
      <c r="F12" s="4"/>
      <c r="G12" s="4"/>
      <c r="H12" s="4"/>
      <c r="I12" s="4"/>
      <c r="J12" s="4"/>
    </row>
    <row r="13" spans="1:10" x14ac:dyDescent="0.25">
      <c r="A13" t="s">
        <v>424</v>
      </c>
      <c r="B13" t="s">
        <v>419</v>
      </c>
      <c r="C13" t="s">
        <v>425</v>
      </c>
      <c r="D13" s="14">
        <v>58.6</v>
      </c>
      <c r="E13" t="s">
        <v>426</v>
      </c>
      <c r="F13" t="s">
        <v>270</v>
      </c>
      <c r="G13" t="s">
        <v>171</v>
      </c>
      <c r="H13" t="s">
        <v>427</v>
      </c>
      <c r="I13" t="s">
        <v>10</v>
      </c>
      <c r="J13" t="s">
        <v>428</v>
      </c>
    </row>
    <row r="14" spans="1:10" x14ac:dyDescent="0.25">
      <c r="A14" t="s">
        <v>429</v>
      </c>
      <c r="B14" t="s">
        <v>419</v>
      </c>
      <c r="C14" t="s">
        <v>430</v>
      </c>
      <c r="D14" s="14">
        <v>4294.8999999999996</v>
      </c>
      <c r="E14" t="s">
        <v>431</v>
      </c>
      <c r="F14" t="s">
        <v>432</v>
      </c>
      <c r="G14" t="s">
        <v>171</v>
      </c>
      <c r="H14" t="s">
        <v>433</v>
      </c>
      <c r="I14" t="s">
        <v>434</v>
      </c>
      <c r="J14" t="s">
        <v>435</v>
      </c>
    </row>
    <row r="15" spans="1:10" x14ac:dyDescent="0.25">
      <c r="A15" t="s">
        <v>436</v>
      </c>
      <c r="B15" t="s">
        <v>419</v>
      </c>
      <c r="C15" t="s">
        <v>437</v>
      </c>
      <c r="D15" s="14">
        <v>189679.4</v>
      </c>
      <c r="E15" t="s">
        <v>164</v>
      </c>
      <c r="F15" t="s">
        <v>270</v>
      </c>
      <c r="G15" t="s">
        <v>171</v>
      </c>
      <c r="H15" t="s">
        <v>438</v>
      </c>
      <c r="I15" t="s">
        <v>439</v>
      </c>
      <c r="J15" t="s">
        <v>440</v>
      </c>
    </row>
    <row r="16" spans="1:10" x14ac:dyDescent="0.25">
      <c r="A16" t="s">
        <v>441</v>
      </c>
      <c r="B16" t="s">
        <v>419</v>
      </c>
      <c r="C16" t="s">
        <v>442</v>
      </c>
      <c r="D16" s="14">
        <v>16563</v>
      </c>
      <c r="E16" t="s">
        <v>164</v>
      </c>
      <c r="F16" t="s">
        <v>270</v>
      </c>
      <c r="G16" t="s">
        <v>171</v>
      </c>
      <c r="H16" t="s">
        <v>443</v>
      </c>
      <c r="I16" t="s">
        <v>439</v>
      </c>
    </row>
    <row r="17" spans="1:10" x14ac:dyDescent="0.25">
      <c r="A17" t="s">
        <v>444</v>
      </c>
      <c r="B17" t="s">
        <v>419</v>
      </c>
      <c r="C17" t="s">
        <v>445</v>
      </c>
      <c r="D17" s="14">
        <v>722</v>
      </c>
      <c r="E17" t="s">
        <v>164</v>
      </c>
      <c r="F17" t="s">
        <v>270</v>
      </c>
      <c r="G17" t="s">
        <v>171</v>
      </c>
      <c r="H17" t="s">
        <v>446</v>
      </c>
      <c r="I17" t="s">
        <v>439</v>
      </c>
    </row>
    <row r="18" spans="1:10" x14ac:dyDescent="0.25">
      <c r="A18" t="s">
        <v>447</v>
      </c>
      <c r="B18" t="s">
        <v>419</v>
      </c>
      <c r="C18" t="s">
        <v>448</v>
      </c>
      <c r="D18" s="14">
        <v>153660</v>
      </c>
      <c r="E18" t="s">
        <v>164</v>
      </c>
      <c r="F18" t="s">
        <v>270</v>
      </c>
      <c r="G18" t="s">
        <v>171</v>
      </c>
      <c r="H18" t="s">
        <v>449</v>
      </c>
      <c r="I18" t="s">
        <v>439</v>
      </c>
      <c r="J18" t="s">
        <v>450</v>
      </c>
    </row>
    <row r="19" spans="1:10" x14ac:dyDescent="0.25">
      <c r="A19" t="s">
        <v>451</v>
      </c>
      <c r="B19" t="s">
        <v>419</v>
      </c>
      <c r="C19" t="s">
        <v>452</v>
      </c>
      <c r="D19" s="14">
        <v>33361</v>
      </c>
      <c r="E19" t="s">
        <v>164</v>
      </c>
      <c r="F19" t="s">
        <v>270</v>
      </c>
      <c r="G19" t="s">
        <v>171</v>
      </c>
      <c r="H19" t="s">
        <v>453</v>
      </c>
      <c r="I19" t="s">
        <v>439</v>
      </c>
    </row>
    <row r="20" spans="1:10" x14ac:dyDescent="0.25">
      <c r="A20" t="s">
        <v>454</v>
      </c>
      <c r="B20" t="s">
        <v>419</v>
      </c>
      <c r="C20" t="s">
        <v>455</v>
      </c>
      <c r="D20" s="14">
        <v>35666</v>
      </c>
      <c r="E20" t="s">
        <v>164</v>
      </c>
      <c r="F20" t="s">
        <v>270</v>
      </c>
      <c r="G20" t="s">
        <v>171</v>
      </c>
      <c r="H20" t="s">
        <v>456</v>
      </c>
      <c r="I20" t="s">
        <v>439</v>
      </c>
    </row>
    <row r="21" spans="1:10" x14ac:dyDescent="0.25">
      <c r="A21" t="s">
        <v>457</v>
      </c>
      <c r="B21" t="s">
        <v>419</v>
      </c>
      <c r="C21" t="s">
        <v>458</v>
      </c>
      <c r="D21" s="14">
        <v>24660</v>
      </c>
      <c r="E21" t="s">
        <v>164</v>
      </c>
      <c r="F21" t="s">
        <v>270</v>
      </c>
      <c r="G21" t="s">
        <v>171</v>
      </c>
      <c r="H21" t="s">
        <v>456</v>
      </c>
      <c r="I21" t="s">
        <v>439</v>
      </c>
    </row>
    <row r="22" spans="1:10" x14ac:dyDescent="0.25">
      <c r="A22" t="s">
        <v>459</v>
      </c>
      <c r="B22" t="s">
        <v>419</v>
      </c>
      <c r="C22" t="s">
        <v>460</v>
      </c>
      <c r="D22" s="14">
        <v>7112.9</v>
      </c>
      <c r="E22" t="s">
        <v>164</v>
      </c>
      <c r="F22" t="s">
        <v>270</v>
      </c>
      <c r="G22" t="s">
        <v>171</v>
      </c>
      <c r="H22" t="s">
        <v>461</v>
      </c>
      <c r="I22" t="s">
        <v>439</v>
      </c>
    </row>
    <row r="23" spans="1:10" x14ac:dyDescent="0.25">
      <c r="A23" t="s">
        <v>462</v>
      </c>
      <c r="B23" t="s">
        <v>419</v>
      </c>
      <c r="C23" t="s">
        <v>463</v>
      </c>
      <c r="D23" s="14">
        <v>26248</v>
      </c>
      <c r="E23" t="s">
        <v>164</v>
      </c>
      <c r="F23" t="s">
        <v>270</v>
      </c>
      <c r="G23" t="s">
        <v>171</v>
      </c>
      <c r="H23" t="s">
        <v>464</v>
      </c>
      <c r="I23" t="s">
        <v>439</v>
      </c>
    </row>
    <row r="24" spans="1:10" x14ac:dyDescent="0.25">
      <c r="A24" t="s">
        <v>465</v>
      </c>
      <c r="B24" t="s">
        <v>419</v>
      </c>
      <c r="C24" t="s">
        <v>466</v>
      </c>
      <c r="D24" s="14">
        <v>137100</v>
      </c>
      <c r="E24" t="s">
        <v>164</v>
      </c>
      <c r="F24" t="s">
        <v>270</v>
      </c>
      <c r="G24" t="s">
        <v>171</v>
      </c>
      <c r="H24" t="s">
        <v>467</v>
      </c>
      <c r="I24" t="s">
        <v>439</v>
      </c>
      <c r="J24" t="s">
        <v>468</v>
      </c>
    </row>
    <row r="25" spans="1:10" x14ac:dyDescent="0.25">
      <c r="A25" t="s">
        <v>469</v>
      </c>
      <c r="B25" t="s">
        <v>419</v>
      </c>
      <c r="C25" t="s">
        <v>470</v>
      </c>
      <c r="D25" s="14">
        <v>15776</v>
      </c>
      <c r="E25" t="s">
        <v>164</v>
      </c>
      <c r="F25" t="s">
        <v>270</v>
      </c>
      <c r="G25" t="s">
        <v>171</v>
      </c>
      <c r="H25" t="s">
        <v>471</v>
      </c>
      <c r="I25" t="s">
        <v>439</v>
      </c>
    </row>
    <row r="26" spans="1:10" x14ac:dyDescent="0.25">
      <c r="A26" t="s">
        <v>472</v>
      </c>
      <c r="B26" t="s">
        <v>419</v>
      </c>
      <c r="C26" t="s">
        <v>473</v>
      </c>
      <c r="D26" s="14">
        <v>15994</v>
      </c>
      <c r="E26" t="s">
        <v>164</v>
      </c>
      <c r="F26" t="s">
        <v>270</v>
      </c>
      <c r="G26" t="s">
        <v>171</v>
      </c>
      <c r="H26" t="s">
        <v>471</v>
      </c>
      <c r="I26" t="s">
        <v>439</v>
      </c>
    </row>
    <row r="27" spans="1:10" x14ac:dyDescent="0.25">
      <c r="A27" t="s">
        <v>474</v>
      </c>
      <c r="B27" t="s">
        <v>419</v>
      </c>
      <c r="C27" t="s">
        <v>475</v>
      </c>
      <c r="D27" s="14">
        <v>14036</v>
      </c>
      <c r="E27" t="s">
        <v>164</v>
      </c>
      <c r="F27" t="s">
        <v>270</v>
      </c>
      <c r="G27" t="s">
        <v>171</v>
      </c>
      <c r="H27" t="s">
        <v>471</v>
      </c>
      <c r="I27" t="s">
        <v>439</v>
      </c>
    </row>
    <row r="28" spans="1:10" x14ac:dyDescent="0.25">
      <c r="A28" t="s">
        <v>476</v>
      </c>
      <c r="B28" t="s">
        <v>419</v>
      </c>
      <c r="C28" t="s">
        <v>477</v>
      </c>
      <c r="D28" s="14">
        <v>15113</v>
      </c>
      <c r="E28" t="s">
        <v>164</v>
      </c>
      <c r="F28" t="s">
        <v>270</v>
      </c>
      <c r="G28" t="s">
        <v>171</v>
      </c>
      <c r="H28" t="s">
        <v>471</v>
      </c>
      <c r="I28" t="s">
        <v>439</v>
      </c>
    </row>
    <row r="29" spans="1:10" x14ac:dyDescent="0.25">
      <c r="A29" t="s">
        <v>478</v>
      </c>
      <c r="B29" t="s">
        <v>419</v>
      </c>
      <c r="C29" t="s">
        <v>479</v>
      </c>
      <c r="D29" s="14">
        <v>421423</v>
      </c>
      <c r="E29" t="s">
        <v>164</v>
      </c>
      <c r="F29" t="s">
        <v>270</v>
      </c>
      <c r="G29" t="s">
        <v>171</v>
      </c>
      <c r="H29" t="s">
        <v>480</v>
      </c>
      <c r="I29" t="s">
        <v>439</v>
      </c>
    </row>
    <row r="30" spans="1:10" x14ac:dyDescent="0.25">
      <c r="A30" t="s">
        <v>481</v>
      </c>
      <c r="B30" t="s">
        <v>419</v>
      </c>
      <c r="C30" t="s">
        <v>482</v>
      </c>
      <c r="D30" s="14">
        <v>0.78200000000000003</v>
      </c>
      <c r="E30" t="s">
        <v>426</v>
      </c>
      <c r="F30" t="s">
        <v>270</v>
      </c>
      <c r="G30" t="s">
        <v>171</v>
      </c>
      <c r="H30" t="s">
        <v>483</v>
      </c>
      <c r="I30" t="s">
        <v>439</v>
      </c>
    </row>
    <row r="31" spans="1:10" x14ac:dyDescent="0.25">
      <c r="A31" t="s">
        <v>484</v>
      </c>
      <c r="B31" t="s">
        <v>419</v>
      </c>
      <c r="C31" t="s">
        <v>485</v>
      </c>
      <c r="D31" s="14">
        <v>0.86599999999999999</v>
      </c>
      <c r="E31" t="s">
        <v>426</v>
      </c>
      <c r="F31" t="s">
        <v>270</v>
      </c>
      <c r="G31" t="s">
        <v>171</v>
      </c>
      <c r="H31" t="s">
        <v>486</v>
      </c>
      <c r="I31" t="s">
        <v>439</v>
      </c>
    </row>
    <row r="32" spans="1:10" x14ac:dyDescent="0.25">
      <c r="A32" t="s">
        <v>487</v>
      </c>
      <c r="B32" t="s">
        <v>419</v>
      </c>
      <c r="C32" t="s">
        <v>488</v>
      </c>
      <c r="D32" s="14">
        <v>0.85299999999999998</v>
      </c>
      <c r="E32" t="s">
        <v>426</v>
      </c>
      <c r="F32" t="s">
        <v>270</v>
      </c>
      <c r="G32" t="s">
        <v>171</v>
      </c>
      <c r="H32" t="s">
        <v>489</v>
      </c>
      <c r="I32" t="s">
        <v>439</v>
      </c>
    </row>
    <row r="33" spans="1:10" x14ac:dyDescent="0.25">
      <c r="A33" t="s">
        <v>490</v>
      </c>
      <c r="B33" t="s">
        <v>419</v>
      </c>
      <c r="C33" t="s">
        <v>491</v>
      </c>
      <c r="D33" s="14">
        <v>0.67400000000000004</v>
      </c>
      <c r="E33" t="s">
        <v>426</v>
      </c>
      <c r="F33" t="s">
        <v>270</v>
      </c>
      <c r="G33" t="s">
        <v>171</v>
      </c>
      <c r="H33" t="s">
        <v>492</v>
      </c>
      <c r="I33" t="s">
        <v>439</v>
      </c>
    </row>
    <row r="34" spans="1:10" x14ac:dyDescent="0.25">
      <c r="A34" t="s">
        <v>493</v>
      </c>
      <c r="B34" t="s">
        <v>419</v>
      </c>
      <c r="C34" t="s">
        <v>494</v>
      </c>
      <c r="D34" s="14">
        <v>221490.26300000001</v>
      </c>
      <c r="E34" t="s">
        <v>164</v>
      </c>
      <c r="F34" t="s">
        <v>270</v>
      </c>
      <c r="G34" t="s">
        <v>171</v>
      </c>
      <c r="H34" t="s">
        <v>495</v>
      </c>
      <c r="I34" t="s">
        <v>439</v>
      </c>
    </row>
    <row r="35" spans="1:10" x14ac:dyDescent="0.25">
      <c r="A35" t="s">
        <v>496</v>
      </c>
      <c r="B35" t="s">
        <v>419</v>
      </c>
      <c r="C35" t="s">
        <v>497</v>
      </c>
      <c r="D35" s="14">
        <v>25433.349375000002</v>
      </c>
      <c r="E35" t="s">
        <v>164</v>
      </c>
      <c r="F35" t="s">
        <v>270</v>
      </c>
      <c r="G35" t="s">
        <v>171</v>
      </c>
      <c r="H35" t="s">
        <v>498</v>
      </c>
      <c r="I35" t="s">
        <v>439</v>
      </c>
    </row>
    <row r="36" spans="1:10" x14ac:dyDescent="0.25">
      <c r="A36" s="3" t="s">
        <v>499</v>
      </c>
      <c r="B36" s="4"/>
      <c r="C36" s="4"/>
      <c r="D36" s="4"/>
      <c r="E36" s="4"/>
      <c r="F36" s="4"/>
      <c r="G36" s="4"/>
      <c r="H36" s="4"/>
      <c r="I36" s="4"/>
      <c r="J36" s="4"/>
    </row>
    <row r="37" spans="1:10" x14ac:dyDescent="0.25">
      <c r="A37" t="s">
        <v>500</v>
      </c>
      <c r="B37" t="s">
        <v>275</v>
      </c>
      <c r="C37" t="s">
        <v>501</v>
      </c>
      <c r="D37" s="14">
        <v>1295.7</v>
      </c>
      <c r="E37" t="s">
        <v>502</v>
      </c>
      <c r="F37" t="s">
        <v>277</v>
      </c>
      <c r="G37" t="s">
        <v>171</v>
      </c>
      <c r="H37" t="s">
        <v>503</v>
      </c>
      <c r="I37" t="s">
        <v>10</v>
      </c>
    </row>
    <row r="38" spans="1:10" x14ac:dyDescent="0.25">
      <c r="A38" t="s">
        <v>504</v>
      </c>
      <c r="B38" t="s">
        <v>275</v>
      </c>
      <c r="C38" t="s">
        <v>505</v>
      </c>
      <c r="D38" s="14">
        <v>212.1</v>
      </c>
      <c r="E38" t="s">
        <v>431</v>
      </c>
      <c r="F38" t="s">
        <v>432</v>
      </c>
      <c r="G38" t="s">
        <v>171</v>
      </c>
      <c r="H38" t="s">
        <v>503</v>
      </c>
      <c r="I38" t="s">
        <v>10</v>
      </c>
    </row>
    <row r="39" spans="1:10" x14ac:dyDescent="0.25">
      <c r="A39" t="s">
        <v>506</v>
      </c>
      <c r="B39" t="s">
        <v>275</v>
      </c>
      <c r="C39" t="s">
        <v>507</v>
      </c>
      <c r="D39" s="14">
        <v>3250.7</v>
      </c>
      <c r="E39" t="s">
        <v>502</v>
      </c>
      <c r="F39" t="s">
        <v>277</v>
      </c>
      <c r="G39" t="s">
        <v>171</v>
      </c>
      <c r="H39" t="s">
        <v>503</v>
      </c>
      <c r="I39" t="s">
        <v>10</v>
      </c>
    </row>
    <row r="40" spans="1:10" x14ac:dyDescent="0.25">
      <c r="A40" t="s">
        <v>508</v>
      </c>
      <c r="B40" t="s">
        <v>275</v>
      </c>
      <c r="C40" t="s">
        <v>509</v>
      </c>
      <c r="D40" s="14">
        <v>0</v>
      </c>
      <c r="E40" t="s">
        <v>502</v>
      </c>
      <c r="F40" t="s">
        <v>277</v>
      </c>
      <c r="G40" t="s">
        <v>171</v>
      </c>
      <c r="H40" t="s">
        <v>510</v>
      </c>
      <c r="I40" t="s">
        <v>10</v>
      </c>
      <c r="J40" t="s">
        <v>511</v>
      </c>
    </row>
    <row r="41" spans="1:10" x14ac:dyDescent="0.25">
      <c r="A41" t="s">
        <v>512</v>
      </c>
      <c r="B41" t="s">
        <v>275</v>
      </c>
      <c r="C41" t="s">
        <v>513</v>
      </c>
      <c r="D41" s="14">
        <v>1955</v>
      </c>
      <c r="E41" t="s">
        <v>502</v>
      </c>
      <c r="F41" t="s">
        <v>277</v>
      </c>
      <c r="G41" t="s">
        <v>171</v>
      </c>
      <c r="H41" t="s">
        <v>503</v>
      </c>
      <c r="I41" t="s">
        <v>10</v>
      </c>
    </row>
    <row r="42" spans="1:10" x14ac:dyDescent="0.25">
      <c r="A42" t="s">
        <v>514</v>
      </c>
      <c r="B42" t="s">
        <v>275</v>
      </c>
      <c r="C42" t="s">
        <v>515</v>
      </c>
      <c r="D42" s="14">
        <v>486.9</v>
      </c>
      <c r="E42" t="s">
        <v>502</v>
      </c>
      <c r="F42" t="s">
        <v>277</v>
      </c>
      <c r="G42" t="s">
        <v>171</v>
      </c>
      <c r="H42" t="s">
        <v>503</v>
      </c>
      <c r="I42" t="s">
        <v>10</v>
      </c>
    </row>
    <row r="43" spans="1:10" x14ac:dyDescent="0.25">
      <c r="A43" t="s">
        <v>516</v>
      </c>
      <c r="B43" t="s">
        <v>275</v>
      </c>
      <c r="C43" t="s">
        <v>517</v>
      </c>
      <c r="D43" s="14">
        <v>5223.8999999999996</v>
      </c>
      <c r="E43" t="s">
        <v>502</v>
      </c>
      <c r="F43" t="s">
        <v>277</v>
      </c>
      <c r="G43" t="s">
        <v>171</v>
      </c>
      <c r="H43" t="s">
        <v>518</v>
      </c>
      <c r="I43" t="s">
        <v>10</v>
      </c>
    </row>
    <row r="44" spans="1:10" x14ac:dyDescent="0.25">
      <c r="A44" t="s">
        <v>519</v>
      </c>
      <c r="B44" t="s">
        <v>275</v>
      </c>
      <c r="C44" t="s">
        <v>520</v>
      </c>
      <c r="D44" s="14">
        <v>5103.5</v>
      </c>
      <c r="E44" t="s">
        <v>502</v>
      </c>
      <c r="F44" t="s">
        <v>277</v>
      </c>
      <c r="G44" t="s">
        <v>171</v>
      </c>
      <c r="H44" t="s">
        <v>518</v>
      </c>
      <c r="I44" t="s">
        <v>25</v>
      </c>
    </row>
    <row r="45" spans="1:10" x14ac:dyDescent="0.25">
      <c r="A45" t="s">
        <v>521</v>
      </c>
      <c r="B45" t="s">
        <v>275</v>
      </c>
      <c r="C45" t="s">
        <v>522</v>
      </c>
      <c r="D45" s="14">
        <v>5256.5</v>
      </c>
      <c r="E45" t="s">
        <v>502</v>
      </c>
      <c r="F45" t="s">
        <v>277</v>
      </c>
      <c r="G45" t="s">
        <v>171</v>
      </c>
      <c r="H45" t="s">
        <v>518</v>
      </c>
      <c r="I45" t="s">
        <v>8</v>
      </c>
    </row>
    <row r="46" spans="1:10" x14ac:dyDescent="0.25">
      <c r="A46" t="s">
        <v>523</v>
      </c>
      <c r="B46" t="s">
        <v>275</v>
      </c>
      <c r="C46" t="s">
        <v>524</v>
      </c>
      <c r="D46" s="14">
        <v>520.70000000000005</v>
      </c>
      <c r="E46" t="s">
        <v>502</v>
      </c>
      <c r="F46" t="s">
        <v>277</v>
      </c>
      <c r="G46" t="s">
        <v>171</v>
      </c>
      <c r="H46" t="s">
        <v>525</v>
      </c>
      <c r="I46" t="s">
        <v>25</v>
      </c>
    </row>
    <row r="47" spans="1:10" x14ac:dyDescent="0.25">
      <c r="A47" t="s">
        <v>526</v>
      </c>
      <c r="B47" t="s">
        <v>275</v>
      </c>
      <c r="C47" t="s">
        <v>527</v>
      </c>
      <c r="D47" s="14">
        <v>514.79999999999995</v>
      </c>
      <c r="E47" t="s">
        <v>502</v>
      </c>
      <c r="F47" t="s">
        <v>277</v>
      </c>
      <c r="G47" t="s">
        <v>171</v>
      </c>
      <c r="H47" t="s">
        <v>525</v>
      </c>
      <c r="I47" t="s">
        <v>8</v>
      </c>
    </row>
    <row r="48" spans="1:10" x14ac:dyDescent="0.25">
      <c r="A48" t="s">
        <v>528</v>
      </c>
      <c r="B48" t="s">
        <v>275</v>
      </c>
      <c r="C48" t="s">
        <v>529</v>
      </c>
      <c r="D48" s="15">
        <v>2540.4</v>
      </c>
      <c r="E48" t="s">
        <v>502</v>
      </c>
      <c r="F48" t="s">
        <v>277</v>
      </c>
      <c r="G48" t="s">
        <v>171</v>
      </c>
      <c r="H48" t="s">
        <v>530</v>
      </c>
      <c r="I48" t="s">
        <v>10</v>
      </c>
    </row>
    <row r="49" spans="1:10" x14ac:dyDescent="0.25">
      <c r="A49" t="s">
        <v>531</v>
      </c>
      <c r="B49" t="s">
        <v>275</v>
      </c>
      <c r="C49" t="s">
        <v>532</v>
      </c>
      <c r="D49" s="14">
        <v>298.5</v>
      </c>
      <c r="E49" t="s">
        <v>502</v>
      </c>
      <c r="F49" t="s">
        <v>277</v>
      </c>
      <c r="G49" t="s">
        <v>171</v>
      </c>
      <c r="H49" t="s">
        <v>518</v>
      </c>
      <c r="I49" t="s">
        <v>10</v>
      </c>
    </row>
    <row r="50" spans="1:10" x14ac:dyDescent="0.25">
      <c r="A50" t="s">
        <v>533</v>
      </c>
      <c r="B50" t="s">
        <v>275</v>
      </c>
      <c r="C50" t="s">
        <v>534</v>
      </c>
      <c r="D50" s="14">
        <v>23.45</v>
      </c>
      <c r="E50" t="s">
        <v>220</v>
      </c>
      <c r="G50" t="s">
        <v>171</v>
      </c>
      <c r="H50" t="s">
        <v>535</v>
      </c>
      <c r="I50" t="s">
        <v>10</v>
      </c>
    </row>
    <row r="51" spans="1:10" x14ac:dyDescent="0.25">
      <c r="A51" t="s">
        <v>536</v>
      </c>
      <c r="B51" t="s">
        <v>275</v>
      </c>
      <c r="C51" t="s">
        <v>537</v>
      </c>
      <c r="D51" s="14">
        <v>8.93</v>
      </c>
      <c r="E51" t="s">
        <v>220</v>
      </c>
      <c r="G51" t="s">
        <v>171</v>
      </c>
      <c r="H51" t="s">
        <v>535</v>
      </c>
      <c r="I51" t="s">
        <v>10</v>
      </c>
      <c r="J51" t="s">
        <v>538</v>
      </c>
    </row>
    <row r="52" spans="1:10" x14ac:dyDescent="0.25">
      <c r="A52" t="s">
        <v>539</v>
      </c>
      <c r="B52" t="s">
        <v>275</v>
      </c>
      <c r="C52" t="s">
        <v>540</v>
      </c>
      <c r="D52" s="14">
        <v>5.15</v>
      </c>
      <c r="E52" t="s">
        <v>220</v>
      </c>
      <c r="G52" t="s">
        <v>171</v>
      </c>
      <c r="H52" t="s">
        <v>535</v>
      </c>
      <c r="I52" t="s">
        <v>10</v>
      </c>
      <c r="J52" t="s">
        <v>541</v>
      </c>
    </row>
    <row r="53" spans="1:10" x14ac:dyDescent="0.25">
      <c r="A53" t="s">
        <v>542</v>
      </c>
      <c r="B53" t="s">
        <v>275</v>
      </c>
      <c r="C53" t="s">
        <v>543</v>
      </c>
      <c r="D53" s="14">
        <v>7.55</v>
      </c>
      <c r="E53" t="s">
        <v>220</v>
      </c>
      <c r="G53" t="s">
        <v>171</v>
      </c>
      <c r="H53" t="s">
        <v>535</v>
      </c>
      <c r="I53" t="s">
        <v>10</v>
      </c>
      <c r="J53" t="s">
        <v>544</v>
      </c>
    </row>
    <row r="54" spans="1:10" x14ac:dyDescent="0.25">
      <c r="A54" t="s">
        <v>545</v>
      </c>
      <c r="B54" t="s">
        <v>282</v>
      </c>
      <c r="C54" t="s">
        <v>546</v>
      </c>
      <c r="D54" s="14">
        <v>242.02</v>
      </c>
      <c r="E54" t="s">
        <v>426</v>
      </c>
      <c r="F54" t="s">
        <v>270</v>
      </c>
      <c r="G54" t="s">
        <v>171</v>
      </c>
      <c r="H54" t="s">
        <v>547</v>
      </c>
      <c r="I54" t="s">
        <v>10</v>
      </c>
      <c r="J54" t="s">
        <v>548</v>
      </c>
    </row>
    <row r="55" spans="1:10" x14ac:dyDescent="0.25">
      <c r="A55" t="s">
        <v>549</v>
      </c>
      <c r="B55" t="s">
        <v>282</v>
      </c>
      <c r="C55" t="s">
        <v>550</v>
      </c>
      <c r="D55" s="14">
        <v>336.20798500000001</v>
      </c>
      <c r="E55" t="s">
        <v>431</v>
      </c>
      <c r="F55" t="s">
        <v>432</v>
      </c>
      <c r="G55" t="s">
        <v>171</v>
      </c>
      <c r="H55" t="s">
        <v>551</v>
      </c>
      <c r="I55" t="s">
        <v>439</v>
      </c>
      <c r="J55" t="s">
        <v>552</v>
      </c>
    </row>
    <row r="56" spans="1:10" x14ac:dyDescent="0.25">
      <c r="A56" t="s">
        <v>553</v>
      </c>
      <c r="B56" t="s">
        <v>282</v>
      </c>
      <c r="C56" t="s">
        <v>554</v>
      </c>
      <c r="D56" s="13">
        <f>1/$D$10</f>
        <v>5.411548243952595E-2</v>
      </c>
      <c r="E56" t="s">
        <v>410</v>
      </c>
      <c r="F56" t="s">
        <v>277</v>
      </c>
      <c r="G56" t="s">
        <v>169</v>
      </c>
      <c r="H56" t="s">
        <v>555</v>
      </c>
      <c r="I56" t="s">
        <v>416</v>
      </c>
      <c r="J56" t="s">
        <v>556</v>
      </c>
    </row>
    <row r="57" spans="1:10" x14ac:dyDescent="0.25">
      <c r="A57" t="s">
        <v>557</v>
      </c>
      <c r="B57" t="s">
        <v>282</v>
      </c>
      <c r="C57" t="s">
        <v>558</v>
      </c>
      <c r="D57" s="14">
        <v>2.8</v>
      </c>
      <c r="E57" t="s">
        <v>502</v>
      </c>
      <c r="F57" t="s">
        <v>277</v>
      </c>
      <c r="G57" t="s">
        <v>171</v>
      </c>
      <c r="H57" t="s">
        <v>551</v>
      </c>
      <c r="I57" t="s">
        <v>439</v>
      </c>
      <c r="J57" t="s">
        <v>559</v>
      </c>
    </row>
    <row r="58" spans="1:10" x14ac:dyDescent="0.25">
      <c r="A58" t="s">
        <v>560</v>
      </c>
      <c r="B58" t="s">
        <v>282</v>
      </c>
      <c r="C58" t="s">
        <v>513</v>
      </c>
      <c r="D58" s="14">
        <v>1628.2</v>
      </c>
      <c r="E58" t="s">
        <v>502</v>
      </c>
      <c r="F58" t="s">
        <v>277</v>
      </c>
      <c r="G58" t="s">
        <v>169</v>
      </c>
      <c r="H58" t="s">
        <v>561</v>
      </c>
      <c r="I58" t="s">
        <v>439</v>
      </c>
      <c r="J58" t="s">
        <v>562</v>
      </c>
    </row>
    <row r="59" spans="1:10" x14ac:dyDescent="0.25">
      <c r="A59" t="s">
        <v>563</v>
      </c>
      <c r="B59" t="s">
        <v>282</v>
      </c>
      <c r="C59" t="s">
        <v>515</v>
      </c>
      <c r="D59" s="14">
        <v>1108.9000000000001</v>
      </c>
      <c r="E59" t="s">
        <v>502</v>
      </c>
      <c r="F59" t="s">
        <v>277</v>
      </c>
      <c r="G59" t="s">
        <v>169</v>
      </c>
      <c r="H59" t="s">
        <v>564</v>
      </c>
      <c r="I59" t="s">
        <v>439</v>
      </c>
      <c r="J59" t="s">
        <v>565</v>
      </c>
    </row>
    <row r="60" spans="1:10" x14ac:dyDescent="0.25">
      <c r="A60" t="s">
        <v>566</v>
      </c>
      <c r="B60" t="s">
        <v>282</v>
      </c>
      <c r="C60" t="s">
        <v>517</v>
      </c>
      <c r="D60" s="14">
        <v>6500.1</v>
      </c>
      <c r="E60" t="s">
        <v>502</v>
      </c>
      <c r="F60" t="s">
        <v>277</v>
      </c>
      <c r="G60" t="s">
        <v>169</v>
      </c>
      <c r="H60" t="s">
        <v>567</v>
      </c>
      <c r="I60" t="s">
        <v>439</v>
      </c>
    </row>
    <row r="61" spans="1:10" x14ac:dyDescent="0.25">
      <c r="A61" t="s">
        <v>568</v>
      </c>
      <c r="B61" t="s">
        <v>282</v>
      </c>
      <c r="C61" t="s">
        <v>520</v>
      </c>
      <c r="D61" s="14">
        <v>6486.9</v>
      </c>
      <c r="E61" t="s">
        <v>502</v>
      </c>
      <c r="F61" t="s">
        <v>277</v>
      </c>
      <c r="G61" t="s">
        <v>171</v>
      </c>
      <c r="H61" t="s">
        <v>569</v>
      </c>
      <c r="I61" t="s">
        <v>25</v>
      </c>
    </row>
    <row r="62" spans="1:10" x14ac:dyDescent="0.25">
      <c r="A62" t="s">
        <v>570</v>
      </c>
      <c r="B62" t="s">
        <v>282</v>
      </c>
      <c r="C62" t="s">
        <v>522</v>
      </c>
      <c r="D62" s="14">
        <v>6374.6</v>
      </c>
      <c r="E62" t="s">
        <v>502</v>
      </c>
      <c r="F62" t="s">
        <v>277</v>
      </c>
      <c r="G62" t="s">
        <v>171</v>
      </c>
      <c r="H62" t="s">
        <v>571</v>
      </c>
      <c r="I62" t="s">
        <v>8</v>
      </c>
    </row>
    <row r="63" spans="1:10" x14ac:dyDescent="0.25">
      <c r="A63" t="s">
        <v>572</v>
      </c>
      <c r="B63" t="s">
        <v>282</v>
      </c>
      <c r="C63" t="s">
        <v>524</v>
      </c>
      <c r="D63" s="14">
        <v>1131.0999999999999</v>
      </c>
      <c r="E63" t="s">
        <v>502</v>
      </c>
      <c r="F63" t="s">
        <v>277</v>
      </c>
      <c r="G63" t="s">
        <v>171</v>
      </c>
      <c r="H63" t="s">
        <v>573</v>
      </c>
      <c r="I63" t="s">
        <v>25</v>
      </c>
    </row>
    <row r="64" spans="1:10" x14ac:dyDescent="0.25">
      <c r="A64" t="s">
        <v>574</v>
      </c>
      <c r="B64" t="s">
        <v>282</v>
      </c>
      <c r="C64" t="s">
        <v>527</v>
      </c>
      <c r="D64" s="14">
        <v>1136</v>
      </c>
      <c r="E64" t="s">
        <v>502</v>
      </c>
      <c r="F64" t="s">
        <v>277</v>
      </c>
      <c r="G64" t="s">
        <v>171</v>
      </c>
      <c r="H64" t="s">
        <v>575</v>
      </c>
      <c r="I64" t="s">
        <v>8</v>
      </c>
    </row>
    <row r="65" spans="1:10" x14ac:dyDescent="0.25">
      <c r="A65" t="s">
        <v>576</v>
      </c>
      <c r="B65" t="s">
        <v>282</v>
      </c>
      <c r="C65" t="s">
        <v>529</v>
      </c>
      <c r="D65" s="14">
        <v>2522.1999999999998</v>
      </c>
      <c r="E65" t="s">
        <v>502</v>
      </c>
      <c r="F65" t="s">
        <v>277</v>
      </c>
      <c r="G65" t="s">
        <v>171</v>
      </c>
      <c r="H65" t="s">
        <v>577</v>
      </c>
      <c r="I65" t="s">
        <v>439</v>
      </c>
    </row>
    <row r="66" spans="1:10" x14ac:dyDescent="0.25">
      <c r="A66" t="s">
        <v>578</v>
      </c>
      <c r="B66" t="s">
        <v>282</v>
      </c>
      <c r="C66" t="s">
        <v>532</v>
      </c>
      <c r="D66" s="15" t="s">
        <v>290</v>
      </c>
      <c r="E66" t="s">
        <v>502</v>
      </c>
      <c r="F66" t="s">
        <v>277</v>
      </c>
      <c r="G66" t="s">
        <v>579</v>
      </c>
      <c r="H66" t="s">
        <v>580</v>
      </c>
      <c r="I66" t="s">
        <v>10</v>
      </c>
    </row>
    <row r="67" spans="1:10" x14ac:dyDescent="0.25">
      <c r="A67" t="s">
        <v>581</v>
      </c>
      <c r="B67" t="s">
        <v>282</v>
      </c>
      <c r="C67" t="s">
        <v>534</v>
      </c>
      <c r="D67" s="15">
        <f>IFERROR($D$54*$D$56/$D$335,"n/a")</f>
        <v>9.3550207571529089</v>
      </c>
      <c r="E67" t="s">
        <v>220</v>
      </c>
      <c r="G67" t="s">
        <v>169</v>
      </c>
      <c r="H67" t="s">
        <v>582</v>
      </c>
      <c r="I67" t="s">
        <v>10</v>
      </c>
    </row>
    <row r="68" spans="1:10" x14ac:dyDescent="0.25">
      <c r="A68" t="s">
        <v>583</v>
      </c>
      <c r="B68" t="s">
        <v>282</v>
      </c>
      <c r="C68" t="s">
        <v>537</v>
      </c>
      <c r="D68" s="15">
        <f>IFERROR($D$54*$D$56/(Detail_PeerAnalysis!$D$62*$D$333+Detail_PeerAnalysis!$E$62*$D$334),"n/a")</f>
        <v>9.739254353567631</v>
      </c>
      <c r="E68" t="s">
        <v>220</v>
      </c>
      <c r="G68" t="s">
        <v>169</v>
      </c>
      <c r="H68" t="s">
        <v>584</v>
      </c>
      <c r="I68" t="s">
        <v>10</v>
      </c>
      <c r="J68" t="s">
        <v>538</v>
      </c>
    </row>
    <row r="69" spans="1:10" x14ac:dyDescent="0.25">
      <c r="A69" t="s">
        <v>585</v>
      </c>
      <c r="B69" t="s">
        <v>282</v>
      </c>
      <c r="C69" t="s">
        <v>540</v>
      </c>
      <c r="D69" s="15" t="s">
        <v>290</v>
      </c>
      <c r="E69" t="s">
        <v>220</v>
      </c>
      <c r="G69" t="s">
        <v>171</v>
      </c>
      <c r="H69" t="s">
        <v>586</v>
      </c>
      <c r="I69" t="s">
        <v>10</v>
      </c>
      <c r="J69" t="s">
        <v>541</v>
      </c>
    </row>
    <row r="70" spans="1:10" x14ac:dyDescent="0.25">
      <c r="A70" t="s">
        <v>587</v>
      </c>
      <c r="B70" t="s">
        <v>282</v>
      </c>
      <c r="C70" t="s">
        <v>543</v>
      </c>
      <c r="D70" s="15" t="s">
        <v>290</v>
      </c>
      <c r="E70" t="s">
        <v>220</v>
      </c>
      <c r="G70" t="s">
        <v>171</v>
      </c>
      <c r="H70" t="s">
        <v>586</v>
      </c>
      <c r="I70" t="s">
        <v>10</v>
      </c>
      <c r="J70" t="s">
        <v>544</v>
      </c>
    </row>
    <row r="71" spans="1:10" x14ac:dyDescent="0.25">
      <c r="A71" t="s">
        <v>588</v>
      </c>
      <c r="B71" t="s">
        <v>287</v>
      </c>
      <c r="C71" t="s">
        <v>546</v>
      </c>
      <c r="D71" s="14">
        <v>3816</v>
      </c>
      <c r="E71" t="s">
        <v>589</v>
      </c>
      <c r="F71" t="s">
        <v>289</v>
      </c>
      <c r="G71" t="s">
        <v>171</v>
      </c>
      <c r="H71" t="s">
        <v>590</v>
      </c>
      <c r="I71" t="s">
        <v>10</v>
      </c>
      <c r="J71" t="s">
        <v>591</v>
      </c>
    </row>
    <row r="72" spans="1:10" x14ac:dyDescent="0.25">
      <c r="A72" t="s">
        <v>592</v>
      </c>
      <c r="B72" t="s">
        <v>287</v>
      </c>
      <c r="C72" t="s">
        <v>550</v>
      </c>
      <c r="D72" s="15">
        <v>196.9</v>
      </c>
      <c r="E72" t="s">
        <v>431</v>
      </c>
      <c r="F72" t="s">
        <v>432</v>
      </c>
      <c r="G72" t="s">
        <v>171</v>
      </c>
      <c r="H72" t="s">
        <v>593</v>
      </c>
      <c r="I72" t="s">
        <v>439</v>
      </c>
      <c r="J72" t="s">
        <v>594</v>
      </c>
    </row>
    <row r="73" spans="1:10" x14ac:dyDescent="0.25">
      <c r="A73" t="s">
        <v>595</v>
      </c>
      <c r="B73" t="s">
        <v>287</v>
      </c>
      <c r="C73" t="s">
        <v>554</v>
      </c>
      <c r="D73" s="13">
        <f>1/157.987</f>
        <v>6.329634716780495E-3</v>
      </c>
      <c r="E73" t="s">
        <v>402</v>
      </c>
      <c r="F73" t="s">
        <v>277</v>
      </c>
      <c r="G73" t="s">
        <v>169</v>
      </c>
      <c r="H73" t="s">
        <v>596</v>
      </c>
      <c r="I73" t="s">
        <v>416</v>
      </c>
      <c r="J73" t="s">
        <v>597</v>
      </c>
    </row>
    <row r="74" spans="1:10" x14ac:dyDescent="0.25">
      <c r="A74" t="s">
        <v>598</v>
      </c>
      <c r="B74" t="s">
        <v>287</v>
      </c>
      <c r="C74" t="s">
        <v>558</v>
      </c>
      <c r="D74" s="15" t="s">
        <v>290</v>
      </c>
      <c r="E74" t="s">
        <v>502</v>
      </c>
      <c r="F74" t="s">
        <v>277</v>
      </c>
      <c r="G74" t="s">
        <v>579</v>
      </c>
      <c r="H74" t="s">
        <v>599</v>
      </c>
      <c r="I74" t="s">
        <v>439</v>
      </c>
      <c r="J74" t="s">
        <v>594</v>
      </c>
    </row>
    <row r="75" spans="1:10" x14ac:dyDescent="0.25">
      <c r="A75" t="s">
        <v>600</v>
      </c>
      <c r="B75" t="s">
        <v>287</v>
      </c>
      <c r="C75" t="s">
        <v>513</v>
      </c>
      <c r="D75" s="14">
        <v>-473.5</v>
      </c>
      <c r="E75" t="s">
        <v>502</v>
      </c>
      <c r="F75" t="s">
        <v>277</v>
      </c>
      <c r="G75" t="s">
        <v>171</v>
      </c>
      <c r="H75" t="s">
        <v>503</v>
      </c>
      <c r="I75" t="s">
        <v>10</v>
      </c>
    </row>
    <row r="76" spans="1:10" x14ac:dyDescent="0.25">
      <c r="A76" t="s">
        <v>601</v>
      </c>
      <c r="B76" t="s">
        <v>287</v>
      </c>
      <c r="C76" t="s">
        <v>515</v>
      </c>
      <c r="D76" s="14">
        <v>706.7</v>
      </c>
      <c r="E76" t="s">
        <v>502</v>
      </c>
      <c r="F76" t="s">
        <v>277</v>
      </c>
      <c r="G76" t="s">
        <v>171</v>
      </c>
      <c r="H76" t="s">
        <v>503</v>
      </c>
      <c r="I76" t="s">
        <v>10</v>
      </c>
    </row>
    <row r="77" spans="1:10" x14ac:dyDescent="0.25">
      <c r="A77" t="s">
        <v>602</v>
      </c>
      <c r="B77" t="s">
        <v>287</v>
      </c>
      <c r="C77" t="s">
        <v>517</v>
      </c>
      <c r="D77" s="14">
        <v>8669.9</v>
      </c>
      <c r="E77" t="s">
        <v>502</v>
      </c>
      <c r="F77" t="s">
        <v>277</v>
      </c>
      <c r="G77" t="s">
        <v>171</v>
      </c>
      <c r="H77" t="s">
        <v>518</v>
      </c>
      <c r="I77" t="s">
        <v>10</v>
      </c>
    </row>
    <row r="78" spans="1:10" x14ac:dyDescent="0.25">
      <c r="A78" t="s">
        <v>603</v>
      </c>
      <c r="B78" t="s">
        <v>287</v>
      </c>
      <c r="C78" t="s">
        <v>520</v>
      </c>
      <c r="D78" s="14">
        <v>8224.6</v>
      </c>
      <c r="E78" t="s">
        <v>502</v>
      </c>
      <c r="F78" t="s">
        <v>277</v>
      </c>
      <c r="G78" t="s">
        <v>171</v>
      </c>
      <c r="H78" t="s">
        <v>518</v>
      </c>
      <c r="I78" t="s">
        <v>25</v>
      </c>
    </row>
    <row r="79" spans="1:10" x14ac:dyDescent="0.25">
      <c r="A79" t="s">
        <v>604</v>
      </c>
      <c r="B79" t="s">
        <v>287</v>
      </c>
      <c r="C79" t="s">
        <v>522</v>
      </c>
      <c r="D79" s="15">
        <v>8773.2000000000007</v>
      </c>
      <c r="E79" t="s">
        <v>502</v>
      </c>
      <c r="F79" t="s">
        <v>277</v>
      </c>
      <c r="G79" t="s">
        <v>171</v>
      </c>
      <c r="H79" t="s">
        <v>605</v>
      </c>
      <c r="I79" t="s">
        <v>8</v>
      </c>
      <c r="J79" t="s">
        <v>606</v>
      </c>
    </row>
    <row r="80" spans="1:10" x14ac:dyDescent="0.25">
      <c r="A80" t="s">
        <v>607</v>
      </c>
      <c r="B80" t="s">
        <v>287</v>
      </c>
      <c r="C80" t="s">
        <v>524</v>
      </c>
      <c r="D80" s="14">
        <v>630.29999999999995</v>
      </c>
      <c r="E80" t="s">
        <v>502</v>
      </c>
      <c r="F80" t="s">
        <v>277</v>
      </c>
      <c r="G80" t="s">
        <v>171</v>
      </c>
      <c r="H80" t="s">
        <v>525</v>
      </c>
      <c r="I80" t="s">
        <v>25</v>
      </c>
    </row>
    <row r="81" spans="1:10" x14ac:dyDescent="0.25">
      <c r="A81" t="s">
        <v>608</v>
      </c>
      <c r="B81" t="s">
        <v>287</v>
      </c>
      <c r="C81" t="s">
        <v>527</v>
      </c>
      <c r="D81" s="14">
        <v>712</v>
      </c>
      <c r="E81" t="s">
        <v>502</v>
      </c>
      <c r="F81" t="s">
        <v>277</v>
      </c>
      <c r="G81" t="s">
        <v>171</v>
      </c>
      <c r="H81" t="s">
        <v>525</v>
      </c>
      <c r="I81" t="s">
        <v>8</v>
      </c>
    </row>
    <row r="82" spans="1:10" x14ac:dyDescent="0.25">
      <c r="A82" t="s">
        <v>609</v>
      </c>
      <c r="B82" t="s">
        <v>287</v>
      </c>
      <c r="C82" t="s">
        <v>529</v>
      </c>
      <c r="D82" s="15">
        <v>2834.9</v>
      </c>
      <c r="E82" t="s">
        <v>502</v>
      </c>
      <c r="F82" t="s">
        <v>277</v>
      </c>
      <c r="G82" t="s">
        <v>171</v>
      </c>
      <c r="H82" t="s">
        <v>610</v>
      </c>
      <c r="I82" t="s">
        <v>10</v>
      </c>
    </row>
    <row r="83" spans="1:10" x14ac:dyDescent="0.25">
      <c r="A83" t="s">
        <v>611</v>
      </c>
      <c r="B83" t="s">
        <v>287</v>
      </c>
      <c r="C83" t="s">
        <v>532</v>
      </c>
      <c r="D83" s="14">
        <v>113.4</v>
      </c>
      <c r="E83" t="s">
        <v>502</v>
      </c>
      <c r="F83" t="s">
        <v>277</v>
      </c>
      <c r="G83" t="s">
        <v>171</v>
      </c>
      <c r="H83" t="s">
        <v>518</v>
      </c>
      <c r="I83" t="s">
        <v>10</v>
      </c>
    </row>
    <row r="84" spans="1:10" x14ac:dyDescent="0.25">
      <c r="A84" t="s">
        <v>612</v>
      </c>
      <c r="B84" t="s">
        <v>287</v>
      </c>
      <c r="C84" t="s">
        <v>534</v>
      </c>
      <c r="D84" s="14">
        <v>17.739999999999998</v>
      </c>
      <c r="E84" t="s">
        <v>220</v>
      </c>
      <c r="G84" t="s">
        <v>171</v>
      </c>
      <c r="H84" t="s">
        <v>535</v>
      </c>
      <c r="I84" t="s">
        <v>10</v>
      </c>
    </row>
    <row r="85" spans="1:10" x14ac:dyDescent="0.25">
      <c r="A85" t="s">
        <v>613</v>
      </c>
      <c r="B85" t="s">
        <v>287</v>
      </c>
      <c r="C85" t="s">
        <v>537</v>
      </c>
      <c r="D85" s="14">
        <v>16.84</v>
      </c>
      <c r="E85" t="s">
        <v>220</v>
      </c>
      <c r="G85" t="s">
        <v>171</v>
      </c>
      <c r="H85" t="s">
        <v>535</v>
      </c>
      <c r="I85" t="s">
        <v>10</v>
      </c>
      <c r="J85" t="s">
        <v>538</v>
      </c>
    </row>
    <row r="86" spans="1:10" x14ac:dyDescent="0.25">
      <c r="A86" t="s">
        <v>614</v>
      </c>
      <c r="B86" t="s">
        <v>287</v>
      </c>
      <c r="C86" t="s">
        <v>540</v>
      </c>
      <c r="D86" s="14">
        <v>6.58</v>
      </c>
      <c r="E86" t="s">
        <v>220</v>
      </c>
      <c r="G86" t="s">
        <v>171</v>
      </c>
      <c r="H86" t="s">
        <v>535</v>
      </c>
      <c r="I86" t="s">
        <v>10</v>
      </c>
      <c r="J86" t="s">
        <v>541</v>
      </c>
    </row>
    <row r="87" spans="1:10" x14ac:dyDescent="0.25">
      <c r="A87" t="s">
        <v>615</v>
      </c>
      <c r="B87" t="s">
        <v>287</v>
      </c>
      <c r="C87" t="s">
        <v>543</v>
      </c>
      <c r="D87" s="14">
        <v>6.37</v>
      </c>
      <c r="E87" t="s">
        <v>220</v>
      </c>
      <c r="G87" t="s">
        <v>171</v>
      </c>
      <c r="H87" t="s">
        <v>535</v>
      </c>
      <c r="I87" t="s">
        <v>10</v>
      </c>
      <c r="J87" t="s">
        <v>544</v>
      </c>
    </row>
    <row r="88" spans="1:10" x14ac:dyDescent="0.25">
      <c r="A88" t="s">
        <v>616</v>
      </c>
      <c r="B88" t="s">
        <v>294</v>
      </c>
      <c r="C88" t="s">
        <v>501</v>
      </c>
      <c r="D88" s="14">
        <v>1218.8</v>
      </c>
      <c r="E88" t="s">
        <v>502</v>
      </c>
      <c r="F88" t="s">
        <v>277</v>
      </c>
      <c r="G88" t="s">
        <v>171</v>
      </c>
      <c r="H88" t="s">
        <v>503</v>
      </c>
      <c r="I88" t="s">
        <v>10</v>
      </c>
    </row>
    <row r="89" spans="1:10" x14ac:dyDescent="0.25">
      <c r="A89" t="s">
        <v>617</v>
      </c>
      <c r="B89" t="s">
        <v>294</v>
      </c>
      <c r="C89" t="s">
        <v>505</v>
      </c>
      <c r="D89" s="14">
        <v>24.8</v>
      </c>
      <c r="E89" t="s">
        <v>431</v>
      </c>
      <c r="F89" t="s">
        <v>432</v>
      </c>
      <c r="G89" t="s">
        <v>171</v>
      </c>
      <c r="H89" t="s">
        <v>618</v>
      </c>
      <c r="I89" t="s">
        <v>10</v>
      </c>
      <c r="J89" t="s">
        <v>619</v>
      </c>
    </row>
    <row r="90" spans="1:10" x14ac:dyDescent="0.25">
      <c r="A90" t="s">
        <v>620</v>
      </c>
      <c r="B90" t="s">
        <v>294</v>
      </c>
      <c r="C90" t="s">
        <v>507</v>
      </c>
      <c r="D90" s="14">
        <v>2103.3000000000002</v>
      </c>
      <c r="E90" t="s">
        <v>502</v>
      </c>
      <c r="F90" t="s">
        <v>277</v>
      </c>
      <c r="G90" t="s">
        <v>171</v>
      </c>
      <c r="H90" t="s">
        <v>503</v>
      </c>
      <c r="I90" t="s">
        <v>10</v>
      </c>
    </row>
    <row r="91" spans="1:10" x14ac:dyDescent="0.25">
      <c r="A91" t="s">
        <v>621</v>
      </c>
      <c r="B91" t="s">
        <v>294</v>
      </c>
      <c r="C91" t="s">
        <v>509</v>
      </c>
      <c r="D91" s="15" t="s">
        <v>290</v>
      </c>
      <c r="E91" t="s">
        <v>502</v>
      </c>
      <c r="F91" t="s">
        <v>277</v>
      </c>
      <c r="G91" t="s">
        <v>579</v>
      </c>
      <c r="H91" t="s">
        <v>510</v>
      </c>
      <c r="I91" t="s">
        <v>10</v>
      </c>
      <c r="J91" t="s">
        <v>622</v>
      </c>
    </row>
    <row r="92" spans="1:10" x14ac:dyDescent="0.25">
      <c r="A92" t="s">
        <v>623</v>
      </c>
      <c r="B92" t="s">
        <v>294</v>
      </c>
      <c r="C92" t="s">
        <v>513</v>
      </c>
      <c r="D92" s="14">
        <v>901.9</v>
      </c>
      <c r="E92" t="s">
        <v>502</v>
      </c>
      <c r="F92" t="s">
        <v>277</v>
      </c>
      <c r="G92" t="s">
        <v>171</v>
      </c>
      <c r="H92" t="s">
        <v>503</v>
      </c>
      <c r="I92" t="s">
        <v>10</v>
      </c>
    </row>
    <row r="93" spans="1:10" x14ac:dyDescent="0.25">
      <c r="A93" t="s">
        <v>624</v>
      </c>
      <c r="B93" t="s">
        <v>294</v>
      </c>
      <c r="C93" t="s">
        <v>515</v>
      </c>
      <c r="D93" s="14">
        <v>252.4</v>
      </c>
      <c r="E93" t="s">
        <v>502</v>
      </c>
      <c r="F93" t="s">
        <v>277</v>
      </c>
      <c r="G93" t="s">
        <v>171</v>
      </c>
      <c r="H93" t="s">
        <v>503</v>
      </c>
      <c r="I93" t="s">
        <v>10</v>
      </c>
    </row>
    <row r="94" spans="1:10" x14ac:dyDescent="0.25">
      <c r="A94" t="s">
        <v>625</v>
      </c>
      <c r="B94" t="s">
        <v>294</v>
      </c>
      <c r="C94" t="s">
        <v>517</v>
      </c>
      <c r="D94" s="14">
        <v>2567.4</v>
      </c>
      <c r="E94" t="s">
        <v>502</v>
      </c>
      <c r="F94" t="s">
        <v>277</v>
      </c>
      <c r="G94" t="s">
        <v>171</v>
      </c>
      <c r="H94" t="s">
        <v>518</v>
      </c>
      <c r="I94" t="s">
        <v>10</v>
      </c>
    </row>
    <row r="95" spans="1:10" x14ac:dyDescent="0.25">
      <c r="A95" t="s">
        <v>626</v>
      </c>
      <c r="B95" t="s">
        <v>294</v>
      </c>
      <c r="C95" t="s">
        <v>520</v>
      </c>
      <c r="D95" s="14">
        <v>2374.1</v>
      </c>
      <c r="E95" t="s">
        <v>502</v>
      </c>
      <c r="F95" t="s">
        <v>277</v>
      </c>
      <c r="G95" t="s">
        <v>171</v>
      </c>
      <c r="H95" t="s">
        <v>518</v>
      </c>
      <c r="I95" t="s">
        <v>25</v>
      </c>
    </row>
    <row r="96" spans="1:10" x14ac:dyDescent="0.25">
      <c r="A96" t="s">
        <v>627</v>
      </c>
      <c r="B96" t="s">
        <v>294</v>
      </c>
      <c r="C96" t="s">
        <v>522</v>
      </c>
      <c r="D96" s="14">
        <v>2513.6999999999998</v>
      </c>
      <c r="E96" t="s">
        <v>502</v>
      </c>
      <c r="F96" t="s">
        <v>277</v>
      </c>
      <c r="G96" t="s">
        <v>171</v>
      </c>
      <c r="H96" t="s">
        <v>518</v>
      </c>
      <c r="I96" t="s">
        <v>8</v>
      </c>
    </row>
    <row r="97" spans="1:10" x14ac:dyDescent="0.25">
      <c r="A97" t="s">
        <v>628</v>
      </c>
      <c r="B97" t="s">
        <v>294</v>
      </c>
      <c r="C97" t="s">
        <v>524</v>
      </c>
      <c r="D97" s="14">
        <v>295.3</v>
      </c>
      <c r="E97" t="s">
        <v>502</v>
      </c>
      <c r="F97" t="s">
        <v>277</v>
      </c>
      <c r="G97" t="s">
        <v>171</v>
      </c>
      <c r="H97" t="s">
        <v>525</v>
      </c>
      <c r="I97" t="s">
        <v>25</v>
      </c>
    </row>
    <row r="98" spans="1:10" x14ac:dyDescent="0.25">
      <c r="A98" t="s">
        <v>629</v>
      </c>
      <c r="B98" t="s">
        <v>294</v>
      </c>
      <c r="C98" t="s">
        <v>527</v>
      </c>
      <c r="D98" s="14">
        <v>287.39999999999998</v>
      </c>
      <c r="E98" t="s">
        <v>502</v>
      </c>
      <c r="F98" t="s">
        <v>277</v>
      </c>
      <c r="G98" t="s">
        <v>171</v>
      </c>
      <c r="H98" t="s">
        <v>525</v>
      </c>
      <c r="I98" t="s">
        <v>8</v>
      </c>
    </row>
    <row r="99" spans="1:10" x14ac:dyDescent="0.25">
      <c r="A99" t="s">
        <v>630</v>
      </c>
      <c r="B99" t="s">
        <v>294</v>
      </c>
      <c r="C99" t="s">
        <v>529</v>
      </c>
      <c r="D99" s="15">
        <v>514.79999999999995</v>
      </c>
      <c r="E99" t="s">
        <v>502</v>
      </c>
      <c r="F99" t="s">
        <v>277</v>
      </c>
      <c r="G99" t="s">
        <v>171</v>
      </c>
      <c r="H99" t="s">
        <v>610</v>
      </c>
      <c r="I99" t="s">
        <v>10</v>
      </c>
    </row>
    <row r="100" spans="1:10" x14ac:dyDescent="0.25">
      <c r="A100" t="s">
        <v>631</v>
      </c>
      <c r="B100" t="s">
        <v>294</v>
      </c>
      <c r="C100" t="s">
        <v>532</v>
      </c>
      <c r="D100" s="14">
        <v>138.1</v>
      </c>
      <c r="E100" t="s">
        <v>502</v>
      </c>
      <c r="F100" t="s">
        <v>277</v>
      </c>
      <c r="G100" t="s">
        <v>171</v>
      </c>
      <c r="H100" t="s">
        <v>518</v>
      </c>
      <c r="I100" t="s">
        <v>10</v>
      </c>
    </row>
    <row r="101" spans="1:10" x14ac:dyDescent="0.25">
      <c r="A101" t="s">
        <v>632</v>
      </c>
      <c r="B101" t="s">
        <v>294</v>
      </c>
      <c r="C101" t="s">
        <v>534</v>
      </c>
      <c r="D101" s="14">
        <v>10.210000000000001</v>
      </c>
      <c r="E101" t="s">
        <v>220</v>
      </c>
      <c r="G101" t="s">
        <v>171</v>
      </c>
      <c r="H101" t="s">
        <v>535</v>
      </c>
      <c r="I101" t="s">
        <v>10</v>
      </c>
    </row>
    <row r="102" spans="1:10" x14ac:dyDescent="0.25">
      <c r="A102" t="s">
        <v>633</v>
      </c>
      <c r="B102" t="s">
        <v>294</v>
      </c>
      <c r="C102" t="s">
        <v>537</v>
      </c>
      <c r="D102" s="14">
        <v>9.01</v>
      </c>
      <c r="E102" t="s">
        <v>220</v>
      </c>
      <c r="G102" t="s">
        <v>171</v>
      </c>
      <c r="H102" t="s">
        <v>535</v>
      </c>
      <c r="I102" t="s">
        <v>10</v>
      </c>
      <c r="J102" t="s">
        <v>538</v>
      </c>
    </row>
    <row r="103" spans="1:10" x14ac:dyDescent="0.25">
      <c r="A103" t="s">
        <v>634</v>
      </c>
      <c r="B103" t="s">
        <v>294</v>
      </c>
      <c r="C103" t="s">
        <v>540</v>
      </c>
      <c r="D103" s="14">
        <v>7.31</v>
      </c>
      <c r="E103" t="s">
        <v>220</v>
      </c>
      <c r="G103" t="s">
        <v>171</v>
      </c>
      <c r="H103" t="s">
        <v>535</v>
      </c>
      <c r="I103" t="s">
        <v>10</v>
      </c>
      <c r="J103" t="s">
        <v>541</v>
      </c>
    </row>
    <row r="104" spans="1:10" x14ac:dyDescent="0.25">
      <c r="A104" t="s">
        <v>635</v>
      </c>
      <c r="B104" t="s">
        <v>294</v>
      </c>
      <c r="C104" t="s">
        <v>543</v>
      </c>
      <c r="D104" s="14">
        <v>5.94</v>
      </c>
      <c r="E104" t="s">
        <v>220</v>
      </c>
      <c r="G104" t="s">
        <v>171</v>
      </c>
      <c r="H104" t="s">
        <v>535</v>
      </c>
      <c r="I104" t="s">
        <v>10</v>
      </c>
      <c r="J104" t="s">
        <v>544</v>
      </c>
    </row>
    <row r="105" spans="1:10" x14ac:dyDescent="0.25">
      <c r="A105" t="s">
        <v>636</v>
      </c>
      <c r="B105" t="s">
        <v>299</v>
      </c>
      <c r="C105" t="s">
        <v>501</v>
      </c>
      <c r="D105" s="14">
        <v>13612.5</v>
      </c>
      <c r="E105" t="s">
        <v>502</v>
      </c>
      <c r="F105" t="s">
        <v>277</v>
      </c>
      <c r="G105" t="s">
        <v>171</v>
      </c>
      <c r="H105" t="s">
        <v>503</v>
      </c>
      <c r="I105" t="s">
        <v>10</v>
      </c>
    </row>
    <row r="106" spans="1:10" x14ac:dyDescent="0.25">
      <c r="A106" t="s">
        <v>637</v>
      </c>
      <c r="B106" t="s">
        <v>299</v>
      </c>
      <c r="C106" t="s">
        <v>505</v>
      </c>
      <c r="D106" s="14">
        <v>106.8</v>
      </c>
      <c r="E106" t="s">
        <v>431</v>
      </c>
      <c r="F106" t="s">
        <v>432</v>
      </c>
      <c r="G106" t="s">
        <v>171</v>
      </c>
      <c r="H106" t="s">
        <v>503</v>
      </c>
      <c r="I106" t="s">
        <v>10</v>
      </c>
    </row>
    <row r="107" spans="1:10" x14ac:dyDescent="0.25">
      <c r="A107" t="s">
        <v>638</v>
      </c>
      <c r="B107" t="s">
        <v>299</v>
      </c>
      <c r="C107" t="s">
        <v>507</v>
      </c>
      <c r="D107" s="14">
        <v>20509.5</v>
      </c>
      <c r="E107" t="s">
        <v>502</v>
      </c>
      <c r="F107" t="s">
        <v>277</v>
      </c>
      <c r="G107" t="s">
        <v>171</v>
      </c>
      <c r="H107" t="s">
        <v>503</v>
      </c>
      <c r="I107" t="s">
        <v>10</v>
      </c>
    </row>
    <row r="108" spans="1:10" x14ac:dyDescent="0.25">
      <c r="A108" t="s">
        <v>639</v>
      </c>
      <c r="B108" t="s">
        <v>299</v>
      </c>
      <c r="C108" t="s">
        <v>509</v>
      </c>
      <c r="D108" s="15" t="s">
        <v>290</v>
      </c>
      <c r="E108" t="s">
        <v>502</v>
      </c>
      <c r="F108" t="s">
        <v>277</v>
      </c>
      <c r="G108" t="s">
        <v>579</v>
      </c>
      <c r="H108" t="s">
        <v>510</v>
      </c>
      <c r="I108" t="s">
        <v>10</v>
      </c>
      <c r="J108" t="s">
        <v>640</v>
      </c>
    </row>
    <row r="109" spans="1:10" x14ac:dyDescent="0.25">
      <c r="A109" t="s">
        <v>641</v>
      </c>
      <c r="B109" t="s">
        <v>299</v>
      </c>
      <c r="C109" t="s">
        <v>513</v>
      </c>
      <c r="D109" s="14">
        <v>6897</v>
      </c>
      <c r="E109" t="s">
        <v>502</v>
      </c>
      <c r="F109" t="s">
        <v>277</v>
      </c>
      <c r="G109" t="s">
        <v>171</v>
      </c>
      <c r="H109" t="s">
        <v>503</v>
      </c>
      <c r="I109" t="s">
        <v>10</v>
      </c>
    </row>
    <row r="110" spans="1:10" x14ac:dyDescent="0.25">
      <c r="A110" t="s">
        <v>642</v>
      </c>
      <c r="B110" t="s">
        <v>299</v>
      </c>
      <c r="C110" t="s">
        <v>515</v>
      </c>
      <c r="D110" s="14">
        <v>2263.9</v>
      </c>
      <c r="E110" t="s">
        <v>502</v>
      </c>
      <c r="F110" t="s">
        <v>277</v>
      </c>
      <c r="G110" t="s">
        <v>171</v>
      </c>
      <c r="H110" t="s">
        <v>503</v>
      </c>
      <c r="I110" t="s">
        <v>10</v>
      </c>
    </row>
    <row r="111" spans="1:10" x14ac:dyDescent="0.25">
      <c r="A111" t="s">
        <v>643</v>
      </c>
      <c r="B111" t="s">
        <v>299</v>
      </c>
      <c r="C111" t="s">
        <v>517</v>
      </c>
      <c r="D111" s="14">
        <v>9156.9</v>
      </c>
      <c r="E111" t="s">
        <v>502</v>
      </c>
      <c r="F111" t="s">
        <v>277</v>
      </c>
      <c r="G111" t="s">
        <v>171</v>
      </c>
      <c r="H111" t="s">
        <v>518</v>
      </c>
      <c r="I111" t="s">
        <v>10</v>
      </c>
    </row>
    <row r="112" spans="1:10" x14ac:dyDescent="0.25">
      <c r="A112" t="s">
        <v>644</v>
      </c>
      <c r="B112" t="s">
        <v>299</v>
      </c>
      <c r="C112" t="s">
        <v>520</v>
      </c>
      <c r="D112" s="14">
        <v>8178.7</v>
      </c>
      <c r="E112" t="s">
        <v>502</v>
      </c>
      <c r="F112" t="s">
        <v>277</v>
      </c>
      <c r="G112" t="s">
        <v>171</v>
      </c>
      <c r="H112" t="s">
        <v>518</v>
      </c>
      <c r="I112" t="s">
        <v>25</v>
      </c>
    </row>
    <row r="113" spans="1:10" x14ac:dyDescent="0.25">
      <c r="A113" t="s">
        <v>645</v>
      </c>
      <c r="B113" t="s">
        <v>299</v>
      </c>
      <c r="C113" t="s">
        <v>522</v>
      </c>
      <c r="D113" s="14">
        <v>8726.1</v>
      </c>
      <c r="E113" t="s">
        <v>502</v>
      </c>
      <c r="F113" t="s">
        <v>277</v>
      </c>
      <c r="G113" t="s">
        <v>171</v>
      </c>
      <c r="H113" t="s">
        <v>518</v>
      </c>
      <c r="I113" t="s">
        <v>8</v>
      </c>
    </row>
    <row r="114" spans="1:10" x14ac:dyDescent="0.25">
      <c r="A114" t="s">
        <v>646</v>
      </c>
      <c r="B114" t="s">
        <v>299</v>
      </c>
      <c r="C114" t="s">
        <v>524</v>
      </c>
      <c r="D114" s="14">
        <v>1874.1</v>
      </c>
      <c r="E114" t="s">
        <v>502</v>
      </c>
      <c r="F114" t="s">
        <v>277</v>
      </c>
      <c r="G114" t="s">
        <v>171</v>
      </c>
      <c r="H114" t="s">
        <v>525</v>
      </c>
      <c r="I114" t="s">
        <v>25</v>
      </c>
    </row>
    <row r="115" spans="1:10" x14ac:dyDescent="0.25">
      <c r="A115" t="s">
        <v>647</v>
      </c>
      <c r="B115" t="s">
        <v>299</v>
      </c>
      <c r="C115" t="s">
        <v>527</v>
      </c>
      <c r="D115" s="14">
        <v>2156.1999999999998</v>
      </c>
      <c r="E115" t="s">
        <v>502</v>
      </c>
      <c r="F115" t="s">
        <v>277</v>
      </c>
      <c r="G115" t="s">
        <v>171</v>
      </c>
      <c r="H115" t="s">
        <v>525</v>
      </c>
      <c r="I115" t="s">
        <v>8</v>
      </c>
    </row>
    <row r="116" spans="1:10" x14ac:dyDescent="0.25">
      <c r="A116" t="s">
        <v>648</v>
      </c>
      <c r="B116" t="s">
        <v>299</v>
      </c>
      <c r="C116" t="s">
        <v>529</v>
      </c>
      <c r="D116" s="15">
        <v>3475.1</v>
      </c>
      <c r="E116" t="s">
        <v>502</v>
      </c>
      <c r="F116" t="s">
        <v>277</v>
      </c>
      <c r="G116" t="s">
        <v>171</v>
      </c>
      <c r="H116" t="s">
        <v>649</v>
      </c>
      <c r="I116" t="s">
        <v>10</v>
      </c>
      <c r="J116" t="s">
        <v>650</v>
      </c>
    </row>
    <row r="117" spans="1:10" x14ac:dyDescent="0.25">
      <c r="A117" t="s">
        <v>651</v>
      </c>
      <c r="B117" t="s">
        <v>299</v>
      </c>
      <c r="C117" t="s">
        <v>532</v>
      </c>
      <c r="D117" s="14">
        <v>1464.3</v>
      </c>
      <c r="E117" t="s">
        <v>502</v>
      </c>
      <c r="F117" t="s">
        <v>277</v>
      </c>
      <c r="G117" t="s">
        <v>171</v>
      </c>
      <c r="H117" t="s">
        <v>518</v>
      </c>
      <c r="I117" t="s">
        <v>10</v>
      </c>
    </row>
    <row r="118" spans="1:10" x14ac:dyDescent="0.25">
      <c r="A118" t="s">
        <v>652</v>
      </c>
      <c r="B118" t="s">
        <v>299</v>
      </c>
      <c r="C118" t="s">
        <v>534</v>
      </c>
      <c r="D118" s="14">
        <v>58.63</v>
      </c>
      <c r="E118" t="s">
        <v>220</v>
      </c>
      <c r="G118" t="s">
        <v>171</v>
      </c>
      <c r="H118" t="s">
        <v>535</v>
      </c>
      <c r="I118" t="s">
        <v>10</v>
      </c>
      <c r="J118" t="s">
        <v>653</v>
      </c>
    </row>
    <row r="119" spans="1:10" x14ac:dyDescent="0.25">
      <c r="A119" t="s">
        <v>654</v>
      </c>
      <c r="B119" t="s">
        <v>299</v>
      </c>
      <c r="C119" t="s">
        <v>537</v>
      </c>
      <c r="D119" s="14">
        <v>12.6</v>
      </c>
      <c r="E119" t="s">
        <v>220</v>
      </c>
      <c r="G119" t="s">
        <v>171</v>
      </c>
      <c r="H119" t="s">
        <v>535</v>
      </c>
      <c r="I119" t="s">
        <v>10</v>
      </c>
      <c r="J119" t="s">
        <v>538</v>
      </c>
    </row>
    <row r="120" spans="1:10" x14ac:dyDescent="0.25">
      <c r="A120" t="s">
        <v>655</v>
      </c>
      <c r="B120" t="s">
        <v>299</v>
      </c>
      <c r="C120" t="s">
        <v>540</v>
      </c>
      <c r="D120" s="14">
        <v>8.57</v>
      </c>
      <c r="E120" t="s">
        <v>220</v>
      </c>
      <c r="G120" t="s">
        <v>171</v>
      </c>
      <c r="H120" t="s">
        <v>535</v>
      </c>
      <c r="I120" t="s">
        <v>10</v>
      </c>
      <c r="J120" t="s">
        <v>541</v>
      </c>
    </row>
    <row r="121" spans="1:10" x14ac:dyDescent="0.25">
      <c r="A121" t="s">
        <v>656</v>
      </c>
      <c r="B121" t="s">
        <v>299</v>
      </c>
      <c r="C121" t="s">
        <v>543</v>
      </c>
      <c r="D121" s="14">
        <v>9.86</v>
      </c>
      <c r="E121" t="s">
        <v>220</v>
      </c>
      <c r="G121" t="s">
        <v>171</v>
      </c>
      <c r="H121" t="s">
        <v>535</v>
      </c>
      <c r="I121" t="s">
        <v>10</v>
      </c>
      <c r="J121" t="s">
        <v>544</v>
      </c>
    </row>
    <row r="122" spans="1:10" x14ac:dyDescent="0.25">
      <c r="A122" t="s">
        <v>657</v>
      </c>
      <c r="B122" t="s">
        <v>303</v>
      </c>
      <c r="C122" t="s">
        <v>501</v>
      </c>
      <c r="D122" s="14">
        <v>5925.9</v>
      </c>
      <c r="E122" t="s">
        <v>502</v>
      </c>
      <c r="F122" t="s">
        <v>277</v>
      </c>
      <c r="G122" t="s">
        <v>171</v>
      </c>
      <c r="H122" t="s">
        <v>503</v>
      </c>
      <c r="I122" t="s">
        <v>10</v>
      </c>
    </row>
    <row r="123" spans="1:10" x14ac:dyDescent="0.25">
      <c r="A123" t="s">
        <v>658</v>
      </c>
      <c r="B123" t="s">
        <v>303</v>
      </c>
      <c r="C123" t="s">
        <v>505</v>
      </c>
      <c r="D123" s="14">
        <v>298.2</v>
      </c>
      <c r="E123" t="s">
        <v>431</v>
      </c>
      <c r="F123" t="s">
        <v>432</v>
      </c>
      <c r="G123" t="s">
        <v>171</v>
      </c>
      <c r="H123" t="s">
        <v>503</v>
      </c>
      <c r="I123" t="s">
        <v>10</v>
      </c>
    </row>
    <row r="124" spans="1:10" x14ac:dyDescent="0.25">
      <c r="A124" t="s">
        <v>659</v>
      </c>
      <c r="B124" t="s">
        <v>303</v>
      </c>
      <c r="C124" t="s">
        <v>507</v>
      </c>
      <c r="D124" s="14">
        <v>13287.9</v>
      </c>
      <c r="E124" t="s">
        <v>502</v>
      </c>
      <c r="F124" t="s">
        <v>277</v>
      </c>
      <c r="G124" t="s">
        <v>171</v>
      </c>
      <c r="H124" t="s">
        <v>503</v>
      </c>
      <c r="I124" t="s">
        <v>10</v>
      </c>
    </row>
    <row r="125" spans="1:10" x14ac:dyDescent="0.25">
      <c r="A125" t="s">
        <v>660</v>
      </c>
      <c r="B125" t="s">
        <v>303</v>
      </c>
      <c r="C125" t="s">
        <v>509</v>
      </c>
      <c r="D125" s="14">
        <v>306</v>
      </c>
      <c r="E125" t="s">
        <v>502</v>
      </c>
      <c r="F125" t="s">
        <v>277</v>
      </c>
      <c r="G125" t="s">
        <v>171</v>
      </c>
      <c r="H125" t="s">
        <v>510</v>
      </c>
      <c r="I125" t="s">
        <v>10</v>
      </c>
      <c r="J125" t="s">
        <v>661</v>
      </c>
    </row>
    <row r="126" spans="1:10" x14ac:dyDescent="0.25">
      <c r="A126" t="s">
        <v>662</v>
      </c>
      <c r="B126" t="s">
        <v>303</v>
      </c>
      <c r="C126" t="s">
        <v>513</v>
      </c>
      <c r="D126" s="14">
        <v>7056</v>
      </c>
      <c r="E126" t="s">
        <v>502</v>
      </c>
      <c r="F126" t="s">
        <v>277</v>
      </c>
      <c r="G126" t="s">
        <v>171</v>
      </c>
      <c r="H126" t="s">
        <v>503</v>
      </c>
      <c r="I126" t="s">
        <v>10</v>
      </c>
    </row>
    <row r="127" spans="1:10" x14ac:dyDescent="0.25">
      <c r="A127" t="s">
        <v>663</v>
      </c>
      <c r="B127" t="s">
        <v>303</v>
      </c>
      <c r="C127" t="s">
        <v>515</v>
      </c>
      <c r="D127" s="14">
        <v>1620</v>
      </c>
      <c r="E127" t="s">
        <v>502</v>
      </c>
      <c r="F127" t="s">
        <v>277</v>
      </c>
      <c r="G127" t="s">
        <v>171</v>
      </c>
      <c r="H127" t="s">
        <v>503</v>
      </c>
      <c r="I127" t="s">
        <v>10</v>
      </c>
    </row>
    <row r="128" spans="1:10" x14ac:dyDescent="0.25">
      <c r="A128" t="s">
        <v>664</v>
      </c>
      <c r="B128" t="s">
        <v>303</v>
      </c>
      <c r="C128" t="s">
        <v>517</v>
      </c>
      <c r="D128" s="14">
        <v>9744</v>
      </c>
      <c r="E128" t="s">
        <v>502</v>
      </c>
      <c r="F128" t="s">
        <v>277</v>
      </c>
      <c r="G128" t="s">
        <v>171</v>
      </c>
      <c r="H128" t="s">
        <v>518</v>
      </c>
      <c r="I128" t="s">
        <v>10</v>
      </c>
    </row>
    <row r="129" spans="1:10" x14ac:dyDescent="0.25">
      <c r="A129" t="s">
        <v>665</v>
      </c>
      <c r="B129" t="s">
        <v>303</v>
      </c>
      <c r="C129" t="s">
        <v>520</v>
      </c>
      <c r="D129" s="14">
        <v>9636</v>
      </c>
      <c r="E129" t="s">
        <v>502</v>
      </c>
      <c r="F129" t="s">
        <v>277</v>
      </c>
      <c r="G129" t="s">
        <v>171</v>
      </c>
      <c r="H129" t="s">
        <v>518</v>
      </c>
      <c r="I129" t="s">
        <v>25</v>
      </c>
    </row>
    <row r="130" spans="1:10" x14ac:dyDescent="0.25">
      <c r="A130" t="s">
        <v>666</v>
      </c>
      <c r="B130" t="s">
        <v>303</v>
      </c>
      <c r="C130" t="s">
        <v>522</v>
      </c>
      <c r="D130" s="14">
        <v>10253</v>
      </c>
      <c r="E130" t="s">
        <v>502</v>
      </c>
      <c r="F130" t="s">
        <v>277</v>
      </c>
      <c r="G130" t="s">
        <v>171</v>
      </c>
      <c r="H130" t="s">
        <v>518</v>
      </c>
      <c r="I130" t="s">
        <v>8</v>
      </c>
    </row>
    <row r="131" spans="1:10" x14ac:dyDescent="0.25">
      <c r="A131" t="s">
        <v>667</v>
      </c>
      <c r="B131" t="s">
        <v>303</v>
      </c>
      <c r="C131" t="s">
        <v>524</v>
      </c>
      <c r="D131" s="14">
        <v>1783</v>
      </c>
      <c r="E131" t="s">
        <v>502</v>
      </c>
      <c r="F131" t="s">
        <v>277</v>
      </c>
      <c r="G131" t="s">
        <v>171</v>
      </c>
      <c r="H131" t="s">
        <v>525</v>
      </c>
      <c r="I131" t="s">
        <v>25</v>
      </c>
    </row>
    <row r="132" spans="1:10" x14ac:dyDescent="0.25">
      <c r="A132" t="s">
        <v>668</v>
      </c>
      <c r="B132" t="s">
        <v>303</v>
      </c>
      <c r="C132" t="s">
        <v>527</v>
      </c>
      <c r="D132" s="14">
        <v>1888</v>
      </c>
      <c r="E132" t="s">
        <v>502</v>
      </c>
      <c r="F132" t="s">
        <v>277</v>
      </c>
      <c r="G132" t="s">
        <v>171</v>
      </c>
      <c r="H132" t="s">
        <v>525</v>
      </c>
      <c r="I132" t="s">
        <v>8</v>
      </c>
    </row>
    <row r="133" spans="1:10" x14ac:dyDescent="0.25">
      <c r="A133" t="s">
        <v>669</v>
      </c>
      <c r="B133" t="s">
        <v>303</v>
      </c>
      <c r="C133" t="s">
        <v>529</v>
      </c>
      <c r="D133" s="14">
        <v>2781</v>
      </c>
      <c r="E133" t="s">
        <v>502</v>
      </c>
      <c r="F133" t="s">
        <v>277</v>
      </c>
      <c r="G133" t="s">
        <v>171</v>
      </c>
      <c r="H133" t="s">
        <v>670</v>
      </c>
      <c r="I133" t="s">
        <v>10</v>
      </c>
    </row>
    <row r="134" spans="1:10" x14ac:dyDescent="0.25">
      <c r="A134" t="s">
        <v>671</v>
      </c>
      <c r="B134" t="s">
        <v>303</v>
      </c>
      <c r="C134" t="s">
        <v>532</v>
      </c>
      <c r="D134" s="14">
        <v>634.5</v>
      </c>
      <c r="E134" t="s">
        <v>502</v>
      </c>
      <c r="F134" t="s">
        <v>277</v>
      </c>
      <c r="G134" t="s">
        <v>171</v>
      </c>
      <c r="H134" t="s">
        <v>518</v>
      </c>
      <c r="I134" t="s">
        <v>10</v>
      </c>
    </row>
    <row r="135" spans="1:10" x14ac:dyDescent="0.25">
      <c r="A135" t="s">
        <v>672</v>
      </c>
      <c r="B135" t="s">
        <v>303</v>
      </c>
      <c r="C135" t="s">
        <v>534</v>
      </c>
      <c r="D135" s="14">
        <v>15.11</v>
      </c>
      <c r="E135" t="s">
        <v>220</v>
      </c>
      <c r="G135" t="s">
        <v>171</v>
      </c>
      <c r="H135" t="s">
        <v>535</v>
      </c>
      <c r="I135" t="s">
        <v>10</v>
      </c>
    </row>
    <row r="136" spans="1:10" x14ac:dyDescent="0.25">
      <c r="A136" t="s">
        <v>673</v>
      </c>
      <c r="B136" t="s">
        <v>303</v>
      </c>
      <c r="C136" t="s">
        <v>537</v>
      </c>
      <c r="D136" s="14">
        <v>11.72</v>
      </c>
      <c r="E136" t="s">
        <v>220</v>
      </c>
      <c r="G136" t="s">
        <v>171</v>
      </c>
      <c r="H136" t="s">
        <v>535</v>
      </c>
      <c r="I136" t="s">
        <v>10</v>
      </c>
      <c r="J136" t="s">
        <v>538</v>
      </c>
    </row>
    <row r="137" spans="1:10" x14ac:dyDescent="0.25">
      <c r="A137" t="s">
        <v>674</v>
      </c>
      <c r="B137" t="s">
        <v>303</v>
      </c>
      <c r="C137" t="s">
        <v>540</v>
      </c>
      <c r="D137" s="14">
        <v>6.47</v>
      </c>
      <c r="E137" t="s">
        <v>220</v>
      </c>
      <c r="G137" t="s">
        <v>171</v>
      </c>
      <c r="H137" t="s">
        <v>535</v>
      </c>
      <c r="I137" t="s">
        <v>10</v>
      </c>
      <c r="J137" t="s">
        <v>541</v>
      </c>
    </row>
    <row r="138" spans="1:10" x14ac:dyDescent="0.25">
      <c r="A138" t="s">
        <v>675</v>
      </c>
      <c r="B138" t="s">
        <v>303</v>
      </c>
      <c r="C138" t="s">
        <v>543</v>
      </c>
      <c r="D138" s="14">
        <v>9.07</v>
      </c>
      <c r="E138" t="s">
        <v>220</v>
      </c>
      <c r="G138" t="s">
        <v>171</v>
      </c>
      <c r="H138" t="s">
        <v>535</v>
      </c>
      <c r="I138" t="s">
        <v>10</v>
      </c>
      <c r="J138" t="s">
        <v>544</v>
      </c>
    </row>
    <row r="139" spans="1:10" x14ac:dyDescent="0.25">
      <c r="A139" t="s">
        <v>676</v>
      </c>
      <c r="B139" t="s">
        <v>307</v>
      </c>
      <c r="C139" t="s">
        <v>501</v>
      </c>
      <c r="D139" s="14">
        <v>81568.800000000003</v>
      </c>
      <c r="E139" t="s">
        <v>502</v>
      </c>
      <c r="F139" t="s">
        <v>277</v>
      </c>
      <c r="G139" t="s">
        <v>171</v>
      </c>
      <c r="H139" t="s">
        <v>503</v>
      </c>
      <c r="I139" t="s">
        <v>10</v>
      </c>
    </row>
    <row r="140" spans="1:10" x14ac:dyDescent="0.25">
      <c r="A140" t="s">
        <v>677</v>
      </c>
      <c r="B140" t="s">
        <v>307</v>
      </c>
      <c r="C140" t="s">
        <v>505</v>
      </c>
      <c r="D140" s="14">
        <v>1276.3</v>
      </c>
      <c r="E140" t="s">
        <v>431</v>
      </c>
      <c r="F140" t="s">
        <v>432</v>
      </c>
      <c r="G140" t="s">
        <v>171</v>
      </c>
      <c r="H140" t="s">
        <v>503</v>
      </c>
      <c r="I140" t="s">
        <v>10</v>
      </c>
    </row>
    <row r="141" spans="1:10" x14ac:dyDescent="0.25">
      <c r="A141" t="s">
        <v>678</v>
      </c>
      <c r="B141" t="s">
        <v>307</v>
      </c>
      <c r="C141" t="s">
        <v>507</v>
      </c>
      <c r="D141" s="14">
        <v>101964.8</v>
      </c>
      <c r="E141" t="s">
        <v>502</v>
      </c>
      <c r="F141" t="s">
        <v>277</v>
      </c>
      <c r="G141" t="s">
        <v>171</v>
      </c>
      <c r="H141" t="s">
        <v>503</v>
      </c>
      <c r="I141" t="s">
        <v>10</v>
      </c>
    </row>
    <row r="142" spans="1:10" x14ac:dyDescent="0.25">
      <c r="A142" t="s">
        <v>679</v>
      </c>
      <c r="B142" t="s">
        <v>307</v>
      </c>
      <c r="C142" t="s">
        <v>509</v>
      </c>
      <c r="D142" s="14">
        <v>53</v>
      </c>
      <c r="E142" t="s">
        <v>502</v>
      </c>
      <c r="F142" t="s">
        <v>277</v>
      </c>
      <c r="G142" t="s">
        <v>171</v>
      </c>
      <c r="H142" t="s">
        <v>510</v>
      </c>
      <c r="I142" t="s">
        <v>10</v>
      </c>
      <c r="J142" t="s">
        <v>680</v>
      </c>
    </row>
    <row r="143" spans="1:10" x14ac:dyDescent="0.25">
      <c r="A143" t="s">
        <v>681</v>
      </c>
      <c r="B143" t="s">
        <v>307</v>
      </c>
      <c r="C143" t="s">
        <v>513</v>
      </c>
      <c r="D143" s="14">
        <v>20343</v>
      </c>
      <c r="E143" t="s">
        <v>502</v>
      </c>
      <c r="F143" t="s">
        <v>277</v>
      </c>
      <c r="G143" t="s">
        <v>171</v>
      </c>
      <c r="H143" t="s">
        <v>503</v>
      </c>
      <c r="I143" t="s">
        <v>10</v>
      </c>
    </row>
    <row r="144" spans="1:10" x14ac:dyDescent="0.25">
      <c r="A144" t="s">
        <v>682</v>
      </c>
      <c r="B144" t="s">
        <v>307</v>
      </c>
      <c r="C144" t="s">
        <v>515</v>
      </c>
      <c r="D144" s="14">
        <v>6080</v>
      </c>
      <c r="E144" t="s">
        <v>502</v>
      </c>
      <c r="F144" t="s">
        <v>277</v>
      </c>
      <c r="G144" t="s">
        <v>171</v>
      </c>
      <c r="H144" t="s">
        <v>503</v>
      </c>
      <c r="I144" t="s">
        <v>10</v>
      </c>
    </row>
    <row r="145" spans="1:10" x14ac:dyDescent="0.25">
      <c r="A145" t="s">
        <v>683</v>
      </c>
      <c r="B145" t="s">
        <v>307</v>
      </c>
      <c r="C145" t="s">
        <v>517</v>
      </c>
      <c r="D145" s="14">
        <v>39675</v>
      </c>
      <c r="E145" t="s">
        <v>502</v>
      </c>
      <c r="F145" t="s">
        <v>277</v>
      </c>
      <c r="G145" t="s">
        <v>171</v>
      </c>
      <c r="H145" t="s">
        <v>518</v>
      </c>
      <c r="I145" t="s">
        <v>10</v>
      </c>
    </row>
    <row r="146" spans="1:10" x14ac:dyDescent="0.25">
      <c r="A146" t="s">
        <v>684</v>
      </c>
      <c r="B146" t="s">
        <v>307</v>
      </c>
      <c r="C146" t="s">
        <v>520</v>
      </c>
      <c r="D146" s="14">
        <v>36441</v>
      </c>
      <c r="E146" t="s">
        <v>502</v>
      </c>
      <c r="F146" t="s">
        <v>277</v>
      </c>
      <c r="G146" t="s">
        <v>171</v>
      </c>
      <c r="H146" t="s">
        <v>518</v>
      </c>
      <c r="I146" t="s">
        <v>25</v>
      </c>
    </row>
    <row r="147" spans="1:10" x14ac:dyDescent="0.25">
      <c r="A147" t="s">
        <v>685</v>
      </c>
      <c r="B147" t="s">
        <v>307</v>
      </c>
      <c r="C147" t="s">
        <v>522</v>
      </c>
      <c r="D147" s="14">
        <v>38537</v>
      </c>
      <c r="E147" t="s">
        <v>502</v>
      </c>
      <c r="F147" t="s">
        <v>277</v>
      </c>
      <c r="G147" t="s">
        <v>171</v>
      </c>
      <c r="H147" t="s">
        <v>518</v>
      </c>
      <c r="I147" t="s">
        <v>8</v>
      </c>
    </row>
    <row r="148" spans="1:10" x14ac:dyDescent="0.25">
      <c r="A148" t="s">
        <v>686</v>
      </c>
      <c r="B148" t="s">
        <v>307</v>
      </c>
      <c r="C148" t="s">
        <v>524</v>
      </c>
      <c r="D148" s="14">
        <v>7740</v>
      </c>
      <c r="E148" t="s">
        <v>502</v>
      </c>
      <c r="F148" t="s">
        <v>277</v>
      </c>
      <c r="G148" t="s">
        <v>171</v>
      </c>
      <c r="H148" t="s">
        <v>525</v>
      </c>
      <c r="I148" t="s">
        <v>25</v>
      </c>
    </row>
    <row r="149" spans="1:10" x14ac:dyDescent="0.25">
      <c r="A149" t="s">
        <v>687</v>
      </c>
      <c r="B149" t="s">
        <v>307</v>
      </c>
      <c r="C149" t="s">
        <v>527</v>
      </c>
      <c r="D149" s="14">
        <v>4990</v>
      </c>
      <c r="E149" t="s">
        <v>502</v>
      </c>
      <c r="F149" t="s">
        <v>277</v>
      </c>
      <c r="G149" t="s">
        <v>171</v>
      </c>
      <c r="H149" t="s">
        <v>525</v>
      </c>
      <c r="I149" t="s">
        <v>8</v>
      </c>
      <c r="J149" t="s">
        <v>688</v>
      </c>
    </row>
    <row r="150" spans="1:10" x14ac:dyDescent="0.25">
      <c r="A150" t="s">
        <v>689</v>
      </c>
      <c r="B150" t="s">
        <v>307</v>
      </c>
      <c r="C150" t="s">
        <v>529</v>
      </c>
      <c r="D150" s="14">
        <v>12357</v>
      </c>
      <c r="E150" t="s">
        <v>502</v>
      </c>
      <c r="F150" t="s">
        <v>277</v>
      </c>
      <c r="G150" t="s">
        <v>171</v>
      </c>
      <c r="H150" t="s">
        <v>690</v>
      </c>
      <c r="I150" t="s">
        <v>10</v>
      </c>
    </row>
    <row r="151" spans="1:10" x14ac:dyDescent="0.25">
      <c r="A151" t="s">
        <v>691</v>
      </c>
      <c r="B151" t="s">
        <v>307</v>
      </c>
      <c r="C151" t="s">
        <v>532</v>
      </c>
      <c r="D151" s="14">
        <v>2252.4</v>
      </c>
      <c r="E151" t="s">
        <v>502</v>
      </c>
      <c r="F151" t="s">
        <v>277</v>
      </c>
      <c r="G151" t="s">
        <v>171</v>
      </c>
      <c r="H151" t="s">
        <v>518</v>
      </c>
      <c r="I151" t="s">
        <v>10</v>
      </c>
    </row>
    <row r="152" spans="1:10" x14ac:dyDescent="0.25">
      <c r="A152" t="s">
        <v>692</v>
      </c>
      <c r="B152" t="s">
        <v>307</v>
      </c>
      <c r="C152" t="s">
        <v>534</v>
      </c>
      <c r="D152" s="14">
        <v>23.1</v>
      </c>
      <c r="E152" t="s">
        <v>220</v>
      </c>
      <c r="G152" t="s">
        <v>171</v>
      </c>
      <c r="H152" t="s">
        <v>535</v>
      </c>
      <c r="I152" t="s">
        <v>10</v>
      </c>
    </row>
    <row r="153" spans="1:10" x14ac:dyDescent="0.25">
      <c r="A153" t="s">
        <v>693</v>
      </c>
      <c r="B153" t="s">
        <v>307</v>
      </c>
      <c r="C153" t="s">
        <v>537</v>
      </c>
      <c r="D153" s="14">
        <v>19.829999999999998</v>
      </c>
      <c r="E153" t="s">
        <v>220</v>
      </c>
      <c r="G153" t="s">
        <v>171</v>
      </c>
      <c r="H153" t="s">
        <v>535</v>
      </c>
      <c r="I153" t="s">
        <v>10</v>
      </c>
      <c r="J153" t="s">
        <v>538</v>
      </c>
    </row>
    <row r="154" spans="1:10" x14ac:dyDescent="0.25">
      <c r="A154" t="s">
        <v>694</v>
      </c>
      <c r="B154" t="s">
        <v>307</v>
      </c>
      <c r="C154" t="s">
        <v>540</v>
      </c>
      <c r="D154" s="14">
        <v>14.48</v>
      </c>
      <c r="E154" t="s">
        <v>220</v>
      </c>
      <c r="G154" t="s">
        <v>171</v>
      </c>
      <c r="H154" t="s">
        <v>535</v>
      </c>
      <c r="I154" t="s">
        <v>10</v>
      </c>
      <c r="J154" t="s">
        <v>541</v>
      </c>
    </row>
    <row r="155" spans="1:10" x14ac:dyDescent="0.25">
      <c r="A155" t="s">
        <v>695</v>
      </c>
      <c r="B155" t="s">
        <v>307</v>
      </c>
      <c r="C155" t="s">
        <v>543</v>
      </c>
      <c r="D155" s="14">
        <v>14.13</v>
      </c>
      <c r="E155" t="s">
        <v>220</v>
      </c>
      <c r="G155" t="s">
        <v>171</v>
      </c>
      <c r="H155" t="s">
        <v>535</v>
      </c>
      <c r="I155" t="s">
        <v>10</v>
      </c>
      <c r="J155" t="s">
        <v>544</v>
      </c>
    </row>
    <row r="156" spans="1:10" x14ac:dyDescent="0.25">
      <c r="A156" t="s">
        <v>696</v>
      </c>
      <c r="B156" t="s">
        <v>311</v>
      </c>
      <c r="C156" t="s">
        <v>546</v>
      </c>
      <c r="D156" s="14">
        <v>209.66</v>
      </c>
      <c r="E156" t="s">
        <v>426</v>
      </c>
      <c r="F156" t="s">
        <v>270</v>
      </c>
      <c r="G156" t="s">
        <v>171</v>
      </c>
      <c r="H156" t="s">
        <v>697</v>
      </c>
      <c r="I156" t="s">
        <v>10</v>
      </c>
      <c r="J156" t="s">
        <v>698</v>
      </c>
    </row>
    <row r="157" spans="1:10" x14ac:dyDescent="0.25">
      <c r="A157" t="s">
        <v>699</v>
      </c>
      <c r="B157" t="s">
        <v>311</v>
      </c>
      <c r="C157" t="s">
        <v>550</v>
      </c>
      <c r="D157" s="15">
        <v>1696.2</v>
      </c>
      <c r="E157" t="s">
        <v>431</v>
      </c>
      <c r="F157" t="s">
        <v>432</v>
      </c>
      <c r="G157" t="s">
        <v>171</v>
      </c>
      <c r="H157" t="s">
        <v>700</v>
      </c>
      <c r="I157" t="s">
        <v>439</v>
      </c>
      <c r="J157" t="s">
        <v>701</v>
      </c>
    </row>
    <row r="158" spans="1:10" x14ac:dyDescent="0.25">
      <c r="A158" t="s">
        <v>702</v>
      </c>
      <c r="B158" t="s">
        <v>311</v>
      </c>
      <c r="C158" t="s">
        <v>554</v>
      </c>
      <c r="D158" s="13">
        <f>1/$D$10</f>
        <v>5.411548243952595E-2</v>
      </c>
      <c r="E158" t="s">
        <v>410</v>
      </c>
      <c r="F158" t="s">
        <v>277</v>
      </c>
      <c r="G158" t="s">
        <v>169</v>
      </c>
      <c r="H158" t="s">
        <v>555</v>
      </c>
      <c r="I158" t="s">
        <v>416</v>
      </c>
      <c r="J158" t="s">
        <v>556</v>
      </c>
    </row>
    <row r="159" spans="1:10" x14ac:dyDescent="0.25">
      <c r="A159" t="s">
        <v>703</v>
      </c>
      <c r="B159" t="s">
        <v>311</v>
      </c>
      <c r="C159" t="s">
        <v>558</v>
      </c>
      <c r="D159" s="15" t="s">
        <v>290</v>
      </c>
      <c r="E159" t="s">
        <v>502</v>
      </c>
      <c r="F159" t="s">
        <v>277</v>
      </c>
      <c r="G159" t="s">
        <v>579</v>
      </c>
      <c r="H159" t="s">
        <v>599</v>
      </c>
      <c r="I159" t="s">
        <v>439</v>
      </c>
      <c r="J159" t="s">
        <v>594</v>
      </c>
    </row>
    <row r="160" spans="1:10" x14ac:dyDescent="0.25">
      <c r="A160" t="s">
        <v>704</v>
      </c>
      <c r="B160" t="s">
        <v>311</v>
      </c>
      <c r="C160" t="s">
        <v>513</v>
      </c>
      <c r="D160" s="14">
        <v>2015.4</v>
      </c>
      <c r="E160" t="s">
        <v>502</v>
      </c>
      <c r="F160" t="s">
        <v>277</v>
      </c>
      <c r="G160" t="s">
        <v>171</v>
      </c>
      <c r="H160" t="s">
        <v>503</v>
      </c>
      <c r="I160" t="s">
        <v>10</v>
      </c>
    </row>
    <row r="161" spans="1:10" x14ac:dyDescent="0.25">
      <c r="A161" t="s">
        <v>705</v>
      </c>
      <c r="B161" t="s">
        <v>311</v>
      </c>
      <c r="C161" t="s">
        <v>515</v>
      </c>
      <c r="D161" s="14">
        <v>2707</v>
      </c>
      <c r="E161" t="s">
        <v>502</v>
      </c>
      <c r="F161" t="s">
        <v>277</v>
      </c>
      <c r="G161" t="s">
        <v>171</v>
      </c>
      <c r="H161" t="s">
        <v>503</v>
      </c>
      <c r="I161" t="s">
        <v>10</v>
      </c>
    </row>
    <row r="162" spans="1:10" x14ac:dyDescent="0.25">
      <c r="A162" t="s">
        <v>706</v>
      </c>
      <c r="B162" t="s">
        <v>311</v>
      </c>
      <c r="C162" t="s">
        <v>517</v>
      </c>
      <c r="D162" s="14">
        <v>13945.2</v>
      </c>
      <c r="E162" t="s">
        <v>502</v>
      </c>
      <c r="F162" t="s">
        <v>277</v>
      </c>
      <c r="G162" t="s">
        <v>171</v>
      </c>
      <c r="H162" t="s">
        <v>518</v>
      </c>
      <c r="I162" t="s">
        <v>10</v>
      </c>
    </row>
    <row r="163" spans="1:10" x14ac:dyDescent="0.25">
      <c r="A163" t="s">
        <v>707</v>
      </c>
      <c r="B163" t="s">
        <v>311</v>
      </c>
      <c r="C163" t="s">
        <v>520</v>
      </c>
      <c r="D163" s="14">
        <v>13149.5</v>
      </c>
      <c r="E163" t="s">
        <v>502</v>
      </c>
      <c r="F163" t="s">
        <v>277</v>
      </c>
      <c r="G163" t="s">
        <v>171</v>
      </c>
      <c r="H163" t="s">
        <v>518</v>
      </c>
      <c r="I163" t="s">
        <v>25</v>
      </c>
    </row>
    <row r="164" spans="1:10" x14ac:dyDescent="0.25">
      <c r="A164" t="s">
        <v>708</v>
      </c>
      <c r="B164" t="s">
        <v>311</v>
      </c>
      <c r="C164" t="s">
        <v>522</v>
      </c>
      <c r="D164" s="14">
        <v>13058.3</v>
      </c>
      <c r="E164" t="s">
        <v>502</v>
      </c>
      <c r="F164" t="s">
        <v>277</v>
      </c>
      <c r="G164" t="s">
        <v>171</v>
      </c>
      <c r="H164" t="s">
        <v>518</v>
      </c>
      <c r="I164" t="s">
        <v>8</v>
      </c>
    </row>
    <row r="165" spans="1:10" x14ac:dyDescent="0.25">
      <c r="A165" t="s">
        <v>709</v>
      </c>
      <c r="B165" t="s">
        <v>311</v>
      </c>
      <c r="C165" t="s">
        <v>524</v>
      </c>
      <c r="D165" s="14">
        <v>2599</v>
      </c>
      <c r="E165" t="s">
        <v>502</v>
      </c>
      <c r="F165" t="s">
        <v>277</v>
      </c>
      <c r="G165" t="s">
        <v>171</v>
      </c>
      <c r="H165" t="s">
        <v>525</v>
      </c>
      <c r="I165" t="s">
        <v>25</v>
      </c>
    </row>
    <row r="166" spans="1:10" x14ac:dyDescent="0.25">
      <c r="A166" t="s">
        <v>710</v>
      </c>
      <c r="B166" t="s">
        <v>311</v>
      </c>
      <c r="C166" t="s">
        <v>527</v>
      </c>
      <c r="D166" s="14">
        <v>2540.6</v>
      </c>
      <c r="E166" t="s">
        <v>502</v>
      </c>
      <c r="F166" t="s">
        <v>277</v>
      </c>
      <c r="G166" t="s">
        <v>171</v>
      </c>
      <c r="H166" t="s">
        <v>525</v>
      </c>
      <c r="I166" t="s">
        <v>8</v>
      </c>
    </row>
    <row r="167" spans="1:10" x14ac:dyDescent="0.25">
      <c r="A167" t="s">
        <v>711</v>
      </c>
      <c r="B167" t="s">
        <v>311</v>
      </c>
      <c r="C167" t="s">
        <v>529</v>
      </c>
      <c r="D167" s="15">
        <v>6537.9</v>
      </c>
      <c r="E167" t="s">
        <v>502</v>
      </c>
      <c r="F167" t="s">
        <v>277</v>
      </c>
      <c r="G167" t="s">
        <v>171</v>
      </c>
      <c r="H167" t="s">
        <v>610</v>
      </c>
      <c r="I167" t="s">
        <v>10</v>
      </c>
    </row>
    <row r="168" spans="1:10" x14ac:dyDescent="0.25">
      <c r="A168" t="s">
        <v>712</v>
      </c>
      <c r="B168" t="s">
        <v>311</v>
      </c>
      <c r="C168" t="s">
        <v>532</v>
      </c>
      <c r="D168" s="14">
        <v>763.6</v>
      </c>
      <c r="E168" t="s">
        <v>502</v>
      </c>
      <c r="F168" t="s">
        <v>277</v>
      </c>
      <c r="G168" t="s">
        <v>171</v>
      </c>
      <c r="H168" t="s">
        <v>518</v>
      </c>
      <c r="I168" t="s">
        <v>10</v>
      </c>
    </row>
    <row r="169" spans="1:10" x14ac:dyDescent="0.25">
      <c r="A169" t="s">
        <v>713</v>
      </c>
      <c r="B169" t="s">
        <v>311</v>
      </c>
      <c r="C169" t="s">
        <v>534</v>
      </c>
      <c r="D169" s="14">
        <v>18.71</v>
      </c>
      <c r="E169" t="s">
        <v>220</v>
      </c>
      <c r="G169" t="s">
        <v>171</v>
      </c>
      <c r="H169" t="s">
        <v>535</v>
      </c>
      <c r="I169" t="s">
        <v>10</v>
      </c>
    </row>
    <row r="170" spans="1:10" x14ac:dyDescent="0.25">
      <c r="A170" t="s">
        <v>714</v>
      </c>
      <c r="B170" t="s">
        <v>311</v>
      </c>
      <c r="C170" t="s">
        <v>537</v>
      </c>
      <c r="D170" s="14">
        <v>16.5</v>
      </c>
      <c r="E170" t="s">
        <v>220</v>
      </c>
      <c r="G170" t="s">
        <v>171</v>
      </c>
      <c r="H170" t="s">
        <v>535</v>
      </c>
      <c r="I170" t="s">
        <v>10</v>
      </c>
      <c r="J170" t="s">
        <v>538</v>
      </c>
    </row>
    <row r="171" spans="1:10" x14ac:dyDescent="0.25">
      <c r="A171" t="s">
        <v>715</v>
      </c>
      <c r="B171" t="s">
        <v>311</v>
      </c>
      <c r="C171" t="s">
        <v>540</v>
      </c>
      <c r="D171" s="14">
        <v>8.4700000000000006</v>
      </c>
      <c r="E171" t="s">
        <v>220</v>
      </c>
      <c r="G171" t="s">
        <v>171</v>
      </c>
      <c r="H171" t="s">
        <v>535</v>
      </c>
      <c r="I171" t="s">
        <v>10</v>
      </c>
      <c r="J171" t="s">
        <v>541</v>
      </c>
    </row>
    <row r="172" spans="1:10" x14ac:dyDescent="0.25">
      <c r="A172" t="s">
        <v>716</v>
      </c>
      <c r="B172" t="s">
        <v>311</v>
      </c>
      <c r="C172" t="s">
        <v>543</v>
      </c>
      <c r="D172" s="14">
        <v>7.87</v>
      </c>
      <c r="E172" t="s">
        <v>220</v>
      </c>
      <c r="G172" t="s">
        <v>171</v>
      </c>
      <c r="H172" t="s">
        <v>535</v>
      </c>
      <c r="I172" t="s">
        <v>10</v>
      </c>
      <c r="J172" t="s">
        <v>544</v>
      </c>
    </row>
    <row r="173" spans="1:10" x14ac:dyDescent="0.25">
      <c r="A173" t="s">
        <v>717</v>
      </c>
      <c r="B173" t="s">
        <v>315</v>
      </c>
      <c r="C173" t="s">
        <v>501</v>
      </c>
      <c r="D173" s="14">
        <v>179200.5</v>
      </c>
      <c r="E173" t="s">
        <v>502</v>
      </c>
      <c r="F173" t="s">
        <v>277</v>
      </c>
      <c r="G173" t="s">
        <v>171</v>
      </c>
      <c r="H173" t="s">
        <v>503</v>
      </c>
      <c r="I173" t="s">
        <v>10</v>
      </c>
    </row>
    <row r="174" spans="1:10" x14ac:dyDescent="0.25">
      <c r="A174" t="s">
        <v>718</v>
      </c>
      <c r="B174" t="s">
        <v>315</v>
      </c>
      <c r="C174" t="s">
        <v>505</v>
      </c>
      <c r="D174" s="14">
        <v>1362.7</v>
      </c>
      <c r="E174" t="s">
        <v>431</v>
      </c>
      <c r="F174" t="s">
        <v>432</v>
      </c>
      <c r="G174" t="s">
        <v>171</v>
      </c>
      <c r="H174" t="s">
        <v>503</v>
      </c>
      <c r="I174" t="s">
        <v>10</v>
      </c>
    </row>
    <row r="175" spans="1:10" x14ac:dyDescent="0.25">
      <c r="A175" t="s">
        <v>719</v>
      </c>
      <c r="B175" t="s">
        <v>315</v>
      </c>
      <c r="C175" t="s">
        <v>507</v>
      </c>
      <c r="D175" s="14">
        <v>220113.5</v>
      </c>
      <c r="E175" t="s">
        <v>502</v>
      </c>
      <c r="F175" t="s">
        <v>277</v>
      </c>
      <c r="G175" t="s">
        <v>171</v>
      </c>
      <c r="H175" t="s">
        <v>503</v>
      </c>
      <c r="I175" t="s">
        <v>10</v>
      </c>
    </row>
    <row r="176" spans="1:10" x14ac:dyDescent="0.25">
      <c r="A176" t="s">
        <v>720</v>
      </c>
      <c r="B176" t="s">
        <v>315</v>
      </c>
      <c r="C176" t="s">
        <v>509</v>
      </c>
      <c r="D176" s="14">
        <v>195</v>
      </c>
      <c r="E176" t="s">
        <v>502</v>
      </c>
      <c r="F176" t="s">
        <v>277</v>
      </c>
      <c r="G176" t="s">
        <v>171</v>
      </c>
      <c r="H176" t="s">
        <v>510</v>
      </c>
      <c r="I176" t="s">
        <v>10</v>
      </c>
      <c r="J176" t="s">
        <v>721</v>
      </c>
    </row>
    <row r="177" spans="1:10" x14ac:dyDescent="0.25">
      <c r="A177" t="s">
        <v>722</v>
      </c>
      <c r="B177" t="s">
        <v>315</v>
      </c>
      <c r="C177" t="s">
        <v>513</v>
      </c>
      <c r="D177" s="14">
        <v>40718</v>
      </c>
      <c r="E177" t="s">
        <v>502</v>
      </c>
      <c r="F177" t="s">
        <v>277</v>
      </c>
      <c r="G177" t="s">
        <v>171</v>
      </c>
      <c r="H177" t="s">
        <v>503</v>
      </c>
      <c r="I177" t="s">
        <v>10</v>
      </c>
    </row>
    <row r="178" spans="1:10" x14ac:dyDescent="0.25">
      <c r="A178" t="s">
        <v>723</v>
      </c>
      <c r="B178" t="s">
        <v>315</v>
      </c>
      <c r="C178" t="s">
        <v>515</v>
      </c>
      <c r="D178" s="14">
        <v>19171</v>
      </c>
      <c r="E178" t="s">
        <v>502</v>
      </c>
      <c r="F178" t="s">
        <v>277</v>
      </c>
      <c r="G178" t="s">
        <v>171</v>
      </c>
      <c r="H178" t="s">
        <v>503</v>
      </c>
      <c r="I178" t="s">
        <v>10</v>
      </c>
    </row>
    <row r="179" spans="1:10" x14ac:dyDescent="0.25">
      <c r="A179" t="s">
        <v>724</v>
      </c>
      <c r="B179" t="s">
        <v>315</v>
      </c>
      <c r="C179" t="s">
        <v>517</v>
      </c>
      <c r="D179" s="14">
        <v>98241</v>
      </c>
      <c r="E179" t="s">
        <v>502</v>
      </c>
      <c r="F179" t="s">
        <v>277</v>
      </c>
      <c r="G179" t="s">
        <v>171</v>
      </c>
      <c r="H179" t="s">
        <v>518</v>
      </c>
      <c r="I179" t="s">
        <v>10</v>
      </c>
    </row>
    <row r="180" spans="1:10" x14ac:dyDescent="0.25">
      <c r="A180" t="s">
        <v>725</v>
      </c>
      <c r="B180" t="s">
        <v>315</v>
      </c>
      <c r="C180" t="s">
        <v>520</v>
      </c>
      <c r="D180" s="14">
        <v>91854</v>
      </c>
      <c r="E180" t="s">
        <v>502</v>
      </c>
      <c r="F180" t="s">
        <v>277</v>
      </c>
      <c r="G180" t="s">
        <v>171</v>
      </c>
      <c r="H180" t="s">
        <v>518</v>
      </c>
      <c r="I180" t="s">
        <v>25</v>
      </c>
    </row>
    <row r="181" spans="1:10" x14ac:dyDescent="0.25">
      <c r="A181" t="s">
        <v>726</v>
      </c>
      <c r="B181" t="s">
        <v>315</v>
      </c>
      <c r="C181" t="s">
        <v>522</v>
      </c>
      <c r="D181" s="14">
        <v>93925</v>
      </c>
      <c r="E181" t="s">
        <v>502</v>
      </c>
      <c r="F181" t="s">
        <v>277</v>
      </c>
      <c r="G181" t="s">
        <v>171</v>
      </c>
      <c r="H181" t="s">
        <v>518</v>
      </c>
      <c r="I181" t="s">
        <v>8</v>
      </c>
    </row>
    <row r="182" spans="1:10" x14ac:dyDescent="0.25">
      <c r="A182" t="s">
        <v>727</v>
      </c>
      <c r="B182" t="s">
        <v>315</v>
      </c>
      <c r="C182" t="s">
        <v>524</v>
      </c>
      <c r="D182" s="14">
        <v>17842</v>
      </c>
      <c r="E182" t="s">
        <v>502</v>
      </c>
      <c r="F182" t="s">
        <v>277</v>
      </c>
      <c r="G182" t="s">
        <v>171</v>
      </c>
      <c r="H182" t="s">
        <v>525</v>
      </c>
      <c r="I182" t="s">
        <v>25</v>
      </c>
    </row>
    <row r="183" spans="1:10" x14ac:dyDescent="0.25">
      <c r="A183" t="s">
        <v>728</v>
      </c>
      <c r="B183" t="s">
        <v>315</v>
      </c>
      <c r="C183" t="s">
        <v>527</v>
      </c>
      <c r="D183" s="14">
        <v>18174</v>
      </c>
      <c r="E183" t="s">
        <v>502</v>
      </c>
      <c r="F183" t="s">
        <v>277</v>
      </c>
      <c r="G183" t="s">
        <v>171</v>
      </c>
      <c r="H183" t="s">
        <v>525</v>
      </c>
      <c r="I183" t="s">
        <v>8</v>
      </c>
    </row>
    <row r="184" spans="1:10" x14ac:dyDescent="0.25">
      <c r="A184" t="s">
        <v>729</v>
      </c>
      <c r="B184" t="s">
        <v>315</v>
      </c>
      <c r="C184" t="s">
        <v>529</v>
      </c>
      <c r="D184" s="14">
        <v>53371</v>
      </c>
      <c r="E184" t="s">
        <v>502</v>
      </c>
      <c r="F184" t="s">
        <v>277</v>
      </c>
      <c r="G184" t="s">
        <v>171</v>
      </c>
      <c r="H184" t="s">
        <v>730</v>
      </c>
      <c r="I184" t="s">
        <v>10</v>
      </c>
    </row>
    <row r="185" spans="1:10" x14ac:dyDescent="0.25">
      <c r="A185" t="s">
        <v>731</v>
      </c>
      <c r="B185" t="s">
        <v>315</v>
      </c>
      <c r="C185" t="s">
        <v>532</v>
      </c>
      <c r="D185" s="14">
        <v>9044.2999999999993</v>
      </c>
      <c r="E185" t="s">
        <v>502</v>
      </c>
      <c r="F185" t="s">
        <v>277</v>
      </c>
      <c r="G185" t="s">
        <v>171</v>
      </c>
      <c r="H185" t="s">
        <v>518</v>
      </c>
      <c r="I185" t="s">
        <v>10</v>
      </c>
    </row>
    <row r="186" spans="1:10" x14ac:dyDescent="0.25">
      <c r="A186" t="s">
        <v>732</v>
      </c>
      <c r="B186" t="s">
        <v>315</v>
      </c>
      <c r="C186" t="s">
        <v>534</v>
      </c>
      <c r="D186" s="14">
        <v>16.149999999999999</v>
      </c>
      <c r="E186" t="s">
        <v>220</v>
      </c>
      <c r="G186" t="s">
        <v>171</v>
      </c>
      <c r="H186" t="s">
        <v>535</v>
      </c>
      <c r="I186" t="s">
        <v>10</v>
      </c>
    </row>
    <row r="187" spans="1:10" x14ac:dyDescent="0.25">
      <c r="A187" t="s">
        <v>733</v>
      </c>
      <c r="B187" t="s">
        <v>315</v>
      </c>
      <c r="C187" t="s">
        <v>537</v>
      </c>
      <c r="D187" s="14">
        <v>15.53</v>
      </c>
      <c r="E187" t="s">
        <v>220</v>
      </c>
      <c r="G187" t="s">
        <v>171</v>
      </c>
      <c r="H187" t="s">
        <v>535</v>
      </c>
      <c r="I187" t="s">
        <v>10</v>
      </c>
      <c r="J187" t="s">
        <v>538</v>
      </c>
    </row>
    <row r="188" spans="1:10" x14ac:dyDescent="0.25">
      <c r="A188" t="s">
        <v>734</v>
      </c>
      <c r="B188" t="s">
        <v>315</v>
      </c>
      <c r="C188" t="s">
        <v>540</v>
      </c>
      <c r="D188" s="14">
        <v>10.35</v>
      </c>
      <c r="E188" t="s">
        <v>220</v>
      </c>
      <c r="G188" t="s">
        <v>171</v>
      </c>
      <c r="H188" t="s">
        <v>535</v>
      </c>
      <c r="I188" t="s">
        <v>10</v>
      </c>
      <c r="J188" t="s">
        <v>541</v>
      </c>
    </row>
    <row r="189" spans="1:10" x14ac:dyDescent="0.25">
      <c r="A189" t="s">
        <v>735</v>
      </c>
      <c r="B189" t="s">
        <v>315</v>
      </c>
      <c r="C189" t="s">
        <v>543</v>
      </c>
      <c r="D189" s="14">
        <v>11.24</v>
      </c>
      <c r="E189" t="s">
        <v>220</v>
      </c>
      <c r="G189" t="s">
        <v>171</v>
      </c>
      <c r="H189" t="s">
        <v>535</v>
      </c>
      <c r="I189" t="s">
        <v>10</v>
      </c>
      <c r="J189" t="s">
        <v>544</v>
      </c>
    </row>
    <row r="190" spans="1:10" x14ac:dyDescent="0.25">
      <c r="A190" s="3" t="s">
        <v>736</v>
      </c>
      <c r="B190" s="4"/>
      <c r="C190" s="4"/>
      <c r="D190" s="4"/>
      <c r="E190" s="4"/>
      <c r="F190" s="4"/>
      <c r="G190" s="4"/>
      <c r="H190" s="4"/>
      <c r="I190" s="4"/>
      <c r="J190" s="4"/>
    </row>
    <row r="191" spans="1:10" x14ac:dyDescent="0.25">
      <c r="A191" t="s">
        <v>737</v>
      </c>
      <c r="B191" t="s">
        <v>275</v>
      </c>
      <c r="C191" t="s">
        <v>738</v>
      </c>
      <c r="D191" s="14">
        <v>1686.2</v>
      </c>
      <c r="E191" t="s">
        <v>502</v>
      </c>
      <c r="F191" t="s">
        <v>277</v>
      </c>
      <c r="G191" t="s">
        <v>171</v>
      </c>
      <c r="H191" t="s">
        <v>739</v>
      </c>
      <c r="I191" t="s">
        <v>740</v>
      </c>
    </row>
    <row r="192" spans="1:10" x14ac:dyDescent="0.25">
      <c r="A192" t="s">
        <v>741</v>
      </c>
      <c r="B192" t="s">
        <v>275</v>
      </c>
      <c r="C192" t="s">
        <v>742</v>
      </c>
      <c r="D192" s="14">
        <v>0</v>
      </c>
      <c r="E192" t="s">
        <v>502</v>
      </c>
      <c r="F192" t="s">
        <v>277</v>
      </c>
      <c r="G192" t="s">
        <v>171</v>
      </c>
      <c r="H192" t="s">
        <v>743</v>
      </c>
      <c r="I192" t="s">
        <v>740</v>
      </c>
      <c r="J192" t="s">
        <v>744</v>
      </c>
    </row>
    <row r="193" spans="1:10" x14ac:dyDescent="0.25">
      <c r="A193" t="s">
        <v>745</v>
      </c>
      <c r="B193" t="s">
        <v>275</v>
      </c>
      <c r="C193" t="s">
        <v>746</v>
      </c>
      <c r="D193" s="14">
        <v>317.10199999999998</v>
      </c>
      <c r="E193" t="s">
        <v>502</v>
      </c>
      <c r="F193" t="s">
        <v>277</v>
      </c>
      <c r="G193" t="s">
        <v>171</v>
      </c>
      <c r="H193" t="s">
        <v>743</v>
      </c>
      <c r="I193" t="s">
        <v>740</v>
      </c>
    </row>
    <row r="194" spans="1:10" x14ac:dyDescent="0.25">
      <c r="A194" t="s">
        <v>747</v>
      </c>
      <c r="B194" t="s">
        <v>275</v>
      </c>
      <c r="C194" t="s">
        <v>748</v>
      </c>
      <c r="D194" s="14">
        <v>0</v>
      </c>
      <c r="E194" t="s">
        <v>502</v>
      </c>
      <c r="F194" t="s">
        <v>277</v>
      </c>
      <c r="G194" t="s">
        <v>171</v>
      </c>
      <c r="H194" t="s">
        <v>749</v>
      </c>
      <c r="I194" t="s">
        <v>740</v>
      </c>
      <c r="J194" t="s">
        <v>511</v>
      </c>
    </row>
    <row r="195" spans="1:10" x14ac:dyDescent="0.25">
      <c r="A195" t="s">
        <v>750</v>
      </c>
      <c r="B195" t="s">
        <v>275</v>
      </c>
      <c r="C195" t="s">
        <v>751</v>
      </c>
      <c r="D195" s="14">
        <v>52.765999999999998</v>
      </c>
      <c r="E195" t="s">
        <v>502</v>
      </c>
      <c r="F195" t="s">
        <v>277</v>
      </c>
      <c r="G195" t="s">
        <v>171</v>
      </c>
      <c r="H195" t="s">
        <v>749</v>
      </c>
      <c r="I195" t="s">
        <v>740</v>
      </c>
    </row>
    <row r="196" spans="1:10" x14ac:dyDescent="0.25">
      <c r="A196" t="s">
        <v>752</v>
      </c>
      <c r="B196" t="s">
        <v>275</v>
      </c>
      <c r="C196" t="s">
        <v>265</v>
      </c>
      <c r="D196" s="15" t="s">
        <v>279</v>
      </c>
      <c r="E196" t="s">
        <v>753</v>
      </c>
      <c r="G196" t="s">
        <v>171</v>
      </c>
      <c r="H196" t="s">
        <v>754</v>
      </c>
      <c r="I196" t="s">
        <v>740</v>
      </c>
    </row>
    <row r="197" spans="1:10" x14ac:dyDescent="0.25">
      <c r="A197" t="s">
        <v>755</v>
      </c>
      <c r="B197" t="s">
        <v>275</v>
      </c>
      <c r="C197" t="s">
        <v>756</v>
      </c>
      <c r="D197" s="15" t="s">
        <v>280</v>
      </c>
      <c r="E197" t="s">
        <v>753</v>
      </c>
      <c r="G197" t="s">
        <v>171</v>
      </c>
      <c r="H197" t="s">
        <v>757</v>
      </c>
      <c r="I197" t="s">
        <v>416</v>
      </c>
    </row>
    <row r="198" spans="1:10" x14ac:dyDescent="0.25">
      <c r="A198" t="s">
        <v>758</v>
      </c>
      <c r="B198" t="s">
        <v>299</v>
      </c>
      <c r="C198" t="s">
        <v>738</v>
      </c>
      <c r="D198" s="14">
        <v>6737.8</v>
      </c>
      <c r="E198" t="s">
        <v>502</v>
      </c>
      <c r="F198" t="s">
        <v>277</v>
      </c>
      <c r="G198" t="s">
        <v>171</v>
      </c>
      <c r="H198" t="s">
        <v>759</v>
      </c>
      <c r="I198" t="s">
        <v>760</v>
      </c>
    </row>
    <row r="199" spans="1:10" x14ac:dyDescent="0.25">
      <c r="A199" t="s">
        <v>761</v>
      </c>
      <c r="B199" t="s">
        <v>299</v>
      </c>
      <c r="C199" t="s">
        <v>742</v>
      </c>
      <c r="D199" s="14">
        <v>9.6</v>
      </c>
      <c r="E199" t="s">
        <v>502</v>
      </c>
      <c r="F199" t="s">
        <v>277</v>
      </c>
      <c r="G199" t="s">
        <v>171</v>
      </c>
      <c r="H199" t="s">
        <v>743</v>
      </c>
      <c r="I199" t="s">
        <v>760</v>
      </c>
      <c r="J199" t="s">
        <v>744</v>
      </c>
    </row>
    <row r="200" spans="1:10" x14ac:dyDescent="0.25">
      <c r="A200" t="s">
        <v>762</v>
      </c>
      <c r="B200" t="s">
        <v>299</v>
      </c>
      <c r="C200" t="s">
        <v>746</v>
      </c>
      <c r="D200" s="14">
        <v>192.8</v>
      </c>
      <c r="E200" t="s">
        <v>502</v>
      </c>
      <c r="F200" t="s">
        <v>277</v>
      </c>
      <c r="G200" t="s">
        <v>171</v>
      </c>
      <c r="H200" t="s">
        <v>743</v>
      </c>
      <c r="I200" t="s">
        <v>760</v>
      </c>
    </row>
    <row r="201" spans="1:10" x14ac:dyDescent="0.25">
      <c r="A201" t="s">
        <v>763</v>
      </c>
      <c r="B201" t="s">
        <v>299</v>
      </c>
      <c r="C201" t="s">
        <v>748</v>
      </c>
      <c r="D201" s="14">
        <v>0</v>
      </c>
      <c r="E201" t="s">
        <v>502</v>
      </c>
      <c r="F201" t="s">
        <v>277</v>
      </c>
      <c r="G201" t="s">
        <v>171</v>
      </c>
      <c r="H201" t="s">
        <v>764</v>
      </c>
      <c r="I201" t="s">
        <v>760</v>
      </c>
      <c r="J201" t="s">
        <v>640</v>
      </c>
    </row>
    <row r="202" spans="1:10" x14ac:dyDescent="0.25">
      <c r="A202" t="s">
        <v>765</v>
      </c>
      <c r="B202" t="s">
        <v>299</v>
      </c>
      <c r="C202" t="s">
        <v>751</v>
      </c>
      <c r="D202" s="14">
        <v>43.2</v>
      </c>
      <c r="E202" t="s">
        <v>502</v>
      </c>
      <c r="F202" t="s">
        <v>277</v>
      </c>
      <c r="G202" t="s">
        <v>171</v>
      </c>
      <c r="H202" t="s">
        <v>764</v>
      </c>
      <c r="I202" t="s">
        <v>760</v>
      </c>
    </row>
    <row r="203" spans="1:10" x14ac:dyDescent="0.25">
      <c r="A203" t="s">
        <v>766</v>
      </c>
      <c r="B203" t="s">
        <v>299</v>
      </c>
      <c r="C203" t="s">
        <v>265</v>
      </c>
      <c r="D203" s="15" t="s">
        <v>301</v>
      </c>
      <c r="E203" t="s">
        <v>753</v>
      </c>
      <c r="G203" t="s">
        <v>171</v>
      </c>
      <c r="H203" t="s">
        <v>754</v>
      </c>
      <c r="I203" t="s">
        <v>760</v>
      </c>
    </row>
    <row r="204" spans="1:10" x14ac:dyDescent="0.25">
      <c r="A204" t="s">
        <v>767</v>
      </c>
      <c r="B204" t="s">
        <v>299</v>
      </c>
      <c r="C204" t="s">
        <v>756</v>
      </c>
      <c r="D204" s="15" t="s">
        <v>285</v>
      </c>
      <c r="E204" t="s">
        <v>753</v>
      </c>
      <c r="G204" t="s">
        <v>171</v>
      </c>
      <c r="H204" t="s">
        <v>285</v>
      </c>
      <c r="I204" t="s">
        <v>416</v>
      </c>
    </row>
    <row r="205" spans="1:10" x14ac:dyDescent="0.25">
      <c r="A205" t="s">
        <v>768</v>
      </c>
      <c r="B205" t="s">
        <v>303</v>
      </c>
      <c r="C205" t="s">
        <v>738</v>
      </c>
      <c r="D205" s="14">
        <v>7053</v>
      </c>
      <c r="E205" t="s">
        <v>502</v>
      </c>
      <c r="F205" t="s">
        <v>277</v>
      </c>
      <c r="G205" t="s">
        <v>171</v>
      </c>
      <c r="H205" t="s">
        <v>769</v>
      </c>
      <c r="I205" t="s">
        <v>770</v>
      </c>
    </row>
    <row r="206" spans="1:10" x14ac:dyDescent="0.25">
      <c r="A206" t="s">
        <v>771</v>
      </c>
      <c r="B206" t="s">
        <v>303</v>
      </c>
      <c r="C206" t="s">
        <v>742</v>
      </c>
      <c r="D206" s="14">
        <v>84</v>
      </c>
      <c r="E206" t="s">
        <v>502</v>
      </c>
      <c r="F206" t="s">
        <v>277</v>
      </c>
      <c r="G206" t="s">
        <v>171</v>
      </c>
      <c r="H206" t="s">
        <v>743</v>
      </c>
      <c r="I206" t="s">
        <v>770</v>
      </c>
      <c r="J206" t="s">
        <v>744</v>
      </c>
    </row>
    <row r="207" spans="1:10" x14ac:dyDescent="0.25">
      <c r="A207" t="s">
        <v>772</v>
      </c>
      <c r="B207" t="s">
        <v>303</v>
      </c>
      <c r="C207" t="s">
        <v>746</v>
      </c>
      <c r="D207" s="14">
        <v>313</v>
      </c>
      <c r="E207" t="s">
        <v>502</v>
      </c>
      <c r="F207" t="s">
        <v>277</v>
      </c>
      <c r="G207" t="s">
        <v>171</v>
      </c>
      <c r="H207" t="s">
        <v>743</v>
      </c>
      <c r="I207" t="s">
        <v>770</v>
      </c>
    </row>
    <row r="208" spans="1:10" x14ac:dyDescent="0.25">
      <c r="A208" t="s">
        <v>773</v>
      </c>
      <c r="B208" t="s">
        <v>303</v>
      </c>
      <c r="C208" t="s">
        <v>748</v>
      </c>
      <c r="D208" s="14">
        <v>306</v>
      </c>
      <c r="E208" t="s">
        <v>502</v>
      </c>
      <c r="F208" t="s">
        <v>277</v>
      </c>
      <c r="G208" t="s">
        <v>171</v>
      </c>
      <c r="H208" t="s">
        <v>774</v>
      </c>
      <c r="I208" t="s">
        <v>770</v>
      </c>
      <c r="J208" t="s">
        <v>661</v>
      </c>
    </row>
    <row r="209" spans="1:10" x14ac:dyDescent="0.25">
      <c r="A209" t="s">
        <v>775</v>
      </c>
      <c r="B209" t="s">
        <v>303</v>
      </c>
      <c r="C209" t="s">
        <v>751</v>
      </c>
      <c r="D209" s="14">
        <v>394</v>
      </c>
      <c r="E209" t="s">
        <v>502</v>
      </c>
      <c r="F209" t="s">
        <v>277</v>
      </c>
      <c r="G209" t="s">
        <v>171</v>
      </c>
      <c r="H209" t="s">
        <v>774</v>
      </c>
      <c r="I209" t="s">
        <v>770</v>
      </c>
    </row>
    <row r="210" spans="1:10" x14ac:dyDescent="0.25">
      <c r="A210" t="s">
        <v>776</v>
      </c>
      <c r="B210" t="s">
        <v>303</v>
      </c>
      <c r="C210" t="s">
        <v>265</v>
      </c>
      <c r="D210" s="15" t="s">
        <v>305</v>
      </c>
      <c r="E210" t="s">
        <v>753</v>
      </c>
      <c r="G210" t="s">
        <v>171</v>
      </c>
      <c r="H210" t="s">
        <v>754</v>
      </c>
      <c r="I210" t="s">
        <v>770</v>
      </c>
    </row>
    <row r="211" spans="1:10" x14ac:dyDescent="0.25">
      <c r="A211" t="s">
        <v>777</v>
      </c>
      <c r="B211" t="s">
        <v>303</v>
      </c>
      <c r="C211" t="s">
        <v>756</v>
      </c>
      <c r="D211" s="15" t="s">
        <v>285</v>
      </c>
      <c r="E211" t="s">
        <v>753</v>
      </c>
      <c r="G211" t="s">
        <v>171</v>
      </c>
      <c r="H211" t="s">
        <v>285</v>
      </c>
      <c r="I211" t="s">
        <v>416</v>
      </c>
    </row>
    <row r="212" spans="1:10" x14ac:dyDescent="0.25">
      <c r="A212" t="s">
        <v>778</v>
      </c>
      <c r="B212" t="s">
        <v>307</v>
      </c>
      <c r="C212" t="s">
        <v>738</v>
      </c>
      <c r="D212" s="14">
        <v>21450</v>
      </c>
      <c r="E212" t="s">
        <v>502</v>
      </c>
      <c r="F212" t="s">
        <v>277</v>
      </c>
      <c r="G212" t="s">
        <v>171</v>
      </c>
      <c r="H212" t="s">
        <v>779</v>
      </c>
      <c r="I212" t="s">
        <v>780</v>
      </c>
    </row>
    <row r="213" spans="1:10" x14ac:dyDescent="0.25">
      <c r="A213" t="s">
        <v>781</v>
      </c>
      <c r="B213" t="s">
        <v>307</v>
      </c>
      <c r="C213" t="s">
        <v>742</v>
      </c>
      <c r="D213" s="14">
        <v>0</v>
      </c>
      <c r="E213" t="s">
        <v>502</v>
      </c>
      <c r="F213" t="s">
        <v>277</v>
      </c>
      <c r="G213" t="s">
        <v>171</v>
      </c>
      <c r="H213" t="s">
        <v>743</v>
      </c>
      <c r="I213" t="s">
        <v>780</v>
      </c>
      <c r="J213" t="s">
        <v>744</v>
      </c>
    </row>
    <row r="214" spans="1:10" x14ac:dyDescent="0.25">
      <c r="A214" t="s">
        <v>782</v>
      </c>
      <c r="B214" t="s">
        <v>307</v>
      </c>
      <c r="C214" t="s">
        <v>746</v>
      </c>
      <c r="D214" s="14">
        <v>773</v>
      </c>
      <c r="E214" t="s">
        <v>502</v>
      </c>
      <c r="F214" t="s">
        <v>277</v>
      </c>
      <c r="G214" t="s">
        <v>783</v>
      </c>
      <c r="H214" t="s">
        <v>784</v>
      </c>
      <c r="I214" t="s">
        <v>780</v>
      </c>
      <c r="J214" t="s">
        <v>785</v>
      </c>
    </row>
    <row r="215" spans="1:10" x14ac:dyDescent="0.25">
      <c r="A215" t="s">
        <v>786</v>
      </c>
      <c r="B215" t="s">
        <v>307</v>
      </c>
      <c r="C215" t="s">
        <v>748</v>
      </c>
      <c r="D215" s="14">
        <v>53</v>
      </c>
      <c r="E215" t="s">
        <v>502</v>
      </c>
      <c r="F215" t="s">
        <v>277</v>
      </c>
      <c r="G215" t="s">
        <v>171</v>
      </c>
      <c r="H215" t="s">
        <v>787</v>
      </c>
      <c r="I215" t="s">
        <v>780</v>
      </c>
      <c r="J215" t="s">
        <v>680</v>
      </c>
    </row>
    <row r="216" spans="1:10" x14ac:dyDescent="0.25">
      <c r="A216" t="s">
        <v>788</v>
      </c>
      <c r="B216" t="s">
        <v>307</v>
      </c>
      <c r="C216" t="s">
        <v>751</v>
      </c>
      <c r="D216" s="14">
        <v>1716</v>
      </c>
      <c r="E216" t="s">
        <v>502</v>
      </c>
      <c r="F216" t="s">
        <v>277</v>
      </c>
      <c r="G216" t="s">
        <v>171</v>
      </c>
      <c r="H216" t="s">
        <v>787</v>
      </c>
      <c r="I216" t="s">
        <v>780</v>
      </c>
    </row>
    <row r="217" spans="1:10" x14ac:dyDescent="0.25">
      <c r="A217" t="s">
        <v>789</v>
      </c>
      <c r="B217" t="s">
        <v>307</v>
      </c>
      <c r="C217" t="s">
        <v>265</v>
      </c>
      <c r="D217" s="15" t="s">
        <v>790</v>
      </c>
      <c r="E217" t="s">
        <v>753</v>
      </c>
      <c r="G217" t="s">
        <v>171</v>
      </c>
      <c r="H217" t="s">
        <v>754</v>
      </c>
      <c r="I217" t="s">
        <v>780</v>
      </c>
    </row>
    <row r="218" spans="1:10" x14ac:dyDescent="0.25">
      <c r="A218" t="s">
        <v>791</v>
      </c>
      <c r="B218" t="s">
        <v>307</v>
      </c>
      <c r="C218" t="s">
        <v>756</v>
      </c>
      <c r="D218" s="15" t="s">
        <v>285</v>
      </c>
      <c r="E218" t="s">
        <v>753</v>
      </c>
      <c r="G218" t="s">
        <v>171</v>
      </c>
      <c r="H218" t="s">
        <v>285</v>
      </c>
      <c r="I218" t="s">
        <v>416</v>
      </c>
    </row>
    <row r="219" spans="1:10" x14ac:dyDescent="0.25">
      <c r="A219" t="s">
        <v>792</v>
      </c>
      <c r="B219" t="s">
        <v>315</v>
      </c>
      <c r="C219" t="s">
        <v>738</v>
      </c>
      <c r="D219" s="14">
        <v>51881</v>
      </c>
      <c r="E219" t="s">
        <v>502</v>
      </c>
      <c r="F219" t="s">
        <v>277</v>
      </c>
      <c r="G219" t="s">
        <v>171</v>
      </c>
      <c r="H219" t="s">
        <v>793</v>
      </c>
      <c r="I219" t="s">
        <v>794</v>
      </c>
    </row>
    <row r="220" spans="1:10" x14ac:dyDescent="0.25">
      <c r="A220" t="s">
        <v>795</v>
      </c>
      <c r="B220" t="s">
        <v>315</v>
      </c>
      <c r="C220" t="s">
        <v>742</v>
      </c>
      <c r="D220" s="14">
        <v>0</v>
      </c>
      <c r="E220" t="s">
        <v>502</v>
      </c>
      <c r="F220" t="s">
        <v>277</v>
      </c>
      <c r="G220" t="s">
        <v>171</v>
      </c>
      <c r="H220" t="s">
        <v>743</v>
      </c>
      <c r="I220" t="s">
        <v>794</v>
      </c>
      <c r="J220" t="s">
        <v>744</v>
      </c>
    </row>
    <row r="221" spans="1:10" x14ac:dyDescent="0.25">
      <c r="A221" t="s">
        <v>796</v>
      </c>
      <c r="B221" t="s">
        <v>315</v>
      </c>
      <c r="C221" t="s">
        <v>746</v>
      </c>
      <c r="D221" s="14">
        <v>3846</v>
      </c>
      <c r="E221" t="s">
        <v>502</v>
      </c>
      <c r="F221" t="s">
        <v>277</v>
      </c>
      <c r="G221" t="s">
        <v>171</v>
      </c>
      <c r="H221" t="s">
        <v>743</v>
      </c>
      <c r="I221" t="s">
        <v>794</v>
      </c>
      <c r="J221" t="s">
        <v>797</v>
      </c>
    </row>
    <row r="222" spans="1:10" x14ac:dyDescent="0.25">
      <c r="A222" t="s">
        <v>798</v>
      </c>
      <c r="B222" t="s">
        <v>315</v>
      </c>
      <c r="C222" t="s">
        <v>748</v>
      </c>
      <c r="D222" s="14">
        <v>195</v>
      </c>
      <c r="E222" t="s">
        <v>502</v>
      </c>
      <c r="F222" t="s">
        <v>277</v>
      </c>
      <c r="G222" t="s">
        <v>171</v>
      </c>
      <c r="H222" t="s">
        <v>799</v>
      </c>
      <c r="I222" t="s">
        <v>794</v>
      </c>
      <c r="J222" t="s">
        <v>721</v>
      </c>
    </row>
    <row r="223" spans="1:10" x14ac:dyDescent="0.25">
      <c r="A223" t="s">
        <v>800</v>
      </c>
      <c r="B223" t="s">
        <v>315</v>
      </c>
      <c r="C223" t="s">
        <v>751</v>
      </c>
      <c r="D223" s="14">
        <v>10675</v>
      </c>
      <c r="E223" t="s">
        <v>502</v>
      </c>
      <c r="F223" t="s">
        <v>277</v>
      </c>
      <c r="G223" t="s">
        <v>171</v>
      </c>
      <c r="H223" t="s">
        <v>799</v>
      </c>
      <c r="I223" t="s">
        <v>794</v>
      </c>
      <c r="J223" t="s">
        <v>801</v>
      </c>
    </row>
    <row r="224" spans="1:10" x14ac:dyDescent="0.25">
      <c r="A224" t="s">
        <v>802</v>
      </c>
      <c r="B224" t="s">
        <v>315</v>
      </c>
      <c r="C224" t="s">
        <v>265</v>
      </c>
      <c r="D224" s="15" t="s">
        <v>317</v>
      </c>
      <c r="E224" t="s">
        <v>753</v>
      </c>
      <c r="G224" t="s">
        <v>171</v>
      </c>
      <c r="H224" t="s">
        <v>754</v>
      </c>
      <c r="I224" t="s">
        <v>794</v>
      </c>
    </row>
    <row r="225" spans="1:10" x14ac:dyDescent="0.25">
      <c r="A225" t="s">
        <v>803</v>
      </c>
      <c r="B225" t="s">
        <v>315</v>
      </c>
      <c r="C225" t="s">
        <v>756</v>
      </c>
      <c r="D225" s="15" t="s">
        <v>318</v>
      </c>
      <c r="E225" t="s">
        <v>753</v>
      </c>
      <c r="G225" t="s">
        <v>171</v>
      </c>
      <c r="H225" t="s">
        <v>285</v>
      </c>
      <c r="I225" t="s">
        <v>416</v>
      </c>
    </row>
    <row r="226" spans="1:10" x14ac:dyDescent="0.25">
      <c r="A226" t="s">
        <v>804</v>
      </c>
      <c r="B226" t="s">
        <v>282</v>
      </c>
      <c r="C226" t="s">
        <v>738</v>
      </c>
      <c r="D226" s="14">
        <v>1698.6</v>
      </c>
      <c r="E226" t="s">
        <v>502</v>
      </c>
      <c r="F226" t="s">
        <v>277</v>
      </c>
      <c r="G226" t="s">
        <v>171</v>
      </c>
      <c r="H226" t="s">
        <v>805</v>
      </c>
      <c r="I226" t="s">
        <v>806</v>
      </c>
    </row>
    <row r="227" spans="1:10" x14ac:dyDescent="0.25">
      <c r="A227" t="s">
        <v>807</v>
      </c>
      <c r="B227" t="s">
        <v>282</v>
      </c>
      <c r="C227" t="s">
        <v>742</v>
      </c>
      <c r="D227" s="14">
        <v>0</v>
      </c>
      <c r="E227" t="s">
        <v>502</v>
      </c>
      <c r="F227" t="s">
        <v>277</v>
      </c>
      <c r="G227" t="s">
        <v>171</v>
      </c>
      <c r="H227" t="s">
        <v>743</v>
      </c>
      <c r="I227" t="s">
        <v>806</v>
      </c>
      <c r="J227" t="s">
        <v>744</v>
      </c>
    </row>
    <row r="228" spans="1:10" x14ac:dyDescent="0.25">
      <c r="A228" t="s">
        <v>808</v>
      </c>
      <c r="B228" t="s">
        <v>282</v>
      </c>
      <c r="C228" t="s">
        <v>746</v>
      </c>
      <c r="D228" s="14">
        <v>413.2</v>
      </c>
      <c r="E228" t="s">
        <v>502</v>
      </c>
      <c r="F228" t="s">
        <v>277</v>
      </c>
      <c r="G228" t="s">
        <v>171</v>
      </c>
      <c r="H228" t="s">
        <v>743</v>
      </c>
      <c r="I228" t="s">
        <v>806</v>
      </c>
    </row>
    <row r="229" spans="1:10" x14ac:dyDescent="0.25">
      <c r="A229" t="s">
        <v>809</v>
      </c>
      <c r="B229" t="s">
        <v>282</v>
      </c>
      <c r="C229" t="s">
        <v>748</v>
      </c>
      <c r="D229" s="14">
        <v>2.8</v>
      </c>
      <c r="E229" t="s">
        <v>502</v>
      </c>
      <c r="F229" t="s">
        <v>277</v>
      </c>
      <c r="G229" t="s">
        <v>171</v>
      </c>
      <c r="H229" t="s">
        <v>810</v>
      </c>
      <c r="I229" t="s">
        <v>806</v>
      </c>
    </row>
    <row r="230" spans="1:10" x14ac:dyDescent="0.25">
      <c r="A230" t="s">
        <v>811</v>
      </c>
      <c r="B230" t="s">
        <v>282</v>
      </c>
      <c r="C230" t="s">
        <v>751</v>
      </c>
      <c r="D230" s="14">
        <v>483.6</v>
      </c>
      <c r="E230" t="s">
        <v>502</v>
      </c>
      <c r="F230" t="s">
        <v>277</v>
      </c>
      <c r="G230" t="s">
        <v>171</v>
      </c>
      <c r="H230" t="s">
        <v>810</v>
      </c>
      <c r="I230" t="s">
        <v>806</v>
      </c>
    </row>
    <row r="231" spans="1:10" x14ac:dyDescent="0.25">
      <c r="A231" t="s">
        <v>812</v>
      </c>
      <c r="B231" t="s">
        <v>282</v>
      </c>
      <c r="C231" t="s">
        <v>265</v>
      </c>
      <c r="D231" s="15" t="s">
        <v>284</v>
      </c>
      <c r="E231" t="s">
        <v>753</v>
      </c>
      <c r="G231" t="s">
        <v>171</v>
      </c>
      <c r="H231" t="s">
        <v>754</v>
      </c>
      <c r="I231" t="s">
        <v>806</v>
      </c>
    </row>
    <row r="232" spans="1:10" x14ac:dyDescent="0.25">
      <c r="A232" t="s">
        <v>813</v>
      </c>
      <c r="B232" t="s">
        <v>282</v>
      </c>
      <c r="C232" t="s">
        <v>756</v>
      </c>
      <c r="D232" s="15" t="s">
        <v>285</v>
      </c>
      <c r="E232" t="s">
        <v>753</v>
      </c>
      <c r="G232" t="s">
        <v>171</v>
      </c>
      <c r="H232" t="s">
        <v>285</v>
      </c>
      <c r="I232" t="s">
        <v>416</v>
      </c>
    </row>
    <row r="233" spans="1:10" x14ac:dyDescent="0.25">
      <c r="A233" t="s">
        <v>814</v>
      </c>
      <c r="B233" t="s">
        <v>294</v>
      </c>
      <c r="C233" t="s">
        <v>738</v>
      </c>
      <c r="D233" s="14">
        <f>678.2*$D$8</f>
        <v>791.16031380000004</v>
      </c>
      <c r="E233" t="s">
        <v>502</v>
      </c>
      <c r="F233" t="s">
        <v>277</v>
      </c>
      <c r="G233" t="s">
        <v>169</v>
      </c>
      <c r="H233" t="s">
        <v>815</v>
      </c>
      <c r="I233" t="s">
        <v>816</v>
      </c>
      <c r="J233" t="s">
        <v>817</v>
      </c>
    </row>
    <row r="234" spans="1:10" x14ac:dyDescent="0.25">
      <c r="A234" t="s">
        <v>818</v>
      </c>
      <c r="B234" t="s">
        <v>294</v>
      </c>
      <c r="C234" t="s">
        <v>742</v>
      </c>
      <c r="D234" s="14">
        <v>0</v>
      </c>
      <c r="E234" t="s">
        <v>502</v>
      </c>
      <c r="F234" t="s">
        <v>277</v>
      </c>
      <c r="G234" t="s">
        <v>171</v>
      </c>
      <c r="H234" t="s">
        <v>743</v>
      </c>
      <c r="I234" t="s">
        <v>816</v>
      </c>
      <c r="J234" t="s">
        <v>744</v>
      </c>
    </row>
    <row r="235" spans="1:10" x14ac:dyDescent="0.25">
      <c r="A235" t="s">
        <v>819</v>
      </c>
      <c r="B235" t="s">
        <v>294</v>
      </c>
      <c r="C235" t="s">
        <v>746</v>
      </c>
      <c r="D235" s="14">
        <f>167.8*$D$8</f>
        <v>195.7486002</v>
      </c>
      <c r="E235" t="s">
        <v>502</v>
      </c>
      <c r="F235" t="s">
        <v>277</v>
      </c>
      <c r="G235" t="s">
        <v>169</v>
      </c>
      <c r="H235" t="s">
        <v>820</v>
      </c>
      <c r="I235" t="s">
        <v>816</v>
      </c>
      <c r="J235" t="s">
        <v>821</v>
      </c>
    </row>
    <row r="236" spans="1:10" x14ac:dyDescent="0.25">
      <c r="A236" t="s">
        <v>822</v>
      </c>
      <c r="B236" t="s">
        <v>294</v>
      </c>
      <c r="C236" t="s">
        <v>748</v>
      </c>
      <c r="D236" s="14">
        <v>-17.399999999999999</v>
      </c>
      <c r="E236" t="s">
        <v>502</v>
      </c>
      <c r="F236" t="s">
        <v>277</v>
      </c>
      <c r="G236" t="s">
        <v>169</v>
      </c>
      <c r="H236" t="s">
        <v>823</v>
      </c>
      <c r="I236" t="s">
        <v>816</v>
      </c>
      <c r="J236" t="s">
        <v>622</v>
      </c>
    </row>
    <row r="237" spans="1:10" x14ac:dyDescent="0.25">
      <c r="A237" t="s">
        <v>824</v>
      </c>
      <c r="B237" t="s">
        <v>294</v>
      </c>
      <c r="C237" t="s">
        <v>751</v>
      </c>
      <c r="D237" s="14">
        <v>85</v>
      </c>
      <c r="E237" t="s">
        <v>502</v>
      </c>
      <c r="F237" t="s">
        <v>277</v>
      </c>
      <c r="G237" t="s">
        <v>171</v>
      </c>
      <c r="H237" t="s">
        <v>825</v>
      </c>
      <c r="I237" t="s">
        <v>816</v>
      </c>
    </row>
    <row r="238" spans="1:10" x14ac:dyDescent="0.25">
      <c r="A238" t="s">
        <v>826</v>
      </c>
      <c r="B238" t="s">
        <v>294</v>
      </c>
      <c r="C238" t="s">
        <v>265</v>
      </c>
      <c r="D238" s="15" t="s">
        <v>297</v>
      </c>
      <c r="E238" t="s">
        <v>753</v>
      </c>
      <c r="G238" t="s">
        <v>171</v>
      </c>
      <c r="H238" t="s">
        <v>827</v>
      </c>
      <c r="I238" t="s">
        <v>816</v>
      </c>
    </row>
    <row r="239" spans="1:10" x14ac:dyDescent="0.25">
      <c r="A239" t="s">
        <v>828</v>
      </c>
      <c r="B239" t="s">
        <v>294</v>
      </c>
      <c r="C239" t="s">
        <v>756</v>
      </c>
      <c r="D239" s="15" t="s">
        <v>285</v>
      </c>
      <c r="E239" t="s">
        <v>753</v>
      </c>
      <c r="G239" t="s">
        <v>171</v>
      </c>
      <c r="H239" t="s">
        <v>285</v>
      </c>
      <c r="I239" t="s">
        <v>416</v>
      </c>
    </row>
    <row r="240" spans="1:10" x14ac:dyDescent="0.25">
      <c r="A240" t="s">
        <v>829</v>
      </c>
      <c r="B240" t="s">
        <v>419</v>
      </c>
      <c r="C240" t="s">
        <v>756</v>
      </c>
      <c r="D240" s="15" t="s">
        <v>830</v>
      </c>
      <c r="E240" t="s">
        <v>753</v>
      </c>
      <c r="G240" t="s">
        <v>171</v>
      </c>
      <c r="H240" t="s">
        <v>831</v>
      </c>
      <c r="I240" t="s">
        <v>416</v>
      </c>
    </row>
    <row r="241" spans="1:10" x14ac:dyDescent="0.25">
      <c r="A241" s="3" t="s">
        <v>832</v>
      </c>
      <c r="B241" s="4"/>
      <c r="C241" s="4"/>
      <c r="D241" s="4"/>
      <c r="E241" s="4"/>
      <c r="F241" s="4"/>
      <c r="G241" s="4"/>
      <c r="H241" s="4"/>
      <c r="I241" s="4"/>
      <c r="J241" s="4"/>
    </row>
    <row r="242" spans="1:10" x14ac:dyDescent="0.25">
      <c r="A242" t="s">
        <v>833</v>
      </c>
      <c r="B242" t="s">
        <v>275</v>
      </c>
      <c r="C242" t="s">
        <v>834</v>
      </c>
      <c r="D242" s="12">
        <v>46389</v>
      </c>
      <c r="E242" t="s">
        <v>398</v>
      </c>
      <c r="G242" t="s">
        <v>171</v>
      </c>
      <c r="H242" t="s">
        <v>835</v>
      </c>
      <c r="I242" t="s">
        <v>10</v>
      </c>
      <c r="J242" t="s">
        <v>836</v>
      </c>
    </row>
    <row r="243" spans="1:10" x14ac:dyDescent="0.25">
      <c r="A243" t="s">
        <v>837</v>
      </c>
      <c r="B243" t="s">
        <v>275</v>
      </c>
      <c r="C243" t="s">
        <v>838</v>
      </c>
      <c r="D243" s="14">
        <v>458.6</v>
      </c>
      <c r="E243" t="s">
        <v>502</v>
      </c>
      <c r="F243" t="s">
        <v>277</v>
      </c>
      <c r="G243" t="s">
        <v>171</v>
      </c>
      <c r="H243" t="s">
        <v>839</v>
      </c>
      <c r="I243" t="s">
        <v>10</v>
      </c>
    </row>
    <row r="244" spans="1:10" x14ac:dyDescent="0.25">
      <c r="A244" t="s">
        <v>840</v>
      </c>
      <c r="B244" t="s">
        <v>275</v>
      </c>
      <c r="C244" t="s">
        <v>841</v>
      </c>
      <c r="D244" s="14">
        <v>5075.8</v>
      </c>
      <c r="E244" t="s">
        <v>502</v>
      </c>
      <c r="F244" t="s">
        <v>277</v>
      </c>
      <c r="G244" t="s">
        <v>171</v>
      </c>
      <c r="H244" t="s">
        <v>839</v>
      </c>
      <c r="I244" t="s">
        <v>10</v>
      </c>
    </row>
    <row r="245" spans="1:10" x14ac:dyDescent="0.25">
      <c r="A245" t="s">
        <v>842</v>
      </c>
      <c r="B245" t="s">
        <v>275</v>
      </c>
      <c r="C245" t="s">
        <v>843</v>
      </c>
      <c r="D245" s="14">
        <v>430.1</v>
      </c>
      <c r="E245" t="s">
        <v>502</v>
      </c>
      <c r="F245" t="s">
        <v>277</v>
      </c>
      <c r="G245" t="s">
        <v>171</v>
      </c>
      <c r="H245" t="s">
        <v>839</v>
      </c>
      <c r="I245" t="s">
        <v>10</v>
      </c>
    </row>
    <row r="246" spans="1:10" x14ac:dyDescent="0.25">
      <c r="A246" t="s">
        <v>844</v>
      </c>
      <c r="B246" t="s">
        <v>275</v>
      </c>
      <c r="C246" t="s">
        <v>845</v>
      </c>
      <c r="D246" s="14">
        <v>5058.3</v>
      </c>
      <c r="E246" t="s">
        <v>502</v>
      </c>
      <c r="F246" t="s">
        <v>277</v>
      </c>
      <c r="G246" t="s">
        <v>171</v>
      </c>
      <c r="H246" t="s">
        <v>839</v>
      </c>
      <c r="I246" t="s">
        <v>10</v>
      </c>
    </row>
    <row r="247" spans="1:10" x14ac:dyDescent="0.25">
      <c r="A247" t="s">
        <v>846</v>
      </c>
      <c r="B247" t="s">
        <v>287</v>
      </c>
      <c r="C247" t="s">
        <v>834</v>
      </c>
      <c r="D247" s="12">
        <v>46387</v>
      </c>
      <c r="E247" t="s">
        <v>398</v>
      </c>
      <c r="G247" t="s">
        <v>171</v>
      </c>
      <c r="H247" t="s">
        <v>835</v>
      </c>
      <c r="I247" t="s">
        <v>10</v>
      </c>
      <c r="J247" t="s">
        <v>847</v>
      </c>
    </row>
    <row r="248" spans="1:10" x14ac:dyDescent="0.25">
      <c r="A248" t="s">
        <v>848</v>
      </c>
      <c r="B248" t="s">
        <v>287</v>
      </c>
      <c r="C248" t="s">
        <v>849</v>
      </c>
      <c r="D248" s="14">
        <v>700.1</v>
      </c>
      <c r="E248" t="s">
        <v>502</v>
      </c>
      <c r="F248" t="s">
        <v>277</v>
      </c>
      <c r="G248" t="s">
        <v>171</v>
      </c>
      <c r="H248" t="s">
        <v>839</v>
      </c>
      <c r="I248" t="s">
        <v>10</v>
      </c>
    </row>
    <row r="249" spans="1:10" x14ac:dyDescent="0.25">
      <c r="A249" t="s">
        <v>850</v>
      </c>
      <c r="B249" t="s">
        <v>287</v>
      </c>
      <c r="C249" t="s">
        <v>841</v>
      </c>
      <c r="D249" s="14">
        <v>8564.4</v>
      </c>
      <c r="E249" t="s">
        <v>502</v>
      </c>
      <c r="F249" t="s">
        <v>277</v>
      </c>
      <c r="G249" t="s">
        <v>171</v>
      </c>
      <c r="H249" t="s">
        <v>839</v>
      </c>
      <c r="I249" t="s">
        <v>10</v>
      </c>
    </row>
    <row r="250" spans="1:10" x14ac:dyDescent="0.25">
      <c r="A250" t="s">
        <v>851</v>
      </c>
      <c r="B250" t="s">
        <v>287</v>
      </c>
      <c r="C250" t="s">
        <v>852</v>
      </c>
      <c r="D250" s="14">
        <v>741.5</v>
      </c>
      <c r="E250" t="s">
        <v>502</v>
      </c>
      <c r="F250" t="s">
        <v>277</v>
      </c>
      <c r="G250" t="s">
        <v>171</v>
      </c>
      <c r="H250" t="s">
        <v>839</v>
      </c>
      <c r="I250" t="s">
        <v>10</v>
      </c>
    </row>
    <row r="251" spans="1:10" x14ac:dyDescent="0.25">
      <c r="A251" t="s">
        <v>853</v>
      </c>
      <c r="B251" t="s">
        <v>287</v>
      </c>
      <c r="C251" t="s">
        <v>845</v>
      </c>
      <c r="D251" s="14">
        <v>8795</v>
      </c>
      <c r="E251" t="s">
        <v>502</v>
      </c>
      <c r="F251" t="s">
        <v>277</v>
      </c>
      <c r="G251" t="s">
        <v>171</v>
      </c>
      <c r="H251" t="s">
        <v>839</v>
      </c>
      <c r="I251" t="s">
        <v>10</v>
      </c>
    </row>
    <row r="252" spans="1:10" x14ac:dyDescent="0.25">
      <c r="A252" t="s">
        <v>854</v>
      </c>
      <c r="B252" t="s">
        <v>294</v>
      </c>
      <c r="C252" t="s">
        <v>834</v>
      </c>
      <c r="D252" s="12">
        <v>46387</v>
      </c>
      <c r="E252" t="s">
        <v>398</v>
      </c>
      <c r="G252" t="s">
        <v>855</v>
      </c>
      <c r="H252" t="s">
        <v>835</v>
      </c>
      <c r="I252" t="s">
        <v>10</v>
      </c>
      <c r="J252" t="s">
        <v>856</v>
      </c>
    </row>
    <row r="253" spans="1:10" x14ac:dyDescent="0.25">
      <c r="A253" t="s">
        <v>857</v>
      </c>
      <c r="B253" t="s">
        <v>294</v>
      </c>
      <c r="C253" t="s">
        <v>858</v>
      </c>
      <c r="D253" s="14">
        <v>354.7</v>
      </c>
      <c r="E253" t="s">
        <v>502</v>
      </c>
      <c r="F253" t="s">
        <v>277</v>
      </c>
      <c r="G253" t="s">
        <v>171</v>
      </c>
      <c r="H253" t="s">
        <v>839</v>
      </c>
      <c r="I253" t="s">
        <v>10</v>
      </c>
    </row>
    <row r="254" spans="1:10" x14ac:dyDescent="0.25">
      <c r="A254" t="s">
        <v>859</v>
      </c>
      <c r="B254" t="s">
        <v>294</v>
      </c>
      <c r="C254" t="s">
        <v>841</v>
      </c>
      <c r="D254" s="14">
        <v>2594.6999999999998</v>
      </c>
      <c r="E254" t="s">
        <v>502</v>
      </c>
      <c r="F254" t="s">
        <v>277</v>
      </c>
      <c r="G254" t="s">
        <v>171</v>
      </c>
      <c r="H254" t="s">
        <v>839</v>
      </c>
      <c r="I254" t="s">
        <v>10</v>
      </c>
    </row>
    <row r="255" spans="1:10" x14ac:dyDescent="0.25">
      <c r="A255" t="s">
        <v>860</v>
      </c>
      <c r="B255" t="s">
        <v>294</v>
      </c>
      <c r="C255" t="s">
        <v>852</v>
      </c>
      <c r="D255" s="14">
        <v>363.6</v>
      </c>
      <c r="E255" t="s">
        <v>502</v>
      </c>
      <c r="F255" t="s">
        <v>277</v>
      </c>
      <c r="G255" t="s">
        <v>171</v>
      </c>
      <c r="H255" t="s">
        <v>839</v>
      </c>
      <c r="I255" t="s">
        <v>10</v>
      </c>
    </row>
    <row r="256" spans="1:10" x14ac:dyDescent="0.25">
      <c r="A256" t="s">
        <v>861</v>
      </c>
      <c r="B256" t="s">
        <v>294</v>
      </c>
      <c r="C256" t="s">
        <v>845</v>
      </c>
      <c r="D256" s="14">
        <v>2562.6</v>
      </c>
      <c r="E256" t="s">
        <v>502</v>
      </c>
      <c r="F256" t="s">
        <v>277</v>
      </c>
      <c r="G256" t="s">
        <v>171</v>
      </c>
      <c r="H256" t="s">
        <v>839</v>
      </c>
      <c r="I256" t="s">
        <v>10</v>
      </c>
    </row>
    <row r="257" spans="1:10" x14ac:dyDescent="0.25">
      <c r="A257" t="s">
        <v>862</v>
      </c>
      <c r="B257" t="s">
        <v>299</v>
      </c>
      <c r="C257" t="s">
        <v>834</v>
      </c>
      <c r="D257" s="12">
        <v>46507</v>
      </c>
      <c r="E257" t="s">
        <v>398</v>
      </c>
      <c r="G257" t="s">
        <v>171</v>
      </c>
      <c r="H257" t="s">
        <v>835</v>
      </c>
      <c r="I257" t="s">
        <v>10</v>
      </c>
      <c r="J257" t="s">
        <v>863</v>
      </c>
    </row>
    <row r="258" spans="1:10" x14ac:dyDescent="0.25">
      <c r="A258" t="s">
        <v>864</v>
      </c>
      <c r="B258" t="s">
        <v>299</v>
      </c>
      <c r="C258" t="s">
        <v>865</v>
      </c>
      <c r="D258" s="14">
        <v>2181.3000000000002</v>
      </c>
      <c r="E258" t="s">
        <v>502</v>
      </c>
      <c r="F258" t="s">
        <v>277</v>
      </c>
      <c r="G258" t="s">
        <v>171</v>
      </c>
      <c r="H258" t="s">
        <v>839</v>
      </c>
      <c r="I258" t="s">
        <v>10</v>
      </c>
      <c r="J258" t="s">
        <v>866</v>
      </c>
    </row>
    <row r="259" spans="1:10" x14ac:dyDescent="0.25">
      <c r="A259" t="s">
        <v>867</v>
      </c>
      <c r="B259" t="s">
        <v>299</v>
      </c>
      <c r="C259" t="s">
        <v>841</v>
      </c>
      <c r="D259" s="14">
        <v>8930.2999999999993</v>
      </c>
      <c r="E259" t="s">
        <v>502</v>
      </c>
      <c r="F259" t="s">
        <v>277</v>
      </c>
      <c r="G259" t="s">
        <v>171</v>
      </c>
      <c r="H259" t="s">
        <v>839</v>
      </c>
      <c r="I259" t="s">
        <v>10</v>
      </c>
    </row>
    <row r="260" spans="1:10" x14ac:dyDescent="0.25">
      <c r="A260" t="s">
        <v>868</v>
      </c>
      <c r="B260" t="s">
        <v>299</v>
      </c>
      <c r="C260" t="s">
        <v>869</v>
      </c>
      <c r="D260" s="14">
        <v>2175.4</v>
      </c>
      <c r="E260" t="s">
        <v>502</v>
      </c>
      <c r="F260" t="s">
        <v>277</v>
      </c>
      <c r="G260" t="s">
        <v>171</v>
      </c>
      <c r="H260" t="s">
        <v>839</v>
      </c>
      <c r="I260" t="s">
        <v>10</v>
      </c>
    </row>
    <row r="261" spans="1:10" x14ac:dyDescent="0.25">
      <c r="A261" t="s">
        <v>870</v>
      </c>
      <c r="B261" t="s">
        <v>299</v>
      </c>
      <c r="C261" t="s">
        <v>845</v>
      </c>
      <c r="D261" s="14">
        <v>9037.5</v>
      </c>
      <c r="E261" t="s">
        <v>502</v>
      </c>
      <c r="F261" t="s">
        <v>277</v>
      </c>
      <c r="G261" t="s">
        <v>171</v>
      </c>
      <c r="H261" t="s">
        <v>839</v>
      </c>
      <c r="I261" t="s">
        <v>10</v>
      </c>
    </row>
    <row r="262" spans="1:10" x14ac:dyDescent="0.25">
      <c r="A262" t="s">
        <v>871</v>
      </c>
      <c r="B262" t="s">
        <v>303</v>
      </c>
      <c r="C262" t="s">
        <v>834</v>
      </c>
      <c r="D262" s="12">
        <v>46600</v>
      </c>
      <c r="E262" t="s">
        <v>398</v>
      </c>
      <c r="G262" t="s">
        <v>171</v>
      </c>
      <c r="H262" t="s">
        <v>835</v>
      </c>
      <c r="I262" t="s">
        <v>10</v>
      </c>
      <c r="J262" t="s">
        <v>872</v>
      </c>
    </row>
    <row r="263" spans="1:10" x14ac:dyDescent="0.25">
      <c r="A263" t="s">
        <v>873</v>
      </c>
      <c r="B263" t="s">
        <v>303</v>
      </c>
      <c r="C263" t="s">
        <v>874</v>
      </c>
      <c r="D263" s="14">
        <v>1464.6</v>
      </c>
      <c r="E263" t="s">
        <v>502</v>
      </c>
      <c r="F263" t="s">
        <v>277</v>
      </c>
      <c r="G263" t="s">
        <v>171</v>
      </c>
      <c r="H263" t="s">
        <v>839</v>
      </c>
      <c r="I263" t="s">
        <v>10</v>
      </c>
      <c r="J263" t="s">
        <v>866</v>
      </c>
    </row>
    <row r="264" spans="1:10" x14ac:dyDescent="0.25">
      <c r="A264" t="s">
        <v>875</v>
      </c>
      <c r="B264" t="s">
        <v>303</v>
      </c>
      <c r="C264" t="s">
        <v>841</v>
      </c>
      <c r="D264" s="14">
        <v>9496.6</v>
      </c>
      <c r="E264" t="s">
        <v>502</v>
      </c>
      <c r="F264" t="s">
        <v>277</v>
      </c>
      <c r="G264" t="s">
        <v>171</v>
      </c>
      <c r="H264" t="s">
        <v>839</v>
      </c>
      <c r="I264" t="s">
        <v>10</v>
      </c>
    </row>
    <row r="265" spans="1:10" x14ac:dyDescent="0.25">
      <c r="A265" t="s">
        <v>876</v>
      </c>
      <c r="B265" t="s">
        <v>303</v>
      </c>
      <c r="C265" t="s">
        <v>877</v>
      </c>
      <c r="D265" s="14">
        <v>1519.8</v>
      </c>
      <c r="E265" t="s">
        <v>502</v>
      </c>
      <c r="F265" t="s">
        <v>277</v>
      </c>
      <c r="G265" t="s">
        <v>171</v>
      </c>
      <c r="H265" t="s">
        <v>839</v>
      </c>
      <c r="I265" t="s">
        <v>10</v>
      </c>
    </row>
    <row r="266" spans="1:10" x14ac:dyDescent="0.25">
      <c r="A266" t="s">
        <v>878</v>
      </c>
      <c r="B266" t="s">
        <v>303</v>
      </c>
      <c r="C266" t="s">
        <v>845</v>
      </c>
      <c r="D266" s="14">
        <v>9469.4</v>
      </c>
      <c r="E266" t="s">
        <v>502</v>
      </c>
      <c r="F266" t="s">
        <v>277</v>
      </c>
      <c r="G266" t="s">
        <v>171</v>
      </c>
      <c r="H266" t="s">
        <v>839</v>
      </c>
      <c r="I266" t="s">
        <v>10</v>
      </c>
    </row>
    <row r="267" spans="1:10" x14ac:dyDescent="0.25">
      <c r="A267" t="s">
        <v>879</v>
      </c>
      <c r="B267" t="s">
        <v>307</v>
      </c>
      <c r="C267" t="s">
        <v>834</v>
      </c>
      <c r="D267" s="12">
        <v>46387</v>
      </c>
      <c r="E267" t="s">
        <v>398</v>
      </c>
      <c r="G267" t="s">
        <v>171</v>
      </c>
      <c r="H267" t="s">
        <v>835</v>
      </c>
      <c r="I267" t="s">
        <v>10</v>
      </c>
      <c r="J267" t="s">
        <v>847</v>
      </c>
    </row>
    <row r="268" spans="1:10" x14ac:dyDescent="0.25">
      <c r="A268" t="s">
        <v>880</v>
      </c>
      <c r="B268" t="s">
        <v>307</v>
      </c>
      <c r="C268" t="s">
        <v>849</v>
      </c>
      <c r="D268" s="14">
        <v>6735.2</v>
      </c>
      <c r="E268" t="s">
        <v>502</v>
      </c>
      <c r="F268" t="s">
        <v>277</v>
      </c>
      <c r="G268" t="s">
        <v>171</v>
      </c>
      <c r="H268" t="s">
        <v>839</v>
      </c>
      <c r="I268" t="s">
        <v>10</v>
      </c>
    </row>
    <row r="269" spans="1:10" x14ac:dyDescent="0.25">
      <c r="A269" t="s">
        <v>881</v>
      </c>
      <c r="B269" t="s">
        <v>307</v>
      </c>
      <c r="C269" t="s">
        <v>841</v>
      </c>
      <c r="D269" s="14">
        <v>40101.199999999997</v>
      </c>
      <c r="E269" t="s">
        <v>502</v>
      </c>
      <c r="F269" t="s">
        <v>277</v>
      </c>
      <c r="G269" t="s">
        <v>171</v>
      </c>
      <c r="H269" t="s">
        <v>839</v>
      </c>
      <c r="I269" t="s">
        <v>10</v>
      </c>
    </row>
    <row r="270" spans="1:10" x14ac:dyDescent="0.25">
      <c r="A270" t="s">
        <v>882</v>
      </c>
      <c r="B270" t="s">
        <v>307</v>
      </c>
      <c r="C270" t="s">
        <v>852</v>
      </c>
      <c r="D270" s="14">
        <v>7265</v>
      </c>
      <c r="E270" t="s">
        <v>502</v>
      </c>
      <c r="F270" t="s">
        <v>277</v>
      </c>
      <c r="G270" t="s">
        <v>171</v>
      </c>
      <c r="H270" t="s">
        <v>839</v>
      </c>
      <c r="I270" t="s">
        <v>10</v>
      </c>
    </row>
    <row r="271" spans="1:10" x14ac:dyDescent="0.25">
      <c r="A271" t="s">
        <v>883</v>
      </c>
      <c r="B271" t="s">
        <v>307</v>
      </c>
      <c r="C271" t="s">
        <v>845</v>
      </c>
      <c r="D271" s="14">
        <v>41232.9</v>
      </c>
      <c r="E271" t="s">
        <v>502</v>
      </c>
      <c r="F271" t="s">
        <v>277</v>
      </c>
      <c r="G271" t="s">
        <v>171</v>
      </c>
      <c r="H271" t="s">
        <v>839</v>
      </c>
      <c r="I271" t="s">
        <v>10</v>
      </c>
    </row>
    <row r="272" spans="1:10" x14ac:dyDescent="0.25">
      <c r="A272" t="s">
        <v>884</v>
      </c>
      <c r="B272" t="s">
        <v>311</v>
      </c>
      <c r="C272" t="s">
        <v>834</v>
      </c>
      <c r="D272" s="12">
        <v>46387</v>
      </c>
      <c r="E272" t="s">
        <v>398</v>
      </c>
      <c r="G272" t="s">
        <v>171</v>
      </c>
      <c r="H272" t="s">
        <v>835</v>
      </c>
      <c r="I272" t="s">
        <v>10</v>
      </c>
      <c r="J272" t="s">
        <v>847</v>
      </c>
    </row>
    <row r="273" spans="1:10" x14ac:dyDescent="0.25">
      <c r="A273" t="s">
        <v>885</v>
      </c>
      <c r="B273" t="s">
        <v>311</v>
      </c>
      <c r="C273" t="s">
        <v>849</v>
      </c>
      <c r="D273" s="14">
        <v>2930.2</v>
      </c>
      <c r="E273" t="s">
        <v>502</v>
      </c>
      <c r="F273" t="s">
        <v>277</v>
      </c>
      <c r="G273" t="s">
        <v>171</v>
      </c>
      <c r="H273" t="s">
        <v>839</v>
      </c>
      <c r="I273" t="s">
        <v>10</v>
      </c>
    </row>
    <row r="274" spans="1:10" x14ac:dyDescent="0.25">
      <c r="A274" t="s">
        <v>886</v>
      </c>
      <c r="B274" t="s">
        <v>311</v>
      </c>
      <c r="C274" t="s">
        <v>841</v>
      </c>
      <c r="D274" s="14">
        <v>14453.8</v>
      </c>
      <c r="E274" t="s">
        <v>502</v>
      </c>
      <c r="F274" t="s">
        <v>277</v>
      </c>
      <c r="G274" t="s">
        <v>171</v>
      </c>
      <c r="H274" t="s">
        <v>839</v>
      </c>
      <c r="I274" t="s">
        <v>10</v>
      </c>
    </row>
    <row r="275" spans="1:10" x14ac:dyDescent="0.25">
      <c r="A275" t="s">
        <v>887</v>
      </c>
      <c r="B275" t="s">
        <v>311</v>
      </c>
      <c r="C275" t="s">
        <v>852</v>
      </c>
      <c r="D275" s="14">
        <v>3006.3</v>
      </c>
      <c r="E275" t="s">
        <v>502</v>
      </c>
      <c r="F275" t="s">
        <v>277</v>
      </c>
      <c r="G275" t="s">
        <v>171</v>
      </c>
      <c r="H275" t="s">
        <v>839</v>
      </c>
      <c r="I275" t="s">
        <v>10</v>
      </c>
    </row>
    <row r="276" spans="1:10" x14ac:dyDescent="0.25">
      <c r="A276" t="s">
        <v>888</v>
      </c>
      <c r="B276" t="s">
        <v>311</v>
      </c>
      <c r="C276" t="s">
        <v>845</v>
      </c>
      <c r="D276" s="14">
        <v>14628.6</v>
      </c>
      <c r="E276" t="s">
        <v>502</v>
      </c>
      <c r="F276" t="s">
        <v>277</v>
      </c>
      <c r="G276" t="s">
        <v>171</v>
      </c>
      <c r="H276" t="s">
        <v>839</v>
      </c>
      <c r="I276" t="s">
        <v>10</v>
      </c>
    </row>
    <row r="277" spans="1:10" x14ac:dyDescent="0.25">
      <c r="A277" t="s">
        <v>889</v>
      </c>
      <c r="B277" t="s">
        <v>315</v>
      </c>
      <c r="C277" t="s">
        <v>834</v>
      </c>
      <c r="D277" s="12">
        <v>46387</v>
      </c>
      <c r="E277" t="s">
        <v>398</v>
      </c>
      <c r="G277" t="s">
        <v>171</v>
      </c>
      <c r="H277" t="s">
        <v>835</v>
      </c>
      <c r="I277" t="s">
        <v>10</v>
      </c>
      <c r="J277" t="s">
        <v>847</v>
      </c>
    </row>
    <row r="278" spans="1:10" x14ac:dyDescent="0.25">
      <c r="A278" t="s">
        <v>890</v>
      </c>
      <c r="B278" t="s">
        <v>315</v>
      </c>
      <c r="C278" t="s">
        <v>849</v>
      </c>
      <c r="D278" s="14">
        <v>19050.5</v>
      </c>
      <c r="E278" t="s">
        <v>502</v>
      </c>
      <c r="F278" t="s">
        <v>277</v>
      </c>
      <c r="G278" t="s">
        <v>171</v>
      </c>
      <c r="H278" t="s">
        <v>839</v>
      </c>
      <c r="I278" t="s">
        <v>10</v>
      </c>
    </row>
    <row r="279" spans="1:10" x14ac:dyDescent="0.25">
      <c r="A279" t="s">
        <v>891</v>
      </c>
      <c r="B279" t="s">
        <v>315</v>
      </c>
      <c r="C279" t="s">
        <v>841</v>
      </c>
      <c r="D279" s="14">
        <v>99300.5</v>
      </c>
      <c r="E279" t="s">
        <v>502</v>
      </c>
      <c r="F279" t="s">
        <v>277</v>
      </c>
      <c r="G279" t="s">
        <v>171</v>
      </c>
      <c r="H279" t="s">
        <v>839</v>
      </c>
      <c r="I279" t="s">
        <v>10</v>
      </c>
    </row>
    <row r="280" spans="1:10" x14ac:dyDescent="0.25">
      <c r="A280" t="s">
        <v>892</v>
      </c>
      <c r="B280" t="s">
        <v>315</v>
      </c>
      <c r="C280" t="s">
        <v>852</v>
      </c>
      <c r="D280" s="14">
        <v>19587.099999999999</v>
      </c>
      <c r="E280" t="s">
        <v>502</v>
      </c>
      <c r="F280" t="s">
        <v>277</v>
      </c>
      <c r="G280" t="s">
        <v>171</v>
      </c>
      <c r="H280" t="s">
        <v>839</v>
      </c>
      <c r="I280" t="s">
        <v>10</v>
      </c>
    </row>
    <row r="281" spans="1:10" x14ac:dyDescent="0.25">
      <c r="A281" t="s">
        <v>893</v>
      </c>
      <c r="B281" t="s">
        <v>315</v>
      </c>
      <c r="C281" t="s">
        <v>845</v>
      </c>
      <c r="D281" s="14">
        <v>101773.1</v>
      </c>
      <c r="E281" t="s">
        <v>502</v>
      </c>
      <c r="F281" t="s">
        <v>277</v>
      </c>
      <c r="G281" t="s">
        <v>171</v>
      </c>
      <c r="H281" t="s">
        <v>839</v>
      </c>
      <c r="I281" t="s">
        <v>10</v>
      </c>
    </row>
    <row r="282" spans="1:10" x14ac:dyDescent="0.25">
      <c r="A282" t="s">
        <v>894</v>
      </c>
      <c r="B282" t="s">
        <v>895</v>
      </c>
      <c r="C282" t="s">
        <v>896</v>
      </c>
      <c r="D282" s="12">
        <v>46387</v>
      </c>
      <c r="E282" t="s">
        <v>398</v>
      </c>
      <c r="G282" t="s">
        <v>171</v>
      </c>
      <c r="H282" t="s">
        <v>897</v>
      </c>
      <c r="I282" t="s">
        <v>10</v>
      </c>
    </row>
    <row r="283" spans="1:10" x14ac:dyDescent="0.25">
      <c r="A283" t="s">
        <v>898</v>
      </c>
      <c r="B283" t="s">
        <v>895</v>
      </c>
      <c r="C283" t="s">
        <v>899</v>
      </c>
      <c r="D283" s="15">
        <v>1111.3699999999999</v>
      </c>
      <c r="E283" t="s">
        <v>502</v>
      </c>
      <c r="F283" t="s">
        <v>277</v>
      </c>
      <c r="G283" t="s">
        <v>171</v>
      </c>
      <c r="H283" t="s">
        <v>900</v>
      </c>
      <c r="I283" t="s">
        <v>416</v>
      </c>
      <c r="J283" t="s">
        <v>901</v>
      </c>
    </row>
    <row r="284" spans="1:10" x14ac:dyDescent="0.25">
      <c r="A284" s="3" t="s">
        <v>902</v>
      </c>
      <c r="B284" s="4"/>
      <c r="C284" s="4"/>
      <c r="D284" s="4"/>
      <c r="E284" s="4"/>
      <c r="F284" s="4"/>
      <c r="G284" s="4"/>
      <c r="H284" s="4"/>
      <c r="I284" s="4"/>
      <c r="J284" s="4"/>
    </row>
    <row r="285" spans="1:10" x14ac:dyDescent="0.25">
      <c r="A285" t="s">
        <v>903</v>
      </c>
      <c r="B285" t="s">
        <v>275</v>
      </c>
      <c r="C285" t="s">
        <v>904</v>
      </c>
      <c r="D285" s="15" t="s">
        <v>278</v>
      </c>
      <c r="E285" t="s">
        <v>905</v>
      </c>
      <c r="G285" t="s">
        <v>171</v>
      </c>
      <c r="H285" t="s">
        <v>906</v>
      </c>
      <c r="I285" t="s">
        <v>10</v>
      </c>
    </row>
    <row r="286" spans="1:10" x14ac:dyDescent="0.25">
      <c r="A286" t="s">
        <v>907</v>
      </c>
      <c r="B286" t="s">
        <v>275</v>
      </c>
      <c r="C286" t="s">
        <v>908</v>
      </c>
      <c r="D286" s="14">
        <v>317.10199999999998</v>
      </c>
      <c r="E286" t="s">
        <v>502</v>
      </c>
      <c r="F286" t="s">
        <v>277</v>
      </c>
      <c r="G286" t="s">
        <v>171</v>
      </c>
      <c r="H286" t="s">
        <v>909</v>
      </c>
      <c r="I286" t="s">
        <v>439</v>
      </c>
    </row>
    <row r="287" spans="1:10" x14ac:dyDescent="0.25">
      <c r="A287" t="s">
        <v>910</v>
      </c>
      <c r="B287" t="s">
        <v>275</v>
      </c>
      <c r="C287" t="s">
        <v>911</v>
      </c>
      <c r="D287" s="14">
        <v>74.183000000000007</v>
      </c>
      <c r="E287" t="s">
        <v>502</v>
      </c>
      <c r="F287" t="s">
        <v>277</v>
      </c>
      <c r="G287" t="s">
        <v>171</v>
      </c>
      <c r="H287" t="s">
        <v>912</v>
      </c>
      <c r="I287" t="s">
        <v>25</v>
      </c>
    </row>
    <row r="288" spans="1:10" x14ac:dyDescent="0.25">
      <c r="A288" t="s">
        <v>913</v>
      </c>
      <c r="B288" t="s">
        <v>275</v>
      </c>
      <c r="C288" t="s">
        <v>914</v>
      </c>
      <c r="D288" s="14">
        <v>91.968999999999994</v>
      </c>
      <c r="E288" t="s">
        <v>502</v>
      </c>
      <c r="F288" t="s">
        <v>277</v>
      </c>
      <c r="G288" t="s">
        <v>171</v>
      </c>
      <c r="H288" t="s">
        <v>915</v>
      </c>
      <c r="I288" t="s">
        <v>8</v>
      </c>
    </row>
    <row r="289" spans="1:10" x14ac:dyDescent="0.25">
      <c r="A289" t="s">
        <v>916</v>
      </c>
      <c r="B289" t="s">
        <v>275</v>
      </c>
      <c r="C289" t="s">
        <v>917</v>
      </c>
      <c r="D289" s="14">
        <v>91.808999999999997</v>
      </c>
      <c r="E289" t="s">
        <v>502</v>
      </c>
      <c r="F289" t="s">
        <v>277</v>
      </c>
      <c r="G289" t="s">
        <v>171</v>
      </c>
      <c r="H289" t="s">
        <v>918</v>
      </c>
      <c r="I289" t="s">
        <v>10</v>
      </c>
      <c r="J289" t="s">
        <v>919</v>
      </c>
    </row>
    <row r="290" spans="1:10" x14ac:dyDescent="0.25">
      <c r="A290" t="s">
        <v>920</v>
      </c>
      <c r="B290" t="s">
        <v>299</v>
      </c>
      <c r="C290" t="s">
        <v>904</v>
      </c>
      <c r="D290" s="15" t="s">
        <v>278</v>
      </c>
      <c r="E290" t="s">
        <v>905</v>
      </c>
      <c r="G290" t="s">
        <v>171</v>
      </c>
      <c r="H290" t="s">
        <v>921</v>
      </c>
      <c r="I290" t="s">
        <v>10</v>
      </c>
    </row>
    <row r="291" spans="1:10" x14ac:dyDescent="0.25">
      <c r="A291" t="s">
        <v>922</v>
      </c>
      <c r="B291" t="s">
        <v>299</v>
      </c>
      <c r="C291" t="s">
        <v>908</v>
      </c>
      <c r="D291" s="14">
        <v>192.8</v>
      </c>
      <c r="E291" t="s">
        <v>502</v>
      </c>
      <c r="F291" t="s">
        <v>277</v>
      </c>
      <c r="G291" t="s">
        <v>171</v>
      </c>
      <c r="H291" t="s">
        <v>909</v>
      </c>
      <c r="I291" t="s">
        <v>439</v>
      </c>
    </row>
    <row r="292" spans="1:10" x14ac:dyDescent="0.25">
      <c r="A292" t="s">
        <v>923</v>
      </c>
      <c r="B292" t="s">
        <v>299</v>
      </c>
      <c r="C292" t="s">
        <v>911</v>
      </c>
      <c r="D292" s="14">
        <v>49.7</v>
      </c>
      <c r="E292" t="s">
        <v>502</v>
      </c>
      <c r="F292" t="s">
        <v>277</v>
      </c>
      <c r="G292" t="s">
        <v>171</v>
      </c>
      <c r="H292" t="s">
        <v>912</v>
      </c>
      <c r="I292" t="s">
        <v>25</v>
      </c>
    </row>
    <row r="293" spans="1:10" x14ac:dyDescent="0.25">
      <c r="A293" t="s">
        <v>924</v>
      </c>
      <c r="B293" t="s">
        <v>299</v>
      </c>
      <c r="C293" t="s">
        <v>914</v>
      </c>
      <c r="D293" s="14">
        <v>46.2</v>
      </c>
      <c r="E293" t="s">
        <v>502</v>
      </c>
      <c r="F293" t="s">
        <v>277</v>
      </c>
      <c r="G293" t="s">
        <v>171</v>
      </c>
      <c r="H293" t="s">
        <v>915</v>
      </c>
      <c r="I293" t="s">
        <v>8</v>
      </c>
    </row>
    <row r="294" spans="1:10" x14ac:dyDescent="0.25">
      <c r="A294" t="s">
        <v>925</v>
      </c>
      <c r="B294" t="s">
        <v>299</v>
      </c>
      <c r="C294" t="s">
        <v>917</v>
      </c>
      <c r="D294" s="14">
        <v>46.9</v>
      </c>
      <c r="E294" t="s">
        <v>502</v>
      </c>
      <c r="F294" t="s">
        <v>277</v>
      </c>
      <c r="G294" t="s">
        <v>171</v>
      </c>
      <c r="H294" t="s">
        <v>918</v>
      </c>
      <c r="I294" t="s">
        <v>10</v>
      </c>
      <c r="J294" t="s">
        <v>919</v>
      </c>
    </row>
    <row r="295" spans="1:10" x14ac:dyDescent="0.25">
      <c r="A295" t="s">
        <v>926</v>
      </c>
      <c r="B295" t="s">
        <v>303</v>
      </c>
      <c r="C295" t="s">
        <v>904</v>
      </c>
      <c r="D295" s="15" t="s">
        <v>278</v>
      </c>
      <c r="E295" t="s">
        <v>905</v>
      </c>
      <c r="G295" t="s">
        <v>171</v>
      </c>
      <c r="H295" t="s">
        <v>927</v>
      </c>
      <c r="I295" t="s">
        <v>10</v>
      </c>
    </row>
    <row r="296" spans="1:10" x14ac:dyDescent="0.25">
      <c r="A296" t="s">
        <v>928</v>
      </c>
      <c r="B296" t="s">
        <v>303</v>
      </c>
      <c r="C296" t="s">
        <v>908</v>
      </c>
      <c r="D296" s="14">
        <v>313</v>
      </c>
      <c r="E296" t="s">
        <v>502</v>
      </c>
      <c r="F296" t="s">
        <v>277</v>
      </c>
      <c r="G296" t="s">
        <v>171</v>
      </c>
      <c r="H296" t="s">
        <v>909</v>
      </c>
      <c r="I296" t="s">
        <v>439</v>
      </c>
    </row>
    <row r="297" spans="1:10" x14ac:dyDescent="0.25">
      <c r="A297" t="s">
        <v>929</v>
      </c>
      <c r="B297" t="s">
        <v>303</v>
      </c>
      <c r="C297" t="s">
        <v>911</v>
      </c>
      <c r="D297" s="14">
        <v>101</v>
      </c>
      <c r="E297" t="s">
        <v>502</v>
      </c>
      <c r="F297" t="s">
        <v>277</v>
      </c>
      <c r="G297" t="s">
        <v>171</v>
      </c>
      <c r="H297" t="s">
        <v>912</v>
      </c>
      <c r="I297" t="s">
        <v>25</v>
      </c>
    </row>
    <row r="298" spans="1:10" x14ac:dyDescent="0.25">
      <c r="A298" t="s">
        <v>930</v>
      </c>
      <c r="B298" t="s">
        <v>303</v>
      </c>
      <c r="C298" t="s">
        <v>914</v>
      </c>
      <c r="D298" s="14">
        <v>115</v>
      </c>
      <c r="E298" t="s">
        <v>502</v>
      </c>
      <c r="F298" t="s">
        <v>277</v>
      </c>
      <c r="G298" t="s">
        <v>171</v>
      </c>
      <c r="H298" t="s">
        <v>915</v>
      </c>
      <c r="I298" t="s">
        <v>8</v>
      </c>
    </row>
    <row r="299" spans="1:10" x14ac:dyDescent="0.25">
      <c r="A299" t="s">
        <v>931</v>
      </c>
      <c r="B299" t="s">
        <v>303</v>
      </c>
      <c r="C299" t="s">
        <v>917</v>
      </c>
      <c r="D299" s="14">
        <v>114</v>
      </c>
      <c r="E299" t="s">
        <v>502</v>
      </c>
      <c r="F299" t="s">
        <v>277</v>
      </c>
      <c r="G299" t="s">
        <v>171</v>
      </c>
      <c r="H299" t="s">
        <v>918</v>
      </c>
      <c r="I299" t="s">
        <v>10</v>
      </c>
      <c r="J299" t="s">
        <v>919</v>
      </c>
    </row>
    <row r="300" spans="1:10" x14ac:dyDescent="0.25">
      <c r="A300" t="s">
        <v>932</v>
      </c>
      <c r="B300" t="s">
        <v>307</v>
      </c>
      <c r="C300" t="s">
        <v>904</v>
      </c>
      <c r="D300" s="15" t="s">
        <v>278</v>
      </c>
      <c r="E300" t="s">
        <v>905</v>
      </c>
      <c r="G300" t="s">
        <v>171</v>
      </c>
      <c r="H300" t="s">
        <v>933</v>
      </c>
      <c r="I300" t="s">
        <v>10</v>
      </c>
    </row>
    <row r="301" spans="1:10" x14ac:dyDescent="0.25">
      <c r="A301" t="s">
        <v>934</v>
      </c>
      <c r="B301" t="s">
        <v>307</v>
      </c>
      <c r="C301" t="s">
        <v>908</v>
      </c>
      <c r="D301" s="14">
        <v>773</v>
      </c>
      <c r="E301" t="s">
        <v>502</v>
      </c>
      <c r="F301" t="s">
        <v>277</v>
      </c>
      <c r="G301" t="s">
        <v>783</v>
      </c>
      <c r="H301" t="s">
        <v>784</v>
      </c>
      <c r="I301" t="s">
        <v>439</v>
      </c>
      <c r="J301" t="s">
        <v>935</v>
      </c>
    </row>
    <row r="302" spans="1:10" x14ac:dyDescent="0.25">
      <c r="A302" t="s">
        <v>936</v>
      </c>
      <c r="B302" t="s">
        <v>307</v>
      </c>
      <c r="C302" t="s">
        <v>911</v>
      </c>
      <c r="D302" s="14">
        <v>234</v>
      </c>
      <c r="E302" t="s">
        <v>502</v>
      </c>
      <c r="F302" t="s">
        <v>277</v>
      </c>
      <c r="G302" t="s">
        <v>171</v>
      </c>
      <c r="H302" t="s">
        <v>912</v>
      </c>
      <c r="I302" t="s">
        <v>25</v>
      </c>
    </row>
    <row r="303" spans="1:10" x14ac:dyDescent="0.25">
      <c r="A303" t="s">
        <v>937</v>
      </c>
      <c r="B303" t="s">
        <v>307</v>
      </c>
      <c r="C303" t="s">
        <v>914</v>
      </c>
      <c r="D303" s="14">
        <v>246</v>
      </c>
      <c r="E303" t="s">
        <v>502</v>
      </c>
      <c r="F303" t="s">
        <v>277</v>
      </c>
      <c r="G303" t="s">
        <v>171</v>
      </c>
      <c r="H303" t="s">
        <v>915</v>
      </c>
      <c r="I303" t="s">
        <v>8</v>
      </c>
    </row>
    <row r="304" spans="1:10" x14ac:dyDescent="0.25">
      <c r="A304" t="s">
        <v>938</v>
      </c>
      <c r="B304" t="s">
        <v>307</v>
      </c>
      <c r="C304" t="s">
        <v>917</v>
      </c>
      <c r="D304" s="14">
        <v>246</v>
      </c>
      <c r="E304" t="s">
        <v>502</v>
      </c>
      <c r="F304" t="s">
        <v>277</v>
      </c>
      <c r="G304" t="s">
        <v>783</v>
      </c>
      <c r="H304" t="s">
        <v>918</v>
      </c>
      <c r="I304" t="s">
        <v>10</v>
      </c>
      <c r="J304" t="s">
        <v>919</v>
      </c>
    </row>
    <row r="305" spans="1:10" x14ac:dyDescent="0.25">
      <c r="A305" t="s">
        <v>939</v>
      </c>
      <c r="B305" t="s">
        <v>315</v>
      </c>
      <c r="C305" t="s">
        <v>904</v>
      </c>
      <c r="D305" s="15" t="s">
        <v>291</v>
      </c>
      <c r="E305" t="s">
        <v>905</v>
      </c>
      <c r="G305" t="s">
        <v>171</v>
      </c>
      <c r="H305" t="s">
        <v>940</v>
      </c>
      <c r="I305" t="s">
        <v>10</v>
      </c>
    </row>
    <row r="306" spans="1:10" x14ac:dyDescent="0.25">
      <c r="A306" t="s">
        <v>941</v>
      </c>
      <c r="B306" t="s">
        <v>315</v>
      </c>
      <c r="C306" t="s">
        <v>908</v>
      </c>
      <c r="D306" s="14">
        <v>3846</v>
      </c>
      <c r="E306" t="s">
        <v>502</v>
      </c>
      <c r="F306" t="s">
        <v>277</v>
      </c>
      <c r="G306" t="s">
        <v>171</v>
      </c>
      <c r="H306" t="s">
        <v>909</v>
      </c>
      <c r="I306" t="s">
        <v>942</v>
      </c>
      <c r="J306" t="s">
        <v>943</v>
      </c>
    </row>
    <row r="307" spans="1:10" x14ac:dyDescent="0.25">
      <c r="A307" t="s">
        <v>944</v>
      </c>
      <c r="B307" t="s">
        <v>315</v>
      </c>
      <c r="C307" t="s">
        <v>911</v>
      </c>
      <c r="D307" s="14">
        <v>788</v>
      </c>
      <c r="E307" t="s">
        <v>502</v>
      </c>
      <c r="F307" t="s">
        <v>277</v>
      </c>
      <c r="G307" t="s">
        <v>171</v>
      </c>
      <c r="H307" t="s">
        <v>912</v>
      </c>
      <c r="I307" t="s">
        <v>25</v>
      </c>
    </row>
    <row r="308" spans="1:10" x14ac:dyDescent="0.25">
      <c r="A308" t="s">
        <v>945</v>
      </c>
      <c r="B308" t="s">
        <v>315</v>
      </c>
      <c r="C308" t="s">
        <v>914</v>
      </c>
      <c r="D308" s="14">
        <v>880</v>
      </c>
      <c r="E308" t="s">
        <v>502</v>
      </c>
      <c r="F308" t="s">
        <v>277</v>
      </c>
      <c r="G308" t="s">
        <v>171</v>
      </c>
      <c r="H308" t="s">
        <v>915</v>
      </c>
      <c r="I308" t="s">
        <v>8</v>
      </c>
    </row>
    <row r="309" spans="1:10" x14ac:dyDescent="0.25">
      <c r="A309" t="s">
        <v>946</v>
      </c>
      <c r="B309" t="s">
        <v>315</v>
      </c>
      <c r="C309" t="s">
        <v>917</v>
      </c>
      <c r="D309" s="14">
        <v>880</v>
      </c>
      <c r="E309" t="s">
        <v>502</v>
      </c>
      <c r="F309" t="s">
        <v>277</v>
      </c>
      <c r="G309" t="s">
        <v>783</v>
      </c>
      <c r="H309" t="s">
        <v>918</v>
      </c>
      <c r="I309" t="s">
        <v>10</v>
      </c>
      <c r="J309" t="s">
        <v>919</v>
      </c>
    </row>
    <row r="310" spans="1:10" x14ac:dyDescent="0.25">
      <c r="A310" s="3" t="s">
        <v>947</v>
      </c>
      <c r="B310" s="4"/>
      <c r="C310" s="4"/>
      <c r="D310" s="4"/>
      <c r="E310" s="4"/>
      <c r="F310" s="4"/>
      <c r="G310" s="4"/>
      <c r="H310" s="4"/>
      <c r="I310" s="4"/>
      <c r="J310" s="4"/>
    </row>
    <row r="311" spans="1:10" x14ac:dyDescent="0.25">
      <c r="A311" t="s">
        <v>948</v>
      </c>
      <c r="B311" t="s">
        <v>282</v>
      </c>
      <c r="C311" t="s">
        <v>949</v>
      </c>
      <c r="D311" s="15" t="s">
        <v>278</v>
      </c>
      <c r="E311" t="s">
        <v>905</v>
      </c>
      <c r="G311" t="s">
        <v>171</v>
      </c>
      <c r="H311" t="s">
        <v>950</v>
      </c>
      <c r="I311" t="s">
        <v>439</v>
      </c>
    </row>
    <row r="312" spans="1:10" x14ac:dyDescent="0.25">
      <c r="A312" t="s">
        <v>951</v>
      </c>
      <c r="B312" t="s">
        <v>282</v>
      </c>
      <c r="C312" t="s">
        <v>952</v>
      </c>
      <c r="D312" s="14">
        <v>413.2</v>
      </c>
      <c r="E312" t="s">
        <v>502</v>
      </c>
      <c r="F312" t="s">
        <v>277</v>
      </c>
      <c r="G312" t="s">
        <v>171</v>
      </c>
      <c r="H312" t="s">
        <v>953</v>
      </c>
      <c r="I312" t="s">
        <v>439</v>
      </c>
    </row>
    <row r="313" spans="1:10" x14ac:dyDescent="0.25">
      <c r="A313" t="s">
        <v>954</v>
      </c>
      <c r="B313" t="s">
        <v>282</v>
      </c>
      <c r="C313" t="s">
        <v>955</v>
      </c>
      <c r="D313" s="14">
        <v>0</v>
      </c>
      <c r="E313" t="s">
        <v>502</v>
      </c>
      <c r="F313" t="s">
        <v>277</v>
      </c>
      <c r="G313" t="s">
        <v>171</v>
      </c>
      <c r="H313" t="s">
        <v>956</v>
      </c>
      <c r="I313" t="s">
        <v>439</v>
      </c>
      <c r="J313" t="s">
        <v>957</v>
      </c>
    </row>
    <row r="314" spans="1:10" x14ac:dyDescent="0.25">
      <c r="A314" t="s">
        <v>958</v>
      </c>
      <c r="B314" t="s">
        <v>282</v>
      </c>
      <c r="C314" t="s">
        <v>959</v>
      </c>
      <c r="D314" s="15" t="s">
        <v>278</v>
      </c>
      <c r="E314" t="s">
        <v>905</v>
      </c>
      <c r="G314" t="s">
        <v>169</v>
      </c>
      <c r="H314" t="s">
        <v>960</v>
      </c>
      <c r="I314" t="s">
        <v>416</v>
      </c>
      <c r="J314" t="s">
        <v>961</v>
      </c>
    </row>
    <row r="315" spans="1:10" x14ac:dyDescent="0.25">
      <c r="A315" t="s">
        <v>962</v>
      </c>
      <c r="B315" t="s">
        <v>294</v>
      </c>
      <c r="C315" t="s">
        <v>949</v>
      </c>
      <c r="D315" s="15" t="s">
        <v>278</v>
      </c>
      <c r="E315" t="s">
        <v>905</v>
      </c>
      <c r="G315" t="s">
        <v>171</v>
      </c>
      <c r="H315" t="s">
        <v>963</v>
      </c>
      <c r="I315" t="s">
        <v>439</v>
      </c>
    </row>
    <row r="316" spans="1:10" x14ac:dyDescent="0.25">
      <c r="A316" t="s">
        <v>964</v>
      </c>
      <c r="B316" t="s">
        <v>294</v>
      </c>
      <c r="C316" t="s">
        <v>952</v>
      </c>
      <c r="D316" s="15">
        <f>167.8*$D$8</f>
        <v>195.7486002</v>
      </c>
      <c r="E316" t="s">
        <v>502</v>
      </c>
      <c r="F316" t="s">
        <v>277</v>
      </c>
      <c r="G316" t="s">
        <v>169</v>
      </c>
      <c r="H316" t="s">
        <v>965</v>
      </c>
      <c r="I316" t="s">
        <v>439</v>
      </c>
    </row>
    <row r="317" spans="1:10" x14ac:dyDescent="0.25">
      <c r="A317" t="s">
        <v>966</v>
      </c>
      <c r="B317" t="s">
        <v>294</v>
      </c>
      <c r="C317" t="s">
        <v>955</v>
      </c>
      <c r="D317" s="15">
        <v>0</v>
      </c>
      <c r="E317" t="s">
        <v>502</v>
      </c>
      <c r="F317" t="s">
        <v>277</v>
      </c>
      <c r="G317" t="s">
        <v>169</v>
      </c>
      <c r="H317" t="s">
        <v>967</v>
      </c>
      <c r="I317" t="s">
        <v>439</v>
      </c>
      <c r="J317" t="s">
        <v>957</v>
      </c>
    </row>
    <row r="318" spans="1:10" x14ac:dyDescent="0.25">
      <c r="A318" t="s">
        <v>968</v>
      </c>
      <c r="B318" t="s">
        <v>294</v>
      </c>
      <c r="C318" t="s">
        <v>959</v>
      </c>
      <c r="D318" s="15" t="s">
        <v>278</v>
      </c>
      <c r="E318" t="s">
        <v>905</v>
      </c>
      <c r="G318" t="s">
        <v>169</v>
      </c>
      <c r="H318" t="s">
        <v>969</v>
      </c>
      <c r="I318" t="s">
        <v>416</v>
      </c>
      <c r="J318" t="s">
        <v>970</v>
      </c>
    </row>
    <row r="319" spans="1:10" x14ac:dyDescent="0.25">
      <c r="A319" t="s">
        <v>971</v>
      </c>
      <c r="B319" t="s">
        <v>311</v>
      </c>
      <c r="C319" t="s">
        <v>949</v>
      </c>
      <c r="D319" s="15" t="s">
        <v>278</v>
      </c>
      <c r="E319" t="s">
        <v>905</v>
      </c>
      <c r="G319" t="s">
        <v>171</v>
      </c>
      <c r="H319" t="s">
        <v>972</v>
      </c>
      <c r="I319" t="s">
        <v>439</v>
      </c>
    </row>
    <row r="320" spans="1:10" x14ac:dyDescent="0.25">
      <c r="A320" t="s">
        <v>973</v>
      </c>
      <c r="B320" t="s">
        <v>311</v>
      </c>
      <c r="C320" t="s">
        <v>952</v>
      </c>
      <c r="D320" s="15">
        <f>1832.2*$D$9</f>
        <v>102.03521800000001</v>
      </c>
      <c r="E320" t="s">
        <v>502</v>
      </c>
      <c r="F320" t="s">
        <v>277</v>
      </c>
      <c r="G320" t="s">
        <v>169</v>
      </c>
      <c r="H320" t="s">
        <v>974</v>
      </c>
      <c r="I320" t="s">
        <v>439</v>
      </c>
    </row>
    <row r="321" spans="1:10" x14ac:dyDescent="0.25">
      <c r="A321" t="s">
        <v>975</v>
      </c>
      <c r="B321" t="s">
        <v>311</v>
      </c>
      <c r="C321" t="s">
        <v>955</v>
      </c>
      <c r="D321" s="15">
        <v>0</v>
      </c>
      <c r="E321" t="s">
        <v>502</v>
      </c>
      <c r="F321" t="s">
        <v>277</v>
      </c>
      <c r="G321" t="s">
        <v>169</v>
      </c>
      <c r="H321" t="s">
        <v>976</v>
      </c>
      <c r="I321" t="s">
        <v>439</v>
      </c>
      <c r="J321" t="s">
        <v>957</v>
      </c>
    </row>
    <row r="322" spans="1:10" x14ac:dyDescent="0.25">
      <c r="A322" t="s">
        <v>977</v>
      </c>
      <c r="B322" t="s">
        <v>311</v>
      </c>
      <c r="C322" t="s">
        <v>959</v>
      </c>
      <c r="D322" s="15" t="s">
        <v>278</v>
      </c>
      <c r="E322" t="s">
        <v>905</v>
      </c>
      <c r="G322" t="s">
        <v>169</v>
      </c>
      <c r="H322" t="s">
        <v>978</v>
      </c>
      <c r="I322" t="s">
        <v>416</v>
      </c>
      <c r="J322" t="s">
        <v>979</v>
      </c>
    </row>
    <row r="323" spans="1:10" x14ac:dyDescent="0.25">
      <c r="A323" t="s">
        <v>980</v>
      </c>
      <c r="B323" t="s">
        <v>287</v>
      </c>
      <c r="C323" t="s">
        <v>949</v>
      </c>
      <c r="D323" s="15" t="s">
        <v>291</v>
      </c>
      <c r="E323" t="s">
        <v>905</v>
      </c>
      <c r="G323" t="s">
        <v>171</v>
      </c>
      <c r="H323" t="s">
        <v>981</v>
      </c>
      <c r="I323" t="s">
        <v>439</v>
      </c>
    </row>
    <row r="324" spans="1:10" x14ac:dyDescent="0.25">
      <c r="A324" t="s">
        <v>982</v>
      </c>
      <c r="B324" t="s">
        <v>287</v>
      </c>
      <c r="C324" t="s">
        <v>952</v>
      </c>
      <c r="D324" s="15">
        <f>7853*$D$7</f>
        <v>50.903146</v>
      </c>
      <c r="E324" t="s">
        <v>502</v>
      </c>
      <c r="F324" t="s">
        <v>277</v>
      </c>
      <c r="G324" t="s">
        <v>169</v>
      </c>
      <c r="H324" t="s">
        <v>983</v>
      </c>
      <c r="I324" t="s">
        <v>439</v>
      </c>
    </row>
    <row r="325" spans="1:10" x14ac:dyDescent="0.25">
      <c r="A325" t="s">
        <v>984</v>
      </c>
      <c r="B325" t="s">
        <v>287</v>
      </c>
      <c r="C325" t="s">
        <v>955</v>
      </c>
      <c r="D325" s="15" t="s">
        <v>290</v>
      </c>
      <c r="E325" t="s">
        <v>502</v>
      </c>
      <c r="F325" t="s">
        <v>277</v>
      </c>
      <c r="G325" t="s">
        <v>579</v>
      </c>
      <c r="H325" t="s">
        <v>594</v>
      </c>
      <c r="I325" t="s">
        <v>439</v>
      </c>
      <c r="J325" t="s">
        <v>957</v>
      </c>
    </row>
    <row r="326" spans="1:10" x14ac:dyDescent="0.25">
      <c r="A326" t="s">
        <v>985</v>
      </c>
      <c r="B326" t="s">
        <v>287</v>
      </c>
      <c r="C326" t="s">
        <v>959</v>
      </c>
      <c r="D326" s="15" t="s">
        <v>291</v>
      </c>
      <c r="E326" t="s">
        <v>905</v>
      </c>
      <c r="G326" t="s">
        <v>169</v>
      </c>
      <c r="H326" t="s">
        <v>986</v>
      </c>
      <c r="I326" t="s">
        <v>416</v>
      </c>
      <c r="J326" t="s">
        <v>987</v>
      </c>
    </row>
    <row r="327" spans="1:10" x14ac:dyDescent="0.25">
      <c r="A327" t="s">
        <v>988</v>
      </c>
      <c r="B327" t="s">
        <v>419</v>
      </c>
      <c r="C327" t="s">
        <v>896</v>
      </c>
      <c r="D327" s="12">
        <v>46387</v>
      </c>
      <c r="E327" t="s">
        <v>398</v>
      </c>
      <c r="G327" t="s">
        <v>171</v>
      </c>
      <c r="H327" t="s">
        <v>989</v>
      </c>
      <c r="I327" t="s">
        <v>10</v>
      </c>
    </row>
    <row r="329" spans="1:10" x14ac:dyDescent="0.25">
      <c r="A329" s="18" t="s">
        <v>990</v>
      </c>
    </row>
    <row r="330" spans="1:10" x14ac:dyDescent="0.25">
      <c r="A330" t="s">
        <v>991</v>
      </c>
      <c r="B330" t="s">
        <v>895</v>
      </c>
      <c r="C330" t="s">
        <v>992</v>
      </c>
      <c r="D330" s="19">
        <v>6648.35</v>
      </c>
      <c r="E330" t="s">
        <v>502</v>
      </c>
      <c r="F330" t="s">
        <v>277</v>
      </c>
      <c r="G330" t="s">
        <v>171</v>
      </c>
      <c r="H330" t="s">
        <v>993</v>
      </c>
      <c r="I330" t="s">
        <v>416</v>
      </c>
    </row>
    <row r="331" spans="1:10" x14ac:dyDescent="0.25">
      <c r="A331" t="s">
        <v>994</v>
      </c>
      <c r="B331" t="s">
        <v>895</v>
      </c>
      <c r="C331" t="s">
        <v>995</v>
      </c>
      <c r="D331" s="19">
        <v>6444.43</v>
      </c>
      <c r="E331" t="s">
        <v>502</v>
      </c>
      <c r="F331" t="s">
        <v>277</v>
      </c>
      <c r="G331" t="s">
        <v>171</v>
      </c>
      <c r="H331" t="s">
        <v>993</v>
      </c>
      <c r="I331" t="s">
        <v>416</v>
      </c>
    </row>
    <row r="332" spans="1:10" x14ac:dyDescent="0.25">
      <c r="A332" t="s">
        <v>996</v>
      </c>
      <c r="B332" t="s">
        <v>895</v>
      </c>
      <c r="C332" t="s">
        <v>997</v>
      </c>
      <c r="D332" s="19">
        <v>1059.18</v>
      </c>
      <c r="E332" t="s">
        <v>502</v>
      </c>
      <c r="F332" t="s">
        <v>277</v>
      </c>
      <c r="G332" t="s">
        <v>171</v>
      </c>
      <c r="H332" t="s">
        <v>993</v>
      </c>
      <c r="I332" t="s">
        <v>416</v>
      </c>
    </row>
    <row r="333" spans="1:10" x14ac:dyDescent="0.25">
      <c r="A333" t="s">
        <v>998</v>
      </c>
      <c r="B333" t="s">
        <v>895</v>
      </c>
      <c r="C333" t="s">
        <v>999</v>
      </c>
      <c r="D333" s="19">
        <v>1.4</v>
      </c>
      <c r="E333" t="s">
        <v>1000</v>
      </c>
      <c r="F333" t="s">
        <v>277</v>
      </c>
      <c r="G333" t="s">
        <v>171</v>
      </c>
      <c r="H333" t="s">
        <v>993</v>
      </c>
      <c r="I333" t="s">
        <v>416</v>
      </c>
    </row>
    <row r="334" spans="1:10" x14ac:dyDescent="0.25">
      <c r="A334" t="s">
        <v>1001</v>
      </c>
      <c r="B334" t="s">
        <v>895</v>
      </c>
      <c r="C334" t="s">
        <v>1002</v>
      </c>
      <c r="D334" s="19">
        <v>1.33</v>
      </c>
      <c r="E334" t="s">
        <v>1000</v>
      </c>
      <c r="F334" t="s">
        <v>277</v>
      </c>
      <c r="G334" t="s">
        <v>171</v>
      </c>
      <c r="H334" t="s">
        <v>993</v>
      </c>
      <c r="I334" t="s">
        <v>416</v>
      </c>
    </row>
    <row r="335" spans="1:10" x14ac:dyDescent="0.25">
      <c r="A335" t="s">
        <v>1003</v>
      </c>
      <c r="B335" t="s">
        <v>895</v>
      </c>
      <c r="C335" t="s">
        <v>1004</v>
      </c>
      <c r="D335" s="19">
        <v>1.4</v>
      </c>
      <c r="E335" t="s">
        <v>1000</v>
      </c>
      <c r="F335" t="s">
        <v>277</v>
      </c>
      <c r="G335" t="s">
        <v>171</v>
      </c>
      <c r="H335" t="s">
        <v>1005</v>
      </c>
      <c r="I335" t="s">
        <v>416</v>
      </c>
    </row>
    <row r="336" spans="1:10" x14ac:dyDescent="0.25">
      <c r="A336" t="s">
        <v>1006</v>
      </c>
      <c r="B336" t="s">
        <v>275</v>
      </c>
      <c r="C336" t="s">
        <v>1007</v>
      </c>
      <c r="D336" s="19">
        <v>488.7</v>
      </c>
      <c r="E336" t="s">
        <v>502</v>
      </c>
      <c r="F336" t="s">
        <v>277</v>
      </c>
      <c r="G336" t="s">
        <v>169</v>
      </c>
      <c r="H336" t="s">
        <v>1008</v>
      </c>
      <c r="I336" t="s">
        <v>416</v>
      </c>
    </row>
    <row r="337" spans="1:9" x14ac:dyDescent="0.25">
      <c r="A337" t="s">
        <v>1009</v>
      </c>
      <c r="B337" t="s">
        <v>275</v>
      </c>
      <c r="C337" t="s">
        <v>1010</v>
      </c>
      <c r="D337" s="19">
        <f>Inputs_Sources!$D$244</f>
        <v>5075.8</v>
      </c>
      <c r="E337" t="s">
        <v>502</v>
      </c>
      <c r="F337" t="s">
        <v>277</v>
      </c>
      <c r="G337" t="s">
        <v>169</v>
      </c>
      <c r="H337" t="s">
        <v>1011</v>
      </c>
      <c r="I337" t="s">
        <v>416</v>
      </c>
    </row>
    <row r="338" spans="1:9" x14ac:dyDescent="0.25">
      <c r="A338" t="s">
        <v>1012</v>
      </c>
      <c r="B338" t="s">
        <v>275</v>
      </c>
      <c r="C338" t="s">
        <v>1013</v>
      </c>
      <c r="D338" s="19">
        <f>Inputs_Sources!$D$243</f>
        <v>458.6</v>
      </c>
      <c r="E338" t="s">
        <v>502</v>
      </c>
      <c r="F338" t="s">
        <v>277</v>
      </c>
      <c r="G338" t="s">
        <v>169</v>
      </c>
      <c r="H338" t="s">
        <v>1014</v>
      </c>
      <c r="I338" t="s">
        <v>416</v>
      </c>
    </row>
    <row r="339" spans="1:9" x14ac:dyDescent="0.25">
      <c r="A339" t="s">
        <v>1015</v>
      </c>
      <c r="B339" t="s">
        <v>275</v>
      </c>
      <c r="C339" t="s">
        <v>1016</v>
      </c>
      <c r="D339" s="19">
        <v>5032.6000000000004</v>
      </c>
      <c r="E339" t="s">
        <v>502</v>
      </c>
      <c r="F339" t="s">
        <v>277</v>
      </c>
      <c r="G339" t="s">
        <v>171</v>
      </c>
      <c r="H339" t="s">
        <v>1017</v>
      </c>
      <c r="I339" t="s">
        <v>416</v>
      </c>
    </row>
    <row r="340" spans="1:9" x14ac:dyDescent="0.25">
      <c r="A340" t="s">
        <v>1018</v>
      </c>
      <c r="B340" t="s">
        <v>275</v>
      </c>
      <c r="C340" t="s">
        <v>1019</v>
      </c>
      <c r="D340" s="19">
        <v>432.4</v>
      </c>
      <c r="E340" t="s">
        <v>502</v>
      </c>
      <c r="F340" t="s">
        <v>277</v>
      </c>
      <c r="G340" t="s">
        <v>171</v>
      </c>
      <c r="H340" t="s">
        <v>1017</v>
      </c>
      <c r="I340" t="s">
        <v>416</v>
      </c>
    </row>
    <row r="341" spans="1:9" x14ac:dyDescent="0.25">
      <c r="A341" t="s">
        <v>1020</v>
      </c>
      <c r="B341" t="s">
        <v>275</v>
      </c>
      <c r="C341" t="s">
        <v>1021</v>
      </c>
      <c r="D341" s="19">
        <v>157</v>
      </c>
      <c r="E341" t="s">
        <v>502</v>
      </c>
      <c r="F341" t="s">
        <v>277</v>
      </c>
      <c r="G341" t="s">
        <v>171</v>
      </c>
      <c r="H341" t="s">
        <v>1022</v>
      </c>
      <c r="I341" t="s">
        <v>416</v>
      </c>
    </row>
    <row r="342" spans="1:9" x14ac:dyDescent="0.25">
      <c r="A342" t="s">
        <v>1023</v>
      </c>
      <c r="B342" t="s">
        <v>275</v>
      </c>
      <c r="C342" t="s">
        <v>1024</v>
      </c>
      <c r="D342" s="19">
        <v>221.1</v>
      </c>
      <c r="E342" t="s">
        <v>502</v>
      </c>
      <c r="F342" t="s">
        <v>277</v>
      </c>
      <c r="G342" t="s">
        <v>171</v>
      </c>
      <c r="H342" t="s">
        <v>1022</v>
      </c>
      <c r="I342" t="s">
        <v>416</v>
      </c>
    </row>
    <row r="343" spans="1:9" x14ac:dyDescent="0.25">
      <c r="A343" t="s">
        <v>1025</v>
      </c>
      <c r="B343" t="s">
        <v>275</v>
      </c>
      <c r="C343" t="s">
        <v>1026</v>
      </c>
      <c r="D343" s="40"/>
      <c r="F343" t="s">
        <v>277</v>
      </c>
      <c r="G343" t="s">
        <v>579</v>
      </c>
      <c r="H343" t="s">
        <v>1027</v>
      </c>
      <c r="I343" t="s">
        <v>416</v>
      </c>
    </row>
    <row r="344" spans="1:9" x14ac:dyDescent="0.25">
      <c r="A344" t="s">
        <v>1028</v>
      </c>
      <c r="B344" t="s">
        <v>275</v>
      </c>
      <c r="C344" t="s">
        <v>1029</v>
      </c>
      <c r="D344" s="40"/>
      <c r="F344" t="s">
        <v>277</v>
      </c>
      <c r="G344" t="s">
        <v>579</v>
      </c>
      <c r="H344" t="s">
        <v>1027</v>
      </c>
      <c r="I344" t="s">
        <v>416</v>
      </c>
    </row>
    <row r="345" spans="1:9" x14ac:dyDescent="0.25">
      <c r="A345" t="s">
        <v>1030</v>
      </c>
      <c r="B345" t="s">
        <v>275</v>
      </c>
      <c r="C345" t="s">
        <v>1031</v>
      </c>
      <c r="D345" s="40"/>
      <c r="F345" t="s">
        <v>277</v>
      </c>
      <c r="G345" t="s">
        <v>579</v>
      </c>
      <c r="H345" t="s">
        <v>1027</v>
      </c>
      <c r="I345" t="s">
        <v>416</v>
      </c>
    </row>
    <row r="346" spans="1:9" x14ac:dyDescent="0.25">
      <c r="A346" t="s">
        <v>1032</v>
      </c>
      <c r="B346" t="s">
        <v>275</v>
      </c>
      <c r="C346" t="s">
        <v>1033</v>
      </c>
      <c r="D346" s="19">
        <v>6.11</v>
      </c>
      <c r="E346" t="s">
        <v>1000</v>
      </c>
      <c r="F346" t="s">
        <v>277</v>
      </c>
      <c r="G346" t="s">
        <v>171</v>
      </c>
      <c r="H346" t="s">
        <v>1034</v>
      </c>
      <c r="I346" t="s">
        <v>416</v>
      </c>
    </row>
    <row r="347" spans="1:9" x14ac:dyDescent="0.25">
      <c r="A347" t="s">
        <v>1035</v>
      </c>
      <c r="B347" t="s">
        <v>275</v>
      </c>
      <c r="C347" t="s">
        <v>1036</v>
      </c>
      <c r="D347" s="19">
        <v>5.55</v>
      </c>
      <c r="E347" t="s">
        <v>1000</v>
      </c>
      <c r="F347" t="s">
        <v>277</v>
      </c>
      <c r="G347" t="s">
        <v>171</v>
      </c>
      <c r="H347" t="s">
        <v>1034</v>
      </c>
      <c r="I347" t="s">
        <v>416</v>
      </c>
    </row>
    <row r="348" spans="1:9" x14ac:dyDescent="0.25">
      <c r="A348" t="s">
        <v>1037</v>
      </c>
      <c r="B348" t="s">
        <v>275</v>
      </c>
      <c r="C348" t="s">
        <v>1038</v>
      </c>
      <c r="D348" s="19">
        <v>10.88</v>
      </c>
      <c r="E348" t="s">
        <v>1000</v>
      </c>
      <c r="F348" t="s">
        <v>277</v>
      </c>
      <c r="G348" t="s">
        <v>171</v>
      </c>
      <c r="H348" t="s">
        <v>1034</v>
      </c>
      <c r="I348" t="s">
        <v>416</v>
      </c>
    </row>
    <row r="349" spans="1:9" x14ac:dyDescent="0.25">
      <c r="A349" t="s">
        <v>1039</v>
      </c>
      <c r="B349" t="s">
        <v>275</v>
      </c>
      <c r="C349" t="s">
        <v>1040</v>
      </c>
      <c r="D349" s="19">
        <v>11.93</v>
      </c>
      <c r="E349" t="s">
        <v>1000</v>
      </c>
      <c r="F349" t="s">
        <v>277</v>
      </c>
      <c r="G349" t="s">
        <v>171</v>
      </c>
      <c r="H349" t="s">
        <v>1034</v>
      </c>
      <c r="I349" t="s">
        <v>416</v>
      </c>
    </row>
    <row r="350" spans="1:9" x14ac:dyDescent="0.25">
      <c r="A350" t="s">
        <v>1041</v>
      </c>
      <c r="B350" t="s">
        <v>275</v>
      </c>
      <c r="C350" t="s">
        <v>1042</v>
      </c>
      <c r="D350" s="19">
        <v>22.23</v>
      </c>
      <c r="E350" t="s">
        <v>1000</v>
      </c>
      <c r="F350" t="s">
        <v>277</v>
      </c>
      <c r="G350" t="s">
        <v>171</v>
      </c>
      <c r="H350" t="s">
        <v>1034</v>
      </c>
      <c r="I350" t="s">
        <v>416</v>
      </c>
    </row>
    <row r="351" spans="1:9" x14ac:dyDescent="0.25">
      <c r="A351" t="s">
        <v>1043</v>
      </c>
      <c r="B351" t="s">
        <v>275</v>
      </c>
      <c r="C351" t="s">
        <v>1044</v>
      </c>
      <c r="D351" s="19">
        <v>21.93</v>
      </c>
      <c r="E351" t="s">
        <v>1000</v>
      </c>
      <c r="F351" t="s">
        <v>277</v>
      </c>
      <c r="G351" t="s">
        <v>171</v>
      </c>
      <c r="H351" t="s">
        <v>1034</v>
      </c>
      <c r="I351" t="s">
        <v>416</v>
      </c>
    </row>
    <row r="352" spans="1:9" x14ac:dyDescent="0.25">
      <c r="A352" t="s">
        <v>1045</v>
      </c>
      <c r="B352" t="s">
        <v>275</v>
      </c>
      <c r="C352" t="s">
        <v>1046</v>
      </c>
      <c r="D352" s="19">
        <v>24.75</v>
      </c>
      <c r="E352" t="s">
        <v>1000</v>
      </c>
      <c r="F352" t="s">
        <v>277</v>
      </c>
      <c r="G352" t="s">
        <v>171</v>
      </c>
      <c r="H352" t="s">
        <v>1034</v>
      </c>
      <c r="I352" t="s">
        <v>416</v>
      </c>
    </row>
    <row r="353" spans="1:9" x14ac:dyDescent="0.25">
      <c r="A353" t="s">
        <v>1047</v>
      </c>
      <c r="B353" t="s">
        <v>275</v>
      </c>
      <c r="C353" t="s">
        <v>1048</v>
      </c>
      <c r="D353" s="19">
        <v>0.87</v>
      </c>
      <c r="E353" t="s">
        <v>1000</v>
      </c>
      <c r="F353" t="s">
        <v>277</v>
      </c>
      <c r="G353" t="s">
        <v>171</v>
      </c>
      <c r="H353" t="s">
        <v>1049</v>
      </c>
      <c r="I353" t="s">
        <v>416</v>
      </c>
    </row>
    <row r="354" spans="1:9" x14ac:dyDescent="0.25">
      <c r="A354" t="s">
        <v>1050</v>
      </c>
      <c r="B354" t="s">
        <v>275</v>
      </c>
      <c r="C354" t="s">
        <v>1051</v>
      </c>
      <c r="D354" s="19">
        <v>0.95</v>
      </c>
      <c r="E354" t="s">
        <v>1000</v>
      </c>
      <c r="F354" t="s">
        <v>277</v>
      </c>
      <c r="G354" t="s">
        <v>171</v>
      </c>
      <c r="H354" t="s">
        <v>1052</v>
      </c>
      <c r="I354" t="s">
        <v>416</v>
      </c>
    </row>
    <row r="355" spans="1:9" x14ac:dyDescent="0.25">
      <c r="A355" t="s">
        <v>1053</v>
      </c>
      <c r="B355" t="s">
        <v>275</v>
      </c>
      <c r="C355" t="s">
        <v>1054</v>
      </c>
      <c r="D355" s="19">
        <v>0.98</v>
      </c>
      <c r="E355" t="s">
        <v>1000</v>
      </c>
      <c r="F355" t="s">
        <v>277</v>
      </c>
      <c r="G355" t="s">
        <v>171</v>
      </c>
      <c r="H355" t="s">
        <v>1055</v>
      </c>
      <c r="I355" t="s">
        <v>416</v>
      </c>
    </row>
    <row r="356" spans="1:9" x14ac:dyDescent="0.25">
      <c r="A356" t="s">
        <v>1056</v>
      </c>
      <c r="B356" t="s">
        <v>275</v>
      </c>
      <c r="C356" t="s">
        <v>1057</v>
      </c>
      <c r="D356" s="19">
        <v>2526.3000000000002</v>
      </c>
      <c r="E356" t="s">
        <v>502</v>
      </c>
      <c r="F356" t="s">
        <v>277</v>
      </c>
      <c r="G356" t="s">
        <v>171</v>
      </c>
      <c r="H356" t="s">
        <v>1058</v>
      </c>
      <c r="I356" t="s">
        <v>416</v>
      </c>
    </row>
    <row r="357" spans="1:9" x14ac:dyDescent="0.25">
      <c r="A357" t="s">
        <v>1059</v>
      </c>
      <c r="B357" t="s">
        <v>275</v>
      </c>
      <c r="C357" t="s">
        <v>1060</v>
      </c>
      <c r="D357" s="19">
        <v>2568.9</v>
      </c>
      <c r="E357" t="s">
        <v>502</v>
      </c>
      <c r="F357" t="s">
        <v>277</v>
      </c>
      <c r="G357" t="s">
        <v>171</v>
      </c>
      <c r="H357" t="s">
        <v>1061</v>
      </c>
      <c r="I357" t="s">
        <v>416</v>
      </c>
    </row>
    <row r="358" spans="1:9" x14ac:dyDescent="0.25">
      <c r="A358" t="s">
        <v>1062</v>
      </c>
      <c r="B358" t="s">
        <v>275</v>
      </c>
      <c r="C358" t="s">
        <v>1063</v>
      </c>
      <c r="D358" s="19">
        <v>47.77</v>
      </c>
      <c r="E358" t="s">
        <v>168</v>
      </c>
      <c r="F358" t="s">
        <v>277</v>
      </c>
      <c r="G358" t="s">
        <v>171</v>
      </c>
      <c r="H358" t="s">
        <v>1064</v>
      </c>
      <c r="I358" t="s">
        <v>416</v>
      </c>
    </row>
    <row r="359" spans="1:9" x14ac:dyDescent="0.25">
      <c r="A359" t="s">
        <v>1065</v>
      </c>
      <c r="B359" t="s">
        <v>275</v>
      </c>
      <c r="C359" t="s">
        <v>1066</v>
      </c>
      <c r="D359" s="19">
        <v>47.17</v>
      </c>
      <c r="E359" t="s">
        <v>168</v>
      </c>
      <c r="F359" t="s">
        <v>277</v>
      </c>
      <c r="G359" t="s">
        <v>171</v>
      </c>
      <c r="H359" t="s">
        <v>1064</v>
      </c>
      <c r="I359" t="s">
        <v>416</v>
      </c>
    </row>
    <row r="360" spans="1:9" x14ac:dyDescent="0.25">
      <c r="A360" t="s">
        <v>1067</v>
      </c>
      <c r="B360" t="s">
        <v>275</v>
      </c>
      <c r="C360" t="s">
        <v>1068</v>
      </c>
      <c r="D360" s="19">
        <v>48.1</v>
      </c>
      <c r="E360" t="s">
        <v>168</v>
      </c>
      <c r="F360" t="s">
        <v>277</v>
      </c>
      <c r="G360" t="s">
        <v>171</v>
      </c>
      <c r="H360" t="s">
        <v>1064</v>
      </c>
      <c r="I360" t="s">
        <v>416</v>
      </c>
    </row>
    <row r="361" spans="1:9" x14ac:dyDescent="0.25">
      <c r="A361" t="s">
        <v>1069</v>
      </c>
      <c r="B361" t="s">
        <v>275</v>
      </c>
      <c r="C361" t="s">
        <v>1070</v>
      </c>
      <c r="D361" s="19">
        <v>220.77</v>
      </c>
      <c r="E361" t="s">
        <v>502</v>
      </c>
      <c r="F361" t="s">
        <v>277</v>
      </c>
      <c r="G361" t="s">
        <v>171</v>
      </c>
      <c r="H361" t="s">
        <v>1071</v>
      </c>
      <c r="I361" t="s">
        <v>416</v>
      </c>
    </row>
    <row r="362" spans="1:9" x14ac:dyDescent="0.25">
      <c r="A362" t="s">
        <v>1072</v>
      </c>
      <c r="B362" t="s">
        <v>275</v>
      </c>
      <c r="C362" t="s">
        <v>1073</v>
      </c>
      <c r="D362" s="19">
        <v>179.9</v>
      </c>
      <c r="E362" t="s">
        <v>502</v>
      </c>
      <c r="F362" t="s">
        <v>277</v>
      </c>
      <c r="G362" t="s">
        <v>171</v>
      </c>
      <c r="H362" t="s">
        <v>1071</v>
      </c>
      <c r="I362" t="s">
        <v>416</v>
      </c>
    </row>
    <row r="363" spans="1:9" x14ac:dyDescent="0.25">
      <c r="A363" t="s">
        <v>1074</v>
      </c>
      <c r="B363" t="s">
        <v>275</v>
      </c>
      <c r="C363" t="s">
        <v>1075</v>
      </c>
      <c r="D363" s="19">
        <v>177</v>
      </c>
      <c r="E363" t="s">
        <v>502</v>
      </c>
      <c r="F363" t="s">
        <v>277</v>
      </c>
      <c r="G363" t="s">
        <v>171</v>
      </c>
      <c r="H363" t="s">
        <v>1071</v>
      </c>
      <c r="I363" t="s">
        <v>416</v>
      </c>
    </row>
    <row r="364" spans="1:9" x14ac:dyDescent="0.25">
      <c r="A364" t="s">
        <v>1076</v>
      </c>
      <c r="B364" t="s">
        <v>275</v>
      </c>
      <c r="C364" t="s">
        <v>1077</v>
      </c>
      <c r="D364" s="19">
        <v>0.62</v>
      </c>
      <c r="E364" t="s">
        <v>1000</v>
      </c>
      <c r="F364" t="s">
        <v>277</v>
      </c>
      <c r="G364" t="s">
        <v>171</v>
      </c>
      <c r="H364" t="s">
        <v>1078</v>
      </c>
      <c r="I364" t="s">
        <v>416</v>
      </c>
    </row>
    <row r="365" spans="1:9" x14ac:dyDescent="0.25">
      <c r="A365" t="s">
        <v>1079</v>
      </c>
      <c r="B365" t="s">
        <v>275</v>
      </c>
      <c r="C365" t="s">
        <v>1080</v>
      </c>
      <c r="D365" s="19">
        <v>0.5</v>
      </c>
      <c r="E365" t="s">
        <v>1000</v>
      </c>
      <c r="F365" t="s">
        <v>277</v>
      </c>
      <c r="G365" t="s">
        <v>171</v>
      </c>
      <c r="H365" t="s">
        <v>1078</v>
      </c>
      <c r="I365" t="s">
        <v>416</v>
      </c>
    </row>
    <row r="366" spans="1:9" x14ac:dyDescent="0.25">
      <c r="A366" t="s">
        <v>1081</v>
      </c>
      <c r="B366" t="s">
        <v>275</v>
      </c>
      <c r="C366" t="s">
        <v>1082</v>
      </c>
      <c r="D366" s="19">
        <v>0.5</v>
      </c>
      <c r="E366" t="s">
        <v>1000</v>
      </c>
      <c r="F366" t="s">
        <v>277</v>
      </c>
      <c r="G366" t="s">
        <v>171</v>
      </c>
      <c r="H366" t="s">
        <v>1078</v>
      </c>
      <c r="I366" t="s">
        <v>416</v>
      </c>
    </row>
    <row r="367" spans="1:9" x14ac:dyDescent="0.25">
      <c r="A367" t="s">
        <v>1083</v>
      </c>
      <c r="B367" t="s">
        <v>275</v>
      </c>
      <c r="C367" t="s">
        <v>1084</v>
      </c>
      <c r="D367" s="19">
        <v>119.81</v>
      </c>
      <c r="E367" t="s">
        <v>502</v>
      </c>
      <c r="F367" t="s">
        <v>277</v>
      </c>
      <c r="G367" t="s">
        <v>171</v>
      </c>
      <c r="H367" t="s">
        <v>1085</v>
      </c>
      <c r="I367" t="s">
        <v>416</v>
      </c>
    </row>
    <row r="368" spans="1:9" x14ac:dyDescent="0.25">
      <c r="A368" t="s">
        <v>1086</v>
      </c>
      <c r="B368" t="s">
        <v>275</v>
      </c>
      <c r="C368" t="s">
        <v>1087</v>
      </c>
      <c r="D368" s="19">
        <v>123.98</v>
      </c>
      <c r="E368" t="s">
        <v>502</v>
      </c>
      <c r="F368" t="s">
        <v>277</v>
      </c>
      <c r="G368" t="s">
        <v>171</v>
      </c>
      <c r="H368" t="s">
        <v>1085</v>
      </c>
      <c r="I368" t="s">
        <v>416</v>
      </c>
    </row>
    <row r="369" spans="1:9" x14ac:dyDescent="0.25">
      <c r="A369" t="s">
        <v>1088</v>
      </c>
      <c r="B369" t="s">
        <v>275</v>
      </c>
      <c r="C369" t="s">
        <v>1089</v>
      </c>
      <c r="D369" s="19">
        <v>123.86</v>
      </c>
      <c r="E369" t="s">
        <v>502</v>
      </c>
      <c r="F369" t="s">
        <v>277</v>
      </c>
      <c r="G369" t="s">
        <v>171</v>
      </c>
      <c r="H369" t="s">
        <v>1085</v>
      </c>
      <c r="I369" t="s">
        <v>416</v>
      </c>
    </row>
    <row r="370" spans="1:9" x14ac:dyDescent="0.25">
      <c r="A370" t="s">
        <v>1090</v>
      </c>
      <c r="B370" t="s">
        <v>275</v>
      </c>
      <c r="C370" t="s">
        <v>1091</v>
      </c>
      <c r="D370" s="19">
        <v>5075.79</v>
      </c>
      <c r="E370" t="s">
        <v>502</v>
      </c>
      <c r="F370" t="s">
        <v>277</v>
      </c>
      <c r="G370" t="s">
        <v>171</v>
      </c>
      <c r="H370" t="s">
        <v>1092</v>
      </c>
      <c r="I370" t="s">
        <v>416</v>
      </c>
    </row>
    <row r="371" spans="1:9" x14ac:dyDescent="0.25">
      <c r="A371" t="s">
        <v>1093</v>
      </c>
      <c r="B371" t="s">
        <v>275</v>
      </c>
      <c r="C371" t="s">
        <v>1094</v>
      </c>
      <c r="D371" s="19">
        <v>5058.25</v>
      </c>
      <c r="E371" t="s">
        <v>502</v>
      </c>
      <c r="F371" t="s">
        <v>277</v>
      </c>
      <c r="G371" t="s">
        <v>171</v>
      </c>
      <c r="H371" t="s">
        <v>1092</v>
      </c>
      <c r="I371" t="s">
        <v>416</v>
      </c>
    </row>
    <row r="372" spans="1:9" x14ac:dyDescent="0.25">
      <c r="A372" t="s">
        <v>1095</v>
      </c>
      <c r="B372" t="s">
        <v>275</v>
      </c>
      <c r="C372" t="s">
        <v>1096</v>
      </c>
      <c r="D372" s="19">
        <v>5032.6000000000004</v>
      </c>
      <c r="E372" t="s">
        <v>502</v>
      </c>
      <c r="F372" t="s">
        <v>277</v>
      </c>
      <c r="G372" t="s">
        <v>171</v>
      </c>
      <c r="H372" t="s">
        <v>1092</v>
      </c>
      <c r="I372" t="s">
        <v>416</v>
      </c>
    </row>
    <row r="373" spans="1:9" x14ac:dyDescent="0.25">
      <c r="A373" t="s">
        <v>1097</v>
      </c>
      <c r="B373" t="s">
        <v>895</v>
      </c>
      <c r="C373" t="s">
        <v>1098</v>
      </c>
      <c r="D373" s="40"/>
      <c r="E373" t="s">
        <v>502</v>
      </c>
      <c r="F373" t="s">
        <v>277</v>
      </c>
      <c r="G373" t="s">
        <v>579</v>
      </c>
      <c r="H373" t="s">
        <v>1099</v>
      </c>
      <c r="I373" t="s">
        <v>416</v>
      </c>
    </row>
    <row r="374" spans="1:9" x14ac:dyDescent="0.25">
      <c r="A374" t="s">
        <v>1100</v>
      </c>
      <c r="B374" t="s">
        <v>895</v>
      </c>
      <c r="C374" t="s">
        <v>1010</v>
      </c>
      <c r="D374" s="19">
        <v>6648.35</v>
      </c>
      <c r="E374" t="s">
        <v>502</v>
      </c>
      <c r="F374" t="s">
        <v>277</v>
      </c>
      <c r="G374" t="s">
        <v>171</v>
      </c>
      <c r="H374" t="s">
        <v>1101</v>
      </c>
      <c r="I374" t="s">
        <v>416</v>
      </c>
    </row>
    <row r="375" spans="1:9" x14ac:dyDescent="0.25">
      <c r="A375" t="s">
        <v>1102</v>
      </c>
      <c r="B375" t="s">
        <v>895</v>
      </c>
      <c r="C375" t="s">
        <v>1013</v>
      </c>
      <c r="D375" s="19">
        <f>Inputs_Sources!$D$283</f>
        <v>1111.3699999999999</v>
      </c>
      <c r="E375" t="s">
        <v>502</v>
      </c>
      <c r="F375" t="s">
        <v>277</v>
      </c>
      <c r="G375" t="s">
        <v>169</v>
      </c>
      <c r="H375" t="s">
        <v>1103</v>
      </c>
      <c r="I375" t="s">
        <v>416</v>
      </c>
    </row>
    <row r="376" spans="1:9" x14ac:dyDescent="0.25">
      <c r="A376" t="s">
        <v>1104</v>
      </c>
      <c r="B376" t="s">
        <v>895</v>
      </c>
      <c r="C376" t="s">
        <v>1016</v>
      </c>
      <c r="D376" s="19">
        <v>6615.66</v>
      </c>
      <c r="E376" t="s">
        <v>502</v>
      </c>
      <c r="F376" t="s">
        <v>277</v>
      </c>
      <c r="G376" t="s">
        <v>171</v>
      </c>
      <c r="H376" t="s">
        <v>1105</v>
      </c>
      <c r="I376" t="s">
        <v>416</v>
      </c>
    </row>
    <row r="377" spans="1:9" x14ac:dyDescent="0.25">
      <c r="A377" t="s">
        <v>1106</v>
      </c>
      <c r="B377" t="s">
        <v>895</v>
      </c>
      <c r="C377" t="s">
        <v>1019</v>
      </c>
      <c r="D377" s="19">
        <v>1101.24</v>
      </c>
      <c r="E377" t="s">
        <v>502</v>
      </c>
      <c r="F377" t="s">
        <v>277</v>
      </c>
      <c r="G377" t="s">
        <v>171</v>
      </c>
      <c r="H377" t="s">
        <v>1107</v>
      </c>
      <c r="I377" t="s">
        <v>416</v>
      </c>
    </row>
    <row r="378" spans="1:9" x14ac:dyDescent="0.25">
      <c r="A378" t="s">
        <v>1108</v>
      </c>
      <c r="B378" t="s">
        <v>895</v>
      </c>
      <c r="C378" t="s">
        <v>1021</v>
      </c>
      <c r="D378" s="40"/>
      <c r="E378" t="s">
        <v>502</v>
      </c>
      <c r="F378" t="s">
        <v>277</v>
      </c>
      <c r="G378" t="s">
        <v>579</v>
      </c>
      <c r="H378" t="s">
        <v>1109</v>
      </c>
      <c r="I378" t="s">
        <v>416</v>
      </c>
    </row>
    <row r="379" spans="1:9" x14ac:dyDescent="0.25">
      <c r="A379" t="s">
        <v>1110</v>
      </c>
      <c r="B379" t="s">
        <v>895</v>
      </c>
      <c r="C379" t="s">
        <v>1024</v>
      </c>
      <c r="D379" s="40"/>
      <c r="E379" t="s">
        <v>502</v>
      </c>
      <c r="F379" t="s">
        <v>277</v>
      </c>
      <c r="G379" t="s">
        <v>579</v>
      </c>
      <c r="H379" t="s">
        <v>1109</v>
      </c>
      <c r="I379" t="s">
        <v>416</v>
      </c>
    </row>
    <row r="380" spans="1:9" x14ac:dyDescent="0.25">
      <c r="A380" t="s">
        <v>1111</v>
      </c>
      <c r="B380" t="s">
        <v>895</v>
      </c>
      <c r="C380" t="s">
        <v>1026</v>
      </c>
      <c r="D380" s="40"/>
      <c r="F380" t="s">
        <v>277</v>
      </c>
      <c r="G380" t="s">
        <v>579</v>
      </c>
      <c r="H380" t="s">
        <v>1027</v>
      </c>
      <c r="I380" t="s">
        <v>416</v>
      </c>
    </row>
    <row r="381" spans="1:9" x14ac:dyDescent="0.25">
      <c r="A381" t="s">
        <v>1112</v>
      </c>
      <c r="B381" t="s">
        <v>895</v>
      </c>
      <c r="C381" t="s">
        <v>1029</v>
      </c>
      <c r="D381" s="40"/>
      <c r="F381" t="s">
        <v>277</v>
      </c>
      <c r="G381" t="s">
        <v>579</v>
      </c>
      <c r="H381" t="s">
        <v>1027</v>
      </c>
      <c r="I381" t="s">
        <v>416</v>
      </c>
    </row>
    <row r="382" spans="1:9" x14ac:dyDescent="0.25">
      <c r="A382" t="s">
        <v>1113</v>
      </c>
      <c r="B382" t="s">
        <v>895</v>
      </c>
      <c r="C382" t="s">
        <v>1031</v>
      </c>
      <c r="D382" s="40"/>
      <c r="F382" t="s">
        <v>277</v>
      </c>
      <c r="G382" t="s">
        <v>579</v>
      </c>
      <c r="H382" t="s">
        <v>1027</v>
      </c>
      <c r="I382" t="s">
        <v>416</v>
      </c>
    </row>
    <row r="383" spans="1:9" x14ac:dyDescent="0.25">
      <c r="A383" t="s">
        <v>1114</v>
      </c>
      <c r="B383" t="s">
        <v>895</v>
      </c>
      <c r="C383" t="s">
        <v>1033</v>
      </c>
      <c r="D383" s="19">
        <v>13.09</v>
      </c>
      <c r="E383" t="s">
        <v>1000</v>
      </c>
      <c r="F383" t="s">
        <v>277</v>
      </c>
      <c r="G383" t="s">
        <v>171</v>
      </c>
      <c r="H383" t="s">
        <v>1034</v>
      </c>
      <c r="I383" t="s">
        <v>416</v>
      </c>
    </row>
    <row r="384" spans="1:9" x14ac:dyDescent="0.25">
      <c r="A384" t="s">
        <v>1115</v>
      </c>
      <c r="B384" t="s">
        <v>895</v>
      </c>
      <c r="C384" t="s">
        <v>1036</v>
      </c>
      <c r="D384" s="19">
        <v>13.03</v>
      </c>
      <c r="E384" t="s">
        <v>1000</v>
      </c>
      <c r="F384" t="s">
        <v>277</v>
      </c>
      <c r="G384" t="s">
        <v>171</v>
      </c>
      <c r="H384" t="s">
        <v>1034</v>
      </c>
      <c r="I384" t="s">
        <v>416</v>
      </c>
    </row>
    <row r="385" spans="1:9" x14ac:dyDescent="0.25">
      <c r="A385" t="s">
        <v>1116</v>
      </c>
      <c r="B385" t="s">
        <v>895</v>
      </c>
      <c r="C385" t="s">
        <v>1038</v>
      </c>
      <c r="D385" s="19">
        <v>17.23</v>
      </c>
      <c r="E385" t="s">
        <v>1000</v>
      </c>
      <c r="F385" t="s">
        <v>277</v>
      </c>
      <c r="G385" t="s">
        <v>171</v>
      </c>
      <c r="H385" t="s">
        <v>1034</v>
      </c>
      <c r="I385" t="s">
        <v>416</v>
      </c>
    </row>
    <row r="386" spans="1:9" x14ac:dyDescent="0.25">
      <c r="A386" t="s">
        <v>1117</v>
      </c>
      <c r="B386" t="s">
        <v>895</v>
      </c>
      <c r="C386" t="s">
        <v>1040</v>
      </c>
      <c r="D386" s="19">
        <v>16.989999999999998</v>
      </c>
      <c r="E386" t="s">
        <v>1000</v>
      </c>
      <c r="F386" t="s">
        <v>277</v>
      </c>
      <c r="G386" t="s">
        <v>171</v>
      </c>
      <c r="H386" t="s">
        <v>1034</v>
      </c>
      <c r="I386" t="s">
        <v>416</v>
      </c>
    </row>
    <row r="387" spans="1:9" x14ac:dyDescent="0.25">
      <c r="A387" t="s">
        <v>1118</v>
      </c>
      <c r="B387" t="s">
        <v>895</v>
      </c>
      <c r="C387" t="s">
        <v>1042</v>
      </c>
      <c r="D387" s="19">
        <v>17.239999999999998</v>
      </c>
      <c r="E387" t="s">
        <v>1000</v>
      </c>
      <c r="F387" t="s">
        <v>277</v>
      </c>
      <c r="G387" t="s">
        <v>171</v>
      </c>
      <c r="H387" t="s">
        <v>1034</v>
      </c>
      <c r="I387" t="s">
        <v>416</v>
      </c>
    </row>
    <row r="388" spans="1:9" x14ac:dyDescent="0.25">
      <c r="A388" t="s">
        <v>1119</v>
      </c>
      <c r="B388" t="s">
        <v>895</v>
      </c>
      <c r="C388" t="s">
        <v>1044</v>
      </c>
      <c r="D388" s="19">
        <v>17.350000000000001</v>
      </c>
      <c r="E388" t="s">
        <v>1000</v>
      </c>
      <c r="F388" t="s">
        <v>277</v>
      </c>
      <c r="G388" t="s">
        <v>171</v>
      </c>
      <c r="H388" t="s">
        <v>1034</v>
      </c>
      <c r="I388" t="s">
        <v>416</v>
      </c>
    </row>
    <row r="389" spans="1:9" x14ac:dyDescent="0.25">
      <c r="A389" t="s">
        <v>1120</v>
      </c>
      <c r="B389" t="s">
        <v>895</v>
      </c>
      <c r="C389" t="s">
        <v>1046</v>
      </c>
      <c r="D389" s="19">
        <v>11.76</v>
      </c>
      <c r="E389" t="s">
        <v>1000</v>
      </c>
      <c r="F389" t="s">
        <v>277</v>
      </c>
      <c r="G389" t="s">
        <v>171</v>
      </c>
      <c r="H389" t="s">
        <v>1034</v>
      </c>
      <c r="I389" t="s">
        <v>416</v>
      </c>
    </row>
    <row r="390" spans="1:9" x14ac:dyDescent="0.25">
      <c r="A390" t="s">
        <v>1121</v>
      </c>
      <c r="B390" t="s">
        <v>895</v>
      </c>
      <c r="C390" t="s">
        <v>1048</v>
      </c>
      <c r="D390" s="19">
        <v>0.32</v>
      </c>
      <c r="E390" t="s">
        <v>1000</v>
      </c>
      <c r="F390" t="s">
        <v>277</v>
      </c>
      <c r="G390" t="s">
        <v>171</v>
      </c>
      <c r="H390" t="s">
        <v>1122</v>
      </c>
      <c r="I390" t="s">
        <v>416</v>
      </c>
    </row>
    <row r="391" spans="1:9" x14ac:dyDescent="0.25">
      <c r="A391" t="s">
        <v>1123</v>
      </c>
      <c r="B391" t="s">
        <v>895</v>
      </c>
      <c r="C391" t="s">
        <v>1051</v>
      </c>
      <c r="D391" s="19">
        <v>0.28000000000000003</v>
      </c>
      <c r="E391" t="s">
        <v>1000</v>
      </c>
      <c r="F391" t="s">
        <v>277</v>
      </c>
      <c r="G391" t="s">
        <v>171</v>
      </c>
      <c r="H391" t="s">
        <v>1052</v>
      </c>
      <c r="I391" t="s">
        <v>416</v>
      </c>
    </row>
    <row r="392" spans="1:9" x14ac:dyDescent="0.25">
      <c r="A392" t="s">
        <v>1124</v>
      </c>
      <c r="B392" t="s">
        <v>895</v>
      </c>
      <c r="C392" t="s">
        <v>1054</v>
      </c>
      <c r="D392" s="19">
        <v>0.32</v>
      </c>
      <c r="E392" t="s">
        <v>1000</v>
      </c>
      <c r="F392" t="s">
        <v>277</v>
      </c>
      <c r="G392" t="s">
        <v>171</v>
      </c>
      <c r="H392" t="s">
        <v>1055</v>
      </c>
      <c r="I392" t="s">
        <v>416</v>
      </c>
    </row>
    <row r="393" spans="1:9" x14ac:dyDescent="0.25">
      <c r="A393" t="s">
        <v>1125</v>
      </c>
      <c r="B393" t="s">
        <v>895</v>
      </c>
      <c r="C393" t="s">
        <v>1057</v>
      </c>
      <c r="D393" s="19">
        <v>2498.6</v>
      </c>
      <c r="E393" t="s">
        <v>502</v>
      </c>
      <c r="F393" t="s">
        <v>277</v>
      </c>
      <c r="G393" t="s">
        <v>171</v>
      </c>
      <c r="H393" t="s">
        <v>1126</v>
      </c>
      <c r="I393" t="s">
        <v>416</v>
      </c>
    </row>
    <row r="394" spans="1:9" x14ac:dyDescent="0.25">
      <c r="A394" t="s">
        <v>1127</v>
      </c>
      <c r="B394" t="s">
        <v>895</v>
      </c>
      <c r="C394" t="s">
        <v>1060</v>
      </c>
      <c r="D394" s="19">
        <v>2492.6999999999998</v>
      </c>
      <c r="E394" t="s">
        <v>502</v>
      </c>
      <c r="F394" t="s">
        <v>277</v>
      </c>
      <c r="G394" t="s">
        <v>171</v>
      </c>
      <c r="H394" t="s">
        <v>1128</v>
      </c>
      <c r="I394" t="s">
        <v>416</v>
      </c>
    </row>
    <row r="395" spans="1:9" x14ac:dyDescent="0.25">
      <c r="A395" t="s">
        <v>1129</v>
      </c>
      <c r="B395" t="s">
        <v>895</v>
      </c>
      <c r="C395" t="s">
        <v>1063</v>
      </c>
      <c r="D395" s="19">
        <v>38.549999999999997</v>
      </c>
      <c r="E395" t="s">
        <v>168</v>
      </c>
      <c r="F395" t="s">
        <v>277</v>
      </c>
      <c r="G395" t="s">
        <v>171</v>
      </c>
      <c r="H395" t="s">
        <v>1064</v>
      </c>
      <c r="I395" t="s">
        <v>416</v>
      </c>
    </row>
    <row r="396" spans="1:9" x14ac:dyDescent="0.25">
      <c r="A396" t="s">
        <v>1130</v>
      </c>
      <c r="B396" t="s">
        <v>895</v>
      </c>
      <c r="C396" t="s">
        <v>1066</v>
      </c>
      <c r="D396" s="19">
        <v>38.549999999999997</v>
      </c>
      <c r="E396" t="s">
        <v>168</v>
      </c>
      <c r="F396" t="s">
        <v>277</v>
      </c>
      <c r="G396" t="s">
        <v>171</v>
      </c>
      <c r="H396" t="s">
        <v>1064</v>
      </c>
      <c r="I396" t="s">
        <v>416</v>
      </c>
    </row>
    <row r="397" spans="1:9" x14ac:dyDescent="0.25">
      <c r="A397" t="s">
        <v>1131</v>
      </c>
      <c r="B397" t="s">
        <v>895</v>
      </c>
      <c r="C397" t="s">
        <v>1068</v>
      </c>
      <c r="D397" s="19">
        <v>38.6</v>
      </c>
      <c r="E397" t="s">
        <v>168</v>
      </c>
      <c r="F397" t="s">
        <v>277</v>
      </c>
      <c r="G397" t="s">
        <v>171</v>
      </c>
      <c r="H397" t="s">
        <v>1064</v>
      </c>
      <c r="I397" t="s">
        <v>416</v>
      </c>
    </row>
    <row r="398" spans="1:9" x14ac:dyDescent="0.25">
      <c r="A398" t="s">
        <v>1132</v>
      </c>
      <c r="B398" t="s">
        <v>895</v>
      </c>
      <c r="C398" t="s">
        <v>1070</v>
      </c>
      <c r="D398" s="19">
        <v>175.03</v>
      </c>
      <c r="E398" t="s">
        <v>502</v>
      </c>
      <c r="F398" t="s">
        <v>277</v>
      </c>
      <c r="G398" t="s">
        <v>171</v>
      </c>
      <c r="H398" t="s">
        <v>1071</v>
      </c>
      <c r="I398" t="s">
        <v>416</v>
      </c>
    </row>
    <row r="399" spans="1:9" x14ac:dyDescent="0.25">
      <c r="A399" t="s">
        <v>1133</v>
      </c>
      <c r="B399" t="s">
        <v>895</v>
      </c>
      <c r="C399" t="s">
        <v>1073</v>
      </c>
      <c r="D399" s="19">
        <v>533.25</v>
      </c>
      <c r="E399" t="s">
        <v>502</v>
      </c>
      <c r="F399" t="s">
        <v>277</v>
      </c>
      <c r="G399" t="s">
        <v>171</v>
      </c>
      <c r="H399" t="s">
        <v>1071</v>
      </c>
      <c r="I399" t="s">
        <v>416</v>
      </c>
    </row>
    <row r="400" spans="1:9" x14ac:dyDescent="0.25">
      <c r="A400" t="s">
        <v>1134</v>
      </c>
      <c r="B400" t="s">
        <v>895</v>
      </c>
      <c r="C400" t="s">
        <v>1075</v>
      </c>
      <c r="D400" s="19">
        <v>530.94000000000005</v>
      </c>
      <c r="E400" t="s">
        <v>502</v>
      </c>
      <c r="F400" t="s">
        <v>277</v>
      </c>
      <c r="G400" t="s">
        <v>171</v>
      </c>
      <c r="H400" t="s">
        <v>1071</v>
      </c>
      <c r="I400" t="s">
        <v>416</v>
      </c>
    </row>
    <row r="401" spans="1:9" x14ac:dyDescent="0.25">
      <c r="A401" t="s">
        <v>1135</v>
      </c>
      <c r="B401" t="s">
        <v>895</v>
      </c>
      <c r="C401" t="s">
        <v>1077</v>
      </c>
      <c r="D401" s="19">
        <v>0.32</v>
      </c>
      <c r="E401" t="s">
        <v>1000</v>
      </c>
      <c r="F401" t="s">
        <v>277</v>
      </c>
      <c r="G401" t="s">
        <v>171</v>
      </c>
      <c r="H401" t="s">
        <v>1078</v>
      </c>
      <c r="I401" t="s">
        <v>416</v>
      </c>
    </row>
    <row r="402" spans="1:9" x14ac:dyDescent="0.25">
      <c r="A402" t="s">
        <v>1136</v>
      </c>
      <c r="B402" t="s">
        <v>895</v>
      </c>
      <c r="C402" t="s">
        <v>1080</v>
      </c>
      <c r="D402" s="19">
        <v>0.31</v>
      </c>
      <c r="E402" t="s">
        <v>1000</v>
      </c>
      <c r="F402" t="s">
        <v>277</v>
      </c>
      <c r="G402" t="s">
        <v>171</v>
      </c>
      <c r="H402" t="s">
        <v>1078</v>
      </c>
      <c r="I402" t="s">
        <v>416</v>
      </c>
    </row>
    <row r="403" spans="1:9" x14ac:dyDescent="0.25">
      <c r="A403" t="s">
        <v>1137</v>
      </c>
      <c r="B403" t="s">
        <v>895</v>
      </c>
      <c r="C403" t="s">
        <v>1082</v>
      </c>
      <c r="D403" s="19">
        <v>0.42</v>
      </c>
      <c r="E403" t="s">
        <v>1000</v>
      </c>
      <c r="F403" t="s">
        <v>277</v>
      </c>
      <c r="G403" t="s">
        <v>171</v>
      </c>
      <c r="H403" t="s">
        <v>1078</v>
      </c>
      <c r="I403" t="s">
        <v>416</v>
      </c>
    </row>
    <row r="404" spans="1:9" x14ac:dyDescent="0.25">
      <c r="A404" t="s">
        <v>1138</v>
      </c>
      <c r="B404" t="s">
        <v>895</v>
      </c>
      <c r="C404" t="s">
        <v>1084</v>
      </c>
      <c r="D404" s="19">
        <v>219.79</v>
      </c>
      <c r="E404" t="s">
        <v>502</v>
      </c>
      <c r="F404" t="s">
        <v>277</v>
      </c>
      <c r="G404" t="s">
        <v>171</v>
      </c>
      <c r="H404" t="s">
        <v>1085</v>
      </c>
      <c r="I404" t="s">
        <v>416</v>
      </c>
    </row>
    <row r="405" spans="1:9" x14ac:dyDescent="0.25">
      <c r="A405" t="s">
        <v>1139</v>
      </c>
      <c r="B405" t="s">
        <v>895</v>
      </c>
      <c r="C405" t="s">
        <v>1087</v>
      </c>
      <c r="D405" s="19">
        <v>236.23</v>
      </c>
      <c r="E405" t="s">
        <v>502</v>
      </c>
      <c r="F405" t="s">
        <v>277</v>
      </c>
      <c r="G405" t="s">
        <v>171</v>
      </c>
      <c r="H405" t="s">
        <v>1085</v>
      </c>
      <c r="I405" t="s">
        <v>416</v>
      </c>
    </row>
    <row r="406" spans="1:9" x14ac:dyDescent="0.25">
      <c r="A406" t="s">
        <v>1140</v>
      </c>
      <c r="B406" t="s">
        <v>895</v>
      </c>
      <c r="C406" t="s">
        <v>1089</v>
      </c>
      <c r="D406" s="19">
        <v>248.4</v>
      </c>
      <c r="E406" t="s">
        <v>502</v>
      </c>
      <c r="F406" t="s">
        <v>277</v>
      </c>
      <c r="G406" t="s">
        <v>171</v>
      </c>
      <c r="H406" t="s">
        <v>1085</v>
      </c>
      <c r="I406" t="s">
        <v>416</v>
      </c>
    </row>
    <row r="407" spans="1:9" x14ac:dyDescent="0.25">
      <c r="A407" t="s">
        <v>1141</v>
      </c>
      <c r="B407" t="s">
        <v>895</v>
      </c>
      <c r="C407" t="s">
        <v>1091</v>
      </c>
      <c r="D407" s="19">
        <v>6648.35</v>
      </c>
      <c r="E407" t="s">
        <v>502</v>
      </c>
      <c r="F407" t="s">
        <v>277</v>
      </c>
      <c r="G407" t="s">
        <v>171</v>
      </c>
      <c r="H407" t="s">
        <v>1092</v>
      </c>
      <c r="I407" t="s">
        <v>416</v>
      </c>
    </row>
    <row r="408" spans="1:9" x14ac:dyDescent="0.25">
      <c r="A408" t="s">
        <v>1142</v>
      </c>
      <c r="B408" t="s">
        <v>895</v>
      </c>
      <c r="C408" t="s">
        <v>1094</v>
      </c>
      <c r="D408" s="19">
        <v>6444.43</v>
      </c>
      <c r="E408" t="s">
        <v>502</v>
      </c>
      <c r="F408" t="s">
        <v>277</v>
      </c>
      <c r="G408" t="s">
        <v>171</v>
      </c>
      <c r="H408" t="s">
        <v>1092</v>
      </c>
      <c r="I408" t="s">
        <v>416</v>
      </c>
    </row>
    <row r="409" spans="1:9" x14ac:dyDescent="0.25">
      <c r="A409" t="s">
        <v>1143</v>
      </c>
      <c r="B409" t="s">
        <v>895</v>
      </c>
      <c r="C409" t="s">
        <v>1096</v>
      </c>
      <c r="D409" s="19">
        <v>6615.66</v>
      </c>
      <c r="E409" t="s">
        <v>502</v>
      </c>
      <c r="F409" t="s">
        <v>277</v>
      </c>
      <c r="G409" t="s">
        <v>171</v>
      </c>
      <c r="H409" t="s">
        <v>1092</v>
      </c>
      <c r="I409" t="s">
        <v>416</v>
      </c>
    </row>
    <row r="410" spans="1:9" x14ac:dyDescent="0.25">
      <c r="A410" t="s">
        <v>1144</v>
      </c>
      <c r="B410" t="s">
        <v>287</v>
      </c>
      <c r="C410" t="s">
        <v>1007</v>
      </c>
      <c r="D410" s="19">
        <v>595.20000000000005</v>
      </c>
      <c r="E410" t="s">
        <v>502</v>
      </c>
      <c r="F410" t="s">
        <v>277</v>
      </c>
      <c r="G410" t="s">
        <v>169</v>
      </c>
      <c r="H410" t="s">
        <v>1145</v>
      </c>
      <c r="I410" t="s">
        <v>416</v>
      </c>
    </row>
    <row r="411" spans="1:9" x14ac:dyDescent="0.25">
      <c r="A411" t="s">
        <v>1146</v>
      </c>
      <c r="B411" t="s">
        <v>287</v>
      </c>
      <c r="C411" t="s">
        <v>1010</v>
      </c>
      <c r="D411" s="19">
        <f>Inputs_Sources!$D$249</f>
        <v>8564.4</v>
      </c>
      <c r="E411" t="s">
        <v>502</v>
      </c>
      <c r="F411" t="s">
        <v>277</v>
      </c>
      <c r="G411" t="s">
        <v>169</v>
      </c>
      <c r="H411" t="s">
        <v>1011</v>
      </c>
      <c r="I411" t="s">
        <v>416</v>
      </c>
    </row>
    <row r="412" spans="1:9" x14ac:dyDescent="0.25">
      <c r="A412" t="s">
        <v>1147</v>
      </c>
      <c r="B412" t="s">
        <v>287</v>
      </c>
      <c r="C412" t="s">
        <v>1013</v>
      </c>
      <c r="D412" s="19">
        <f>Inputs_Sources!$D$248</f>
        <v>700.1</v>
      </c>
      <c r="E412" t="s">
        <v>502</v>
      </c>
      <c r="F412" t="s">
        <v>277</v>
      </c>
      <c r="G412" t="s">
        <v>169</v>
      </c>
      <c r="H412" t="s">
        <v>1014</v>
      </c>
      <c r="I412" t="s">
        <v>416</v>
      </c>
    </row>
    <row r="413" spans="1:9" x14ac:dyDescent="0.25">
      <c r="A413" t="s">
        <v>1148</v>
      </c>
      <c r="B413" t="s">
        <v>287</v>
      </c>
      <c r="C413" t="s">
        <v>1016</v>
      </c>
      <c r="D413" s="19">
        <v>8960.6</v>
      </c>
      <c r="E413" t="s">
        <v>502</v>
      </c>
      <c r="F413" t="s">
        <v>277</v>
      </c>
      <c r="G413" t="s">
        <v>171</v>
      </c>
      <c r="H413" t="s">
        <v>1017</v>
      </c>
      <c r="I413" t="s">
        <v>416</v>
      </c>
    </row>
    <row r="414" spans="1:9" x14ac:dyDescent="0.25">
      <c r="A414" t="s">
        <v>1149</v>
      </c>
      <c r="B414" t="s">
        <v>287</v>
      </c>
      <c r="C414" t="s">
        <v>1019</v>
      </c>
      <c r="D414" s="19">
        <v>765.9</v>
      </c>
      <c r="E414" t="s">
        <v>502</v>
      </c>
      <c r="F414" t="s">
        <v>277</v>
      </c>
      <c r="G414" t="s">
        <v>171</v>
      </c>
      <c r="H414" t="s">
        <v>1017</v>
      </c>
      <c r="I414" t="s">
        <v>416</v>
      </c>
    </row>
    <row r="415" spans="1:9" x14ac:dyDescent="0.25">
      <c r="A415" t="s">
        <v>1150</v>
      </c>
      <c r="B415" t="s">
        <v>287</v>
      </c>
      <c r="C415" t="s">
        <v>1021</v>
      </c>
      <c r="D415" s="19">
        <v>184.1</v>
      </c>
      <c r="E415" t="s">
        <v>502</v>
      </c>
      <c r="F415" t="s">
        <v>277</v>
      </c>
      <c r="G415" t="s">
        <v>171</v>
      </c>
      <c r="H415" t="s">
        <v>1022</v>
      </c>
      <c r="I415" t="s">
        <v>416</v>
      </c>
    </row>
    <row r="416" spans="1:9" x14ac:dyDescent="0.25">
      <c r="A416" t="s">
        <v>1151</v>
      </c>
      <c r="B416" t="s">
        <v>287</v>
      </c>
      <c r="C416" t="s">
        <v>1024</v>
      </c>
      <c r="D416" s="19">
        <v>168.9</v>
      </c>
      <c r="E416" t="s">
        <v>502</v>
      </c>
      <c r="F416" t="s">
        <v>277</v>
      </c>
      <c r="G416" t="s">
        <v>171</v>
      </c>
      <c r="H416" t="s">
        <v>1022</v>
      </c>
      <c r="I416" t="s">
        <v>416</v>
      </c>
    </row>
    <row r="417" spans="1:9" x14ac:dyDescent="0.25">
      <c r="A417" t="s">
        <v>1152</v>
      </c>
      <c r="B417" t="s">
        <v>287</v>
      </c>
      <c r="C417" t="s">
        <v>1026</v>
      </c>
      <c r="D417" s="40"/>
      <c r="F417" t="s">
        <v>277</v>
      </c>
      <c r="G417" t="s">
        <v>579</v>
      </c>
      <c r="H417" t="s">
        <v>1027</v>
      </c>
      <c r="I417" t="s">
        <v>416</v>
      </c>
    </row>
    <row r="418" spans="1:9" x14ac:dyDescent="0.25">
      <c r="A418" t="s">
        <v>1153</v>
      </c>
      <c r="B418" t="s">
        <v>287</v>
      </c>
      <c r="C418" t="s">
        <v>1029</v>
      </c>
      <c r="D418" s="40"/>
      <c r="F418" t="s">
        <v>277</v>
      </c>
      <c r="G418" t="s">
        <v>579</v>
      </c>
      <c r="H418" t="s">
        <v>1027</v>
      </c>
      <c r="I418" t="s">
        <v>416</v>
      </c>
    </row>
    <row r="419" spans="1:9" x14ac:dyDescent="0.25">
      <c r="A419" t="s">
        <v>1154</v>
      </c>
      <c r="B419" t="s">
        <v>287</v>
      </c>
      <c r="C419" t="s">
        <v>1031</v>
      </c>
      <c r="D419" s="40"/>
      <c r="F419" t="s">
        <v>277</v>
      </c>
      <c r="G419" t="s">
        <v>579</v>
      </c>
      <c r="H419" t="s">
        <v>1027</v>
      </c>
      <c r="I419" t="s">
        <v>416</v>
      </c>
    </row>
    <row r="420" spans="1:9" x14ac:dyDescent="0.25">
      <c r="A420" t="s">
        <v>1155</v>
      </c>
      <c r="B420" t="s">
        <v>287</v>
      </c>
      <c r="C420" t="s">
        <v>1033</v>
      </c>
      <c r="D420" s="19">
        <v>24.17</v>
      </c>
      <c r="E420" t="s">
        <v>1000</v>
      </c>
      <c r="F420" t="s">
        <v>277</v>
      </c>
      <c r="G420" t="s">
        <v>171</v>
      </c>
      <c r="H420" t="s">
        <v>1034</v>
      </c>
      <c r="I420" t="s">
        <v>416</v>
      </c>
    </row>
    <row r="421" spans="1:9" x14ac:dyDescent="0.25">
      <c r="A421" t="s">
        <v>1156</v>
      </c>
      <c r="B421" t="s">
        <v>287</v>
      </c>
      <c r="C421" t="s">
        <v>1036</v>
      </c>
      <c r="D421" s="19">
        <v>22.95</v>
      </c>
      <c r="E421" t="s">
        <v>1000</v>
      </c>
      <c r="F421" t="s">
        <v>277</v>
      </c>
      <c r="G421" t="s">
        <v>171</v>
      </c>
      <c r="H421" t="s">
        <v>1034</v>
      </c>
      <c r="I421" t="s">
        <v>416</v>
      </c>
    </row>
    <row r="422" spans="1:9" x14ac:dyDescent="0.25">
      <c r="A422" t="s">
        <v>1157</v>
      </c>
      <c r="B422" t="s">
        <v>287</v>
      </c>
      <c r="C422" t="s">
        <v>1038</v>
      </c>
      <c r="D422" s="19">
        <v>21.07</v>
      </c>
      <c r="E422" t="s">
        <v>1000</v>
      </c>
      <c r="F422" t="s">
        <v>277</v>
      </c>
      <c r="G422" t="s">
        <v>171</v>
      </c>
      <c r="H422" t="s">
        <v>1034</v>
      </c>
      <c r="I422" t="s">
        <v>416</v>
      </c>
    </row>
    <row r="423" spans="1:9" x14ac:dyDescent="0.25">
      <c r="A423" t="s">
        <v>1158</v>
      </c>
      <c r="B423" t="s">
        <v>287</v>
      </c>
      <c r="C423" t="s">
        <v>1040</v>
      </c>
      <c r="D423" s="19">
        <v>19.59</v>
      </c>
      <c r="E423" t="s">
        <v>1000</v>
      </c>
      <c r="F423" t="s">
        <v>277</v>
      </c>
      <c r="G423" t="s">
        <v>171</v>
      </c>
      <c r="H423" t="s">
        <v>1034</v>
      </c>
      <c r="I423" t="s">
        <v>416</v>
      </c>
    </row>
    <row r="424" spans="1:9" x14ac:dyDescent="0.25">
      <c r="A424" t="s">
        <v>1159</v>
      </c>
      <c r="B424" t="s">
        <v>287</v>
      </c>
      <c r="C424" t="s">
        <v>1042</v>
      </c>
      <c r="D424" s="19">
        <v>20.420000000000002</v>
      </c>
      <c r="E424" t="s">
        <v>1000</v>
      </c>
      <c r="F424" t="s">
        <v>277</v>
      </c>
      <c r="G424" t="s">
        <v>171</v>
      </c>
      <c r="H424" t="s">
        <v>1034</v>
      </c>
      <c r="I424" t="s">
        <v>416</v>
      </c>
    </row>
    <row r="425" spans="1:9" x14ac:dyDescent="0.25">
      <c r="A425" t="s">
        <v>1160</v>
      </c>
      <c r="B425" t="s">
        <v>287</v>
      </c>
      <c r="C425" t="s">
        <v>1044</v>
      </c>
      <c r="D425" s="19">
        <v>21.15</v>
      </c>
      <c r="E425" t="s">
        <v>1000</v>
      </c>
      <c r="F425" t="s">
        <v>277</v>
      </c>
      <c r="G425" t="s">
        <v>171</v>
      </c>
      <c r="H425" t="s">
        <v>1034</v>
      </c>
      <c r="I425" t="s">
        <v>416</v>
      </c>
    </row>
    <row r="426" spans="1:9" x14ac:dyDescent="0.25">
      <c r="A426" t="s">
        <v>1161</v>
      </c>
      <c r="B426" t="s">
        <v>287</v>
      </c>
      <c r="C426" t="s">
        <v>1046</v>
      </c>
      <c r="D426" s="19">
        <v>15.17</v>
      </c>
      <c r="E426" t="s">
        <v>1000</v>
      </c>
      <c r="F426" t="s">
        <v>277</v>
      </c>
      <c r="G426" t="s">
        <v>171</v>
      </c>
      <c r="H426" t="s">
        <v>1034</v>
      </c>
      <c r="I426" t="s">
        <v>416</v>
      </c>
    </row>
    <row r="427" spans="1:9" x14ac:dyDescent="0.25">
      <c r="A427" t="s">
        <v>1162</v>
      </c>
      <c r="B427" t="s">
        <v>287</v>
      </c>
      <c r="C427" t="s">
        <v>1048</v>
      </c>
      <c r="D427" s="19">
        <v>0.39</v>
      </c>
      <c r="E427" t="s">
        <v>1000</v>
      </c>
      <c r="F427" t="s">
        <v>277</v>
      </c>
      <c r="G427" t="s">
        <v>171</v>
      </c>
      <c r="H427" t="s">
        <v>1163</v>
      </c>
      <c r="I427" t="s">
        <v>416</v>
      </c>
    </row>
    <row r="428" spans="1:9" x14ac:dyDescent="0.25">
      <c r="A428" t="s">
        <v>1164</v>
      </c>
      <c r="B428" t="s">
        <v>287</v>
      </c>
      <c r="C428" t="s">
        <v>1051</v>
      </c>
      <c r="D428" s="19">
        <v>0.3</v>
      </c>
      <c r="E428" t="s">
        <v>1000</v>
      </c>
      <c r="F428" t="s">
        <v>277</v>
      </c>
      <c r="G428" t="s">
        <v>171</v>
      </c>
      <c r="H428" t="s">
        <v>1052</v>
      </c>
      <c r="I428" t="s">
        <v>416</v>
      </c>
    </row>
    <row r="429" spans="1:9" x14ac:dyDescent="0.25">
      <c r="A429" t="s">
        <v>1165</v>
      </c>
      <c r="B429" t="s">
        <v>287</v>
      </c>
      <c r="C429" t="s">
        <v>1054</v>
      </c>
      <c r="D429" s="19">
        <v>0.4</v>
      </c>
      <c r="E429" t="s">
        <v>1000</v>
      </c>
      <c r="F429" t="s">
        <v>277</v>
      </c>
      <c r="G429" t="s">
        <v>171</v>
      </c>
      <c r="H429" t="s">
        <v>1055</v>
      </c>
      <c r="I429" t="s">
        <v>416</v>
      </c>
    </row>
    <row r="430" spans="1:9" x14ac:dyDescent="0.25">
      <c r="A430" t="s">
        <v>1166</v>
      </c>
      <c r="B430" t="s">
        <v>287</v>
      </c>
      <c r="C430" t="s">
        <v>1057</v>
      </c>
      <c r="D430" s="19">
        <v>2678.3</v>
      </c>
      <c r="E430" t="s">
        <v>502</v>
      </c>
      <c r="F430" t="s">
        <v>277</v>
      </c>
      <c r="G430" t="s">
        <v>171</v>
      </c>
      <c r="H430" t="s">
        <v>1167</v>
      </c>
      <c r="I430" t="s">
        <v>416</v>
      </c>
    </row>
    <row r="431" spans="1:9" x14ac:dyDescent="0.25">
      <c r="A431" t="s">
        <v>1168</v>
      </c>
      <c r="B431" t="s">
        <v>287</v>
      </c>
      <c r="C431" t="s">
        <v>1060</v>
      </c>
      <c r="D431" s="19">
        <v>2865.9</v>
      </c>
      <c r="E431" t="s">
        <v>502</v>
      </c>
      <c r="F431" t="s">
        <v>277</v>
      </c>
      <c r="G431" t="s">
        <v>171</v>
      </c>
      <c r="H431" t="s">
        <v>1169</v>
      </c>
      <c r="I431" t="s">
        <v>416</v>
      </c>
    </row>
    <row r="432" spans="1:9" x14ac:dyDescent="0.25">
      <c r="A432" t="s">
        <v>1170</v>
      </c>
      <c r="B432" t="s">
        <v>287</v>
      </c>
      <c r="C432" t="s">
        <v>1063</v>
      </c>
      <c r="D432" s="19">
        <v>33.11</v>
      </c>
      <c r="E432" t="s">
        <v>168</v>
      </c>
      <c r="F432" t="s">
        <v>277</v>
      </c>
      <c r="G432" t="s">
        <v>171</v>
      </c>
      <c r="H432" t="s">
        <v>1064</v>
      </c>
      <c r="I432" t="s">
        <v>416</v>
      </c>
    </row>
    <row r="433" spans="1:9" x14ac:dyDescent="0.25">
      <c r="A433" t="s">
        <v>1171</v>
      </c>
      <c r="B433" t="s">
        <v>287</v>
      </c>
      <c r="C433" t="s">
        <v>1066</v>
      </c>
      <c r="D433" s="19">
        <v>33.15</v>
      </c>
      <c r="E433" t="s">
        <v>168</v>
      </c>
      <c r="F433" t="s">
        <v>277</v>
      </c>
      <c r="G433" t="s">
        <v>171</v>
      </c>
      <c r="H433" t="s">
        <v>1064</v>
      </c>
      <c r="I433" t="s">
        <v>416</v>
      </c>
    </row>
    <row r="434" spans="1:9" x14ac:dyDescent="0.25">
      <c r="A434" t="s">
        <v>1172</v>
      </c>
      <c r="B434" t="s">
        <v>287</v>
      </c>
      <c r="C434" t="s">
        <v>1068</v>
      </c>
      <c r="D434" s="19">
        <v>33.270000000000003</v>
      </c>
      <c r="E434" t="s">
        <v>168</v>
      </c>
      <c r="F434" t="s">
        <v>277</v>
      </c>
      <c r="G434" t="s">
        <v>171</v>
      </c>
      <c r="H434" t="s">
        <v>1064</v>
      </c>
      <c r="I434" t="s">
        <v>416</v>
      </c>
    </row>
    <row r="435" spans="1:9" x14ac:dyDescent="0.25">
      <c r="A435" t="s">
        <v>1173</v>
      </c>
      <c r="B435" t="s">
        <v>287</v>
      </c>
      <c r="C435" t="s">
        <v>1070</v>
      </c>
      <c r="D435" s="19">
        <v>184.4</v>
      </c>
      <c r="E435" t="s">
        <v>502</v>
      </c>
      <c r="F435" t="s">
        <v>277</v>
      </c>
      <c r="G435" t="s">
        <v>171</v>
      </c>
      <c r="H435" t="s">
        <v>1071</v>
      </c>
      <c r="I435" t="s">
        <v>416</v>
      </c>
    </row>
    <row r="436" spans="1:9" x14ac:dyDescent="0.25">
      <c r="A436" t="s">
        <v>1174</v>
      </c>
      <c r="B436" t="s">
        <v>287</v>
      </c>
      <c r="C436" t="s">
        <v>1073</v>
      </c>
      <c r="D436" s="19">
        <v>228.4</v>
      </c>
      <c r="E436" t="s">
        <v>502</v>
      </c>
      <c r="F436" t="s">
        <v>277</v>
      </c>
      <c r="G436" t="s">
        <v>171</v>
      </c>
      <c r="H436" t="s">
        <v>1071</v>
      </c>
      <c r="I436" t="s">
        <v>416</v>
      </c>
    </row>
    <row r="437" spans="1:9" x14ac:dyDescent="0.25">
      <c r="A437" t="s">
        <v>1175</v>
      </c>
      <c r="B437" t="s">
        <v>287</v>
      </c>
      <c r="C437" t="s">
        <v>1075</v>
      </c>
      <c r="D437" s="19">
        <v>264.12</v>
      </c>
      <c r="E437" t="s">
        <v>502</v>
      </c>
      <c r="F437" t="s">
        <v>277</v>
      </c>
      <c r="G437" t="s">
        <v>171</v>
      </c>
      <c r="H437" t="s">
        <v>1071</v>
      </c>
      <c r="I437" t="s">
        <v>416</v>
      </c>
    </row>
    <row r="438" spans="1:9" x14ac:dyDescent="0.25">
      <c r="A438" t="s">
        <v>1176</v>
      </c>
      <c r="B438" t="s">
        <v>287</v>
      </c>
      <c r="C438" t="s">
        <v>1077</v>
      </c>
      <c r="D438" s="19">
        <v>0.38</v>
      </c>
      <c r="E438" t="s">
        <v>1000</v>
      </c>
      <c r="F438" t="s">
        <v>277</v>
      </c>
      <c r="G438" t="s">
        <v>171</v>
      </c>
      <c r="H438" t="s">
        <v>1078</v>
      </c>
      <c r="I438" t="s">
        <v>416</v>
      </c>
    </row>
    <row r="439" spans="1:9" x14ac:dyDescent="0.25">
      <c r="A439" t="s">
        <v>1177</v>
      </c>
      <c r="B439" t="s">
        <v>287</v>
      </c>
      <c r="C439" t="s">
        <v>1080</v>
      </c>
      <c r="D439" s="19">
        <v>0.42</v>
      </c>
      <c r="E439" t="s">
        <v>1000</v>
      </c>
      <c r="F439" t="s">
        <v>277</v>
      </c>
      <c r="G439" t="s">
        <v>171</v>
      </c>
      <c r="H439" t="s">
        <v>1078</v>
      </c>
      <c r="I439" t="s">
        <v>416</v>
      </c>
    </row>
    <row r="440" spans="1:9" x14ac:dyDescent="0.25">
      <c r="A440" t="s">
        <v>1178</v>
      </c>
      <c r="B440" t="s">
        <v>287</v>
      </c>
      <c r="C440" t="s">
        <v>1082</v>
      </c>
      <c r="D440" s="19">
        <v>0.44</v>
      </c>
      <c r="E440" t="s">
        <v>1000</v>
      </c>
      <c r="F440" t="s">
        <v>277</v>
      </c>
      <c r="G440" t="s">
        <v>171</v>
      </c>
      <c r="H440" t="s">
        <v>1078</v>
      </c>
      <c r="I440" t="s">
        <v>416</v>
      </c>
    </row>
    <row r="441" spans="1:9" x14ac:dyDescent="0.25">
      <c r="A441" t="s">
        <v>1179</v>
      </c>
      <c r="B441" t="s">
        <v>287</v>
      </c>
      <c r="C441" t="s">
        <v>1084</v>
      </c>
      <c r="D441" s="19">
        <v>382.77</v>
      </c>
      <c r="E441" t="s">
        <v>502</v>
      </c>
      <c r="F441" t="s">
        <v>277</v>
      </c>
      <c r="G441" t="s">
        <v>171</v>
      </c>
      <c r="H441" t="s">
        <v>1085</v>
      </c>
      <c r="I441" t="s">
        <v>416</v>
      </c>
    </row>
    <row r="442" spans="1:9" x14ac:dyDescent="0.25">
      <c r="A442" t="s">
        <v>1180</v>
      </c>
      <c r="B442" t="s">
        <v>287</v>
      </c>
      <c r="C442" t="s">
        <v>1087</v>
      </c>
      <c r="D442" s="19">
        <v>374.45</v>
      </c>
      <c r="E442" t="s">
        <v>502</v>
      </c>
      <c r="F442" t="s">
        <v>277</v>
      </c>
      <c r="G442" t="s">
        <v>171</v>
      </c>
      <c r="H442" t="s">
        <v>1085</v>
      </c>
      <c r="I442" t="s">
        <v>416</v>
      </c>
    </row>
    <row r="443" spans="1:9" x14ac:dyDescent="0.25">
      <c r="A443" t="s">
        <v>1181</v>
      </c>
      <c r="B443" t="s">
        <v>287</v>
      </c>
      <c r="C443" t="s">
        <v>1089</v>
      </c>
      <c r="D443" s="19">
        <v>364.32</v>
      </c>
      <c r="E443" t="s">
        <v>502</v>
      </c>
      <c r="F443" t="s">
        <v>277</v>
      </c>
      <c r="G443" t="s">
        <v>171</v>
      </c>
      <c r="H443" t="s">
        <v>1085</v>
      </c>
      <c r="I443" t="s">
        <v>416</v>
      </c>
    </row>
    <row r="444" spans="1:9" x14ac:dyDescent="0.25">
      <c r="A444" t="s">
        <v>1182</v>
      </c>
      <c r="B444" t="s">
        <v>287</v>
      </c>
      <c r="C444" t="s">
        <v>1091</v>
      </c>
      <c r="D444" s="19">
        <v>8564.43</v>
      </c>
      <c r="E444" t="s">
        <v>502</v>
      </c>
      <c r="F444" t="s">
        <v>277</v>
      </c>
      <c r="G444" t="s">
        <v>171</v>
      </c>
      <c r="H444" t="s">
        <v>1092</v>
      </c>
      <c r="I444" t="s">
        <v>416</v>
      </c>
    </row>
    <row r="445" spans="1:9" x14ac:dyDescent="0.25">
      <c r="A445" t="s">
        <v>1183</v>
      </c>
      <c r="B445" t="s">
        <v>287</v>
      </c>
      <c r="C445" t="s">
        <v>1094</v>
      </c>
      <c r="D445" s="19">
        <v>8794.9599999999991</v>
      </c>
      <c r="E445" t="s">
        <v>502</v>
      </c>
      <c r="F445" t="s">
        <v>277</v>
      </c>
      <c r="G445" t="s">
        <v>171</v>
      </c>
      <c r="H445" t="s">
        <v>1092</v>
      </c>
      <c r="I445" t="s">
        <v>416</v>
      </c>
    </row>
    <row r="446" spans="1:9" x14ac:dyDescent="0.25">
      <c r="A446" t="s">
        <v>1184</v>
      </c>
      <c r="B446" t="s">
        <v>287</v>
      </c>
      <c r="C446" t="s">
        <v>1096</v>
      </c>
      <c r="D446" s="19">
        <v>8960.59</v>
      </c>
      <c r="E446" t="s">
        <v>502</v>
      </c>
      <c r="F446" t="s">
        <v>277</v>
      </c>
      <c r="G446" t="s">
        <v>171</v>
      </c>
      <c r="H446" t="s">
        <v>1092</v>
      </c>
      <c r="I446" t="s">
        <v>416</v>
      </c>
    </row>
    <row r="447" spans="1:9" x14ac:dyDescent="0.25">
      <c r="A447" t="s">
        <v>1185</v>
      </c>
      <c r="B447" t="s">
        <v>294</v>
      </c>
      <c r="C447" t="s">
        <v>1007</v>
      </c>
      <c r="D447" s="19">
        <v>237.3</v>
      </c>
      <c r="E447" t="s">
        <v>502</v>
      </c>
      <c r="F447" t="s">
        <v>277</v>
      </c>
      <c r="G447" t="s">
        <v>169</v>
      </c>
      <c r="H447" t="s">
        <v>1186</v>
      </c>
      <c r="I447" t="s">
        <v>416</v>
      </c>
    </row>
    <row r="448" spans="1:9" x14ac:dyDescent="0.25">
      <c r="A448" t="s">
        <v>1187</v>
      </c>
      <c r="B448" t="s">
        <v>294</v>
      </c>
      <c r="C448" t="s">
        <v>1010</v>
      </c>
      <c r="D448" s="19">
        <f>Inputs_Sources!$D$254</f>
        <v>2594.6999999999998</v>
      </c>
      <c r="E448" t="s">
        <v>502</v>
      </c>
      <c r="F448" t="s">
        <v>277</v>
      </c>
      <c r="G448" t="s">
        <v>169</v>
      </c>
      <c r="H448" t="s">
        <v>1011</v>
      </c>
      <c r="I448" t="s">
        <v>416</v>
      </c>
    </row>
    <row r="449" spans="1:9" x14ac:dyDescent="0.25">
      <c r="A449" t="s">
        <v>1188</v>
      </c>
      <c r="B449" t="s">
        <v>294</v>
      </c>
      <c r="C449" t="s">
        <v>1013</v>
      </c>
      <c r="D449" s="19">
        <f>Inputs_Sources!$D$253</f>
        <v>354.7</v>
      </c>
      <c r="E449" t="s">
        <v>502</v>
      </c>
      <c r="F449" t="s">
        <v>277</v>
      </c>
      <c r="G449" t="s">
        <v>169</v>
      </c>
      <c r="H449" t="s">
        <v>1014</v>
      </c>
      <c r="I449" t="s">
        <v>416</v>
      </c>
    </row>
    <row r="450" spans="1:9" x14ac:dyDescent="0.25">
      <c r="A450" t="s">
        <v>1189</v>
      </c>
      <c r="B450" t="s">
        <v>294</v>
      </c>
      <c r="C450" t="s">
        <v>1016</v>
      </c>
      <c r="D450" s="19">
        <v>2609.1</v>
      </c>
      <c r="E450" t="s">
        <v>502</v>
      </c>
      <c r="F450" t="s">
        <v>277</v>
      </c>
      <c r="G450" t="s">
        <v>171</v>
      </c>
      <c r="H450" t="s">
        <v>1017</v>
      </c>
      <c r="I450" t="s">
        <v>416</v>
      </c>
    </row>
    <row r="451" spans="1:9" x14ac:dyDescent="0.25">
      <c r="A451" t="s">
        <v>1190</v>
      </c>
      <c r="B451" t="s">
        <v>294</v>
      </c>
      <c r="C451" t="s">
        <v>1019</v>
      </c>
      <c r="D451" s="19">
        <v>381.1</v>
      </c>
      <c r="E451" t="s">
        <v>502</v>
      </c>
      <c r="F451" t="s">
        <v>277</v>
      </c>
      <c r="G451" t="s">
        <v>171</v>
      </c>
      <c r="H451" t="s">
        <v>1017</v>
      </c>
      <c r="I451" t="s">
        <v>416</v>
      </c>
    </row>
    <row r="452" spans="1:9" x14ac:dyDescent="0.25">
      <c r="A452" t="s">
        <v>1191</v>
      </c>
      <c r="B452" t="s">
        <v>294</v>
      </c>
      <c r="C452" t="s">
        <v>1021</v>
      </c>
      <c r="D452" s="19">
        <v>161.6</v>
      </c>
      <c r="E452" t="s">
        <v>502</v>
      </c>
      <c r="F452" t="s">
        <v>277</v>
      </c>
      <c r="G452" t="s">
        <v>171</v>
      </c>
      <c r="H452" t="s">
        <v>1022</v>
      </c>
      <c r="I452" t="s">
        <v>416</v>
      </c>
    </row>
    <row r="453" spans="1:9" x14ac:dyDescent="0.25">
      <c r="A453" t="s">
        <v>1192</v>
      </c>
      <c r="B453" t="s">
        <v>294</v>
      </c>
      <c r="C453" t="s">
        <v>1024</v>
      </c>
      <c r="D453" s="19">
        <v>154.9</v>
      </c>
      <c r="E453" t="s">
        <v>502</v>
      </c>
      <c r="F453" t="s">
        <v>277</v>
      </c>
      <c r="G453" t="s">
        <v>171</v>
      </c>
      <c r="H453" t="s">
        <v>1022</v>
      </c>
      <c r="I453" t="s">
        <v>416</v>
      </c>
    </row>
    <row r="454" spans="1:9" x14ac:dyDescent="0.25">
      <c r="A454" t="s">
        <v>1193</v>
      </c>
      <c r="B454" t="s">
        <v>294</v>
      </c>
      <c r="C454" t="s">
        <v>1026</v>
      </c>
      <c r="D454" s="40"/>
      <c r="F454" t="s">
        <v>277</v>
      </c>
      <c r="G454" t="s">
        <v>579</v>
      </c>
      <c r="H454" t="s">
        <v>1027</v>
      </c>
      <c r="I454" t="s">
        <v>416</v>
      </c>
    </row>
    <row r="455" spans="1:9" x14ac:dyDescent="0.25">
      <c r="A455" t="s">
        <v>1194</v>
      </c>
      <c r="B455" t="s">
        <v>294</v>
      </c>
      <c r="C455" t="s">
        <v>1029</v>
      </c>
      <c r="D455" s="40"/>
      <c r="F455" t="s">
        <v>277</v>
      </c>
      <c r="G455" t="s">
        <v>579</v>
      </c>
      <c r="H455" t="s">
        <v>1027</v>
      </c>
      <c r="I455" t="s">
        <v>416</v>
      </c>
    </row>
    <row r="456" spans="1:9" x14ac:dyDescent="0.25">
      <c r="A456" t="s">
        <v>1195</v>
      </c>
      <c r="B456" t="s">
        <v>294</v>
      </c>
      <c r="C456" t="s">
        <v>1031</v>
      </c>
      <c r="D456" s="40"/>
      <c r="F456" t="s">
        <v>277</v>
      </c>
      <c r="G456" t="s">
        <v>579</v>
      </c>
      <c r="H456" t="s">
        <v>1027</v>
      </c>
      <c r="I456" t="s">
        <v>416</v>
      </c>
    </row>
    <row r="457" spans="1:9" x14ac:dyDescent="0.25">
      <c r="A457" t="s">
        <v>1196</v>
      </c>
      <c r="B457" t="s">
        <v>294</v>
      </c>
      <c r="C457" t="s">
        <v>1033</v>
      </c>
      <c r="D457" s="19">
        <v>49.1</v>
      </c>
      <c r="E457" t="s">
        <v>1000</v>
      </c>
      <c r="F457" t="s">
        <v>277</v>
      </c>
      <c r="G457" t="s">
        <v>171</v>
      </c>
      <c r="H457" t="s">
        <v>1034</v>
      </c>
      <c r="I457" t="s">
        <v>416</v>
      </c>
    </row>
    <row r="458" spans="1:9" x14ac:dyDescent="0.25">
      <c r="A458" t="s">
        <v>1197</v>
      </c>
      <c r="B458" t="s">
        <v>294</v>
      </c>
      <c r="C458" t="s">
        <v>1036</v>
      </c>
      <c r="D458" s="19">
        <v>45.49</v>
      </c>
      <c r="E458" t="s">
        <v>1000</v>
      </c>
      <c r="F458" t="s">
        <v>277</v>
      </c>
      <c r="G458" t="s">
        <v>171</v>
      </c>
      <c r="H458" t="s">
        <v>1034</v>
      </c>
      <c r="I458" t="s">
        <v>416</v>
      </c>
    </row>
    <row r="459" spans="1:9" x14ac:dyDescent="0.25">
      <c r="A459" t="s">
        <v>1198</v>
      </c>
      <c r="B459" t="s">
        <v>294</v>
      </c>
      <c r="C459" t="s">
        <v>1038</v>
      </c>
      <c r="D459" s="19">
        <v>65.2</v>
      </c>
      <c r="E459" t="s">
        <v>1000</v>
      </c>
      <c r="F459" t="s">
        <v>277</v>
      </c>
      <c r="G459" t="s">
        <v>171</v>
      </c>
      <c r="H459" t="s">
        <v>1034</v>
      </c>
      <c r="I459" t="s">
        <v>416</v>
      </c>
    </row>
    <row r="460" spans="1:9" x14ac:dyDescent="0.25">
      <c r="A460" t="s">
        <v>1199</v>
      </c>
      <c r="B460" t="s">
        <v>294</v>
      </c>
      <c r="C460" t="s">
        <v>1040</v>
      </c>
      <c r="D460" s="19">
        <v>64.11</v>
      </c>
      <c r="E460" t="s">
        <v>1000</v>
      </c>
      <c r="F460" t="s">
        <v>277</v>
      </c>
      <c r="G460" t="s">
        <v>171</v>
      </c>
      <c r="H460" t="s">
        <v>1034</v>
      </c>
      <c r="I460" t="s">
        <v>416</v>
      </c>
    </row>
    <row r="461" spans="1:9" x14ac:dyDescent="0.25">
      <c r="A461" t="s">
        <v>1200</v>
      </c>
      <c r="B461" t="s">
        <v>294</v>
      </c>
      <c r="C461" t="s">
        <v>1042</v>
      </c>
      <c r="D461" s="19">
        <v>70.569999999999993</v>
      </c>
      <c r="E461" t="s">
        <v>1000</v>
      </c>
      <c r="F461" t="s">
        <v>277</v>
      </c>
      <c r="G461" t="s">
        <v>171</v>
      </c>
      <c r="H461" t="s">
        <v>1034</v>
      </c>
      <c r="I461" t="s">
        <v>416</v>
      </c>
    </row>
    <row r="462" spans="1:9" x14ac:dyDescent="0.25">
      <c r="A462" t="s">
        <v>1201</v>
      </c>
      <c r="B462" t="s">
        <v>294</v>
      </c>
      <c r="C462" t="s">
        <v>1044</v>
      </c>
      <c r="D462" s="19">
        <v>73.12</v>
      </c>
      <c r="E462" t="s">
        <v>1000</v>
      </c>
      <c r="F462" t="s">
        <v>277</v>
      </c>
      <c r="G462" t="s">
        <v>171</v>
      </c>
      <c r="H462" t="s">
        <v>1034</v>
      </c>
      <c r="I462" t="s">
        <v>416</v>
      </c>
    </row>
    <row r="463" spans="1:9" x14ac:dyDescent="0.25">
      <c r="A463" t="s">
        <v>1202</v>
      </c>
      <c r="B463" t="s">
        <v>294</v>
      </c>
      <c r="C463" t="s">
        <v>1046</v>
      </c>
      <c r="D463" s="19">
        <v>52.22</v>
      </c>
      <c r="E463" t="s">
        <v>1000</v>
      </c>
      <c r="F463" t="s">
        <v>277</v>
      </c>
      <c r="G463" t="s">
        <v>171</v>
      </c>
      <c r="H463" t="s">
        <v>1034</v>
      </c>
      <c r="I463" t="s">
        <v>416</v>
      </c>
    </row>
    <row r="464" spans="1:9" x14ac:dyDescent="0.25">
      <c r="A464" t="s">
        <v>1203</v>
      </c>
      <c r="B464" t="s">
        <v>294</v>
      </c>
      <c r="C464" t="s">
        <v>1048</v>
      </c>
      <c r="D464" s="19">
        <v>0</v>
      </c>
      <c r="E464" t="s">
        <v>1000</v>
      </c>
      <c r="F464" t="s">
        <v>277</v>
      </c>
      <c r="G464" t="s">
        <v>171</v>
      </c>
      <c r="H464" t="s">
        <v>1204</v>
      </c>
      <c r="I464" t="s">
        <v>416</v>
      </c>
    </row>
    <row r="465" spans="1:9" x14ac:dyDescent="0.25">
      <c r="A465" t="s">
        <v>1205</v>
      </c>
      <c r="B465" t="s">
        <v>294</v>
      </c>
      <c r="C465" t="s">
        <v>1051</v>
      </c>
      <c r="D465" s="19">
        <v>0</v>
      </c>
      <c r="E465" t="s">
        <v>1000</v>
      </c>
      <c r="F465" t="s">
        <v>277</v>
      </c>
      <c r="G465" t="s">
        <v>171</v>
      </c>
      <c r="H465" t="s">
        <v>1052</v>
      </c>
      <c r="I465" t="s">
        <v>416</v>
      </c>
    </row>
    <row r="466" spans="1:9" x14ac:dyDescent="0.25">
      <c r="A466" t="s">
        <v>1206</v>
      </c>
      <c r="B466" t="s">
        <v>294</v>
      </c>
      <c r="C466" t="s">
        <v>1054</v>
      </c>
      <c r="D466" s="19">
        <v>0</v>
      </c>
      <c r="E466" t="s">
        <v>1000</v>
      </c>
      <c r="F466" t="s">
        <v>277</v>
      </c>
      <c r="G466" t="s">
        <v>171</v>
      </c>
      <c r="H466" t="s">
        <v>1055</v>
      </c>
      <c r="I466" t="s">
        <v>416</v>
      </c>
    </row>
    <row r="467" spans="1:9" x14ac:dyDescent="0.25">
      <c r="A467" t="s">
        <v>1207</v>
      </c>
      <c r="B467" t="s">
        <v>294</v>
      </c>
      <c r="C467" t="s">
        <v>1057</v>
      </c>
      <c r="D467" s="19">
        <v>507.6</v>
      </c>
      <c r="E467" t="s">
        <v>502</v>
      </c>
      <c r="F467" t="s">
        <v>277</v>
      </c>
      <c r="G467" t="s">
        <v>171</v>
      </c>
      <c r="H467" t="s">
        <v>1208</v>
      </c>
      <c r="I467" t="s">
        <v>416</v>
      </c>
    </row>
    <row r="468" spans="1:9" x14ac:dyDescent="0.25">
      <c r="A468" t="s">
        <v>1209</v>
      </c>
      <c r="B468" t="s">
        <v>294</v>
      </c>
      <c r="C468" t="s">
        <v>1060</v>
      </c>
      <c r="D468" s="19">
        <v>506.5</v>
      </c>
      <c r="E468" t="s">
        <v>502</v>
      </c>
      <c r="F468" t="s">
        <v>277</v>
      </c>
      <c r="G468" t="s">
        <v>171</v>
      </c>
      <c r="H468" t="s">
        <v>1210</v>
      </c>
      <c r="I468" t="s">
        <v>416</v>
      </c>
    </row>
    <row r="469" spans="1:9" x14ac:dyDescent="0.25">
      <c r="A469" t="s">
        <v>1211</v>
      </c>
      <c r="B469" t="s">
        <v>294</v>
      </c>
      <c r="C469" t="s">
        <v>1063</v>
      </c>
      <c r="D469" s="19">
        <v>26.17</v>
      </c>
      <c r="E469" t="s">
        <v>168</v>
      </c>
      <c r="F469" t="s">
        <v>277</v>
      </c>
      <c r="G469" t="s">
        <v>171</v>
      </c>
      <c r="H469" t="s">
        <v>1064</v>
      </c>
      <c r="I469" t="s">
        <v>416</v>
      </c>
    </row>
    <row r="470" spans="1:9" x14ac:dyDescent="0.25">
      <c r="A470" t="s">
        <v>1212</v>
      </c>
      <c r="B470" t="s">
        <v>294</v>
      </c>
      <c r="C470" t="s">
        <v>1066</v>
      </c>
      <c r="D470" s="19">
        <v>26.35</v>
      </c>
      <c r="E470" t="s">
        <v>168</v>
      </c>
      <c r="F470" t="s">
        <v>277</v>
      </c>
      <c r="G470" t="s">
        <v>171</v>
      </c>
      <c r="H470" t="s">
        <v>1064</v>
      </c>
      <c r="I470" t="s">
        <v>416</v>
      </c>
    </row>
    <row r="471" spans="1:9" x14ac:dyDescent="0.25">
      <c r="A471" t="s">
        <v>1213</v>
      </c>
      <c r="B471" t="s">
        <v>294</v>
      </c>
      <c r="C471" t="s">
        <v>1068</v>
      </c>
      <c r="D471" s="19">
        <v>26.64</v>
      </c>
      <c r="E471" t="s">
        <v>168</v>
      </c>
      <c r="F471" t="s">
        <v>277</v>
      </c>
      <c r="G471" t="s">
        <v>171</v>
      </c>
      <c r="H471" t="s">
        <v>1064</v>
      </c>
      <c r="I471" t="s">
        <v>416</v>
      </c>
    </row>
    <row r="472" spans="1:9" x14ac:dyDescent="0.25">
      <c r="A472" t="s">
        <v>1214</v>
      </c>
      <c r="B472" t="s">
        <v>294</v>
      </c>
      <c r="C472" t="s">
        <v>1070</v>
      </c>
      <c r="D472" s="19">
        <v>139.41</v>
      </c>
      <c r="E472" t="s">
        <v>502</v>
      </c>
      <c r="F472" t="s">
        <v>277</v>
      </c>
      <c r="G472" t="s">
        <v>171</v>
      </c>
      <c r="H472" t="s">
        <v>1071</v>
      </c>
      <c r="I472" t="s">
        <v>416</v>
      </c>
    </row>
    <row r="473" spans="1:9" x14ac:dyDescent="0.25">
      <c r="A473" t="s">
        <v>1215</v>
      </c>
      <c r="B473" t="s">
        <v>294</v>
      </c>
      <c r="C473" t="s">
        <v>1073</v>
      </c>
      <c r="D473" s="19">
        <v>179.49</v>
      </c>
      <c r="E473" t="s">
        <v>502</v>
      </c>
      <c r="F473" t="s">
        <v>277</v>
      </c>
      <c r="G473" t="s">
        <v>171</v>
      </c>
      <c r="H473" t="s">
        <v>1071</v>
      </c>
      <c r="I473" t="s">
        <v>416</v>
      </c>
    </row>
    <row r="474" spans="1:9" x14ac:dyDescent="0.25">
      <c r="A474" t="s">
        <v>1216</v>
      </c>
      <c r="B474" t="s">
        <v>294</v>
      </c>
      <c r="C474" t="s">
        <v>1075</v>
      </c>
      <c r="D474" s="19">
        <v>200.92</v>
      </c>
      <c r="E474" t="s">
        <v>502</v>
      </c>
      <c r="F474" t="s">
        <v>277</v>
      </c>
      <c r="G474" t="s">
        <v>171</v>
      </c>
      <c r="H474" t="s">
        <v>1071</v>
      </c>
      <c r="I474" t="s">
        <v>416</v>
      </c>
    </row>
    <row r="475" spans="1:9" x14ac:dyDescent="0.25">
      <c r="A475" t="s">
        <v>1217</v>
      </c>
      <c r="B475" t="s">
        <v>294</v>
      </c>
      <c r="C475" t="s">
        <v>1077</v>
      </c>
      <c r="D475" s="19">
        <v>0</v>
      </c>
      <c r="E475" t="s">
        <v>1000</v>
      </c>
      <c r="F475" t="s">
        <v>277</v>
      </c>
      <c r="G475" t="s">
        <v>171</v>
      </c>
      <c r="H475" t="s">
        <v>1078</v>
      </c>
      <c r="I475" t="s">
        <v>416</v>
      </c>
    </row>
    <row r="476" spans="1:9" x14ac:dyDescent="0.25">
      <c r="A476" t="s">
        <v>1218</v>
      </c>
      <c r="B476" t="s">
        <v>294</v>
      </c>
      <c r="C476" t="s">
        <v>1080</v>
      </c>
      <c r="D476" s="19">
        <v>0.37</v>
      </c>
      <c r="E476" t="s">
        <v>1000</v>
      </c>
      <c r="F476" t="s">
        <v>277</v>
      </c>
      <c r="G476" t="s">
        <v>171</v>
      </c>
      <c r="H476" t="s">
        <v>1078</v>
      </c>
      <c r="I476" t="s">
        <v>416</v>
      </c>
    </row>
    <row r="477" spans="1:9" x14ac:dyDescent="0.25">
      <c r="A477" t="s">
        <v>1219</v>
      </c>
      <c r="B477" t="s">
        <v>294</v>
      </c>
      <c r="C477" t="s">
        <v>1082</v>
      </c>
      <c r="D477" s="19">
        <v>0.75</v>
      </c>
      <c r="E477" t="s">
        <v>1000</v>
      </c>
      <c r="F477" t="s">
        <v>277</v>
      </c>
      <c r="G477" t="s">
        <v>171</v>
      </c>
      <c r="H477" t="s">
        <v>1078</v>
      </c>
      <c r="I477" t="s">
        <v>416</v>
      </c>
    </row>
    <row r="478" spans="1:9" x14ac:dyDescent="0.25">
      <c r="A478" t="s">
        <v>1220</v>
      </c>
      <c r="B478" t="s">
        <v>294</v>
      </c>
      <c r="C478" t="s">
        <v>1084</v>
      </c>
      <c r="D478" s="19">
        <v>108.93</v>
      </c>
      <c r="E478" t="s">
        <v>502</v>
      </c>
      <c r="F478" t="s">
        <v>277</v>
      </c>
      <c r="G478" t="s">
        <v>171</v>
      </c>
      <c r="H478" t="s">
        <v>1085</v>
      </c>
      <c r="I478" t="s">
        <v>416</v>
      </c>
    </row>
    <row r="479" spans="1:9" x14ac:dyDescent="0.25">
      <c r="A479" t="s">
        <v>1221</v>
      </c>
      <c r="B479" t="s">
        <v>294</v>
      </c>
      <c r="C479" t="s">
        <v>1087</v>
      </c>
      <c r="D479" s="19">
        <v>100.87</v>
      </c>
      <c r="E479" t="s">
        <v>502</v>
      </c>
      <c r="F479" t="s">
        <v>277</v>
      </c>
      <c r="G479" t="s">
        <v>171</v>
      </c>
      <c r="H479" t="s">
        <v>1085</v>
      </c>
      <c r="I479" t="s">
        <v>416</v>
      </c>
    </row>
    <row r="480" spans="1:9" x14ac:dyDescent="0.25">
      <c r="A480" t="s">
        <v>1222</v>
      </c>
      <c r="B480" t="s">
        <v>294</v>
      </c>
      <c r="C480" t="s">
        <v>1089</v>
      </c>
      <c r="D480" s="19">
        <v>99.64</v>
      </c>
      <c r="E480" t="s">
        <v>502</v>
      </c>
      <c r="F480" t="s">
        <v>277</v>
      </c>
      <c r="G480" t="s">
        <v>171</v>
      </c>
      <c r="H480" t="s">
        <v>1085</v>
      </c>
      <c r="I480" t="s">
        <v>416</v>
      </c>
    </row>
    <row r="481" spans="1:9" x14ac:dyDescent="0.25">
      <c r="A481" t="s">
        <v>1223</v>
      </c>
      <c r="B481" t="s">
        <v>294</v>
      </c>
      <c r="C481" t="s">
        <v>1091</v>
      </c>
      <c r="D481" s="19">
        <v>2594.73</v>
      </c>
      <c r="E481" t="s">
        <v>502</v>
      </c>
      <c r="F481" t="s">
        <v>277</v>
      </c>
      <c r="G481" t="s">
        <v>171</v>
      </c>
      <c r="H481" t="s">
        <v>1092</v>
      </c>
      <c r="I481" t="s">
        <v>416</v>
      </c>
    </row>
    <row r="482" spans="1:9" x14ac:dyDescent="0.25">
      <c r="A482" t="s">
        <v>1224</v>
      </c>
      <c r="B482" t="s">
        <v>294</v>
      </c>
      <c r="C482" t="s">
        <v>1094</v>
      </c>
      <c r="D482" s="19">
        <v>2562.5700000000002</v>
      </c>
      <c r="E482" t="s">
        <v>502</v>
      </c>
      <c r="F482" t="s">
        <v>277</v>
      </c>
      <c r="G482" t="s">
        <v>171</v>
      </c>
      <c r="H482" t="s">
        <v>1092</v>
      </c>
      <c r="I482" t="s">
        <v>416</v>
      </c>
    </row>
    <row r="483" spans="1:9" x14ac:dyDescent="0.25">
      <c r="A483" t="s">
        <v>1225</v>
      </c>
      <c r="B483" t="s">
        <v>294</v>
      </c>
      <c r="C483" t="s">
        <v>1096</v>
      </c>
      <c r="D483" s="19">
        <v>2609.11</v>
      </c>
      <c r="E483" t="s">
        <v>502</v>
      </c>
      <c r="F483" t="s">
        <v>277</v>
      </c>
      <c r="G483" t="s">
        <v>171</v>
      </c>
      <c r="H483" t="s">
        <v>1092</v>
      </c>
      <c r="I483" t="s">
        <v>416</v>
      </c>
    </row>
    <row r="484" spans="1:9" x14ac:dyDescent="0.25">
      <c r="A484" t="s">
        <v>1226</v>
      </c>
      <c r="B484" t="s">
        <v>299</v>
      </c>
      <c r="C484" t="s">
        <v>1007</v>
      </c>
      <c r="D484" s="19">
        <v>1603.5</v>
      </c>
      <c r="E484" t="s">
        <v>502</v>
      </c>
      <c r="F484" t="s">
        <v>277</v>
      </c>
      <c r="G484" t="s">
        <v>169</v>
      </c>
      <c r="H484" t="s">
        <v>1227</v>
      </c>
      <c r="I484" t="s">
        <v>416</v>
      </c>
    </row>
    <row r="485" spans="1:9" x14ac:dyDescent="0.25">
      <c r="A485" t="s">
        <v>1228</v>
      </c>
      <c r="B485" t="s">
        <v>299</v>
      </c>
      <c r="C485" t="s">
        <v>1229</v>
      </c>
      <c r="D485" s="19">
        <v>9050.9</v>
      </c>
      <c r="E485" t="s">
        <v>502</v>
      </c>
      <c r="F485" t="s">
        <v>277</v>
      </c>
      <c r="G485" t="s">
        <v>171</v>
      </c>
      <c r="H485" t="s">
        <v>1230</v>
      </c>
      <c r="I485" t="s">
        <v>416</v>
      </c>
    </row>
    <row r="486" spans="1:9" x14ac:dyDescent="0.25">
      <c r="A486" t="s">
        <v>1231</v>
      </c>
      <c r="B486" t="s">
        <v>299</v>
      </c>
      <c r="C486" t="s">
        <v>1232</v>
      </c>
      <c r="D486" s="19">
        <v>2024.7</v>
      </c>
      <c r="E486" t="s">
        <v>502</v>
      </c>
      <c r="F486" t="s">
        <v>277</v>
      </c>
      <c r="G486" t="s">
        <v>171</v>
      </c>
      <c r="H486" t="s">
        <v>1230</v>
      </c>
      <c r="I486" t="s">
        <v>416</v>
      </c>
    </row>
    <row r="487" spans="1:9" x14ac:dyDescent="0.25">
      <c r="A487" t="s">
        <v>1233</v>
      </c>
      <c r="B487" t="s">
        <v>299</v>
      </c>
      <c r="C487" t="s">
        <v>1016</v>
      </c>
      <c r="D487" s="19">
        <v>9190.85</v>
      </c>
      <c r="E487" t="s">
        <v>502</v>
      </c>
      <c r="F487" t="s">
        <v>277</v>
      </c>
      <c r="G487" t="s">
        <v>171</v>
      </c>
      <c r="H487" t="s">
        <v>1234</v>
      </c>
      <c r="I487" t="s">
        <v>416</v>
      </c>
    </row>
    <row r="488" spans="1:9" x14ac:dyDescent="0.25">
      <c r="A488" t="s">
        <v>1235</v>
      </c>
      <c r="B488" t="s">
        <v>299</v>
      </c>
      <c r="C488" t="s">
        <v>1019</v>
      </c>
      <c r="D488" s="40"/>
      <c r="E488" t="s">
        <v>502</v>
      </c>
      <c r="F488" t="s">
        <v>277</v>
      </c>
      <c r="G488" t="s">
        <v>579</v>
      </c>
      <c r="H488" t="s">
        <v>1236</v>
      </c>
      <c r="I488" t="s">
        <v>416</v>
      </c>
    </row>
    <row r="489" spans="1:9" x14ac:dyDescent="0.25">
      <c r="A489" t="s">
        <v>1237</v>
      </c>
      <c r="B489" t="s">
        <v>299</v>
      </c>
      <c r="C489" t="s">
        <v>1021</v>
      </c>
      <c r="D489" s="19">
        <v>590.5</v>
      </c>
      <c r="E489" t="s">
        <v>502</v>
      </c>
      <c r="F489" t="s">
        <v>277</v>
      </c>
      <c r="G489" t="s">
        <v>171</v>
      </c>
      <c r="H489" t="s">
        <v>1022</v>
      </c>
      <c r="I489" t="s">
        <v>416</v>
      </c>
    </row>
    <row r="490" spans="1:9" x14ac:dyDescent="0.25">
      <c r="A490" t="s">
        <v>1238</v>
      </c>
      <c r="B490" t="s">
        <v>299</v>
      </c>
      <c r="C490" t="s">
        <v>1024</v>
      </c>
      <c r="D490" s="19">
        <v>600.29999999999995</v>
      </c>
      <c r="E490" t="s">
        <v>502</v>
      </c>
      <c r="F490" t="s">
        <v>277</v>
      </c>
      <c r="G490" t="s">
        <v>171</v>
      </c>
      <c r="H490" t="s">
        <v>1022</v>
      </c>
      <c r="I490" t="s">
        <v>416</v>
      </c>
    </row>
    <row r="491" spans="1:9" x14ac:dyDescent="0.25">
      <c r="A491" t="s">
        <v>1239</v>
      </c>
      <c r="B491" t="s">
        <v>299</v>
      </c>
      <c r="C491" t="s">
        <v>1026</v>
      </c>
      <c r="D491" s="40"/>
      <c r="F491" t="s">
        <v>277</v>
      </c>
      <c r="G491" t="s">
        <v>579</v>
      </c>
      <c r="H491" t="s">
        <v>1027</v>
      </c>
      <c r="I491" t="s">
        <v>416</v>
      </c>
    </row>
    <row r="492" spans="1:9" x14ac:dyDescent="0.25">
      <c r="A492" t="s">
        <v>1240</v>
      </c>
      <c r="B492" t="s">
        <v>299</v>
      </c>
      <c r="C492" t="s">
        <v>1029</v>
      </c>
      <c r="D492" s="40"/>
      <c r="F492" t="s">
        <v>277</v>
      </c>
      <c r="G492" t="s">
        <v>579</v>
      </c>
      <c r="H492" t="s">
        <v>1027</v>
      </c>
      <c r="I492" t="s">
        <v>416</v>
      </c>
    </row>
    <row r="493" spans="1:9" x14ac:dyDescent="0.25">
      <c r="A493" t="s">
        <v>1241</v>
      </c>
      <c r="B493" t="s">
        <v>299</v>
      </c>
      <c r="C493" t="s">
        <v>1031</v>
      </c>
      <c r="D493" s="40"/>
      <c r="F493" t="s">
        <v>277</v>
      </c>
      <c r="G493" t="s">
        <v>579</v>
      </c>
      <c r="H493" t="s">
        <v>1027</v>
      </c>
      <c r="I493" t="s">
        <v>416</v>
      </c>
    </row>
    <row r="494" spans="1:9" x14ac:dyDescent="0.25">
      <c r="A494" t="s">
        <v>1242</v>
      </c>
      <c r="B494" t="s">
        <v>299</v>
      </c>
      <c r="C494" t="s">
        <v>1033</v>
      </c>
      <c r="D494" s="19">
        <v>127.43</v>
      </c>
      <c r="E494" t="s">
        <v>1000</v>
      </c>
      <c r="F494" t="s">
        <v>277</v>
      </c>
      <c r="G494" t="s">
        <v>171</v>
      </c>
      <c r="H494" t="s">
        <v>1034</v>
      </c>
      <c r="I494" t="s">
        <v>416</v>
      </c>
    </row>
    <row r="495" spans="1:9" x14ac:dyDescent="0.25">
      <c r="A495" t="s">
        <v>1243</v>
      </c>
      <c r="B495" t="s">
        <v>299</v>
      </c>
      <c r="C495" t="s">
        <v>1036</v>
      </c>
      <c r="D495" s="19">
        <v>118.91</v>
      </c>
      <c r="E495" t="s">
        <v>1000</v>
      </c>
      <c r="F495" t="s">
        <v>277</v>
      </c>
      <c r="G495" t="s">
        <v>171</v>
      </c>
      <c r="H495" t="s">
        <v>1034</v>
      </c>
      <c r="I495" t="s">
        <v>416</v>
      </c>
    </row>
    <row r="496" spans="1:9" x14ac:dyDescent="0.25">
      <c r="A496" t="s">
        <v>1244</v>
      </c>
      <c r="B496" t="s">
        <v>299</v>
      </c>
      <c r="C496" t="s">
        <v>1038</v>
      </c>
      <c r="D496" s="19">
        <v>97.81</v>
      </c>
      <c r="E496" t="s">
        <v>1000</v>
      </c>
      <c r="F496" t="s">
        <v>277</v>
      </c>
      <c r="G496" t="s">
        <v>171</v>
      </c>
      <c r="H496" t="s">
        <v>1034</v>
      </c>
      <c r="I496" t="s">
        <v>416</v>
      </c>
    </row>
    <row r="497" spans="1:9" x14ac:dyDescent="0.25">
      <c r="A497" t="s">
        <v>1245</v>
      </c>
      <c r="B497" t="s">
        <v>299</v>
      </c>
      <c r="C497" t="s">
        <v>1040</v>
      </c>
      <c r="D497" s="19">
        <v>103.55</v>
      </c>
      <c r="E497" t="s">
        <v>1000</v>
      </c>
      <c r="F497" t="s">
        <v>277</v>
      </c>
      <c r="G497" t="s">
        <v>171</v>
      </c>
      <c r="H497" t="s">
        <v>1034</v>
      </c>
      <c r="I497" t="s">
        <v>416</v>
      </c>
    </row>
    <row r="498" spans="1:9" x14ac:dyDescent="0.25">
      <c r="A498" t="s">
        <v>1246</v>
      </c>
      <c r="B498" t="s">
        <v>299</v>
      </c>
      <c r="C498" t="s">
        <v>1042</v>
      </c>
      <c r="D498" s="19">
        <v>113.51</v>
      </c>
      <c r="E498" t="s">
        <v>1000</v>
      </c>
      <c r="F498" t="s">
        <v>277</v>
      </c>
      <c r="G498" t="s">
        <v>171</v>
      </c>
      <c r="H498" t="s">
        <v>1034</v>
      </c>
      <c r="I498" t="s">
        <v>416</v>
      </c>
    </row>
    <row r="499" spans="1:9" x14ac:dyDescent="0.25">
      <c r="A499" t="s">
        <v>1247</v>
      </c>
      <c r="B499" t="s">
        <v>299</v>
      </c>
      <c r="C499" t="s">
        <v>1044</v>
      </c>
      <c r="D499" s="19">
        <v>113.84</v>
      </c>
      <c r="E499" t="s">
        <v>1000</v>
      </c>
      <c r="F499" t="s">
        <v>277</v>
      </c>
      <c r="G499" t="s">
        <v>171</v>
      </c>
      <c r="H499" t="s">
        <v>1034</v>
      </c>
      <c r="I499" t="s">
        <v>416</v>
      </c>
    </row>
    <row r="500" spans="1:9" x14ac:dyDescent="0.25">
      <c r="A500" t="s">
        <v>1248</v>
      </c>
      <c r="B500" t="s">
        <v>299</v>
      </c>
      <c r="C500" t="s">
        <v>1046</v>
      </c>
      <c r="D500" s="19">
        <v>122.86</v>
      </c>
      <c r="E500" t="s">
        <v>1000</v>
      </c>
      <c r="F500" t="s">
        <v>277</v>
      </c>
      <c r="G500" t="s">
        <v>171</v>
      </c>
      <c r="H500" t="s">
        <v>1034</v>
      </c>
      <c r="I500" t="s">
        <v>416</v>
      </c>
    </row>
    <row r="501" spans="1:9" x14ac:dyDescent="0.25">
      <c r="A501" t="s">
        <v>1249</v>
      </c>
      <c r="B501" t="s">
        <v>299</v>
      </c>
      <c r="C501" t="s">
        <v>1048</v>
      </c>
      <c r="D501" s="19">
        <v>4.42</v>
      </c>
      <c r="E501" t="s">
        <v>1000</v>
      </c>
      <c r="F501" t="s">
        <v>277</v>
      </c>
      <c r="G501" t="s">
        <v>171</v>
      </c>
      <c r="H501" t="s">
        <v>1250</v>
      </c>
      <c r="I501" t="s">
        <v>416</v>
      </c>
    </row>
    <row r="502" spans="1:9" x14ac:dyDescent="0.25">
      <c r="A502" t="s">
        <v>1251</v>
      </c>
      <c r="B502" t="s">
        <v>299</v>
      </c>
      <c r="C502" t="s">
        <v>1051</v>
      </c>
      <c r="D502" s="19">
        <v>4.24</v>
      </c>
      <c r="E502" t="s">
        <v>1000</v>
      </c>
      <c r="F502" t="s">
        <v>277</v>
      </c>
      <c r="G502" t="s">
        <v>171</v>
      </c>
      <c r="H502" t="s">
        <v>1052</v>
      </c>
      <c r="I502" t="s">
        <v>416</v>
      </c>
    </row>
    <row r="503" spans="1:9" x14ac:dyDescent="0.25">
      <c r="A503" t="s">
        <v>1252</v>
      </c>
      <c r="B503" t="s">
        <v>299</v>
      </c>
      <c r="C503" t="s">
        <v>1054</v>
      </c>
      <c r="D503" s="19">
        <v>4.32</v>
      </c>
      <c r="E503" t="s">
        <v>1000</v>
      </c>
      <c r="F503" t="s">
        <v>277</v>
      </c>
      <c r="G503" t="s">
        <v>171</v>
      </c>
      <c r="H503" t="s">
        <v>1055</v>
      </c>
      <c r="I503" t="s">
        <v>416</v>
      </c>
    </row>
    <row r="504" spans="1:9" x14ac:dyDescent="0.25">
      <c r="A504" t="s">
        <v>1253</v>
      </c>
      <c r="B504" t="s">
        <v>299</v>
      </c>
      <c r="C504" t="s">
        <v>1057</v>
      </c>
      <c r="D504" s="19">
        <v>3118.3</v>
      </c>
      <c r="E504" t="s">
        <v>502</v>
      </c>
      <c r="F504" t="s">
        <v>277</v>
      </c>
      <c r="G504" t="s">
        <v>171</v>
      </c>
      <c r="H504" t="s">
        <v>1254</v>
      </c>
      <c r="I504" t="s">
        <v>416</v>
      </c>
    </row>
    <row r="505" spans="1:9" x14ac:dyDescent="0.25">
      <c r="A505" t="s">
        <v>1255</v>
      </c>
      <c r="B505" t="s">
        <v>299</v>
      </c>
      <c r="C505" t="s">
        <v>1060</v>
      </c>
      <c r="D505" s="19">
        <v>3393.8</v>
      </c>
      <c r="E505" t="s">
        <v>502</v>
      </c>
      <c r="F505" t="s">
        <v>277</v>
      </c>
      <c r="G505" t="s">
        <v>171</v>
      </c>
      <c r="H505" t="s">
        <v>1256</v>
      </c>
      <c r="I505" t="s">
        <v>416</v>
      </c>
    </row>
    <row r="506" spans="1:9" x14ac:dyDescent="0.25">
      <c r="A506" t="s">
        <v>1257</v>
      </c>
      <c r="B506" t="s">
        <v>299</v>
      </c>
      <c r="C506" t="s">
        <v>1063</v>
      </c>
      <c r="D506" s="19">
        <v>38.69</v>
      </c>
      <c r="E506" t="s">
        <v>168</v>
      </c>
      <c r="F506" t="s">
        <v>277</v>
      </c>
      <c r="G506" t="s">
        <v>171</v>
      </c>
      <c r="H506" t="s">
        <v>1064</v>
      </c>
      <c r="I506" t="s">
        <v>416</v>
      </c>
    </row>
    <row r="507" spans="1:9" x14ac:dyDescent="0.25">
      <c r="A507" t="s">
        <v>1258</v>
      </c>
      <c r="B507" t="s">
        <v>299</v>
      </c>
      <c r="C507" t="s">
        <v>1066</v>
      </c>
      <c r="D507" s="19">
        <v>38.28</v>
      </c>
      <c r="E507" t="s">
        <v>168</v>
      </c>
      <c r="F507" t="s">
        <v>277</v>
      </c>
      <c r="G507" t="s">
        <v>171</v>
      </c>
      <c r="H507" t="s">
        <v>1064</v>
      </c>
      <c r="I507" t="s">
        <v>416</v>
      </c>
    </row>
    <row r="508" spans="1:9" x14ac:dyDescent="0.25">
      <c r="A508" t="s">
        <v>1259</v>
      </c>
      <c r="B508" t="s">
        <v>299</v>
      </c>
      <c r="C508" t="s">
        <v>1068</v>
      </c>
      <c r="D508" s="19">
        <v>38.799999999999997</v>
      </c>
      <c r="E508" t="s">
        <v>168</v>
      </c>
      <c r="F508" t="s">
        <v>277</v>
      </c>
      <c r="G508" t="s">
        <v>171</v>
      </c>
      <c r="H508" t="s">
        <v>1064</v>
      </c>
      <c r="I508" t="s">
        <v>416</v>
      </c>
    </row>
    <row r="509" spans="1:9" x14ac:dyDescent="0.25">
      <c r="A509" t="s">
        <v>1260</v>
      </c>
      <c r="B509" t="s">
        <v>299</v>
      </c>
      <c r="C509" t="s">
        <v>1070</v>
      </c>
      <c r="D509" s="19">
        <v>1184.0999999999999</v>
      </c>
      <c r="E509" t="s">
        <v>502</v>
      </c>
      <c r="F509" t="s">
        <v>277</v>
      </c>
      <c r="G509" t="s">
        <v>171</v>
      </c>
      <c r="H509" t="s">
        <v>1071</v>
      </c>
      <c r="I509" t="s">
        <v>416</v>
      </c>
    </row>
    <row r="510" spans="1:9" x14ac:dyDescent="0.25">
      <c r="A510" t="s">
        <v>1261</v>
      </c>
      <c r="B510" t="s">
        <v>299</v>
      </c>
      <c r="C510" t="s">
        <v>1073</v>
      </c>
      <c r="D510" s="19">
        <v>1266.68</v>
      </c>
      <c r="E510" t="s">
        <v>502</v>
      </c>
      <c r="F510" t="s">
        <v>277</v>
      </c>
      <c r="G510" t="s">
        <v>171</v>
      </c>
      <c r="H510" t="s">
        <v>1071</v>
      </c>
      <c r="I510" t="s">
        <v>416</v>
      </c>
    </row>
    <row r="511" spans="1:9" x14ac:dyDescent="0.25">
      <c r="A511" t="s">
        <v>1262</v>
      </c>
      <c r="B511" t="s">
        <v>299</v>
      </c>
      <c r="C511" t="s">
        <v>1075</v>
      </c>
      <c r="D511" s="19">
        <v>1297.75</v>
      </c>
      <c r="E511" t="s">
        <v>502</v>
      </c>
      <c r="F511" t="s">
        <v>277</v>
      </c>
      <c r="G511" t="s">
        <v>171</v>
      </c>
      <c r="H511" t="s">
        <v>1071</v>
      </c>
      <c r="I511" t="s">
        <v>416</v>
      </c>
    </row>
    <row r="512" spans="1:9" x14ac:dyDescent="0.25">
      <c r="A512" t="s">
        <v>1263</v>
      </c>
      <c r="B512" t="s">
        <v>299</v>
      </c>
      <c r="C512" t="s">
        <v>1077</v>
      </c>
      <c r="D512" s="19">
        <v>4.4800000000000004</v>
      </c>
      <c r="E512" t="s">
        <v>1000</v>
      </c>
      <c r="F512" t="s">
        <v>277</v>
      </c>
      <c r="G512" t="s">
        <v>171</v>
      </c>
      <c r="H512" t="s">
        <v>1078</v>
      </c>
      <c r="I512" t="s">
        <v>416</v>
      </c>
    </row>
    <row r="513" spans="1:9" x14ac:dyDescent="0.25">
      <c r="A513" t="s">
        <v>1264</v>
      </c>
      <c r="B513" t="s">
        <v>299</v>
      </c>
      <c r="C513" t="s">
        <v>1080</v>
      </c>
      <c r="D513" s="19">
        <v>4.63</v>
      </c>
      <c r="E513" t="s">
        <v>1000</v>
      </c>
      <c r="F513" t="s">
        <v>277</v>
      </c>
      <c r="G513" t="s">
        <v>171</v>
      </c>
      <c r="H513" t="s">
        <v>1078</v>
      </c>
      <c r="I513" t="s">
        <v>416</v>
      </c>
    </row>
    <row r="514" spans="1:9" x14ac:dyDescent="0.25">
      <c r="A514" t="s">
        <v>1265</v>
      </c>
      <c r="B514" t="s">
        <v>299</v>
      </c>
      <c r="C514" t="s">
        <v>1082</v>
      </c>
      <c r="D514" s="19">
        <v>4.79</v>
      </c>
      <c r="E514" t="s">
        <v>1000</v>
      </c>
      <c r="F514" t="s">
        <v>277</v>
      </c>
      <c r="G514" t="s">
        <v>171</v>
      </c>
      <c r="H514" t="s">
        <v>1078</v>
      </c>
      <c r="I514" t="s">
        <v>416</v>
      </c>
    </row>
    <row r="515" spans="1:9" x14ac:dyDescent="0.25">
      <c r="A515" t="s">
        <v>1266</v>
      </c>
      <c r="B515" t="s">
        <v>299</v>
      </c>
      <c r="C515" t="s">
        <v>1084</v>
      </c>
      <c r="D515" s="19">
        <v>326.5</v>
      </c>
      <c r="E515" t="s">
        <v>502</v>
      </c>
      <c r="F515" t="s">
        <v>277</v>
      </c>
      <c r="G515" t="s">
        <v>171</v>
      </c>
      <c r="H515" t="s">
        <v>1085</v>
      </c>
      <c r="I515" t="s">
        <v>416</v>
      </c>
    </row>
    <row r="516" spans="1:9" x14ac:dyDescent="0.25">
      <c r="A516" t="s">
        <v>1267</v>
      </c>
      <c r="B516" t="s">
        <v>299</v>
      </c>
      <c r="C516" t="s">
        <v>1087</v>
      </c>
      <c r="D516" s="19">
        <v>344.81</v>
      </c>
      <c r="E516" t="s">
        <v>502</v>
      </c>
      <c r="F516" t="s">
        <v>277</v>
      </c>
      <c r="G516" t="s">
        <v>171</v>
      </c>
      <c r="H516" t="s">
        <v>1085</v>
      </c>
      <c r="I516" t="s">
        <v>416</v>
      </c>
    </row>
    <row r="517" spans="1:9" x14ac:dyDescent="0.25">
      <c r="A517" t="s">
        <v>1268</v>
      </c>
      <c r="B517" t="s">
        <v>299</v>
      </c>
      <c r="C517" t="s">
        <v>1089</v>
      </c>
      <c r="D517" s="19">
        <v>347.89</v>
      </c>
      <c r="E517" t="s">
        <v>502</v>
      </c>
      <c r="F517" t="s">
        <v>277</v>
      </c>
      <c r="G517" t="s">
        <v>171</v>
      </c>
      <c r="H517" t="s">
        <v>1085</v>
      </c>
      <c r="I517" t="s">
        <v>416</v>
      </c>
    </row>
    <row r="518" spans="1:9" x14ac:dyDescent="0.25">
      <c r="A518" t="s">
        <v>1269</v>
      </c>
      <c r="B518" t="s">
        <v>299</v>
      </c>
      <c r="C518" t="s">
        <v>1091</v>
      </c>
      <c r="D518" s="19">
        <v>8930.34</v>
      </c>
      <c r="E518" t="s">
        <v>502</v>
      </c>
      <c r="F518" t="s">
        <v>277</v>
      </c>
      <c r="G518" t="s">
        <v>171</v>
      </c>
      <c r="H518" t="s">
        <v>1092</v>
      </c>
      <c r="I518" t="s">
        <v>416</v>
      </c>
    </row>
    <row r="519" spans="1:9" x14ac:dyDescent="0.25">
      <c r="A519" t="s">
        <v>1270</v>
      </c>
      <c r="B519" t="s">
        <v>299</v>
      </c>
      <c r="C519" t="s">
        <v>1094</v>
      </c>
      <c r="D519" s="19">
        <v>9037.5300000000007</v>
      </c>
      <c r="E519" t="s">
        <v>502</v>
      </c>
      <c r="F519" t="s">
        <v>277</v>
      </c>
      <c r="G519" t="s">
        <v>171</v>
      </c>
      <c r="H519" t="s">
        <v>1092</v>
      </c>
      <c r="I519" t="s">
        <v>416</v>
      </c>
    </row>
    <row r="520" spans="1:9" x14ac:dyDescent="0.25">
      <c r="A520" t="s">
        <v>1271</v>
      </c>
      <c r="B520" t="s">
        <v>299</v>
      </c>
      <c r="C520" t="s">
        <v>1096</v>
      </c>
      <c r="D520" s="19">
        <v>9190.85</v>
      </c>
      <c r="E520" t="s">
        <v>502</v>
      </c>
      <c r="F520" t="s">
        <v>277</v>
      </c>
      <c r="G520" t="s">
        <v>171</v>
      </c>
      <c r="H520" t="s">
        <v>1092</v>
      </c>
      <c r="I520" t="s">
        <v>416</v>
      </c>
    </row>
    <row r="521" spans="1:9" x14ac:dyDescent="0.25">
      <c r="A521" t="s">
        <v>1272</v>
      </c>
      <c r="B521" t="s">
        <v>303</v>
      </c>
      <c r="C521" t="s">
        <v>1007</v>
      </c>
      <c r="D521" s="19">
        <v>1787.2</v>
      </c>
      <c r="E521" t="s">
        <v>502</v>
      </c>
      <c r="F521" t="s">
        <v>277</v>
      </c>
      <c r="G521" t="s">
        <v>169</v>
      </c>
      <c r="H521" t="s">
        <v>1273</v>
      </c>
      <c r="I521" t="s">
        <v>416</v>
      </c>
    </row>
    <row r="522" spans="1:9" x14ac:dyDescent="0.25">
      <c r="A522" t="s">
        <v>1274</v>
      </c>
      <c r="B522" t="s">
        <v>303</v>
      </c>
      <c r="C522" t="s">
        <v>1229</v>
      </c>
      <c r="D522" s="19">
        <v>9744</v>
      </c>
      <c r="E522" t="s">
        <v>502</v>
      </c>
      <c r="F522" t="s">
        <v>277</v>
      </c>
      <c r="G522" t="s">
        <v>171</v>
      </c>
      <c r="H522" t="s">
        <v>1230</v>
      </c>
      <c r="I522" t="s">
        <v>416</v>
      </c>
    </row>
    <row r="523" spans="1:9" x14ac:dyDescent="0.25">
      <c r="A523" t="s">
        <v>1275</v>
      </c>
      <c r="B523" t="s">
        <v>303</v>
      </c>
      <c r="C523" t="s">
        <v>1232</v>
      </c>
      <c r="D523" s="19">
        <v>1594</v>
      </c>
      <c r="E523" t="s">
        <v>502</v>
      </c>
      <c r="F523" t="s">
        <v>277</v>
      </c>
      <c r="G523" t="s">
        <v>171</v>
      </c>
      <c r="H523" t="s">
        <v>1230</v>
      </c>
      <c r="I523" t="s">
        <v>416</v>
      </c>
    </row>
    <row r="524" spans="1:9" x14ac:dyDescent="0.25">
      <c r="A524" t="s">
        <v>1276</v>
      </c>
      <c r="B524" t="s">
        <v>303</v>
      </c>
      <c r="C524" t="s">
        <v>1016</v>
      </c>
      <c r="D524" s="19">
        <v>9555.92</v>
      </c>
      <c r="E524" t="s">
        <v>502</v>
      </c>
      <c r="F524" t="s">
        <v>277</v>
      </c>
      <c r="G524" t="s">
        <v>171</v>
      </c>
      <c r="H524" t="s">
        <v>1277</v>
      </c>
      <c r="I524" t="s">
        <v>416</v>
      </c>
    </row>
    <row r="525" spans="1:9" x14ac:dyDescent="0.25">
      <c r="A525" t="s">
        <v>1278</v>
      </c>
      <c r="B525" t="s">
        <v>303</v>
      </c>
      <c r="C525" t="s">
        <v>1019</v>
      </c>
      <c r="D525" s="40"/>
      <c r="E525" t="s">
        <v>502</v>
      </c>
      <c r="F525" t="s">
        <v>277</v>
      </c>
      <c r="G525" t="s">
        <v>579</v>
      </c>
      <c r="H525" t="s">
        <v>1236</v>
      </c>
      <c r="I525" t="s">
        <v>416</v>
      </c>
    </row>
    <row r="526" spans="1:9" x14ac:dyDescent="0.25">
      <c r="A526" t="s">
        <v>1279</v>
      </c>
      <c r="B526" t="s">
        <v>303</v>
      </c>
      <c r="C526" t="s">
        <v>1021</v>
      </c>
      <c r="D526" s="19">
        <v>576.79999999999995</v>
      </c>
      <c r="E526" t="s">
        <v>502</v>
      </c>
      <c r="F526" t="s">
        <v>277</v>
      </c>
      <c r="G526" t="s">
        <v>171</v>
      </c>
      <c r="H526" t="s">
        <v>1022</v>
      </c>
      <c r="I526" t="s">
        <v>416</v>
      </c>
    </row>
    <row r="527" spans="1:9" x14ac:dyDescent="0.25">
      <c r="A527" t="s">
        <v>1280</v>
      </c>
      <c r="B527" t="s">
        <v>303</v>
      </c>
      <c r="C527" t="s">
        <v>1024</v>
      </c>
      <c r="D527" s="19">
        <v>717.6</v>
      </c>
      <c r="E527" t="s">
        <v>502</v>
      </c>
      <c r="F527" t="s">
        <v>277</v>
      </c>
      <c r="G527" t="s">
        <v>171</v>
      </c>
      <c r="H527" t="s">
        <v>1022</v>
      </c>
      <c r="I527" t="s">
        <v>416</v>
      </c>
    </row>
    <row r="528" spans="1:9" x14ac:dyDescent="0.25">
      <c r="A528" t="s">
        <v>1281</v>
      </c>
      <c r="B528" t="s">
        <v>303</v>
      </c>
      <c r="C528" t="s">
        <v>1026</v>
      </c>
      <c r="D528" s="40"/>
      <c r="F528" t="s">
        <v>277</v>
      </c>
      <c r="G528" t="s">
        <v>579</v>
      </c>
      <c r="H528" t="s">
        <v>1027</v>
      </c>
      <c r="I528" t="s">
        <v>416</v>
      </c>
    </row>
    <row r="529" spans="1:9" x14ac:dyDescent="0.25">
      <c r="A529" t="s">
        <v>1282</v>
      </c>
      <c r="B529" t="s">
        <v>303</v>
      </c>
      <c r="C529" t="s">
        <v>1029</v>
      </c>
      <c r="D529" s="40"/>
      <c r="F529" t="s">
        <v>277</v>
      </c>
      <c r="G529" t="s">
        <v>579</v>
      </c>
      <c r="H529" t="s">
        <v>1027</v>
      </c>
      <c r="I529" t="s">
        <v>416</v>
      </c>
    </row>
    <row r="530" spans="1:9" x14ac:dyDescent="0.25">
      <c r="A530" t="s">
        <v>1283</v>
      </c>
      <c r="B530" t="s">
        <v>303</v>
      </c>
      <c r="C530" t="s">
        <v>1031</v>
      </c>
      <c r="D530" s="40"/>
      <c r="F530" t="s">
        <v>277</v>
      </c>
      <c r="G530" t="s">
        <v>579</v>
      </c>
      <c r="H530" t="s">
        <v>1027</v>
      </c>
      <c r="I530" t="s">
        <v>416</v>
      </c>
    </row>
    <row r="531" spans="1:9" x14ac:dyDescent="0.25">
      <c r="A531" t="s">
        <v>1284</v>
      </c>
      <c r="B531" t="s">
        <v>303</v>
      </c>
      <c r="C531" t="s">
        <v>1033</v>
      </c>
      <c r="D531" s="19">
        <v>19.87</v>
      </c>
      <c r="E531" t="s">
        <v>1000</v>
      </c>
      <c r="F531" t="s">
        <v>277</v>
      </c>
      <c r="G531" t="s">
        <v>171</v>
      </c>
      <c r="H531" t="s">
        <v>1034</v>
      </c>
      <c r="I531" t="s">
        <v>416</v>
      </c>
    </row>
    <row r="532" spans="1:9" x14ac:dyDescent="0.25">
      <c r="A532" t="s">
        <v>1285</v>
      </c>
      <c r="B532" t="s">
        <v>303</v>
      </c>
      <c r="C532" t="s">
        <v>1036</v>
      </c>
      <c r="D532" s="19">
        <v>19.829999999999998</v>
      </c>
      <c r="E532" t="s">
        <v>1000</v>
      </c>
      <c r="F532" t="s">
        <v>277</v>
      </c>
      <c r="G532" t="s">
        <v>171</v>
      </c>
      <c r="H532" t="s">
        <v>1034</v>
      </c>
      <c r="I532" t="s">
        <v>416</v>
      </c>
    </row>
    <row r="533" spans="1:9" x14ac:dyDescent="0.25">
      <c r="A533" t="s">
        <v>1286</v>
      </c>
      <c r="B533" t="s">
        <v>303</v>
      </c>
      <c r="C533" t="s">
        <v>1038</v>
      </c>
      <c r="D533" s="19">
        <v>27.87</v>
      </c>
      <c r="E533" t="s">
        <v>1000</v>
      </c>
      <c r="F533" t="s">
        <v>277</v>
      </c>
      <c r="G533" t="s">
        <v>171</v>
      </c>
      <c r="H533" t="s">
        <v>1034</v>
      </c>
      <c r="I533" t="s">
        <v>416</v>
      </c>
    </row>
    <row r="534" spans="1:9" x14ac:dyDescent="0.25">
      <c r="A534" t="s">
        <v>1287</v>
      </c>
      <c r="B534" t="s">
        <v>303</v>
      </c>
      <c r="C534" t="s">
        <v>1040</v>
      </c>
      <c r="D534" s="19">
        <v>30.13</v>
      </c>
      <c r="E534" t="s">
        <v>1000</v>
      </c>
      <c r="F534" t="s">
        <v>277</v>
      </c>
      <c r="G534" t="s">
        <v>171</v>
      </c>
      <c r="H534" t="s">
        <v>1034</v>
      </c>
      <c r="I534" t="s">
        <v>416</v>
      </c>
    </row>
    <row r="535" spans="1:9" x14ac:dyDescent="0.25">
      <c r="A535" t="s">
        <v>1288</v>
      </c>
      <c r="B535" t="s">
        <v>303</v>
      </c>
      <c r="C535" t="s">
        <v>1042</v>
      </c>
      <c r="D535" s="19">
        <v>46.65</v>
      </c>
      <c r="E535" t="s">
        <v>1000</v>
      </c>
      <c r="F535" t="s">
        <v>277</v>
      </c>
      <c r="G535" t="s">
        <v>171</v>
      </c>
      <c r="H535" t="s">
        <v>1034</v>
      </c>
      <c r="I535" t="s">
        <v>416</v>
      </c>
    </row>
    <row r="536" spans="1:9" x14ac:dyDescent="0.25">
      <c r="A536" t="s">
        <v>1289</v>
      </c>
      <c r="B536" t="s">
        <v>303</v>
      </c>
      <c r="C536" t="s">
        <v>1044</v>
      </c>
      <c r="D536" s="19">
        <v>40.409999999999997</v>
      </c>
      <c r="E536" t="s">
        <v>1000</v>
      </c>
      <c r="F536" t="s">
        <v>277</v>
      </c>
      <c r="G536" t="s">
        <v>171</v>
      </c>
      <c r="H536" t="s">
        <v>1034</v>
      </c>
      <c r="I536" t="s">
        <v>416</v>
      </c>
    </row>
    <row r="537" spans="1:9" x14ac:dyDescent="0.25">
      <c r="A537" t="s">
        <v>1290</v>
      </c>
      <c r="B537" t="s">
        <v>303</v>
      </c>
      <c r="C537" t="s">
        <v>1046</v>
      </c>
      <c r="D537" s="19">
        <v>39.950000000000003</v>
      </c>
      <c r="E537" t="s">
        <v>1000</v>
      </c>
      <c r="F537" t="s">
        <v>277</v>
      </c>
      <c r="G537" t="s">
        <v>171</v>
      </c>
      <c r="H537" t="s">
        <v>1034</v>
      </c>
      <c r="I537" t="s">
        <v>416</v>
      </c>
    </row>
    <row r="538" spans="1:9" x14ac:dyDescent="0.25">
      <c r="A538" t="s">
        <v>1291</v>
      </c>
      <c r="B538" t="s">
        <v>303</v>
      </c>
      <c r="C538" t="s">
        <v>1048</v>
      </c>
      <c r="D538" s="19">
        <v>1.56</v>
      </c>
      <c r="E538" t="s">
        <v>1000</v>
      </c>
      <c r="F538" t="s">
        <v>277</v>
      </c>
      <c r="G538" t="s">
        <v>171</v>
      </c>
      <c r="H538" t="s">
        <v>1292</v>
      </c>
      <c r="I538" t="s">
        <v>416</v>
      </c>
    </row>
    <row r="539" spans="1:9" x14ac:dyDescent="0.25">
      <c r="A539" t="s">
        <v>1293</v>
      </c>
      <c r="B539" t="s">
        <v>303</v>
      </c>
      <c r="C539" t="s">
        <v>1051</v>
      </c>
      <c r="D539" s="19">
        <v>1.48</v>
      </c>
      <c r="E539" t="s">
        <v>1000</v>
      </c>
      <c r="F539" t="s">
        <v>277</v>
      </c>
      <c r="G539" t="s">
        <v>171</v>
      </c>
      <c r="H539" t="s">
        <v>1052</v>
      </c>
      <c r="I539" t="s">
        <v>416</v>
      </c>
    </row>
    <row r="540" spans="1:9" x14ac:dyDescent="0.25">
      <c r="A540" t="s">
        <v>1294</v>
      </c>
      <c r="B540" t="s">
        <v>303</v>
      </c>
      <c r="C540" t="s">
        <v>1054</v>
      </c>
      <c r="D540" s="19">
        <v>1.54</v>
      </c>
      <c r="E540" t="s">
        <v>1000</v>
      </c>
      <c r="F540" t="s">
        <v>277</v>
      </c>
      <c r="G540" t="s">
        <v>171</v>
      </c>
      <c r="H540" t="s">
        <v>1055</v>
      </c>
      <c r="I540" t="s">
        <v>416</v>
      </c>
    </row>
    <row r="541" spans="1:9" x14ac:dyDescent="0.25">
      <c r="A541" t="s">
        <v>1295</v>
      </c>
      <c r="B541" t="s">
        <v>303</v>
      </c>
      <c r="C541" t="s">
        <v>1057</v>
      </c>
      <c r="D541" s="19">
        <v>3017</v>
      </c>
      <c r="E541" t="s">
        <v>502</v>
      </c>
      <c r="F541" t="s">
        <v>277</v>
      </c>
      <c r="G541" t="s">
        <v>171</v>
      </c>
      <c r="H541" t="s">
        <v>1296</v>
      </c>
      <c r="I541" t="s">
        <v>416</v>
      </c>
    </row>
    <row r="542" spans="1:9" x14ac:dyDescent="0.25">
      <c r="A542" t="s">
        <v>1297</v>
      </c>
      <c r="B542" t="s">
        <v>303</v>
      </c>
      <c r="C542" t="s">
        <v>1060</v>
      </c>
      <c r="D542" s="19">
        <v>3151</v>
      </c>
      <c r="E542" t="s">
        <v>502</v>
      </c>
      <c r="F542" t="s">
        <v>277</v>
      </c>
      <c r="G542" t="s">
        <v>171</v>
      </c>
      <c r="H542" t="s">
        <v>1298</v>
      </c>
      <c r="I542" t="s">
        <v>416</v>
      </c>
    </row>
    <row r="543" spans="1:9" x14ac:dyDescent="0.25">
      <c r="A543" t="s">
        <v>1299</v>
      </c>
      <c r="B543" t="s">
        <v>303</v>
      </c>
      <c r="C543" t="s">
        <v>1063</v>
      </c>
      <c r="D543" s="19">
        <v>27.73</v>
      </c>
      <c r="E543" t="s">
        <v>168</v>
      </c>
      <c r="F543" t="s">
        <v>277</v>
      </c>
      <c r="G543" t="s">
        <v>171</v>
      </c>
      <c r="H543" t="s">
        <v>1064</v>
      </c>
      <c r="I543" t="s">
        <v>416</v>
      </c>
    </row>
    <row r="544" spans="1:9" x14ac:dyDescent="0.25">
      <c r="A544" t="s">
        <v>1300</v>
      </c>
      <c r="B544" t="s">
        <v>303</v>
      </c>
      <c r="C544" t="s">
        <v>1066</v>
      </c>
      <c r="D544" s="19">
        <v>28.46</v>
      </c>
      <c r="E544" t="s">
        <v>168</v>
      </c>
      <c r="F544" t="s">
        <v>277</v>
      </c>
      <c r="G544" t="s">
        <v>171</v>
      </c>
      <c r="H544" t="s">
        <v>1064</v>
      </c>
      <c r="I544" t="s">
        <v>416</v>
      </c>
    </row>
    <row r="545" spans="1:9" x14ac:dyDescent="0.25">
      <c r="A545" t="s">
        <v>1301</v>
      </c>
      <c r="B545" t="s">
        <v>303</v>
      </c>
      <c r="C545" t="s">
        <v>1068</v>
      </c>
      <c r="D545" s="19">
        <v>28.69</v>
      </c>
      <c r="E545" t="s">
        <v>168</v>
      </c>
      <c r="F545" t="s">
        <v>277</v>
      </c>
      <c r="G545" t="s">
        <v>171</v>
      </c>
      <c r="H545" t="s">
        <v>1064</v>
      </c>
      <c r="I545" t="s">
        <v>416</v>
      </c>
    </row>
    <row r="546" spans="1:9" x14ac:dyDescent="0.25">
      <c r="A546" t="s">
        <v>1302</v>
      </c>
      <c r="B546" t="s">
        <v>303</v>
      </c>
      <c r="C546" t="s">
        <v>1070</v>
      </c>
      <c r="D546" s="19">
        <v>767.37</v>
      </c>
      <c r="E546" t="s">
        <v>502</v>
      </c>
      <c r="F546" t="s">
        <v>277</v>
      </c>
      <c r="G546" t="s">
        <v>171</v>
      </c>
      <c r="H546" t="s">
        <v>1071</v>
      </c>
      <c r="I546" t="s">
        <v>416</v>
      </c>
    </row>
    <row r="547" spans="1:9" x14ac:dyDescent="0.25">
      <c r="A547" t="s">
        <v>1303</v>
      </c>
      <c r="B547" t="s">
        <v>303</v>
      </c>
      <c r="C547" t="s">
        <v>1073</v>
      </c>
      <c r="D547" s="19">
        <v>712.08</v>
      </c>
      <c r="E547" t="s">
        <v>502</v>
      </c>
      <c r="F547" t="s">
        <v>277</v>
      </c>
      <c r="G547" t="s">
        <v>171</v>
      </c>
      <c r="H547" t="s">
        <v>1071</v>
      </c>
      <c r="I547" t="s">
        <v>416</v>
      </c>
    </row>
    <row r="548" spans="1:9" x14ac:dyDescent="0.25">
      <c r="A548" t="s">
        <v>1304</v>
      </c>
      <c r="B548" t="s">
        <v>303</v>
      </c>
      <c r="C548" t="s">
        <v>1075</v>
      </c>
      <c r="D548" s="19">
        <v>647.5</v>
      </c>
      <c r="E548" t="s">
        <v>502</v>
      </c>
      <c r="F548" t="s">
        <v>277</v>
      </c>
      <c r="G548" t="s">
        <v>171</v>
      </c>
      <c r="H548" t="s">
        <v>1071</v>
      </c>
      <c r="I548" t="s">
        <v>416</v>
      </c>
    </row>
    <row r="549" spans="1:9" x14ac:dyDescent="0.25">
      <c r="A549" t="s">
        <v>1305</v>
      </c>
      <c r="B549" t="s">
        <v>303</v>
      </c>
      <c r="C549" t="s">
        <v>1077</v>
      </c>
      <c r="D549" s="19">
        <v>1.03</v>
      </c>
      <c r="E549" t="s">
        <v>1000</v>
      </c>
      <c r="F549" t="s">
        <v>277</v>
      </c>
      <c r="G549" t="s">
        <v>171</v>
      </c>
      <c r="H549" t="s">
        <v>1078</v>
      </c>
      <c r="I549" t="s">
        <v>416</v>
      </c>
    </row>
    <row r="550" spans="1:9" x14ac:dyDescent="0.25">
      <c r="A550" t="s">
        <v>1306</v>
      </c>
      <c r="B550" t="s">
        <v>303</v>
      </c>
      <c r="C550" t="s">
        <v>1080</v>
      </c>
      <c r="D550" s="19">
        <v>1.01</v>
      </c>
      <c r="E550" t="s">
        <v>1000</v>
      </c>
      <c r="F550" t="s">
        <v>277</v>
      </c>
      <c r="G550" t="s">
        <v>171</v>
      </c>
      <c r="H550" t="s">
        <v>1078</v>
      </c>
      <c r="I550" t="s">
        <v>416</v>
      </c>
    </row>
    <row r="551" spans="1:9" x14ac:dyDescent="0.25">
      <c r="A551" t="s">
        <v>1307</v>
      </c>
      <c r="B551" t="s">
        <v>303</v>
      </c>
      <c r="C551" t="s">
        <v>1082</v>
      </c>
      <c r="D551" s="19">
        <v>1.03</v>
      </c>
      <c r="E551" t="s">
        <v>1000</v>
      </c>
      <c r="F551" t="s">
        <v>277</v>
      </c>
      <c r="G551" t="s">
        <v>171</v>
      </c>
      <c r="H551" t="s">
        <v>1078</v>
      </c>
      <c r="I551" t="s">
        <v>416</v>
      </c>
    </row>
    <row r="552" spans="1:9" x14ac:dyDescent="0.25">
      <c r="A552" t="s">
        <v>1308</v>
      </c>
      <c r="B552" t="s">
        <v>303</v>
      </c>
      <c r="C552" t="s">
        <v>1084</v>
      </c>
      <c r="D552" s="19">
        <v>324.76</v>
      </c>
      <c r="E552" t="s">
        <v>502</v>
      </c>
      <c r="F552" t="s">
        <v>277</v>
      </c>
      <c r="G552" t="s">
        <v>171</v>
      </c>
      <c r="H552" t="s">
        <v>1085</v>
      </c>
      <c r="I552" t="s">
        <v>416</v>
      </c>
    </row>
    <row r="553" spans="1:9" x14ac:dyDescent="0.25">
      <c r="A553" t="s">
        <v>1309</v>
      </c>
      <c r="B553" t="s">
        <v>303</v>
      </c>
      <c r="C553" t="s">
        <v>1087</v>
      </c>
      <c r="D553" s="19">
        <v>339.2</v>
      </c>
      <c r="E553" t="s">
        <v>502</v>
      </c>
      <c r="F553" t="s">
        <v>277</v>
      </c>
      <c r="G553" t="s">
        <v>171</v>
      </c>
      <c r="H553" t="s">
        <v>1085</v>
      </c>
      <c r="I553" t="s">
        <v>416</v>
      </c>
    </row>
    <row r="554" spans="1:9" x14ac:dyDescent="0.25">
      <c r="A554" t="s">
        <v>1310</v>
      </c>
      <c r="B554" t="s">
        <v>303</v>
      </c>
      <c r="C554" t="s">
        <v>1089</v>
      </c>
      <c r="D554" s="19">
        <v>350.48</v>
      </c>
      <c r="E554" t="s">
        <v>502</v>
      </c>
      <c r="F554" t="s">
        <v>277</v>
      </c>
      <c r="G554" t="s">
        <v>171</v>
      </c>
      <c r="H554" t="s">
        <v>1085</v>
      </c>
      <c r="I554" t="s">
        <v>416</v>
      </c>
    </row>
    <row r="555" spans="1:9" x14ac:dyDescent="0.25">
      <c r="A555" t="s">
        <v>1311</v>
      </c>
      <c r="B555" t="s">
        <v>303</v>
      </c>
      <c r="C555" t="s">
        <v>1091</v>
      </c>
      <c r="D555" s="19">
        <v>9496.56</v>
      </c>
      <c r="E555" t="s">
        <v>502</v>
      </c>
      <c r="F555" t="s">
        <v>277</v>
      </c>
      <c r="G555" t="s">
        <v>171</v>
      </c>
      <c r="H555" t="s">
        <v>1092</v>
      </c>
      <c r="I555" t="s">
        <v>416</v>
      </c>
    </row>
    <row r="556" spans="1:9" x14ac:dyDescent="0.25">
      <c r="A556" t="s">
        <v>1312</v>
      </c>
      <c r="B556" t="s">
        <v>303</v>
      </c>
      <c r="C556" t="s">
        <v>1094</v>
      </c>
      <c r="D556" s="19">
        <v>9469.3799999999992</v>
      </c>
      <c r="E556" t="s">
        <v>502</v>
      </c>
      <c r="F556" t="s">
        <v>277</v>
      </c>
      <c r="G556" t="s">
        <v>171</v>
      </c>
      <c r="H556" t="s">
        <v>1092</v>
      </c>
      <c r="I556" t="s">
        <v>416</v>
      </c>
    </row>
    <row r="557" spans="1:9" x14ac:dyDescent="0.25">
      <c r="A557" t="s">
        <v>1313</v>
      </c>
      <c r="B557" t="s">
        <v>303</v>
      </c>
      <c r="C557" t="s">
        <v>1096</v>
      </c>
      <c r="D557" s="19">
        <v>9555.92</v>
      </c>
      <c r="E557" t="s">
        <v>502</v>
      </c>
      <c r="F557" t="s">
        <v>277</v>
      </c>
      <c r="G557" t="s">
        <v>171</v>
      </c>
      <c r="H557" t="s">
        <v>1092</v>
      </c>
      <c r="I557" t="s">
        <v>416</v>
      </c>
    </row>
    <row r="558" spans="1:9" x14ac:dyDescent="0.25">
      <c r="A558" t="s">
        <v>1314</v>
      </c>
      <c r="B558" t="s">
        <v>307</v>
      </c>
      <c r="C558" t="s">
        <v>1007</v>
      </c>
      <c r="D558" s="19">
        <v>6915.1</v>
      </c>
      <c r="E558" t="s">
        <v>502</v>
      </c>
      <c r="F558" t="s">
        <v>277</v>
      </c>
      <c r="G558" t="s">
        <v>169</v>
      </c>
      <c r="H558" t="s">
        <v>1315</v>
      </c>
      <c r="I558" t="s">
        <v>416</v>
      </c>
    </row>
    <row r="559" spans="1:9" x14ac:dyDescent="0.25">
      <c r="A559" t="s">
        <v>1316</v>
      </c>
      <c r="B559" t="s">
        <v>307</v>
      </c>
      <c r="C559" t="s">
        <v>1010</v>
      </c>
      <c r="D559" s="19">
        <f>Inputs_Sources!$D$269</f>
        <v>40101.199999999997</v>
      </c>
      <c r="E559" t="s">
        <v>502</v>
      </c>
      <c r="F559" t="s">
        <v>277</v>
      </c>
      <c r="G559" t="s">
        <v>169</v>
      </c>
      <c r="H559" t="s">
        <v>1011</v>
      </c>
      <c r="I559" t="s">
        <v>416</v>
      </c>
    </row>
    <row r="560" spans="1:9" x14ac:dyDescent="0.25">
      <c r="A560" t="s">
        <v>1317</v>
      </c>
      <c r="B560" t="s">
        <v>307</v>
      </c>
      <c r="C560" t="s">
        <v>1013</v>
      </c>
      <c r="D560" s="19">
        <f>Inputs_Sources!$D$268</f>
        <v>6735.2</v>
      </c>
      <c r="E560" t="s">
        <v>502</v>
      </c>
      <c r="F560" t="s">
        <v>277</v>
      </c>
      <c r="G560" t="s">
        <v>169</v>
      </c>
      <c r="H560" t="s">
        <v>1014</v>
      </c>
      <c r="I560" t="s">
        <v>416</v>
      </c>
    </row>
    <row r="561" spans="1:9" x14ac:dyDescent="0.25">
      <c r="A561" t="s">
        <v>1318</v>
      </c>
      <c r="B561" t="s">
        <v>307</v>
      </c>
      <c r="C561" t="s">
        <v>1016</v>
      </c>
      <c r="D561" s="19">
        <v>42656.1</v>
      </c>
      <c r="E561" t="s">
        <v>502</v>
      </c>
      <c r="F561" t="s">
        <v>277</v>
      </c>
      <c r="G561" t="s">
        <v>171</v>
      </c>
      <c r="H561" t="s">
        <v>1017</v>
      </c>
      <c r="I561" t="s">
        <v>416</v>
      </c>
    </row>
    <row r="562" spans="1:9" x14ac:dyDescent="0.25">
      <c r="A562" t="s">
        <v>1319</v>
      </c>
      <c r="B562" t="s">
        <v>307</v>
      </c>
      <c r="C562" t="s">
        <v>1019</v>
      </c>
      <c r="D562" s="19">
        <v>7700.3</v>
      </c>
      <c r="E562" t="s">
        <v>502</v>
      </c>
      <c r="F562" t="s">
        <v>277</v>
      </c>
      <c r="G562" t="s">
        <v>171</v>
      </c>
      <c r="H562" t="s">
        <v>1017</v>
      </c>
      <c r="I562" t="s">
        <v>416</v>
      </c>
    </row>
    <row r="563" spans="1:9" x14ac:dyDescent="0.25">
      <c r="A563" t="s">
        <v>1320</v>
      </c>
      <c r="B563" t="s">
        <v>307</v>
      </c>
      <c r="C563" t="s">
        <v>1021</v>
      </c>
      <c r="D563" s="19">
        <v>2747.8</v>
      </c>
      <c r="E563" t="s">
        <v>502</v>
      </c>
      <c r="F563" t="s">
        <v>277</v>
      </c>
      <c r="G563" t="s">
        <v>171</v>
      </c>
      <c r="H563" t="s">
        <v>1022</v>
      </c>
      <c r="I563" t="s">
        <v>416</v>
      </c>
    </row>
    <row r="564" spans="1:9" x14ac:dyDescent="0.25">
      <c r="A564" t="s">
        <v>1321</v>
      </c>
      <c r="B564" t="s">
        <v>307</v>
      </c>
      <c r="C564" t="s">
        <v>1024</v>
      </c>
      <c r="D564" s="19">
        <v>3588</v>
      </c>
      <c r="E564" t="s">
        <v>502</v>
      </c>
      <c r="F564" t="s">
        <v>277</v>
      </c>
      <c r="G564" t="s">
        <v>171</v>
      </c>
      <c r="H564" t="s">
        <v>1022</v>
      </c>
      <c r="I564" t="s">
        <v>416</v>
      </c>
    </row>
    <row r="565" spans="1:9" x14ac:dyDescent="0.25">
      <c r="A565" t="s">
        <v>1322</v>
      </c>
      <c r="B565" t="s">
        <v>307</v>
      </c>
      <c r="C565" t="s">
        <v>1026</v>
      </c>
      <c r="D565" s="40"/>
      <c r="F565" t="s">
        <v>277</v>
      </c>
      <c r="G565" t="s">
        <v>579</v>
      </c>
      <c r="H565" t="s">
        <v>1027</v>
      </c>
      <c r="I565" t="s">
        <v>416</v>
      </c>
    </row>
    <row r="566" spans="1:9" x14ac:dyDescent="0.25">
      <c r="A566" t="s">
        <v>1323</v>
      </c>
      <c r="B566" t="s">
        <v>307</v>
      </c>
      <c r="C566" t="s">
        <v>1029</v>
      </c>
      <c r="D566" s="40"/>
      <c r="F566" t="s">
        <v>277</v>
      </c>
      <c r="G566" t="s">
        <v>579</v>
      </c>
      <c r="H566" t="s">
        <v>1027</v>
      </c>
      <c r="I566" t="s">
        <v>416</v>
      </c>
    </row>
    <row r="567" spans="1:9" x14ac:dyDescent="0.25">
      <c r="A567" t="s">
        <v>1324</v>
      </c>
      <c r="B567" t="s">
        <v>307</v>
      </c>
      <c r="C567" t="s">
        <v>1031</v>
      </c>
      <c r="D567" s="40"/>
      <c r="F567" t="s">
        <v>277</v>
      </c>
      <c r="G567" t="s">
        <v>579</v>
      </c>
      <c r="H567" t="s">
        <v>1027</v>
      </c>
      <c r="I567" t="s">
        <v>416</v>
      </c>
    </row>
    <row r="568" spans="1:9" x14ac:dyDescent="0.25">
      <c r="A568" t="s">
        <v>1325</v>
      </c>
      <c r="B568" t="s">
        <v>307</v>
      </c>
      <c r="C568" t="s">
        <v>1033</v>
      </c>
      <c r="D568" s="19">
        <v>63.91</v>
      </c>
      <c r="E568" t="s">
        <v>1000</v>
      </c>
      <c r="F568" t="s">
        <v>277</v>
      </c>
      <c r="G568" t="s">
        <v>171</v>
      </c>
      <c r="H568" t="s">
        <v>1034</v>
      </c>
      <c r="I568" t="s">
        <v>416</v>
      </c>
    </row>
    <row r="569" spans="1:9" x14ac:dyDescent="0.25">
      <c r="A569" t="s">
        <v>1326</v>
      </c>
      <c r="B569" t="s">
        <v>307</v>
      </c>
      <c r="C569" t="s">
        <v>1036</v>
      </c>
      <c r="D569" s="19">
        <v>57.82</v>
      </c>
      <c r="E569" t="s">
        <v>1000</v>
      </c>
      <c r="F569" t="s">
        <v>277</v>
      </c>
      <c r="G569" t="s">
        <v>171</v>
      </c>
      <c r="H569" t="s">
        <v>1034</v>
      </c>
      <c r="I569" t="s">
        <v>416</v>
      </c>
    </row>
    <row r="570" spans="1:9" x14ac:dyDescent="0.25">
      <c r="A570" t="s">
        <v>1327</v>
      </c>
      <c r="B570" t="s">
        <v>307</v>
      </c>
      <c r="C570" t="s">
        <v>1038</v>
      </c>
      <c r="D570" s="19">
        <v>53.83</v>
      </c>
      <c r="E570" t="s">
        <v>1000</v>
      </c>
      <c r="F570" t="s">
        <v>277</v>
      </c>
      <c r="G570" t="s">
        <v>171</v>
      </c>
      <c r="H570" t="s">
        <v>1034</v>
      </c>
      <c r="I570" t="s">
        <v>416</v>
      </c>
    </row>
    <row r="571" spans="1:9" x14ac:dyDescent="0.25">
      <c r="A571" t="s">
        <v>1328</v>
      </c>
      <c r="B571" t="s">
        <v>307</v>
      </c>
      <c r="C571" t="s">
        <v>1040</v>
      </c>
      <c r="D571" s="19">
        <v>57.46</v>
      </c>
      <c r="E571" t="s">
        <v>1000</v>
      </c>
      <c r="F571" t="s">
        <v>277</v>
      </c>
      <c r="G571" t="s">
        <v>171</v>
      </c>
      <c r="H571" t="s">
        <v>1034</v>
      </c>
      <c r="I571" t="s">
        <v>416</v>
      </c>
    </row>
    <row r="572" spans="1:9" x14ac:dyDescent="0.25">
      <c r="A572" t="s">
        <v>1329</v>
      </c>
      <c r="B572" t="s">
        <v>307</v>
      </c>
      <c r="C572" t="s">
        <v>1042</v>
      </c>
      <c r="D572" s="19">
        <v>68.48</v>
      </c>
      <c r="E572" t="s">
        <v>1000</v>
      </c>
      <c r="F572" t="s">
        <v>277</v>
      </c>
      <c r="G572" t="s">
        <v>171</v>
      </c>
      <c r="H572" t="s">
        <v>1034</v>
      </c>
      <c r="I572" t="s">
        <v>416</v>
      </c>
    </row>
    <row r="573" spans="1:9" x14ac:dyDescent="0.25">
      <c r="A573" t="s">
        <v>1330</v>
      </c>
      <c r="B573" t="s">
        <v>307</v>
      </c>
      <c r="C573" t="s">
        <v>1044</v>
      </c>
      <c r="D573" s="19">
        <v>66.209999999999994</v>
      </c>
      <c r="E573" t="s">
        <v>1000</v>
      </c>
      <c r="F573" t="s">
        <v>277</v>
      </c>
      <c r="G573" t="s">
        <v>171</v>
      </c>
      <c r="H573" t="s">
        <v>1034</v>
      </c>
      <c r="I573" t="s">
        <v>416</v>
      </c>
    </row>
    <row r="574" spans="1:9" x14ac:dyDescent="0.25">
      <c r="A574" t="s">
        <v>1331</v>
      </c>
      <c r="B574" t="s">
        <v>307</v>
      </c>
      <c r="C574" t="s">
        <v>1046</v>
      </c>
      <c r="D574" s="19">
        <v>60.74</v>
      </c>
      <c r="E574" t="s">
        <v>1000</v>
      </c>
      <c r="F574" t="s">
        <v>277</v>
      </c>
      <c r="G574" t="s">
        <v>171</v>
      </c>
      <c r="H574" t="s">
        <v>1034</v>
      </c>
      <c r="I574" t="s">
        <v>416</v>
      </c>
    </row>
    <row r="575" spans="1:9" x14ac:dyDescent="0.25">
      <c r="A575" t="s">
        <v>1332</v>
      </c>
      <c r="B575" t="s">
        <v>307</v>
      </c>
      <c r="C575" t="s">
        <v>1048</v>
      </c>
      <c r="D575" s="19">
        <v>2</v>
      </c>
      <c r="E575" t="s">
        <v>1000</v>
      </c>
      <c r="F575" t="s">
        <v>277</v>
      </c>
      <c r="G575" t="s">
        <v>171</v>
      </c>
      <c r="H575" t="s">
        <v>1333</v>
      </c>
      <c r="I575" t="s">
        <v>416</v>
      </c>
    </row>
    <row r="576" spans="1:9" x14ac:dyDescent="0.25">
      <c r="A576" t="s">
        <v>1334</v>
      </c>
      <c r="B576" t="s">
        <v>307</v>
      </c>
      <c r="C576" t="s">
        <v>1051</v>
      </c>
      <c r="D576" s="19">
        <v>1.79</v>
      </c>
      <c r="E576" t="s">
        <v>1000</v>
      </c>
      <c r="F576" t="s">
        <v>277</v>
      </c>
      <c r="G576" t="s">
        <v>171</v>
      </c>
      <c r="H576" t="s">
        <v>1052</v>
      </c>
      <c r="I576" t="s">
        <v>416</v>
      </c>
    </row>
    <row r="577" spans="1:9" x14ac:dyDescent="0.25">
      <c r="A577" t="s">
        <v>1335</v>
      </c>
      <c r="B577" t="s">
        <v>307</v>
      </c>
      <c r="C577" t="s">
        <v>1054</v>
      </c>
      <c r="D577" s="19">
        <v>1.94</v>
      </c>
      <c r="E577" t="s">
        <v>1000</v>
      </c>
      <c r="F577" t="s">
        <v>277</v>
      </c>
      <c r="G577" t="s">
        <v>171</v>
      </c>
      <c r="H577" t="s">
        <v>1055</v>
      </c>
      <c r="I577" t="s">
        <v>416</v>
      </c>
    </row>
    <row r="578" spans="1:9" x14ac:dyDescent="0.25">
      <c r="A578" t="s">
        <v>1336</v>
      </c>
      <c r="B578" t="s">
        <v>307</v>
      </c>
      <c r="C578" t="s">
        <v>1057</v>
      </c>
      <c r="D578" s="19">
        <v>14257</v>
      </c>
      <c r="E578" t="s">
        <v>502</v>
      </c>
      <c r="F578" t="s">
        <v>277</v>
      </c>
      <c r="G578" t="s">
        <v>171</v>
      </c>
      <c r="H578" t="s">
        <v>1337</v>
      </c>
      <c r="I578" t="s">
        <v>416</v>
      </c>
    </row>
    <row r="579" spans="1:9" x14ac:dyDescent="0.25">
      <c r="A579" t="s">
        <v>1338</v>
      </c>
      <c r="B579" t="s">
        <v>307</v>
      </c>
      <c r="C579" t="s">
        <v>1060</v>
      </c>
      <c r="D579" s="19">
        <v>10935</v>
      </c>
      <c r="E579" t="s">
        <v>502</v>
      </c>
      <c r="F579" t="s">
        <v>277</v>
      </c>
      <c r="G579" t="s">
        <v>171</v>
      </c>
      <c r="H579" t="s">
        <v>1339</v>
      </c>
      <c r="I579" t="s">
        <v>416</v>
      </c>
    </row>
    <row r="580" spans="1:9" x14ac:dyDescent="0.25">
      <c r="A580" t="s">
        <v>1340</v>
      </c>
      <c r="B580" t="s">
        <v>307</v>
      </c>
      <c r="C580" t="s">
        <v>1063</v>
      </c>
      <c r="D580" s="19">
        <v>33.090000000000003</v>
      </c>
      <c r="E580" t="s">
        <v>168</v>
      </c>
      <c r="F580" t="s">
        <v>277</v>
      </c>
      <c r="G580" t="s">
        <v>171</v>
      </c>
      <c r="H580" t="s">
        <v>1064</v>
      </c>
      <c r="I580" t="s">
        <v>416</v>
      </c>
    </row>
    <row r="581" spans="1:9" x14ac:dyDescent="0.25">
      <c r="A581" t="s">
        <v>1341</v>
      </c>
      <c r="B581" t="s">
        <v>307</v>
      </c>
      <c r="C581" t="s">
        <v>1066</v>
      </c>
      <c r="D581" s="19">
        <v>34.85</v>
      </c>
      <c r="E581" t="s">
        <v>168</v>
      </c>
      <c r="F581" t="s">
        <v>277</v>
      </c>
      <c r="G581" t="s">
        <v>171</v>
      </c>
      <c r="H581" t="s">
        <v>1064</v>
      </c>
      <c r="I581" t="s">
        <v>416</v>
      </c>
    </row>
    <row r="582" spans="1:9" x14ac:dyDescent="0.25">
      <c r="A582" t="s">
        <v>1342</v>
      </c>
      <c r="B582" t="s">
        <v>307</v>
      </c>
      <c r="C582" t="s">
        <v>1068</v>
      </c>
      <c r="D582" s="19">
        <v>35.21</v>
      </c>
      <c r="E582" t="s">
        <v>168</v>
      </c>
      <c r="F582" t="s">
        <v>277</v>
      </c>
      <c r="G582" t="s">
        <v>171</v>
      </c>
      <c r="H582" t="s">
        <v>1064</v>
      </c>
      <c r="I582" t="s">
        <v>416</v>
      </c>
    </row>
    <row r="583" spans="1:9" x14ac:dyDescent="0.25">
      <c r="A583" t="s">
        <v>1343</v>
      </c>
      <c r="B583" t="s">
        <v>307</v>
      </c>
      <c r="C583" t="s">
        <v>1070</v>
      </c>
      <c r="D583" s="19">
        <v>3275.97</v>
      </c>
      <c r="E583" t="s">
        <v>502</v>
      </c>
      <c r="F583" t="s">
        <v>277</v>
      </c>
      <c r="G583" t="s">
        <v>171</v>
      </c>
      <c r="H583" t="s">
        <v>1071</v>
      </c>
      <c r="I583" t="s">
        <v>416</v>
      </c>
    </row>
    <row r="584" spans="1:9" x14ac:dyDescent="0.25">
      <c r="A584" t="s">
        <v>1344</v>
      </c>
      <c r="B584" t="s">
        <v>307</v>
      </c>
      <c r="C584" t="s">
        <v>1073</v>
      </c>
      <c r="D584" s="19">
        <v>4264.3</v>
      </c>
      <c r="E584" t="s">
        <v>502</v>
      </c>
      <c r="F584" t="s">
        <v>277</v>
      </c>
      <c r="G584" t="s">
        <v>171</v>
      </c>
      <c r="H584" t="s">
        <v>1071</v>
      </c>
      <c r="I584" t="s">
        <v>416</v>
      </c>
    </row>
    <row r="585" spans="1:9" x14ac:dyDescent="0.25">
      <c r="A585" t="s">
        <v>1345</v>
      </c>
      <c r="B585" t="s">
        <v>307</v>
      </c>
      <c r="C585" t="s">
        <v>1075</v>
      </c>
      <c r="D585" s="19">
        <v>4840.25</v>
      </c>
      <c r="E585" t="s">
        <v>502</v>
      </c>
      <c r="F585" t="s">
        <v>277</v>
      </c>
      <c r="G585" t="s">
        <v>171</v>
      </c>
      <c r="H585" t="s">
        <v>1071</v>
      </c>
      <c r="I585" t="s">
        <v>416</v>
      </c>
    </row>
    <row r="586" spans="1:9" x14ac:dyDescent="0.25">
      <c r="A586" t="s">
        <v>1346</v>
      </c>
      <c r="B586" t="s">
        <v>307</v>
      </c>
      <c r="C586" t="s">
        <v>1077</v>
      </c>
      <c r="D586" s="19">
        <v>2.06</v>
      </c>
      <c r="E586" t="s">
        <v>1000</v>
      </c>
      <c r="F586" t="s">
        <v>277</v>
      </c>
      <c r="G586" t="s">
        <v>171</v>
      </c>
      <c r="H586" t="s">
        <v>1078</v>
      </c>
      <c r="I586" t="s">
        <v>416</v>
      </c>
    </row>
    <row r="587" spans="1:9" x14ac:dyDescent="0.25">
      <c r="A587" t="s">
        <v>1347</v>
      </c>
      <c r="B587" t="s">
        <v>307</v>
      </c>
      <c r="C587" t="s">
        <v>1080</v>
      </c>
      <c r="D587" s="19">
        <v>2.21</v>
      </c>
      <c r="E587" t="s">
        <v>1000</v>
      </c>
      <c r="F587" t="s">
        <v>277</v>
      </c>
      <c r="G587" t="s">
        <v>171</v>
      </c>
      <c r="H587" t="s">
        <v>1078</v>
      </c>
      <c r="I587" t="s">
        <v>416</v>
      </c>
    </row>
    <row r="588" spans="1:9" x14ac:dyDescent="0.25">
      <c r="A588" t="s">
        <v>1348</v>
      </c>
      <c r="B588" t="s">
        <v>307</v>
      </c>
      <c r="C588" t="s">
        <v>1082</v>
      </c>
      <c r="D588" s="19">
        <v>2.38</v>
      </c>
      <c r="E588" t="s">
        <v>1000</v>
      </c>
      <c r="F588" t="s">
        <v>277</v>
      </c>
      <c r="G588" t="s">
        <v>171</v>
      </c>
      <c r="H588" t="s">
        <v>1078</v>
      </c>
      <c r="I588" t="s">
        <v>416</v>
      </c>
    </row>
    <row r="589" spans="1:9" x14ac:dyDescent="0.25">
      <c r="A589" t="s">
        <v>1349</v>
      </c>
      <c r="B589" t="s">
        <v>307</v>
      </c>
      <c r="C589" t="s">
        <v>1084</v>
      </c>
      <c r="D589" s="19">
        <v>1430.32</v>
      </c>
      <c r="E589" t="s">
        <v>502</v>
      </c>
      <c r="F589" t="s">
        <v>277</v>
      </c>
      <c r="G589" t="s">
        <v>171</v>
      </c>
      <c r="H589" t="s">
        <v>1085</v>
      </c>
      <c r="I589" t="s">
        <v>416</v>
      </c>
    </row>
    <row r="590" spans="1:9" x14ac:dyDescent="0.25">
      <c r="A590" t="s">
        <v>1350</v>
      </c>
      <c r="B590" t="s">
        <v>307</v>
      </c>
      <c r="C590" t="s">
        <v>1087</v>
      </c>
      <c r="D590" s="19">
        <v>1475.32</v>
      </c>
      <c r="E590" t="s">
        <v>502</v>
      </c>
      <c r="F590" t="s">
        <v>277</v>
      </c>
      <c r="G590" t="s">
        <v>171</v>
      </c>
      <c r="H590" t="s">
        <v>1085</v>
      </c>
      <c r="I590" t="s">
        <v>416</v>
      </c>
    </row>
    <row r="591" spans="1:9" x14ac:dyDescent="0.25">
      <c r="A591" t="s">
        <v>1351</v>
      </c>
      <c r="B591" t="s">
        <v>307</v>
      </c>
      <c r="C591" t="s">
        <v>1089</v>
      </c>
      <c r="D591" s="19">
        <v>1523.35</v>
      </c>
      <c r="E591" t="s">
        <v>502</v>
      </c>
      <c r="F591" t="s">
        <v>277</v>
      </c>
      <c r="G591" t="s">
        <v>171</v>
      </c>
      <c r="H591" t="s">
        <v>1085</v>
      </c>
      <c r="I591" t="s">
        <v>416</v>
      </c>
    </row>
    <row r="592" spans="1:9" x14ac:dyDescent="0.25">
      <c r="A592" t="s">
        <v>1352</v>
      </c>
      <c r="B592" t="s">
        <v>307</v>
      </c>
      <c r="C592" t="s">
        <v>1091</v>
      </c>
      <c r="D592" s="19">
        <v>40101.18</v>
      </c>
      <c r="E592" t="s">
        <v>502</v>
      </c>
      <c r="F592" t="s">
        <v>277</v>
      </c>
      <c r="G592" t="s">
        <v>171</v>
      </c>
      <c r="H592" t="s">
        <v>1092</v>
      </c>
      <c r="I592" t="s">
        <v>416</v>
      </c>
    </row>
    <row r="593" spans="1:9" x14ac:dyDescent="0.25">
      <c r="A593" t="s">
        <v>1353</v>
      </c>
      <c r="B593" t="s">
        <v>307</v>
      </c>
      <c r="C593" t="s">
        <v>1094</v>
      </c>
      <c r="D593" s="19">
        <v>41232.89</v>
      </c>
      <c r="E593" t="s">
        <v>502</v>
      </c>
      <c r="F593" t="s">
        <v>277</v>
      </c>
      <c r="G593" t="s">
        <v>171</v>
      </c>
      <c r="H593" t="s">
        <v>1092</v>
      </c>
      <c r="I593" t="s">
        <v>416</v>
      </c>
    </row>
    <row r="594" spans="1:9" x14ac:dyDescent="0.25">
      <c r="A594" t="s">
        <v>1354</v>
      </c>
      <c r="B594" t="s">
        <v>307</v>
      </c>
      <c r="C594" t="s">
        <v>1096</v>
      </c>
      <c r="D594" s="19">
        <v>42656.12</v>
      </c>
      <c r="E594" t="s">
        <v>502</v>
      </c>
      <c r="F594" t="s">
        <v>277</v>
      </c>
      <c r="G594" t="s">
        <v>171</v>
      </c>
      <c r="H594" t="s">
        <v>1092</v>
      </c>
      <c r="I594" t="s">
        <v>416</v>
      </c>
    </row>
    <row r="595" spans="1:9" x14ac:dyDescent="0.25">
      <c r="A595" t="s">
        <v>1355</v>
      </c>
      <c r="B595" t="s">
        <v>311</v>
      </c>
      <c r="C595" t="s">
        <v>1007</v>
      </c>
      <c r="D595" s="19">
        <v>2350.6</v>
      </c>
      <c r="E595" t="s">
        <v>502</v>
      </c>
      <c r="F595" t="s">
        <v>277</v>
      </c>
      <c r="G595" t="s">
        <v>169</v>
      </c>
      <c r="H595" t="s">
        <v>1356</v>
      </c>
      <c r="I595" t="s">
        <v>416</v>
      </c>
    </row>
    <row r="596" spans="1:9" x14ac:dyDescent="0.25">
      <c r="A596" t="s">
        <v>1357</v>
      </c>
      <c r="B596" t="s">
        <v>311</v>
      </c>
      <c r="C596" t="s">
        <v>1010</v>
      </c>
      <c r="D596" s="19">
        <f>Inputs_Sources!$D$274</f>
        <v>14453.8</v>
      </c>
      <c r="E596" t="s">
        <v>502</v>
      </c>
      <c r="F596" t="s">
        <v>277</v>
      </c>
      <c r="G596" t="s">
        <v>169</v>
      </c>
      <c r="H596" t="s">
        <v>1011</v>
      </c>
      <c r="I596" t="s">
        <v>416</v>
      </c>
    </row>
    <row r="597" spans="1:9" x14ac:dyDescent="0.25">
      <c r="A597" t="s">
        <v>1358</v>
      </c>
      <c r="B597" t="s">
        <v>311</v>
      </c>
      <c r="C597" t="s">
        <v>1013</v>
      </c>
      <c r="D597" s="19">
        <f>Inputs_Sources!$D$273</f>
        <v>2930.2</v>
      </c>
      <c r="E597" t="s">
        <v>502</v>
      </c>
      <c r="F597" t="s">
        <v>277</v>
      </c>
      <c r="G597" t="s">
        <v>169</v>
      </c>
      <c r="H597" t="s">
        <v>1014</v>
      </c>
      <c r="I597" t="s">
        <v>416</v>
      </c>
    </row>
    <row r="598" spans="1:9" x14ac:dyDescent="0.25">
      <c r="A598" t="s">
        <v>1359</v>
      </c>
      <c r="B598" t="s">
        <v>311</v>
      </c>
      <c r="C598" t="s">
        <v>1016</v>
      </c>
      <c r="D598" s="19">
        <v>15637.8</v>
      </c>
      <c r="E598" t="s">
        <v>502</v>
      </c>
      <c r="F598" t="s">
        <v>277</v>
      </c>
      <c r="G598" t="s">
        <v>171</v>
      </c>
      <c r="H598" t="s">
        <v>1017</v>
      </c>
      <c r="I598" t="s">
        <v>416</v>
      </c>
    </row>
    <row r="599" spans="1:9" x14ac:dyDescent="0.25">
      <c r="A599" t="s">
        <v>1360</v>
      </c>
      <c r="B599" t="s">
        <v>311</v>
      </c>
      <c r="C599" t="s">
        <v>1019</v>
      </c>
      <c r="D599" s="19">
        <v>3234.2</v>
      </c>
      <c r="E599" t="s">
        <v>502</v>
      </c>
      <c r="F599" t="s">
        <v>277</v>
      </c>
      <c r="G599" t="s">
        <v>171</v>
      </c>
      <c r="H599" t="s">
        <v>1017</v>
      </c>
      <c r="I599" t="s">
        <v>416</v>
      </c>
    </row>
    <row r="600" spans="1:9" x14ac:dyDescent="0.25">
      <c r="A600" t="s">
        <v>1361</v>
      </c>
      <c r="B600" t="s">
        <v>311</v>
      </c>
      <c r="C600" t="s">
        <v>1021</v>
      </c>
      <c r="D600" s="19">
        <v>864.2</v>
      </c>
      <c r="E600" t="s">
        <v>502</v>
      </c>
      <c r="F600" t="s">
        <v>277</v>
      </c>
      <c r="G600" t="s">
        <v>171</v>
      </c>
      <c r="H600" t="s">
        <v>1022</v>
      </c>
      <c r="I600" t="s">
        <v>416</v>
      </c>
    </row>
    <row r="601" spans="1:9" x14ac:dyDescent="0.25">
      <c r="A601" t="s">
        <v>1362</v>
      </c>
      <c r="B601" t="s">
        <v>311</v>
      </c>
      <c r="C601" t="s">
        <v>1024</v>
      </c>
      <c r="D601" s="19">
        <v>529.1</v>
      </c>
      <c r="E601" t="s">
        <v>502</v>
      </c>
      <c r="F601" t="s">
        <v>277</v>
      </c>
      <c r="G601" t="s">
        <v>171</v>
      </c>
      <c r="H601" t="s">
        <v>1022</v>
      </c>
      <c r="I601" t="s">
        <v>416</v>
      </c>
    </row>
    <row r="602" spans="1:9" x14ac:dyDescent="0.25">
      <c r="A602" t="s">
        <v>1363</v>
      </c>
      <c r="B602" t="s">
        <v>311</v>
      </c>
      <c r="C602" t="s">
        <v>1026</v>
      </c>
      <c r="D602" s="40"/>
      <c r="F602" t="s">
        <v>277</v>
      </c>
      <c r="G602" t="s">
        <v>579</v>
      </c>
      <c r="H602" t="s">
        <v>1027</v>
      </c>
      <c r="I602" t="s">
        <v>416</v>
      </c>
    </row>
    <row r="603" spans="1:9" x14ac:dyDescent="0.25">
      <c r="A603" t="s">
        <v>1364</v>
      </c>
      <c r="B603" t="s">
        <v>311</v>
      </c>
      <c r="C603" t="s">
        <v>1029</v>
      </c>
      <c r="D603" s="40"/>
      <c r="F603" t="s">
        <v>277</v>
      </c>
      <c r="G603" t="s">
        <v>579</v>
      </c>
      <c r="H603" t="s">
        <v>1027</v>
      </c>
      <c r="I603" t="s">
        <v>416</v>
      </c>
    </row>
    <row r="604" spans="1:9" x14ac:dyDescent="0.25">
      <c r="A604" t="s">
        <v>1365</v>
      </c>
      <c r="B604" t="s">
        <v>311</v>
      </c>
      <c r="C604" t="s">
        <v>1031</v>
      </c>
      <c r="D604" s="40"/>
      <c r="F604" t="s">
        <v>277</v>
      </c>
      <c r="G604" t="s">
        <v>579</v>
      </c>
      <c r="H604" t="s">
        <v>1027</v>
      </c>
      <c r="I604" t="s">
        <v>416</v>
      </c>
    </row>
    <row r="605" spans="1:9" x14ac:dyDescent="0.25">
      <c r="A605" t="s">
        <v>1366</v>
      </c>
      <c r="B605" t="s">
        <v>311</v>
      </c>
      <c r="C605" t="s">
        <v>1033</v>
      </c>
      <c r="D605" s="19">
        <v>11.34</v>
      </c>
      <c r="E605" t="s">
        <v>1000</v>
      </c>
      <c r="F605" t="s">
        <v>277</v>
      </c>
      <c r="G605" t="s">
        <v>171</v>
      </c>
      <c r="H605" t="s">
        <v>1034</v>
      </c>
      <c r="I605" t="s">
        <v>416</v>
      </c>
    </row>
    <row r="606" spans="1:9" x14ac:dyDescent="0.25">
      <c r="A606" t="s">
        <v>1367</v>
      </c>
      <c r="B606" t="s">
        <v>311</v>
      </c>
      <c r="C606" t="s">
        <v>1036</v>
      </c>
      <c r="D606" s="19">
        <v>10.74</v>
      </c>
      <c r="E606" t="s">
        <v>1000</v>
      </c>
      <c r="F606" t="s">
        <v>277</v>
      </c>
      <c r="G606" t="s">
        <v>171</v>
      </c>
      <c r="H606" t="s">
        <v>1034</v>
      </c>
      <c r="I606" t="s">
        <v>416</v>
      </c>
    </row>
    <row r="607" spans="1:9" x14ac:dyDescent="0.25">
      <c r="A607" t="s">
        <v>1368</v>
      </c>
      <c r="B607" t="s">
        <v>311</v>
      </c>
      <c r="C607" t="s">
        <v>1038</v>
      </c>
      <c r="D607" s="19">
        <v>10.82</v>
      </c>
      <c r="E607" t="s">
        <v>1000</v>
      </c>
      <c r="F607" t="s">
        <v>277</v>
      </c>
      <c r="G607" t="s">
        <v>171</v>
      </c>
      <c r="H607" t="s">
        <v>1034</v>
      </c>
      <c r="I607" t="s">
        <v>416</v>
      </c>
    </row>
    <row r="608" spans="1:9" x14ac:dyDescent="0.25">
      <c r="A608" t="s">
        <v>1369</v>
      </c>
      <c r="B608" t="s">
        <v>311</v>
      </c>
      <c r="C608" t="s">
        <v>1040</v>
      </c>
      <c r="D608" s="19">
        <v>9.69</v>
      </c>
      <c r="E608" t="s">
        <v>1000</v>
      </c>
      <c r="F608" t="s">
        <v>277</v>
      </c>
      <c r="G608" t="s">
        <v>171</v>
      </c>
      <c r="H608" t="s">
        <v>1034</v>
      </c>
      <c r="I608" t="s">
        <v>416</v>
      </c>
    </row>
    <row r="609" spans="1:9" x14ac:dyDescent="0.25">
      <c r="A609" t="s">
        <v>1370</v>
      </c>
      <c r="B609" t="s">
        <v>311</v>
      </c>
      <c r="C609" t="s">
        <v>1042</v>
      </c>
      <c r="D609" s="19">
        <v>8.5500000000000007</v>
      </c>
      <c r="E609" t="s">
        <v>1000</v>
      </c>
      <c r="F609" t="s">
        <v>277</v>
      </c>
      <c r="G609" t="s">
        <v>171</v>
      </c>
      <c r="H609" t="s">
        <v>1034</v>
      </c>
      <c r="I609" t="s">
        <v>416</v>
      </c>
    </row>
    <row r="610" spans="1:9" x14ac:dyDescent="0.25">
      <c r="A610" t="s">
        <v>1371</v>
      </c>
      <c r="B610" t="s">
        <v>311</v>
      </c>
      <c r="C610" t="s">
        <v>1044</v>
      </c>
      <c r="D610" s="19">
        <v>8.94</v>
      </c>
      <c r="E610" t="s">
        <v>1000</v>
      </c>
      <c r="F610" t="s">
        <v>277</v>
      </c>
      <c r="G610" t="s">
        <v>171</v>
      </c>
      <c r="H610" t="s">
        <v>1034</v>
      </c>
      <c r="I610" t="s">
        <v>416</v>
      </c>
    </row>
    <row r="611" spans="1:9" x14ac:dyDescent="0.25">
      <c r="A611" t="s">
        <v>1372</v>
      </c>
      <c r="B611" t="s">
        <v>311</v>
      </c>
      <c r="C611" t="s">
        <v>1046</v>
      </c>
      <c r="D611" s="19">
        <v>6.11</v>
      </c>
      <c r="E611" t="s">
        <v>1000</v>
      </c>
      <c r="F611" t="s">
        <v>277</v>
      </c>
      <c r="G611" t="s">
        <v>171</v>
      </c>
      <c r="H611" t="s">
        <v>1034</v>
      </c>
      <c r="I611" t="s">
        <v>416</v>
      </c>
    </row>
    <row r="612" spans="1:9" x14ac:dyDescent="0.25">
      <c r="A612" t="s">
        <v>1373</v>
      </c>
      <c r="B612" t="s">
        <v>311</v>
      </c>
      <c r="C612" t="s">
        <v>1048</v>
      </c>
      <c r="D612" s="19">
        <v>0.24</v>
      </c>
      <c r="E612" t="s">
        <v>1000</v>
      </c>
      <c r="F612" t="s">
        <v>277</v>
      </c>
      <c r="G612" t="s">
        <v>171</v>
      </c>
      <c r="H612" t="s">
        <v>1374</v>
      </c>
      <c r="I612" t="s">
        <v>416</v>
      </c>
    </row>
    <row r="613" spans="1:9" x14ac:dyDescent="0.25">
      <c r="A613" t="s">
        <v>1375</v>
      </c>
      <c r="B613" t="s">
        <v>311</v>
      </c>
      <c r="C613" t="s">
        <v>1051</v>
      </c>
      <c r="D613" s="19">
        <v>0.23</v>
      </c>
      <c r="E613" t="s">
        <v>1000</v>
      </c>
      <c r="F613" t="s">
        <v>277</v>
      </c>
      <c r="G613" t="s">
        <v>171</v>
      </c>
      <c r="H613" t="s">
        <v>1052</v>
      </c>
      <c r="I613" t="s">
        <v>416</v>
      </c>
    </row>
    <row r="614" spans="1:9" x14ac:dyDescent="0.25">
      <c r="A614" t="s">
        <v>1376</v>
      </c>
      <c r="B614" t="s">
        <v>311</v>
      </c>
      <c r="C614" t="s">
        <v>1054</v>
      </c>
      <c r="D614" s="19">
        <v>0.22</v>
      </c>
      <c r="E614" t="s">
        <v>1000</v>
      </c>
      <c r="F614" t="s">
        <v>277</v>
      </c>
      <c r="G614" t="s">
        <v>171</v>
      </c>
      <c r="H614" t="s">
        <v>1055</v>
      </c>
      <c r="I614" t="s">
        <v>416</v>
      </c>
    </row>
    <row r="615" spans="1:9" x14ac:dyDescent="0.25">
      <c r="A615" t="s">
        <v>1377</v>
      </c>
      <c r="B615" t="s">
        <v>311</v>
      </c>
      <c r="C615" t="s">
        <v>1057</v>
      </c>
      <c r="D615" s="19">
        <v>6131.3</v>
      </c>
      <c r="E615" t="s">
        <v>502</v>
      </c>
      <c r="F615" t="s">
        <v>277</v>
      </c>
      <c r="G615" t="s">
        <v>171</v>
      </c>
      <c r="H615" t="s">
        <v>1378</v>
      </c>
      <c r="I615" t="s">
        <v>416</v>
      </c>
    </row>
    <row r="616" spans="1:9" x14ac:dyDescent="0.25">
      <c r="A616" t="s">
        <v>1379</v>
      </c>
      <c r="B616" t="s">
        <v>311</v>
      </c>
      <c r="C616" t="s">
        <v>1060</v>
      </c>
      <c r="D616" s="19">
        <v>6074.7</v>
      </c>
      <c r="E616" t="s">
        <v>502</v>
      </c>
      <c r="F616" t="s">
        <v>277</v>
      </c>
      <c r="G616" t="s">
        <v>171</v>
      </c>
      <c r="H616" t="s">
        <v>1380</v>
      </c>
      <c r="I616" t="s">
        <v>416</v>
      </c>
    </row>
    <row r="617" spans="1:9" x14ac:dyDescent="0.25">
      <c r="A617" t="s">
        <v>1381</v>
      </c>
      <c r="B617" t="s">
        <v>311</v>
      </c>
      <c r="C617" t="s">
        <v>1063</v>
      </c>
      <c r="D617" s="19">
        <v>47.43</v>
      </c>
      <c r="E617" t="s">
        <v>168</v>
      </c>
      <c r="F617" t="s">
        <v>277</v>
      </c>
      <c r="G617" t="s">
        <v>171</v>
      </c>
      <c r="H617" t="s">
        <v>1064</v>
      </c>
      <c r="I617" t="s">
        <v>416</v>
      </c>
    </row>
    <row r="618" spans="1:9" x14ac:dyDescent="0.25">
      <c r="A618" t="s">
        <v>1382</v>
      </c>
      <c r="B618" t="s">
        <v>311</v>
      </c>
      <c r="C618" t="s">
        <v>1066</v>
      </c>
      <c r="D618" s="19">
        <v>47.54</v>
      </c>
      <c r="E618" t="s">
        <v>168</v>
      </c>
      <c r="F618" t="s">
        <v>277</v>
      </c>
      <c r="G618" t="s">
        <v>171</v>
      </c>
      <c r="H618" t="s">
        <v>1064</v>
      </c>
      <c r="I618" t="s">
        <v>416</v>
      </c>
    </row>
    <row r="619" spans="1:9" x14ac:dyDescent="0.25">
      <c r="A619" t="s">
        <v>1383</v>
      </c>
      <c r="B619" t="s">
        <v>311</v>
      </c>
      <c r="C619" t="s">
        <v>1068</v>
      </c>
      <c r="D619" s="19">
        <v>47.58</v>
      </c>
      <c r="E619" t="s">
        <v>168</v>
      </c>
      <c r="F619" t="s">
        <v>277</v>
      </c>
      <c r="G619" t="s">
        <v>171</v>
      </c>
      <c r="H619" t="s">
        <v>1064</v>
      </c>
      <c r="I619" t="s">
        <v>416</v>
      </c>
    </row>
    <row r="620" spans="1:9" x14ac:dyDescent="0.25">
      <c r="A620" t="s">
        <v>1384</v>
      </c>
      <c r="B620" t="s">
        <v>311</v>
      </c>
      <c r="C620" t="s">
        <v>1070</v>
      </c>
      <c r="D620" s="19">
        <v>1228.78</v>
      </c>
      <c r="E620" t="s">
        <v>502</v>
      </c>
      <c r="F620" t="s">
        <v>277</v>
      </c>
      <c r="G620" t="s">
        <v>171</v>
      </c>
      <c r="H620" t="s">
        <v>1071</v>
      </c>
      <c r="I620" t="s">
        <v>416</v>
      </c>
    </row>
    <row r="621" spans="1:9" x14ac:dyDescent="0.25">
      <c r="A621" t="s">
        <v>1385</v>
      </c>
      <c r="B621" t="s">
        <v>311</v>
      </c>
      <c r="C621" t="s">
        <v>1073</v>
      </c>
      <c r="D621" s="19">
        <v>1377.51</v>
      </c>
      <c r="E621" t="s">
        <v>502</v>
      </c>
      <c r="F621" t="s">
        <v>277</v>
      </c>
      <c r="G621" t="s">
        <v>171</v>
      </c>
      <c r="H621" t="s">
        <v>1071</v>
      </c>
      <c r="I621" t="s">
        <v>416</v>
      </c>
    </row>
    <row r="622" spans="1:9" x14ac:dyDescent="0.25">
      <c r="A622" t="s">
        <v>1386</v>
      </c>
      <c r="B622" t="s">
        <v>311</v>
      </c>
      <c r="C622" t="s">
        <v>1075</v>
      </c>
      <c r="D622" s="19">
        <v>1558.23</v>
      </c>
      <c r="E622" t="s">
        <v>502</v>
      </c>
      <c r="F622" t="s">
        <v>277</v>
      </c>
      <c r="G622" t="s">
        <v>171</v>
      </c>
      <c r="H622" t="s">
        <v>1071</v>
      </c>
      <c r="I622" t="s">
        <v>416</v>
      </c>
    </row>
    <row r="623" spans="1:9" x14ac:dyDescent="0.25">
      <c r="A623" t="s">
        <v>1387</v>
      </c>
      <c r="B623" t="s">
        <v>311</v>
      </c>
      <c r="C623" t="s">
        <v>1077</v>
      </c>
      <c r="D623" s="19">
        <v>0.55000000000000004</v>
      </c>
      <c r="E623" t="s">
        <v>1000</v>
      </c>
      <c r="F623" t="s">
        <v>277</v>
      </c>
      <c r="G623" t="s">
        <v>171</v>
      </c>
      <c r="H623" t="s">
        <v>1078</v>
      </c>
      <c r="I623" t="s">
        <v>416</v>
      </c>
    </row>
    <row r="624" spans="1:9" x14ac:dyDescent="0.25">
      <c r="A624" t="s">
        <v>1388</v>
      </c>
      <c r="B624" t="s">
        <v>311</v>
      </c>
      <c r="C624" t="s">
        <v>1080</v>
      </c>
      <c r="D624" s="19">
        <v>0.47</v>
      </c>
      <c r="E624" t="s">
        <v>1000</v>
      </c>
      <c r="F624" t="s">
        <v>277</v>
      </c>
      <c r="G624" t="s">
        <v>171</v>
      </c>
      <c r="H624" t="s">
        <v>1078</v>
      </c>
      <c r="I624" t="s">
        <v>416</v>
      </c>
    </row>
    <row r="625" spans="1:9" x14ac:dyDescent="0.25">
      <c r="A625" t="s">
        <v>1389</v>
      </c>
      <c r="B625" t="s">
        <v>311</v>
      </c>
      <c r="C625" t="s">
        <v>1082</v>
      </c>
      <c r="D625" s="19">
        <v>0.52</v>
      </c>
      <c r="E625" t="s">
        <v>1000</v>
      </c>
      <c r="F625" t="s">
        <v>277</v>
      </c>
      <c r="G625" t="s">
        <v>171</v>
      </c>
      <c r="H625" t="s">
        <v>1078</v>
      </c>
      <c r="I625" t="s">
        <v>416</v>
      </c>
    </row>
    <row r="626" spans="1:9" x14ac:dyDescent="0.25">
      <c r="A626" t="s">
        <v>1390</v>
      </c>
      <c r="B626" t="s">
        <v>311</v>
      </c>
      <c r="C626" t="s">
        <v>1084</v>
      </c>
      <c r="D626" s="19">
        <v>994.47</v>
      </c>
      <c r="E626" t="s">
        <v>502</v>
      </c>
      <c r="F626" t="s">
        <v>277</v>
      </c>
      <c r="G626" t="s">
        <v>171</v>
      </c>
      <c r="H626" t="s">
        <v>1085</v>
      </c>
      <c r="I626" t="s">
        <v>416</v>
      </c>
    </row>
    <row r="627" spans="1:9" x14ac:dyDescent="0.25">
      <c r="A627" t="s">
        <v>1391</v>
      </c>
      <c r="B627" t="s">
        <v>311</v>
      </c>
      <c r="C627" t="s">
        <v>1087</v>
      </c>
      <c r="D627" s="19">
        <v>975.83</v>
      </c>
      <c r="E627" t="s">
        <v>502</v>
      </c>
      <c r="F627" t="s">
        <v>277</v>
      </c>
      <c r="G627" t="s">
        <v>171</v>
      </c>
      <c r="H627" t="s">
        <v>1085</v>
      </c>
      <c r="I627" t="s">
        <v>416</v>
      </c>
    </row>
    <row r="628" spans="1:9" x14ac:dyDescent="0.25">
      <c r="A628" t="s">
        <v>1392</v>
      </c>
      <c r="B628" t="s">
        <v>311</v>
      </c>
      <c r="C628" t="s">
        <v>1089</v>
      </c>
      <c r="D628" s="19">
        <v>997.15</v>
      </c>
      <c r="E628" t="s">
        <v>502</v>
      </c>
      <c r="F628" t="s">
        <v>277</v>
      </c>
      <c r="G628" t="s">
        <v>171</v>
      </c>
      <c r="H628" t="s">
        <v>1085</v>
      </c>
      <c r="I628" t="s">
        <v>416</v>
      </c>
    </row>
    <row r="629" spans="1:9" x14ac:dyDescent="0.25">
      <c r="A629" t="s">
        <v>1393</v>
      </c>
      <c r="B629" t="s">
        <v>311</v>
      </c>
      <c r="C629" t="s">
        <v>1091</v>
      </c>
      <c r="D629" s="19">
        <v>14453.82</v>
      </c>
      <c r="E629" t="s">
        <v>502</v>
      </c>
      <c r="F629" t="s">
        <v>277</v>
      </c>
      <c r="G629" t="s">
        <v>171</v>
      </c>
      <c r="H629" t="s">
        <v>1092</v>
      </c>
      <c r="I629" t="s">
        <v>416</v>
      </c>
    </row>
    <row r="630" spans="1:9" x14ac:dyDescent="0.25">
      <c r="A630" t="s">
        <v>1394</v>
      </c>
      <c r="B630" t="s">
        <v>311</v>
      </c>
      <c r="C630" t="s">
        <v>1094</v>
      </c>
      <c r="D630" s="19">
        <v>14628.59</v>
      </c>
      <c r="E630" t="s">
        <v>502</v>
      </c>
      <c r="F630" t="s">
        <v>277</v>
      </c>
      <c r="G630" t="s">
        <v>171</v>
      </c>
      <c r="H630" t="s">
        <v>1092</v>
      </c>
      <c r="I630" t="s">
        <v>416</v>
      </c>
    </row>
    <row r="631" spans="1:9" x14ac:dyDescent="0.25">
      <c r="A631" t="s">
        <v>1395</v>
      </c>
      <c r="B631" t="s">
        <v>311</v>
      </c>
      <c r="C631" t="s">
        <v>1096</v>
      </c>
      <c r="D631" s="19">
        <v>15637.75</v>
      </c>
      <c r="E631" t="s">
        <v>502</v>
      </c>
      <c r="F631" t="s">
        <v>277</v>
      </c>
      <c r="G631" t="s">
        <v>171</v>
      </c>
      <c r="H631" t="s">
        <v>1092</v>
      </c>
      <c r="I631" t="s">
        <v>416</v>
      </c>
    </row>
    <row r="632" spans="1:9" x14ac:dyDescent="0.25">
      <c r="A632" t="s">
        <v>1396</v>
      </c>
      <c r="B632" t="s">
        <v>315</v>
      </c>
      <c r="C632" t="s">
        <v>1007</v>
      </c>
      <c r="D632" s="19">
        <v>16830.7</v>
      </c>
      <c r="E632" t="s">
        <v>502</v>
      </c>
      <c r="F632" t="s">
        <v>277</v>
      </c>
      <c r="G632" t="s">
        <v>169</v>
      </c>
      <c r="H632" t="s">
        <v>1397</v>
      </c>
      <c r="I632" t="s">
        <v>416</v>
      </c>
    </row>
    <row r="633" spans="1:9" x14ac:dyDescent="0.25">
      <c r="A633" t="s">
        <v>1398</v>
      </c>
      <c r="B633" t="s">
        <v>315</v>
      </c>
      <c r="C633" t="s">
        <v>1010</v>
      </c>
      <c r="D633" s="19">
        <f>Inputs_Sources!$D$279</f>
        <v>99300.5</v>
      </c>
      <c r="E633" t="s">
        <v>502</v>
      </c>
      <c r="F633" t="s">
        <v>277</v>
      </c>
      <c r="G633" t="s">
        <v>169</v>
      </c>
      <c r="H633" t="s">
        <v>1011</v>
      </c>
      <c r="I633" t="s">
        <v>416</v>
      </c>
    </row>
    <row r="634" spans="1:9" x14ac:dyDescent="0.25">
      <c r="A634" t="s">
        <v>1399</v>
      </c>
      <c r="B634" t="s">
        <v>315</v>
      </c>
      <c r="C634" t="s">
        <v>1013</v>
      </c>
      <c r="D634" s="19">
        <f>Inputs_Sources!$D$278</f>
        <v>19050.5</v>
      </c>
      <c r="E634" t="s">
        <v>502</v>
      </c>
      <c r="F634" t="s">
        <v>277</v>
      </c>
      <c r="G634" t="s">
        <v>169</v>
      </c>
      <c r="H634" t="s">
        <v>1014</v>
      </c>
      <c r="I634" t="s">
        <v>416</v>
      </c>
    </row>
    <row r="635" spans="1:9" x14ac:dyDescent="0.25">
      <c r="A635" t="s">
        <v>1400</v>
      </c>
      <c r="B635" t="s">
        <v>315</v>
      </c>
      <c r="C635" t="s">
        <v>1016</v>
      </c>
      <c r="D635" s="19">
        <v>105151.4</v>
      </c>
      <c r="E635" t="s">
        <v>502</v>
      </c>
      <c r="F635" t="s">
        <v>277</v>
      </c>
      <c r="G635" t="s">
        <v>171</v>
      </c>
      <c r="H635" t="s">
        <v>1017</v>
      </c>
      <c r="I635" t="s">
        <v>416</v>
      </c>
    </row>
    <row r="636" spans="1:9" x14ac:dyDescent="0.25">
      <c r="A636" t="s">
        <v>1401</v>
      </c>
      <c r="B636" t="s">
        <v>315</v>
      </c>
      <c r="C636" t="s">
        <v>1019</v>
      </c>
      <c r="D636" s="19">
        <v>20589.599999999999</v>
      </c>
      <c r="E636" t="s">
        <v>502</v>
      </c>
      <c r="F636" t="s">
        <v>277</v>
      </c>
      <c r="G636" t="s">
        <v>171</v>
      </c>
      <c r="H636" t="s">
        <v>1017</v>
      </c>
      <c r="I636" t="s">
        <v>416</v>
      </c>
    </row>
    <row r="637" spans="1:9" x14ac:dyDescent="0.25">
      <c r="A637" t="s">
        <v>1402</v>
      </c>
      <c r="B637" t="s">
        <v>315</v>
      </c>
      <c r="C637" t="s">
        <v>1021</v>
      </c>
      <c r="D637" s="19">
        <v>7200.9</v>
      </c>
      <c r="E637" t="s">
        <v>502</v>
      </c>
      <c r="F637" t="s">
        <v>277</v>
      </c>
      <c r="G637" t="s">
        <v>171</v>
      </c>
      <c r="H637" t="s">
        <v>1022</v>
      </c>
      <c r="I637" t="s">
        <v>416</v>
      </c>
    </row>
    <row r="638" spans="1:9" x14ac:dyDescent="0.25">
      <c r="A638" t="s">
        <v>1403</v>
      </c>
      <c r="B638" t="s">
        <v>315</v>
      </c>
      <c r="C638" t="s">
        <v>1024</v>
      </c>
      <c r="D638" s="19">
        <v>8232.7999999999993</v>
      </c>
      <c r="E638" t="s">
        <v>502</v>
      </c>
      <c r="F638" t="s">
        <v>277</v>
      </c>
      <c r="G638" t="s">
        <v>171</v>
      </c>
      <c r="H638" t="s">
        <v>1022</v>
      </c>
      <c r="I638" t="s">
        <v>416</v>
      </c>
    </row>
    <row r="639" spans="1:9" x14ac:dyDescent="0.25">
      <c r="A639" t="s">
        <v>1404</v>
      </c>
      <c r="B639" t="s">
        <v>315</v>
      </c>
      <c r="C639" t="s">
        <v>1026</v>
      </c>
      <c r="D639" s="40"/>
      <c r="F639" t="s">
        <v>277</v>
      </c>
      <c r="G639" t="s">
        <v>579</v>
      </c>
      <c r="H639" t="s">
        <v>1027</v>
      </c>
      <c r="I639" t="s">
        <v>416</v>
      </c>
    </row>
    <row r="640" spans="1:9" x14ac:dyDescent="0.25">
      <c r="A640" t="s">
        <v>1405</v>
      </c>
      <c r="B640" t="s">
        <v>315</v>
      </c>
      <c r="C640" t="s">
        <v>1029</v>
      </c>
      <c r="D640" s="40"/>
      <c r="F640" t="s">
        <v>277</v>
      </c>
      <c r="G640" t="s">
        <v>579</v>
      </c>
      <c r="H640" t="s">
        <v>1027</v>
      </c>
      <c r="I640" t="s">
        <v>416</v>
      </c>
    </row>
    <row r="641" spans="1:9" x14ac:dyDescent="0.25">
      <c r="A641" t="s">
        <v>1406</v>
      </c>
      <c r="B641" t="s">
        <v>315</v>
      </c>
      <c r="C641" t="s">
        <v>1031</v>
      </c>
      <c r="D641" s="40"/>
      <c r="F641" t="s">
        <v>277</v>
      </c>
      <c r="G641" t="s">
        <v>579</v>
      </c>
      <c r="H641" t="s">
        <v>1027</v>
      </c>
      <c r="I641" t="s">
        <v>416</v>
      </c>
    </row>
    <row r="642" spans="1:9" x14ac:dyDescent="0.25">
      <c r="A642" t="s">
        <v>1407</v>
      </c>
      <c r="B642" t="s">
        <v>315</v>
      </c>
      <c r="C642" t="s">
        <v>1033</v>
      </c>
      <c r="D642" s="19">
        <v>131.49</v>
      </c>
      <c r="E642" t="s">
        <v>1000</v>
      </c>
      <c r="F642" t="s">
        <v>277</v>
      </c>
      <c r="G642" t="s">
        <v>171</v>
      </c>
      <c r="H642" t="s">
        <v>1034</v>
      </c>
      <c r="I642" t="s">
        <v>416</v>
      </c>
    </row>
    <row r="643" spans="1:9" x14ac:dyDescent="0.25">
      <c r="A643" t="s">
        <v>1408</v>
      </c>
      <c r="B643" t="s">
        <v>315</v>
      </c>
      <c r="C643" t="s">
        <v>1036</v>
      </c>
      <c r="D643" s="19">
        <v>126.72</v>
      </c>
      <c r="E643" t="s">
        <v>1000</v>
      </c>
      <c r="F643" t="s">
        <v>277</v>
      </c>
      <c r="G643" t="s">
        <v>171</v>
      </c>
      <c r="H643" t="s">
        <v>1034</v>
      </c>
      <c r="I643" t="s">
        <v>416</v>
      </c>
    </row>
    <row r="644" spans="1:9" x14ac:dyDescent="0.25">
      <c r="A644" t="s">
        <v>1409</v>
      </c>
      <c r="B644" t="s">
        <v>315</v>
      </c>
      <c r="C644" t="s">
        <v>1038</v>
      </c>
      <c r="D644" s="19">
        <v>143.52000000000001</v>
      </c>
      <c r="E644" t="s">
        <v>1000</v>
      </c>
      <c r="F644" t="s">
        <v>277</v>
      </c>
      <c r="G644" t="s">
        <v>171</v>
      </c>
      <c r="H644" t="s">
        <v>1034</v>
      </c>
      <c r="I644" t="s">
        <v>416</v>
      </c>
    </row>
    <row r="645" spans="1:9" x14ac:dyDescent="0.25">
      <c r="A645" t="s">
        <v>1410</v>
      </c>
      <c r="B645" t="s">
        <v>315</v>
      </c>
      <c r="C645" t="s">
        <v>1040</v>
      </c>
      <c r="D645" s="19">
        <v>146.09</v>
      </c>
      <c r="E645" t="s">
        <v>1000</v>
      </c>
      <c r="F645" t="s">
        <v>277</v>
      </c>
      <c r="G645" t="s">
        <v>171</v>
      </c>
      <c r="H645" t="s">
        <v>1034</v>
      </c>
      <c r="I645" t="s">
        <v>416</v>
      </c>
    </row>
    <row r="646" spans="1:9" x14ac:dyDescent="0.25">
      <c r="A646" t="s">
        <v>1411</v>
      </c>
      <c r="B646" t="s">
        <v>315</v>
      </c>
      <c r="C646" t="s">
        <v>1042</v>
      </c>
      <c r="D646" s="19">
        <v>166.08</v>
      </c>
      <c r="E646" t="s">
        <v>1000</v>
      </c>
      <c r="F646" t="s">
        <v>277</v>
      </c>
      <c r="G646" t="s">
        <v>171</v>
      </c>
      <c r="H646" t="s">
        <v>1034</v>
      </c>
      <c r="I646" t="s">
        <v>416</v>
      </c>
    </row>
    <row r="647" spans="1:9" x14ac:dyDescent="0.25">
      <c r="A647" t="s">
        <v>1412</v>
      </c>
      <c r="B647" t="s">
        <v>315</v>
      </c>
      <c r="C647" t="s">
        <v>1044</v>
      </c>
      <c r="D647" s="19">
        <v>163.28</v>
      </c>
      <c r="E647" t="s">
        <v>1000</v>
      </c>
      <c r="F647" t="s">
        <v>277</v>
      </c>
      <c r="G647" t="s">
        <v>171</v>
      </c>
      <c r="H647" t="s">
        <v>1034</v>
      </c>
      <c r="I647" t="s">
        <v>416</v>
      </c>
    </row>
    <row r="648" spans="1:9" x14ac:dyDescent="0.25">
      <c r="A648" t="s">
        <v>1413</v>
      </c>
      <c r="B648" t="s">
        <v>315</v>
      </c>
      <c r="C648" t="s">
        <v>1046</v>
      </c>
      <c r="D648" s="19">
        <v>161.6</v>
      </c>
      <c r="E648" t="s">
        <v>1000</v>
      </c>
      <c r="F648" t="s">
        <v>277</v>
      </c>
      <c r="G648" t="s">
        <v>171</v>
      </c>
      <c r="H648" t="s">
        <v>1034</v>
      </c>
      <c r="I648" t="s">
        <v>416</v>
      </c>
    </row>
    <row r="649" spans="1:9" x14ac:dyDescent="0.25">
      <c r="A649" t="s">
        <v>1414</v>
      </c>
      <c r="B649" t="s">
        <v>315</v>
      </c>
      <c r="C649" t="s">
        <v>1048</v>
      </c>
      <c r="D649" s="19">
        <v>5.81</v>
      </c>
      <c r="E649" t="s">
        <v>1000</v>
      </c>
      <c r="F649" t="s">
        <v>277</v>
      </c>
      <c r="G649" t="s">
        <v>171</v>
      </c>
      <c r="H649" t="s">
        <v>1415</v>
      </c>
      <c r="I649" t="s">
        <v>416</v>
      </c>
    </row>
    <row r="650" spans="1:9" x14ac:dyDescent="0.25">
      <c r="A650" t="s">
        <v>1416</v>
      </c>
      <c r="B650" t="s">
        <v>315</v>
      </c>
      <c r="C650" t="s">
        <v>1051</v>
      </c>
      <c r="D650" s="19">
        <v>5.33</v>
      </c>
      <c r="E650" t="s">
        <v>1000</v>
      </c>
      <c r="F650" t="s">
        <v>277</v>
      </c>
      <c r="G650" t="s">
        <v>171</v>
      </c>
      <c r="H650" t="s">
        <v>1052</v>
      </c>
      <c r="I650" t="s">
        <v>416</v>
      </c>
    </row>
    <row r="651" spans="1:9" x14ac:dyDescent="0.25">
      <c r="A651" t="s">
        <v>1417</v>
      </c>
      <c r="B651" t="s">
        <v>315</v>
      </c>
      <c r="C651" t="s">
        <v>1054</v>
      </c>
      <c r="D651" s="19">
        <v>5.62</v>
      </c>
      <c r="E651" t="s">
        <v>1000</v>
      </c>
      <c r="F651" t="s">
        <v>277</v>
      </c>
      <c r="G651" t="s">
        <v>171</v>
      </c>
      <c r="H651" t="s">
        <v>1055</v>
      </c>
      <c r="I651" t="s">
        <v>416</v>
      </c>
    </row>
    <row r="652" spans="1:9" x14ac:dyDescent="0.25">
      <c r="A652" t="s">
        <v>1418</v>
      </c>
      <c r="B652" t="s">
        <v>315</v>
      </c>
      <c r="C652" t="s">
        <v>1057</v>
      </c>
      <c r="D652" s="19">
        <v>50419</v>
      </c>
      <c r="E652" t="s">
        <v>502</v>
      </c>
      <c r="F652" t="s">
        <v>277</v>
      </c>
      <c r="G652" t="s">
        <v>171</v>
      </c>
      <c r="H652" t="s">
        <v>1419</v>
      </c>
      <c r="I652" t="s">
        <v>416</v>
      </c>
    </row>
    <row r="653" spans="1:9" x14ac:dyDescent="0.25">
      <c r="A653" t="s">
        <v>1420</v>
      </c>
      <c r="B653" t="s">
        <v>315</v>
      </c>
      <c r="C653" t="s">
        <v>1060</v>
      </c>
      <c r="D653" s="19">
        <v>51152</v>
      </c>
      <c r="E653" t="s">
        <v>502</v>
      </c>
      <c r="F653" t="s">
        <v>277</v>
      </c>
      <c r="G653" t="s">
        <v>171</v>
      </c>
      <c r="H653" t="s">
        <v>1421</v>
      </c>
      <c r="I653" t="s">
        <v>416</v>
      </c>
    </row>
    <row r="654" spans="1:9" x14ac:dyDescent="0.25">
      <c r="A654" t="s">
        <v>1422</v>
      </c>
      <c r="B654" t="s">
        <v>315</v>
      </c>
      <c r="C654" t="s">
        <v>1063</v>
      </c>
      <c r="D654" s="19">
        <v>54.09</v>
      </c>
      <c r="E654" t="s">
        <v>168</v>
      </c>
      <c r="F654" t="s">
        <v>277</v>
      </c>
      <c r="G654" t="s">
        <v>171</v>
      </c>
      <c r="H654" t="s">
        <v>1064</v>
      </c>
      <c r="I654" t="s">
        <v>416</v>
      </c>
    </row>
    <row r="655" spans="1:9" x14ac:dyDescent="0.25">
      <c r="A655" t="s">
        <v>1423</v>
      </c>
      <c r="B655" t="s">
        <v>315</v>
      </c>
      <c r="C655" t="s">
        <v>1066</v>
      </c>
      <c r="D655" s="19">
        <v>54</v>
      </c>
      <c r="E655" t="s">
        <v>168</v>
      </c>
      <c r="F655" t="s">
        <v>277</v>
      </c>
      <c r="G655" t="s">
        <v>171</v>
      </c>
      <c r="H655" t="s">
        <v>1064</v>
      </c>
      <c r="I655" t="s">
        <v>416</v>
      </c>
    </row>
    <row r="656" spans="1:9" x14ac:dyDescent="0.25">
      <c r="A656" t="s">
        <v>1424</v>
      </c>
      <c r="B656" t="s">
        <v>315</v>
      </c>
      <c r="C656" t="s">
        <v>1068</v>
      </c>
      <c r="D656" s="19">
        <v>54.07</v>
      </c>
      <c r="E656" t="s">
        <v>168</v>
      </c>
      <c r="F656" t="s">
        <v>277</v>
      </c>
      <c r="G656" t="s">
        <v>171</v>
      </c>
      <c r="H656" t="s">
        <v>1064</v>
      </c>
      <c r="I656" t="s">
        <v>416</v>
      </c>
    </row>
    <row r="657" spans="1:9" x14ac:dyDescent="0.25">
      <c r="A657" t="s">
        <v>1425</v>
      </c>
      <c r="B657" t="s">
        <v>315</v>
      </c>
      <c r="C657" t="s">
        <v>1070</v>
      </c>
      <c r="D657" s="19">
        <v>10493.88</v>
      </c>
      <c r="E657" t="s">
        <v>502</v>
      </c>
      <c r="F657" t="s">
        <v>277</v>
      </c>
      <c r="G657" t="s">
        <v>171</v>
      </c>
      <c r="H657" t="s">
        <v>1071</v>
      </c>
      <c r="I657" t="s">
        <v>416</v>
      </c>
    </row>
    <row r="658" spans="1:9" x14ac:dyDescent="0.25">
      <c r="A658" t="s">
        <v>1426</v>
      </c>
      <c r="B658" t="s">
        <v>315</v>
      </c>
      <c r="C658" t="s">
        <v>1073</v>
      </c>
      <c r="D658" s="19">
        <v>11880.63</v>
      </c>
      <c r="E658" t="s">
        <v>502</v>
      </c>
      <c r="F658" t="s">
        <v>277</v>
      </c>
      <c r="G658" t="s">
        <v>171</v>
      </c>
      <c r="H658" t="s">
        <v>1071</v>
      </c>
      <c r="I658" t="s">
        <v>416</v>
      </c>
    </row>
    <row r="659" spans="1:9" x14ac:dyDescent="0.25">
      <c r="A659" t="s">
        <v>1427</v>
      </c>
      <c r="B659" t="s">
        <v>315</v>
      </c>
      <c r="C659" t="s">
        <v>1075</v>
      </c>
      <c r="D659" s="19">
        <v>12827.85</v>
      </c>
      <c r="E659" t="s">
        <v>502</v>
      </c>
      <c r="F659" t="s">
        <v>277</v>
      </c>
      <c r="G659" t="s">
        <v>171</v>
      </c>
      <c r="H659" t="s">
        <v>1071</v>
      </c>
      <c r="I659" t="s">
        <v>416</v>
      </c>
    </row>
    <row r="660" spans="1:9" x14ac:dyDescent="0.25">
      <c r="A660" t="s">
        <v>1428</v>
      </c>
      <c r="B660" t="s">
        <v>315</v>
      </c>
      <c r="C660" t="s">
        <v>1077</v>
      </c>
      <c r="D660" s="19">
        <v>5.85</v>
      </c>
      <c r="E660" t="s">
        <v>1000</v>
      </c>
      <c r="F660" t="s">
        <v>277</v>
      </c>
      <c r="G660" t="s">
        <v>171</v>
      </c>
      <c r="H660" t="s">
        <v>1078</v>
      </c>
      <c r="I660" t="s">
        <v>416</v>
      </c>
    </row>
    <row r="661" spans="1:9" x14ac:dyDescent="0.25">
      <c r="A661" t="s">
        <v>1429</v>
      </c>
      <c r="B661" t="s">
        <v>315</v>
      </c>
      <c r="C661" t="s">
        <v>1080</v>
      </c>
      <c r="D661" s="19">
        <v>6.15</v>
      </c>
      <c r="E661" t="s">
        <v>1000</v>
      </c>
      <c r="F661" t="s">
        <v>277</v>
      </c>
      <c r="G661" t="s">
        <v>171</v>
      </c>
      <c r="H661" t="s">
        <v>1078</v>
      </c>
      <c r="I661" t="s">
        <v>416</v>
      </c>
    </row>
    <row r="662" spans="1:9" x14ac:dyDescent="0.25">
      <c r="A662" t="s">
        <v>1430</v>
      </c>
      <c r="B662" t="s">
        <v>315</v>
      </c>
      <c r="C662" t="s">
        <v>1082</v>
      </c>
      <c r="D662" s="19">
        <v>6.53</v>
      </c>
      <c r="E662" t="s">
        <v>1000</v>
      </c>
      <c r="F662" t="s">
        <v>277</v>
      </c>
      <c r="G662" t="s">
        <v>171</v>
      </c>
      <c r="H662" t="s">
        <v>1078</v>
      </c>
      <c r="I662" t="s">
        <v>416</v>
      </c>
    </row>
    <row r="663" spans="1:9" x14ac:dyDescent="0.25">
      <c r="A663" t="s">
        <v>1431</v>
      </c>
      <c r="B663" t="s">
        <v>315</v>
      </c>
      <c r="C663" t="s">
        <v>1084</v>
      </c>
      <c r="D663" s="19">
        <v>4401.09</v>
      </c>
      <c r="E663" t="s">
        <v>502</v>
      </c>
      <c r="F663" t="s">
        <v>277</v>
      </c>
      <c r="G663" t="s">
        <v>171</v>
      </c>
      <c r="H663" t="s">
        <v>1085</v>
      </c>
      <c r="I663" t="s">
        <v>416</v>
      </c>
    </row>
    <row r="664" spans="1:9" x14ac:dyDescent="0.25">
      <c r="A664" t="s">
        <v>1432</v>
      </c>
      <c r="B664" t="s">
        <v>315</v>
      </c>
      <c r="C664" t="s">
        <v>1087</v>
      </c>
      <c r="D664" s="19">
        <v>4360.6400000000003</v>
      </c>
      <c r="E664" t="s">
        <v>502</v>
      </c>
      <c r="F664" t="s">
        <v>277</v>
      </c>
      <c r="G664" t="s">
        <v>171</v>
      </c>
      <c r="H664" t="s">
        <v>1085</v>
      </c>
      <c r="I664" t="s">
        <v>416</v>
      </c>
    </row>
    <row r="665" spans="1:9" x14ac:dyDescent="0.25">
      <c r="A665" t="s">
        <v>1433</v>
      </c>
      <c r="B665" t="s">
        <v>315</v>
      </c>
      <c r="C665" t="s">
        <v>1089</v>
      </c>
      <c r="D665" s="19">
        <v>4547.41</v>
      </c>
      <c r="E665" t="s">
        <v>502</v>
      </c>
      <c r="F665" t="s">
        <v>277</v>
      </c>
      <c r="G665" t="s">
        <v>171</v>
      </c>
      <c r="H665" t="s">
        <v>1085</v>
      </c>
      <c r="I665" t="s">
        <v>416</v>
      </c>
    </row>
    <row r="666" spans="1:9" x14ac:dyDescent="0.25">
      <c r="A666" t="s">
        <v>1434</v>
      </c>
      <c r="B666" t="s">
        <v>315</v>
      </c>
      <c r="C666" t="s">
        <v>1091</v>
      </c>
      <c r="D666" s="19">
        <v>99300.54</v>
      </c>
      <c r="E666" t="s">
        <v>502</v>
      </c>
      <c r="F666" t="s">
        <v>277</v>
      </c>
      <c r="G666" t="s">
        <v>171</v>
      </c>
      <c r="H666" t="s">
        <v>1092</v>
      </c>
      <c r="I666" t="s">
        <v>416</v>
      </c>
    </row>
    <row r="667" spans="1:9" x14ac:dyDescent="0.25">
      <c r="A667" t="s">
        <v>1435</v>
      </c>
      <c r="B667" t="s">
        <v>315</v>
      </c>
      <c r="C667" t="s">
        <v>1094</v>
      </c>
      <c r="D667" s="19">
        <v>101773.09</v>
      </c>
      <c r="E667" t="s">
        <v>502</v>
      </c>
      <c r="F667" t="s">
        <v>277</v>
      </c>
      <c r="G667" t="s">
        <v>171</v>
      </c>
      <c r="H667" t="s">
        <v>1092</v>
      </c>
      <c r="I667" t="s">
        <v>416</v>
      </c>
    </row>
    <row r="668" spans="1:9" x14ac:dyDescent="0.25">
      <c r="A668" t="s">
        <v>1436</v>
      </c>
      <c r="B668" t="s">
        <v>315</v>
      </c>
      <c r="C668" t="s">
        <v>1096</v>
      </c>
      <c r="D668" s="19">
        <v>105151.36</v>
      </c>
      <c r="E668" t="s">
        <v>502</v>
      </c>
      <c r="F668" t="s">
        <v>277</v>
      </c>
      <c r="G668" t="s">
        <v>171</v>
      </c>
      <c r="H668" t="s">
        <v>1092</v>
      </c>
      <c r="I668" t="s">
        <v>416</v>
      </c>
    </row>
    <row r="669" spans="1:9" x14ac:dyDescent="0.25">
      <c r="A669" t="s">
        <v>1437</v>
      </c>
      <c r="B669" t="s">
        <v>419</v>
      </c>
      <c r="C669" t="s">
        <v>1438</v>
      </c>
      <c r="D669" s="19">
        <v>426274.73254</v>
      </c>
      <c r="E669" t="s">
        <v>164</v>
      </c>
      <c r="F669" t="s">
        <v>270</v>
      </c>
      <c r="G669" t="s">
        <v>171</v>
      </c>
      <c r="H669" t="s">
        <v>1439</v>
      </c>
      <c r="I669" t="s">
        <v>416</v>
      </c>
    </row>
    <row r="670" spans="1:9" x14ac:dyDescent="0.25">
      <c r="A670" t="s">
        <v>1440</v>
      </c>
      <c r="B670" t="s">
        <v>419</v>
      </c>
      <c r="C670" t="s">
        <v>1441</v>
      </c>
      <c r="D670" s="19">
        <v>62116.885729999987</v>
      </c>
      <c r="E670" t="s">
        <v>164</v>
      </c>
      <c r="F670" t="s">
        <v>270</v>
      </c>
      <c r="G670" t="s">
        <v>171</v>
      </c>
      <c r="H670" t="s">
        <v>1439</v>
      </c>
      <c r="I670" t="s">
        <v>416</v>
      </c>
    </row>
    <row r="671" spans="1:9" x14ac:dyDescent="0.25">
      <c r="A671" t="s">
        <v>1442</v>
      </c>
      <c r="B671" t="s">
        <v>419</v>
      </c>
      <c r="C671" t="s">
        <v>1443</v>
      </c>
      <c r="D671" s="19">
        <v>37445.851540000003</v>
      </c>
      <c r="E671" t="s">
        <v>164</v>
      </c>
      <c r="F671" t="s">
        <v>270</v>
      </c>
      <c r="G671" t="s">
        <v>171</v>
      </c>
      <c r="H671" t="s">
        <v>1439</v>
      </c>
      <c r="I671" t="s">
        <v>416</v>
      </c>
    </row>
    <row r="672" spans="1:9" x14ac:dyDescent="0.25">
      <c r="A672" t="s">
        <v>1444</v>
      </c>
      <c r="B672" t="s">
        <v>419</v>
      </c>
      <c r="C672" t="s">
        <v>1445</v>
      </c>
      <c r="D672" s="19">
        <v>13688.387280000001</v>
      </c>
      <c r="E672" t="s">
        <v>164</v>
      </c>
      <c r="F672" t="s">
        <v>270</v>
      </c>
      <c r="G672" t="s">
        <v>171</v>
      </c>
      <c r="H672" t="s">
        <v>1439</v>
      </c>
      <c r="I672" t="s">
        <v>416</v>
      </c>
    </row>
    <row r="673" spans="1:9" x14ac:dyDescent="0.25">
      <c r="A673" t="s">
        <v>1446</v>
      </c>
      <c r="B673" t="s">
        <v>419</v>
      </c>
      <c r="C673" t="s">
        <v>1447</v>
      </c>
      <c r="D673" s="19">
        <v>3.07</v>
      </c>
      <c r="E673" t="s">
        <v>195</v>
      </c>
      <c r="F673" t="s">
        <v>270</v>
      </c>
      <c r="G673" t="s">
        <v>171</v>
      </c>
      <c r="H673" t="s">
        <v>1439</v>
      </c>
      <c r="I673" t="s">
        <v>416</v>
      </c>
    </row>
    <row r="674" spans="1:9" x14ac:dyDescent="0.25">
      <c r="A674" t="s">
        <v>1448</v>
      </c>
      <c r="B674" t="s">
        <v>419</v>
      </c>
      <c r="C674" t="s">
        <v>1449</v>
      </c>
      <c r="D674" s="19">
        <v>1.01</v>
      </c>
      <c r="E674" t="s">
        <v>195</v>
      </c>
      <c r="F674" t="s">
        <v>270</v>
      </c>
      <c r="G674" t="s">
        <v>171</v>
      </c>
      <c r="H674" t="s">
        <v>1439</v>
      </c>
      <c r="I674" t="s">
        <v>416</v>
      </c>
    </row>
    <row r="675" spans="1:9" x14ac:dyDescent="0.25">
      <c r="A675" t="s">
        <v>1450</v>
      </c>
      <c r="B675" t="s">
        <v>419</v>
      </c>
      <c r="C675" t="s">
        <v>1451</v>
      </c>
      <c r="D675" s="19">
        <v>21978.76556</v>
      </c>
      <c r="E675" t="s">
        <v>164</v>
      </c>
      <c r="F675" t="s">
        <v>270</v>
      </c>
      <c r="G675" t="s">
        <v>171</v>
      </c>
      <c r="H675" t="s">
        <v>1439</v>
      </c>
      <c r="I675" t="s">
        <v>416</v>
      </c>
    </row>
    <row r="676" spans="1:9" x14ac:dyDescent="0.25">
      <c r="A676" t="s">
        <v>1452</v>
      </c>
      <c r="B676" t="s">
        <v>419</v>
      </c>
      <c r="C676" t="s">
        <v>1453</v>
      </c>
      <c r="D676" s="19">
        <v>35594.5</v>
      </c>
      <c r="E676" t="s">
        <v>164</v>
      </c>
      <c r="F676" t="s">
        <v>270</v>
      </c>
      <c r="G676" t="s">
        <v>171</v>
      </c>
      <c r="H676" t="s">
        <v>1439</v>
      </c>
      <c r="I676" t="s">
        <v>416</v>
      </c>
    </row>
    <row r="677" spans="1:9" x14ac:dyDescent="0.25">
      <c r="A677" t="s">
        <v>1454</v>
      </c>
      <c r="B677" t="s">
        <v>419</v>
      </c>
      <c r="C677" t="s">
        <v>1455</v>
      </c>
      <c r="D677" s="19">
        <v>18993.333330000001</v>
      </c>
      <c r="E677" t="s">
        <v>164</v>
      </c>
      <c r="F677" t="s">
        <v>270</v>
      </c>
      <c r="G677" t="s">
        <v>171</v>
      </c>
      <c r="H677" t="s">
        <v>1439</v>
      </c>
      <c r="I677" t="s">
        <v>416</v>
      </c>
    </row>
    <row r="678" spans="1:9" x14ac:dyDescent="0.25">
      <c r="A678" t="s">
        <v>1456</v>
      </c>
      <c r="B678" t="s">
        <v>419</v>
      </c>
      <c r="C678" t="s">
        <v>1457</v>
      </c>
      <c r="D678" s="19">
        <v>146911.02387999999</v>
      </c>
      <c r="E678" t="s">
        <v>164</v>
      </c>
      <c r="F678" t="s">
        <v>270</v>
      </c>
      <c r="G678" t="s">
        <v>171</v>
      </c>
      <c r="H678" t="s">
        <v>1439</v>
      </c>
      <c r="I678" t="s">
        <v>416</v>
      </c>
    </row>
    <row r="679" spans="1:9" x14ac:dyDescent="0.25">
      <c r="A679" t="s">
        <v>1458</v>
      </c>
      <c r="B679" t="s">
        <v>419</v>
      </c>
      <c r="C679" t="s">
        <v>1459</v>
      </c>
      <c r="D679" s="19">
        <v>52.3</v>
      </c>
      <c r="E679" t="s">
        <v>168</v>
      </c>
      <c r="F679" t="s">
        <v>270</v>
      </c>
      <c r="G679" t="s">
        <v>171</v>
      </c>
      <c r="H679" t="s">
        <v>1439</v>
      </c>
      <c r="I679" t="s">
        <v>416</v>
      </c>
    </row>
    <row r="680" spans="1:9" x14ac:dyDescent="0.25">
      <c r="A680" t="s">
        <v>1460</v>
      </c>
      <c r="B680" t="s">
        <v>419</v>
      </c>
      <c r="C680" t="s">
        <v>1461</v>
      </c>
      <c r="D680" s="19">
        <v>177262</v>
      </c>
      <c r="E680" t="s">
        <v>164</v>
      </c>
      <c r="F680" t="s">
        <v>270</v>
      </c>
      <c r="G680" t="s">
        <v>171</v>
      </c>
      <c r="H680" t="s">
        <v>1439</v>
      </c>
      <c r="I680" t="s">
        <v>416</v>
      </c>
    </row>
    <row r="681" spans="1:9" x14ac:dyDescent="0.25">
      <c r="A681" t="s">
        <v>1462</v>
      </c>
      <c r="B681" t="s">
        <v>419</v>
      </c>
      <c r="C681" t="s">
        <v>1463</v>
      </c>
      <c r="D681" s="19">
        <v>445287.95779999997</v>
      </c>
      <c r="E681" t="s">
        <v>164</v>
      </c>
      <c r="F681" t="s">
        <v>270</v>
      </c>
      <c r="G681" t="s">
        <v>171</v>
      </c>
      <c r="H681" t="s">
        <v>1439</v>
      </c>
      <c r="I681" t="s">
        <v>416</v>
      </c>
    </row>
    <row r="682" spans="1:9" x14ac:dyDescent="0.25">
      <c r="A682" t="s">
        <v>1464</v>
      </c>
      <c r="B682" t="s">
        <v>419</v>
      </c>
      <c r="C682" t="s">
        <v>1465</v>
      </c>
      <c r="D682" s="19">
        <v>64890.772190000003</v>
      </c>
      <c r="E682" t="s">
        <v>164</v>
      </c>
      <c r="F682" t="s">
        <v>270</v>
      </c>
      <c r="G682" t="s">
        <v>171</v>
      </c>
      <c r="H682" t="s">
        <v>1439</v>
      </c>
      <c r="I682" t="s">
        <v>416</v>
      </c>
    </row>
    <row r="683" spans="1:9" x14ac:dyDescent="0.25">
      <c r="A683" t="s">
        <v>1466</v>
      </c>
      <c r="B683" t="s">
        <v>419</v>
      </c>
      <c r="C683" t="s">
        <v>1467</v>
      </c>
      <c r="D683" s="19">
        <v>38778.982229999987</v>
      </c>
      <c r="E683" t="s">
        <v>164</v>
      </c>
      <c r="F683" t="s">
        <v>270</v>
      </c>
      <c r="G683" t="s">
        <v>171</v>
      </c>
      <c r="H683" t="s">
        <v>1439</v>
      </c>
      <c r="I683" t="s">
        <v>416</v>
      </c>
    </row>
    <row r="684" spans="1:9" x14ac:dyDescent="0.25">
      <c r="A684" t="s">
        <v>1468</v>
      </c>
      <c r="B684" t="s">
        <v>419</v>
      </c>
      <c r="C684" t="s">
        <v>1469</v>
      </c>
      <c r="D684" s="19">
        <v>15011.411270000001</v>
      </c>
      <c r="E684" t="s">
        <v>164</v>
      </c>
      <c r="F684" t="s">
        <v>270</v>
      </c>
      <c r="G684" t="s">
        <v>171</v>
      </c>
      <c r="H684" t="s">
        <v>1439</v>
      </c>
      <c r="I684" t="s">
        <v>416</v>
      </c>
    </row>
    <row r="685" spans="1:9" x14ac:dyDescent="0.25">
      <c r="A685" t="s">
        <v>1470</v>
      </c>
      <c r="B685" t="s">
        <v>419</v>
      </c>
      <c r="C685" t="s">
        <v>1471</v>
      </c>
      <c r="D685" s="19">
        <v>3.35</v>
      </c>
      <c r="E685" t="s">
        <v>195</v>
      </c>
      <c r="F685" t="s">
        <v>270</v>
      </c>
      <c r="G685" t="s">
        <v>171</v>
      </c>
      <c r="H685" t="s">
        <v>1439</v>
      </c>
      <c r="I685" t="s">
        <v>416</v>
      </c>
    </row>
    <row r="686" spans="1:9" x14ac:dyDescent="0.25">
      <c r="A686" t="s">
        <v>1472</v>
      </c>
      <c r="B686" t="s">
        <v>419</v>
      </c>
      <c r="C686" t="s">
        <v>1473</v>
      </c>
      <c r="D686" s="19">
        <v>1.05</v>
      </c>
      <c r="E686" t="s">
        <v>195</v>
      </c>
      <c r="F686" t="s">
        <v>270</v>
      </c>
      <c r="G686" t="s">
        <v>171</v>
      </c>
      <c r="H686" t="s">
        <v>1439</v>
      </c>
      <c r="I686" t="s">
        <v>416</v>
      </c>
    </row>
    <row r="687" spans="1:9" x14ac:dyDescent="0.25">
      <c r="A687" t="s">
        <v>1474</v>
      </c>
      <c r="B687" t="s">
        <v>419</v>
      </c>
      <c r="C687" t="s">
        <v>1475</v>
      </c>
      <c r="D687" s="19">
        <v>22341.30631</v>
      </c>
      <c r="E687" t="s">
        <v>164</v>
      </c>
      <c r="F687" t="s">
        <v>270</v>
      </c>
      <c r="G687" t="s">
        <v>171</v>
      </c>
      <c r="H687" t="s">
        <v>1439</v>
      </c>
      <c r="I687" t="s">
        <v>416</v>
      </c>
    </row>
    <row r="688" spans="1:9" x14ac:dyDescent="0.25">
      <c r="A688" t="s">
        <v>1476</v>
      </c>
      <c r="B688" t="s">
        <v>419</v>
      </c>
      <c r="C688" t="s">
        <v>1477</v>
      </c>
      <c r="D688" s="19">
        <v>38165</v>
      </c>
      <c r="E688" t="s">
        <v>164</v>
      </c>
      <c r="F688" t="s">
        <v>270</v>
      </c>
      <c r="G688" t="s">
        <v>171</v>
      </c>
      <c r="H688" t="s">
        <v>1439</v>
      </c>
      <c r="I688" t="s">
        <v>416</v>
      </c>
    </row>
    <row r="689" spans="1:9" x14ac:dyDescent="0.25">
      <c r="A689" t="s">
        <v>1478</v>
      </c>
      <c r="B689" t="s">
        <v>419</v>
      </c>
      <c r="C689" t="s">
        <v>1479</v>
      </c>
      <c r="D689" s="19">
        <v>21819.333330000001</v>
      </c>
      <c r="E689" t="s">
        <v>164</v>
      </c>
      <c r="F689" t="s">
        <v>270</v>
      </c>
      <c r="G689" t="s">
        <v>171</v>
      </c>
      <c r="H689" t="s">
        <v>1439</v>
      </c>
      <c r="I689" t="s">
        <v>416</v>
      </c>
    </row>
    <row r="690" spans="1:9" x14ac:dyDescent="0.25">
      <c r="A690" t="s">
        <v>1480</v>
      </c>
      <c r="B690" t="s">
        <v>419</v>
      </c>
      <c r="C690" t="s">
        <v>1481</v>
      </c>
      <c r="D690" s="19">
        <v>133766.75873999999</v>
      </c>
      <c r="E690" t="s">
        <v>164</v>
      </c>
      <c r="F690" t="s">
        <v>270</v>
      </c>
      <c r="G690" t="s">
        <v>171</v>
      </c>
      <c r="H690" t="s">
        <v>1439</v>
      </c>
      <c r="I690" t="s">
        <v>416</v>
      </c>
    </row>
    <row r="691" spans="1:9" x14ac:dyDescent="0.25">
      <c r="A691" t="s">
        <v>1482</v>
      </c>
      <c r="B691" t="s">
        <v>419</v>
      </c>
      <c r="C691" t="s">
        <v>1483</v>
      </c>
      <c r="D691" s="19">
        <v>52</v>
      </c>
      <c r="E691" t="s">
        <v>168</v>
      </c>
      <c r="F691" t="s">
        <v>270</v>
      </c>
      <c r="G691" t="s">
        <v>171</v>
      </c>
      <c r="H691" t="s">
        <v>1439</v>
      </c>
      <c r="I691" t="s">
        <v>416</v>
      </c>
    </row>
    <row r="692" spans="1:9" x14ac:dyDescent="0.25">
      <c r="A692" t="s">
        <v>1484</v>
      </c>
      <c r="B692" t="s">
        <v>419</v>
      </c>
      <c r="C692" t="s">
        <v>1485</v>
      </c>
      <c r="D692" s="19">
        <v>189938</v>
      </c>
      <c r="E692" t="s">
        <v>164</v>
      </c>
      <c r="F692" t="s">
        <v>270</v>
      </c>
      <c r="G692" t="s">
        <v>171</v>
      </c>
      <c r="H692" t="s">
        <v>1439</v>
      </c>
      <c r="I692" t="s">
        <v>416</v>
      </c>
    </row>
    <row r="693" spans="1:9" x14ac:dyDescent="0.25">
      <c r="A693" t="s">
        <v>1486</v>
      </c>
      <c r="B693" t="s">
        <v>419</v>
      </c>
      <c r="C693" t="s">
        <v>1487</v>
      </c>
      <c r="D693" s="19">
        <v>468430.90583</v>
      </c>
      <c r="E693" t="s">
        <v>164</v>
      </c>
      <c r="F693" t="s">
        <v>270</v>
      </c>
      <c r="G693" t="s">
        <v>171</v>
      </c>
      <c r="H693" t="s">
        <v>1439</v>
      </c>
      <c r="I693" t="s">
        <v>416</v>
      </c>
    </row>
    <row r="694" spans="1:9" x14ac:dyDescent="0.25">
      <c r="A694" t="s">
        <v>1488</v>
      </c>
      <c r="B694" t="s">
        <v>419</v>
      </c>
      <c r="C694" t="s">
        <v>1489</v>
      </c>
      <c r="D694" s="19">
        <v>68998.622640000001</v>
      </c>
      <c r="E694" t="s">
        <v>164</v>
      </c>
      <c r="F694" t="s">
        <v>270</v>
      </c>
      <c r="G694" t="s">
        <v>171</v>
      </c>
      <c r="H694" t="s">
        <v>1439</v>
      </c>
      <c r="I694" t="s">
        <v>416</v>
      </c>
    </row>
    <row r="695" spans="1:9" x14ac:dyDescent="0.25">
      <c r="A695" t="s">
        <v>1490</v>
      </c>
      <c r="B695" t="s">
        <v>419</v>
      </c>
      <c r="C695" t="s">
        <v>1491</v>
      </c>
      <c r="D695" s="19">
        <v>41926.296270000013</v>
      </c>
      <c r="E695" t="s">
        <v>164</v>
      </c>
      <c r="F695" t="s">
        <v>270</v>
      </c>
      <c r="G695" t="s">
        <v>171</v>
      </c>
      <c r="H695" t="s">
        <v>1439</v>
      </c>
      <c r="I695" t="s">
        <v>416</v>
      </c>
    </row>
    <row r="696" spans="1:9" x14ac:dyDescent="0.25">
      <c r="A696" t="s">
        <v>1492</v>
      </c>
      <c r="B696" t="s">
        <v>419</v>
      </c>
      <c r="C696" t="s">
        <v>1493</v>
      </c>
      <c r="D696" s="19">
        <v>17370.948810000002</v>
      </c>
      <c r="E696" t="s">
        <v>164</v>
      </c>
      <c r="F696" t="s">
        <v>270</v>
      </c>
      <c r="G696" t="s">
        <v>171</v>
      </c>
      <c r="H696" t="s">
        <v>1439</v>
      </c>
      <c r="I696" t="s">
        <v>416</v>
      </c>
    </row>
    <row r="697" spans="1:9" x14ac:dyDescent="0.25">
      <c r="A697" t="s">
        <v>1494</v>
      </c>
      <c r="B697" t="s">
        <v>419</v>
      </c>
      <c r="C697" t="s">
        <v>1495</v>
      </c>
      <c r="D697" s="19">
        <v>3.8</v>
      </c>
      <c r="E697" t="s">
        <v>195</v>
      </c>
      <c r="F697" t="s">
        <v>270</v>
      </c>
      <c r="G697" t="s">
        <v>171</v>
      </c>
      <c r="H697" t="s">
        <v>1439</v>
      </c>
      <c r="I697" t="s">
        <v>416</v>
      </c>
    </row>
    <row r="698" spans="1:9" x14ac:dyDescent="0.25">
      <c r="A698" t="s">
        <v>1496</v>
      </c>
      <c r="B698" t="s">
        <v>419</v>
      </c>
      <c r="C698" t="s">
        <v>1497</v>
      </c>
      <c r="D698" s="19">
        <v>1.24</v>
      </c>
      <c r="E698" t="s">
        <v>195</v>
      </c>
      <c r="F698" t="s">
        <v>270</v>
      </c>
      <c r="G698" t="s">
        <v>171</v>
      </c>
      <c r="H698" t="s">
        <v>1439</v>
      </c>
      <c r="I698" t="s">
        <v>416</v>
      </c>
    </row>
    <row r="699" spans="1:9" x14ac:dyDescent="0.25">
      <c r="A699" t="s">
        <v>1498</v>
      </c>
      <c r="B699" t="s">
        <v>419</v>
      </c>
      <c r="C699" t="s">
        <v>1499</v>
      </c>
      <c r="D699" s="19">
        <v>22933.496449999999</v>
      </c>
      <c r="E699" t="s">
        <v>164</v>
      </c>
      <c r="F699" t="s">
        <v>270</v>
      </c>
      <c r="G699" t="s">
        <v>171</v>
      </c>
      <c r="H699" t="s">
        <v>1439</v>
      </c>
      <c r="I699" t="s">
        <v>416</v>
      </c>
    </row>
    <row r="700" spans="1:9" x14ac:dyDescent="0.25">
      <c r="A700" t="s">
        <v>1500</v>
      </c>
      <c r="B700" t="s">
        <v>419</v>
      </c>
      <c r="C700" t="s">
        <v>1501</v>
      </c>
      <c r="D700" s="19">
        <v>43566</v>
      </c>
      <c r="E700" t="s">
        <v>164</v>
      </c>
      <c r="F700" t="s">
        <v>270</v>
      </c>
      <c r="G700" t="s">
        <v>171</v>
      </c>
      <c r="H700" t="s">
        <v>1439</v>
      </c>
      <c r="I700" t="s">
        <v>416</v>
      </c>
    </row>
    <row r="701" spans="1:9" x14ac:dyDescent="0.25">
      <c r="A701" t="s">
        <v>1502</v>
      </c>
      <c r="B701" t="s">
        <v>419</v>
      </c>
      <c r="C701" t="s">
        <v>1503</v>
      </c>
      <c r="D701" s="19">
        <v>26515</v>
      </c>
      <c r="E701" t="s">
        <v>164</v>
      </c>
      <c r="F701" t="s">
        <v>270</v>
      </c>
      <c r="G701" t="s">
        <v>171</v>
      </c>
      <c r="H701" t="s">
        <v>1439</v>
      </c>
      <c r="I701" t="s">
        <v>416</v>
      </c>
    </row>
    <row r="702" spans="1:9" x14ac:dyDescent="0.25">
      <c r="A702" t="s">
        <v>1504</v>
      </c>
      <c r="B702" t="s">
        <v>419</v>
      </c>
      <c r="C702" t="s">
        <v>1505</v>
      </c>
      <c r="D702" s="19">
        <v>119433.53672</v>
      </c>
      <c r="E702" t="s">
        <v>164</v>
      </c>
      <c r="F702" t="s">
        <v>270</v>
      </c>
      <c r="G702" t="s">
        <v>171</v>
      </c>
      <c r="H702" t="s">
        <v>1439</v>
      </c>
      <c r="I702" t="s">
        <v>416</v>
      </c>
    </row>
    <row r="703" spans="1:9" x14ac:dyDescent="0.25">
      <c r="A703" t="s">
        <v>1506</v>
      </c>
      <c r="B703" t="s">
        <v>419</v>
      </c>
      <c r="C703" t="s">
        <v>1507</v>
      </c>
      <c r="D703" s="19">
        <v>52.05</v>
      </c>
      <c r="E703" t="s">
        <v>168</v>
      </c>
      <c r="F703" t="s">
        <v>270</v>
      </c>
      <c r="G703" t="s">
        <v>171</v>
      </c>
      <c r="H703" t="s">
        <v>1439</v>
      </c>
      <c r="I703" t="s">
        <v>416</v>
      </c>
    </row>
    <row r="704" spans="1:9" x14ac:dyDescent="0.25">
      <c r="A704" t="s">
        <v>1508</v>
      </c>
      <c r="B704" t="s">
        <v>419</v>
      </c>
      <c r="C704" t="s">
        <v>1509</v>
      </c>
      <c r="D704" s="19">
        <v>197029.5</v>
      </c>
      <c r="E704" t="s">
        <v>164</v>
      </c>
      <c r="F704" t="s">
        <v>270</v>
      </c>
      <c r="G704" t="s">
        <v>171</v>
      </c>
      <c r="H704" t="s">
        <v>1439</v>
      </c>
      <c r="I704" t="s">
        <v>416</v>
      </c>
    </row>
    <row r="705" spans="1:9" x14ac:dyDescent="0.25">
      <c r="A705" t="s">
        <v>1510</v>
      </c>
      <c r="B705" t="s">
        <v>419</v>
      </c>
      <c r="C705" t="s">
        <v>1511</v>
      </c>
      <c r="D705" s="19">
        <v>477018</v>
      </c>
      <c r="E705" t="s">
        <v>164</v>
      </c>
      <c r="F705" t="s">
        <v>270</v>
      </c>
      <c r="G705" t="s">
        <v>171</v>
      </c>
      <c r="H705" t="s">
        <v>1439</v>
      </c>
      <c r="I705" t="s">
        <v>416</v>
      </c>
    </row>
    <row r="706" spans="1:9" x14ac:dyDescent="0.25">
      <c r="A706" t="s">
        <v>1512</v>
      </c>
      <c r="B706" t="s">
        <v>419</v>
      </c>
      <c r="C706" t="s">
        <v>1513</v>
      </c>
      <c r="D706" s="19">
        <v>70667.5</v>
      </c>
      <c r="E706" t="s">
        <v>164</v>
      </c>
      <c r="F706" t="s">
        <v>270</v>
      </c>
      <c r="G706" t="s">
        <v>171</v>
      </c>
      <c r="H706" t="s">
        <v>1439</v>
      </c>
      <c r="I706" t="s">
        <v>416</v>
      </c>
    </row>
    <row r="707" spans="1:9" x14ac:dyDescent="0.25">
      <c r="A707" t="s">
        <v>1514</v>
      </c>
      <c r="B707" t="s">
        <v>419</v>
      </c>
      <c r="C707" t="s">
        <v>1515</v>
      </c>
      <c r="D707" s="19">
        <v>40022</v>
      </c>
      <c r="E707" t="s">
        <v>164</v>
      </c>
      <c r="F707" t="s">
        <v>270</v>
      </c>
      <c r="G707" t="s">
        <v>171</v>
      </c>
      <c r="H707" t="s">
        <v>1439</v>
      </c>
      <c r="I707" t="s">
        <v>416</v>
      </c>
    </row>
    <row r="708" spans="1:9" x14ac:dyDescent="0.25">
      <c r="A708" t="s">
        <v>1516</v>
      </c>
      <c r="B708" t="s">
        <v>419</v>
      </c>
      <c r="C708" t="s">
        <v>1517</v>
      </c>
      <c r="D708" s="19">
        <v>16735</v>
      </c>
      <c r="E708" t="s">
        <v>164</v>
      </c>
      <c r="F708" t="s">
        <v>270</v>
      </c>
      <c r="G708" t="s">
        <v>171</v>
      </c>
      <c r="H708" t="s">
        <v>1439</v>
      </c>
      <c r="I708" t="s">
        <v>416</v>
      </c>
    </row>
    <row r="709" spans="1:9" x14ac:dyDescent="0.25">
      <c r="A709" t="s">
        <v>1518</v>
      </c>
      <c r="B709" t="s">
        <v>419</v>
      </c>
      <c r="C709" t="s">
        <v>1519</v>
      </c>
      <c r="D709" s="19">
        <v>4.0199999999999996</v>
      </c>
      <c r="E709" t="s">
        <v>195</v>
      </c>
      <c r="F709" t="s">
        <v>270</v>
      </c>
      <c r="G709" t="s">
        <v>171</v>
      </c>
      <c r="H709" t="s">
        <v>1439</v>
      </c>
      <c r="I709" t="s">
        <v>416</v>
      </c>
    </row>
    <row r="710" spans="1:9" x14ac:dyDescent="0.25">
      <c r="A710" t="s">
        <v>1520</v>
      </c>
      <c r="B710" t="s">
        <v>419</v>
      </c>
      <c r="C710" t="s">
        <v>1521</v>
      </c>
      <c r="D710" s="19">
        <v>1.24</v>
      </c>
      <c r="E710" t="s">
        <v>195</v>
      </c>
      <c r="F710" t="s">
        <v>270</v>
      </c>
      <c r="G710" t="s">
        <v>171</v>
      </c>
      <c r="H710" t="s">
        <v>1439</v>
      </c>
      <c r="I710" t="s">
        <v>416</v>
      </c>
    </row>
    <row r="711" spans="1:9" x14ac:dyDescent="0.25">
      <c r="A711" t="s">
        <v>1522</v>
      </c>
      <c r="B711" t="s">
        <v>419</v>
      </c>
      <c r="C711" t="s">
        <v>1523</v>
      </c>
      <c r="D711" s="19">
        <v>19308</v>
      </c>
      <c r="E711" t="s">
        <v>164</v>
      </c>
      <c r="F711" t="s">
        <v>270</v>
      </c>
      <c r="G711" t="s">
        <v>171</v>
      </c>
      <c r="H711" t="s">
        <v>1439</v>
      </c>
      <c r="I711" t="s">
        <v>416</v>
      </c>
    </row>
    <row r="712" spans="1:9" x14ac:dyDescent="0.25">
      <c r="A712" t="s">
        <v>1524</v>
      </c>
      <c r="B712" t="s">
        <v>419</v>
      </c>
      <c r="C712" t="s">
        <v>1525</v>
      </c>
      <c r="D712" s="40"/>
      <c r="E712" t="s">
        <v>164</v>
      </c>
      <c r="F712" t="s">
        <v>270</v>
      </c>
      <c r="G712" t="s">
        <v>579</v>
      </c>
      <c r="H712" t="s">
        <v>1526</v>
      </c>
      <c r="I712" t="s">
        <v>416</v>
      </c>
    </row>
    <row r="713" spans="1:9" x14ac:dyDescent="0.25">
      <c r="A713" t="s">
        <v>1527</v>
      </c>
      <c r="B713" t="s">
        <v>419</v>
      </c>
      <c r="C713" t="s">
        <v>1528</v>
      </c>
      <c r="D713" s="19">
        <v>29812</v>
      </c>
      <c r="E713" t="s">
        <v>164</v>
      </c>
      <c r="F713" t="s">
        <v>270</v>
      </c>
      <c r="G713" t="s">
        <v>171</v>
      </c>
      <c r="H713" t="s">
        <v>1439</v>
      </c>
      <c r="I713" t="s">
        <v>416</v>
      </c>
    </row>
    <row r="714" spans="1:9" x14ac:dyDescent="0.25">
      <c r="A714" t="s">
        <v>1529</v>
      </c>
      <c r="B714" t="s">
        <v>419</v>
      </c>
      <c r="C714" t="s">
        <v>1530</v>
      </c>
      <c r="D714" s="19">
        <v>109707</v>
      </c>
      <c r="E714" t="s">
        <v>164</v>
      </c>
      <c r="F714" t="s">
        <v>270</v>
      </c>
      <c r="G714" t="s">
        <v>171</v>
      </c>
      <c r="H714" t="s">
        <v>1439</v>
      </c>
      <c r="I714" t="s">
        <v>416</v>
      </c>
    </row>
    <row r="715" spans="1:9" x14ac:dyDescent="0.25">
      <c r="A715" t="s">
        <v>1531</v>
      </c>
      <c r="B715" t="s">
        <v>419</v>
      </c>
      <c r="C715" t="s">
        <v>1532</v>
      </c>
      <c r="D715" s="19">
        <v>52.1</v>
      </c>
      <c r="E715" t="s">
        <v>168</v>
      </c>
      <c r="F715" t="s">
        <v>270</v>
      </c>
      <c r="G715" t="s">
        <v>171</v>
      </c>
      <c r="H715" t="s">
        <v>1439</v>
      </c>
      <c r="I715" t="s">
        <v>416</v>
      </c>
    </row>
    <row r="716" spans="1:9" x14ac:dyDescent="0.25">
      <c r="A716" t="s">
        <v>1533</v>
      </c>
      <c r="B716" t="s">
        <v>419</v>
      </c>
      <c r="C716" t="s">
        <v>1534</v>
      </c>
      <c r="D716" s="19">
        <v>216662</v>
      </c>
      <c r="E716" t="s">
        <v>164</v>
      </c>
      <c r="F716" t="s">
        <v>270</v>
      </c>
      <c r="G716" t="s">
        <v>171</v>
      </c>
      <c r="H716" t="s">
        <v>1439</v>
      </c>
      <c r="I716" t="s">
        <v>416</v>
      </c>
    </row>
    <row r="717" spans="1:9" x14ac:dyDescent="0.25">
      <c r="A717" t="s">
        <v>1535</v>
      </c>
      <c r="B717" t="s">
        <v>419</v>
      </c>
      <c r="C717" t="s">
        <v>1536</v>
      </c>
      <c r="D717" s="19">
        <v>68.67</v>
      </c>
      <c r="E717" t="s">
        <v>270</v>
      </c>
      <c r="F717" t="s">
        <v>270</v>
      </c>
      <c r="G717" t="s">
        <v>171</v>
      </c>
      <c r="H717" t="s">
        <v>1537</v>
      </c>
      <c r="I717" t="s">
        <v>416</v>
      </c>
    </row>
    <row r="718" spans="1:9" x14ac:dyDescent="0.25">
      <c r="A718" t="s">
        <v>1538</v>
      </c>
      <c r="B718" t="s">
        <v>419</v>
      </c>
      <c r="C718" t="s">
        <v>1539</v>
      </c>
      <c r="D718" s="19">
        <v>53.03</v>
      </c>
      <c r="E718" t="s">
        <v>270</v>
      </c>
      <c r="F718" t="s">
        <v>270</v>
      </c>
      <c r="G718" t="s">
        <v>171</v>
      </c>
      <c r="H718" t="s">
        <v>1537</v>
      </c>
      <c r="I718" t="s">
        <v>416</v>
      </c>
    </row>
    <row r="719" spans="1:9" x14ac:dyDescent="0.25">
      <c r="A719" t="s">
        <v>1540</v>
      </c>
      <c r="B719" t="s">
        <v>419</v>
      </c>
      <c r="C719" t="s">
        <v>1031</v>
      </c>
      <c r="D719" s="19">
        <v>1.0867999999999999E-2</v>
      </c>
      <c r="E719" t="s">
        <v>168</v>
      </c>
      <c r="F719" t="s">
        <v>270</v>
      </c>
      <c r="G719" t="s">
        <v>171</v>
      </c>
      <c r="H719" t="s">
        <v>1541</v>
      </c>
      <c r="I719" t="s">
        <v>416</v>
      </c>
    </row>
    <row r="720" spans="1:9" x14ac:dyDescent="0.25">
      <c r="A720" t="s">
        <v>1542</v>
      </c>
      <c r="B720" t="s">
        <v>419</v>
      </c>
      <c r="C720" t="s">
        <v>1543</v>
      </c>
      <c r="D720" s="19">
        <v>58.6</v>
      </c>
      <c r="E720" t="s">
        <v>195</v>
      </c>
      <c r="F720" t="s">
        <v>270</v>
      </c>
      <c r="G720" t="s">
        <v>171</v>
      </c>
      <c r="H720" t="s">
        <v>1544</v>
      </c>
      <c r="I720" t="s">
        <v>416</v>
      </c>
    </row>
    <row r="721" spans="1:9" x14ac:dyDescent="0.25">
      <c r="A721" t="s">
        <v>1545</v>
      </c>
      <c r="B721" t="s">
        <v>419</v>
      </c>
      <c r="C721" t="s">
        <v>1546</v>
      </c>
      <c r="D721" s="19">
        <v>54.9</v>
      </c>
      <c r="E721" t="s">
        <v>195</v>
      </c>
      <c r="F721" t="s">
        <v>270</v>
      </c>
      <c r="G721" t="s">
        <v>171</v>
      </c>
      <c r="H721" t="s">
        <v>1544</v>
      </c>
      <c r="I721" t="s">
        <v>416</v>
      </c>
    </row>
    <row r="722" spans="1:9" x14ac:dyDescent="0.25">
      <c r="A722" t="s">
        <v>1547</v>
      </c>
      <c r="B722" t="s">
        <v>419</v>
      </c>
      <c r="C722" t="s">
        <v>1548</v>
      </c>
      <c r="D722" s="19">
        <v>59</v>
      </c>
      <c r="E722" t="s">
        <v>195</v>
      </c>
      <c r="F722" t="s">
        <v>270</v>
      </c>
      <c r="G722" t="s">
        <v>171</v>
      </c>
      <c r="H722" t="s">
        <v>1544</v>
      </c>
      <c r="I722" t="s">
        <v>416</v>
      </c>
    </row>
    <row r="723" spans="1:9" x14ac:dyDescent="0.25">
      <c r="A723" t="s">
        <v>1549</v>
      </c>
      <c r="B723" t="s">
        <v>419</v>
      </c>
      <c r="C723" t="s">
        <v>1550</v>
      </c>
      <c r="D723" s="19">
        <v>64.16</v>
      </c>
      <c r="E723" t="s">
        <v>195</v>
      </c>
      <c r="F723" t="s">
        <v>270</v>
      </c>
      <c r="G723" t="s">
        <v>171</v>
      </c>
      <c r="H723" t="s">
        <v>1544</v>
      </c>
      <c r="I723" t="s">
        <v>416</v>
      </c>
    </row>
    <row r="724" spans="1:9" x14ac:dyDescent="0.25">
      <c r="A724" t="s">
        <v>1551</v>
      </c>
      <c r="B724" t="s">
        <v>419</v>
      </c>
      <c r="C724" t="s">
        <v>1552</v>
      </c>
      <c r="D724" s="19">
        <v>61.97</v>
      </c>
      <c r="E724" t="s">
        <v>195</v>
      </c>
      <c r="F724" t="s">
        <v>270</v>
      </c>
      <c r="G724" t="s">
        <v>171</v>
      </c>
      <c r="H724" t="s">
        <v>1544</v>
      </c>
      <c r="I724" t="s">
        <v>416</v>
      </c>
    </row>
    <row r="725" spans="1:9" x14ac:dyDescent="0.25">
      <c r="A725" t="s">
        <v>1553</v>
      </c>
      <c r="B725" t="s">
        <v>419</v>
      </c>
      <c r="C725" t="s">
        <v>1554</v>
      </c>
      <c r="D725" s="19">
        <v>73.180000000000007</v>
      </c>
      <c r="E725" t="s">
        <v>195</v>
      </c>
      <c r="F725" t="s">
        <v>270</v>
      </c>
      <c r="G725" t="s">
        <v>171</v>
      </c>
      <c r="H725" t="s">
        <v>1544</v>
      </c>
      <c r="I725" t="s">
        <v>416</v>
      </c>
    </row>
    <row r="726" spans="1:9" x14ac:dyDescent="0.25">
      <c r="A726" t="s">
        <v>1555</v>
      </c>
      <c r="B726" t="s">
        <v>419</v>
      </c>
      <c r="C726" t="s">
        <v>1556</v>
      </c>
      <c r="D726" s="19">
        <v>60.94</v>
      </c>
      <c r="E726" t="s">
        <v>195</v>
      </c>
      <c r="F726" t="s">
        <v>270</v>
      </c>
      <c r="G726" t="s">
        <v>171</v>
      </c>
      <c r="H726" t="s">
        <v>1544</v>
      </c>
      <c r="I726" t="s">
        <v>416</v>
      </c>
    </row>
    <row r="727" spans="1:9" x14ac:dyDescent="0.25">
      <c r="A727" t="s">
        <v>1557</v>
      </c>
      <c r="B727" t="s">
        <v>419</v>
      </c>
      <c r="C727" t="s">
        <v>1558</v>
      </c>
      <c r="D727" s="19">
        <v>1.075</v>
      </c>
      <c r="E727" t="s">
        <v>195</v>
      </c>
      <c r="F727" t="s">
        <v>270</v>
      </c>
      <c r="G727" t="s">
        <v>171</v>
      </c>
      <c r="H727" t="s">
        <v>1559</v>
      </c>
      <c r="I727" t="s">
        <v>416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6"/>
  <sheetViews>
    <sheetView workbookViewId="0"/>
  </sheetViews>
  <sheetFormatPr defaultRowHeight="15" x14ac:dyDescent="0.25"/>
  <cols>
    <col min="1" max="1" width="70" customWidth="1"/>
    <col min="2" max="7" width="18" customWidth="1"/>
    <col min="8" max="8" width="80" customWidth="1"/>
  </cols>
  <sheetData>
    <row r="1" spans="1:7" ht="15.75" customHeight="1" x14ac:dyDescent="0.25">
      <c r="A1" s="1" t="s">
        <v>1560</v>
      </c>
    </row>
    <row r="3" spans="1:7" x14ac:dyDescent="0.25">
      <c r="A3" s="10" t="s">
        <v>1561</v>
      </c>
    </row>
    <row r="4" spans="1:7" ht="30" customHeight="1" x14ac:dyDescent="0.25">
      <c r="A4" s="11" t="s">
        <v>249</v>
      </c>
      <c r="B4" s="11" t="s">
        <v>1562</v>
      </c>
      <c r="C4" s="11" t="s">
        <v>1563</v>
      </c>
      <c r="D4" s="11" t="s">
        <v>1564</v>
      </c>
      <c r="E4" s="11" t="s">
        <v>1565</v>
      </c>
      <c r="F4" s="11" t="s">
        <v>1566</v>
      </c>
      <c r="G4" s="11" t="s">
        <v>1567</v>
      </c>
    </row>
    <row r="5" spans="1:7" x14ac:dyDescent="0.25">
      <c r="A5" t="s">
        <v>275</v>
      </c>
      <c r="B5">
        <f>Inputs_Sources!$D$39</f>
        <v>3250.7</v>
      </c>
      <c r="C5">
        <f>Detail_PeerAnalysis!O12</f>
        <v>3246.2359999999999</v>
      </c>
      <c r="D5">
        <f t="shared" ref="D5:D10" si="0">C5-B5</f>
        <v>-4.4639999999999418</v>
      </c>
      <c r="E5" s="16">
        <f t="shared" ref="E5:E10" si="1">IFERROR(D5/B5,"n/a")</f>
        <v>-1.3732426861906488E-3</v>
      </c>
      <c r="F5" t="str">
        <f t="shared" ref="F5:F10" si="2">IF(ABS(E5)&gt;0.005,"FLAG","ok")</f>
        <v>ok</v>
      </c>
      <c r="G5" t="s">
        <v>1568</v>
      </c>
    </row>
    <row r="6" spans="1:7" x14ac:dyDescent="0.25">
      <c r="A6" t="s">
        <v>299</v>
      </c>
      <c r="B6">
        <f>Inputs_Sources!$D$107</f>
        <v>20509.5</v>
      </c>
      <c r="C6">
        <f>Detail_PeerAnalysis!O16</f>
        <v>20509.5</v>
      </c>
      <c r="D6">
        <f t="shared" si="0"/>
        <v>0</v>
      </c>
      <c r="E6" s="16">
        <f t="shared" si="1"/>
        <v>0</v>
      </c>
      <c r="F6" t="str">
        <f t="shared" si="2"/>
        <v>ok</v>
      </c>
      <c r="G6" t="s">
        <v>1569</v>
      </c>
    </row>
    <row r="7" spans="1:7" x14ac:dyDescent="0.25">
      <c r="A7" t="s">
        <v>303</v>
      </c>
      <c r="B7">
        <f>Inputs_Sources!$D$124</f>
        <v>13287.9</v>
      </c>
      <c r="C7">
        <f>Detail_PeerAnalysis!O17</f>
        <v>13287.9</v>
      </c>
      <c r="D7">
        <f t="shared" si="0"/>
        <v>0</v>
      </c>
      <c r="E7" s="16">
        <f t="shared" si="1"/>
        <v>0</v>
      </c>
      <c r="F7" t="str">
        <f t="shared" si="2"/>
        <v>ok</v>
      </c>
      <c r="G7" t="s">
        <v>1570</v>
      </c>
    </row>
    <row r="8" spans="1:7" x14ac:dyDescent="0.25">
      <c r="A8" t="s">
        <v>307</v>
      </c>
      <c r="B8">
        <f>Inputs_Sources!$D$141</f>
        <v>101964.8</v>
      </c>
      <c r="C8">
        <f>Detail_PeerAnalysis!O18</f>
        <v>102128.8</v>
      </c>
      <c r="D8">
        <f t="shared" si="0"/>
        <v>164</v>
      </c>
      <c r="E8" s="16">
        <f t="shared" si="1"/>
        <v>1.6083981923173487E-3</v>
      </c>
      <c r="F8" t="str">
        <f t="shared" si="2"/>
        <v>ok</v>
      </c>
      <c r="G8" t="s">
        <v>1571</v>
      </c>
    </row>
    <row r="9" spans="1:7" x14ac:dyDescent="0.25">
      <c r="A9" t="s">
        <v>315</v>
      </c>
      <c r="B9">
        <f>Inputs_Sources!$D$175</f>
        <v>220113.5</v>
      </c>
      <c r="C9">
        <f>Detail_PeerAnalysis!O20</f>
        <v>224447.5</v>
      </c>
      <c r="D9">
        <f t="shared" si="0"/>
        <v>4334</v>
      </c>
      <c r="E9" s="16">
        <f t="shared" si="1"/>
        <v>1.9689841831600514E-2</v>
      </c>
      <c r="F9" t="str">
        <f t="shared" si="2"/>
        <v>FLAG</v>
      </c>
      <c r="G9" t="s">
        <v>1572</v>
      </c>
    </row>
    <row r="10" spans="1:7" x14ac:dyDescent="0.25">
      <c r="A10" t="s">
        <v>294</v>
      </c>
      <c r="B10">
        <f>Inputs_Sources!$D$90</f>
        <v>2103.3000000000002</v>
      </c>
      <c r="C10">
        <f>Detail_PeerAnalysis!O15</f>
        <v>2103.3089140000002</v>
      </c>
      <c r="D10">
        <f t="shared" si="0"/>
        <v>8.9140000000043074E-3</v>
      </c>
      <c r="E10" s="16">
        <f t="shared" si="1"/>
        <v>4.2381020301451561E-6</v>
      </c>
      <c r="F10" t="str">
        <f t="shared" si="2"/>
        <v>ok</v>
      </c>
      <c r="G10" t="s">
        <v>1573</v>
      </c>
    </row>
    <row r="12" spans="1:7" x14ac:dyDescent="0.25">
      <c r="A12" s="10" t="s">
        <v>1574</v>
      </c>
    </row>
    <row r="13" spans="1:7" x14ac:dyDescent="0.25">
      <c r="A13" t="s">
        <v>1575</v>
      </c>
      <c r="B13">
        <f>IFERROR(Detail_PeerAnalysis!D60+Detail_PeerAnalysis!E60,"n/a")</f>
        <v>1</v>
      </c>
      <c r="C13" t="str">
        <f t="shared" ref="C13:C22" si="3">IF(ISNUMBER(B13),IF(ABS(B13-1)&lt;0.000001,"ok","FLAG"),"n/a")</f>
        <v>ok</v>
      </c>
    </row>
    <row r="14" spans="1:7" x14ac:dyDescent="0.25">
      <c r="A14" t="s">
        <v>1576</v>
      </c>
      <c r="B14">
        <f>IFERROR(Detail_PeerAnalysis!D61+Detail_PeerAnalysis!E61,"n/a")</f>
        <v>1</v>
      </c>
      <c r="C14" t="str">
        <f t="shared" si="3"/>
        <v>ok</v>
      </c>
    </row>
    <row r="15" spans="1:7" x14ac:dyDescent="0.25">
      <c r="A15" t="s">
        <v>1577</v>
      </c>
      <c r="B15">
        <f>IFERROR(Detail_PeerAnalysis!D62+Detail_PeerAnalysis!E62,"n/a")</f>
        <v>1</v>
      </c>
      <c r="C15" t="str">
        <f t="shared" si="3"/>
        <v>ok</v>
      </c>
    </row>
    <row r="16" spans="1:7" x14ac:dyDescent="0.25">
      <c r="A16" t="s">
        <v>1578</v>
      </c>
      <c r="B16">
        <f>IFERROR(Detail_PeerAnalysis!D63+Detail_PeerAnalysis!E63,"n/a")</f>
        <v>1</v>
      </c>
      <c r="C16" t="str">
        <f t="shared" si="3"/>
        <v>ok</v>
      </c>
    </row>
    <row r="17" spans="1:6" x14ac:dyDescent="0.25">
      <c r="A17" t="s">
        <v>1579</v>
      </c>
      <c r="B17">
        <f>IFERROR(Detail_PeerAnalysis!D64+Detail_PeerAnalysis!E64,"n/a")</f>
        <v>1</v>
      </c>
      <c r="C17" t="str">
        <f t="shared" si="3"/>
        <v>ok</v>
      </c>
    </row>
    <row r="18" spans="1:6" x14ac:dyDescent="0.25">
      <c r="A18" t="s">
        <v>1580</v>
      </c>
      <c r="B18">
        <f>IFERROR(Detail_PeerAnalysis!D65+Detail_PeerAnalysis!E65,"n/a")</f>
        <v>1</v>
      </c>
      <c r="C18" t="str">
        <f t="shared" si="3"/>
        <v>ok</v>
      </c>
    </row>
    <row r="19" spans="1:6" x14ac:dyDescent="0.25">
      <c r="A19" t="s">
        <v>1581</v>
      </c>
      <c r="B19">
        <f>IFERROR(Detail_PeerAnalysis!D66+Detail_PeerAnalysis!E66,"n/a")</f>
        <v>1</v>
      </c>
      <c r="C19" t="str">
        <f t="shared" si="3"/>
        <v>ok</v>
      </c>
    </row>
    <row r="20" spans="1:6" x14ac:dyDescent="0.25">
      <c r="A20" t="s">
        <v>1582</v>
      </c>
      <c r="B20">
        <f>IFERROR(Detail_PeerAnalysis!D67+Detail_PeerAnalysis!E67,"n/a")</f>
        <v>1</v>
      </c>
      <c r="C20" t="str">
        <f t="shared" si="3"/>
        <v>ok</v>
      </c>
    </row>
    <row r="21" spans="1:6" x14ac:dyDescent="0.25">
      <c r="A21" t="s">
        <v>1583</v>
      </c>
      <c r="B21">
        <f>IFERROR(Detail_PeerAnalysis!D68+Detail_PeerAnalysis!E68,"n/a")</f>
        <v>1</v>
      </c>
      <c r="C21" t="str">
        <f t="shared" si="3"/>
        <v>ok</v>
      </c>
    </row>
    <row r="22" spans="1:6" x14ac:dyDescent="0.25">
      <c r="A22" t="s">
        <v>1584</v>
      </c>
      <c r="B22">
        <f>IFERROR(Detail_PeerAnalysis!D69+Detail_PeerAnalysis!E69,"n/a")</f>
        <v>1</v>
      </c>
      <c r="C22" t="str">
        <f t="shared" si="3"/>
        <v>ok</v>
      </c>
    </row>
    <row r="24" spans="1:6" x14ac:dyDescent="0.25">
      <c r="A24" s="10" t="s">
        <v>1585</v>
      </c>
    </row>
    <row r="25" spans="1:6" x14ac:dyDescent="0.25">
      <c r="A25" t="s">
        <v>1586</v>
      </c>
      <c r="B25">
        <f>Inputs_Sources!$D$25+Inputs_Sources!$D$26+Inputs_Sources!$D$27+Inputs_Sources!$D$28</f>
        <v>60919</v>
      </c>
      <c r="C25" t="str">
        <f>IF(ABS(B25-60919)&lt;0.5,"ok","FLAG")</f>
        <v>ok</v>
      </c>
    </row>
    <row r="27" spans="1:6" x14ac:dyDescent="0.25">
      <c r="A27" s="10" t="s">
        <v>1587</v>
      </c>
    </row>
    <row r="28" spans="1:6" x14ac:dyDescent="0.25">
      <c r="A28" s="2" t="s">
        <v>1588</v>
      </c>
      <c r="B28" s="2" t="s">
        <v>1589</v>
      </c>
      <c r="C28" s="2" t="s">
        <v>1590</v>
      </c>
      <c r="D28" s="2" t="s">
        <v>24</v>
      </c>
      <c r="E28" s="2" t="s">
        <v>25</v>
      </c>
      <c r="F28" s="2" t="s">
        <v>8</v>
      </c>
    </row>
    <row r="29" spans="1:6" x14ac:dyDescent="0.25">
      <c r="A29" t="s">
        <v>1591</v>
      </c>
      <c r="B29">
        <f>Detail_TearSheet!C30-Detail_TearSheet!C33-Detail_TearSheet!C35</f>
        <v>0</v>
      </c>
      <c r="C29">
        <f>Detail_TearSheet!D30-Detail_TearSheet!D33-Detail_TearSheet!D35</f>
        <v>0</v>
      </c>
      <c r="D29">
        <f>Detail_TearSheet!E30-Detail_TearSheet!E33-Detail_TearSheet!E35</f>
        <v>0</v>
      </c>
      <c r="E29">
        <f>Detail_TearSheet!F30-Detail_TearSheet!F33-Detail_TearSheet!F35</f>
        <v>0</v>
      </c>
      <c r="F29">
        <f>Detail_TearSheet!G30-Detail_TearSheet!G33-Detail_TearSheet!G35</f>
        <v>0</v>
      </c>
    </row>
    <row r="30" spans="1:6" x14ac:dyDescent="0.25">
      <c r="A30" t="s">
        <v>1592</v>
      </c>
      <c r="B30">
        <f>Detail_TearSheet!C37-(Detail_TearSheet!C36-Detail_TearSheet!C28)</f>
        <v>0</v>
      </c>
      <c r="C30">
        <f>Detail_TearSheet!D37-(Detail_TearSheet!D36-Detail_TearSheet!D28)</f>
        <v>0</v>
      </c>
      <c r="D30">
        <f>Detail_TearSheet!E37-(Detail_TearSheet!E36-Detail_TearSheet!E28)</f>
        <v>0</v>
      </c>
      <c r="E30">
        <f>Detail_TearSheet!F37-(Detail_TearSheet!F36-Detail_TearSheet!F28)</f>
        <v>0</v>
      </c>
      <c r="F30">
        <f>Detail_TearSheet!G37-(Detail_TearSheet!G36-Detail_TearSheet!G28)</f>
        <v>0</v>
      </c>
    </row>
    <row r="31" spans="1:6" x14ac:dyDescent="0.25">
      <c r="A31" t="s">
        <v>1593</v>
      </c>
      <c r="B31">
        <f>Detail_TearSheet!C7-338792</f>
        <v>0</v>
      </c>
      <c r="C31">
        <f>Detail_TearSheet!D7-398706</f>
        <v>0</v>
      </c>
      <c r="D31">
        <f>Detail_TearSheet!E7-399879</f>
        <v>0</v>
      </c>
      <c r="F31">
        <f>Detail_TearSheet!G7-426952</f>
        <v>11</v>
      </c>
    </row>
    <row r="32" spans="1:6" x14ac:dyDescent="0.25">
      <c r="A32" t="s">
        <v>1594</v>
      </c>
      <c r="B32">
        <f>Detail_TearSheet!H19/17.46-3558.4</f>
        <v>-0.72531500572767982</v>
      </c>
    </row>
    <row r="34" spans="1:2" x14ac:dyDescent="0.25">
      <c r="A34" s="10" t="s">
        <v>1595</v>
      </c>
    </row>
    <row r="35" spans="1:2" x14ac:dyDescent="0.25">
      <c r="A35" t="s">
        <v>1596</v>
      </c>
      <c r="B35">
        <f>SUMPRODUCT(--ISERROR(Detail_PeerAnalysis!A1:T90))</f>
        <v>0</v>
      </c>
    </row>
    <row r="36" spans="1:2" x14ac:dyDescent="0.25">
      <c r="A36" t="s">
        <v>1597</v>
      </c>
      <c r="B36">
        <f>SUMPRODUCT(--ISERROR(Detail_TearSheet!A1:L80))</f>
        <v>0</v>
      </c>
    </row>
    <row r="37" spans="1:2" x14ac:dyDescent="0.25">
      <c r="A37" t="s">
        <v>1598</v>
      </c>
      <c r="B37">
        <f>SUMPRODUCT(--ISERROR(A1:H36))</f>
        <v>0</v>
      </c>
    </row>
    <row r="39" spans="1:2" x14ac:dyDescent="0.25">
      <c r="A39" s="10" t="s">
        <v>1599</v>
      </c>
    </row>
    <row r="40" spans="1:2" x14ac:dyDescent="0.25">
      <c r="A40" t="s">
        <v>1600</v>
      </c>
    </row>
    <row r="41" spans="1:2" x14ac:dyDescent="0.25">
      <c r="A41" t="s">
        <v>1601</v>
      </c>
    </row>
    <row r="42" spans="1:2" x14ac:dyDescent="0.25">
      <c r="A42" t="s">
        <v>1602</v>
      </c>
    </row>
    <row r="43" spans="1:2" x14ac:dyDescent="0.25">
      <c r="A43" t="s">
        <v>1603</v>
      </c>
    </row>
    <row r="44" spans="1:2" x14ac:dyDescent="0.25">
      <c r="A44" t="s">
        <v>1604</v>
      </c>
    </row>
    <row r="45" spans="1:2" x14ac:dyDescent="0.25">
      <c r="A45" t="s">
        <v>1605</v>
      </c>
    </row>
    <row r="46" spans="1:2" x14ac:dyDescent="0.25">
      <c r="A46" t="s">
        <v>1606</v>
      </c>
    </row>
    <row r="48" spans="1:2" x14ac:dyDescent="0.25">
      <c r="A48" s="10" t="s">
        <v>1607</v>
      </c>
    </row>
    <row r="49" spans="1:8" ht="45" customHeight="1" x14ac:dyDescent="0.25">
      <c r="A49" s="11" t="s">
        <v>249</v>
      </c>
      <c r="B49" s="11" t="s">
        <v>1608</v>
      </c>
      <c r="C49" s="11" t="s">
        <v>1609</v>
      </c>
      <c r="D49" s="11" t="s">
        <v>1610</v>
      </c>
      <c r="E49" s="11" t="s">
        <v>1611</v>
      </c>
      <c r="F49" s="11" t="s">
        <v>1612</v>
      </c>
      <c r="G49" s="11" t="s">
        <v>1613</v>
      </c>
      <c r="H49" s="11" t="s">
        <v>1614</v>
      </c>
    </row>
    <row r="50" spans="1:8" x14ac:dyDescent="0.25">
      <c r="A50" t="s">
        <v>275</v>
      </c>
      <c r="B50">
        <v>2007.8</v>
      </c>
      <c r="C50">
        <v>1686.2</v>
      </c>
      <c r="D50" s="16">
        <f>C50/B50-1</f>
        <v>-0.16017531626656034</v>
      </c>
      <c r="E50">
        <v>2003.3</v>
      </c>
      <c r="F50" s="16">
        <f>E50/B50-1</f>
        <v>-2.2412590895507511E-3</v>
      </c>
      <c r="G50" t="s">
        <v>278</v>
      </c>
      <c r="H50" t="s">
        <v>1615</v>
      </c>
    </row>
    <row r="51" spans="1:8" x14ac:dyDescent="0.25">
      <c r="A51" t="s">
        <v>299</v>
      </c>
      <c r="B51">
        <v>6940.2</v>
      </c>
      <c r="C51">
        <v>6737.8</v>
      </c>
      <c r="D51" s="16">
        <f>C51/B51-1</f>
        <v>-2.9163424685167527E-2</v>
      </c>
      <c r="E51">
        <v>6930.6</v>
      </c>
      <c r="F51" s="16">
        <f>E51/B51-1</f>
        <v>-1.383245439612657E-3</v>
      </c>
      <c r="G51" t="s">
        <v>278</v>
      </c>
      <c r="H51" t="s">
        <v>1616</v>
      </c>
    </row>
    <row r="52" spans="1:8" x14ac:dyDescent="0.25">
      <c r="A52" t="s">
        <v>303</v>
      </c>
      <c r="B52">
        <v>7450</v>
      </c>
      <c r="C52">
        <v>7137</v>
      </c>
      <c r="D52" s="16">
        <f>C52/B52-1</f>
        <v>-4.2013422818791946E-2</v>
      </c>
      <c r="E52">
        <v>7450</v>
      </c>
      <c r="F52" s="16">
        <f>E52/B52-1</f>
        <v>0</v>
      </c>
      <c r="G52" t="s">
        <v>278</v>
      </c>
      <c r="H52" t="s">
        <v>1617</v>
      </c>
    </row>
    <row r="53" spans="1:8" x14ac:dyDescent="0.25">
      <c r="A53" t="s">
        <v>307</v>
      </c>
      <c r="B53">
        <v>22059</v>
      </c>
      <c r="C53">
        <v>21450</v>
      </c>
      <c r="D53" s="16">
        <f>C53/B53-1</f>
        <v>-2.7607779137766908E-2</v>
      </c>
      <c r="E53">
        <v>22059</v>
      </c>
      <c r="F53" s="16">
        <f>E53/B53-1</f>
        <v>0</v>
      </c>
      <c r="G53" t="s">
        <v>278</v>
      </c>
      <c r="H53" t="s">
        <v>1618</v>
      </c>
    </row>
    <row r="54" spans="1:8" x14ac:dyDescent="0.25">
      <c r="A54" t="s">
        <v>315</v>
      </c>
      <c r="B54">
        <v>51881</v>
      </c>
      <c r="C54">
        <v>51881</v>
      </c>
      <c r="D54" s="16">
        <f>C54/B54-1</f>
        <v>0</v>
      </c>
      <c r="E54">
        <v>55727</v>
      </c>
      <c r="F54" s="16">
        <f>E54/B54-1</f>
        <v>7.4131184826815133E-2</v>
      </c>
      <c r="G54" t="s">
        <v>291</v>
      </c>
      <c r="H54" t="s">
        <v>1619</v>
      </c>
    </row>
    <row r="56" spans="1:8" x14ac:dyDescent="0.25">
      <c r="A56" s="10" t="s">
        <v>1620</v>
      </c>
    </row>
    <row r="57" spans="1:8" x14ac:dyDescent="0.25">
      <c r="A57" t="s">
        <v>1621</v>
      </c>
    </row>
    <row r="58" spans="1:8" x14ac:dyDescent="0.25">
      <c r="A58" t="s">
        <v>1622</v>
      </c>
    </row>
    <row r="59" spans="1:8" x14ac:dyDescent="0.25">
      <c r="A59" t="s">
        <v>1623</v>
      </c>
    </row>
    <row r="60" spans="1:8" x14ac:dyDescent="0.25">
      <c r="A60" t="s">
        <v>1624</v>
      </c>
    </row>
    <row r="61" spans="1:8" x14ac:dyDescent="0.25">
      <c r="A61" t="s">
        <v>1625</v>
      </c>
    </row>
    <row r="62" spans="1:8" x14ac:dyDescent="0.25">
      <c r="A62" t="s">
        <v>1626</v>
      </c>
    </row>
    <row r="64" spans="1:8" x14ac:dyDescent="0.25">
      <c r="A64" s="10" t="s">
        <v>1627</v>
      </c>
    </row>
    <row r="65" spans="1:5" x14ac:dyDescent="0.25">
      <c r="A65" t="s">
        <v>1628</v>
      </c>
    </row>
    <row r="66" spans="1:5" x14ac:dyDescent="0.25">
      <c r="A66" t="s">
        <v>1629</v>
      </c>
    </row>
    <row r="67" spans="1:5" x14ac:dyDescent="0.25">
      <c r="A67" t="s">
        <v>1630</v>
      </c>
    </row>
    <row r="69" spans="1:5" x14ac:dyDescent="0.25">
      <c r="A69" s="18" t="s">
        <v>1631</v>
      </c>
    </row>
    <row r="70" spans="1:5" x14ac:dyDescent="0.25">
      <c r="A70" s="18" t="s">
        <v>388</v>
      </c>
      <c r="B70" s="18" t="s">
        <v>1632</v>
      </c>
      <c r="C70" s="18" t="s">
        <v>1633</v>
      </c>
      <c r="D70" s="18" t="s">
        <v>1634</v>
      </c>
      <c r="E70" s="18" t="s">
        <v>1635</v>
      </c>
    </row>
    <row r="71" spans="1:5" x14ac:dyDescent="0.25">
      <c r="A71" t="s">
        <v>1636</v>
      </c>
      <c r="B71">
        <f>Detail_PeerAnalysis!B50</f>
        <v>5.5255833361622528</v>
      </c>
      <c r="C71">
        <v>5.5255830000000001</v>
      </c>
      <c r="D71" t="str">
        <f t="shared" ref="D71:D102" si="4">IF(ISNUMBER(B71),IF(ABS(B71-C71)&lt;=0.000001*MAX(1,ABS(C71)),"ok","FLAG"),"FLAG")</f>
        <v>ok</v>
      </c>
      <c r="E71">
        <v>5.6414580000000001</v>
      </c>
    </row>
    <row r="72" spans="1:5" x14ac:dyDescent="0.25">
      <c r="A72" t="s">
        <v>1637</v>
      </c>
      <c r="B72">
        <f>Detail_PeerAnalysis!C50</f>
        <v>5.8929139245263995</v>
      </c>
      <c r="C72">
        <v>5.8929140000000002</v>
      </c>
      <c r="D72" t="str">
        <f t="shared" si="4"/>
        <v>ok</v>
      </c>
      <c r="E72">
        <v>6.1472720000000001</v>
      </c>
    </row>
    <row r="73" spans="1:5" x14ac:dyDescent="0.25">
      <c r="A73" t="s">
        <v>1638</v>
      </c>
      <c r="B73">
        <f>Detail_PeerAnalysis!B53</f>
        <v>8.2693232260371481</v>
      </c>
      <c r="C73">
        <v>8.269323</v>
      </c>
      <c r="D73" t="str">
        <f t="shared" si="4"/>
        <v>ok</v>
      </c>
      <c r="E73">
        <v>8.269323</v>
      </c>
    </row>
    <row r="74" spans="1:5" x14ac:dyDescent="0.25">
      <c r="A74" t="s">
        <v>1639</v>
      </c>
      <c r="B74">
        <f>Detail_PeerAnalysis!C53</f>
        <v>8.7866093817657163</v>
      </c>
      <c r="C74">
        <v>8.7866090000000003</v>
      </c>
      <c r="D74" t="str">
        <f t="shared" si="4"/>
        <v>ok</v>
      </c>
      <c r="E74">
        <v>9.2157470000000004</v>
      </c>
    </row>
    <row r="75" spans="1:5" x14ac:dyDescent="0.25">
      <c r="A75" t="s">
        <v>1640</v>
      </c>
      <c r="B75">
        <f>Detail_PeerAnalysis!E53</f>
        <v>16.149999999999999</v>
      </c>
      <c r="C75">
        <v>16.149999999999999</v>
      </c>
      <c r="D75" t="str">
        <f t="shared" si="4"/>
        <v>ok</v>
      </c>
      <c r="E75">
        <v>19.625</v>
      </c>
    </row>
    <row r="76" spans="1:5" x14ac:dyDescent="0.25">
      <c r="A76" t="s">
        <v>1641</v>
      </c>
      <c r="B76">
        <f>Detail_PeerAnalysis!F53</f>
        <v>11.72</v>
      </c>
      <c r="C76">
        <v>11.72</v>
      </c>
      <c r="D76" t="str">
        <f t="shared" si="4"/>
        <v>ok</v>
      </c>
      <c r="E76">
        <v>13.625</v>
      </c>
    </row>
    <row r="77" spans="1:5" x14ac:dyDescent="0.25">
      <c r="A77" t="s">
        <v>1642</v>
      </c>
      <c r="B77">
        <f>Detail_PeerAnalysis!B40</f>
        <v>5.6094444703642079</v>
      </c>
      <c r="C77">
        <v>5.6094439999999999</v>
      </c>
      <c r="D77" t="str">
        <f t="shared" si="4"/>
        <v>ok</v>
      </c>
    </row>
    <row r="78" spans="1:5" x14ac:dyDescent="0.25">
      <c r="A78" t="s">
        <v>1643</v>
      </c>
      <c r="B78">
        <f>Detail_PeerAnalysis!C40</f>
        <v>6.147272023717357</v>
      </c>
      <c r="C78">
        <v>6.1472720000000001</v>
      </c>
      <c r="D78" t="str">
        <f t="shared" si="4"/>
        <v>ok</v>
      </c>
    </row>
    <row r="79" spans="1:5" x14ac:dyDescent="0.25">
      <c r="A79" t="s">
        <v>1644</v>
      </c>
      <c r="B79">
        <f>Detail_PeerAnalysis!E40</f>
        <v>23.45</v>
      </c>
      <c r="C79">
        <v>23.45</v>
      </c>
      <c r="D79" t="str">
        <f t="shared" si="4"/>
        <v>ok</v>
      </c>
    </row>
    <row r="80" spans="1:5" x14ac:dyDescent="0.25">
      <c r="A80" t="s">
        <v>1645</v>
      </c>
      <c r="B80">
        <f>Detail_PeerAnalysis!F40</f>
        <v>8.93</v>
      </c>
      <c r="C80">
        <v>8.93</v>
      </c>
      <c r="D80" t="str">
        <f t="shared" si="4"/>
        <v>ok</v>
      </c>
    </row>
    <row r="81" spans="1:4" x14ac:dyDescent="0.25">
      <c r="A81" t="s">
        <v>1646</v>
      </c>
      <c r="B81">
        <f>Detail_PeerAnalysis!B41</f>
        <v>5.4417222019602978</v>
      </c>
      <c r="C81">
        <v>5.4417220000000004</v>
      </c>
      <c r="D81" t="str">
        <f t="shared" si="4"/>
        <v>ok</v>
      </c>
    </row>
    <row r="82" spans="1:4" x14ac:dyDescent="0.25">
      <c r="A82" t="s">
        <v>1647</v>
      </c>
      <c r="B82">
        <f>Detail_PeerAnalysis!C41</f>
        <v>5.638555825335442</v>
      </c>
      <c r="C82">
        <v>5.6385560000000003</v>
      </c>
      <c r="D82" t="str">
        <f t="shared" si="4"/>
        <v>ok</v>
      </c>
    </row>
    <row r="83" spans="1:4" x14ac:dyDescent="0.25">
      <c r="A83" t="s">
        <v>1648</v>
      </c>
      <c r="B83">
        <f>Detail_PeerAnalysis!E41</f>
        <v>9.3550207571529089</v>
      </c>
      <c r="C83">
        <v>9.3550210000000007</v>
      </c>
      <c r="D83" t="str">
        <f t="shared" si="4"/>
        <v>ok</v>
      </c>
    </row>
    <row r="84" spans="1:4" x14ac:dyDescent="0.25">
      <c r="A84" t="s">
        <v>1649</v>
      </c>
      <c r="B84">
        <f>Detail_PeerAnalysis!F41</f>
        <v>9.739254353567631</v>
      </c>
      <c r="C84">
        <v>9.7392540000000007</v>
      </c>
      <c r="D84" t="str">
        <f t="shared" si="4"/>
        <v>ok</v>
      </c>
    </row>
    <row r="85" spans="1:4" x14ac:dyDescent="0.25">
      <c r="A85" t="s">
        <v>1650</v>
      </c>
      <c r="B85">
        <f>Detail_PeerAnalysis!B42</f>
        <v>6.059714403567634</v>
      </c>
      <c r="C85">
        <v>6.0597139999999996</v>
      </c>
      <c r="D85" t="str">
        <f t="shared" si="4"/>
        <v>ok</v>
      </c>
    </row>
    <row r="86" spans="1:4" x14ac:dyDescent="0.25">
      <c r="A86" t="s">
        <v>1651</v>
      </c>
      <c r="B86">
        <f>Detail_PeerAnalysis!C42</f>
        <v>5.8441554435507683</v>
      </c>
      <c r="C86">
        <v>5.8441549999999998</v>
      </c>
      <c r="D86" t="str">
        <f t="shared" si="4"/>
        <v>ok</v>
      </c>
    </row>
    <row r="87" spans="1:4" x14ac:dyDescent="0.25">
      <c r="A87" t="s">
        <v>1652</v>
      </c>
      <c r="B87">
        <f>Detail_PeerAnalysis!E42</f>
        <v>17.739999999999998</v>
      </c>
      <c r="C87">
        <v>17.739999999999998</v>
      </c>
      <c r="D87" t="str">
        <f t="shared" si="4"/>
        <v>ok</v>
      </c>
    </row>
    <row r="88" spans="1:4" x14ac:dyDescent="0.25">
      <c r="A88" t="s">
        <v>1653</v>
      </c>
      <c r="B88">
        <f>Detail_PeerAnalysis!F42</f>
        <v>16.84</v>
      </c>
      <c r="C88">
        <v>16.84</v>
      </c>
      <c r="D88" t="str">
        <f t="shared" si="4"/>
        <v>ok</v>
      </c>
    </row>
    <row r="89" spans="1:4" x14ac:dyDescent="0.25">
      <c r="A89" t="s">
        <v>1654</v>
      </c>
      <c r="B89">
        <f>Detail_PeerAnalysis!B43</f>
        <v>8.3332365847860537</v>
      </c>
      <c r="C89">
        <v>8.3332370000000004</v>
      </c>
      <c r="D89" t="str">
        <f t="shared" si="4"/>
        <v>ok</v>
      </c>
    </row>
    <row r="90" spans="1:4" x14ac:dyDescent="0.25">
      <c r="A90" t="s">
        <v>1655</v>
      </c>
      <c r="B90">
        <f>Detail_PeerAnalysis!C43</f>
        <v>5.8147035728595373</v>
      </c>
      <c r="C90">
        <v>5.8147039999999999</v>
      </c>
      <c r="D90" t="str">
        <f t="shared" si="4"/>
        <v>ok</v>
      </c>
    </row>
    <row r="91" spans="1:4" x14ac:dyDescent="0.25">
      <c r="A91" t="s">
        <v>1656</v>
      </c>
      <c r="B91">
        <f>Detail_PeerAnalysis!E43</f>
        <v>10.210000000000001</v>
      </c>
      <c r="C91">
        <v>10.210000000000001</v>
      </c>
      <c r="D91" t="str">
        <f t="shared" si="4"/>
        <v>ok</v>
      </c>
    </row>
    <row r="92" spans="1:4" x14ac:dyDescent="0.25">
      <c r="A92" t="s">
        <v>1657</v>
      </c>
      <c r="B92">
        <f>Detail_PeerAnalysis!F43</f>
        <v>9.01</v>
      </c>
      <c r="C92">
        <v>9.01</v>
      </c>
      <c r="D92" t="str">
        <f t="shared" si="4"/>
        <v>ok</v>
      </c>
    </row>
    <row r="93" spans="1:4" x14ac:dyDescent="0.25">
      <c r="A93" t="s">
        <v>1658</v>
      </c>
      <c r="B93">
        <f>Detail_PeerAnalysis!B44</f>
        <v>8.8754976631469606</v>
      </c>
      <c r="C93">
        <v>8.8754980000000003</v>
      </c>
      <c r="D93" t="str">
        <f t="shared" si="4"/>
        <v>ok</v>
      </c>
    </row>
    <row r="94" spans="1:4" x14ac:dyDescent="0.25">
      <c r="A94" t="s">
        <v>1659</v>
      </c>
      <c r="B94">
        <f>Detail_PeerAnalysis!C44</f>
        <v>9.2157465365705189</v>
      </c>
      <c r="C94">
        <v>9.2157470000000004</v>
      </c>
      <c r="D94" t="str">
        <f t="shared" si="4"/>
        <v>ok</v>
      </c>
    </row>
    <row r="95" spans="1:4" x14ac:dyDescent="0.25">
      <c r="A95" t="s">
        <v>1660</v>
      </c>
      <c r="B95">
        <f>Detail_PeerAnalysis!E44</f>
        <v>58.63</v>
      </c>
      <c r="C95">
        <v>58.63</v>
      </c>
      <c r="D95" t="str">
        <f t="shared" si="4"/>
        <v>ok</v>
      </c>
    </row>
    <row r="96" spans="1:4" x14ac:dyDescent="0.25">
      <c r="A96" t="s">
        <v>1661</v>
      </c>
      <c r="B96">
        <f>Detail_PeerAnalysis!F44</f>
        <v>12.6</v>
      </c>
      <c r="C96">
        <v>12.6</v>
      </c>
      <c r="D96" t="str">
        <f t="shared" si="4"/>
        <v>ok</v>
      </c>
    </row>
    <row r="97" spans="1:4" x14ac:dyDescent="0.25">
      <c r="A97" t="s">
        <v>1662</v>
      </c>
      <c r="B97">
        <f>Detail_PeerAnalysis!B45</f>
        <v>7.6631487889273355</v>
      </c>
      <c r="C97">
        <v>7.6631489999999998</v>
      </c>
      <c r="D97" t="str">
        <f t="shared" si="4"/>
        <v>ok</v>
      </c>
    </row>
    <row r="98" spans="1:4" x14ac:dyDescent="0.25">
      <c r="A98" t="s">
        <v>1663</v>
      </c>
      <c r="B98">
        <f>Detail_PeerAnalysis!C45</f>
        <v>8.3574722269609136</v>
      </c>
      <c r="C98">
        <v>8.3574719999999996</v>
      </c>
      <c r="D98" t="str">
        <f t="shared" si="4"/>
        <v>ok</v>
      </c>
    </row>
    <row r="99" spans="1:4" x14ac:dyDescent="0.25">
      <c r="A99" t="s">
        <v>1664</v>
      </c>
      <c r="B99">
        <f>Detail_PeerAnalysis!E45</f>
        <v>15.11</v>
      </c>
      <c r="C99">
        <v>15.11</v>
      </c>
      <c r="D99" t="str">
        <f t="shared" si="4"/>
        <v>ok</v>
      </c>
    </row>
    <row r="100" spans="1:4" x14ac:dyDescent="0.25">
      <c r="A100" t="s">
        <v>1665</v>
      </c>
      <c r="B100">
        <f>Detail_PeerAnalysis!F45</f>
        <v>11.72</v>
      </c>
      <c r="C100">
        <v>11.72</v>
      </c>
      <c r="D100" t="str">
        <f t="shared" si="4"/>
        <v>ok</v>
      </c>
    </row>
    <row r="101" spans="1:4" x14ac:dyDescent="0.25">
      <c r="A101" t="s">
        <v>1666</v>
      </c>
      <c r="B101">
        <f>Detail_PeerAnalysis!B46</f>
        <v>16.144293392349038</v>
      </c>
      <c r="C101">
        <v>16.144293000000001</v>
      </c>
      <c r="D101" t="str">
        <f t="shared" si="4"/>
        <v>ok</v>
      </c>
    </row>
    <row r="102" spans="1:4" x14ac:dyDescent="0.25">
      <c r="A102" t="s">
        <v>1667</v>
      </c>
      <c r="B102">
        <f>Detail_PeerAnalysis!C46</f>
        <v>13.802617997775705</v>
      </c>
      <c r="C102">
        <v>13.802618000000001</v>
      </c>
      <c r="D102" t="str">
        <f t="shared" si="4"/>
        <v>ok</v>
      </c>
    </row>
    <row r="103" spans="1:4" x14ac:dyDescent="0.25">
      <c r="A103" t="s">
        <v>1668</v>
      </c>
      <c r="B103">
        <f>Detail_PeerAnalysis!E46</f>
        <v>23.1</v>
      </c>
      <c r="C103">
        <v>23.1</v>
      </c>
      <c r="D103" t="str">
        <f t="shared" ref="D103:D134" si="5">IF(ISNUMBER(B103),IF(ABS(B103-C103)&lt;=0.000001*MAX(1,ABS(C103)),"ok","FLAG"),"FLAG")</f>
        <v>ok</v>
      </c>
    </row>
    <row r="104" spans="1:4" x14ac:dyDescent="0.25">
      <c r="A104" t="s">
        <v>1669</v>
      </c>
      <c r="B104">
        <f>Detail_PeerAnalysis!F46</f>
        <v>19.829999999999998</v>
      </c>
      <c r="C104">
        <v>19.829999999999998</v>
      </c>
      <c r="D104" t="str">
        <f t="shared" si="5"/>
        <v>ok</v>
      </c>
    </row>
    <row r="105" spans="1:4" x14ac:dyDescent="0.25">
      <c r="A105" t="s">
        <v>1670</v>
      </c>
      <c r="B105">
        <f>Detail_PeerAnalysis!B47</f>
        <v>7.8537991297662693</v>
      </c>
      <c r="C105">
        <v>7.8537990000000004</v>
      </c>
      <c r="D105" t="str">
        <f t="shared" si="5"/>
        <v>ok</v>
      </c>
    </row>
    <row r="106" spans="1:4" x14ac:dyDescent="0.25">
      <c r="A106" t="s">
        <v>1671</v>
      </c>
      <c r="B106">
        <f>Detail_PeerAnalysis!C47</f>
        <v>7.1098612119158666</v>
      </c>
      <c r="C106">
        <v>7.1098610000000004</v>
      </c>
      <c r="D106" t="str">
        <f t="shared" si="5"/>
        <v>ok</v>
      </c>
    </row>
    <row r="107" spans="1:4" x14ac:dyDescent="0.25">
      <c r="A107" t="s">
        <v>1672</v>
      </c>
      <c r="B107">
        <f>Detail_PeerAnalysis!E47</f>
        <v>18.71</v>
      </c>
      <c r="C107">
        <v>18.71</v>
      </c>
      <c r="D107" t="str">
        <f t="shared" si="5"/>
        <v>ok</v>
      </c>
    </row>
    <row r="108" spans="1:4" x14ac:dyDescent="0.25">
      <c r="A108" t="s">
        <v>1673</v>
      </c>
      <c r="B108">
        <f>Detail_PeerAnalysis!F47</f>
        <v>16.5</v>
      </c>
      <c r="C108">
        <v>16.5</v>
      </c>
      <c r="D108" t="str">
        <f t="shared" si="5"/>
        <v>ok</v>
      </c>
    </row>
    <row r="109" spans="1:4" x14ac:dyDescent="0.25">
      <c r="A109" t="s">
        <v>1674</v>
      </c>
      <c r="B109">
        <f>Detail_PeerAnalysis!B48</f>
        <v>11.193830731634332</v>
      </c>
      <c r="C109">
        <v>11.193830999999999</v>
      </c>
      <c r="D109" t="str">
        <f t="shared" si="5"/>
        <v>ok</v>
      </c>
    </row>
    <row r="110" spans="1:4" x14ac:dyDescent="0.25">
      <c r="A110" t="s">
        <v>1675</v>
      </c>
      <c r="B110">
        <f>Detail_PeerAnalysis!C48</f>
        <v>11.027248146169912</v>
      </c>
      <c r="C110">
        <v>11.027248</v>
      </c>
      <c r="D110" t="str">
        <f t="shared" si="5"/>
        <v>ok</v>
      </c>
    </row>
    <row r="111" spans="1:4" x14ac:dyDescent="0.25">
      <c r="A111" t="s">
        <v>1676</v>
      </c>
      <c r="B111">
        <f>Detail_PeerAnalysis!E48</f>
        <v>16.149999999999999</v>
      </c>
      <c r="C111">
        <v>16.149999999999999</v>
      </c>
      <c r="D111" t="str">
        <f t="shared" si="5"/>
        <v>ok</v>
      </c>
    </row>
    <row r="112" spans="1:4" x14ac:dyDescent="0.25">
      <c r="A112" t="s">
        <v>1677</v>
      </c>
      <c r="B112">
        <f>Detail_PeerAnalysis!F48</f>
        <v>15.53</v>
      </c>
      <c r="C112">
        <v>15.53</v>
      </c>
      <c r="D112" t="str">
        <f t="shared" si="5"/>
        <v>ok</v>
      </c>
    </row>
    <row r="113" spans="1:4" x14ac:dyDescent="0.25">
      <c r="A113" t="s">
        <v>1678</v>
      </c>
      <c r="B113">
        <f>PeerAnalysis!L20</f>
        <v>0.1702786377708978</v>
      </c>
      <c r="C113">
        <v>0.17027900000000001</v>
      </c>
      <c r="D113" t="str">
        <f t="shared" si="5"/>
        <v>ok</v>
      </c>
    </row>
    <row r="114" spans="1:4" x14ac:dyDescent="0.25">
      <c r="A114" t="s">
        <v>1679</v>
      </c>
      <c r="B114">
        <f>PeerAnalysis!M20</f>
        <v>0.32631578947368411</v>
      </c>
      <c r="C114">
        <v>0.32631599999999999</v>
      </c>
      <c r="D114" t="str">
        <f t="shared" si="5"/>
        <v>ok</v>
      </c>
    </row>
    <row r="115" spans="1:4" x14ac:dyDescent="0.25">
      <c r="A115" t="s">
        <v>1680</v>
      </c>
      <c r="B115">
        <f>PeerAnalysis!N20</f>
        <v>0.26845637583892623</v>
      </c>
      <c r="C115">
        <v>0.26845599999999997</v>
      </c>
      <c r="D115" t="str">
        <f t="shared" si="5"/>
        <v>ok</v>
      </c>
    </row>
    <row r="116" spans="1:4" x14ac:dyDescent="0.25">
      <c r="A116" t="s">
        <v>1681</v>
      </c>
      <c r="B116">
        <f>PeerAnalysis!O20</f>
        <v>0.85597381342062184</v>
      </c>
      <c r="C116">
        <v>0.85597400000000001</v>
      </c>
      <c r="D116" t="str">
        <f t="shared" si="5"/>
        <v>ok</v>
      </c>
    </row>
    <row r="117" spans="1:4" x14ac:dyDescent="0.25">
      <c r="A117" t="s">
        <v>1682</v>
      </c>
      <c r="B117">
        <f>PeerAnalysis!P20</f>
        <v>5.5865921787709549E-2</v>
      </c>
      <c r="C117">
        <v>5.5865999999999999E-2</v>
      </c>
      <c r="D117" t="str">
        <f t="shared" si="5"/>
        <v>ok</v>
      </c>
    </row>
    <row r="118" spans="1:4" x14ac:dyDescent="0.25">
      <c r="A118" t="s">
        <v>1683</v>
      </c>
      <c r="B118">
        <f>PeerAnalysis!Q20</f>
        <v>4.8059149722735617E-2</v>
      </c>
      <c r="C118">
        <v>4.8058999999999998E-2</v>
      </c>
      <c r="D118" t="str">
        <f t="shared" si="5"/>
        <v>ok</v>
      </c>
    </row>
    <row r="119" spans="1:4" x14ac:dyDescent="0.25">
      <c r="A119" t="s">
        <v>1684</v>
      </c>
      <c r="B119">
        <f>PeerAnalysis!L16</f>
        <v>-0.23412884105443765</v>
      </c>
      <c r="C119">
        <v>-0.234129</v>
      </c>
      <c r="D119" t="str">
        <f t="shared" si="5"/>
        <v>ok</v>
      </c>
    </row>
    <row r="120" spans="1:4" x14ac:dyDescent="0.25">
      <c r="A120" t="s">
        <v>1685</v>
      </c>
      <c r="B120">
        <f>PeerAnalysis!M16</f>
        <v>-0.3042369278730338</v>
      </c>
      <c r="C120">
        <v>-0.30423699999999998</v>
      </c>
      <c r="D120" t="str">
        <f t="shared" si="5"/>
        <v>ok</v>
      </c>
    </row>
    <row r="121" spans="1:4" x14ac:dyDescent="0.25">
      <c r="A121" t="s">
        <v>1686</v>
      </c>
      <c r="B121">
        <f>PeerAnalysis!N16</f>
        <v>-0.32850109409190376</v>
      </c>
      <c r="C121">
        <v>-0.32850099999999999</v>
      </c>
      <c r="D121" t="str">
        <f t="shared" si="5"/>
        <v>ok</v>
      </c>
    </row>
    <row r="122" spans="1:4" x14ac:dyDescent="0.25">
      <c r="A122" t="s">
        <v>1687</v>
      </c>
      <c r="B122">
        <f>PeerAnalysis!O16</f>
        <v>-5.9747223286097273E-2</v>
      </c>
      <c r="C122">
        <v>-5.9747000000000001E-2</v>
      </c>
      <c r="D122" t="str">
        <f t="shared" si="5"/>
        <v>ok</v>
      </c>
    </row>
    <row r="123" spans="1:4" x14ac:dyDescent="0.25">
      <c r="A123" t="s">
        <v>1688</v>
      </c>
      <c r="B123">
        <f>PeerAnalysis!P16</f>
        <v>7.9358100681468535E-2</v>
      </c>
      <c r="C123">
        <v>7.9357999999999998E-2</v>
      </c>
      <c r="D123" t="str">
        <f t="shared" si="5"/>
        <v>ok</v>
      </c>
    </row>
    <row r="124" spans="1:4" x14ac:dyDescent="0.25">
      <c r="A124" t="s">
        <v>1689</v>
      </c>
      <c r="B124">
        <f>PeerAnalysis!Q16</f>
        <v>-0.24693251533742333</v>
      </c>
      <c r="C124">
        <v>-0.24693300000000001</v>
      </c>
      <c r="D124" t="str">
        <f t="shared" si="5"/>
        <v>ok</v>
      </c>
    </row>
    <row r="125" spans="1:4" x14ac:dyDescent="0.25">
      <c r="A125" t="s">
        <v>1690</v>
      </c>
      <c r="B125">
        <f>PeerAnalysis!L22</f>
        <v>-8.6658354114713121E-2</v>
      </c>
      <c r="C125">
        <v>-8.6657999999999999E-2</v>
      </c>
      <c r="D125" t="str">
        <f t="shared" si="5"/>
        <v>ok</v>
      </c>
    </row>
    <row r="126" spans="1:4" x14ac:dyDescent="0.25">
      <c r="A126" t="s">
        <v>1691</v>
      </c>
      <c r="B126">
        <f>PeerAnalysis!M22</f>
        <v>-5.4381152170404956E-2</v>
      </c>
      <c r="C126">
        <v>-5.4380999999999999E-2</v>
      </c>
      <c r="D126" t="str">
        <f t="shared" si="5"/>
        <v>ok</v>
      </c>
    </row>
    <row r="127" spans="1:4" x14ac:dyDescent="0.25">
      <c r="A127" t="s">
        <v>1692</v>
      </c>
      <c r="B127">
        <f>PeerAnalysis!N22</f>
        <v>-0.19923476359661119</v>
      </c>
      <c r="C127">
        <v>-0.199235</v>
      </c>
      <c r="D127" t="str">
        <f t="shared" si="5"/>
        <v>ok</v>
      </c>
    </row>
    <row r="128" spans="1:4" x14ac:dyDescent="0.25">
      <c r="A128" t="s">
        <v>1693</v>
      </c>
      <c r="B128">
        <f>PeerAnalysis!O22</f>
        <v>-3.8398424680013088E-2</v>
      </c>
      <c r="C128">
        <v>-3.8398000000000002E-2</v>
      </c>
      <c r="D128" t="str">
        <f t="shared" si="5"/>
        <v>ok</v>
      </c>
    </row>
    <row r="129" spans="1:4" x14ac:dyDescent="0.25">
      <c r="A129" t="s">
        <v>1694</v>
      </c>
      <c r="B129">
        <f>PeerAnalysis!P22</f>
        <v>6.7395264116575593E-2</v>
      </c>
      <c r="C129">
        <v>6.7394999999999997E-2</v>
      </c>
      <c r="D129" t="str">
        <f t="shared" si="5"/>
        <v>ok</v>
      </c>
    </row>
    <row r="130" spans="1:4" x14ac:dyDescent="0.25">
      <c r="A130" t="s">
        <v>1695</v>
      </c>
      <c r="B130">
        <f>PeerAnalysis!Q22</f>
        <v>-6.7796610169491567E-3</v>
      </c>
      <c r="C130">
        <v>-6.7799999999999996E-3</v>
      </c>
      <c r="D130" t="str">
        <f t="shared" si="5"/>
        <v>ok</v>
      </c>
    </row>
    <row r="131" spans="1:4" x14ac:dyDescent="0.25">
      <c r="A131" t="s">
        <v>1696</v>
      </c>
      <c r="B131">
        <f>PeerAnalysis!L18</f>
        <v>-0.34052439429140391</v>
      </c>
      <c r="C131">
        <v>-0.34052399999999999</v>
      </c>
      <c r="D131" t="str">
        <f t="shared" si="5"/>
        <v>ok</v>
      </c>
    </row>
    <row r="132" spans="1:4" x14ac:dyDescent="0.25">
      <c r="A132" t="s">
        <v>1697</v>
      </c>
      <c r="B132">
        <f>PeerAnalysis!M18</f>
        <v>-0.57406216505894958</v>
      </c>
      <c r="C132">
        <v>-0.57406199999999996</v>
      </c>
      <c r="D132" t="str">
        <f t="shared" si="5"/>
        <v>ok</v>
      </c>
    </row>
    <row r="133" spans="1:4" x14ac:dyDescent="0.25">
      <c r="A133" t="s">
        <v>1698</v>
      </c>
      <c r="B133">
        <f>PeerAnalysis!N18</f>
        <v>-0.50829002722098482</v>
      </c>
      <c r="C133">
        <v>-0.50829000000000002</v>
      </c>
      <c r="D133" t="str">
        <f t="shared" si="5"/>
        <v>ok</v>
      </c>
    </row>
    <row r="134" spans="1:4" x14ac:dyDescent="0.25">
      <c r="A134" t="s">
        <v>1699</v>
      </c>
      <c r="B134">
        <f>PeerAnalysis!O18</f>
        <v>-0.5026282853566959</v>
      </c>
      <c r="C134">
        <v>-0.50262799999999996</v>
      </c>
      <c r="D134" t="str">
        <f t="shared" si="5"/>
        <v>ok</v>
      </c>
    </row>
    <row r="135" spans="1:4" x14ac:dyDescent="0.25">
      <c r="A135" t="s">
        <v>1700</v>
      </c>
      <c r="B135">
        <f>PeerAnalysis!P18</f>
        <v>2.0171457387798686E-3</v>
      </c>
      <c r="C135">
        <v>2.0170000000000001E-3</v>
      </c>
      <c r="D135" t="str">
        <f t="shared" ref="D135:D166" si="6">IF(ISNUMBER(B135),IF(ABS(B135-C135)&lt;=0.000001*MAX(1,ABS(C135)),"ok","FLAG"),"FLAG")</f>
        <v>ok</v>
      </c>
    </row>
    <row r="136" spans="1:4" x14ac:dyDescent="0.25">
      <c r="A136" t="s">
        <v>1701</v>
      </c>
      <c r="B136">
        <f>PeerAnalysis!Q18</f>
        <v>-0.28704700394689631</v>
      </c>
      <c r="C136">
        <v>-0.287047</v>
      </c>
      <c r="D136" t="str">
        <f t="shared" si="6"/>
        <v>ok</v>
      </c>
    </row>
    <row r="137" spans="1:4" x14ac:dyDescent="0.25">
      <c r="A137" t="s">
        <v>1702</v>
      </c>
      <c r="B137">
        <f>PeerAnalysis!L13</f>
        <v>-0.48784576697401505</v>
      </c>
      <c r="C137">
        <v>-0.487846</v>
      </c>
      <c r="D137" t="str">
        <f t="shared" si="6"/>
        <v>ok</v>
      </c>
    </row>
    <row r="138" spans="1:4" x14ac:dyDescent="0.25">
      <c r="A138" t="s">
        <v>1703</v>
      </c>
      <c r="B138">
        <f>PeerAnalysis!M13</f>
        <v>-0.72514619883040932</v>
      </c>
      <c r="C138">
        <v>-0.72514599999999996</v>
      </c>
      <c r="D138" t="str">
        <f t="shared" si="6"/>
        <v>ok</v>
      </c>
    </row>
    <row r="139" spans="1:4" x14ac:dyDescent="0.25">
      <c r="A139" t="s">
        <v>1704</v>
      </c>
      <c r="B139">
        <f>PeerAnalysis!N13</f>
        <v>-0.72138622891016868</v>
      </c>
      <c r="C139">
        <v>-0.72138599999999997</v>
      </c>
      <c r="D139" t="str">
        <f t="shared" si="6"/>
        <v>ok</v>
      </c>
    </row>
    <row r="140" spans="1:4" x14ac:dyDescent="0.25">
      <c r="A140" t="s">
        <v>1705</v>
      </c>
      <c r="B140">
        <f>PeerAnalysis!O13</f>
        <v>-0.7531313131313131</v>
      </c>
      <c r="C140">
        <v>-0.75313099999999999</v>
      </c>
      <c r="D140" t="str">
        <f t="shared" si="6"/>
        <v>ok</v>
      </c>
    </row>
    <row r="141" spans="1:4" x14ac:dyDescent="0.25">
      <c r="A141" t="s">
        <v>1706</v>
      </c>
      <c r="B141">
        <f>PeerAnalysis!P13</f>
        <v>0.10090090090090098</v>
      </c>
      <c r="C141">
        <v>0.100901</v>
      </c>
      <c r="D141" t="str">
        <f t="shared" si="6"/>
        <v>ok</v>
      </c>
    </row>
    <row r="142" spans="1:4" x14ac:dyDescent="0.25">
      <c r="A142" t="s">
        <v>1707</v>
      </c>
      <c r="B142">
        <f>PeerAnalysis!Q13</f>
        <v>-0.43841911764705888</v>
      </c>
      <c r="C142">
        <v>-0.438419</v>
      </c>
      <c r="D142" t="str">
        <f t="shared" si="6"/>
        <v>ok</v>
      </c>
    </row>
    <row r="143" spans="1:4" x14ac:dyDescent="0.25">
      <c r="A143" t="s">
        <v>1708</v>
      </c>
      <c r="B143">
        <f>PeerAnalysis!L14</f>
        <v>-0.22954679223072394</v>
      </c>
      <c r="C143">
        <v>-0.229547</v>
      </c>
      <c r="D143" t="str">
        <f t="shared" si="6"/>
        <v>ok</v>
      </c>
    </row>
    <row r="144" spans="1:4" x14ac:dyDescent="0.25">
      <c r="A144" t="s">
        <v>1709</v>
      </c>
      <c r="B144">
        <f>PeerAnalysis!M14</f>
        <v>-0.24071925754060319</v>
      </c>
      <c r="C144">
        <v>-0.24071899999999999</v>
      </c>
      <c r="D144" t="str">
        <f t="shared" si="6"/>
        <v>ok</v>
      </c>
    </row>
    <row r="145" spans="1:4" x14ac:dyDescent="0.25">
      <c r="A145" t="s">
        <v>1710</v>
      </c>
      <c r="B145">
        <f>PeerAnalysis!N14</f>
        <v>-0.24553314121037473</v>
      </c>
      <c r="C145">
        <v>-0.245533</v>
      </c>
      <c r="D145" t="str">
        <f t="shared" si="6"/>
        <v>ok</v>
      </c>
    </row>
    <row r="146" spans="1:4" x14ac:dyDescent="0.25">
      <c r="A146" t="s">
        <v>1711</v>
      </c>
      <c r="B146">
        <f>PeerAnalysis!O14</f>
        <v>0.11309523809523814</v>
      </c>
      <c r="C146">
        <v>0.113095</v>
      </c>
      <c r="D146" t="str">
        <f t="shared" si="6"/>
        <v>ok</v>
      </c>
    </row>
    <row r="147" spans="1:4" x14ac:dyDescent="0.25">
      <c r="A147" t="s">
        <v>1712</v>
      </c>
      <c r="B147">
        <f>PeerAnalysis!P14</f>
        <v>4.6047582501917983E-3</v>
      </c>
      <c r="C147">
        <v>4.6049999999999997E-3</v>
      </c>
      <c r="D147" t="str">
        <f t="shared" si="6"/>
        <v>ok</v>
      </c>
    </row>
    <row r="148" spans="1:4" x14ac:dyDescent="0.25">
      <c r="A148" t="s">
        <v>1713</v>
      </c>
      <c r="B148">
        <f>PeerAnalysis!Q14</f>
        <v>-0.24027858386535117</v>
      </c>
      <c r="C148">
        <v>-0.24027899999999999</v>
      </c>
      <c r="D148" t="str">
        <f t="shared" si="6"/>
        <v>ok</v>
      </c>
    </row>
    <row r="149" spans="1:4" x14ac:dyDescent="0.25">
      <c r="A149" t="s">
        <v>1714</v>
      </c>
      <c r="B149">
        <f>PeerAnalysis!L19</f>
        <v>0.11225200139227276</v>
      </c>
      <c r="C149">
        <v>0.112252</v>
      </c>
      <c r="D149" t="str">
        <f t="shared" si="6"/>
        <v>ok</v>
      </c>
    </row>
    <row r="150" spans="1:4" x14ac:dyDescent="0.25">
      <c r="A150" t="s">
        <v>1715</v>
      </c>
      <c r="B150">
        <f>PeerAnalysis!M19</f>
        <v>-6.6734813084112221E-2</v>
      </c>
      <c r="C150">
        <v>-6.6735000000000003E-2</v>
      </c>
      <c r="D150" t="str">
        <f t="shared" si="6"/>
        <v>ok</v>
      </c>
    </row>
    <row r="151" spans="1:4" x14ac:dyDescent="0.25">
      <c r="A151" t="s">
        <v>1716</v>
      </c>
      <c r="B151">
        <f>PeerAnalysis!N19</f>
        <v>-3.4737954991693076E-2</v>
      </c>
      <c r="C151">
        <v>-3.4737999999999998E-2</v>
      </c>
      <c r="D151" t="str">
        <f t="shared" si="6"/>
        <v>ok</v>
      </c>
    </row>
    <row r="152" spans="1:4" x14ac:dyDescent="0.25">
      <c r="A152" t="s">
        <v>1717</v>
      </c>
      <c r="B152">
        <f>PeerAnalysis!O19</f>
        <v>5.2189660849522479E-2</v>
      </c>
      <c r="C152">
        <v>5.219E-2</v>
      </c>
      <c r="D152" t="str">
        <f t="shared" si="6"/>
        <v>ok</v>
      </c>
    </row>
    <row r="153" spans="1:4" x14ac:dyDescent="0.25">
      <c r="A153" t="s">
        <v>1718</v>
      </c>
      <c r="B153">
        <f>PeerAnalysis!P19</f>
        <v>0.10532687651331707</v>
      </c>
      <c r="C153">
        <v>0.105327</v>
      </c>
      <c r="D153" t="str">
        <f t="shared" si="6"/>
        <v>ok</v>
      </c>
    </row>
    <row r="154" spans="1:4" x14ac:dyDescent="0.25">
      <c r="A154" t="s">
        <v>1719</v>
      </c>
      <c r="B154">
        <f>PeerAnalysis!Q19</f>
        <v>0.18725617685305584</v>
      </c>
      <c r="C154">
        <v>0.18725600000000001</v>
      </c>
      <c r="D154" t="str">
        <f t="shared" si="6"/>
        <v>ok</v>
      </c>
    </row>
    <row r="155" spans="1:4" x14ac:dyDescent="0.25">
      <c r="A155" t="s">
        <v>1720</v>
      </c>
      <c r="B155">
        <f>PeerAnalysis!L21</f>
        <v>-9.9938394140598241E-2</v>
      </c>
      <c r="C155">
        <v>-9.9937999999999999E-2</v>
      </c>
      <c r="D155" t="str">
        <f t="shared" si="6"/>
        <v>ok</v>
      </c>
    </row>
    <row r="156" spans="1:4" x14ac:dyDescent="0.25">
      <c r="A156" t="s">
        <v>1721</v>
      </c>
      <c r="B156">
        <f>PeerAnalysis!M21</f>
        <v>-0.20827312138728327</v>
      </c>
      <c r="C156">
        <v>-0.20827300000000001</v>
      </c>
      <c r="D156" t="str">
        <f t="shared" si="6"/>
        <v>ok</v>
      </c>
    </row>
    <row r="157" spans="1:4" x14ac:dyDescent="0.25">
      <c r="A157" t="s">
        <v>1722</v>
      </c>
      <c r="B157">
        <f>PeerAnalysis!N21</f>
        <v>-0.1946962273395394</v>
      </c>
      <c r="C157">
        <v>-0.19469600000000001</v>
      </c>
      <c r="D157" t="str">
        <f t="shared" si="6"/>
        <v>ok</v>
      </c>
    </row>
    <row r="158" spans="1:4" x14ac:dyDescent="0.25">
      <c r="A158" t="s">
        <v>1723</v>
      </c>
      <c r="B158">
        <f>PeerAnalysis!O21</f>
        <v>-0.18632425742574243</v>
      </c>
      <c r="C158">
        <v>-0.18632399999999999</v>
      </c>
      <c r="D158" t="str">
        <f t="shared" si="6"/>
        <v>ok</v>
      </c>
    </row>
    <row r="159" spans="1:4" x14ac:dyDescent="0.25">
      <c r="A159" t="s">
        <v>1724</v>
      </c>
      <c r="B159">
        <f>PeerAnalysis!P21</f>
        <v>3.7642045454545636E-2</v>
      </c>
      <c r="C159">
        <v>3.7642000000000002E-2</v>
      </c>
      <c r="D159" t="str">
        <f t="shared" si="6"/>
        <v>ok</v>
      </c>
    </row>
    <row r="160" spans="1:4" x14ac:dyDescent="0.25">
      <c r="A160" t="s">
        <v>1725</v>
      </c>
      <c r="B160">
        <f>PeerAnalysis!Q21</f>
        <v>-8.382107023411367E-2</v>
      </c>
      <c r="C160">
        <v>-8.3821000000000007E-2</v>
      </c>
      <c r="D160" t="str">
        <f t="shared" si="6"/>
        <v>ok</v>
      </c>
    </row>
    <row r="161" spans="1:4" x14ac:dyDescent="0.25">
      <c r="A161" t="s">
        <v>1726</v>
      </c>
      <c r="B161">
        <f>PeerAnalysis!L17</f>
        <v>0.23061323032351533</v>
      </c>
      <c r="C161">
        <v>0.23061300000000001</v>
      </c>
      <c r="D161" t="str">
        <f t="shared" si="6"/>
        <v>ok</v>
      </c>
    </row>
    <row r="162" spans="1:4" x14ac:dyDescent="0.25">
      <c r="A162" t="s">
        <v>1727</v>
      </c>
      <c r="B162">
        <f>PeerAnalysis!M17</f>
        <v>0.12263236719231796</v>
      </c>
      <c r="C162">
        <v>0.122632</v>
      </c>
      <c r="D162" t="str">
        <f t="shared" si="6"/>
        <v>ok</v>
      </c>
    </row>
    <row r="163" spans="1:4" x14ac:dyDescent="0.25">
      <c r="A163" t="s">
        <v>1728</v>
      </c>
      <c r="B163">
        <f>PeerAnalysis!N17</f>
        <v>0.11937807449051308</v>
      </c>
      <c r="C163">
        <v>0.119378</v>
      </c>
      <c r="D163" t="str">
        <f t="shared" si="6"/>
        <v>ok</v>
      </c>
    </row>
    <row r="164" spans="1:4" x14ac:dyDescent="0.25">
      <c r="A164" t="s">
        <v>1729</v>
      </c>
      <c r="B164">
        <f>PeerAnalysis!O17</f>
        <v>3.7196809376526252E-2</v>
      </c>
      <c r="C164">
        <v>3.7197000000000001E-2</v>
      </c>
      <c r="D164" t="str">
        <f t="shared" si="6"/>
        <v>ok</v>
      </c>
    </row>
    <row r="165" spans="1:4" x14ac:dyDescent="0.25">
      <c r="A165" t="s">
        <v>1730</v>
      </c>
      <c r="B165">
        <f>PeerAnalysis!P17</f>
        <v>7.1650828357581409E-2</v>
      </c>
      <c r="C165">
        <v>7.1651000000000006E-2</v>
      </c>
      <c r="D165" t="str">
        <f t="shared" si="6"/>
        <v>ok</v>
      </c>
    </row>
    <row r="166" spans="1:4" x14ac:dyDescent="0.25">
      <c r="A166" t="s">
        <v>1731</v>
      </c>
      <c r="B166">
        <f>PeerAnalysis!Q17</f>
        <v>0.3028320212657194</v>
      </c>
      <c r="C166">
        <v>0.30283199999999999</v>
      </c>
      <c r="D166" t="str">
        <f t="shared" si="6"/>
        <v>ok</v>
      </c>
    </row>
    <row r="167" spans="1:4" x14ac:dyDescent="0.25">
      <c r="A167" t="s">
        <v>1732</v>
      </c>
      <c r="B167">
        <f>PeerAnalysis!L15</f>
        <v>0.23379275140377764</v>
      </c>
      <c r="C167">
        <v>0.233793</v>
      </c>
      <c r="D167" t="str">
        <f t="shared" ref="D167:D198" si="7">IF(ISNUMBER(B167),IF(ABS(B167-C167)&lt;=0.000001*MAX(1,ABS(C167)),"ok","FLAG"),"FLAG")</f>
        <v>ok</v>
      </c>
    </row>
    <row r="168" spans="1:4" x14ac:dyDescent="0.25">
      <c r="A168" t="s">
        <v>1733</v>
      </c>
      <c r="B168">
        <f>PeerAnalysis!M15</f>
        <v>0.18364348677766884</v>
      </c>
      <c r="C168">
        <v>0.183643</v>
      </c>
      <c r="D168" t="str">
        <f t="shared" si="7"/>
        <v>ok</v>
      </c>
    </row>
    <row r="169" spans="1:4" x14ac:dyDescent="0.25">
      <c r="A169" t="s">
        <v>1734</v>
      </c>
      <c r="B169">
        <f>PeerAnalysis!N15</f>
        <v>0.14278959810874725</v>
      </c>
      <c r="C169">
        <v>0.14279</v>
      </c>
      <c r="D169" t="str">
        <f t="shared" si="7"/>
        <v>ok</v>
      </c>
    </row>
    <row r="170" spans="1:4" x14ac:dyDescent="0.25">
      <c r="A170" t="s">
        <v>1735</v>
      </c>
      <c r="B170">
        <f>PeerAnalysis!O15</f>
        <v>0.59327620303230066</v>
      </c>
      <c r="C170">
        <v>0.59327600000000003</v>
      </c>
      <c r="D170" t="str">
        <f t="shared" si="7"/>
        <v>ok</v>
      </c>
    </row>
    <row r="171" spans="1:4" x14ac:dyDescent="0.25">
      <c r="A171" t="s">
        <v>1736</v>
      </c>
      <c r="B171">
        <f>PeerAnalysis!P15</f>
        <v>5.3159041394335693E-2</v>
      </c>
      <c r="C171">
        <v>5.3158999999999998E-2</v>
      </c>
      <c r="D171" t="str">
        <f t="shared" si="7"/>
        <v>ok</v>
      </c>
    </row>
    <row r="172" spans="1:4" x14ac:dyDescent="0.25">
      <c r="A172" t="s">
        <v>1737</v>
      </c>
      <c r="B172">
        <f>PeerAnalysis!Q15</f>
        <v>0.14712861888941631</v>
      </c>
      <c r="C172">
        <v>0.14712900000000001</v>
      </c>
      <c r="D172" t="str">
        <f t="shared" si="7"/>
        <v>ok</v>
      </c>
    </row>
    <row r="173" spans="1:4" x14ac:dyDescent="0.25">
      <c r="A173" t="s">
        <v>1738</v>
      </c>
      <c r="B173">
        <f>COUNT(TearSheet!E28:K61)+COUNT(PeerAnalysis!F13:W59)</f>
        <v>577</v>
      </c>
    </row>
    <row r="174" spans="1:4" x14ac:dyDescent="0.25">
      <c r="A174" t="s">
        <v>1739</v>
      </c>
      <c r="B174">
        <f>COUNTBLANK(PeerAnalysis!F13:W22)+COUNTBLANK(PeerAnalysis!F31:W40)+COUNTBLANK(PeerAnalysis!F50:W59)</f>
        <v>115</v>
      </c>
    </row>
    <row r="176" spans="1:4" x14ac:dyDescent="0.25">
      <c r="A176" s="18" t="s">
        <v>1740</v>
      </c>
    </row>
    <row r="177" spans="1:1" x14ac:dyDescent="0.25">
      <c r="A177" t="s">
        <v>1741</v>
      </c>
    </row>
    <row r="178" spans="1:1" x14ac:dyDescent="0.25">
      <c r="A178" t="s">
        <v>1742</v>
      </c>
    </row>
    <row r="179" spans="1:1" x14ac:dyDescent="0.25">
      <c r="A179" t="s">
        <v>1743</v>
      </c>
    </row>
    <row r="180" spans="1:1" x14ac:dyDescent="0.25">
      <c r="A180" t="s">
        <v>1744</v>
      </c>
    </row>
    <row r="181" spans="1:1" x14ac:dyDescent="0.25">
      <c r="A181" t="s">
        <v>1745</v>
      </c>
    </row>
    <row r="182" spans="1:1" x14ac:dyDescent="0.25">
      <c r="A182" t="s">
        <v>1746</v>
      </c>
    </row>
    <row r="183" spans="1:1" x14ac:dyDescent="0.25">
      <c r="A183" t="s">
        <v>1747</v>
      </c>
    </row>
    <row r="184" spans="1:1" x14ac:dyDescent="0.25">
      <c r="A184" t="s">
        <v>1748</v>
      </c>
    </row>
    <row r="185" spans="1:1" x14ac:dyDescent="0.25">
      <c r="A185" t="s">
        <v>1749</v>
      </c>
    </row>
    <row r="186" spans="1:1" x14ac:dyDescent="0.25">
      <c r="A186" t="s">
        <v>1750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TearSheet</vt:lpstr>
      <vt:lpstr>PeerAnalysis</vt:lpstr>
      <vt:lpstr>Detail_TearSheet</vt:lpstr>
      <vt:lpstr>Detail_PeerAnalysis</vt:lpstr>
      <vt:lpstr>Inputs_Sources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Arturo Romo Alba</cp:lastModifiedBy>
  <dcterms:created xsi:type="dcterms:W3CDTF">2026-10-17T07:51:55Z</dcterms:created>
  <dcterms:modified xsi:type="dcterms:W3CDTF">2026-10-17T16:43:57Z</dcterms:modified>
</cp:coreProperties>
</file>