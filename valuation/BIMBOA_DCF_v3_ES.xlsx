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fa reserach\valuation\"/>
    </mc:Choice>
  </mc:AlternateContent>
  <xr:revisionPtr revIDLastSave="0" documentId="13_ncr:1_{D4C84C21-0DA5-46C0-9F08-D4255748B5C9}" xr6:coauthVersionLast="47" xr6:coauthVersionMax="47" xr10:uidLastSave="{00000000-0000-0000-0000-000000000000}"/>
  <bookViews>
    <workbookView xWindow="-120" yWindow="-120" windowWidth="29040" windowHeight="15720" xr2:uid="{00000000-000D-0000-FFFF-FFFF00000000}"/>
  </bookViews>
  <sheets>
    <sheet name="Cover" sheetId="1" r:id="rId1"/>
    <sheet name="DCF" sheetId="2" r:id="rId2"/>
    <sheet name="Reverse_DCF" sheetId="3" r:id="rId3"/>
    <sheet name="Levers" sheetId="4" r:id="rId4"/>
    <sheet name="Scenarios" sheetId="5" r:id="rId5"/>
    <sheet name="Dated_Check" sheetId="6" r:id="rId6"/>
    <sheet name="Engine_Recon" sheetId="7" r:id="rId7"/>
    <sheet name="Inputs_Sources" sheetId="8" r:id="rId8"/>
    <sheet name="Check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9" l="1"/>
  <c r="C26" i="9"/>
  <c r="C25" i="9"/>
  <c r="C24" i="9"/>
  <c r="C23" i="9"/>
  <c r="C6" i="9"/>
  <c r="C5" i="9"/>
  <c r="E52" i="7"/>
  <c r="J52" i="7" s="1"/>
  <c r="K52" i="7" s="1"/>
  <c r="D20" i="6"/>
  <c r="D8" i="6"/>
  <c r="D13" i="6" s="1"/>
  <c r="D17" i="3"/>
  <c r="D10" i="3"/>
  <c r="H259" i="2"/>
  <c r="G259" i="2"/>
  <c r="F259" i="2"/>
  <c r="E259" i="2"/>
  <c r="D259" i="2"/>
  <c r="H251" i="2"/>
  <c r="G251" i="2"/>
  <c r="F251" i="2"/>
  <c r="E251" i="2"/>
  <c r="D251" i="2"/>
  <c r="H243" i="2"/>
  <c r="G243" i="2"/>
  <c r="F243" i="2"/>
  <c r="E243" i="2"/>
  <c r="D243" i="2"/>
  <c r="H235" i="2"/>
  <c r="G235" i="2"/>
  <c r="F235" i="2"/>
  <c r="E235" i="2"/>
  <c r="D235" i="2"/>
  <c r="H227" i="2"/>
  <c r="G227" i="2"/>
  <c r="F227" i="2"/>
  <c r="E227" i="2"/>
  <c r="D227" i="2"/>
  <c r="H175" i="2"/>
  <c r="G175" i="2"/>
  <c r="F175" i="2"/>
  <c r="E175" i="2"/>
  <c r="D175" i="2"/>
  <c r="D166" i="2"/>
  <c r="D161" i="2"/>
  <c r="D127" i="2"/>
  <c r="E51" i="7" s="1"/>
  <c r="J51" i="7" s="1"/>
  <c r="K51" i="7" s="1"/>
  <c r="R107" i="2"/>
  <c r="Q107" i="2"/>
  <c r="P107" i="2"/>
  <c r="O107" i="2"/>
  <c r="N107" i="2"/>
  <c r="M107" i="2"/>
  <c r="L107" i="2"/>
  <c r="K107" i="2"/>
  <c r="J107" i="2"/>
  <c r="I107" i="2"/>
  <c r="H100" i="2"/>
  <c r="G100" i="2"/>
  <c r="F100" i="2"/>
  <c r="E100" i="2"/>
  <c r="D100" i="2"/>
  <c r="D101" i="2" s="1"/>
  <c r="C17" i="9" s="1"/>
  <c r="R99" i="2"/>
  <c r="Q99" i="2"/>
  <c r="P99" i="2"/>
  <c r="O99" i="2"/>
  <c r="N99" i="2"/>
  <c r="M99" i="2"/>
  <c r="L99" i="2"/>
  <c r="K99" i="2"/>
  <c r="J99" i="2"/>
  <c r="I99" i="2"/>
  <c r="R96" i="2"/>
  <c r="Q96" i="2"/>
  <c r="P96" i="2"/>
  <c r="O96" i="2"/>
  <c r="N96" i="2"/>
  <c r="M96" i="2"/>
  <c r="L96" i="2"/>
  <c r="K96" i="2"/>
  <c r="J96" i="2"/>
  <c r="I96" i="2"/>
  <c r="H84" i="2"/>
  <c r="G84" i="2"/>
  <c r="F84" i="2"/>
  <c r="E84" i="2"/>
  <c r="D84" i="2"/>
  <c r="R81" i="2"/>
  <c r="Q81" i="2"/>
  <c r="P81" i="2"/>
  <c r="O81" i="2"/>
  <c r="N81" i="2"/>
  <c r="M81" i="2"/>
  <c r="L81" i="2"/>
  <c r="K81" i="2"/>
  <c r="J81" i="2"/>
  <c r="I81" i="2"/>
  <c r="H73" i="2"/>
  <c r="G73" i="2"/>
  <c r="F73" i="2"/>
  <c r="E73" i="2"/>
  <c r="D73" i="2"/>
  <c r="H71" i="2"/>
  <c r="G71" i="2"/>
  <c r="F71" i="2"/>
  <c r="E71" i="2"/>
  <c r="I69" i="2"/>
  <c r="J69" i="2" s="1"/>
  <c r="K69" i="2" s="1"/>
  <c r="L69" i="2" s="1"/>
  <c r="M69" i="2" s="1"/>
  <c r="N69" i="2" s="1"/>
  <c r="O69" i="2" s="1"/>
  <c r="P69" i="2" s="1"/>
  <c r="Q69" i="2" s="1"/>
  <c r="R69" i="2" s="1"/>
  <c r="I68" i="2"/>
  <c r="J68" i="2" s="1"/>
  <c r="K68" i="2" s="1"/>
  <c r="L68" i="2" s="1"/>
  <c r="M68" i="2" s="1"/>
  <c r="N68" i="2" s="1"/>
  <c r="O68" i="2" s="1"/>
  <c r="P68" i="2" s="1"/>
  <c r="Q68" i="2" s="1"/>
  <c r="R68" i="2" s="1"/>
  <c r="I67" i="2"/>
  <c r="J67" i="2" s="1"/>
  <c r="K67" i="2" s="1"/>
  <c r="L67" i="2" s="1"/>
  <c r="M67" i="2" s="1"/>
  <c r="N67" i="2" s="1"/>
  <c r="O67" i="2" s="1"/>
  <c r="P67" i="2" s="1"/>
  <c r="Q67" i="2" s="1"/>
  <c r="R67" i="2" s="1"/>
  <c r="I66" i="2"/>
  <c r="J66" i="2" s="1"/>
  <c r="K66" i="2" s="1"/>
  <c r="L66" i="2" s="1"/>
  <c r="M66" i="2" s="1"/>
  <c r="N66" i="2" s="1"/>
  <c r="O66" i="2" s="1"/>
  <c r="P66" i="2" s="1"/>
  <c r="Q66" i="2" s="1"/>
  <c r="R66" i="2" s="1"/>
  <c r="I65" i="2"/>
  <c r="D33" i="2"/>
  <c r="D32" i="2"/>
  <c r="D31" i="2"/>
  <c r="D29" i="2"/>
  <c r="D30" i="2" s="1"/>
  <c r="E13" i="2"/>
  <c r="D13" i="2"/>
  <c r="D10" i="2"/>
  <c r="H101" i="2" l="1"/>
  <c r="H102" i="2"/>
  <c r="H87" i="2" s="1"/>
  <c r="G101" i="2"/>
  <c r="G102" i="2"/>
  <c r="G87" i="2" s="1"/>
  <c r="F101" i="2"/>
  <c r="F102" i="2"/>
  <c r="F87" i="2" s="1"/>
  <c r="E101" i="2"/>
  <c r="E102" i="2"/>
  <c r="E87" i="2" s="1"/>
  <c r="J65" i="2"/>
  <c r="I70" i="2"/>
  <c r="H103" i="2"/>
  <c r="C21" i="9"/>
  <c r="G103" i="2"/>
  <c r="C20" i="9"/>
  <c r="C19" i="9"/>
  <c r="F103" i="2"/>
  <c r="E103" i="2"/>
  <c r="C18" i="9"/>
  <c r="H74" i="2"/>
  <c r="H76" i="2"/>
  <c r="G76" i="2"/>
  <c r="G74" i="2"/>
  <c r="F74" i="2"/>
  <c r="F76" i="2"/>
  <c r="E76" i="2"/>
  <c r="E74" i="2"/>
  <c r="D76" i="2"/>
  <c r="D74" i="2"/>
  <c r="K65" i="2"/>
  <c r="J70" i="2"/>
  <c r="E12" i="2"/>
  <c r="D132" i="2"/>
  <c r="D133" i="2"/>
  <c r="D148" i="2"/>
  <c r="D48" i="6"/>
  <c r="D34" i="2"/>
  <c r="I72" i="2" l="1"/>
  <c r="I71" i="2"/>
  <c r="I176" i="2"/>
  <c r="I98" i="2"/>
  <c r="I93" i="2"/>
  <c r="I75" i="2"/>
  <c r="I73" i="2"/>
  <c r="I95" i="2"/>
  <c r="I86" i="2"/>
  <c r="I85" i="2"/>
  <c r="I78" i="2"/>
  <c r="I84" i="2" s="1"/>
  <c r="I174" i="2"/>
  <c r="H79" i="2"/>
  <c r="H80" i="2" s="1"/>
  <c r="H77" i="2"/>
  <c r="H82" i="2"/>
  <c r="H83" i="2"/>
  <c r="H88" i="2" s="1"/>
  <c r="G77" i="2"/>
  <c r="G79" i="2"/>
  <c r="G80" i="2" s="1"/>
  <c r="G82" i="2"/>
  <c r="G83" i="2"/>
  <c r="G88" i="2" s="1"/>
  <c r="F77" i="2"/>
  <c r="F79" i="2"/>
  <c r="F80" i="2" s="1"/>
  <c r="F82" i="2"/>
  <c r="F83" i="2" s="1"/>
  <c r="F88" i="2" s="1"/>
  <c r="E77" i="2"/>
  <c r="E79" i="2"/>
  <c r="E80" i="2" s="1"/>
  <c r="E82" i="2"/>
  <c r="E83" i="2" s="1"/>
  <c r="E88" i="2" s="1"/>
  <c r="D79" i="2"/>
  <c r="D80" i="2" s="1"/>
  <c r="D77" i="2"/>
  <c r="D82" i="2"/>
  <c r="D83" i="2"/>
  <c r="L65" i="2"/>
  <c r="K70" i="2"/>
  <c r="J72" i="2"/>
  <c r="J73" i="2"/>
  <c r="J85" i="2"/>
  <c r="J86" i="2"/>
  <c r="J75" i="2"/>
  <c r="J78" i="2"/>
  <c r="J84" i="2" s="1"/>
  <c r="J93" i="2"/>
  <c r="J95" i="2"/>
  <c r="J98" i="2"/>
  <c r="J176" i="2"/>
  <c r="J71" i="2"/>
  <c r="D141" i="2"/>
  <c r="D142" i="2" s="1"/>
  <c r="D41" i="6"/>
  <c r="D6" i="3"/>
  <c r="D13" i="3"/>
  <c r="E53" i="7"/>
  <c r="J53" i="7" s="1"/>
  <c r="K53" i="7" s="1"/>
  <c r="D12" i="2"/>
  <c r="C264" i="2"/>
  <c r="E6" i="7"/>
  <c r="C263" i="2"/>
  <c r="C262" i="2"/>
  <c r="C261" i="2"/>
  <c r="C260" i="2"/>
  <c r="C256" i="2"/>
  <c r="C255" i="2"/>
  <c r="C254" i="2"/>
  <c r="C253" i="2"/>
  <c r="C252" i="2"/>
  <c r="C248" i="2"/>
  <c r="C247" i="2"/>
  <c r="C246" i="2"/>
  <c r="C245" i="2"/>
  <c r="C244" i="2"/>
  <c r="C240" i="2"/>
  <c r="C239" i="2"/>
  <c r="C238" i="2"/>
  <c r="C237" i="2"/>
  <c r="C236" i="2"/>
  <c r="C232" i="2"/>
  <c r="C231" i="2"/>
  <c r="C230" i="2"/>
  <c r="C229" i="2"/>
  <c r="C228" i="2"/>
  <c r="C219" i="2"/>
  <c r="Q108" i="2"/>
  <c r="E44" i="7" s="1"/>
  <c r="J44" i="7" s="1"/>
  <c r="K44" i="7" s="1"/>
  <c r="O108" i="2"/>
  <c r="E42" i="7" s="1"/>
  <c r="J42" i="7" s="1"/>
  <c r="K42" i="7" s="1"/>
  <c r="M108" i="2"/>
  <c r="E40" i="7" s="1"/>
  <c r="J40" i="7" s="1"/>
  <c r="K40" i="7" s="1"/>
  <c r="J108" i="2"/>
  <c r="E37" i="7" s="1"/>
  <c r="J37" i="7" s="1"/>
  <c r="K37" i="7" s="1"/>
  <c r="D165" i="2"/>
  <c r="C4" i="9" s="1"/>
  <c r="R108" i="2"/>
  <c r="E45" i="7" s="1"/>
  <c r="J45" i="7" s="1"/>
  <c r="K45" i="7" s="1"/>
  <c r="P108" i="2"/>
  <c r="E43" i="7" s="1"/>
  <c r="J43" i="7" s="1"/>
  <c r="K43" i="7" s="1"/>
  <c r="N108" i="2"/>
  <c r="E41" i="7" s="1"/>
  <c r="J41" i="7" s="1"/>
  <c r="K41" i="7" s="1"/>
  <c r="L108" i="2"/>
  <c r="E39" i="7" s="1"/>
  <c r="J39" i="7" s="1"/>
  <c r="K39" i="7" s="1"/>
  <c r="K108" i="2"/>
  <c r="E38" i="7" s="1"/>
  <c r="J38" i="7" s="1"/>
  <c r="K38" i="7" s="1"/>
  <c r="I108" i="2"/>
  <c r="E36" i="7" s="1"/>
  <c r="J36" i="7" s="1"/>
  <c r="K36" i="7" s="1"/>
  <c r="I94" i="2" l="1"/>
  <c r="I97" i="2"/>
  <c r="I74" i="2"/>
  <c r="I76" i="2"/>
  <c r="J174" i="2"/>
  <c r="I175" i="2"/>
  <c r="I177" i="2"/>
  <c r="I178" i="2" s="1"/>
  <c r="I77" i="2"/>
  <c r="I79" i="2"/>
  <c r="I82" i="2"/>
  <c r="I83" i="2"/>
  <c r="J175" i="2"/>
  <c r="J177" i="2"/>
  <c r="J178" i="2" s="1"/>
  <c r="K174" i="2"/>
  <c r="M65" i="2"/>
  <c r="L70" i="2"/>
  <c r="K72" i="2"/>
  <c r="K73" i="2" s="1"/>
  <c r="K85" i="2"/>
  <c r="K86" i="2"/>
  <c r="K75" i="2"/>
  <c r="K95" i="2"/>
  <c r="K78" i="2"/>
  <c r="K84" i="2" s="1"/>
  <c r="K93" i="2"/>
  <c r="K98" i="2"/>
  <c r="K71" i="2"/>
  <c r="K176" i="2"/>
  <c r="J94" i="2"/>
  <c r="J97" i="2"/>
  <c r="J76" i="2"/>
  <c r="J74" i="2"/>
  <c r="C22" i="9"/>
  <c r="E60" i="7"/>
  <c r="J60" i="7" s="1"/>
  <c r="K60" i="7" s="1"/>
  <c r="F6" i="7"/>
  <c r="G6" i="7"/>
  <c r="H6" i="7" s="1"/>
  <c r="J6" i="7"/>
  <c r="K6" i="7" s="1"/>
  <c r="I100" i="2"/>
  <c r="I80" i="2" l="1"/>
  <c r="E26" i="7"/>
  <c r="L174" i="2"/>
  <c r="K175" i="2"/>
  <c r="K177" i="2"/>
  <c r="K178" i="2" s="1"/>
  <c r="N65" i="2"/>
  <c r="M70" i="2"/>
  <c r="L75" i="2"/>
  <c r="L93" i="2"/>
  <c r="L95" i="2"/>
  <c r="L98" i="2"/>
  <c r="L176" i="2"/>
  <c r="L71" i="2"/>
  <c r="L72" i="2"/>
  <c r="L73" i="2" s="1"/>
  <c r="L78" i="2"/>
  <c r="L84" i="2" s="1"/>
  <c r="L85" i="2"/>
  <c r="L86" i="2"/>
  <c r="K94" i="2"/>
  <c r="K97" i="2"/>
  <c r="K76" i="2"/>
  <c r="K74" i="2"/>
  <c r="J79" i="2"/>
  <c r="J77" i="2"/>
  <c r="J82" i="2"/>
  <c r="J83" i="2"/>
  <c r="I102" i="2"/>
  <c r="I87" i="2" s="1"/>
  <c r="I88" i="2" s="1"/>
  <c r="I101" i="2"/>
  <c r="I103" i="2" s="1"/>
  <c r="J100" i="2"/>
  <c r="K100" i="2" l="1"/>
  <c r="F26" i="7"/>
  <c r="G26" i="7"/>
  <c r="H26" i="7" s="1"/>
  <c r="J26" i="7"/>
  <c r="K26" i="7" s="1"/>
  <c r="M174" i="2"/>
  <c r="L175" i="2"/>
  <c r="L177" i="2"/>
  <c r="L178" i="2" s="1"/>
  <c r="O65" i="2"/>
  <c r="N70" i="2"/>
  <c r="M176" i="2"/>
  <c r="M71" i="2"/>
  <c r="M72" i="2"/>
  <c r="M73" i="2"/>
  <c r="M85" i="2"/>
  <c r="M86" i="2"/>
  <c r="M75" i="2"/>
  <c r="M78" i="2"/>
  <c r="M84" i="2" s="1"/>
  <c r="M93" i="2"/>
  <c r="M95" i="2"/>
  <c r="M98" i="2"/>
  <c r="L74" i="2"/>
  <c r="L76" i="2"/>
  <c r="L94" i="2"/>
  <c r="L100" i="2" s="1"/>
  <c r="L97" i="2"/>
  <c r="K79" i="2"/>
  <c r="K77" i="2"/>
  <c r="K82" i="2"/>
  <c r="K83" i="2"/>
  <c r="E27" i="7"/>
  <c r="J80" i="2"/>
  <c r="E16" i="7"/>
  <c r="I179" i="2"/>
  <c r="I109" i="2"/>
  <c r="I90" i="2"/>
  <c r="J102" i="2"/>
  <c r="J87" i="2" s="1"/>
  <c r="J88" i="2" s="1"/>
  <c r="J101" i="2"/>
  <c r="J103" i="2" s="1"/>
  <c r="K102" i="2" l="1"/>
  <c r="K87" i="2" s="1"/>
  <c r="K88" i="2" s="1"/>
  <c r="K101" i="2"/>
  <c r="K103" i="2" s="1"/>
  <c r="M175" i="2"/>
  <c r="M177" i="2"/>
  <c r="M178" i="2" s="1"/>
  <c r="N174" i="2"/>
  <c r="P65" i="2"/>
  <c r="O70" i="2"/>
  <c r="N85" i="2"/>
  <c r="N86" i="2"/>
  <c r="N75" i="2"/>
  <c r="N93" i="2"/>
  <c r="N78" i="2"/>
  <c r="N84" i="2" s="1"/>
  <c r="N95" i="2"/>
  <c r="N98" i="2"/>
  <c r="N176" i="2"/>
  <c r="N71" i="2"/>
  <c r="N72" i="2"/>
  <c r="N73" i="2" s="1"/>
  <c r="M94" i="2"/>
  <c r="M97" i="2"/>
  <c r="M76" i="2"/>
  <c r="M74" i="2"/>
  <c r="L77" i="2"/>
  <c r="L79" i="2"/>
  <c r="L82" i="2"/>
  <c r="L83" i="2"/>
  <c r="L102" i="2"/>
  <c r="L87" i="2" s="1"/>
  <c r="L101" i="2"/>
  <c r="E28" i="7"/>
  <c r="K80" i="2"/>
  <c r="F27" i="7"/>
  <c r="G27" i="7"/>
  <c r="H27" i="7" s="1"/>
  <c r="J27" i="7"/>
  <c r="K27" i="7" s="1"/>
  <c r="F16" i="7"/>
  <c r="G16" i="7"/>
  <c r="H16" i="7" s="1"/>
  <c r="J16" i="7"/>
  <c r="K16" i="7" s="1"/>
  <c r="I180" i="2"/>
  <c r="D14" i="6"/>
  <c r="D16" i="6" s="1"/>
  <c r="D17" i="6" s="1"/>
  <c r="D21" i="6" s="1"/>
  <c r="E17" i="7"/>
  <c r="J179" i="2"/>
  <c r="J109" i="2"/>
  <c r="J89" i="2"/>
  <c r="J90" i="2"/>
  <c r="L103" i="2" l="1"/>
  <c r="O174" i="2"/>
  <c r="N175" i="2"/>
  <c r="N177" i="2"/>
  <c r="N178" i="2" s="1"/>
  <c r="Q65" i="2"/>
  <c r="P70" i="2"/>
  <c r="O72" i="2"/>
  <c r="O73" i="2" s="1"/>
  <c r="O71" i="2"/>
  <c r="O78" i="2"/>
  <c r="O84" i="2" s="1"/>
  <c r="O85" i="2"/>
  <c r="O86" i="2"/>
  <c r="O75" i="2"/>
  <c r="O93" i="2"/>
  <c r="O95" i="2"/>
  <c r="O98" i="2"/>
  <c r="O176" i="2"/>
  <c r="N74" i="2"/>
  <c r="N76" i="2"/>
  <c r="N94" i="2"/>
  <c r="N97" i="2"/>
  <c r="M79" i="2"/>
  <c r="M77" i="2"/>
  <c r="M82" i="2"/>
  <c r="M83" i="2"/>
  <c r="L80" i="2"/>
  <c r="E29" i="7"/>
  <c r="F28" i="7"/>
  <c r="G28" i="7"/>
  <c r="J28" i="7"/>
  <c r="K28" i="7" s="1"/>
  <c r="F17" i="7"/>
  <c r="G17" i="7"/>
  <c r="H17" i="7" s="1"/>
  <c r="J17" i="7"/>
  <c r="K17" i="7" s="1"/>
  <c r="J180" i="2"/>
  <c r="D22" i="6"/>
  <c r="K89" i="2"/>
  <c r="E18" i="7"/>
  <c r="K179" i="2"/>
  <c r="K109" i="2"/>
  <c r="K90" i="2"/>
  <c r="M100" i="2"/>
  <c r="L88" i="2"/>
  <c r="H28" i="7" l="1"/>
  <c r="O175" i="2"/>
  <c r="O177" i="2"/>
  <c r="O178" i="2" s="1"/>
  <c r="P174" i="2"/>
  <c r="R65" i="2"/>
  <c r="R70" i="2" s="1"/>
  <c r="Q70" i="2"/>
  <c r="P85" i="2"/>
  <c r="P75" i="2"/>
  <c r="P78" i="2"/>
  <c r="P84" i="2" s="1"/>
  <c r="P86" i="2"/>
  <c r="P93" i="2"/>
  <c r="P95" i="2"/>
  <c r="P98" i="2"/>
  <c r="P71" i="2"/>
  <c r="P176" i="2"/>
  <c r="P72" i="2"/>
  <c r="P73" i="2" s="1"/>
  <c r="O94" i="2"/>
  <c r="O97" i="2"/>
  <c r="O76" i="2"/>
  <c r="O74" i="2"/>
  <c r="N77" i="2"/>
  <c r="N79" i="2"/>
  <c r="N82" i="2"/>
  <c r="N83" i="2"/>
  <c r="E30" i="7"/>
  <c r="M80" i="2"/>
  <c r="F29" i="7"/>
  <c r="G29" i="7"/>
  <c r="H29" i="7" s="1"/>
  <c r="J29" i="7"/>
  <c r="K29" i="7" s="1"/>
  <c r="F18" i="7"/>
  <c r="G18" i="7"/>
  <c r="H18" i="7" s="1"/>
  <c r="J18" i="7"/>
  <c r="K18" i="7" s="1"/>
  <c r="K180" i="2"/>
  <c r="D23" i="6"/>
  <c r="M102" i="2"/>
  <c r="M87" i="2" s="1"/>
  <c r="M88" i="2" s="1"/>
  <c r="M101" i="2"/>
  <c r="M103" i="2" s="1"/>
  <c r="E19" i="7"/>
  <c r="L179" i="2"/>
  <c r="L109" i="2"/>
  <c r="L89" i="2"/>
  <c r="L90" i="2"/>
  <c r="N100" i="2"/>
  <c r="Q174" i="2" l="1"/>
  <c r="P175" i="2"/>
  <c r="P177" i="2"/>
  <c r="P178" i="2" s="1"/>
  <c r="R86" i="2"/>
  <c r="R95" i="2"/>
  <c r="R98" i="2"/>
  <c r="R176" i="2"/>
  <c r="R72" i="2"/>
  <c r="R71" i="2"/>
  <c r="R73" i="2"/>
  <c r="R78" i="2"/>
  <c r="R84" i="2" s="1"/>
  <c r="R85" i="2"/>
  <c r="R75" i="2"/>
  <c r="R93" i="2"/>
  <c r="Q71" i="2"/>
  <c r="Q72" i="2"/>
  <c r="Q85" i="2"/>
  <c r="Q75" i="2"/>
  <c r="Q86" i="2"/>
  <c r="Q93" i="2"/>
  <c r="Q73" i="2"/>
  <c r="Q78" i="2"/>
  <c r="Q84" i="2" s="1"/>
  <c r="Q95" i="2"/>
  <c r="Q98" i="2"/>
  <c r="Q176" i="2"/>
  <c r="P76" i="2"/>
  <c r="P74" i="2"/>
  <c r="P94" i="2"/>
  <c r="P100" i="2" s="1"/>
  <c r="P97" i="2"/>
  <c r="O77" i="2"/>
  <c r="O79" i="2"/>
  <c r="O82" i="2"/>
  <c r="O83" i="2"/>
  <c r="E31" i="7"/>
  <c r="N80" i="2"/>
  <c r="F30" i="7"/>
  <c r="G30" i="7"/>
  <c r="H30" i="7" s="1"/>
  <c r="J30" i="7"/>
  <c r="K30" i="7" s="1"/>
  <c r="M89" i="2"/>
  <c r="E20" i="7"/>
  <c r="M179" i="2"/>
  <c r="M109" i="2"/>
  <c r="M90" i="2"/>
  <c r="F19" i="7"/>
  <c r="G19" i="7"/>
  <c r="H19" i="7" s="1"/>
  <c r="J19" i="7"/>
  <c r="K19" i="7" s="1"/>
  <c r="L180" i="2"/>
  <c r="D24" i="6"/>
  <c r="N101" i="2"/>
  <c r="N103" i="2" s="1"/>
  <c r="N102" i="2"/>
  <c r="N87" i="2" s="1"/>
  <c r="N88" i="2" s="1"/>
  <c r="O100" i="2"/>
  <c r="Q175" i="2" l="1"/>
  <c r="Q177" i="2"/>
  <c r="Q178" i="2" s="1"/>
  <c r="R174" i="2"/>
  <c r="R94" i="2"/>
  <c r="R97" i="2"/>
  <c r="R74" i="2"/>
  <c r="R76" i="2"/>
  <c r="Q94" i="2"/>
  <c r="Q97" i="2"/>
  <c r="Q74" i="2"/>
  <c r="Q76" i="2"/>
  <c r="P77" i="2"/>
  <c r="P79" i="2"/>
  <c r="P82" i="2"/>
  <c r="P83" i="2"/>
  <c r="P102" i="2"/>
  <c r="P87" i="2" s="1"/>
  <c r="P101" i="2"/>
  <c r="O80" i="2"/>
  <c r="E32" i="7"/>
  <c r="F31" i="7"/>
  <c r="G31" i="7"/>
  <c r="H31" i="7" s="1"/>
  <c r="J31" i="7"/>
  <c r="K31" i="7" s="1"/>
  <c r="F20" i="7"/>
  <c r="G20" i="7"/>
  <c r="H20" i="7" s="1"/>
  <c r="J20" i="7"/>
  <c r="K20" i="7" s="1"/>
  <c r="M180" i="2"/>
  <c r="D25" i="6"/>
  <c r="E21" i="7"/>
  <c r="N179" i="2"/>
  <c r="N109" i="2"/>
  <c r="N90" i="2"/>
  <c r="N89" i="2"/>
  <c r="O101" i="2"/>
  <c r="O103" i="2" s="1"/>
  <c r="O102" i="2"/>
  <c r="O87" i="2" s="1"/>
  <c r="O88" i="2" s="1"/>
  <c r="E55" i="7" l="1"/>
  <c r="J55" i="7" s="1"/>
  <c r="K55" i="7" s="1"/>
  <c r="R175" i="2"/>
  <c r="R177" i="2"/>
  <c r="R79" i="2"/>
  <c r="R77" i="2"/>
  <c r="R82" i="2"/>
  <c r="R83" i="2" s="1"/>
  <c r="Q82" i="2"/>
  <c r="Q83" i="2"/>
  <c r="Q77" i="2"/>
  <c r="Q79" i="2"/>
  <c r="P80" i="2"/>
  <c r="E33" i="7"/>
  <c r="G32" i="7"/>
  <c r="F32" i="7"/>
  <c r="J32" i="7"/>
  <c r="K32" i="7" s="1"/>
  <c r="F21" i="7"/>
  <c r="G21" i="7"/>
  <c r="H21" i="7" s="1"/>
  <c r="J21" i="7"/>
  <c r="K21" i="7" s="1"/>
  <c r="N180" i="2"/>
  <c r="D26" i="6"/>
  <c r="E22" i="7"/>
  <c r="O179" i="2"/>
  <c r="O109" i="2"/>
  <c r="O90" i="2"/>
  <c r="O89" i="2"/>
  <c r="R100" i="2"/>
  <c r="Q100" i="2"/>
  <c r="P88" i="2"/>
  <c r="P103" i="2"/>
  <c r="R178" i="2" l="1"/>
  <c r="D203" i="2"/>
  <c r="C12" i="9" s="1"/>
  <c r="D116" i="2"/>
  <c r="E35" i="7"/>
  <c r="R80" i="2"/>
  <c r="D219" i="2"/>
  <c r="D220" i="2"/>
  <c r="D221" i="2"/>
  <c r="E34" i="7"/>
  <c r="Q80" i="2"/>
  <c r="F33" i="7"/>
  <c r="J33" i="7"/>
  <c r="K33" i="7" s="1"/>
  <c r="G33" i="7"/>
  <c r="H33" i="7" s="1"/>
  <c r="F22" i="7"/>
  <c r="G22" i="7"/>
  <c r="H22" i="7" s="1"/>
  <c r="J22" i="7"/>
  <c r="K22" i="7" s="1"/>
  <c r="O180" i="2"/>
  <c r="D27" i="6"/>
  <c r="R102" i="2"/>
  <c r="R87" i="2" s="1"/>
  <c r="R101" i="2"/>
  <c r="R103" i="2" s="1"/>
  <c r="Q102" i="2"/>
  <c r="Q87" i="2" s="1"/>
  <c r="Q88" i="2" s="1"/>
  <c r="Q101" i="2"/>
  <c r="Q103" i="2" s="1"/>
  <c r="E23" i="7"/>
  <c r="P179" i="2"/>
  <c r="P109" i="2"/>
  <c r="P90" i="2"/>
  <c r="P89" i="2"/>
  <c r="H32" i="7"/>
  <c r="D117" i="2" l="1"/>
  <c r="D32" i="6"/>
  <c r="E49" i="7"/>
  <c r="J49" i="7" s="1"/>
  <c r="K49" i="7" s="1"/>
  <c r="F35" i="7"/>
  <c r="G35" i="7"/>
  <c r="H35" i="7" s="1"/>
  <c r="J35" i="7"/>
  <c r="K35" i="7" s="1"/>
  <c r="G34" i="7"/>
  <c r="J34" i="7"/>
  <c r="K34" i="7" s="1"/>
  <c r="F34" i="7"/>
  <c r="E24" i="7"/>
  <c r="Q179" i="2"/>
  <c r="Q109" i="2"/>
  <c r="Q90" i="2"/>
  <c r="Q89" i="2"/>
  <c r="F23" i="7"/>
  <c r="G23" i="7"/>
  <c r="H23" i="7" s="1"/>
  <c r="J23" i="7"/>
  <c r="K23" i="7" s="1"/>
  <c r="D28" i="6"/>
  <c r="P180" i="2"/>
  <c r="D170" i="2"/>
  <c r="D171" i="2" s="1"/>
  <c r="R88" i="2"/>
  <c r="E50" i="7" l="1"/>
  <c r="J50" i="7" s="1"/>
  <c r="K50" i="7" s="1"/>
  <c r="F24" i="7"/>
  <c r="G24" i="7"/>
  <c r="J24" i="7"/>
  <c r="K24" i="7" s="1"/>
  <c r="Q180" i="2"/>
  <c r="D29" i="6"/>
  <c r="E25" i="7"/>
  <c r="D184" i="2"/>
  <c r="R179" i="2"/>
  <c r="R109" i="2"/>
  <c r="D112" i="2" s="1"/>
  <c r="D113" i="2"/>
  <c r="R90" i="2"/>
  <c r="R89" i="2"/>
  <c r="H256" i="2"/>
  <c r="G256" i="2"/>
  <c r="F256" i="2"/>
  <c r="E256" i="2"/>
  <c r="D256" i="2"/>
  <c r="H255" i="2"/>
  <c r="G255" i="2"/>
  <c r="F255" i="2"/>
  <c r="E255" i="2"/>
  <c r="H254" i="2"/>
  <c r="F254" i="2"/>
  <c r="H253" i="2"/>
  <c r="F253" i="2"/>
  <c r="E253" i="2"/>
  <c r="D253" i="2"/>
  <c r="H252" i="2"/>
  <c r="F252" i="2"/>
  <c r="E252" i="2"/>
  <c r="D252" i="2"/>
  <c r="D255" i="2"/>
  <c r="G254" i="2"/>
  <c r="E254" i="2"/>
  <c r="G253" i="2"/>
  <c r="G252" i="2"/>
  <c r="D254" i="2"/>
  <c r="D169" i="2"/>
  <c r="E16" i="2" s="1"/>
  <c r="H34" i="7"/>
  <c r="D168" i="2"/>
  <c r="E13" i="7" s="1"/>
  <c r="D202" i="2"/>
  <c r="E64" i="7" s="1"/>
  <c r="J64" i="7" s="1"/>
  <c r="K64" i="7" s="1"/>
  <c r="F25" i="7" l="1"/>
  <c r="G25" i="7"/>
  <c r="H25" i="7" s="1"/>
  <c r="J25" i="7"/>
  <c r="K25" i="7" s="1"/>
  <c r="D185" i="2"/>
  <c r="D200" i="2"/>
  <c r="D229" i="2"/>
  <c r="F231" i="2"/>
  <c r="H230" i="2"/>
  <c r="F263" i="2"/>
  <c r="H232" i="2"/>
  <c r="H240" i="2"/>
  <c r="D263" i="2"/>
  <c r="D228" i="2"/>
  <c r="H231" i="2"/>
  <c r="E244" i="2"/>
  <c r="F264" i="2"/>
  <c r="G230" i="2"/>
  <c r="D232" i="2"/>
  <c r="G244" i="2"/>
  <c r="E230" i="2"/>
  <c r="E232" i="2"/>
  <c r="F244" i="2"/>
  <c r="F245" i="2"/>
  <c r="H236" i="2"/>
  <c r="H244" i="2"/>
  <c r="D230" i="2"/>
  <c r="E239" i="2"/>
  <c r="H229" i="2"/>
  <c r="E236" i="2"/>
  <c r="H239" i="2"/>
  <c r="E228" i="2"/>
  <c r="F238" i="2"/>
  <c r="G228" i="2"/>
  <c r="F236" i="2"/>
  <c r="D231" i="2"/>
  <c r="D236" i="2"/>
  <c r="G231" i="2"/>
  <c r="E238" i="2"/>
  <c r="D237" i="2"/>
  <c r="G264" i="2"/>
  <c r="G263" i="2"/>
  <c r="G232" i="2"/>
  <c r="G229" i="2"/>
  <c r="G245" i="2"/>
  <c r="E229" i="2"/>
  <c r="D260" i="2"/>
  <c r="G239" i="2"/>
  <c r="E247" i="2"/>
  <c r="D246" i="2"/>
  <c r="E264" i="2"/>
  <c r="E262" i="2"/>
  <c r="D262" i="2"/>
  <c r="G262" i="2"/>
  <c r="E261" i="2"/>
  <c r="G261" i="2"/>
  <c r="D261" i="2"/>
  <c r="H261" i="2"/>
  <c r="F261" i="2"/>
  <c r="F240" i="2"/>
  <c r="G238" i="2"/>
  <c r="E237" i="2"/>
  <c r="H237" i="2"/>
  <c r="G260" i="2"/>
  <c r="H260" i="2"/>
  <c r="D248" i="2"/>
  <c r="E248" i="2"/>
  <c r="F229" i="2"/>
  <c r="E263" i="2"/>
  <c r="H262" i="2"/>
  <c r="F262" i="2"/>
  <c r="D247" i="2"/>
  <c r="D239" i="2"/>
  <c r="G248" i="2"/>
  <c r="G247" i="2"/>
  <c r="E246" i="2"/>
  <c r="F246" i="2"/>
  <c r="G246" i="2"/>
  <c r="F260" i="2"/>
  <c r="F248" i="2"/>
  <c r="F247" i="2"/>
  <c r="H246" i="2"/>
  <c r="D244" i="2"/>
  <c r="F228" i="2"/>
  <c r="F232" i="2"/>
  <c r="D264" i="2"/>
  <c r="H245" i="2"/>
  <c r="H238" i="2"/>
  <c r="E231" i="2"/>
  <c r="E260" i="2"/>
  <c r="D238" i="2"/>
  <c r="H248" i="2"/>
  <c r="H247" i="2"/>
  <c r="E245" i="2"/>
  <c r="G240" i="2"/>
  <c r="F237" i="2"/>
  <c r="H228" i="2"/>
  <c r="H263" i="2"/>
  <c r="E240" i="2"/>
  <c r="F239" i="2"/>
  <c r="G237" i="2"/>
  <c r="G236" i="2"/>
  <c r="F230" i="2"/>
  <c r="D240" i="2"/>
  <c r="D245" i="2"/>
  <c r="H264" i="2"/>
  <c r="D30" i="6"/>
  <c r="D34" i="6" s="1"/>
  <c r="D46" i="6" s="1"/>
  <c r="D52" i="6" s="1"/>
  <c r="E54" i="7"/>
  <c r="J54" i="7" s="1"/>
  <c r="K54" i="7" s="1"/>
  <c r="R180" i="2"/>
  <c r="D183" i="2" s="1"/>
  <c r="D118" i="2"/>
  <c r="D14" i="3"/>
  <c r="E46" i="7"/>
  <c r="J46" i="7" s="1"/>
  <c r="K46" i="7" s="1"/>
  <c r="D114" i="2"/>
  <c r="D115" i="2" s="1"/>
  <c r="D167" i="2"/>
  <c r="E12" i="7" s="1"/>
  <c r="E47" i="7"/>
  <c r="J47" i="7" s="1"/>
  <c r="K47" i="7" s="1"/>
  <c r="J13" i="7"/>
  <c r="K13" i="7" s="1"/>
  <c r="G13" i="7"/>
  <c r="F13" i="7"/>
  <c r="H24" i="7"/>
  <c r="H13" i="7" l="1"/>
  <c r="D31" i="6"/>
  <c r="D33" i="6" s="1"/>
  <c r="D45" i="6" s="1"/>
  <c r="D51" i="6" s="1"/>
  <c r="E57" i="7"/>
  <c r="J57" i="7" s="1"/>
  <c r="K57" i="7" s="1"/>
  <c r="D186" i="2"/>
  <c r="D187" i="2" s="1"/>
  <c r="D189" i="2" s="1"/>
  <c r="D201" i="2"/>
  <c r="C10" i="9" s="1"/>
  <c r="C222" i="2"/>
  <c r="D222" i="2" s="1"/>
  <c r="E222" i="2" s="1"/>
  <c r="D16" i="2"/>
  <c r="C14" i="9"/>
  <c r="E63" i="7"/>
  <c r="J63" i="7" s="1"/>
  <c r="K63" i="7" s="1"/>
  <c r="D7" i="3"/>
  <c r="E56" i="7"/>
  <c r="J56" i="7" s="1"/>
  <c r="K56" i="7" s="1"/>
  <c r="D188" i="2"/>
  <c r="E219" i="2"/>
  <c r="E220" i="2"/>
  <c r="E221" i="2"/>
  <c r="D150" i="2"/>
  <c r="D151" i="2" s="1"/>
  <c r="D152" i="2" s="1"/>
  <c r="E7" i="7"/>
  <c r="D120" i="2"/>
  <c r="D157" i="2"/>
  <c r="D158" i="2" s="1"/>
  <c r="D159" i="2" s="1"/>
  <c r="E8" i="7"/>
  <c r="D15" i="3"/>
  <c r="D16" i="3" s="1"/>
  <c r="E14" i="7" s="1"/>
  <c r="D119" i="2"/>
  <c r="E15" i="7" s="1"/>
  <c r="E48" i="7"/>
  <c r="J48" i="7" s="1"/>
  <c r="K48" i="7" s="1"/>
  <c r="F12" i="7"/>
  <c r="G12" i="7"/>
  <c r="J12" i="7"/>
  <c r="K12" i="7" s="1"/>
  <c r="D60" i="6"/>
  <c r="D15" i="2" l="1"/>
  <c r="C9" i="9"/>
  <c r="D8" i="3"/>
  <c r="D9" i="3" s="1"/>
  <c r="E66" i="7" s="1"/>
  <c r="J66" i="7" s="1"/>
  <c r="K66" i="7" s="1"/>
  <c r="D191" i="2"/>
  <c r="D192" i="2" s="1"/>
  <c r="D14" i="2"/>
  <c r="E58" i="7"/>
  <c r="J58" i="7" s="1"/>
  <c r="K58" i="7" s="1"/>
  <c r="D190" i="2"/>
  <c r="E15" i="2" s="1"/>
  <c r="D193" i="2"/>
  <c r="D194" i="2" s="1"/>
  <c r="E14" i="2"/>
  <c r="E59" i="7"/>
  <c r="J59" i="7" s="1"/>
  <c r="K59" i="7" s="1"/>
  <c r="D17" i="2"/>
  <c r="E65" i="7"/>
  <c r="J65" i="7" s="1"/>
  <c r="K65" i="7" s="1"/>
  <c r="E17" i="2"/>
  <c r="D153" i="2"/>
  <c r="D154" i="2"/>
  <c r="D206" i="2"/>
  <c r="E9" i="7"/>
  <c r="D18" i="2"/>
  <c r="G7" i="7"/>
  <c r="J7" i="7"/>
  <c r="K7" i="7" s="1"/>
  <c r="F7" i="7"/>
  <c r="D208" i="2"/>
  <c r="D162" i="2"/>
  <c r="D209" i="2" s="1"/>
  <c r="E10" i="7"/>
  <c r="E18" i="2"/>
  <c r="D160" i="2"/>
  <c r="F8" i="7"/>
  <c r="J8" i="7"/>
  <c r="K8" i="7" s="1"/>
  <c r="G8" i="7"/>
  <c r="J14" i="7"/>
  <c r="K14" i="7" s="1"/>
  <c r="G14" i="7"/>
  <c r="H14" i="7" s="1"/>
  <c r="F14" i="7"/>
  <c r="F15" i="7"/>
  <c r="G15" i="7"/>
  <c r="H15" i="7" s="1"/>
  <c r="J15" i="7"/>
  <c r="K15" i="7" s="1"/>
  <c r="H12" i="7"/>
  <c r="D56" i="6"/>
  <c r="F221" i="2" l="1"/>
  <c r="D195" i="2"/>
  <c r="D11" i="2" s="1"/>
  <c r="D198" i="2"/>
  <c r="D207" i="2"/>
  <c r="D213" i="2"/>
  <c r="D215" i="2"/>
  <c r="C11" i="9"/>
  <c r="C16" i="9"/>
  <c r="D55" i="6"/>
  <c r="D7" i="2"/>
  <c r="E61" i="7"/>
  <c r="J61" i="7" s="1"/>
  <c r="K61" i="7" s="1"/>
  <c r="D61" i="6"/>
  <c r="D196" i="2"/>
  <c r="E11" i="2" s="1"/>
  <c r="D210" i="2"/>
  <c r="D214" i="2"/>
  <c r="D59" i="6"/>
  <c r="D8" i="2"/>
  <c r="E62" i="7"/>
  <c r="J62" i="7" s="1"/>
  <c r="K62" i="7" s="1"/>
  <c r="D155" i="2"/>
  <c r="E11" i="7"/>
  <c r="F9" i="7"/>
  <c r="J9" i="7"/>
  <c r="K9" i="7" s="1"/>
  <c r="G9" i="7"/>
  <c r="H9" i="7" s="1"/>
  <c r="F10" i="7"/>
  <c r="G10" i="7"/>
  <c r="H10" i="7" s="1"/>
  <c r="J10" i="7"/>
  <c r="K10" i="7" s="1"/>
  <c r="H7" i="7"/>
  <c r="H8" i="7"/>
  <c r="F219" i="2"/>
  <c r="F220" i="2"/>
  <c r="F222" i="2"/>
  <c r="C13" i="9"/>
  <c r="D57" i="6"/>
  <c r="D58" i="6"/>
  <c r="D199" i="2" l="1"/>
  <c r="D9" i="2"/>
  <c r="F11" i="7"/>
  <c r="G11" i="7"/>
  <c r="H11" i="7" s="1"/>
  <c r="D69" i="7" s="1"/>
  <c r="C7" i="9" s="1"/>
  <c r="J11" i="7"/>
  <c r="K11" i="7" s="1"/>
  <c r="D71" i="7" s="1"/>
  <c r="C8" i="9" s="1"/>
  <c r="C15" i="9"/>
</calcChain>
</file>

<file path=xl/sharedStrings.xml><?xml version="1.0" encoding="utf-8"?>
<sst xmlns="http://schemas.openxmlformats.org/spreadsheetml/2006/main" count="942" uniqueCount="683">
  <si>
    <t>Grupo Bimbo, S.A.B. de C.V. (BMV: BIMBO A) - Libro de valuación por DCF</t>
  </si>
  <si>
    <t>Fecha de valuación 2026-10-16; millones de MXN; IFRS. Generado el 2026-10-17 por valuation/build/build_spg_workbooks.py a partir de los insumos canónicos del modelo.</t>
  </si>
  <si>
    <t>Hojas</t>
  </si>
  <si>
    <t>DCF - supuestos generales, supuestos de proyección, flujo libre de efectivo proyectado, capital de trabajo, descuento, valor terminal, puente al valor del capital, controles cruzados, base publicada (crecimiento de arrendamientos, reclamos de salida consistentes con el EV de los pares, puente de valor, casos de menor retorno) y tablas de sensibilidad (estructura según S&amp;P 'DCF Analysis').</t>
  </si>
  <si>
    <t>Base publicada = mecánica del motor más dos correcciones técnicas: (1) el FCFF también deduce el crecimiento del pasivo por arrendamiento, mantenido en la proporción de ventas de FY2025; (2) el método de salida resta solo los reclamos dentro de la definición de EV de los pares (deuda neta, NCI a valor de mercado). Los valores de la base del motor se conservan para la conciliación.</t>
  </si>
  <si>
    <t>Reverse_DCF - crecimiento perpetuo y ajuste del crecimiento de ventas implícitos en el precio de mercado.</t>
  </si>
  <si>
    <t>Levers - tablas estáticas de las palancas clave (capex, margen bruto, crecimiento) sobre la base publicada.</t>
  </si>
  <si>
    <t>Escenarios - un cambio a la vez contra la base: rutas de costo de capital y ponderación del riesgo país, beta de regresión propia de Bimbo, consistencia de moneda en Norteamérica (PPP), capex terminal vs el referente de pares, múltiplos de salida con las medianas de pares de la v3.</t>
  </si>
  <si>
    <t>v3 (2026-10-17): el costo de capital base es la ruta B - tasa libre de impago en MXN (M-Bono a 10 años menos el diferencial de impago de México) más una prima de riesgo país del capital ponderada por dónde opera Bimbo (países -&gt; regiones -&gt; pesos de EBITDA ajustado FY2025); construcción completa en BIMBOA_WACC_v3.xlsx. Es una propuesta hasta que el equipo la confirme.</t>
  </si>
  <si>
    <t>Dated_Check - valuación independiente anclada en el balance general del 30-Jun-2026, trasladada a la fecha de valuación.</t>
  </si>
  <si>
    <t>Engine_Recon - concordancia línea por línea con el motor del modelo del proyecto (model/model-summary.json).</t>
  </si>
  <si>
    <t>Inputs_Sources - cada insumo con valor, etiqueta, fuente y fecha.  Checks - controles de integridad.</t>
  </si>
  <si>
    <t>Convenciones</t>
  </si>
  <si>
    <t>Flujos de efectivo descontados al 31-Dec-2025 (mitad de año); TV de Gordon descontado N - desfase, TV de salida descontado N; deuda neta con arrendamientos IFRS 16 al 31-Dec-2025; valor por acción trasladado a hoy al costo del capital propio; el valor a 12 meses resta el siguiente dividendo no pagado (el dividendo de FY2026 se pagó el 13-May-2026).</t>
  </si>
  <si>
    <t>El valor terminal, los insumos del WACC, los supuestos clave, el precio objetivo y la recomendación son decisiones del EQUIPO; los valores aquí son propuestas etiquetadas hasta que el equipo las confirme (AGENTS.md).</t>
  </si>
  <si>
    <t>Control de publicación: el reporte, la presentación y el pitch leen valuation/valuation-outputs.yaml, no este libro ni el resumen del motor directamente.</t>
  </si>
  <si>
    <t>[sourced] de un reporte presentado o fuente pública; [guidance] declaración de la administración; [assumption] juicio del equipo o del asistente (propuesta hasta que el equipo confirme); [calc] calculado; [unverified] aún sin vincular a una fuente.</t>
  </si>
  <si>
    <t>Análisis de flujos de efectivo descontados</t>
  </si>
  <si>
    <t>Grupo Bimbo, S.A.B. de C.V. (BMV:BIMBO A) | fecha de valuación 2026-10-16 | millones de MXN, IFRS | estructura según S&amp;P Capital IQ Pro 'DCF Analysis'</t>
  </si>
  <si>
    <t>Azul sobre amarillo = insumo (cambiar aquí); negro = fórmula; verde = vínculo a otra hoja. Cada insumo lleva una etiqueta y una fuente en 'Inputs_Sources'. [sourced] de un reporte presentado o fuente pública; [guidance] declaración de la administración; [assumption] juicio del equipo o del asistente (propuesta hasta que el equipo confirme); [calc] calculado; [unverified] aún sin vincular a una fuente.</t>
  </si>
  <si>
    <t>RESULTADOS CLAVE - BASE PUBLICADA (los arrendamientos crecen con el negocio; salida con reclamos consistentes con el EV de los pares). Base del motor conservada para la conciliación ('Engine_Recon')</t>
  </si>
  <si>
    <t>Valor por acción hoy PUBLICADO - Gordon (MXN)</t>
  </si>
  <si>
    <t>Valor por acción hoy PUBLICADO - múltiplo de salida, reclamos consistentes con el EV de los pares (MXN)</t>
  </si>
  <si>
    <t>Valor a 12 meses PUBLICADO - Gordon = valor x (1 + ke) - siguiente dividendo no pagado (MXN)</t>
  </si>
  <si>
    <t>Precio actual de la acción (MXN)</t>
  </si>
  <si>
    <t>Prima / (descuento) hoy - Gordon / salida</t>
  </si>
  <si>
    <t>WACC / costo del capital propio</t>
  </si>
  <si>
    <t>Crecimiento perpetuo (g) / múltiplo de salida</t>
  </si>
  <si>
    <t>Valor de la empresa (EV) - Gordon / salida, publicado (MXN m)</t>
  </si>
  <si>
    <t>Valor terminal como % del EV - Gordon / salida, publicado</t>
  </si>
  <si>
    <t>Retorno sobre capital nuevo implícito en el valor terminal - base publicada / base del motor</t>
  </si>
  <si>
    <t>Gordon con RONIC = WACC / con RONIC 12.5% (casos de menor retorno, MXN)</t>
  </si>
  <si>
    <t>Base del motor, solo para conciliación - Gordon / salida (MXN)</t>
  </si>
  <si>
    <t>Precio objetivo del equipo</t>
  </si>
  <si>
    <t>null - decisión del equipo (reglas del CFA: el equipo fija el precio objetivo y la recomendación)</t>
  </si>
  <si>
    <t>SUPUESTOS - COSTO DE CAPITAL (de valuation/valuation.yaml; construcción completa en BIMBOA_WACC_v3.xlsx)</t>
  </si>
  <si>
    <t>Tasa libre de riesgo</t>
  </si>
  <si>
    <t>[calc] Ruta B (base, propuesta): tasa libre de incumplimiento en MXN 7.5101% = M-Bono 10y 9.26% [sourced] S&amp;P Capital IQ 16-Oct-2026 (data/capitaliq/capiq-ai-model-gaps-2_2026-10-17.md) - diferencial por incumplimiento de México 1.7499% [sourced] Damodaran julio de 2026 (Baa3). La ruta A mantiene el M-Bono 9.26% sin prima de riesgo país</t>
  </si>
  <si>
    <t>Prima de riesgo de mercado (mercado maduro)</t>
  </si>
  <si>
    <t>[sourced] ERP implícita de Damodaran 4.20%, 1-Oct-2026 (wacc_inputs G1)</t>
  </si>
  <si>
    <t>Prima de riesgo país</t>
  </si>
  <si>
    <t>[calc] Ruta B (base, propuesta): CRP de capital ponderado por donde opera Bimbo = 2.0496% con ponderaciones de EBITDA ajustado de FY2025 (ventas 1.7048%; EBITDA FY2023-25 1.9900%; ventas FY2023-25 1.6517%; ponderaciones de EBITDA sin Argentina 2.0151%). CRP por país: actualización de Damodaran de julio de 2026 (México Baa3 2.72%); dentro de cada región, los países se ponderan por el número de plantas de FY2025 [assumption: sin revelación de ventas por país]; las eliminaciones se atribuyen a México [assumption]; se aplican de forma aditiva (fórmula de la guía del proyecto para la ruta en USD). Se construye en BIMBOA_WACC_v3.xlsx</t>
  </si>
  <si>
    <t>Beta desapalancada</t>
  </si>
  <si>
    <t>[sourced] Damodaran Food Processing, Global, desapalancada 0.53, base de datos de Jan-2026: betaGlobal.xls 'Industry Averages' B1 'Date updated' = 5-Jan-2026; el encabezado de la página HTML dice 'Data used is as of January 2026' y su pie 'Last Updated in January 2025' está desactualizado (el historial del propio archivo da 0.536 para la base de 2025 vs 0.560 ahora, corregida por efectivo) (wacc_inputs G6) - propuesta; las betas a 5 años de los pares son demasiado bajas para usarse solas</t>
  </si>
  <si>
    <t>Deuda / capital objetivo (valores de mercado, deuda con arrendamientos)</t>
  </si>
  <si>
    <t>[calc] D/E de mercado actual de Bimbo con arrendamientos 0.743 = (153,660 + 33,361) / 251,684 (wacc_inputs D2) - propuesta</t>
  </si>
  <si>
    <t>Costo de la deuda antes de impuestos (MXN)</t>
  </si>
  <si>
    <t>[calc] M-Bono a 10 años 9.26% + 0.45pp de diferencial de la emisión BIMBO 26 = 9.71% (wacc_inputs J2-B) - propuesta</t>
  </si>
  <si>
    <t>Tasa marginal de impuestos (WACC)</t>
  </si>
  <si>
    <t>[sourced] Tasa legal de México 30% (wacc_inputs D7)</t>
  </si>
  <si>
    <t>Beta reapalancada = desapalancada x (1 + (1 - tasa de impuestos) x D/E)</t>
  </si>
  <si>
    <t>Costo del capital propio = rf + beta x ERP + CRP</t>
  </si>
  <si>
    <t>Costo de la deuda después de impuestos</t>
  </si>
  <si>
    <t>Peso del capital = 1 / (1 + D/E)</t>
  </si>
  <si>
    <t>Peso de la deuda = D/E / (1 + D/E)</t>
  </si>
  <si>
    <t>WACC</t>
  </si>
  <si>
    <t>Misma fórmula que la hoja WACC del motor; la conciliación está en 'Engine_Recon'.</t>
  </si>
  <si>
    <t>SUPUESTOS - DESCUENTO, VALOR TERMINAL Y AJUSTES DE ESCENARIO</t>
  </si>
  <si>
    <t>Desfase de la convención de mitad de año (0.5 = mitad de año, 0 = fin de año)</t>
  </si>
  <si>
    <t>Convención del motor: el flujo de efectivo t se descuenta t - desfase años desde el 31-Dec-2025.</t>
  </si>
  <si>
    <t>Años desde el último cierre fiscal (31-Dec-2025 a la fecha de valuación)</t>
  </si>
  <si>
    <t>Traslado del valor del capital a hoy al costo del capital propio (aproximación del motor).</t>
  </si>
  <si>
    <t>Crecimiento perpetuo (g), MXN nominal</t>
  </si>
  <si>
    <t>[assumption] 4.25%: mezcla de largo plazo de ~36% Norteamérica a ~3% en MXN y ~64% México/LatAm/EAA a ~5% (decisión del equipo)</t>
  </si>
  <si>
    <t>Múltiplo de salida EV / EBITDA (retrospectivo, aplicado al EBITDA del último año)</t>
  </si>
  <si>
    <t>[assumption] 6.0x: criterio por encima de la mediana LTM del núcleo de panificación de 5.53x (Flowers 5.61x, Gruma 5.44x; base IFRS 16) para la mezcla de México; todos los pares elegibles 8.27x (NTM 8.79x); Bimbo hoy 6.94x con NCI a valor en libros (BIMBOA_PeerAnalysis_v3.xlsx) - decisión del equipo</t>
  </si>
  <si>
    <t>Crecimiento del PIB nominal de largo plazo, MXN (tope para g)</t>
  </si>
  <si>
    <t>[assumption] 5.0% = ~2% real + 3% meta de Banxico. Crecimiento real [sourced]: FMI WEO Oct-2026, México 2.1% anual en 2029-31 (DataMapper NGDP_RPCH, última modificación 2026-10-08); encuesta del sector privado de Banxico Sep-2026 (publicada 1-Oct-2026, Cuadro 6 p.8), promedio 2027-36: promedio 1.88% / mediana 1.80%. Compuesto con inflación de 3.0% (meta; IPC del FMI 2029-31 3.0%), el rango es 4.85-5.16%; 5.0% es su punto medio redondeado. El 3.0% es la meta y la proyección del FMI, no la encuesta: las medianas de inflación de largo plazo de la propia encuesta son 3.80% (2027-30) y 3.70% (2031-34) (Cuadro 5 p.6), lo que daría ~5.6% nominal</t>
  </si>
  <si>
    <t>Escenario: ajuste del crecimiento de ventas sumado a cada año proyectado (0 = caso base)</t>
  </si>
  <si>
    <t>Lo usa el DCF inverso (aplicar Goal Seek a esta celda). Dejar en 0 para el caso base.</t>
  </si>
  <si>
    <t>Escenario: ajuste del margen bruto, todos los años proyectados (p. ej., -0.01 = -100 pb por choque del trigo)</t>
  </si>
  <si>
    <t>Palanca de escenario climático / de costo de insumos. Dejar en 0 para el caso base.</t>
  </si>
  <si>
    <t>Escenario: ajuste de capex / ventas, todos los años proyectados (p. ej., +0.005 = +50 pb)</t>
  </si>
  <si>
    <t>Palanca de reinversión (pilar de deuda / FCF). Dejar en 0 para el caso base.</t>
  </si>
  <si>
    <t>SUPUESTOS DE PROYECCIÓN (model/drivers.yaml; histórico = valores implícitos)</t>
  </si>
  <si>
    <t>FY2021A</t>
  </si>
  <si>
    <t>FY2022A</t>
  </si>
  <si>
    <t>FY2023A</t>
  </si>
  <si>
    <t>FY2024A</t>
  </si>
  <si>
    <t>FY2025A</t>
  </si>
  <si>
    <t>FY2026E</t>
  </si>
  <si>
    <t>FY2027E</t>
  </si>
  <si>
    <t>FY2028E</t>
  </si>
  <si>
    <t>FY2029E</t>
  </si>
  <si>
    <t>FY2030E</t>
  </si>
  <si>
    <t>FY2031E</t>
  </si>
  <si>
    <t>FY2032E</t>
  </si>
  <si>
    <t>FY2033E</t>
  </si>
  <si>
    <t>FY2034E</t>
  </si>
  <si>
    <t>FY2035E</t>
  </si>
  <si>
    <t>Etiqueta / fuente / nota</t>
  </si>
  <si>
    <t>Crecimiento de ventas de Norteamérica</t>
  </si>
  <si>
    <t>[assumption] DRIVER DE LA HISTORIA (propuesta). FY26 = 1H26 real (84,901, -11.3% en MXN; ex-FX +0.7%/+1.3% en 1Q/2Q26) más 2H26 a -3.5% (ex-FX +1.5%, peso alrededor de -5% vs 2H25) [calc] tendencia trimestral del wiki. FY27+: crecimiento en USD de ~+1.5% (volumen de la categoría de -2% a -4%, precio/mezcla de +1-2%, ganancias de participación de mercado que afirma la administración) más una depreciación del MXN de ~1.5% anual (diferencial de inflación) [assumption]. Alternativas en valuation/BIMBOA_DCF_v3.xlsx 'Scenarios': PPP con las metas de inflación de 3%/2% (0.98% anual; Gordon -2.18 por acción) o con la inflación de la encuesta de Banxico (1.67% anual; +0.75); la inflación (CPI) de Sep-2026 fue de 3.45% en México vs 3.74% en EE.UU. [sourced] macro/macro-view.yaml.</t>
  </si>
  <si>
    <t>Crecimiento de ventas de México</t>
  </si>
  <si>
    <t>[assumption] SUPUESTO CLAVE (propuesta). FY26 = 1H26 +4.6% y 2H26 +4.7% (1Q26 +4.5%, 2Q26 +4.7%) [calc]. FY27+: mercado de panificación empacada ~3.5% de CAGR en valor 2024-29E (RA25 p.111) más precio/mezcla con inflación de ~3.5-3.8%; se atenúa hasta 5.0% (nominal de largo plazo) [assumption].</t>
  </si>
  <si>
    <t>Crecimiento de ventas de Europa, Asia y África</t>
  </si>
  <si>
    <t>[assumption] Propuesta. FY26 = 1H26 +1.3% en MXN (sin efecto cambiario +12.6%/+8.4% incl. adquisiciones complementarias de 2025) con 2H26 plano tras el efecto cambiario [calc]. FY27+: orgánico ~4.5% (mercado europeo 3.4%, Europa del Este 6.6% de CAGR según RA25 p.108), sin nuevas operaciones de M&amp;A [assumption].</t>
  </si>
  <si>
    <t>Crecimiento de ventas de Latinoamérica</t>
  </si>
  <si>
    <t>[assumption] Propuesta. FY26 = 1H26 +7.1% más 2H26 ~+10% (Wickbold consolidada desde Oct-2025) [calc]. FY27+: panificación en LatAm 5.5% de CAGR (RA25 p.108) más sinergias de Wickbold, atenuándose hasta 5.5% [assumption].</t>
  </si>
  <si>
    <t>Crecimiento de ventas de eliminaciones interregionales</t>
  </si>
  <si>
    <t>[assumption] Mecánico: las eliminaciones interregionales crecen con las ventas regionales (eliminaciones de 1H26 -8,545 vs -8,202 en 1H25, +4.2%) [calc].</t>
  </si>
  <si>
    <t>Margen bruto</t>
  </si>
  <si>
    <t>[assumption] pilar 1: SUPUESTO CLAVE (propuesta; pilar climático). Histórico 53.4/51.5/51.4/52.6/52.3% (FY21-25, mapeo del modelo). 1H26 ~52.6% en la base del modelo (CIQ 52.9% menos la brecha de mapeo de 0.33pp) [calc]. El promedio del trigo CBOT en 2026 a la fecha es +17% vs 2025 y el margen bruto sigue al trigo con un rezago de ~1 año (r = -0.74, n = 9; wiki bimbo-climate-metrics-capiq-2026-10) -&gt; caída de 40pb en FY27, recuperación a 52.5% [assumption].</t>
  </si>
  <si>
    <t>Gastos de operación / ventas</t>
  </si>
  <si>
    <t>[assumption] pilar 2: SUPUESTO CLAVE (propuesta; pilar del nuevo CEO). Calibrado para que el margen EBITDA del modelo sea 14.7% en FY26 (FY25 13.8% + ~90pb, punto medio de la guía de la administración de +70-120pb, elevada el 2026-07-23 [guidance] conferencia de resultados 2Q26), 14.5% en FY27 (rezago del trigo), y luego +20pb/año de productividad hasta 15.3% en FY30. Incluye reestructuración a un nivel recurrente (FY24 6,293; FY25 3,908). Histórico 43.8/38.0/42.5/44.5/44.4%.</t>
  </si>
  <si>
    <t>D&amp;A / ventas</t>
  </si>
  <si>
    <t>[assumption] pilar -: Mecánico: FY24-FY25 5.65-5.82% incl. depreciación de activos por derecho de uso (6,142 en FY25); se mantiene cerca de 5.85-5.9% conforme el capex se normaliza [calc] data/financials.csv.</t>
  </si>
  <si>
    <t>Capex / ventas</t>
  </si>
  <si>
    <t>[assumption] pillar 3: DRIVER DE LA HISTORIA (propuesta; pilar de deuda/FCF). FY26 = guía de la administración US$1.0-1.2bn (recortada el 2026-07-23 [guidance]) a ~Ps 17.6/US$ = ~Ps 19.4bn = 4.6% de las ventas; FY27-28 ~5.0-5.2% (consenso de capex US$1.21-1.24bn [sourced] CIQ 2026-10-17). Sube a 6.0% para FY35 [assumption] (historial 6.3/7.4/8.9/7.4/5.4%, promedio FY21-25 de 7.0%). En la base publicada (el pasivo por arrendamiento crece con las ventas), la reinversión neta terminal total equivale a 29% del NOPAT y el rendimiento sobre el capital nuevo implícito en el valor terminal es de 14.6% (base del motor 17.9%); cada 50 pb de capex = Ps 9.44 por acción (valuation/BIMBOA_DCF_v3.xlsx, Levers). Referencias [calc] valuation/BIMBOA_PeerAnalysis_v3.xlsx: capex / ventas del consenso de pares 3.66/3.82/3.79% (FY1-FY3), consenso de Bimbo 5.16/5.02/4.90% (FY2026-28); las pruebas de deterioro de la compañía suponen 3.3-4.3% (RA25 p.265, capex de continuidad). El nivel terminal es decisión del equipo (valuation/valuation.md, sección 11).</t>
  </si>
  <si>
    <t>Principal de arrendamientos pagado / ventas (motor: = nuevos arrendamientos)</t>
  </si>
  <si>
    <t>[assumption] pillar -: Mecánico: principal de arrendamientos de FY25 5,923 / ventas 426,952 = 1.39% (FY23-25: 1.20/1.30/1.39%) [calc]. El principal se deriva (pagos de 8,060 menos interés por arrendamiento de 2,137) y se etiqueta como calc en data/financials.csv: los reportes presentados no separan el interés en efectivo dentro de los pagos de arrendamiento (data/adjustments.md #6). El motor también lo usa como nuevos arrendamientos, lo que mantiene constante el pasivo por arrendamiento; la base publicada en valuation/BIMBOA_DCF_v3.xlsx suma el crecimiento del pasivo por arrendamiento (mantenido en el 8.15% de las ventas de FY2025).</t>
  </si>
  <si>
    <t>Días de cuentas por cobrar (DSO, sobre ventas)</t>
  </si>
  <si>
    <t>[assumption] pilar -: Mecánico: FY25 20.3 días (rango FY21-25 19.4-21.1) solo sobre cuentas por cobrar comerciales [calc].</t>
  </si>
  <si>
    <t>Días de inventario (DIO, sobre costo de ventas)</t>
  </si>
  <si>
    <t>[assumption] pilar -: Mecánico: FY25 30.8 días sobre costo de ventas (rango FY21-25 30.3-35.5) [calc].</t>
  </si>
  <si>
    <t>Días de cuentas por pagar (DPO, sobre costo de ventas)</t>
  </si>
  <si>
    <t>[assumption] pilar -: Mecánico: FY25 70.1 días sobre costo de ventas; se mantiene constante, sin recuperar los 75-83 días de FY21-24 (mayores cuentas por pagar inflarían el flujo de efectivo) [calc].</t>
  </si>
  <si>
    <t>Otros activos circulantes / ventas</t>
  </si>
  <si>
    <t>[assumption] pilar -: Mecánico, solo crece la parte operativa: otros activos circulantes de FY25 15,201 = operativos 13,796 (otras cuentas por cobrar 11,998 + pagos anticipados 1,798; 3.23% de las ventas) + no operativos 1,405 (derivados 60, colaterales 459, mantenidos para la venta 886) constantes en pesos para que no generen FCFF [calc] tabla de capital de trabajo de data/adjustments.md (auditoría de Codex 2026-10-17, hallazgo 1).</t>
  </si>
  <si>
    <t>Otros pasivos circulantes / ventas</t>
  </si>
  <si>
    <t>[assumption] pilar -: Mecánico, solo crece la parte operativa: otros pasivos circulantes de FY25 31,788 = operativos 21,889 (cuentas por pagar a partes relacionadas 1,154 + PTU 1,592 + pasivos acumulados operativos 19,143; 5.13% de las ventas) + no operativos 9,899 (impuestos a la utilidad y otros impuestos, contribuciones fiscales, intereses devengados, derivados) constantes en pesos [calc] data/adjustments.md #9 y tabla de capital de trabajo (auditoría de Codex, hallazgo 1).</t>
  </si>
  <si>
    <t>Tasa efectiva de impuestos (sobre EBIT en el DCF)</t>
  </si>
  <si>
    <t>[assumption] pilar -: Tasa efectiva (no marginal): FY23-25 33.1/32.6/35.7%, 1H26 ~37% [calc]; tasa legal de 30% más partidas no deducibles y unidades con pérdidas. El WACC usa por separado la tasa marginal de 30%.</t>
  </si>
  <si>
    <t>FLUJOS DE EFECTIVO PROYECTADOS (millones de MXN)</t>
  </si>
  <si>
    <t xml:space="preserve">  Norteamérica</t>
  </si>
  <si>
    <t>[sourced] ventas por segmento, data/financials.csv (histórico)</t>
  </si>
  <si>
    <t xml:space="preserve">  México</t>
  </si>
  <si>
    <t xml:space="preserve">  Europa, Asia y África</t>
  </si>
  <si>
    <t xml:space="preserve">  Latinoamérica</t>
  </si>
  <si>
    <t xml:space="preserve">  Eliminaciones interregionales</t>
  </si>
  <si>
    <t>Ventas totales</t>
  </si>
  <si>
    <t>[sourced] histórico data/financials.csv; proyección = suma de segmentos (o supuesto de crecimiento)</t>
  </si>
  <si>
    <t xml:space="preserve">  Crecimiento anual</t>
  </si>
  <si>
    <t>Costo de ventas</t>
  </si>
  <si>
    <t>Proyección = ventas x (1 - (margen bruto + ajuste de escenario))</t>
  </si>
  <si>
    <t>Utilidad bruta</t>
  </si>
  <si>
    <t xml:space="preserve">  Margen bruto</t>
  </si>
  <si>
    <t>Gastos de operación (netos, incl. PTU)</t>
  </si>
  <si>
    <t>EBIT</t>
  </si>
  <si>
    <t xml:space="preserve">  Margen EBIT</t>
  </si>
  <si>
    <t>D&amp;A (incl. depreciación de activos por derecho de uso)</t>
  </si>
  <si>
    <t>EBITDA (post-IFRS 16) = EBIT + D&amp;A</t>
  </si>
  <si>
    <t>Definición del motor. El EBITDA ajustado de la compañía suma de nuevo las partidas no recurrentes (puente en data/adjustments.md).</t>
  </si>
  <si>
    <t xml:space="preserve">  Margen EBITDA</t>
  </si>
  <si>
    <t xml:space="preserve">  Tasa de impuestos sobre EBIT</t>
  </si>
  <si>
    <t>Histórico: tasa efectiva = impuesto a la utilidad / utilidad antes de impuestos (solo informativo); proyección: supuesto de impuestos</t>
  </si>
  <si>
    <t>Menos: impuestos sobre EBIT</t>
  </si>
  <si>
    <t>NOPAT (utilidad neta no apalancada)</t>
  </si>
  <si>
    <t>Más: D&amp;A</t>
  </si>
  <si>
    <t>Menos: inversión de capital (capex; PP&amp;E + intangibles)</t>
  </si>
  <si>
    <t>Menos: nuevos arrendamientos (IFRS 16; aproximación del motor = principal de arrendamientos pagado)</t>
  </si>
  <si>
    <t>Aproximación del motor (mantiene constante el pasivo por arrendamiento). La base publicada de abajo también deduce el crecimiento del pasivo por arrendamiento.</t>
  </si>
  <si>
    <t>Más / (menos): cambio en el capital de trabajo operativo</t>
  </si>
  <si>
    <t>De la cédula de capital de trabajo de abajo</t>
  </si>
  <si>
    <t>Flujo libre de efectivo no apalancado (FCFF)</t>
  </si>
  <si>
    <t>Motor: FCFF = NOPAT + D&amp;A - capex - nuevos arrendamientos + cambio en el capital de trabajo. Histórico: solo informativo.</t>
  </si>
  <si>
    <t xml:space="preserve">  Margen FCFF</t>
  </si>
  <si>
    <t>CÉDULA DE CAPITAL DE TRABAJO (esquema del motor; los saldos no operativos se muestran por separado y se mantienen constantes en la proyección, por lo que solo las partidas operativas mueven el FCFF)</t>
  </si>
  <si>
    <t>Cuentas por cobrar comerciales</t>
  </si>
  <si>
    <t>Inventarios</t>
  </si>
  <si>
    <t>Otros activos circulantes (total)</t>
  </si>
  <si>
    <t xml:space="preserve">  de los cuales no operativos: derivados, depósitos de colateral, mantenidos para la venta (constantes)</t>
  </si>
  <si>
    <t>[calc] histórico = total menos otras cuentas por cobrar y pagos anticipados (tabla de capital de trabajo operativo de data/adjustments.md); proyección constante en FY2025</t>
  </si>
  <si>
    <t>Cuentas por pagar comerciales</t>
  </si>
  <si>
    <t>Otros pasivos circulantes, sin deuda (total)</t>
  </si>
  <si>
    <t xml:space="preserve">  de los cuales no operativos: impuestos a la utilidad y otros impuestos, intereses devengados, derivados (constantes)</t>
  </si>
  <si>
    <t>[calc] histórico = total menos cuentas por pagar a partes relacionadas, PTU y pasivos acumulados operativos (nota 14); proyección constante en FY2025</t>
  </si>
  <si>
    <t>Capital de trabajo neto - base del motor (incl. saldos no operativos)</t>
  </si>
  <si>
    <t>Capital de trabajo operativo = base del motor - activos no operativos + pasivos no operativos</t>
  </si>
  <si>
    <t>Cuadra con data/adjustments.md: -14,860 / -15,353 / -8,599 / -6,279 / -6,232 (Dec-21 a Dec-25); ver 'Checks'</t>
  </si>
  <si>
    <t>(Aumento) / disminución del capital de trabajo (signo de flujo de efectivo; usado en el FCFF)</t>
  </si>
  <si>
    <t>Motor: change_nwc = -(dAR + dInv + dOCA - dAP - dOCL). Los saldos no operativos son constantes en la proyección (los supuestos los codifican como una proporción decreciente de las ventas), por lo que esto equivale al cambio operativo en la trayectoria base de ventas; bajo el escenario g_shift se mueven ligeramente con las ventas.</t>
  </si>
  <si>
    <t xml:space="preserve">  Memo: (aumento) / disminución del capital de trabajo operativo</t>
  </si>
  <si>
    <t>DESCUENTO (al 31-Dec-2025; convención del motor)</t>
  </si>
  <si>
    <t>Número de año proyectado</t>
  </si>
  <si>
    <t>Periodo de descuento = número de año - desfase de mitad de año</t>
  </si>
  <si>
    <t>Factor de descuento = 1 / (1 + WACC) ^ periodo</t>
  </si>
  <si>
    <t>Valor presente del FCFF</t>
  </si>
  <si>
    <t>VALOR PRESENTE DE LA EMPRESA</t>
  </si>
  <si>
    <t>Suma del VP del FCFF, FY2026E-FY2035E</t>
  </si>
  <si>
    <t>Valor terminal - crecimiento de Gordon = FCFF_N x (1 + g) / (WACC - g)</t>
  </si>
  <si>
    <t>VP del valor terminal - Gordon (descontado N - desfase: valor a la fecha del último flujo de efectivo)</t>
  </si>
  <si>
    <t>Valor de la empresa (EV) - Gordon</t>
  </si>
  <si>
    <t>Valor terminal - múltiplo de salida = EBITDA del último año x múltiplo</t>
  </si>
  <si>
    <t>VP del valor terminal - salida (un valor de fin de año, descontado N)</t>
  </si>
  <si>
    <t>Valor de la empresa (EV) - múltiplo de salida</t>
  </si>
  <si>
    <t>Valor terminal como % del EV - Gordon</t>
  </si>
  <si>
    <t>Valor terminal como % del EV - salida</t>
  </si>
  <si>
    <t>PUENTE AL VALOR DEL CAPITAL Y VALOR POR ACCIÓN (base del motor: saldos al 31-Dec-2025)</t>
  </si>
  <si>
    <t>Deuda de corto plazo</t>
  </si>
  <si>
    <t>[sourced] data/financials.csv FY2025</t>
  </si>
  <si>
    <t>Deuda de largo plazo</t>
  </si>
  <si>
    <t>Pasivos por arrendamiento (IFRS 16)</t>
  </si>
  <si>
    <t>Efectivo y equivalentes</t>
  </si>
  <si>
    <t>Deuda neta con arrendamientos</t>
  </si>
  <si>
    <t>Participación no controladora (en libros)</t>
  </si>
  <si>
    <t>Reclamo de NCI: entidades estructuradas de operadores independientes de BBU (consolidadas; sus utilidades están en el EBITDA y el FCFF)</t>
  </si>
  <si>
    <t>Utilidad de NCI, anualizada (1H26 x 2)</t>
  </si>
  <si>
    <t>[sourced] CIQ trimestral 1Q26 436 + 2Q26 471; FY2025 1,813 (EEFF25 p.13)</t>
  </si>
  <si>
    <t>Crecimiento del reclamo de NCI (MXN, ligado a EUA)</t>
  </si>
  <si>
    <t>[assumption] Crecimiento perpetuo de Norteamérica en MXN; el caso de crecimiento cero se muestra abajo</t>
  </si>
  <si>
    <t>NCI a valor de mercado = utilidad de NCI / (costo del capital propio - crecimiento)</t>
  </si>
  <si>
    <t>Dinámico al costo del capital propio de arriba. Utilidad de NCI FY2023-FY2025 1,445 / 1,499 / 1,813 (4,757) [sourced] EEFF25 p.13; extraída mediante el 'efecto de consolidación de entidades estructuradas' -1,851 / -3,120 / -2,240 (7,211) más dividendos de NCI 91 / 109 / 135 (335) [sourced] EEFF25 p.15; el NCI en libros bajó de 3,306 (Dec-23) a 743 (Dec-25) [sourced] EEFF25 p.12. La extracción excede la utilidad, así que los propietarios de los IO retiran sus utilidades cada año: el reclamo es un reclamo en efectivo sobre el EBITDA, con un valor muy superior al contable. La base contable decreciente va en contra de una perpetuidad creciente: se muestra el caso de crecimiento cero.</t>
  </si>
  <si>
    <t>NCI a valor de mercado, crecimiento cero = utilidad de NCI / costo del capital propio (sensibilidad)</t>
  </si>
  <si>
    <t xml:space="preserve">  Componente similar a deuda: Beneficios por retiro y posteriores al retiro, netos, después de impuestos (México 1,131 x 0.70 + EUA 485 x 0.75 + EAA/LatAm 514 x 0.70)</t>
  </si>
  <si>
    <t>[calc] EEFF25 p.75 nota 18: pasivo neto 2,130 por segmento. La línea de 6,507 del balance general también incluye +362 'activos netos del plan presentados en otros activos' (un superávit presentado como activo en otra parte), que se excluye aquí. Impuestos: México 30%, EUA 25%, EAA/LatAm 30% [assumption]; deducible al pagarse, y el pasivo ya es un valor presente, por lo que el escudo fiscal se aplica a valor nominal</t>
  </si>
  <si>
    <t xml:space="preserve">  Componente similar a deuda: Obligaciones de bienestar de EUA (previsión social), de largo plazo, después de impuestos (3,272 x 0.75)</t>
  </si>
  <si>
    <t>[calc] EEFF25 p.75 y p.79: largo plazo 3,272; el corto plazo 1,389 está en otras cuentas por pagar y pasivos acumulados y permanece en el capital de trabajo operativo</t>
  </si>
  <si>
    <t xml:space="preserve">  Componente similar a deuda: Bonos de empleados por pagar de largo plazo, después de impuestos (743 x 0.70)</t>
  </si>
  <si>
    <t>[calc] EEFF25 p.75 nota 18; devengados por servicios pasados, pagaderos más adelante; 30% [assumption]</t>
  </si>
  <si>
    <t xml:space="preserve">  Componente similar a deuda: Pasivos de salida de MEPP, después de impuestos (985 x 0.75, EUA)</t>
  </si>
  <si>
    <t>[calc] EEFF25 p.79 notas 18-19: valor presente de los pagos de retiro de los planes de los que BBU está saliendo, liquidados contra la provisión. Las contribuciones a planes aún vigentes (2,700 en FY2025; 2,406 esperadas para 2026) pasan por los gastos de operación y la proyección, por lo que no hay doble conteo</t>
  </si>
  <si>
    <t xml:space="preserve">  Componente similar a deuda: Compensaciones diferidas, después de impuestos (1,060 x 0.70)</t>
  </si>
  <si>
    <t>[calc] EEFF25 p.79 nota 19 'Compensaciones diferidas' en otros pasivos de largo plazo; jurisdicción no revelada, 30% [assumption]</t>
  </si>
  <si>
    <t xml:space="preserve">  Componente similar a deuda: Provisiones por litigios y posiciones fiscales inciertas (fiscal 1,196 + UTP 8,537, sin escudo fiscal; laboral 439 y civil 511 x 0.70; otras 1)</t>
  </si>
  <si>
    <t>[calc] EEFF25 p.79-80 nota 19: provisiones 10,684 = fiscal 1,196, laboral 439, civil 511, otras 1, posiciones fiscales inciertas 8,537 (medidas al monto más probable o esperado, IFRIC 23); pagos 170 / 233 / 122 en FY23-25. Las partidas fiscales no llevan escudo fiscal [assumption]. No está en los candidatos al puente de data/adjustments.md: agregado el 2026-10-17</t>
  </si>
  <si>
    <t xml:space="preserve">  Componente similar a deuda: Pasivos netos por derivados (3,902 - 717; en su mayoría swaps de divisas de la deuda)</t>
  </si>
  <si>
    <t>[calc] EEFF25 p.12 (data/adjustments.md); los swaps compensan la conversión spot de la deuda en USD</t>
  </si>
  <si>
    <t xml:space="preserve">  Componente similar a deuda: NCI a valor de mercado menos valor en libros = utilidad de NCI / (ke - g) - valor en libros (dinámico a ke)</t>
  </si>
  <si>
    <t>[calc] Ver nci_claim. Provisional: el reclamo se valúa con la utilidad contable porque el efectivo extraído cada año la excede</t>
  </si>
  <si>
    <t>Menos: partidas similares a deuda (suma de componentes)</t>
  </si>
  <si>
    <t>[calc] suma de los componentes del puente de abajo, prima a valor de mercado del NCI a la ke base (valuation.md, sección del puente)</t>
  </si>
  <si>
    <t>Memo: partidas similares a deuda en valuation/valuation.yaml (insumo del motor)</t>
  </si>
  <si>
    <t>Más: activos no operativos</t>
  </si>
  <si>
    <t>[sourced] inversiones en asociadas 7,018 a Dec-25 (EEFF25 p.12; resultados excluidos del FCFF)</t>
  </si>
  <si>
    <t>Acciones diluidas, millones (motor: promedio ponderado del año fiscal)</t>
  </si>
  <si>
    <t>[sourced] data/financials.csv FY2025; acciones en circulación a la fecha de valuación en 'Dated_Check'</t>
  </si>
  <si>
    <t>[sourced] Cierre oficial de la BMV 16-Oct-2026 MXN 58.60 = PPP (precio promedio ponderado); última operación 58.62, cierre previo 57.97, cambio +1.0868% calculado sobre el PPP; volumen 3,034,823. BMV 'Estadisticas de operacion', BIMBO serie A, https://www.bmv.com.mx/es/emisoras/estadisticas/BIMBO-5163 (consultado el 2026-10-17). investing.com y Yahoo muestran el mismo 58.60 (wacc_inputs A1)</t>
  </si>
  <si>
    <t>Dividendo por acción del próximo año (motor dps_next; ver control de publicación)</t>
  </si>
  <si>
    <t>[calc] resultado del motor (primer año proyectado). El dividendo de FY2026 ya se pagó en 2026: valuation/valuation-outputs.yaml trae el dividendo corregido de los próximos 12 meses.</t>
  </si>
  <si>
    <t>Factor de traslado = (1 + costo del capital propio) ^ años desde el cierre fiscal</t>
  </si>
  <si>
    <t>Método de crecimiento de Gordon</t>
  </si>
  <si>
    <t>Valor del capital al cierre fiscal = EV + no operativos - deuda neta - NCI - partidas similares a deuda</t>
  </si>
  <si>
    <t>Valor por acción al cierre fiscal</t>
  </si>
  <si>
    <t>Valor por acción hoy (trasladado)</t>
  </si>
  <si>
    <t>Prima / (descuento) frente al precio actual - valor hoy</t>
  </si>
  <si>
    <t>Precio objetivo a 12 meses - Gordon = valor hoy x (1 + ke) - siguiente dividendo</t>
  </si>
  <si>
    <t>Potencial de alza al precio objetivo a 12 meses - Gordon</t>
  </si>
  <si>
    <t>Método del múltiplo de salida</t>
  </si>
  <si>
    <t>Valor del capital al cierre fiscal</t>
  </si>
  <si>
    <t>Reclamos similares a deuda fuera de la definición de EV de los pares (todos los componentes excepto la prima a valor de mercado del NCI)</t>
  </si>
  <si>
    <t>Los EV de los pares (base CIQ: capitalización de mercado + deuda + arrendamientos + NCI en libros - efectivo) excluyen pensiones y otros reclamos de empleados, MEPP, provisiones y derivados. La prima a valor de mercado del NCI se mantiene: el EBITDA de Bimbo incluye las utilidades de los IO, mientras que los distribuidores de Flowers no se consolidan.</t>
  </si>
  <si>
    <t>Valor por acción hoy - salida, base del motor con reclamos consistentes con el EV de los pares (conciliación v1)</t>
  </si>
  <si>
    <t>CONTROLES CRUZADOS (economía del valor terminal)</t>
  </si>
  <si>
    <t>WACC - g</t>
  </si>
  <si>
    <t>El motor advierte por debajo de 2 puntos.</t>
  </si>
  <si>
    <t>g menos el crecimiento del PIB nominal de largo plazo (debe ser &lt;= 0)</t>
  </si>
  <si>
    <t>Múltiplo de salida implícito en el valor de Gordon (TV llevado a fin de año / EBITDA del último año)</t>
  </si>
  <si>
    <t>Crecimiento implícito en el múltiplo de salida</t>
  </si>
  <si>
    <t>Retorno sobre capital nuevo implícito en el valor terminal = g / (1 - FCFF_N / NOPAT_N)</t>
  </si>
  <si>
    <t>Validación de dominio: indefinido cuando NOPAT &lt;= 0 o FCFF &gt;= NOPAT (sin reinversión neta).</t>
  </si>
  <si>
    <t>Tasa de reinversión neta del último año = (capex + nuevos arrendamientos - D&amp;A + aumento del capital de trabajo) / NOPAT</t>
  </si>
  <si>
    <t>Estado estacionario: tasa de reinversión x RONIC debe igualar a g.</t>
  </si>
  <si>
    <t>RONIC consistente con g y la reinversión del último año = g / tasa de reinversión</t>
  </si>
  <si>
    <t>Comparar con el WACC y con el histórico del ROIC.</t>
  </si>
  <si>
    <t>BASE PUBLICADA - LOS ARRENDAMIENTOS CRECEN CON EL NEGOCIO (pasivo por arrendamiento mantenido en la proporción de ventas de FY2025; nuevos arrendamientos = principal + crecimiento del pasivo)</t>
  </si>
  <si>
    <t>Pasivos por arrendamiento (IFRS 16), cierre</t>
  </si>
  <si>
    <t>[sourced] histórico data/financials.csv; proyección = año previo x crecimiento de ventas (intensidad de arrendamientos constante)</t>
  </si>
  <si>
    <t xml:space="preserve">  Pasivos por arrendamiento / ventas</t>
  </si>
  <si>
    <t>Histórico 6.7-9.2% (FY21-25), promedio 8.0%: la proyección mantiene el 8.15% de FY2025 (prueba b)</t>
  </si>
  <si>
    <t>Principal de arrendamientos pagado (motor: = nuevos arrendamientos)</t>
  </si>
  <si>
    <t>[calc] histórico derivado como pagos menos intereses devengados de arrendamiento; los reportes presentados no separan el interés en efectivo dentro de los pagos de arrendamiento (data/adjustments.md #6)</t>
  </si>
  <si>
    <t>Crecimiento del pasivo por arrendamiento = nuevos arrendamientos - principal</t>
  </si>
  <si>
    <t>Nuevos arrendamientos (altas de activos por derecho de uso, orgánicas) = principal + crecimiento del pasivo</t>
  </si>
  <si>
    <t>Histórico de nuevos arrendamientos + modificaciones / ventas: 1.11% / 2.13% / 1.65% (FY23-25, promedio 1.63%)</t>
  </si>
  <si>
    <t>FCFF - base publicada = FCFF (base del motor) - crecimiento del pasivo por arrendamiento</t>
  </si>
  <si>
    <t>VP del FCFF - base publicada</t>
  </si>
  <si>
    <t>Valuación publicada</t>
  </si>
  <si>
    <t>Suma del VP del FCFF - base publicada</t>
  </si>
  <si>
    <t>FCFF en el año N+1 = FCFF_N (base del motor) x (1 + g) - g x pasivo por arrendamiento_N</t>
  </si>
  <si>
    <t>El pasivo por arrendamiento sigue creciendo a g después de la proyección, por lo que g x L_N se deduce cada año.</t>
  </si>
  <si>
    <t>Valor terminal - Gordon, publicado = FCFF_N+1 / (WACC - g)</t>
  </si>
  <si>
    <t>VP del valor terminal - Gordon, publicado (descontado N - desfase)</t>
  </si>
  <si>
    <t>Valor de la empresa (EV) - Gordon, publicado</t>
  </si>
  <si>
    <t>Valor de la empresa (EV) - salida, publicado (TV de salida sin cambio: el EBITDA es el mismo)</t>
  </si>
  <si>
    <t>Valor terminal como % del EV - Gordon, publicado</t>
  </si>
  <si>
    <t>Valor terminal como % del EV - salida, publicado</t>
  </si>
  <si>
    <t>Valor del capital al cierre fiscal - Gordon = EV + no operativos - deuda neta - NCI (en libros) - todas las partidas similares a deuda</t>
  </si>
  <si>
    <t>Valor por acción hoy PUBLICADO - Gordon</t>
  </si>
  <si>
    <t>Valor del capital al cierre fiscal - salida = EV + no operativos - deuda neta - NCI (en libros) - prima a valor de mercado del NCI (reclamos del EV de los pares)</t>
  </si>
  <si>
    <t>Valor por acción hoy PUBLICADO - múltiplo de salida</t>
  </si>
  <si>
    <t>Prima / (descuento) frente al precio actual - Gordon</t>
  </si>
  <si>
    <t>Prima / (descuento) frente al precio actual - salida</t>
  </si>
  <si>
    <t>Siguiente dividendo por acción no pagado (12 meses)</t>
  </si>
  <si>
    <t>[sourced] DPS de consenso FY2027E, CIQ 2026-09-20; el dividendo de FY2026 (MXN 1.075) se pagó el 13-May-2026</t>
  </si>
  <si>
    <t>Valor a 12 meses - Gordon, publicado = valor hoy x (1 + ke) - siguiente dividendo no pagado</t>
  </si>
  <si>
    <t>Potencial de alza al valor a 12 meses - Gordon</t>
  </si>
  <si>
    <t>Retorno sobre capital nuevo implícito en el valor terminal publicado = g / (1 - FCFF_N+1 / NOPAT_N+1)</t>
  </si>
  <si>
    <t>Múltiplo de salida implícito en el valor de Gordon publicado</t>
  </si>
  <si>
    <t>Crecimiento implícito en el múltiplo de salida, publicado = (X x WACC - FCFF_N) / (X + FCFF_N - L_N)</t>
  </si>
  <si>
    <t>Prueba (a): crecimiento del pasivo por arrendamiento en FY2035 / (g x pasivo por arrendamiento FY2035)</t>
  </si>
  <si>
    <t>Puente de la base del motor a los valores publicados (MXN por acción hoy)</t>
  </si>
  <si>
    <t>Base del motor - Gordon</t>
  </si>
  <si>
    <t>Crecimiento de arrendamientos (Gordon: años explícitos y valor terminal)</t>
  </si>
  <si>
    <t>Base del motor - salida</t>
  </si>
  <si>
    <t>Reclamos consistentes con el EV de los pares (reincorporar los reclamos fuera del EV de los pares)</t>
  </si>
  <si>
    <t>Crecimiento de arrendamientos (salida: solo años explícitos)</t>
  </si>
  <si>
    <t>Juicios del puente sobre la base publicada (MXN por acción hoy)</t>
  </si>
  <si>
    <t>Gordon sin la prima a valor de mercado del NCI (NCI solo en libros)</t>
  </si>
  <si>
    <t>Salida sin la prima a valor de mercado del NCI</t>
  </si>
  <si>
    <t>Gordon con el reclamo de NCI a crecimiento cero (utilidad de NCI / ke)</t>
  </si>
  <si>
    <t>Casos terminales de menor retorno - Gordon, publicado: TV = NOPAT_N+1 x (1 - g / RONIC) / (WACC - g)</t>
  </si>
  <si>
    <t>RONIC</t>
  </si>
  <si>
    <t>TV</t>
  </si>
  <si>
    <t>Valor/acción</t>
  </si>
  <si>
    <t>vs publicado</t>
  </si>
  <si>
    <t>RONIC = WACC (el crecimiento no agrega valor)</t>
  </si>
  <si>
    <t>RONIC 12.5%</t>
  </si>
  <si>
    <t>RONIC 15.0%</t>
  </si>
  <si>
    <t>RONIC implícito en el valor terminal publicado</t>
  </si>
  <si>
    <t>La fórmula de generadores de valor pondera el crecimiento según su retorno: con RONIC = WACC el crecimiento no agrega nada. La última fila reproduce el valor publicado (control). Reinversión neta terminal total = 1 - FCFF_N+1 / NOPAT_N+1.</t>
  </si>
  <si>
    <t>ANÁLISIS DE SENSIBILIDAD - BASE PUBLICADA (factor de traslado y reclamo de NCI mantenidos al costo del capital propio base; la tabla de la base del motor está en el libro del modelo)</t>
  </si>
  <si>
    <t>Valor por acción hoy - Gordon, publicado: WACC (filas) x crecimiento perpetuo (columnas); n.m. donde WACC - g &lt; 1%</t>
  </si>
  <si>
    <t>WACC  \  variable de columna</t>
  </si>
  <si>
    <t>Valor por acción hoy - múltiplo de salida, publicado (reclamos del EV de los pares): WACC (filas) x EV/EBITDA de salida (columnas)</t>
  </si>
  <si>
    <t>Valor de la empresa (EV) - múltiplo de salida, publicado: WACC (filas) x EV/EBITDA de salida (columnas)</t>
  </si>
  <si>
    <t>Crecimiento perpetuo implícito del valor de salida, publicado: WACC (filas) x EV/EBITDA de salida (columnas)</t>
  </si>
  <si>
    <t>Prima / (descuento) frente al precio actual - múltiplo de salida, publicado: WACC (filas) x EV/EBITDA de salida (columnas)</t>
  </si>
  <si>
    <t>DCF inverso - lo que implica el precio de mercado</t>
  </si>
  <si>
    <t>Estructura según la pestaña 'Reverse_DCF' de S&amp;P. La plantilla obtiene el crecimiento implícito con una macro de VBA; aquí el procedimiento es Goal Seek de Excel sobre una sola celda de insumo (sin macros).</t>
  </si>
  <si>
    <t>1. Crecimiento perpetuo implícito en el precio de mercado - base PUBLICADA (principal)</t>
  </si>
  <si>
    <t>EV de mercado al cierre fiscal = precio / factor de traslado x acciones + deuda neta + NCI + todas las partidas similares a deuda - no operativos</t>
  </si>
  <si>
    <t>VP del FCFF explícito, base publicada</t>
  </si>
  <si>
    <t>Valor terminal implícito en el mercado (a la fecha de descuento de Gordon)</t>
  </si>
  <si>
    <t>Crecimiento perpetuo implícito en el precio de mercado = (TV x WACC - FCFF_N) / (TV + FCFF_N - L_N)</t>
  </si>
  <si>
    <t>Crecimiento perpetuo usado en el DCF</t>
  </si>
  <si>
    <t>1b. Crecimiento perpetuo implícito en el precio de mercado - base del motor (conciliación con el motor)</t>
  </si>
  <si>
    <t>EV de mercado al cierre fiscal = precio / factor de traslado x acciones + deuda neta + NCI + partidas similares a deuda - no operativos</t>
  </si>
  <si>
    <t>VP del FCFF explícito (del DCF)</t>
  </si>
  <si>
    <t>Crecimiento perpetuo implícito en el precio de mercado</t>
  </si>
  <si>
    <t>Validación: definido solo cuando el EV de mercado excede el VP de los flujos de efectivo explícitos.</t>
  </si>
  <si>
    <t>2. Ajuste del crecimiento de ventas implícito en el precio de mercado (los demás supuestos fijos)</t>
  </si>
  <si>
    <t>Procedimiento</t>
  </si>
  <si>
    <t>Datos &gt; Análisis de hipótesis &gt; Goal Seek: fijar 'DCF'!D192 (valor de Gordon publicado hoy) al precio actual cambiando 'DCF'!D42. Después, regresar el ajuste a 0.</t>
  </si>
  <si>
    <t>Solución de referencia - Gordon, publicado (bisección en Python, valuation/build/dcf_core.py)</t>
  </si>
  <si>
    <t>Ajuste uniforme sumado al supuesto de crecimiento de cada año proyectado; n.a. si no hay solución en -10%..+10%.</t>
  </si>
  <si>
    <t>Solución de referencia - múltiplo de salida, publicado</t>
  </si>
  <si>
    <t>Solución de referencia - Gordon, base del motor</t>
  </si>
  <si>
    <t>Solo para conciliación.</t>
  </si>
  <si>
    <t>Palancas clave - valor por acción hoy publicado (Gordon y salida), MXN</t>
  </si>
  <si>
    <t>Valores ESTÁTICOS calculados por valuation/build/dcf_core.py con los mismos insumos (base publicada: los arrendamientos crecen con las ventas; salida con reclamos consistentes con el EV de los pares); reconstruir para actualizar. Palancas dinámicas de un solo escenario: los insumos de ajuste en la hoja 'DCF'.</t>
  </si>
  <si>
    <t>Valor por acción hoy - Gordon: ajuste de capex/ventas (filas) x ajuste del margen bruto (columnas)</t>
  </si>
  <si>
    <t>Ajuste de capex (filas) / ajuste de margen bruto (columnas)</t>
  </si>
  <si>
    <t>Valor por acción hoy - múltiplo de salida: ajuste de capex/ventas (filas) x ajuste del margen bruto (columnas)</t>
  </si>
  <si>
    <t>Economía del valor terminal por ajuste de capex (Gordon, publicado)</t>
  </si>
  <si>
    <t>Ajuste de capex</t>
  </si>
  <si>
    <t>Valor / acción</t>
  </si>
  <si>
    <t>RONIC implícito en el TV</t>
  </si>
  <si>
    <t>Reinversión neta terminal / NOPAT</t>
  </si>
  <si>
    <t>Margen FCFF FY2035</t>
  </si>
  <si>
    <t>Ajuste del crecimiento de ventas (todos los segmentos, todos los años) - valor por acción hoy publicado</t>
  </si>
  <si>
    <t>Ajuste de crecimiento</t>
  </si>
  <si>
    <t>Gordon</t>
  </si>
  <si>
    <t>Salida</t>
  </si>
  <si>
    <t>Escenarios - valor por acción hoy publicado (MXN), un cambio a la vez contra la base</t>
  </si>
  <si>
    <t>Valores ESTÁTICOS calculados por valuation/build/dcf_core.py con los mismos insumos que la hoja DCF (base publicada); reconstruir para actualizar. La base es propuesta del asistente; cada una de las demás filas es una alternativa que el equipo puede adoptar. El precio objetivo y la recomendación corresponden al equipo.</t>
  </si>
  <si>
    <t>BASE</t>
  </si>
  <si>
    <t>Escenario</t>
  </si>
  <si>
    <t>ke</t>
  </si>
  <si>
    <t>g</t>
  </si>
  <si>
    <t>vs precio (G)</t>
  </si>
  <si>
    <t>vs precio (X)</t>
  </si>
  <si>
    <t>RONIC (TV)</t>
  </si>
  <si>
    <t>Qué cambia</t>
  </si>
  <si>
    <t>Base: ruta B, CRP ponderada por EBITDA ajustado FY2025 (aditiva); propuestas para supuestos y valor terminal</t>
  </si>
  <si>
    <t>valuation.yaml / drivers.yaml</t>
  </si>
  <si>
    <t>COSTO DE CAPITAL</t>
  </si>
  <si>
    <t>Ruta A local: M-Bono a 10 años como tasa libre de riesgo, sin prima de riesgo país</t>
  </si>
  <si>
    <t>ruta local preferida de la guía del proyecto</t>
  </si>
  <si>
    <t>Ruta B, CRP ponderada por ventas FY2025</t>
  </si>
  <si>
    <t>CRP 1.70%</t>
  </si>
  <si>
    <t>Ruta B, CRP ponderada por EBITDA ajustado promedio FY2023-25</t>
  </si>
  <si>
    <t>CRP 1.99%</t>
  </si>
  <si>
    <t>Ruta B, CRP ponderada por ventas promedio FY2023-25</t>
  </si>
  <si>
    <t>CRP 1.65%</t>
  </si>
  <si>
    <t>Ruta B, pesos de EBITDA, sin Argentina</t>
  </si>
  <si>
    <t>CRP 2.02%</t>
  </si>
  <si>
    <t>Ruta B, CRP escalada por beta: ke = rf + beta_l x (ERP + CRP)</t>
  </si>
  <si>
    <t>ERP de Damodaran ponderada por operaciones</t>
  </si>
  <si>
    <t>Beta: regresión de Bimbo a 5 años vs IPC (desapalancada)</t>
  </si>
  <si>
    <t>valuation/inputs/beta_regression.json</t>
  </si>
  <si>
    <t>Beta: igual, ajustada por Blume</t>
  </si>
  <si>
    <t>0.67 x b + 0.33</t>
  </si>
  <si>
    <t>Beta: regresión de Bimbo a 3 años (desapalancada)</t>
  </si>
  <si>
    <t>ventana de desvalorización 2023-24</t>
  </si>
  <si>
    <t>SUPUESTO DE FX EN NORTEAMÉRICA (base: depreciación del peso de ~1.5% anual dentro del crecimiento en MXN de 3.0%)</t>
  </si>
  <si>
    <t>PPP con metas de inflación (3% México vs 2% EE.UU.): la depreciación de 0.98% anual sustituye al 1.5%</t>
  </si>
  <si>
    <t>Crecimiento de NA FY2027+ 2.47%; participación de NA en FY2035 35.9%; g 4.06%; el crecimiento de NCI también cambió</t>
  </si>
  <si>
    <t>PPP con la inflación de la encuesta de Banxico (3.70% vs 2%): la depreciación de 1.67% anual sustituye al 1.5%</t>
  </si>
  <si>
    <t>Crecimiento de NA FY2027+ 3.17%; participación de NA en FY2035 37.3%; g 4.31%</t>
  </si>
  <si>
    <t>SENSIBILIDAD DEL CAPEX (capex FY2031-35 / ventas, que también fija el valor terminal; trayectoria base de 5.6% a 6.0%)</t>
  </si>
  <si>
    <t>Capex mantenido en 5.5% (nivel de FY2030)</t>
  </si>
  <si>
    <t>sin más aumento</t>
  </si>
  <si>
    <t>Capex 5.0% (consenso de Bimbo FY2027-28: alrededor de 5.0%)</t>
  </si>
  <si>
    <t>consenso de corto plazo, no una estimación de reinversión perpetua</t>
  </si>
  <si>
    <t>Capex 4.5%</t>
  </si>
  <si>
    <t>cerca de la D&amp;A FY2025 sin activos por derecho de uso (4.4%)</t>
  </si>
  <si>
    <t>Capex en la mediana del consenso de pares FY3 (3.8%)</t>
  </si>
  <si>
    <t>n.m.</t>
  </si>
  <si>
    <t>consenso de pares FY3; el RONIC muestra si es sostenible</t>
  </si>
  <si>
    <t>MÚLTIPLO DE SALIDA (solo método de salida)</t>
  </si>
  <si>
    <t>Mediana EV/EBITDA LTM del núcleo de panificación (5.53x)</t>
  </si>
  <si>
    <t>BIMBOA_PeerAnalysis_v3 (recalculado)</t>
  </si>
  <si>
    <t>Mediana EV/EBITDA LTM de todos los pares elegibles (8.27x)</t>
  </si>
  <si>
    <t>Múltiplo LTM propio de Bimbo sobre la misma base de reclamos (7.12x)</t>
  </si>
  <si>
    <t>Puente de Jun-26, NCI a valor de mercado con el ke base</t>
  </si>
  <si>
    <t>Precio MXN 58.60 (cierre de BMV el 16-Oct-2026). RONIC = rendimiento sobre el capital nuevo implícito en el valor terminal de Gordon; 'n.m.' cuando la reinversión terminal es cero o negativa. Las filas de capex son sensibilidades: un capex menor, con la D&amp;A mantenida en su trayectoria, eleva el RONIC implícito; un valor terminal sostenible requiere conciliar el capex, la depreciación no asociada a arrendamientos, la inversión en arrendamientos y el capital de trabajo (ver la tabla de menor rendimiento en la hoja DCF para el control cruzado con la fórmula de impulsores de valor).</t>
  </si>
  <si>
    <t>Las tasas de descuento de la prueba de deterioro de la compañía (RA25 p.265) son tasas contables posteriores a impuestos en cinco monedas; solo aparecen como contexto en los controles cruzados del libro WACC, sin valor implícito.</t>
  </si>
  <si>
    <t>El FCFF terminal de Gordon hace crecer el FCFF de FY2035 a la tasa g (convención del motor), por lo que el movimiento de capital de trabajo de FY2035 se traslada al año terminal; no se usa un año terminal de estado estable reconstruido.</t>
  </si>
  <si>
    <t>Verificación cruzada a la fecha de valuación (anclada en el último balance general, 30-Jun-2026)</t>
  </si>
  <si>
    <t>Independiente del traslado del motor desde el cierre fiscal. Sigue siendo una aproximación por traslado del 30-Jun a la fecha de valuación, no un balance general observado de octubre.</t>
  </si>
  <si>
    <t>FCFF real de 1H26 (misma definición que el FCFF proyectado)</t>
  </si>
  <si>
    <t>EBIT 1H26 (utilidad de operación)</t>
  </si>
  <si>
    <t>[sourced] Utilidad de operación 1Q26 10,030.8 + 2Q26 8,827.5, S&amp;P Capital IQ trimestral (data/capitaliq/income_statement.csv)</t>
  </si>
  <si>
    <t>Menos: ganancia no recurrente en el EBIT de 1H26 (venta de la participación en La Moderna, ~50 pb de las ventas de 1Q26)</t>
  </si>
  <si>
    <t>[calc] Ganancia por la venta en 1Q26 de las participaciones de 4% en Grupo La Moderna (valor en libros 418.1) y Pasta4all (valor en libros 105.2) (BMV 1Q26 XBRL p.94-95) = ~50 pb [guidance] x ventas netas de 1Q26 100,318.7 [sourced] (BMV 1Q26 XBRL [310000] p.14). El monto no se divulga: CFO, llamada de 1Q26 2026-04-29 p.7 ('no divulgamos ... el monto'; 'aproximadamente 50 puntos base' del margen EBITDA de Grupo Bimbo). Verificación cruzada con el reporte presentado: ganancia por venta de activos no circulantes de 1Q26 441.1, incl. una ganancia en propiedades, planta y equipo de 29.5 (BMV 1Q26 XBRL [520000] p.17; nota de otros ingresos de operación p.103); 1H26 436.2, incl. una pérdida en propiedades, planta y equipo de 19.5 (BMV 2Q26 XBRL p.17, p.105). Rango ~412-502. Mientras one_off_in_fy26 = 1, el monto se cancela entre FY2026E y 1H26, por lo que no mueve Dated_Check. Los recursos ya están en el efectivo de Jun-26</t>
  </si>
  <si>
    <t>Tasa de impuestos (supuesto de proyección FY2026)</t>
  </si>
  <si>
    <t>D&amp;A 1H26</t>
  </si>
  <si>
    <t>[sourced] D&amp;A total 1Q26 6,028.4 + 2Q26 6,096.7, flujo de efectivo trimestral de CIQ (la D&amp;A de CIQ queda ~3% por debajo de la base del reporte presentado)</t>
  </si>
  <si>
    <t>Capex 1H26 (positivo)</t>
  </si>
  <si>
    <t>[sourced] Propiedades, planta y equipo 6,892 + intangibles 50, BMV Jun-26 p.17-18 (wiki bimbo-cash-flow-and-fcf)</t>
  </si>
  <si>
    <t>Principal de arrendamientos pagado 1H26 (positivo)</t>
  </si>
  <si>
    <t>[calc] Pagos de arrendamientos 3,948.42 menos intereses de arrendamientos devengados 1,042.03, movimiento de arrendamientos 1H26 (BMV 2Q26 XBRL p.100; pagos = flujo de efectivo 688.02 + 3,260.40, p.18). Misma base que data/financials.csv: la división en efectivo de los intereses no se divulga (data/adjustments.md ajuste 6)</t>
  </si>
  <si>
    <t>Cambio en el capital de trabajo operativo 1H26, signo de flujo de efectivo (balances generales de Dec-25 a Jun-26; impuestos a la utilidad excluidos)</t>
  </si>
  <si>
    <t>[calc] Base operativa, signo de flujo de efectivo, balances generales de CIQ de Dec-25 a Jun-26 (data/capitaliq/balance_sheet.csv): cuentas por cobrar comerciales +772, otras cuentas y documentos por cobrar +214, inventarios -44, otros activos circulantes +1,833, cuentas por pagar -830, gastos acumulados +1,816, otros pasivos circulantes -220 = -2,009. Impuestos a la utilidad por pagar (+4,538, estacionales) excluidos, como en el DCF, y deducidos abajo como reclamo de junio. Los desgloses de junio de otros activos circulantes y de acumulaciones no se divulgan, por lo que se tratan como operativos [assumption]. Base de flujo de efectivo de CIQ -2,528 (memo). Nueva verificación con Codex 2026-10-17</t>
  </si>
  <si>
    <t>FCFF 1H26 = (EBIT - partida no recurrente) x (1 - tasa de impuestos) + D&amp;A - capex - principal de arrendamientos + cambio en capital de trabajo</t>
  </si>
  <si>
    <t>FCFF FY2026E, base publicada (DCF)</t>
  </si>
  <si>
    <t>¿La proyección FY2026E incluye la ganancia no recurrente de 1H26? (1 = sí, 0 = no)</t>
  </si>
  <si>
    <t>[assumption] 1 = la proyección FY2026E incluye la ganancia (la propuesta de margen de 14.7% para FY2026 sigue la guía de la administración elevada después de 1Q26, que la contenía); el FCFF FY2026E se lleva entonces a la misma base antes de derivar 2H26. Usar 0 si la proyección la excluye</t>
  </si>
  <si>
    <t>FCFF FY2026E en la misma base de partida no recurrente que 1H26 = FY2026E - indicador x partida no recurrente x (1 - tasa de impuestos)</t>
  </si>
  <si>
    <t>FCFF 2H26E = FY2026E (misma base) - 1H26 real</t>
  </si>
  <si>
    <t>Ambas mitades excluyen la ganancia: los recursos de la venta de La Moderna ya están en el efectivo al 30-Jun-2026. La línea de arrendamientos de 1H26 es principal; el crecimiento del saldo de arrendamientos de FY2026 (base publicada) cae en 2H26.</t>
  </si>
  <si>
    <t>Valor presente al 30-Jun-2026 (convención de mitad de periodo, mismo WACC)</t>
  </si>
  <si>
    <t>Periodo de descuento de 2H26 = 0.5 x (1 - desfase)</t>
  </si>
  <si>
    <t>VP del FCFF 2H26E</t>
  </si>
  <si>
    <t>VP del FCFF FY2027E, publicado (periodo = 1 + 0.5 - desfase)</t>
  </si>
  <si>
    <t>VP del FCFF FY2028E, publicado (periodo = 2 + 0.5 - desfase)</t>
  </si>
  <si>
    <t>VP del FCFF FY2029E, publicado (periodo = 3 + 0.5 - desfase)</t>
  </si>
  <si>
    <t>VP del FCFF FY2030E, publicado (periodo = 4 + 0.5 - desfase)</t>
  </si>
  <si>
    <t>VP del FCFF FY2031E, publicado (periodo = 5 + 0.5 - desfase)</t>
  </si>
  <si>
    <t>VP del FCFF FY2032E, publicado (periodo = 6 + 0.5 - desfase)</t>
  </si>
  <si>
    <t>VP del FCFF FY2033E, publicado (periodo = 7 + 0.5 - desfase)</t>
  </si>
  <si>
    <t>VP del FCFF FY2034E, publicado (periodo = 8 + 0.5 - desfase)</t>
  </si>
  <si>
    <t>VP del FCFF FY2035E, publicado (periodo = 9 + 0.5 - desfase)</t>
  </si>
  <si>
    <t>VP del valor terminal - Gordon, publicado (a la fecha del flujo final)</t>
  </si>
  <si>
    <t>VP del valor terminal - salida (fin de año FY2035)</t>
  </si>
  <si>
    <t>EV al 30-Jun-2026 - Gordon</t>
  </si>
  <si>
    <t>EV al 30-Jun-2026 - salida</t>
  </si>
  <si>
    <t>Puente al valor del capital al 30-Jun-2026 y traslado a la fecha de valuación</t>
  </si>
  <si>
    <t>Deuda total sin arrendamientos, 30-Jun-2026</t>
  </si>
  <si>
    <t>[sourced] Deuda financiera total al 30-Jun-2026 (nota de deuda de BMV Jun-26; comunicado de 2Q26 p.6)</t>
  </si>
  <si>
    <t>Pasivos por arrendamiento, 30-Jun-2026</t>
  </si>
  <si>
    <t>[sourced] Pasivos por arrendamiento 7,113 + 26,248, balance general de CIQ 2026 FQ2</t>
  </si>
  <si>
    <t>Efectivo y equivalentes, 30-Jun-2026</t>
  </si>
  <si>
    <t>[sourced] Efectivo y equivalentes al 30-Jun-2026 (CIQ; deuda neta 137,097 según el comunicado de 2Q26 p.6)</t>
  </si>
  <si>
    <t>Participación no controladora (en libros), 30-Jun-2026</t>
  </si>
  <si>
    <t>[sourced] Participación no controladora total al 30-Jun-2026, balance general de CIQ</t>
  </si>
  <si>
    <t>Prima a valor de mercado del NCI, 30-Jun-2026 = NCI a valor de mercado ('DCF', dinámico a ke) - valor en libros de junio</t>
  </si>
  <si>
    <t>Otras partidas similares a deuda, 30-Jun-2026 (misma política que el puente de Dec-25, excl. NCI)</t>
  </si>
  <si>
    <t>[calc] Misma política que Dec-25, 30-Jun-2026 (BMV 2Q26 XBRL, filings/bmv/Reporte_Definitivo_BMV_XBRL_Español_Jun_26.pdf): línea de beneficios a empleados 6,202 [sourced] p.13 x la proporción neta después de impuestos de Dec-25 0.6899 (4,489.35 / 6,507) = 4,278.92; provisiones 11,029.37 [sourced] p.59 = posiciones fiscales inciertas 8,692.48 + impuestos 1,318.41 (sin escudo fiscal) + laborales 511.64 y civiles 506.26 x 0.70 + otras 0.58 = 10,724.00; pasivos netos por derivados 1,864.18 [sourced] p.64-65 = pasivos 978.28 + 2,658.38 menos activos 784.79 + 987.70; MEPP 632.56 y compensaciones diferidas 635.34 después de impuestos. MEPP y compensaciones diferidas no se divulgan por separado en Jun-26: la línea de 'otras provisiones a largo plazo' es 13,011.49 (p.13), lo que deja 1,982.12 por encima de las provisiones (2,314.86 en Dec-25, formado por MEPP 985 + compensaciones diferidas 1,060 + otros 270), distribuido en las proporciones de Dec-25 [assumption]: MEPP 843.41 x 0.75, compensaciones diferidas 907.63 x 0.70. Antes: 19,343.67 con los valores de Dec-25 arrastrados. El reclamo de NCI se agrega de forma dinámica (valor de mercado menos valor en libros de junio)</t>
  </si>
  <si>
    <t>Impuestos a la utilidad por pagar estacionales al 30-Jun-2026 (junio menos el nivel de Dec-25; pagados en 2H26)</t>
  </si>
  <si>
    <t>[calc] Impuestos a la utilidad por pagar 5,597.05 (Jun-26) menos 1,059.0 (Dec-25), balance general de CIQ: impuestos devengados sobre las utilidades de 1H26 y pagados en 2H26. El nivel de Dec-25 permanece en los saldos no operativos constantes, como en el DCF. Se deduce en ambos métodos porque eleva el efectivo de junio</t>
  </si>
  <si>
    <t>Activos no operativos, 30-Jun-2026 (misma política que valuation.yaml)</t>
  </si>
  <si>
    <t>[sourced] Inversiones por el método de participación al 30-Jun-2026, balance general de CIQ</t>
  </si>
  <si>
    <t>Valor del capital al 30-Jun-2026 - Gordon (todos los reclamos)</t>
  </si>
  <si>
    <t>Valor del capital al 30-Jun-2026 - salida (reclamos consistentes con el EV de los pares: otras partidas similares a deuda reincorporadas)</t>
  </si>
  <si>
    <t>Días del 30-Jun-2026 a la fecha de valuación</t>
  </si>
  <si>
    <t>[calc] 30-Jun-2026 al 16-Oct-2026</t>
  </si>
  <si>
    <t>Factor de traslado = (1 + ke) ^ (días / 365)</t>
  </si>
  <si>
    <t>Distribuciones pagadas entre el 30-Jun y la fecha de valuación (dividendos + recompras)</t>
  </si>
  <si>
    <t>[unverified] Recompras en July 2026 por 1,340,500 acciones a ~MXN 57 (monto en efectivo no divulgado); dividendo pagado el 13-May-2026, antes del 30-Jun</t>
  </si>
  <si>
    <t>Acciones en circulación a la fecha de valuación, millones</t>
  </si>
  <si>
    <t>[sourced] Acciones en circulación al 29-Jul-2026, aviso de la BMV (wacc_inputs A8)</t>
  </si>
  <si>
    <t>Valor por acción a la fecha de valuación - Gordon</t>
  </si>
  <si>
    <t>Valor por acción a la fecha de valuación - salida</t>
  </si>
  <si>
    <t>Conciliación con el traslado desde el cierre fiscal (base publicada, 'DCF')</t>
  </si>
  <si>
    <t>Valor hoy por traslado desde el cierre fiscal - Gordon, publicado ('DCF')</t>
  </si>
  <si>
    <t>Valor a la fecha de valuación - Gordon</t>
  </si>
  <si>
    <t>Diferencia - Gordon (valor a la fecha - traslado)</t>
  </si>
  <si>
    <t>Diferencia - Gordon, % del valor por traslado desde el cierre fiscal</t>
  </si>
  <si>
    <t>Valor hoy por traslado desde el cierre fiscal - salida, publicado</t>
  </si>
  <si>
    <t>Valor a la fecha de valuación - salida</t>
  </si>
  <si>
    <t>Diferencia - salida, % del valor por traslado desde el cierre fiscal</t>
  </si>
  <si>
    <t>Qué explica la diferencia (se completa desde la construcción del libro; con etiquetas)</t>
  </si>
  <si>
    <t>El motor traslada el valor del capital de Dec-25 al costo del capital propio; la verificación a la fecha de valuación parte del balance general al 30-Jun-2026, que ya refleja el dividendo del 13-May-2026 (MXN 4,627m) y las recompras de 1H26 (MXN 496m).</t>
  </si>
  <si>
    <t>La deuda neta sin IFRS 16 bajó de 145,128 (Dec-25) a 137,097 (Jun-26), apoyada por la fortaleza del peso sobre la deuda en USD y la generación de efectivo de 1H26.</t>
  </si>
  <si>
    <t>Sigue siendo una aproximación: el traslado del 30-Jun al 16-Oct usa el costo del capital propio, no un balance general observado de octubre.</t>
  </si>
  <si>
    <t>Conciliación con el motor del modelo (model/model-summary.json)</t>
  </si>
  <si>
    <t>Los valores del motor se pegan del resumen del motor (constantes); los valores del libro son fórmulas dinámicas. Tolerancia: diferencia relativa menor a 1e-6.</t>
  </si>
  <si>
    <t>Concepto</t>
  </si>
  <si>
    <t>Resumen del motor</t>
  </si>
  <si>
    <t>Este libro</t>
  </si>
  <si>
    <t>Diferencia</t>
  </si>
  <si>
    <t>Dif. rel.</t>
  </si>
  <si>
    <t>Estado</t>
  </si>
  <si>
    <t>Réplica en Python</t>
  </si>
  <si>
    <t>Dif. rel. vs réplica</t>
  </si>
  <si>
    <t>Estado vs réplica</t>
  </si>
  <si>
    <t>EV - Gordon</t>
  </si>
  <si>
    <t>EV - salida</t>
  </si>
  <si>
    <t>Valor por acción hoy - Gordon</t>
  </si>
  <si>
    <t>Valor por acción hoy - salida</t>
  </si>
  <si>
    <t>Precio objetivo a 12 meses - Gordon</t>
  </si>
  <si>
    <t>Múltiplo de salida implícito</t>
  </si>
  <si>
    <t>Crecimiento perpetuo (g) implícito en el precio</t>
  </si>
  <si>
    <t>TV como % del EV - Gordon</t>
  </si>
  <si>
    <t>FCFF FY2026E</t>
  </si>
  <si>
    <t>FCFF FY2027E</t>
  </si>
  <si>
    <t>FCFF FY2028E</t>
  </si>
  <si>
    <t>FCFF FY2029E</t>
  </si>
  <si>
    <t>FCFF FY2030E</t>
  </si>
  <si>
    <t>FCFF FY2031E</t>
  </si>
  <si>
    <t>FCFF FY2032E</t>
  </si>
  <si>
    <t>FCFF FY2033E</t>
  </si>
  <si>
    <t>FCFF FY2034E</t>
  </si>
  <si>
    <t>FCFF FY2035E</t>
  </si>
  <si>
    <t>EBITDA FY2026E</t>
  </si>
  <si>
    <t>EBITDA FY2027E</t>
  </si>
  <si>
    <t>EBITDA FY2028E</t>
  </si>
  <si>
    <t>EBITDA FY2029E</t>
  </si>
  <si>
    <t>EBITDA FY2030E</t>
  </si>
  <si>
    <t>EBITDA FY2031E</t>
  </si>
  <si>
    <t>EBITDA FY2032E</t>
  </si>
  <si>
    <t>EBITDA FY2033E</t>
  </si>
  <si>
    <t>EBITDA FY2034E</t>
  </si>
  <si>
    <t>EBITDA FY2035E</t>
  </si>
  <si>
    <t>Factor de descuento FY2026E (solo réplica)</t>
  </si>
  <si>
    <t>no está en el resumen</t>
  </si>
  <si>
    <t>solo réplica</t>
  </si>
  <si>
    <t>Factor de descuento FY2027E (solo réplica)</t>
  </si>
  <si>
    <t>Factor de descuento FY2028E (solo réplica)</t>
  </si>
  <si>
    <t>Factor de descuento FY2029E (solo réplica)</t>
  </si>
  <si>
    <t>Factor de descuento FY2030E (solo réplica)</t>
  </si>
  <si>
    <t>Factor de descuento FY2031E (solo réplica)</t>
  </si>
  <si>
    <t>Factor de descuento FY2032E (solo réplica)</t>
  </si>
  <si>
    <t>Factor de descuento FY2033E (solo réplica)</t>
  </si>
  <si>
    <t>Factor de descuento FY2034E (solo réplica)</t>
  </si>
  <si>
    <t>Factor de descuento FY2035E (solo réplica)</t>
  </si>
  <si>
    <t>Suma del VP del FCFF (solo réplica)</t>
  </si>
  <si>
    <t>Valor terminal - Gordon (solo réplica)</t>
  </si>
  <si>
    <t>VP del valor terminal - Gordon (solo réplica)</t>
  </si>
  <si>
    <t>Valor terminal - salida (solo réplica)</t>
  </si>
  <si>
    <t>VP del valor terminal - salida (solo réplica)</t>
  </si>
  <si>
    <t>Deuda neta con arrendamientos (solo réplica)</t>
  </si>
  <si>
    <t>Acciones (solo réplica)</t>
  </si>
  <si>
    <t>Factor de traslado (solo réplica)</t>
  </si>
  <si>
    <t>FCFF FY2035E PUBLICADO (solo réplica)</t>
  </si>
  <si>
    <t>Pasivo por arrendamiento FY2035E PUBLICADO (solo réplica)</t>
  </si>
  <si>
    <t>Suma del VP del FCFF PUBLICADA (solo réplica)</t>
  </si>
  <si>
    <t>Valor terminal PUBLICADO - Gordon (solo réplica)</t>
  </si>
  <si>
    <t>EV PUBLICADO - Gordon (solo réplica)</t>
  </si>
  <si>
    <t>EV PUBLICADO - salida (solo réplica)</t>
  </si>
  <si>
    <t>Partidas similares a deuda, prima del NCI dinámica a ke (solo réplica)</t>
  </si>
  <si>
    <t>Valor por acción hoy PUBLICADO - Gordon (solo réplica)</t>
  </si>
  <si>
    <t>Valor por acción hoy PUBLICADO - salida (solo réplica)</t>
  </si>
  <si>
    <t>RONIC PUBLICADO implícito en el valor terminal (solo réplica)</t>
  </si>
  <si>
    <t>Crecimiento PUBLICADO implícito en el múltiplo de salida (solo réplica)</t>
  </si>
  <si>
    <t>Gordon PUBLICADO con RONIC = WACC (solo réplica)</t>
  </si>
  <si>
    <t>Crecimiento perpetuo (g) PUBLICADO implícito en el precio (solo réplica)</t>
  </si>
  <si>
    <t>Filas verificadas contra el resumen del motor</t>
  </si>
  <si>
    <t>Filas OK vs motor (debe igualar el conteo anterior)</t>
  </si>
  <si>
    <t>Filas verificadas contra la réplica en Python</t>
  </si>
  <si>
    <t>Filas OK vs réplica (debe igualar el conteo anterior)</t>
  </si>
  <si>
    <t>Insumos y fuentes</t>
  </si>
  <si>
    <t>Valor</t>
  </si>
  <si>
    <t>Unidad</t>
  </si>
  <si>
    <t>Etiqueta</t>
  </si>
  <si>
    <t>Fuente</t>
  </si>
  <si>
    <t>Fecha</t>
  </si>
  <si>
    <t>Precio de la acción, cierre oficial de la BMV (PPP)</t>
  </si>
  <si>
    <t>MXN</t>
  </si>
  <si>
    <t>sourced</t>
  </si>
  <si>
    <t>BMV 'Estadisticas de operacion' BIMBO serie A (https://www.bmv.com.mx/es/emisoras/estadisticas/BIMBO-5163): PPP 58.60, último 58.62, anterior 57.97; investing.com / Yahoo coinciden (wacc_inputs A1)</t>
  </si>
  <si>
    <t>2026-10-16</t>
  </si>
  <si>
    <t>Máximo / mínimo de 52 semanas</t>
  </si>
  <si>
    <t>68.67 / 53.03</t>
  </si>
  <si>
    <t>CIQ corporate_issuance.csv (wacc_inputs A4-A5)</t>
  </si>
  <si>
    <t>2026-10-06</t>
  </si>
  <si>
    <t>Acciones en circulación</t>
  </si>
  <si>
    <t>m</t>
  </si>
  <si>
    <t>Aviso de la BMV (wacc_inputs A8)</t>
  </si>
  <si>
    <t>2026-07-29</t>
  </si>
  <si>
    <t>Capitalización de mercado</t>
  </si>
  <si>
    <t>MXN m</t>
  </si>
  <si>
    <t>calc</t>
  </si>
  <si>
    <t>precio x acciones (wacc_inputs A9)</t>
  </si>
  <si>
    <t>M-Bono 10y</t>
  </si>
  <si>
    <t>%</t>
  </si>
  <si>
    <t>Tasas de S&amp;P Capital IQ</t>
  </si>
  <si>
    <t>UST 10y</t>
  </si>
  <si>
    <t>CDS 5y de México</t>
  </si>
  <si>
    <t>S&amp;P Capital IQ CDS</t>
  </si>
  <si>
    <t>ERP implícita de Damodaran</t>
  </si>
  <si>
    <t>Página principal de Damodaran</t>
  </si>
  <si>
    <t>2026-10-01</t>
  </si>
  <si>
    <t>Diferencial de impago / CRP de México de Damodaran</t>
  </si>
  <si>
    <t>1.75% / 2.72%</t>
  </si>
  <si>
    <t>Damodaran ctrypremJuly26.xlsx (actualización de julio de 2026; México Baa3)</t>
  </si>
  <si>
    <t>2026-07-01</t>
  </si>
  <si>
    <t>Beta desapalancada de Damodaran, Food Processing, Global / US</t>
  </si>
  <si>
    <t>0.53 / 0.46</t>
  </si>
  <si>
    <t>x</t>
  </si>
  <si>
    <t>Betas de Damodaran; betaGlobal.xls 'Date updated' 5-Jan-2026 (https://pages.stern.nyu.edu/~adamodar/pc/datasets/betaGlobal.xls, consultado el 2026-10-17); encabezado de BetasGlobal.html 'January 2026', pie de página 'January 2025' desactualizado</t>
  </si>
  <si>
    <t>2026-01-05</t>
  </si>
  <si>
    <t>Crecimiento del PIB real de México 2029-31 / inflación del IPC 2029-31</t>
  </si>
  <si>
    <t>2.1% / 3.0%</t>
  </si>
  <si>
    <t>FMI WEO October 2026, DataMapper NGDP_RPCH y PCPIPCH (https://www.imf.org/external/datamapper/api/v1/NGDP_RPCH/MEX, última modificación 2026-10-08)</t>
  </si>
  <si>
    <t>2026-10-08</t>
  </si>
  <si>
    <t>Crecimiento del PIB real de México, promedio de los próximos 10 años (2027-36), promedio / mediana</t>
  </si>
  <si>
    <t>1.88% / 1.80%</t>
  </si>
  <si>
    <t>Banxico, Encuesta sobre las Expectativas de los Especialistas en Economia del Sector Privado: septiembre 2026 (publicada el 1-Oct-2026), Cuadro 6 p.8</t>
  </si>
  <si>
    <t>Provisiones incl. posiciones fiscales inciertas (UTP 8,692; impuestos 1,318; laborales 512; civiles 506; otras 1)</t>
  </si>
  <si>
    <t>BMV 2Q26 XBRL p.59 (pasivos contingentes)</t>
  </si>
  <si>
    <t>2026-06-30</t>
  </si>
  <si>
    <t>Línea de otras provisiones a largo plazo (provisiones + MEPP + compensaciones diferidas + otras)</t>
  </si>
  <si>
    <t>BMV 2Q26 XBRL [210000] p.13 (12,999.0 en Dec-25)</t>
  </si>
  <si>
    <t>Pasivos por derivados 978 + 2,658 menos activos 785 + 988 (neto 1,864)</t>
  </si>
  <si>
    <t>BMV 2Q26 XBRL p.64-65 (instrumentos financieros por categoría)</t>
  </si>
  <si>
    <t>Pagos de arrendamientos / intereses devengados 1H26</t>
  </si>
  <si>
    <t>3,948 / 1,042</t>
  </si>
  <si>
    <t>BMV 2Q26 XBRL p.100 (movimiento de arrendamientos)</t>
  </si>
  <si>
    <t>Beta publicada de Bimbo</t>
  </si>
  <si>
    <t>unverified</t>
  </si>
  <si>
    <t>investing.com (ventana no indicada)</t>
  </si>
  <si>
    <t>Rendimiento de BIMBO 23L</t>
  </si>
  <si>
    <t>Exportación de LSEG (precios ~10-Oct)</t>
  </si>
  <si>
    <t>2026-10-10</t>
  </si>
  <si>
    <t>Deuda / arrendamientos / efectivo, 31-Dec-2025</t>
  </si>
  <si>
    <t>153,663 / 34,790 / 8,535</t>
  </si>
  <si>
    <t>EEFF25 p.12 vía data/financials.csv</t>
  </si>
  <si>
    <t>2025-12-31</t>
  </si>
  <si>
    <t>Deuda / arrendamientos / efectivo, 30-Jun-2026</t>
  </si>
  <si>
    <t>153,660 / 33,361 / 16,563</t>
  </si>
  <si>
    <t>BMV Jun-26; CIQ</t>
  </si>
  <si>
    <t>Línea de beneficios a empleados: retiro 2,130 + bienestar de EUA 3,272 + ajuste bruto de activos del plan 362 + bonos a largo plazo 743</t>
  </si>
  <si>
    <t>EEFF25 p.75 nota 18</t>
  </si>
  <si>
    <t>Otros pasivos a largo plazo: provisiones 10,684 (UTP 8,537; impuestos 1,196; laborales 439; civiles 511; otras 1) + MEPP 985 + compensaciones diferidas 1,060 + otros 270</t>
  </si>
  <si>
    <t>EEFF25 p.79-80 nota 19</t>
  </si>
  <si>
    <t>Pasivos netos por derivados (3,902 - 717)</t>
  </si>
  <si>
    <t>EEFF25 p.12 (data/adjustments.md)</t>
  </si>
  <si>
    <t>Pasivo por reclamaciones de autoseguro de EUA (en otras cuentas por pagar y pasivos acumulados: operativo)</t>
  </si>
  <si>
    <t>EEFF25 p.36</t>
  </si>
  <si>
    <t>Inversiones en asociadas</t>
  </si>
  <si>
    <t>EEFF25 p.12</t>
  </si>
  <si>
    <t>Utilidad de NCI 1H26 (anualizada 1,814)</t>
  </si>
  <si>
    <t>CIQ trimestral: 1Q26 436 + 2Q26 471</t>
  </si>
  <si>
    <t>Utilidad de NCI FY23 / FY24 / FY25; extracción mediante entidades estructuradas; dividendos de NCI</t>
  </si>
  <si>
    <t>1,445 / 1,499 / 1,813; 1,851 / 3,120 / 2,240; 91 / 109 / 135</t>
  </si>
  <si>
    <t>EEFF25 p.13, p.15</t>
  </si>
  <si>
    <t>Dividendo de 2026 pagado (13-May)</t>
  </si>
  <si>
    <t>MXN/acción</t>
  </si>
  <si>
    <t>wacc_inputs C1-C4</t>
  </si>
  <si>
    <t>2026-05-13</t>
  </si>
  <si>
    <t>Dividendo por acción de consenso FY2027E (próximos 12 meses)</t>
  </si>
  <si>
    <t>Consenso de CIQ (data/capitaliq/consensus.csv)</t>
  </si>
  <si>
    <t>2026-09-20</t>
  </si>
  <si>
    <t>Supuestos: model/drivers.yaml (etiqueta, justificación y pilar por supuesto). Histórico: data/financials.csv (documento y página por cifra) y data/adjustments.md.</t>
  </si>
  <si>
    <t>Controles de integridad</t>
  </si>
  <si>
    <t>WACC - g de al menos 2 puntos</t>
  </si>
  <si>
    <t>g no supera el crecimiento nominal del PIB de largo plazo</t>
  </si>
  <si>
    <t>Los pesos suman 100%</t>
  </si>
  <si>
    <t>Conciliación con el motor: todas las filas OK (conteo de OK = filas verificadas)</t>
  </si>
  <si>
    <t>Conciliación con la réplica en Python: todas las filas OK</t>
  </si>
  <si>
    <t>TV de Gordon como % del EV menor a 85% (publicado)</t>
  </si>
  <si>
    <t>Múltiplo de salida implícito en el valor de Gordon publicado dentro de un factor de dos del múltiplo de salida (0.5x a 2x)</t>
  </si>
  <si>
    <t>El crecimiento de arrendamientos no puede agregar valor: Gordon publicado &lt;= Gordon de la base del motor</t>
  </si>
  <si>
    <t>Prueba (a) de arrendamientos: crecimiento del pasivo por arrendamiento en FY2035 dentro de 10% de g x pasivo por arrendamiento FY2035</t>
  </si>
  <si>
    <t>La tabla de casos terminales de menor retorno reproduce el valor de Gordon publicado con el RONIC implícito</t>
  </si>
  <si>
    <t>RONIC publicado mayor que el WACC (el crecimiento perpetuo crea valor)</t>
  </si>
  <si>
    <t>Verificación cruzada a la fecha de valuación dentro de 5% del traslado desde el cierre fiscal (Gordon y salida, publicado)</t>
  </si>
  <si>
    <t>Escenarios: la fila base es igual a los resultados clave publicados (Gordon y salida)</t>
  </si>
  <si>
    <t>El capital de trabajo operativo FY2021 cuadra con data/adjustments.md (-14,860)</t>
  </si>
  <si>
    <t>El capital de trabajo operativo FY2022 cuadra con data/adjustments.md (-15,353)</t>
  </si>
  <si>
    <t>El capital de trabajo operativo FY2023 cuadra con data/adjustments.md (-8,599)</t>
  </si>
  <si>
    <t>El capital de trabajo operativo FY2024 cuadra con data/adjustments.md (-6,279)</t>
  </si>
  <si>
    <t>El capital de trabajo operativo FY2025 cuadra con data/adjustments.md (-6,232)</t>
  </si>
  <si>
    <t>Los componentes similares a deuda (prima del NCI dinámica a ke) suman valuation.yaml debt_like_items</t>
  </si>
  <si>
    <t>Los segmentos suman las ventas FY2021</t>
  </si>
  <si>
    <t>Los segmentos suman las ventas FY2022</t>
  </si>
  <si>
    <t>Los segmentos suman las ventas FY2023</t>
  </si>
  <si>
    <t>Los segmentos suman las ventas FY2024</t>
  </si>
  <si>
    <t>Los segmentos suman las ventas FY2025</t>
  </si>
  <si>
    <t>Los errores de fórmula se revisan tras el recálculo con valuation/build/scan_errors.py.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</si>
</sst>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quot;-&quot;"/>
    <numFmt numFmtId="166" formatCode="0.00%;\(0.00%\);&quot;-&quot;"/>
    <numFmt numFmtId="167" formatCode="0.00&quot;x&quot;"/>
    <numFmt numFmtId="168" formatCode="#,##0;\(#,##0\);&quot;-&quot;"/>
    <numFmt numFmtId="169" formatCode="0.000"/>
    <numFmt numFmtId="170" formatCode="0.0"/>
    <numFmt numFmtId="171" formatCode="0.0000"/>
    <numFmt numFmtId="172" formatCode="#,##0.0"/>
    <numFmt numFmtId="173" formatCode="#,##0.0000"/>
  </numFmts>
  <fonts count="10" x14ac:knownFonts="1">
    <font>
      <sz val="11"/>
      <color theme="1"/>
      <name val="Calibri"/>
      <family val="2"/>
      <scheme val="minor"/>
    </font>
    <font>
      <b/>
      <sz val="14"/>
      <color rgb="FF1F3864"/>
      <name val="Calibri"/>
    </font>
    <font>
      <i/>
      <sz val="10"/>
      <color rgb="FF595959"/>
      <name val="Calibri"/>
    </font>
    <font>
      <i/>
      <sz val="9"/>
      <color rgb="FF595959"/>
      <name val="Calibri"/>
    </font>
    <font>
      <b/>
      <sz val="10"/>
      <color rgb="FFFFFFFF"/>
      <name val="Calibri"/>
    </font>
    <font>
      <sz val="10"/>
      <name val="Calibri"/>
    </font>
    <font>
      <sz val="10"/>
      <color rgb="FF0000FF"/>
      <name val="Calibri"/>
    </font>
    <font>
      <b/>
      <sz val="10"/>
      <name val="Calibri"/>
    </font>
    <font>
      <b/>
      <sz val="10"/>
      <color rgb="FF0000FF"/>
      <name val="Calibri"/>
    </font>
    <font>
      <sz val="10"/>
      <color rgb="FF00803C"/>
      <name val="Calibri"/>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
      <patternFill patternType="solid">
        <fgColor rgb="FFE2EFDA"/>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5" fillId="0" borderId="0" xfId="0" applyFont="1"/>
    <xf numFmtId="0" fontId="7" fillId="0" borderId="0" xfId="0" applyFont="1"/>
    <xf numFmtId="0" fontId="3" fillId="0" borderId="0" xfId="0" applyFont="1"/>
    <xf numFmtId="0" fontId="4" fillId="2" borderId="0" xfId="0" applyFont="1" applyFill="1"/>
    <xf numFmtId="0" fontId="0" fillId="2" borderId="0" xfId="0" applyFill="1"/>
    <xf numFmtId="164" fontId="7" fillId="5" borderId="0" xfId="0" applyNumberFormat="1" applyFont="1" applyFill="1"/>
    <xf numFmtId="164" fontId="5" fillId="5" borderId="0" xfId="0" applyNumberFormat="1" applyFont="1" applyFill="1"/>
    <xf numFmtId="165" fontId="5" fillId="0" borderId="0" xfId="0" applyNumberFormat="1" applyFont="1"/>
    <xf numFmtId="166" fontId="5" fillId="0" borderId="0" xfId="0" applyNumberFormat="1" applyFont="1"/>
    <xf numFmtId="167" fontId="5" fillId="0" borderId="0" xfId="0" applyNumberFormat="1" applyFont="1"/>
    <xf numFmtId="168" fontId="5" fillId="0" borderId="0" xfId="0" applyNumberFormat="1" applyFont="1"/>
    <xf numFmtId="164" fontId="5" fillId="0" borderId="0" xfId="0" applyNumberFormat="1" applyFont="1"/>
    <xf numFmtId="166" fontId="6" fillId="3" borderId="0" xfId="0" applyNumberFormat="1" applyFont="1" applyFill="1"/>
    <xf numFmtId="169" fontId="6" fillId="3" borderId="0" xfId="0" applyNumberFormat="1" applyFont="1" applyFill="1"/>
    <xf numFmtId="165" fontId="6" fillId="3" borderId="0" xfId="0" applyNumberFormat="1" applyFont="1" applyFill="1"/>
    <xf numFmtId="169" fontId="5" fillId="0" borderId="0" xfId="0" applyNumberFormat="1" applyFont="1"/>
    <xf numFmtId="166" fontId="7" fillId="0" borderId="0" xfId="0" applyNumberFormat="1" applyFont="1"/>
    <xf numFmtId="2" fontId="6" fillId="3" borderId="0" xfId="0" applyNumberFormat="1" applyFont="1" applyFill="1"/>
    <xf numFmtId="167" fontId="6" fillId="3" borderId="0" xfId="0" applyNumberFormat="1" applyFont="1" applyFill="1"/>
    <xf numFmtId="0" fontId="4" fillId="2" borderId="0" xfId="0" applyFont="1" applyFill="1" applyAlignment="1">
      <alignment horizontal="right"/>
    </xf>
    <xf numFmtId="170" fontId="6" fillId="3" borderId="0" xfId="0" applyNumberFormat="1" applyFont="1" applyFill="1"/>
    <xf numFmtId="168" fontId="6" fillId="3" borderId="0" xfId="0" applyNumberFormat="1" applyFont="1" applyFill="1"/>
    <xf numFmtId="168" fontId="8" fillId="3" borderId="0" xfId="0" applyNumberFormat="1" applyFont="1" applyFill="1"/>
    <xf numFmtId="168" fontId="7" fillId="0" borderId="0" xfId="0" applyNumberFormat="1" applyFont="1"/>
    <xf numFmtId="1" fontId="6" fillId="0" borderId="0" xfId="0" applyNumberFormat="1" applyFont="1"/>
    <xf numFmtId="2" fontId="5" fillId="0" borderId="0" xfId="0" applyNumberFormat="1" applyFont="1"/>
    <xf numFmtId="171" fontId="5" fillId="0" borderId="0" xfId="0" applyNumberFormat="1" applyFont="1"/>
    <xf numFmtId="0" fontId="7" fillId="4" borderId="0" xfId="0" applyFont="1" applyFill="1"/>
    <xf numFmtId="0" fontId="0" fillId="4" borderId="0" xfId="0" applyFill="1"/>
    <xf numFmtId="172" fontId="6" fillId="3" borderId="0" xfId="0" applyNumberFormat="1" applyFont="1" applyFill="1"/>
    <xf numFmtId="164" fontId="6" fillId="3" borderId="0" xfId="0" applyNumberFormat="1" applyFont="1" applyFill="1"/>
    <xf numFmtId="164" fontId="7" fillId="0" borderId="0" xfId="0" applyNumberFormat="1" applyFont="1"/>
    <xf numFmtId="168" fontId="9" fillId="0" borderId="0" xfId="0" applyNumberFormat="1" applyFont="1"/>
    <xf numFmtId="166" fontId="9" fillId="0" borderId="0" xfId="0" applyNumberFormat="1" applyFont="1"/>
    <xf numFmtId="165" fontId="9" fillId="0" borderId="0" xfId="0" applyNumberFormat="1" applyFont="1"/>
    <xf numFmtId="11" fontId="5" fillId="0" borderId="0" xfId="0" applyNumberFormat="1" applyFont="1"/>
    <xf numFmtId="49" fontId="5" fillId="0" borderId="0" xfId="0" applyNumberFormat="1" applyFont="1"/>
    <xf numFmtId="164" fontId="9" fillId="0" borderId="0" xfId="0" applyNumberFormat="1" applyFont="1"/>
    <xf numFmtId="167" fontId="9" fillId="0" borderId="0" xfId="0" applyNumberFormat="1" applyFont="1"/>
    <xf numFmtId="171" fontId="9" fillId="0" borderId="0" xfId="0" applyNumberFormat="1" applyFont="1"/>
    <xf numFmtId="171" fontId="6" fillId="3" borderId="0" xfId="0" applyNumberFormat="1" applyFont="1" applyFill="1"/>
    <xf numFmtId="172" fontId="9" fillId="0" borderId="0" xfId="0" applyNumberFormat="1" applyFont="1"/>
    <xf numFmtId="169" fontId="9" fillId="0" borderId="0" xfId="0" applyNumberFormat="1" applyFont="1"/>
    <xf numFmtId="1" fontId="5" fillId="0" borderId="0" xfId="0" applyNumberFormat="1" applyFont="1"/>
    <xf numFmtId="4" fontId="6" fillId="3" borderId="0" xfId="0" applyNumberFormat="1" applyFont="1" applyFill="1"/>
    <xf numFmtId="173" fontId="6" fillId="3"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tabSelected="1" workbookViewId="0"/>
  </sheetViews>
  <sheetFormatPr defaultRowHeight="15" x14ac:dyDescent="0.25"/>
  <cols>
    <col min="2" max="2" width="120" customWidth="1"/>
  </cols>
  <sheetData>
    <row r="2" spans="2:2" ht="18.75" customHeight="1" x14ac:dyDescent="0.3">
      <c r="B2" s="1" t="s">
        <v>0</v>
      </c>
    </row>
    <row r="3" spans="2:2" x14ac:dyDescent="0.25">
      <c r="B3" s="2" t="s">
        <v>1</v>
      </c>
    </row>
    <row r="4" spans="2:2" x14ac:dyDescent="0.25">
      <c r="B4" s="3"/>
    </row>
    <row r="5" spans="2:2" x14ac:dyDescent="0.25">
      <c r="B5" s="4" t="s">
        <v>2</v>
      </c>
    </row>
    <row r="6" spans="2:2" x14ac:dyDescent="0.25">
      <c r="B6" s="3" t="s">
        <v>3</v>
      </c>
    </row>
    <row r="7" spans="2:2" x14ac:dyDescent="0.25">
      <c r="B7" s="3" t="s">
        <v>4</v>
      </c>
    </row>
    <row r="8" spans="2:2" x14ac:dyDescent="0.25">
      <c r="B8" s="3" t="s">
        <v>5</v>
      </c>
    </row>
    <row r="9" spans="2:2" x14ac:dyDescent="0.25">
      <c r="B9" s="3" t="s">
        <v>6</v>
      </c>
    </row>
    <row r="10" spans="2:2" x14ac:dyDescent="0.25">
      <c r="B10" s="3" t="s">
        <v>7</v>
      </c>
    </row>
    <row r="11" spans="2:2" x14ac:dyDescent="0.25">
      <c r="B11" s="3" t="s">
        <v>8</v>
      </c>
    </row>
    <row r="12" spans="2:2" x14ac:dyDescent="0.25">
      <c r="B12" s="3" t="s">
        <v>9</v>
      </c>
    </row>
    <row r="13" spans="2:2" x14ac:dyDescent="0.25">
      <c r="B13" s="3" t="s">
        <v>10</v>
      </c>
    </row>
    <row r="14" spans="2:2" x14ac:dyDescent="0.25">
      <c r="B14" s="3" t="s">
        <v>11</v>
      </c>
    </row>
    <row r="15" spans="2:2" x14ac:dyDescent="0.25">
      <c r="B15" s="3"/>
    </row>
    <row r="16" spans="2:2" x14ac:dyDescent="0.25">
      <c r="B16" s="4" t="s">
        <v>12</v>
      </c>
    </row>
    <row r="17" spans="2:2" x14ac:dyDescent="0.25">
      <c r="B17" s="3" t="s">
        <v>13</v>
      </c>
    </row>
    <row r="18" spans="2:2" x14ac:dyDescent="0.25">
      <c r="B18" s="3" t="s">
        <v>14</v>
      </c>
    </row>
    <row r="19" spans="2:2" x14ac:dyDescent="0.25">
      <c r="B19" s="3" t="s">
        <v>15</v>
      </c>
    </row>
    <row r="20" spans="2:2" x14ac:dyDescent="0.25">
      <c r="B20" s="3"/>
    </row>
    <row r="21" spans="2:2" x14ac:dyDescent="0.25">
      <c r="B21" s="5"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264"/>
  <sheetViews>
    <sheetView showGridLines="0" workbookViewId="0">
      <pane xSplit="2" ySplit="2" topLeftCell="C3" activePane="bottomRight" state="frozen"/>
      <selection pane="topRight"/>
      <selection pane="bottomLeft"/>
      <selection pane="bottomRight"/>
    </sheetView>
  </sheetViews>
  <sheetFormatPr defaultRowHeight="15" x14ac:dyDescent="0.25"/>
  <cols>
    <col min="1" max="1" width="2" customWidth="1"/>
    <col min="2" max="2" width="58" customWidth="1"/>
    <col min="3" max="3" width="9" customWidth="1"/>
    <col min="4" max="18" width="11" customWidth="1"/>
    <col min="19" max="19" width="70" customWidth="1"/>
  </cols>
  <sheetData>
    <row r="2" spans="2:20" ht="18.75" customHeight="1" x14ac:dyDescent="0.3">
      <c r="B2" s="1" t="s">
        <v>17</v>
      </c>
    </row>
    <row r="3" spans="2:20" x14ac:dyDescent="0.25">
      <c r="B3" s="2" t="s">
        <v>18</v>
      </c>
    </row>
    <row r="4" spans="2:20" x14ac:dyDescent="0.25">
      <c r="B4" s="5" t="s">
        <v>19</v>
      </c>
    </row>
    <row r="6" spans="2:20" x14ac:dyDescent="0.25">
      <c r="B6" s="6" t="s">
        <v>20</v>
      </c>
      <c r="C6" s="7"/>
      <c r="D6" s="7"/>
      <c r="E6" s="7"/>
      <c r="F6" s="7"/>
      <c r="G6" s="7"/>
      <c r="H6" s="7"/>
      <c r="I6" s="7"/>
      <c r="J6" s="7"/>
      <c r="K6" s="7"/>
      <c r="L6" s="7"/>
      <c r="M6" s="7"/>
      <c r="N6" s="7"/>
      <c r="O6" s="7"/>
      <c r="P6" s="7"/>
      <c r="Q6" s="7"/>
      <c r="R6" s="7"/>
      <c r="S6" s="7"/>
      <c r="T6" s="7"/>
    </row>
    <row r="7" spans="2:20" x14ac:dyDescent="0.25">
      <c r="B7" s="4" t="s">
        <v>21</v>
      </c>
      <c r="D7" s="8">
        <f>$D$192</f>
        <v>33.551593182470391</v>
      </c>
    </row>
    <row r="8" spans="2:20" x14ac:dyDescent="0.25">
      <c r="B8" s="4" t="s">
        <v>22</v>
      </c>
      <c r="D8" s="8">
        <f>$D$194</f>
        <v>45.715084692844592</v>
      </c>
    </row>
    <row r="9" spans="2:20" x14ac:dyDescent="0.25">
      <c r="B9" s="4" t="s">
        <v>23</v>
      </c>
      <c r="D9" s="8">
        <f>$D$198</f>
        <v>36.844394351408802</v>
      </c>
    </row>
    <row r="10" spans="2:20" x14ac:dyDescent="0.25">
      <c r="B10" s="3" t="s">
        <v>24</v>
      </c>
      <c r="D10" s="9">
        <f>$D$146</f>
        <v>58.6</v>
      </c>
    </row>
    <row r="11" spans="2:20" x14ac:dyDescent="0.25">
      <c r="B11" s="3" t="s">
        <v>25</v>
      </c>
      <c r="D11" s="10">
        <f>$D$195</f>
        <v>-0.42744721531620489</v>
      </c>
      <c r="E11" s="10">
        <f>$D$196</f>
        <v>-0.21987910080469986</v>
      </c>
    </row>
    <row r="12" spans="2:20" x14ac:dyDescent="0.25">
      <c r="B12" s="3" t="s">
        <v>26</v>
      </c>
      <c r="D12" s="11">
        <f>$D$34</f>
        <v>0.10323275673541572</v>
      </c>
      <c r="E12" s="11">
        <f>$D$30</f>
        <v>0.12943651126550315</v>
      </c>
    </row>
    <row r="13" spans="2:20" x14ac:dyDescent="0.25">
      <c r="B13" s="3" t="s">
        <v>27</v>
      </c>
      <c r="D13" s="11">
        <f>$D$39</f>
        <v>4.2500000000000003E-2</v>
      </c>
      <c r="E13" s="12">
        <f>$D$40</f>
        <v>6</v>
      </c>
    </row>
    <row r="14" spans="2:20" x14ac:dyDescent="0.25">
      <c r="B14" s="3" t="s">
        <v>28</v>
      </c>
      <c r="D14" s="13">
        <f>$D$187</f>
        <v>342034.1491078675</v>
      </c>
      <c r="E14" s="13">
        <f>$D$188</f>
        <v>370093.87040267693</v>
      </c>
    </row>
    <row r="15" spans="2:20" x14ac:dyDescent="0.25">
      <c r="B15" s="3" t="s">
        <v>29</v>
      </c>
      <c r="D15" s="10">
        <f>$D$189</f>
        <v>0.54336156999457463</v>
      </c>
      <c r="E15" s="10">
        <f>$D$190</f>
        <v>0.57798291366749288</v>
      </c>
    </row>
    <row r="16" spans="2:20" x14ac:dyDescent="0.25">
      <c r="B16" s="3" t="s">
        <v>30</v>
      </c>
      <c r="D16" s="10">
        <f>$D$200</f>
        <v>0.14618390760857691</v>
      </c>
      <c r="E16" s="10">
        <f>$D$169</f>
        <v>0.1789712676456372</v>
      </c>
    </row>
    <row r="17" spans="2:20" x14ac:dyDescent="0.25">
      <c r="B17" s="3" t="s">
        <v>31</v>
      </c>
      <c r="D17" s="14">
        <f>$E$219</f>
        <v>25.45469905743763</v>
      </c>
      <c r="E17" s="14">
        <f>$E$220</f>
        <v>30.253543141836783</v>
      </c>
    </row>
    <row r="18" spans="2:20" x14ac:dyDescent="0.25">
      <c r="B18" s="3" t="s">
        <v>32</v>
      </c>
      <c r="D18" s="14">
        <f>$D$152</f>
        <v>39.481482772914909</v>
      </c>
      <c r="E18" s="14">
        <f>$D$159</f>
        <v>43.084453886970117</v>
      </c>
    </row>
    <row r="19" spans="2:20" x14ac:dyDescent="0.25">
      <c r="B19" s="3" t="s">
        <v>33</v>
      </c>
      <c r="D19" s="5" t="s">
        <v>34</v>
      </c>
    </row>
    <row r="21" spans="2:20" x14ac:dyDescent="0.25">
      <c r="B21" s="6" t="s">
        <v>35</v>
      </c>
      <c r="C21" s="7"/>
      <c r="D21" s="7"/>
      <c r="E21" s="7"/>
      <c r="F21" s="7"/>
      <c r="G21" s="7"/>
      <c r="H21" s="7"/>
      <c r="I21" s="7"/>
      <c r="J21" s="7"/>
      <c r="K21" s="7"/>
      <c r="L21" s="7"/>
      <c r="M21" s="7"/>
      <c r="N21" s="7"/>
      <c r="O21" s="7"/>
      <c r="P21" s="7"/>
      <c r="Q21" s="7"/>
      <c r="R21" s="7"/>
      <c r="S21" s="7"/>
      <c r="T21" s="7"/>
    </row>
    <row r="22" spans="2:20" x14ac:dyDescent="0.25">
      <c r="B22" s="3" t="s">
        <v>36</v>
      </c>
      <c r="D22" s="15">
        <v>7.5101187761694166E-2</v>
      </c>
      <c r="E22" s="5" t="s">
        <v>37</v>
      </c>
    </row>
    <row r="23" spans="2:20" x14ac:dyDescent="0.25">
      <c r="B23" s="3" t="s">
        <v>38</v>
      </c>
      <c r="D23" s="15">
        <v>4.2000000000000003E-2</v>
      </c>
      <c r="E23" s="5" t="s">
        <v>39</v>
      </c>
    </row>
    <row r="24" spans="2:20" x14ac:dyDescent="0.25">
      <c r="B24" s="3" t="s">
        <v>40</v>
      </c>
      <c r="D24" s="15">
        <v>2.049633930380898E-2</v>
      </c>
      <c r="E24" s="5" t="s">
        <v>41</v>
      </c>
    </row>
    <row r="25" spans="2:20" x14ac:dyDescent="0.25">
      <c r="B25" s="3" t="s">
        <v>42</v>
      </c>
      <c r="D25" s="16">
        <v>0.53</v>
      </c>
      <c r="E25" s="5" t="s">
        <v>43</v>
      </c>
    </row>
    <row r="26" spans="2:20" x14ac:dyDescent="0.25">
      <c r="B26" s="3" t="s">
        <v>44</v>
      </c>
      <c r="D26" s="16">
        <v>0.74309999999999998</v>
      </c>
      <c r="E26" s="5" t="s">
        <v>45</v>
      </c>
    </row>
    <row r="27" spans="2:20" x14ac:dyDescent="0.25">
      <c r="B27" s="3" t="s">
        <v>46</v>
      </c>
      <c r="D27" s="15">
        <v>9.7100000000000006E-2</v>
      </c>
      <c r="E27" s="5" t="s">
        <v>47</v>
      </c>
    </row>
    <row r="28" spans="2:20" x14ac:dyDescent="0.25">
      <c r="B28" s="3" t="s">
        <v>48</v>
      </c>
      <c r="D28" s="17">
        <v>0.3</v>
      </c>
      <c r="E28" s="5" t="s">
        <v>49</v>
      </c>
    </row>
    <row r="29" spans="2:20" x14ac:dyDescent="0.25">
      <c r="B29" s="3" t="s">
        <v>50</v>
      </c>
      <c r="D29" s="18">
        <f>$D$25*(1+(1-$D$28)*$D$26)</f>
        <v>0.80569009999999996</v>
      </c>
    </row>
    <row r="30" spans="2:20" x14ac:dyDescent="0.25">
      <c r="B30" s="3" t="s">
        <v>51</v>
      </c>
      <c r="D30" s="11">
        <f>$D$22+$D$29*$D$23+$D$24</f>
        <v>0.12943651126550315</v>
      </c>
    </row>
    <row r="31" spans="2:20" x14ac:dyDescent="0.25">
      <c r="B31" s="3" t="s">
        <v>52</v>
      </c>
      <c r="D31" s="11">
        <f>$D$27*(1-$D$28)</f>
        <v>6.7970000000000003E-2</v>
      </c>
    </row>
    <row r="32" spans="2:20" x14ac:dyDescent="0.25">
      <c r="B32" s="3" t="s">
        <v>53</v>
      </c>
      <c r="D32" s="10">
        <f>1/(1+$D$26)</f>
        <v>0.57369055131661983</v>
      </c>
    </row>
    <row r="33" spans="2:20" x14ac:dyDescent="0.25">
      <c r="B33" s="3" t="s">
        <v>54</v>
      </c>
      <c r="D33" s="10">
        <f>$D$26/(1+$D$26)</f>
        <v>0.42630944868338017</v>
      </c>
    </row>
    <row r="34" spans="2:20" x14ac:dyDescent="0.25">
      <c r="B34" s="4" t="s">
        <v>55</v>
      </c>
      <c r="D34" s="19">
        <f>$D$32*$D$30+$D$33*$D$31</f>
        <v>0.10323275673541572</v>
      </c>
      <c r="E34" s="5" t="s">
        <v>56</v>
      </c>
    </row>
    <row r="36" spans="2:20" x14ac:dyDescent="0.25">
      <c r="B36" s="6" t="s">
        <v>57</v>
      </c>
      <c r="C36" s="7"/>
      <c r="D36" s="7"/>
      <c r="E36" s="7"/>
      <c r="F36" s="7"/>
      <c r="G36" s="7"/>
      <c r="H36" s="7"/>
      <c r="I36" s="7"/>
      <c r="J36" s="7"/>
      <c r="K36" s="7"/>
      <c r="L36" s="7"/>
      <c r="M36" s="7"/>
      <c r="N36" s="7"/>
      <c r="O36" s="7"/>
      <c r="P36" s="7"/>
      <c r="Q36" s="7"/>
      <c r="R36" s="7"/>
      <c r="S36" s="7"/>
      <c r="T36" s="7"/>
    </row>
    <row r="37" spans="2:20" x14ac:dyDescent="0.25">
      <c r="B37" s="3" t="s">
        <v>58</v>
      </c>
      <c r="D37" s="20">
        <v>0.5</v>
      </c>
      <c r="E37" s="5" t="s">
        <v>59</v>
      </c>
    </row>
    <row r="38" spans="2:20" x14ac:dyDescent="0.25">
      <c r="B38" s="3" t="s">
        <v>60</v>
      </c>
      <c r="D38" s="16">
        <v>0.79179999999999995</v>
      </c>
      <c r="E38" s="5" t="s">
        <v>61</v>
      </c>
    </row>
    <row r="39" spans="2:20" x14ac:dyDescent="0.25">
      <c r="B39" s="3" t="s">
        <v>62</v>
      </c>
      <c r="D39" s="15">
        <v>4.2500000000000003E-2</v>
      </c>
      <c r="E39" s="5" t="s">
        <v>63</v>
      </c>
    </row>
    <row r="40" spans="2:20" x14ac:dyDescent="0.25">
      <c r="B40" s="3" t="s">
        <v>64</v>
      </c>
      <c r="D40" s="21">
        <v>6</v>
      </c>
      <c r="E40" s="5" t="s">
        <v>65</v>
      </c>
    </row>
    <row r="41" spans="2:20" x14ac:dyDescent="0.25">
      <c r="B41" s="3" t="s">
        <v>66</v>
      </c>
      <c r="D41" s="15">
        <v>0.05</v>
      </c>
      <c r="E41" s="5" t="s">
        <v>67</v>
      </c>
    </row>
    <row r="42" spans="2:20" x14ac:dyDescent="0.25">
      <c r="B42" s="3" t="s">
        <v>68</v>
      </c>
      <c r="D42" s="15">
        <v>0</v>
      </c>
      <c r="E42" s="5" t="s">
        <v>69</v>
      </c>
    </row>
    <row r="43" spans="2:20" x14ac:dyDescent="0.25">
      <c r="B43" s="3" t="s">
        <v>70</v>
      </c>
      <c r="D43" s="15">
        <v>0</v>
      </c>
      <c r="E43" s="5" t="s">
        <v>71</v>
      </c>
    </row>
    <row r="44" spans="2:20" x14ac:dyDescent="0.25">
      <c r="B44" s="3" t="s">
        <v>72</v>
      </c>
      <c r="D44" s="15">
        <v>0</v>
      </c>
      <c r="E44" s="5" t="s">
        <v>73</v>
      </c>
    </row>
    <row r="46" spans="2:20" x14ac:dyDescent="0.25">
      <c r="B46" s="6" t="s">
        <v>74</v>
      </c>
      <c r="C46" s="7"/>
      <c r="D46" s="22" t="s">
        <v>75</v>
      </c>
      <c r="E46" s="22" t="s">
        <v>76</v>
      </c>
      <c r="F46" s="22" t="s">
        <v>77</v>
      </c>
      <c r="G46" s="22" t="s">
        <v>78</v>
      </c>
      <c r="H46" s="22" t="s">
        <v>79</v>
      </c>
      <c r="I46" s="22" t="s">
        <v>80</v>
      </c>
      <c r="J46" s="22" t="s">
        <v>81</v>
      </c>
      <c r="K46" s="22" t="s">
        <v>82</v>
      </c>
      <c r="L46" s="22" t="s">
        <v>83</v>
      </c>
      <c r="M46" s="22" t="s">
        <v>84</v>
      </c>
      <c r="N46" s="22" t="s">
        <v>85</v>
      </c>
      <c r="O46" s="22" t="s">
        <v>86</v>
      </c>
      <c r="P46" s="22" t="s">
        <v>87</v>
      </c>
      <c r="Q46" s="22" t="s">
        <v>88</v>
      </c>
      <c r="R46" s="22" t="s">
        <v>89</v>
      </c>
      <c r="S46" s="6" t="s">
        <v>90</v>
      </c>
      <c r="T46" s="7"/>
    </row>
    <row r="47" spans="2:20" x14ac:dyDescent="0.25">
      <c r="B47" s="3" t="s">
        <v>91</v>
      </c>
      <c r="I47" s="17">
        <v>-7.3999999999999996E-2</v>
      </c>
      <c r="J47" s="17">
        <v>0.03</v>
      </c>
      <c r="K47" s="17">
        <v>0.03</v>
      </c>
      <c r="L47" s="17">
        <v>0.03</v>
      </c>
      <c r="M47" s="17">
        <v>0.03</v>
      </c>
      <c r="N47" s="17">
        <v>0.03</v>
      </c>
      <c r="O47" s="17">
        <v>0.03</v>
      </c>
      <c r="P47" s="17">
        <v>0.03</v>
      </c>
      <c r="Q47" s="17">
        <v>0.03</v>
      </c>
      <c r="R47" s="17">
        <v>0.03</v>
      </c>
      <c r="S47" s="5" t="s">
        <v>92</v>
      </c>
    </row>
    <row r="48" spans="2:20" x14ac:dyDescent="0.25">
      <c r="B48" s="3" t="s">
        <v>93</v>
      </c>
      <c r="I48" s="17">
        <v>4.5999999999999999E-2</v>
      </c>
      <c r="J48" s="17">
        <v>5.5E-2</v>
      </c>
      <c r="K48" s="17">
        <v>5.2499999999999998E-2</v>
      </c>
      <c r="L48" s="17">
        <v>5.2499999999999998E-2</v>
      </c>
      <c r="M48" s="17">
        <v>5.2499999999999998E-2</v>
      </c>
      <c r="N48" s="17">
        <v>5.1499999999999997E-2</v>
      </c>
      <c r="O48" s="17">
        <v>5.0999999999999997E-2</v>
      </c>
      <c r="P48" s="17">
        <v>5.0500000000000003E-2</v>
      </c>
      <c r="Q48" s="17">
        <v>0.05</v>
      </c>
      <c r="R48" s="17">
        <v>0.05</v>
      </c>
      <c r="S48" s="5" t="s">
        <v>94</v>
      </c>
    </row>
    <row r="49" spans="2:20" x14ac:dyDescent="0.25">
      <c r="B49" s="3" t="s">
        <v>95</v>
      </c>
      <c r="I49" s="17">
        <v>6.0000000000000001E-3</v>
      </c>
      <c r="J49" s="17">
        <v>4.4999999999999998E-2</v>
      </c>
      <c r="K49" s="17">
        <v>4.4999999999999998E-2</v>
      </c>
      <c r="L49" s="17">
        <v>4.4999999999999998E-2</v>
      </c>
      <c r="M49" s="17">
        <v>4.4999999999999998E-2</v>
      </c>
      <c r="N49" s="17">
        <v>4.4499999999999998E-2</v>
      </c>
      <c r="O49" s="17">
        <v>4.3999999999999997E-2</v>
      </c>
      <c r="P49" s="17">
        <v>4.3499999999999997E-2</v>
      </c>
      <c r="Q49" s="17">
        <v>4.2999999999999997E-2</v>
      </c>
      <c r="R49" s="17">
        <v>4.2500000000000003E-2</v>
      </c>
      <c r="S49" s="5" t="s">
        <v>96</v>
      </c>
    </row>
    <row r="50" spans="2:20" x14ac:dyDescent="0.25">
      <c r="B50" s="3" t="s">
        <v>97</v>
      </c>
      <c r="I50" s="17">
        <v>8.5000000000000006E-2</v>
      </c>
      <c r="J50" s="17">
        <v>7.0000000000000007E-2</v>
      </c>
      <c r="K50" s="17">
        <v>6.5000000000000002E-2</v>
      </c>
      <c r="L50" s="17">
        <v>6.5000000000000002E-2</v>
      </c>
      <c r="M50" s="17">
        <v>6.5000000000000002E-2</v>
      </c>
      <c r="N50" s="17">
        <v>6.3E-2</v>
      </c>
      <c r="O50" s="17">
        <v>6.0999999999999999E-2</v>
      </c>
      <c r="P50" s="17">
        <v>5.8999999999999997E-2</v>
      </c>
      <c r="Q50" s="17">
        <v>5.7000000000000002E-2</v>
      </c>
      <c r="R50" s="17">
        <v>5.5E-2</v>
      </c>
      <c r="S50" s="5" t="s">
        <v>98</v>
      </c>
    </row>
    <row r="51" spans="2:20" x14ac:dyDescent="0.25">
      <c r="B51" s="3" t="s">
        <v>99</v>
      </c>
      <c r="I51" s="17">
        <v>3.5999999999999997E-2</v>
      </c>
      <c r="J51" s="17">
        <v>4.4999999999999998E-2</v>
      </c>
      <c r="K51" s="17">
        <v>4.4999999999999998E-2</v>
      </c>
      <c r="L51" s="17">
        <v>4.4999999999999998E-2</v>
      </c>
      <c r="M51" s="17">
        <v>4.4999999999999998E-2</v>
      </c>
      <c r="N51" s="17">
        <v>4.4999999999999998E-2</v>
      </c>
      <c r="O51" s="17">
        <v>4.4999999999999998E-2</v>
      </c>
      <c r="P51" s="17">
        <v>4.4999999999999998E-2</v>
      </c>
      <c r="Q51" s="17">
        <v>4.4999999999999998E-2</v>
      </c>
      <c r="R51" s="17">
        <v>4.4999999999999998E-2</v>
      </c>
      <c r="S51" s="5" t="s">
        <v>100</v>
      </c>
    </row>
    <row r="52" spans="2:20" x14ac:dyDescent="0.25">
      <c r="B52" s="3" t="s">
        <v>101</v>
      </c>
      <c r="I52" s="17">
        <v>0.52400000000000002</v>
      </c>
      <c r="J52" s="17">
        <v>0.52</v>
      </c>
      <c r="K52" s="17">
        <v>0.52300000000000002</v>
      </c>
      <c r="L52" s="17">
        <v>0.52500000000000002</v>
      </c>
      <c r="M52" s="17">
        <v>0.52500000000000002</v>
      </c>
      <c r="N52" s="17">
        <v>0.52500000000000002</v>
      </c>
      <c r="O52" s="17">
        <v>0.52500000000000002</v>
      </c>
      <c r="P52" s="17">
        <v>0.52500000000000002</v>
      </c>
      <c r="Q52" s="17">
        <v>0.52500000000000002</v>
      </c>
      <c r="R52" s="17">
        <v>0.52500000000000002</v>
      </c>
      <c r="S52" s="5" t="s">
        <v>102</v>
      </c>
    </row>
    <row r="53" spans="2:20" x14ac:dyDescent="0.25">
      <c r="B53" s="3" t="s">
        <v>103</v>
      </c>
      <c r="I53" s="17">
        <v>0.436</v>
      </c>
      <c r="J53" s="17">
        <v>0.434</v>
      </c>
      <c r="K53" s="17">
        <v>0.433</v>
      </c>
      <c r="L53" s="17">
        <v>0.4325</v>
      </c>
      <c r="M53" s="17">
        <v>0.43049999999999999</v>
      </c>
      <c r="N53" s="17">
        <v>0.43049999999999999</v>
      </c>
      <c r="O53" s="17">
        <v>0.43049999999999999</v>
      </c>
      <c r="P53" s="17">
        <v>0.43049999999999999</v>
      </c>
      <c r="Q53" s="17">
        <v>0.43049999999999999</v>
      </c>
      <c r="R53" s="17">
        <v>0.43049999999999999</v>
      </c>
      <c r="S53" s="5" t="s">
        <v>104</v>
      </c>
    </row>
    <row r="54" spans="2:20" x14ac:dyDescent="0.25">
      <c r="B54" s="3" t="s">
        <v>105</v>
      </c>
      <c r="I54" s="17">
        <v>5.8999999999999997E-2</v>
      </c>
      <c r="J54" s="17">
        <v>5.8999999999999997E-2</v>
      </c>
      <c r="K54" s="17">
        <v>5.8999999999999997E-2</v>
      </c>
      <c r="L54" s="17">
        <v>5.8500000000000003E-2</v>
      </c>
      <c r="M54" s="17">
        <v>5.8500000000000003E-2</v>
      </c>
      <c r="N54" s="17">
        <v>5.8500000000000003E-2</v>
      </c>
      <c r="O54" s="17">
        <v>5.8500000000000003E-2</v>
      </c>
      <c r="P54" s="17">
        <v>5.8500000000000003E-2</v>
      </c>
      <c r="Q54" s="17">
        <v>5.8500000000000003E-2</v>
      </c>
      <c r="R54" s="17">
        <v>5.8500000000000003E-2</v>
      </c>
      <c r="S54" s="5" t="s">
        <v>106</v>
      </c>
    </row>
    <row r="55" spans="2:20" x14ac:dyDescent="0.25">
      <c r="B55" s="3" t="s">
        <v>107</v>
      </c>
      <c r="I55" s="17">
        <v>4.5999999999999999E-2</v>
      </c>
      <c r="J55" s="17">
        <v>0.05</v>
      </c>
      <c r="K55" s="17">
        <v>5.1999999999999998E-2</v>
      </c>
      <c r="L55" s="17">
        <v>5.3999999999999999E-2</v>
      </c>
      <c r="M55" s="17">
        <v>5.5E-2</v>
      </c>
      <c r="N55" s="17">
        <v>5.6000000000000001E-2</v>
      </c>
      <c r="O55" s="17">
        <v>5.7000000000000002E-2</v>
      </c>
      <c r="P55" s="17">
        <v>5.8000000000000003E-2</v>
      </c>
      <c r="Q55" s="17">
        <v>5.8999999999999997E-2</v>
      </c>
      <c r="R55" s="17">
        <v>0.06</v>
      </c>
      <c r="S55" s="5" t="s">
        <v>108</v>
      </c>
    </row>
    <row r="56" spans="2:20" x14ac:dyDescent="0.25">
      <c r="B56" s="3" t="s">
        <v>109</v>
      </c>
      <c r="I56" s="17">
        <v>1.3899999999999999E-2</v>
      </c>
      <c r="J56" s="17">
        <v>1.3899999999999999E-2</v>
      </c>
      <c r="K56" s="17">
        <v>1.3899999999999999E-2</v>
      </c>
      <c r="L56" s="17">
        <v>1.3899999999999999E-2</v>
      </c>
      <c r="M56" s="17">
        <v>1.3899999999999999E-2</v>
      </c>
      <c r="N56" s="17">
        <v>1.3899999999999999E-2</v>
      </c>
      <c r="O56" s="17">
        <v>1.3899999999999999E-2</v>
      </c>
      <c r="P56" s="17">
        <v>1.3899999999999999E-2</v>
      </c>
      <c r="Q56" s="17">
        <v>1.3899999999999999E-2</v>
      </c>
      <c r="R56" s="17">
        <v>1.3899999999999999E-2</v>
      </c>
      <c r="S56" s="5" t="s">
        <v>110</v>
      </c>
    </row>
    <row r="57" spans="2:20" x14ac:dyDescent="0.25">
      <c r="B57" s="3" t="s">
        <v>111</v>
      </c>
      <c r="I57" s="23">
        <v>20.3</v>
      </c>
      <c r="J57" s="23">
        <v>20.3</v>
      </c>
      <c r="K57" s="23">
        <v>20.3</v>
      </c>
      <c r="L57" s="23">
        <v>20.3</v>
      </c>
      <c r="M57" s="23">
        <v>20.3</v>
      </c>
      <c r="N57" s="23">
        <v>20.3</v>
      </c>
      <c r="O57" s="23">
        <v>20.3</v>
      </c>
      <c r="P57" s="23">
        <v>20.3</v>
      </c>
      <c r="Q57" s="23">
        <v>20.3</v>
      </c>
      <c r="R57" s="23">
        <v>20.3</v>
      </c>
      <c r="S57" s="5" t="s">
        <v>112</v>
      </c>
    </row>
    <row r="58" spans="2:20" x14ac:dyDescent="0.25">
      <c r="B58" s="3" t="s">
        <v>113</v>
      </c>
      <c r="I58" s="23">
        <v>30.8</v>
      </c>
      <c r="J58" s="23">
        <v>30.8</v>
      </c>
      <c r="K58" s="23">
        <v>30.8</v>
      </c>
      <c r="L58" s="23">
        <v>30.8</v>
      </c>
      <c r="M58" s="23">
        <v>30.8</v>
      </c>
      <c r="N58" s="23">
        <v>30.8</v>
      </c>
      <c r="O58" s="23">
        <v>30.8</v>
      </c>
      <c r="P58" s="23">
        <v>30.8</v>
      </c>
      <c r="Q58" s="23">
        <v>30.8</v>
      </c>
      <c r="R58" s="23">
        <v>30.8</v>
      </c>
      <c r="S58" s="5" t="s">
        <v>114</v>
      </c>
    </row>
    <row r="59" spans="2:20" x14ac:dyDescent="0.25">
      <c r="B59" s="3" t="s">
        <v>115</v>
      </c>
      <c r="I59" s="23">
        <v>70.099999999999994</v>
      </c>
      <c r="J59" s="23">
        <v>70.099999999999994</v>
      </c>
      <c r="K59" s="23">
        <v>70.099999999999994</v>
      </c>
      <c r="L59" s="23">
        <v>70.099999999999994</v>
      </c>
      <c r="M59" s="23">
        <v>70.099999999999994</v>
      </c>
      <c r="N59" s="23">
        <v>70.099999999999994</v>
      </c>
      <c r="O59" s="23">
        <v>70.099999999999994</v>
      </c>
      <c r="P59" s="23">
        <v>70.099999999999994</v>
      </c>
      <c r="Q59" s="23">
        <v>70.099999999999994</v>
      </c>
      <c r="R59" s="23">
        <v>70.099999999999994</v>
      </c>
      <c r="S59" s="5" t="s">
        <v>116</v>
      </c>
    </row>
    <row r="60" spans="2:20" x14ac:dyDescent="0.25">
      <c r="B60" s="3" t="s">
        <v>117</v>
      </c>
      <c r="I60" s="17">
        <v>3.5630000000000002E-2</v>
      </c>
      <c r="J60" s="17">
        <v>3.5485999999999997E-2</v>
      </c>
      <c r="K60" s="17">
        <v>3.5352000000000001E-2</v>
      </c>
      <c r="L60" s="17">
        <v>3.5223999999999998E-2</v>
      </c>
      <c r="M60" s="17">
        <v>3.5099999999999999E-2</v>
      </c>
      <c r="N60" s="17">
        <v>3.4983E-2</v>
      </c>
      <c r="O60" s="17">
        <v>3.4872E-2</v>
      </c>
      <c r="P60" s="17">
        <v>3.4765999999999998E-2</v>
      </c>
      <c r="Q60" s="17">
        <v>3.4666000000000002E-2</v>
      </c>
      <c r="R60" s="17">
        <v>3.4569999999999997E-2</v>
      </c>
      <c r="S60" s="5" t="s">
        <v>118</v>
      </c>
    </row>
    <row r="61" spans="2:20" x14ac:dyDescent="0.25">
      <c r="B61" s="3" t="s">
        <v>119</v>
      </c>
      <c r="I61" s="17">
        <v>7.4643000000000001E-2</v>
      </c>
      <c r="J61" s="17">
        <v>7.3627999999999999E-2</v>
      </c>
      <c r="K61" s="17">
        <v>7.2683999999999999E-2</v>
      </c>
      <c r="L61" s="17">
        <v>7.1776999999999994E-2</v>
      </c>
      <c r="M61" s="17">
        <v>7.0905999999999997E-2</v>
      </c>
      <c r="N61" s="17">
        <v>7.0082000000000005E-2</v>
      </c>
      <c r="O61" s="17">
        <v>6.9298999999999999E-2</v>
      </c>
      <c r="P61" s="17">
        <v>6.8555000000000005E-2</v>
      </c>
      <c r="Q61" s="17">
        <v>6.7848000000000006E-2</v>
      </c>
      <c r="R61" s="17">
        <v>6.7172999999999997E-2</v>
      </c>
      <c r="S61" s="5" t="s">
        <v>120</v>
      </c>
    </row>
    <row r="62" spans="2:20" x14ac:dyDescent="0.25">
      <c r="B62" s="3" t="s">
        <v>121</v>
      </c>
      <c r="I62" s="17">
        <v>0.34</v>
      </c>
      <c r="J62" s="17">
        <v>0.34</v>
      </c>
      <c r="K62" s="17">
        <v>0.34</v>
      </c>
      <c r="L62" s="17">
        <v>0.34</v>
      </c>
      <c r="M62" s="17">
        <v>0.34</v>
      </c>
      <c r="N62" s="17">
        <v>0.34</v>
      </c>
      <c r="O62" s="17">
        <v>0.34</v>
      </c>
      <c r="P62" s="17">
        <v>0.34</v>
      </c>
      <c r="Q62" s="17">
        <v>0.34</v>
      </c>
      <c r="R62" s="17">
        <v>0.34</v>
      </c>
      <c r="S62" s="5" t="s">
        <v>122</v>
      </c>
    </row>
    <row r="64" spans="2:20" x14ac:dyDescent="0.25">
      <c r="B64" s="6" t="s">
        <v>123</v>
      </c>
      <c r="C64" s="7"/>
      <c r="D64" s="22" t="s">
        <v>75</v>
      </c>
      <c r="E64" s="22" t="s">
        <v>76</v>
      </c>
      <c r="F64" s="22" t="s">
        <v>77</v>
      </c>
      <c r="G64" s="22" t="s">
        <v>78</v>
      </c>
      <c r="H64" s="22" t="s">
        <v>79</v>
      </c>
      <c r="I64" s="22" t="s">
        <v>80</v>
      </c>
      <c r="J64" s="22" t="s">
        <v>81</v>
      </c>
      <c r="K64" s="22" t="s">
        <v>82</v>
      </c>
      <c r="L64" s="22" t="s">
        <v>83</v>
      </c>
      <c r="M64" s="22" t="s">
        <v>84</v>
      </c>
      <c r="N64" s="22" t="s">
        <v>85</v>
      </c>
      <c r="O64" s="22" t="s">
        <v>86</v>
      </c>
      <c r="P64" s="22" t="s">
        <v>87</v>
      </c>
      <c r="Q64" s="22" t="s">
        <v>88</v>
      </c>
      <c r="R64" s="22" t="s">
        <v>89</v>
      </c>
      <c r="S64" s="6" t="s">
        <v>90</v>
      </c>
      <c r="T64" s="7"/>
    </row>
    <row r="65" spans="2:19" x14ac:dyDescent="0.25">
      <c r="B65" s="3" t="s">
        <v>124</v>
      </c>
      <c r="D65" s="24">
        <v>175369</v>
      </c>
      <c r="E65" s="24">
        <v>205674</v>
      </c>
      <c r="F65" s="24">
        <v>192534</v>
      </c>
      <c r="G65" s="24">
        <v>189330</v>
      </c>
      <c r="H65" s="24">
        <v>190211</v>
      </c>
      <c r="I65" s="13">
        <f t="shared" ref="I65:R65" si="0">H65*(1+I47+$D$42)</f>
        <v>176135.386</v>
      </c>
      <c r="J65" s="13">
        <f t="shared" si="0"/>
        <v>181419.44758000001</v>
      </c>
      <c r="K65" s="13">
        <f t="shared" si="0"/>
        <v>186862.03100740002</v>
      </c>
      <c r="L65" s="13">
        <f t="shared" si="0"/>
        <v>192467.89193762201</v>
      </c>
      <c r="M65" s="13">
        <f t="shared" si="0"/>
        <v>198241.92869575068</v>
      </c>
      <c r="N65" s="13">
        <f t="shared" si="0"/>
        <v>204189.1865566232</v>
      </c>
      <c r="O65" s="13">
        <f t="shared" si="0"/>
        <v>210314.86215332191</v>
      </c>
      <c r="P65" s="13">
        <f t="shared" si="0"/>
        <v>216624.30801792158</v>
      </c>
      <c r="Q65" s="13">
        <f t="shared" si="0"/>
        <v>223123.03725845923</v>
      </c>
      <c r="R65" s="13">
        <f t="shared" si="0"/>
        <v>229816.728376213</v>
      </c>
      <c r="S65" s="5" t="s">
        <v>125</v>
      </c>
    </row>
    <row r="66" spans="2:19" x14ac:dyDescent="0.25">
      <c r="B66" s="3" t="s">
        <v>126</v>
      </c>
      <c r="D66" s="24">
        <v>109089</v>
      </c>
      <c r="E66" s="24">
        <v>130401</v>
      </c>
      <c r="F66" s="24">
        <v>145387</v>
      </c>
      <c r="G66" s="24">
        <v>151164</v>
      </c>
      <c r="H66" s="24">
        <v>154809</v>
      </c>
      <c r="I66" s="13">
        <f t="shared" ref="I66:R66" si="1">H66*(1+I48+$D$42)</f>
        <v>161930.21400000001</v>
      </c>
      <c r="J66" s="13">
        <f t="shared" si="1"/>
        <v>170836.37576999998</v>
      </c>
      <c r="K66" s="13">
        <f t="shared" si="1"/>
        <v>179805.28549792498</v>
      </c>
      <c r="L66" s="13">
        <f t="shared" si="1"/>
        <v>189245.06298656604</v>
      </c>
      <c r="M66" s="13">
        <f t="shared" si="1"/>
        <v>199180.42879336077</v>
      </c>
      <c r="N66" s="13">
        <f t="shared" si="1"/>
        <v>209438.22087621887</v>
      </c>
      <c r="O66" s="13">
        <f t="shared" si="1"/>
        <v>220119.57014090603</v>
      </c>
      <c r="P66" s="13">
        <f t="shared" si="1"/>
        <v>231235.60843302179</v>
      </c>
      <c r="Q66" s="13">
        <f t="shared" si="1"/>
        <v>242797.3888546729</v>
      </c>
      <c r="R66" s="13">
        <f t="shared" si="1"/>
        <v>254937.25829740654</v>
      </c>
      <c r="S66" s="5" t="s">
        <v>125</v>
      </c>
    </row>
    <row r="67" spans="2:19" x14ac:dyDescent="0.25">
      <c r="B67" s="3" t="s">
        <v>127</v>
      </c>
      <c r="D67" s="24">
        <v>34195</v>
      </c>
      <c r="E67" s="24">
        <v>37536</v>
      </c>
      <c r="F67" s="24">
        <v>40545</v>
      </c>
      <c r="G67" s="24">
        <v>45044</v>
      </c>
      <c r="H67" s="24">
        <v>54214</v>
      </c>
      <c r="I67" s="13">
        <f t="shared" ref="I67:R67" si="2">H67*(1+I49+$D$42)</f>
        <v>54539.284</v>
      </c>
      <c r="J67" s="13">
        <f t="shared" si="2"/>
        <v>56993.551779999994</v>
      </c>
      <c r="K67" s="13">
        <f t="shared" si="2"/>
        <v>59558.261610099988</v>
      </c>
      <c r="L67" s="13">
        <f t="shared" si="2"/>
        <v>62238.383382554486</v>
      </c>
      <c r="M67" s="13">
        <f t="shared" si="2"/>
        <v>65039.110634769437</v>
      </c>
      <c r="N67" s="13">
        <f t="shared" si="2"/>
        <v>67933.351058016677</v>
      </c>
      <c r="O67" s="13">
        <f t="shared" si="2"/>
        <v>70922.418504569418</v>
      </c>
      <c r="P67" s="13">
        <f t="shared" si="2"/>
        <v>74007.543709518199</v>
      </c>
      <c r="Q67" s="13">
        <f t="shared" si="2"/>
        <v>77189.86808902747</v>
      </c>
      <c r="R67" s="13">
        <f t="shared" si="2"/>
        <v>80470.437482811132</v>
      </c>
      <c r="S67" s="5" t="s">
        <v>125</v>
      </c>
    </row>
    <row r="68" spans="2:19" x14ac:dyDescent="0.25">
      <c r="B68" s="3" t="s">
        <v>128</v>
      </c>
      <c r="D68" s="24">
        <v>31109</v>
      </c>
      <c r="E68" s="24">
        <v>38411</v>
      </c>
      <c r="F68" s="24">
        <v>36647</v>
      </c>
      <c r="G68" s="24">
        <v>39879</v>
      </c>
      <c r="H68" s="24">
        <v>44120</v>
      </c>
      <c r="I68" s="13">
        <f t="shared" ref="I68:R68" si="3">H68*(1+I50+$D$42)</f>
        <v>47870.2</v>
      </c>
      <c r="J68" s="13">
        <f t="shared" si="3"/>
        <v>51221.114000000001</v>
      </c>
      <c r="K68" s="13">
        <f t="shared" si="3"/>
        <v>54550.486409999998</v>
      </c>
      <c r="L68" s="13">
        <f t="shared" si="3"/>
        <v>58096.268026649996</v>
      </c>
      <c r="M68" s="13">
        <f t="shared" si="3"/>
        <v>61872.525448382243</v>
      </c>
      <c r="N68" s="13">
        <f t="shared" si="3"/>
        <v>65770.494551630327</v>
      </c>
      <c r="O68" s="13">
        <f t="shared" si="3"/>
        <v>69782.49471927977</v>
      </c>
      <c r="P68" s="13">
        <f t="shared" si="3"/>
        <v>73899.661907717265</v>
      </c>
      <c r="Q68" s="13">
        <f t="shared" si="3"/>
        <v>78111.942636457141</v>
      </c>
      <c r="R68" s="13">
        <f t="shared" si="3"/>
        <v>82408.099481462283</v>
      </c>
      <c r="S68" s="5" t="s">
        <v>125</v>
      </c>
    </row>
    <row r="69" spans="2:19" x14ac:dyDescent="0.25">
      <c r="B69" s="3" t="s">
        <v>129</v>
      </c>
      <c r="D69" s="24">
        <v>-10970</v>
      </c>
      <c r="E69" s="24">
        <v>-13316</v>
      </c>
      <c r="F69" s="24">
        <v>-15234</v>
      </c>
      <c r="G69" s="24">
        <v>-17082</v>
      </c>
      <c r="H69" s="24">
        <v>-16402</v>
      </c>
      <c r="I69" s="13">
        <f t="shared" ref="I69:R69" si="4">H69*(1+I51+$D$42)</f>
        <v>-16992.472000000002</v>
      </c>
      <c r="J69" s="13">
        <f t="shared" si="4"/>
        <v>-17757.133239999999</v>
      </c>
      <c r="K69" s="13">
        <f t="shared" si="4"/>
        <v>-18556.204235799996</v>
      </c>
      <c r="L69" s="13">
        <f t="shared" si="4"/>
        <v>-19391.233426410996</v>
      </c>
      <c r="M69" s="13">
        <f t="shared" si="4"/>
        <v>-20263.83893059949</v>
      </c>
      <c r="N69" s="13">
        <f t="shared" si="4"/>
        <v>-21175.711682476463</v>
      </c>
      <c r="O69" s="13">
        <f t="shared" si="4"/>
        <v>-22128.618708187903</v>
      </c>
      <c r="P69" s="13">
        <f t="shared" si="4"/>
        <v>-23124.406550056359</v>
      </c>
      <c r="Q69" s="13">
        <f t="shared" si="4"/>
        <v>-24165.004844808893</v>
      </c>
      <c r="R69" s="13">
        <f t="shared" si="4"/>
        <v>-25252.430062825289</v>
      </c>
      <c r="S69" s="5" t="s">
        <v>125</v>
      </c>
    </row>
    <row r="70" spans="2:19" x14ac:dyDescent="0.25">
      <c r="B70" s="4" t="s">
        <v>130</v>
      </c>
      <c r="D70" s="25">
        <v>338792</v>
      </c>
      <c r="E70" s="25">
        <v>398706</v>
      </c>
      <c r="F70" s="25">
        <v>399879</v>
      </c>
      <c r="G70" s="25">
        <v>408335</v>
      </c>
      <c r="H70" s="25">
        <v>426952</v>
      </c>
      <c r="I70" s="26">
        <f t="shared" ref="I70:R70" si="5">SUM(I65:I69)</f>
        <v>423482.61199999996</v>
      </c>
      <c r="J70" s="26">
        <f t="shared" si="5"/>
        <v>442713.35588999995</v>
      </c>
      <c r="K70" s="26">
        <f t="shared" si="5"/>
        <v>462219.86028962501</v>
      </c>
      <c r="L70" s="26">
        <f t="shared" si="5"/>
        <v>482656.37290698162</v>
      </c>
      <c r="M70" s="26">
        <f t="shared" si="5"/>
        <v>504070.15464166366</v>
      </c>
      <c r="N70" s="26">
        <f t="shared" si="5"/>
        <v>526155.5413600126</v>
      </c>
      <c r="O70" s="26">
        <f t="shared" si="5"/>
        <v>549010.72680988919</v>
      </c>
      <c r="P70" s="26">
        <f t="shared" si="5"/>
        <v>572642.71551812254</v>
      </c>
      <c r="Q70" s="26">
        <f t="shared" si="5"/>
        <v>597057.23199380795</v>
      </c>
      <c r="R70" s="26">
        <f t="shared" si="5"/>
        <v>622380.09357506759</v>
      </c>
      <c r="S70" s="5" t="s">
        <v>131</v>
      </c>
    </row>
    <row r="71" spans="2:19" x14ac:dyDescent="0.25">
      <c r="B71" s="3" t="s">
        <v>132</v>
      </c>
      <c r="E71" s="10">
        <f t="shared" ref="E71:R71" si="6">E70/D70-1</f>
        <v>0.17684597038891114</v>
      </c>
      <c r="F71" s="10">
        <f t="shared" si="6"/>
        <v>2.9420174263743437E-3</v>
      </c>
      <c r="G71" s="10">
        <f t="shared" si="6"/>
        <v>2.1146396785027388E-2</v>
      </c>
      <c r="H71" s="10">
        <f t="shared" si="6"/>
        <v>4.5592466969522683E-2</v>
      </c>
      <c r="I71" s="10">
        <f t="shared" si="6"/>
        <v>-8.1259439000169742E-3</v>
      </c>
      <c r="J71" s="10">
        <f t="shared" si="6"/>
        <v>4.5410940957358648E-2</v>
      </c>
      <c r="K71" s="10">
        <f t="shared" si="6"/>
        <v>4.4061251236503951E-2</v>
      </c>
      <c r="L71" s="10">
        <f t="shared" si="6"/>
        <v>4.4213834958435561E-2</v>
      </c>
      <c r="M71" s="10">
        <f t="shared" si="6"/>
        <v>4.4366516090338592E-2</v>
      </c>
      <c r="N71" s="10">
        <f t="shared" si="6"/>
        <v>4.3814113005855582E-2</v>
      </c>
      <c r="O71" s="10">
        <f t="shared" si="6"/>
        <v>4.3438078007883796E-2</v>
      </c>
      <c r="P71" s="10">
        <f t="shared" si="6"/>
        <v>4.3044675730746773E-2</v>
      </c>
      <c r="Q71" s="10">
        <f t="shared" si="6"/>
        <v>4.2634815416442207E-2</v>
      </c>
      <c r="R71" s="10">
        <f t="shared" si="6"/>
        <v>4.2412787626232573E-2</v>
      </c>
    </row>
    <row r="72" spans="2:19" x14ac:dyDescent="0.25">
      <c r="B72" s="3" t="s">
        <v>133</v>
      </c>
      <c r="D72" s="24">
        <v>157703</v>
      </c>
      <c r="E72" s="24">
        <v>193325</v>
      </c>
      <c r="F72" s="24">
        <v>194369</v>
      </c>
      <c r="G72" s="24">
        <v>193407</v>
      </c>
      <c r="H72" s="24">
        <v>203465</v>
      </c>
      <c r="I72" s="13">
        <f t="shared" ref="I72:R72" si="7">I70*(1-(I52+$D$43))</f>
        <v>201577.72331199999</v>
      </c>
      <c r="J72" s="13">
        <f t="shared" si="7"/>
        <v>212502.41082719996</v>
      </c>
      <c r="K72" s="13">
        <f t="shared" si="7"/>
        <v>220478.87335815112</v>
      </c>
      <c r="L72" s="13">
        <f t="shared" si="7"/>
        <v>229261.77713081625</v>
      </c>
      <c r="M72" s="13">
        <f t="shared" si="7"/>
        <v>239433.32345479022</v>
      </c>
      <c r="N72" s="13">
        <f t="shared" si="7"/>
        <v>249923.88214600598</v>
      </c>
      <c r="O72" s="13">
        <f t="shared" si="7"/>
        <v>260780.09523469736</v>
      </c>
      <c r="P72" s="13">
        <f t="shared" si="7"/>
        <v>272005.28987110819</v>
      </c>
      <c r="Q72" s="13">
        <f t="shared" si="7"/>
        <v>283602.18519705877</v>
      </c>
      <c r="R72" s="13">
        <f t="shared" si="7"/>
        <v>295630.54444815707</v>
      </c>
      <c r="S72" s="5" t="s">
        <v>134</v>
      </c>
    </row>
    <row r="73" spans="2:19" x14ac:dyDescent="0.25">
      <c r="B73" s="4" t="s">
        <v>135</v>
      </c>
      <c r="D73" s="26">
        <f t="shared" ref="D73:R73" si="8">D70-D72</f>
        <v>181089</v>
      </c>
      <c r="E73" s="26">
        <f t="shared" si="8"/>
        <v>205381</v>
      </c>
      <c r="F73" s="26">
        <f t="shared" si="8"/>
        <v>205510</v>
      </c>
      <c r="G73" s="26">
        <f t="shared" si="8"/>
        <v>214928</v>
      </c>
      <c r="H73" s="26">
        <f t="shared" si="8"/>
        <v>223487</v>
      </c>
      <c r="I73" s="26">
        <f t="shared" si="8"/>
        <v>221904.88868799998</v>
      </c>
      <c r="J73" s="26">
        <f t="shared" si="8"/>
        <v>230210.94506279999</v>
      </c>
      <c r="K73" s="26">
        <f t="shared" si="8"/>
        <v>241740.98693147389</v>
      </c>
      <c r="L73" s="26">
        <f t="shared" si="8"/>
        <v>253394.59577616537</v>
      </c>
      <c r="M73" s="26">
        <f t="shared" si="8"/>
        <v>264636.83118687343</v>
      </c>
      <c r="N73" s="26">
        <f t="shared" si="8"/>
        <v>276231.65921400662</v>
      </c>
      <c r="O73" s="26">
        <f t="shared" si="8"/>
        <v>288230.63157519186</v>
      </c>
      <c r="P73" s="26">
        <f t="shared" si="8"/>
        <v>300637.42564701434</v>
      </c>
      <c r="Q73" s="26">
        <f t="shared" si="8"/>
        <v>313455.04679674917</v>
      </c>
      <c r="R73" s="26">
        <f t="shared" si="8"/>
        <v>326749.54912691051</v>
      </c>
    </row>
    <row r="74" spans="2:19" x14ac:dyDescent="0.25">
      <c r="B74" s="3" t="s">
        <v>136</v>
      </c>
      <c r="D74" s="10">
        <f t="shared" ref="D74:R74" si="9">D73/D70</f>
        <v>0.53451380197879528</v>
      </c>
      <c r="E74" s="10">
        <f t="shared" si="9"/>
        <v>0.5151189096727915</v>
      </c>
      <c r="F74" s="10">
        <f t="shared" si="9"/>
        <v>0.51393046396534947</v>
      </c>
      <c r="G74" s="10">
        <f t="shared" si="9"/>
        <v>0.52635213733821495</v>
      </c>
      <c r="H74" s="10">
        <f t="shared" si="9"/>
        <v>0.52344760066705387</v>
      </c>
      <c r="I74" s="10">
        <f t="shared" si="9"/>
        <v>0.52400000000000002</v>
      </c>
      <c r="J74" s="10">
        <f t="shared" si="9"/>
        <v>0.52</v>
      </c>
      <c r="K74" s="10">
        <f t="shared" si="9"/>
        <v>0.52300000000000002</v>
      </c>
      <c r="L74" s="10">
        <f t="shared" si="9"/>
        <v>0.52500000000000002</v>
      </c>
      <c r="M74" s="10">
        <f t="shared" si="9"/>
        <v>0.52500000000000002</v>
      </c>
      <c r="N74" s="10">
        <f t="shared" si="9"/>
        <v>0.52500000000000002</v>
      </c>
      <c r="O74" s="10">
        <f t="shared" si="9"/>
        <v>0.52500000000000002</v>
      </c>
      <c r="P74" s="10">
        <f t="shared" si="9"/>
        <v>0.52500000000000002</v>
      </c>
      <c r="Q74" s="10">
        <f t="shared" si="9"/>
        <v>0.52500000000000002</v>
      </c>
      <c r="R74" s="10">
        <f t="shared" si="9"/>
        <v>0.52500000000000002</v>
      </c>
    </row>
    <row r="75" spans="2:19" x14ac:dyDescent="0.25">
      <c r="B75" s="3" t="s">
        <v>137</v>
      </c>
      <c r="D75" s="24">
        <v>148509</v>
      </c>
      <c r="E75" s="24">
        <v>151685</v>
      </c>
      <c r="F75" s="24">
        <v>170055</v>
      </c>
      <c r="G75" s="24">
        <v>181779</v>
      </c>
      <c r="H75" s="24">
        <v>189341</v>
      </c>
      <c r="I75" s="13">
        <f t="shared" ref="I75:R75" si="10">I70*I53</f>
        <v>184638.418832</v>
      </c>
      <c r="J75" s="13">
        <f t="shared" si="10"/>
        <v>192137.59645625998</v>
      </c>
      <c r="K75" s="13">
        <f t="shared" si="10"/>
        <v>200141.19950540763</v>
      </c>
      <c r="L75" s="13">
        <f t="shared" si="10"/>
        <v>208748.88128226955</v>
      </c>
      <c r="M75" s="13">
        <f t="shared" si="10"/>
        <v>217002.20157323621</v>
      </c>
      <c r="N75" s="13">
        <f t="shared" si="10"/>
        <v>226509.96055548542</v>
      </c>
      <c r="O75" s="13">
        <f t="shared" si="10"/>
        <v>236349.11789165728</v>
      </c>
      <c r="P75" s="13">
        <f t="shared" si="10"/>
        <v>246522.68903055176</v>
      </c>
      <c r="Q75" s="13">
        <f t="shared" si="10"/>
        <v>257033.13837333431</v>
      </c>
      <c r="R75" s="13">
        <f t="shared" si="10"/>
        <v>267934.6302840666</v>
      </c>
    </row>
    <row r="76" spans="2:19" x14ac:dyDescent="0.25">
      <c r="B76" s="4" t="s">
        <v>138</v>
      </c>
      <c r="D76" s="26">
        <f t="shared" ref="D76:R76" si="11">D73-D75</f>
        <v>32580</v>
      </c>
      <c r="E76" s="26">
        <f t="shared" si="11"/>
        <v>53696</v>
      </c>
      <c r="F76" s="26">
        <f t="shared" si="11"/>
        <v>35455</v>
      </c>
      <c r="G76" s="26">
        <f t="shared" si="11"/>
        <v>33149</v>
      </c>
      <c r="H76" s="26">
        <f t="shared" si="11"/>
        <v>34146</v>
      </c>
      <c r="I76" s="26">
        <f t="shared" si="11"/>
        <v>37266.469855999982</v>
      </c>
      <c r="J76" s="26">
        <f t="shared" si="11"/>
        <v>38073.348606540007</v>
      </c>
      <c r="K76" s="26">
        <f t="shared" si="11"/>
        <v>41599.787426066265</v>
      </c>
      <c r="L76" s="26">
        <f t="shared" si="11"/>
        <v>44645.714493895823</v>
      </c>
      <c r="M76" s="26">
        <f t="shared" si="11"/>
        <v>47634.629613637226</v>
      </c>
      <c r="N76" s="26">
        <f t="shared" si="11"/>
        <v>49721.6986585212</v>
      </c>
      <c r="O76" s="26">
        <f t="shared" si="11"/>
        <v>51881.513683534577</v>
      </c>
      <c r="P76" s="26">
        <f t="shared" si="11"/>
        <v>54114.736616462586</v>
      </c>
      <c r="Q76" s="26">
        <f t="shared" si="11"/>
        <v>56421.908423414861</v>
      </c>
      <c r="R76" s="26">
        <f t="shared" si="11"/>
        <v>58814.918842843908</v>
      </c>
    </row>
    <row r="77" spans="2:19" x14ac:dyDescent="0.25">
      <c r="B77" s="3" t="s">
        <v>139</v>
      </c>
      <c r="D77" s="10">
        <f t="shared" ref="D77:R77" si="12">D76/D70</f>
        <v>9.616519870599069E-2</v>
      </c>
      <c r="E77" s="10">
        <f t="shared" si="12"/>
        <v>0.1346756758112494</v>
      </c>
      <c r="F77" s="10">
        <f t="shared" si="12"/>
        <v>8.8664320957089524E-2</v>
      </c>
      <c r="G77" s="10">
        <f t="shared" si="12"/>
        <v>8.1180893139211674E-2</v>
      </c>
      <c r="H77" s="10">
        <f t="shared" si="12"/>
        <v>7.9976203413966912E-2</v>
      </c>
      <c r="I77" s="10">
        <f t="shared" si="12"/>
        <v>8.7999999999999967E-2</v>
      </c>
      <c r="J77" s="10">
        <f t="shared" si="12"/>
        <v>8.6000000000000021E-2</v>
      </c>
      <c r="K77" s="10">
        <f t="shared" si="12"/>
        <v>9.0000000000000024E-2</v>
      </c>
      <c r="L77" s="10">
        <f t="shared" si="12"/>
        <v>9.2500000000000054E-2</v>
      </c>
      <c r="M77" s="10">
        <f t="shared" si="12"/>
        <v>9.4500000000000015E-2</v>
      </c>
      <c r="N77" s="10">
        <f t="shared" si="12"/>
        <v>9.4500000000000015E-2</v>
      </c>
      <c r="O77" s="10">
        <f t="shared" si="12"/>
        <v>9.4500000000000084E-2</v>
      </c>
      <c r="P77" s="10">
        <f t="shared" si="12"/>
        <v>9.4500000000000015E-2</v>
      </c>
      <c r="Q77" s="10">
        <f t="shared" si="12"/>
        <v>9.4500000000000015E-2</v>
      </c>
      <c r="R77" s="10">
        <f t="shared" si="12"/>
        <v>9.4500000000000028E-2</v>
      </c>
    </row>
    <row r="78" spans="2:19" x14ac:dyDescent="0.25">
      <c r="B78" s="3" t="s">
        <v>140</v>
      </c>
      <c r="D78" s="24">
        <v>16126</v>
      </c>
      <c r="E78" s="24">
        <v>18038</v>
      </c>
      <c r="F78" s="24">
        <v>18929</v>
      </c>
      <c r="G78" s="24">
        <v>23051</v>
      </c>
      <c r="H78" s="24">
        <v>24838</v>
      </c>
      <c r="I78" s="13">
        <f t="shared" ref="I78:R78" si="13">I70*I54</f>
        <v>24985.474107999995</v>
      </c>
      <c r="J78" s="13">
        <f t="shared" si="13"/>
        <v>26120.087997509996</v>
      </c>
      <c r="K78" s="13">
        <f t="shared" si="13"/>
        <v>27270.971757087875</v>
      </c>
      <c r="L78" s="13">
        <f t="shared" si="13"/>
        <v>28235.397815058426</v>
      </c>
      <c r="M78" s="13">
        <f t="shared" si="13"/>
        <v>29488.104046537326</v>
      </c>
      <c r="N78" s="13">
        <f t="shared" si="13"/>
        <v>30780.099169560741</v>
      </c>
      <c r="O78" s="13">
        <f t="shared" si="13"/>
        <v>32117.127518378518</v>
      </c>
      <c r="P78" s="13">
        <f t="shared" si="13"/>
        <v>33499.598857810168</v>
      </c>
      <c r="Q78" s="13">
        <f t="shared" si="13"/>
        <v>34927.848071637767</v>
      </c>
      <c r="R78" s="13">
        <f t="shared" si="13"/>
        <v>36409.235474141453</v>
      </c>
    </row>
    <row r="79" spans="2:19" x14ac:dyDescent="0.25">
      <c r="B79" s="4" t="s">
        <v>141</v>
      </c>
      <c r="D79" s="26">
        <f t="shared" ref="D79:R79" si="14">D76+D78</f>
        <v>48706</v>
      </c>
      <c r="E79" s="26">
        <f t="shared" si="14"/>
        <v>71734</v>
      </c>
      <c r="F79" s="26">
        <f t="shared" si="14"/>
        <v>54384</v>
      </c>
      <c r="G79" s="26">
        <f t="shared" si="14"/>
        <v>56200</v>
      </c>
      <c r="H79" s="26">
        <f t="shared" si="14"/>
        <v>58984</v>
      </c>
      <c r="I79" s="26">
        <f t="shared" si="14"/>
        <v>62251.943963999976</v>
      </c>
      <c r="J79" s="26">
        <f t="shared" si="14"/>
        <v>64193.436604050003</v>
      </c>
      <c r="K79" s="26">
        <f t="shared" si="14"/>
        <v>68870.759183154136</v>
      </c>
      <c r="L79" s="26">
        <f t="shared" si="14"/>
        <v>72881.112308954253</v>
      </c>
      <c r="M79" s="26">
        <f t="shared" si="14"/>
        <v>77122.733660174548</v>
      </c>
      <c r="N79" s="26">
        <f t="shared" si="14"/>
        <v>80501.797828081937</v>
      </c>
      <c r="O79" s="26">
        <f t="shared" si="14"/>
        <v>83998.641201913095</v>
      </c>
      <c r="P79" s="26">
        <f t="shared" si="14"/>
        <v>87614.335474272753</v>
      </c>
      <c r="Q79" s="26">
        <f t="shared" si="14"/>
        <v>91349.756495052628</v>
      </c>
      <c r="R79" s="26">
        <f t="shared" si="14"/>
        <v>95224.154316985368</v>
      </c>
      <c r="S79" s="5" t="s">
        <v>142</v>
      </c>
    </row>
    <row r="80" spans="2:19" x14ac:dyDescent="0.25">
      <c r="B80" s="3" t="s">
        <v>143</v>
      </c>
      <c r="D80" s="10">
        <f t="shared" ref="D80:R80" si="15">D79/D70</f>
        <v>0.14376372523554276</v>
      </c>
      <c r="E80" s="10">
        <f t="shared" si="15"/>
        <v>0.179917031597217</v>
      </c>
      <c r="F80" s="10">
        <f t="shared" si="15"/>
        <v>0.13600114034495434</v>
      </c>
      <c r="G80" s="10">
        <f t="shared" si="15"/>
        <v>0.13763209129758655</v>
      </c>
      <c r="H80" s="10">
        <f t="shared" si="15"/>
        <v>0.13815136127714592</v>
      </c>
      <c r="I80" s="10">
        <f t="shared" si="15"/>
        <v>0.14699999999999996</v>
      </c>
      <c r="J80" s="10">
        <f t="shared" si="15"/>
        <v>0.14500000000000002</v>
      </c>
      <c r="K80" s="10">
        <f t="shared" si="15"/>
        <v>0.14900000000000002</v>
      </c>
      <c r="L80" s="10">
        <f t="shared" si="15"/>
        <v>0.15100000000000005</v>
      </c>
      <c r="M80" s="10">
        <f t="shared" si="15"/>
        <v>0.15300000000000002</v>
      </c>
      <c r="N80" s="10">
        <f t="shared" si="15"/>
        <v>0.15300000000000002</v>
      </c>
      <c r="O80" s="10">
        <f t="shared" si="15"/>
        <v>0.15300000000000008</v>
      </c>
      <c r="P80" s="10">
        <f t="shared" si="15"/>
        <v>0.153</v>
      </c>
      <c r="Q80" s="10">
        <f t="shared" si="15"/>
        <v>0.15300000000000002</v>
      </c>
      <c r="R80" s="10">
        <f t="shared" si="15"/>
        <v>0.15300000000000005</v>
      </c>
    </row>
    <row r="81" spans="2:20" x14ac:dyDescent="0.25">
      <c r="B81" s="3" t="s">
        <v>144</v>
      </c>
      <c r="D81" s="17">
        <v>0.33422705684081511</v>
      </c>
      <c r="E81" s="17">
        <v>0.2287564025069195</v>
      </c>
      <c r="F81" s="17">
        <v>0.3313576734629366</v>
      </c>
      <c r="G81" s="17">
        <v>0.32615163147792708</v>
      </c>
      <c r="H81" s="17">
        <v>0.3572953383309338</v>
      </c>
      <c r="I81" s="10">
        <f t="shared" ref="I81:R81" si="16">I62</f>
        <v>0.34</v>
      </c>
      <c r="J81" s="10">
        <f t="shared" si="16"/>
        <v>0.34</v>
      </c>
      <c r="K81" s="10">
        <f t="shared" si="16"/>
        <v>0.34</v>
      </c>
      <c r="L81" s="10">
        <f t="shared" si="16"/>
        <v>0.34</v>
      </c>
      <c r="M81" s="10">
        <f t="shared" si="16"/>
        <v>0.34</v>
      </c>
      <c r="N81" s="10">
        <f t="shared" si="16"/>
        <v>0.34</v>
      </c>
      <c r="O81" s="10">
        <f t="shared" si="16"/>
        <v>0.34</v>
      </c>
      <c r="P81" s="10">
        <f t="shared" si="16"/>
        <v>0.34</v>
      </c>
      <c r="Q81" s="10">
        <f t="shared" si="16"/>
        <v>0.34</v>
      </c>
      <c r="R81" s="10">
        <f t="shared" si="16"/>
        <v>0.34</v>
      </c>
      <c r="S81" s="5" t="s">
        <v>145</v>
      </c>
    </row>
    <row r="82" spans="2:20" x14ac:dyDescent="0.25">
      <c r="B82" s="3" t="s">
        <v>146</v>
      </c>
      <c r="D82" s="13">
        <f t="shared" ref="D82:R82" si="17">-D76*D81</f>
        <v>-10889.117511873756</v>
      </c>
      <c r="E82" s="13">
        <f t="shared" si="17"/>
        <v>-12283.30378901155</v>
      </c>
      <c r="F82" s="13">
        <f t="shared" si="17"/>
        <v>-11748.286312628417</v>
      </c>
      <c r="G82" s="13">
        <f t="shared" si="17"/>
        <v>-10811.600431861805</v>
      </c>
      <c r="H82" s="13">
        <f t="shared" si="17"/>
        <v>-12200.206622648066</v>
      </c>
      <c r="I82" s="13">
        <f t="shared" si="17"/>
        <v>-12670.599751039994</v>
      </c>
      <c r="J82" s="13">
        <f t="shared" si="17"/>
        <v>-12944.938526223603</v>
      </c>
      <c r="K82" s="13">
        <f t="shared" si="17"/>
        <v>-14143.927724862531</v>
      </c>
      <c r="L82" s="13">
        <f t="shared" si="17"/>
        <v>-15179.54292792458</v>
      </c>
      <c r="M82" s="13">
        <f t="shared" si="17"/>
        <v>-16195.774068636658</v>
      </c>
      <c r="N82" s="13">
        <f t="shared" si="17"/>
        <v>-16905.377543897208</v>
      </c>
      <c r="O82" s="13">
        <f t="shared" si="17"/>
        <v>-17639.714652401759</v>
      </c>
      <c r="P82" s="13">
        <f t="shared" si="17"/>
        <v>-18399.010449597281</v>
      </c>
      <c r="Q82" s="13">
        <f t="shared" si="17"/>
        <v>-19183.448863961054</v>
      </c>
      <c r="R82" s="13">
        <f t="shared" si="17"/>
        <v>-19997.072406566931</v>
      </c>
    </row>
    <row r="83" spans="2:20" x14ac:dyDescent="0.25">
      <c r="B83" s="4" t="s">
        <v>147</v>
      </c>
      <c r="D83" s="26">
        <f t="shared" ref="D83:R83" si="18">D76+D82</f>
        <v>21690.882488126244</v>
      </c>
      <c r="E83" s="26">
        <f t="shared" si="18"/>
        <v>41412.696210988448</v>
      </c>
      <c r="F83" s="26">
        <f t="shared" si="18"/>
        <v>23706.713687371583</v>
      </c>
      <c r="G83" s="26">
        <f t="shared" si="18"/>
        <v>22337.399568138193</v>
      </c>
      <c r="H83" s="26">
        <f t="shared" si="18"/>
        <v>21945.793377351933</v>
      </c>
      <c r="I83" s="26">
        <f t="shared" si="18"/>
        <v>24595.870104959988</v>
      </c>
      <c r="J83" s="26">
        <f t="shared" si="18"/>
        <v>25128.410080316404</v>
      </c>
      <c r="K83" s="26">
        <f t="shared" si="18"/>
        <v>27455.859701203735</v>
      </c>
      <c r="L83" s="26">
        <f t="shared" si="18"/>
        <v>29466.171565971243</v>
      </c>
      <c r="M83" s="26">
        <f t="shared" si="18"/>
        <v>31438.855545000566</v>
      </c>
      <c r="N83" s="26">
        <f t="shared" si="18"/>
        <v>32816.321114623992</v>
      </c>
      <c r="O83" s="26">
        <f t="shared" si="18"/>
        <v>34241.799031132818</v>
      </c>
      <c r="P83" s="26">
        <f t="shared" si="18"/>
        <v>35715.726166865308</v>
      </c>
      <c r="Q83" s="26">
        <f t="shared" si="18"/>
        <v>37238.459559453811</v>
      </c>
      <c r="R83" s="26">
        <f t="shared" si="18"/>
        <v>38817.846436276974</v>
      </c>
    </row>
    <row r="84" spans="2:20" x14ac:dyDescent="0.25">
      <c r="B84" s="3" t="s">
        <v>148</v>
      </c>
      <c r="D84" s="13">
        <f t="shared" ref="D84:R84" si="19">D78</f>
        <v>16126</v>
      </c>
      <c r="E84" s="13">
        <f t="shared" si="19"/>
        <v>18038</v>
      </c>
      <c r="F84" s="13">
        <f t="shared" si="19"/>
        <v>18929</v>
      </c>
      <c r="G84" s="13">
        <f t="shared" si="19"/>
        <v>23051</v>
      </c>
      <c r="H84" s="13">
        <f t="shared" si="19"/>
        <v>24838</v>
      </c>
      <c r="I84" s="13">
        <f t="shared" si="19"/>
        <v>24985.474107999995</v>
      </c>
      <c r="J84" s="13">
        <f t="shared" si="19"/>
        <v>26120.087997509996</v>
      </c>
      <c r="K84" s="13">
        <f t="shared" si="19"/>
        <v>27270.971757087875</v>
      </c>
      <c r="L84" s="13">
        <f t="shared" si="19"/>
        <v>28235.397815058426</v>
      </c>
      <c r="M84" s="13">
        <f t="shared" si="19"/>
        <v>29488.104046537326</v>
      </c>
      <c r="N84" s="13">
        <f t="shared" si="19"/>
        <v>30780.099169560741</v>
      </c>
      <c r="O84" s="13">
        <f t="shared" si="19"/>
        <v>32117.127518378518</v>
      </c>
      <c r="P84" s="13">
        <f t="shared" si="19"/>
        <v>33499.598857810168</v>
      </c>
      <c r="Q84" s="13">
        <f t="shared" si="19"/>
        <v>34927.848071637767</v>
      </c>
      <c r="R84" s="13">
        <f t="shared" si="19"/>
        <v>36409.235474141453</v>
      </c>
    </row>
    <row r="85" spans="2:20" x14ac:dyDescent="0.25">
      <c r="B85" s="3" t="s">
        <v>149</v>
      </c>
      <c r="D85" s="24">
        <v>-21293</v>
      </c>
      <c r="E85" s="24">
        <v>-29467</v>
      </c>
      <c r="F85" s="24">
        <v>-35672</v>
      </c>
      <c r="G85" s="24">
        <v>-30174</v>
      </c>
      <c r="H85" s="24">
        <v>-22841</v>
      </c>
      <c r="I85" s="13">
        <f t="shared" ref="I85:R85" si="20">-I70*(I55+$D$44)</f>
        <v>-19480.200151999998</v>
      </c>
      <c r="J85" s="13">
        <f t="shared" si="20"/>
        <v>-22135.667794499997</v>
      </c>
      <c r="K85" s="13">
        <f t="shared" si="20"/>
        <v>-24035.432735060498</v>
      </c>
      <c r="L85" s="13">
        <f t="shared" si="20"/>
        <v>-26063.444136977007</v>
      </c>
      <c r="M85" s="13">
        <f t="shared" si="20"/>
        <v>-27723.8585052915</v>
      </c>
      <c r="N85" s="13">
        <f t="shared" si="20"/>
        <v>-29464.710316160705</v>
      </c>
      <c r="O85" s="13">
        <f t="shared" si="20"/>
        <v>-31293.611428163684</v>
      </c>
      <c r="P85" s="13">
        <f t="shared" si="20"/>
        <v>-33213.27750005111</v>
      </c>
      <c r="Q85" s="13">
        <f t="shared" si="20"/>
        <v>-35226.376687634664</v>
      </c>
      <c r="R85" s="13">
        <f t="shared" si="20"/>
        <v>-37342.805614504054</v>
      </c>
    </row>
    <row r="86" spans="2:20" x14ac:dyDescent="0.25">
      <c r="B86" s="3" t="s">
        <v>150</v>
      </c>
      <c r="D86" s="24">
        <v>-4117</v>
      </c>
      <c r="E86" s="24">
        <v>-5056</v>
      </c>
      <c r="F86" s="24">
        <v>-4802</v>
      </c>
      <c r="G86" s="24">
        <v>-5321</v>
      </c>
      <c r="H86" s="24">
        <v>-5923</v>
      </c>
      <c r="I86" s="13">
        <f t="shared" ref="I86:R86" si="21">-I70*I56</f>
        <v>-5886.4083067999991</v>
      </c>
      <c r="J86" s="13">
        <f t="shared" si="21"/>
        <v>-6153.7156468709991</v>
      </c>
      <c r="K86" s="13">
        <f t="shared" si="21"/>
        <v>-6424.8560580257872</v>
      </c>
      <c r="L86" s="13">
        <f t="shared" si="21"/>
        <v>-6708.9235834070441</v>
      </c>
      <c r="M86" s="13">
        <f t="shared" si="21"/>
        <v>-7006.5751495191244</v>
      </c>
      <c r="N86" s="13">
        <f t="shared" si="21"/>
        <v>-7313.5620249041749</v>
      </c>
      <c r="O86" s="13">
        <f t="shared" si="21"/>
        <v>-7631.2491026574589</v>
      </c>
      <c r="P86" s="13">
        <f t="shared" si="21"/>
        <v>-7959.733745701903</v>
      </c>
      <c r="Q86" s="13">
        <f t="shared" si="21"/>
        <v>-8299.09552471393</v>
      </c>
      <c r="R86" s="13">
        <f t="shared" si="21"/>
        <v>-8651.083300693439</v>
      </c>
      <c r="S86" s="5" t="s">
        <v>151</v>
      </c>
    </row>
    <row r="87" spans="2:20" x14ac:dyDescent="0.25">
      <c r="B87" s="3" t="s">
        <v>152</v>
      </c>
      <c r="E87" s="13">
        <f t="shared" ref="E87:R87" si="22">E102</f>
        <v>6533</v>
      </c>
      <c r="F87" s="13">
        <f t="shared" si="22"/>
        <v>-10264</v>
      </c>
      <c r="G87" s="13">
        <f t="shared" si="22"/>
        <v>-1918</v>
      </c>
      <c r="H87" s="13">
        <f t="shared" si="22"/>
        <v>696</v>
      </c>
      <c r="I87" s="13">
        <f t="shared" si="22"/>
        <v>-53.145453765657294</v>
      </c>
      <c r="J87" s="13">
        <f t="shared" si="22"/>
        <v>471.37476985343528</v>
      </c>
      <c r="K87" s="13">
        <f t="shared" si="22"/>
        <v>143.57225919230768</v>
      </c>
      <c r="L87" s="13">
        <f t="shared" si="22"/>
        <v>196.00660777881421</v>
      </c>
      <c r="M87" s="13">
        <f t="shared" si="22"/>
        <v>310.42221937607246</v>
      </c>
      <c r="N87" s="13">
        <f t="shared" si="22"/>
        <v>320.01822795127373</v>
      </c>
      <c r="O87" s="13">
        <f t="shared" si="22"/>
        <v>331.03678062892141</v>
      </c>
      <c r="P87" s="13">
        <f t="shared" si="22"/>
        <v>342.53592531617323</v>
      </c>
      <c r="Q87" s="13">
        <f t="shared" si="22"/>
        <v>353.33192409843468</v>
      </c>
      <c r="R87" s="13">
        <f t="shared" si="22"/>
        <v>366.64601872336061</v>
      </c>
      <c r="S87" s="5" t="s">
        <v>153</v>
      </c>
    </row>
    <row r="88" spans="2:20" x14ac:dyDescent="0.25">
      <c r="B88" s="4" t="s">
        <v>154</v>
      </c>
      <c r="E88" s="26">
        <f t="shared" ref="E88:R88" si="23">E83+E84+E85+E86+E87</f>
        <v>31460.696210988448</v>
      </c>
      <c r="F88" s="26">
        <f t="shared" si="23"/>
        <v>-8102.286312628421</v>
      </c>
      <c r="G88" s="26">
        <f t="shared" si="23"/>
        <v>7975.399568138193</v>
      </c>
      <c r="H88" s="26">
        <f t="shared" si="23"/>
        <v>18715.793377351933</v>
      </c>
      <c r="I88" s="26">
        <f t="shared" si="23"/>
        <v>24161.590300394331</v>
      </c>
      <c r="J88" s="26">
        <f t="shared" si="23"/>
        <v>23430.48940630884</v>
      </c>
      <c r="K88" s="26">
        <f t="shared" si="23"/>
        <v>24410.114924397629</v>
      </c>
      <c r="L88" s="26">
        <f t="shared" si="23"/>
        <v>25125.208268424431</v>
      </c>
      <c r="M88" s="26">
        <f t="shared" si="23"/>
        <v>26506.948156103335</v>
      </c>
      <c r="N88" s="26">
        <f t="shared" si="23"/>
        <v>27138.16617107112</v>
      </c>
      <c r="O88" s="26">
        <f t="shared" si="23"/>
        <v>27765.102799319116</v>
      </c>
      <c r="P88" s="26">
        <f t="shared" si="23"/>
        <v>28384.849704238637</v>
      </c>
      <c r="Q88" s="26">
        <f t="shared" si="23"/>
        <v>28994.167342841421</v>
      </c>
      <c r="R88" s="26">
        <f t="shared" si="23"/>
        <v>29599.8390139443</v>
      </c>
      <c r="S88" s="5" t="s">
        <v>155</v>
      </c>
    </row>
    <row r="89" spans="2:20" x14ac:dyDescent="0.25">
      <c r="B89" s="3" t="s">
        <v>132</v>
      </c>
      <c r="J89" s="10">
        <f t="shared" ref="J89:R89" si="24">IFERROR(J88/I88-1,0)</f>
        <v>-3.0258806849876918E-2</v>
      </c>
      <c r="K89" s="10">
        <f t="shared" si="24"/>
        <v>4.1809861548389948E-2</v>
      </c>
      <c r="L89" s="10">
        <f t="shared" si="24"/>
        <v>2.9294960152443705E-2</v>
      </c>
      <c r="M89" s="10">
        <f t="shared" si="24"/>
        <v>5.4994166532556843E-2</v>
      </c>
      <c r="N89" s="10">
        <f t="shared" si="24"/>
        <v>2.3813304015628312E-2</v>
      </c>
      <c r="O89" s="10">
        <f t="shared" si="24"/>
        <v>2.31016578016352E-2</v>
      </c>
      <c r="P89" s="10">
        <f t="shared" si="24"/>
        <v>2.2321073665706681E-2</v>
      </c>
      <c r="Q89" s="10">
        <f t="shared" si="24"/>
        <v>2.1466297864941586E-2</v>
      </c>
      <c r="R89" s="10">
        <f t="shared" si="24"/>
        <v>2.0889431448094964E-2</v>
      </c>
    </row>
    <row r="90" spans="2:20" x14ac:dyDescent="0.25">
      <c r="B90" s="3" t="s">
        <v>156</v>
      </c>
      <c r="I90" s="10">
        <f t="shared" ref="I90:R90" si="25">I88/I70</f>
        <v>5.7054503811349716E-2</v>
      </c>
      <c r="J90" s="10">
        <f t="shared" si="25"/>
        <v>5.2924740341763178E-2</v>
      </c>
      <c r="K90" s="10">
        <f t="shared" si="25"/>
        <v>5.2810614647978031E-2</v>
      </c>
      <c r="L90" s="10">
        <f t="shared" si="25"/>
        <v>5.2056099699043248E-2</v>
      </c>
      <c r="M90" s="10">
        <f t="shared" si="25"/>
        <v>5.2585831380845688E-2</v>
      </c>
      <c r="N90" s="10">
        <f t="shared" si="25"/>
        <v>5.1578219818656838E-2</v>
      </c>
      <c r="O90" s="10">
        <f t="shared" si="25"/>
        <v>5.0572969604168745E-2</v>
      </c>
      <c r="P90" s="10">
        <f t="shared" si="25"/>
        <v>4.9568166912865121E-2</v>
      </c>
      <c r="Q90" s="10">
        <f t="shared" si="25"/>
        <v>4.8561789036569478E-2</v>
      </c>
      <c r="R90" s="10">
        <f t="shared" si="25"/>
        <v>4.7559103061791855E-2</v>
      </c>
    </row>
    <row r="92" spans="2:20" x14ac:dyDescent="0.25">
      <c r="B92" s="6" t="s">
        <v>157</v>
      </c>
      <c r="C92" s="7"/>
      <c r="D92" s="22" t="s">
        <v>75</v>
      </c>
      <c r="E92" s="22" t="s">
        <v>76</v>
      </c>
      <c r="F92" s="22" t="s">
        <v>77</v>
      </c>
      <c r="G92" s="22" t="s">
        <v>78</v>
      </c>
      <c r="H92" s="22" t="s">
        <v>79</v>
      </c>
      <c r="I92" s="22" t="s">
        <v>80</v>
      </c>
      <c r="J92" s="22" t="s">
        <v>81</v>
      </c>
      <c r="K92" s="22" t="s">
        <v>82</v>
      </c>
      <c r="L92" s="22" t="s">
        <v>83</v>
      </c>
      <c r="M92" s="22" t="s">
        <v>84</v>
      </c>
      <c r="N92" s="22" t="s">
        <v>85</v>
      </c>
      <c r="O92" s="22" t="s">
        <v>86</v>
      </c>
      <c r="P92" s="22" t="s">
        <v>87</v>
      </c>
      <c r="Q92" s="22" t="s">
        <v>88</v>
      </c>
      <c r="R92" s="22" t="s">
        <v>89</v>
      </c>
      <c r="S92" s="6" t="s">
        <v>90</v>
      </c>
      <c r="T92" s="7"/>
    </row>
    <row r="93" spans="2:20" x14ac:dyDescent="0.25">
      <c r="B93" s="3" t="s">
        <v>158</v>
      </c>
      <c r="D93" s="24">
        <v>19184</v>
      </c>
      <c r="E93" s="24">
        <v>21600</v>
      </c>
      <c r="F93" s="24">
        <v>21268</v>
      </c>
      <c r="G93" s="24">
        <v>23555</v>
      </c>
      <c r="H93" s="24">
        <v>23784</v>
      </c>
      <c r="I93" s="13">
        <f t="shared" ref="I93:R93" si="26">I70*I57/365</f>
        <v>23552.594585205476</v>
      </c>
      <c r="J93" s="13">
        <f t="shared" si="26"/>
        <v>24622.140067306846</v>
      </c>
      <c r="K93" s="13">
        <f t="shared" si="26"/>
        <v>25707.02236679284</v>
      </c>
      <c r="L93" s="13">
        <f t="shared" si="26"/>
        <v>26843.62841099103</v>
      </c>
      <c r="M93" s="13">
        <f t="shared" si="26"/>
        <v>28034.586682810332</v>
      </c>
      <c r="N93" s="13">
        <f t="shared" si="26"/>
        <v>29262.897231803443</v>
      </c>
      <c r="O93" s="13">
        <f t="shared" si="26"/>
        <v>30534.021244495209</v>
      </c>
      <c r="P93" s="13">
        <f t="shared" si="26"/>
        <v>31848.348287720244</v>
      </c>
      <c r="Q93" s="13">
        <f t="shared" si="26"/>
        <v>33206.196738285762</v>
      </c>
      <c r="R93" s="13">
        <f t="shared" si="26"/>
        <v>34614.564108421568</v>
      </c>
    </row>
    <row r="94" spans="2:20" x14ac:dyDescent="0.25">
      <c r="B94" s="3" t="s">
        <v>159</v>
      </c>
      <c r="D94" s="24">
        <v>13710</v>
      </c>
      <c r="E94" s="24">
        <v>16989</v>
      </c>
      <c r="F94" s="24">
        <v>16120</v>
      </c>
      <c r="G94" s="24">
        <v>18832</v>
      </c>
      <c r="H94" s="24">
        <v>17151</v>
      </c>
      <c r="I94" s="13">
        <f t="shared" ref="I94:R94" si="27">I72*I58/365</f>
        <v>17009.846241122192</v>
      </c>
      <c r="J94" s="13">
        <f t="shared" si="27"/>
        <v>17931.71028350071</v>
      </c>
      <c r="K94" s="13">
        <f t="shared" si="27"/>
        <v>18604.792601180972</v>
      </c>
      <c r="L94" s="13">
        <f t="shared" si="27"/>
        <v>19345.925303093536</v>
      </c>
      <c r="M94" s="13">
        <f t="shared" si="27"/>
        <v>20204.236609335723</v>
      </c>
      <c r="N94" s="13">
        <f t="shared" si="27"/>
        <v>21089.467315334205</v>
      </c>
      <c r="O94" s="13">
        <f t="shared" si="27"/>
        <v>22005.553241722409</v>
      </c>
      <c r="P94" s="13">
        <f t="shared" si="27"/>
        <v>22952.775145288033</v>
      </c>
      <c r="Q94" s="13">
        <f t="shared" si="27"/>
        <v>23931.362476902497</v>
      </c>
      <c r="R94" s="13">
        <f t="shared" si="27"/>
        <v>24946.358271241748</v>
      </c>
    </row>
    <row r="95" spans="2:20" x14ac:dyDescent="0.25">
      <c r="B95" s="3" t="s">
        <v>160</v>
      </c>
      <c r="D95" s="24">
        <v>11769</v>
      </c>
      <c r="E95" s="24">
        <v>12568</v>
      </c>
      <c r="F95" s="24">
        <v>15173</v>
      </c>
      <c r="G95" s="24">
        <v>16736</v>
      </c>
      <c r="H95" s="24">
        <v>15201</v>
      </c>
      <c r="I95" s="13">
        <f t="shared" ref="I95:R95" si="28">I70*I60</f>
        <v>15088.68546556</v>
      </c>
      <c r="J95" s="13">
        <f t="shared" si="28"/>
        <v>15710.126147112536</v>
      </c>
      <c r="K95" s="13">
        <f t="shared" si="28"/>
        <v>16340.396500958825</v>
      </c>
      <c r="L95" s="13">
        <f t="shared" si="28"/>
        <v>17001.08807927552</v>
      </c>
      <c r="M95" s="13">
        <f t="shared" si="28"/>
        <v>17692.862427922395</v>
      </c>
      <c r="N95" s="13">
        <f t="shared" si="28"/>
        <v>18406.499303397322</v>
      </c>
      <c r="O95" s="13">
        <f t="shared" si="28"/>
        <v>19145.102065314455</v>
      </c>
      <c r="P95" s="13">
        <f t="shared" si="28"/>
        <v>19908.496647703047</v>
      </c>
      <c r="Q95" s="13">
        <f t="shared" si="28"/>
        <v>20697.586004297347</v>
      </c>
      <c r="R95" s="13">
        <f t="shared" si="28"/>
        <v>21515.679834890085</v>
      </c>
    </row>
    <row r="96" spans="2:20" x14ac:dyDescent="0.25">
      <c r="B96" s="3" t="s">
        <v>161</v>
      </c>
      <c r="D96" s="24">
        <v>1487</v>
      </c>
      <c r="E96" s="24">
        <v>1055</v>
      </c>
      <c r="F96" s="24">
        <v>1794</v>
      </c>
      <c r="G96" s="24">
        <v>2261</v>
      </c>
      <c r="H96" s="24">
        <v>1405</v>
      </c>
      <c r="I96" s="13">
        <f t="shared" ref="I96:R96" si="29">$H96</f>
        <v>1405</v>
      </c>
      <c r="J96" s="13">
        <f t="shared" si="29"/>
        <v>1405</v>
      </c>
      <c r="K96" s="13">
        <f t="shared" si="29"/>
        <v>1405</v>
      </c>
      <c r="L96" s="13">
        <f t="shared" si="29"/>
        <v>1405</v>
      </c>
      <c r="M96" s="13">
        <f t="shared" si="29"/>
        <v>1405</v>
      </c>
      <c r="N96" s="13">
        <f t="shared" si="29"/>
        <v>1405</v>
      </c>
      <c r="O96" s="13">
        <f t="shared" si="29"/>
        <v>1405</v>
      </c>
      <c r="P96" s="13">
        <f t="shared" si="29"/>
        <v>1405</v>
      </c>
      <c r="Q96" s="13">
        <f t="shared" si="29"/>
        <v>1405</v>
      </c>
      <c r="R96" s="13">
        <f t="shared" si="29"/>
        <v>1405</v>
      </c>
      <c r="S96" s="5" t="s">
        <v>162</v>
      </c>
    </row>
    <row r="97" spans="2:20" x14ac:dyDescent="0.25">
      <c r="B97" s="3" t="s">
        <v>163</v>
      </c>
      <c r="D97" s="24">
        <v>35752</v>
      </c>
      <c r="E97" s="24">
        <v>44058</v>
      </c>
      <c r="F97" s="24">
        <v>40409</v>
      </c>
      <c r="G97" s="24">
        <v>40815</v>
      </c>
      <c r="H97" s="24">
        <v>39074</v>
      </c>
      <c r="I97" s="13">
        <f t="shared" ref="I97:R97" si="30">I72*I59/365</f>
        <v>38713.96823060602</v>
      </c>
      <c r="J97" s="13">
        <f t="shared" si="30"/>
        <v>40812.106846538947</v>
      </c>
      <c r="K97" s="13">
        <f t="shared" si="30"/>
        <v>42344.024718921624</v>
      </c>
      <c r="L97" s="13">
        <f t="shared" si="30"/>
        <v>44030.823498274571</v>
      </c>
      <c r="M97" s="13">
        <f t="shared" si="30"/>
        <v>45984.31773748163</v>
      </c>
      <c r="N97" s="13">
        <f t="shared" si="30"/>
        <v>47999.079831328818</v>
      </c>
      <c r="O97" s="13">
        <f t="shared" si="30"/>
        <v>50084.067605348726</v>
      </c>
      <c r="P97" s="13">
        <f t="shared" si="30"/>
        <v>52239.920054697766</v>
      </c>
      <c r="Q97" s="13">
        <f t="shared" si="30"/>
        <v>54467.1594035995</v>
      </c>
      <c r="R97" s="13">
        <f t="shared" si="30"/>
        <v>56777.263467988516</v>
      </c>
    </row>
    <row r="98" spans="2:20" x14ac:dyDescent="0.25">
      <c r="B98" s="3" t="s">
        <v>164</v>
      </c>
      <c r="D98" s="24">
        <v>28590</v>
      </c>
      <c r="E98" s="24">
        <v>33311</v>
      </c>
      <c r="F98" s="24">
        <v>28100</v>
      </c>
      <c r="G98" s="24">
        <v>32338</v>
      </c>
      <c r="H98" s="24">
        <v>31788</v>
      </c>
      <c r="I98" s="13">
        <f t="shared" ref="I98:R98" si="31">I70*I61</f>
        <v>31610.012607515997</v>
      </c>
      <c r="J98" s="13">
        <f t="shared" si="31"/>
        <v>32596.098967468915</v>
      </c>
      <c r="K98" s="13">
        <f t="shared" si="31"/>
        <v>33595.988325291102</v>
      </c>
      <c r="L98" s="13">
        <f t="shared" si="31"/>
        <v>34643.626478144419</v>
      </c>
      <c r="M98" s="13">
        <f t="shared" si="31"/>
        <v>35741.598385021804</v>
      </c>
      <c r="N98" s="13">
        <f t="shared" si="31"/>
        <v>36874.032649592409</v>
      </c>
      <c r="O98" s="13">
        <f t="shared" si="31"/>
        <v>38045.894357198515</v>
      </c>
      <c r="P98" s="13">
        <f t="shared" si="31"/>
        <v>39257.521362344894</v>
      </c>
      <c r="Q98" s="13">
        <f t="shared" si="31"/>
        <v>40509.139076315885</v>
      </c>
      <c r="R98" s="13">
        <f t="shared" si="31"/>
        <v>41807.138025718014</v>
      </c>
    </row>
    <row r="99" spans="2:20" x14ac:dyDescent="0.25">
      <c r="B99" s="3" t="s">
        <v>165</v>
      </c>
      <c r="D99" s="24">
        <v>6306</v>
      </c>
      <c r="E99" s="24">
        <v>11914</v>
      </c>
      <c r="F99" s="24">
        <v>9143</v>
      </c>
      <c r="G99" s="24">
        <v>10012</v>
      </c>
      <c r="H99" s="24">
        <v>9899</v>
      </c>
      <c r="I99" s="13">
        <f t="shared" ref="I99:R99" si="32">$H99</f>
        <v>9899</v>
      </c>
      <c r="J99" s="13">
        <f t="shared" si="32"/>
        <v>9899</v>
      </c>
      <c r="K99" s="13">
        <f t="shared" si="32"/>
        <v>9899</v>
      </c>
      <c r="L99" s="13">
        <f t="shared" si="32"/>
        <v>9899</v>
      </c>
      <c r="M99" s="13">
        <f t="shared" si="32"/>
        <v>9899</v>
      </c>
      <c r="N99" s="13">
        <f t="shared" si="32"/>
        <v>9899</v>
      </c>
      <c r="O99" s="13">
        <f t="shared" si="32"/>
        <v>9899</v>
      </c>
      <c r="P99" s="13">
        <f t="shared" si="32"/>
        <v>9899</v>
      </c>
      <c r="Q99" s="13">
        <f t="shared" si="32"/>
        <v>9899</v>
      </c>
      <c r="R99" s="13">
        <f t="shared" si="32"/>
        <v>9899</v>
      </c>
      <c r="S99" s="5" t="s">
        <v>166</v>
      </c>
    </row>
    <row r="100" spans="2:20" x14ac:dyDescent="0.25">
      <c r="B100" s="3" t="s">
        <v>167</v>
      </c>
      <c r="D100" s="13">
        <f t="shared" ref="D100:R100" si="33">D93+D94+D95-D97-D98</f>
        <v>-19679</v>
      </c>
      <c r="E100" s="13">
        <f t="shared" si="33"/>
        <v>-26212</v>
      </c>
      <c r="F100" s="13">
        <f t="shared" si="33"/>
        <v>-15948</v>
      </c>
      <c r="G100" s="13">
        <f t="shared" si="33"/>
        <v>-14030</v>
      </c>
      <c r="H100" s="13">
        <f t="shared" si="33"/>
        <v>-14726</v>
      </c>
      <c r="I100" s="13">
        <f t="shared" si="33"/>
        <v>-14672.854546234343</v>
      </c>
      <c r="J100" s="13">
        <f t="shared" si="33"/>
        <v>-15144.229316087778</v>
      </c>
      <c r="K100" s="13">
        <f t="shared" si="33"/>
        <v>-15287.801575280086</v>
      </c>
      <c r="L100" s="13">
        <f t="shared" si="33"/>
        <v>-15483.8081830589</v>
      </c>
      <c r="M100" s="13">
        <f t="shared" si="33"/>
        <v>-15794.230402434972</v>
      </c>
      <c r="N100" s="13">
        <f t="shared" si="33"/>
        <v>-16114.248630386246</v>
      </c>
      <c r="O100" s="13">
        <f t="shared" si="33"/>
        <v>-16445.285411015167</v>
      </c>
      <c r="P100" s="13">
        <f t="shared" si="33"/>
        <v>-16787.821336331341</v>
      </c>
      <c r="Q100" s="13">
        <f t="shared" si="33"/>
        <v>-17141.153260429775</v>
      </c>
      <c r="R100" s="13">
        <f t="shared" si="33"/>
        <v>-17507.799279153136</v>
      </c>
    </row>
    <row r="101" spans="2:20" x14ac:dyDescent="0.25">
      <c r="B101" s="4" t="s">
        <v>168</v>
      </c>
      <c r="D101" s="26">
        <f t="shared" ref="D101:R101" si="34">D100-D96+D99</f>
        <v>-14860</v>
      </c>
      <c r="E101" s="26">
        <f t="shared" si="34"/>
        <v>-15353</v>
      </c>
      <c r="F101" s="26">
        <f t="shared" si="34"/>
        <v>-8599</v>
      </c>
      <c r="G101" s="26">
        <f t="shared" si="34"/>
        <v>-6279</v>
      </c>
      <c r="H101" s="26">
        <f t="shared" si="34"/>
        <v>-6232</v>
      </c>
      <c r="I101" s="26">
        <f t="shared" si="34"/>
        <v>-6178.8545462343427</v>
      </c>
      <c r="J101" s="26">
        <f t="shared" si="34"/>
        <v>-6650.229316087778</v>
      </c>
      <c r="K101" s="26">
        <f t="shared" si="34"/>
        <v>-6793.8015752800857</v>
      </c>
      <c r="L101" s="26">
        <f t="shared" si="34"/>
        <v>-6989.8081830588999</v>
      </c>
      <c r="M101" s="26">
        <f t="shared" si="34"/>
        <v>-7300.2304024349723</v>
      </c>
      <c r="N101" s="26">
        <f t="shared" si="34"/>
        <v>-7620.2486303862461</v>
      </c>
      <c r="O101" s="26">
        <f t="shared" si="34"/>
        <v>-7951.2854110151675</v>
      </c>
      <c r="P101" s="26">
        <f t="shared" si="34"/>
        <v>-8293.8213363313407</v>
      </c>
      <c r="Q101" s="26">
        <f t="shared" si="34"/>
        <v>-8647.1532604297754</v>
      </c>
      <c r="R101" s="26">
        <f t="shared" si="34"/>
        <v>-9013.799279153136</v>
      </c>
      <c r="S101" s="5" t="s">
        <v>169</v>
      </c>
    </row>
    <row r="102" spans="2:20" x14ac:dyDescent="0.25">
      <c r="B102" s="3" t="s">
        <v>170</v>
      </c>
      <c r="E102" s="13">
        <f t="shared" ref="E102:R102" si="35">-(E100-D100)</f>
        <v>6533</v>
      </c>
      <c r="F102" s="13">
        <f t="shared" si="35"/>
        <v>-10264</v>
      </c>
      <c r="G102" s="13">
        <f t="shared" si="35"/>
        <v>-1918</v>
      </c>
      <c r="H102" s="13">
        <f t="shared" si="35"/>
        <v>696</v>
      </c>
      <c r="I102" s="13">
        <f t="shared" si="35"/>
        <v>-53.145453765657294</v>
      </c>
      <c r="J102" s="13">
        <f t="shared" si="35"/>
        <v>471.37476985343528</v>
      </c>
      <c r="K102" s="13">
        <f t="shared" si="35"/>
        <v>143.57225919230768</v>
      </c>
      <c r="L102" s="13">
        <f t="shared" si="35"/>
        <v>196.00660777881421</v>
      </c>
      <c r="M102" s="13">
        <f t="shared" si="35"/>
        <v>310.42221937607246</v>
      </c>
      <c r="N102" s="13">
        <f t="shared" si="35"/>
        <v>320.01822795127373</v>
      </c>
      <c r="O102" s="13">
        <f t="shared" si="35"/>
        <v>331.03678062892141</v>
      </c>
      <c r="P102" s="13">
        <f t="shared" si="35"/>
        <v>342.53592531617323</v>
      </c>
      <c r="Q102" s="13">
        <f t="shared" si="35"/>
        <v>353.33192409843468</v>
      </c>
      <c r="R102" s="13">
        <f t="shared" si="35"/>
        <v>366.64601872336061</v>
      </c>
      <c r="S102" s="5" t="s">
        <v>171</v>
      </c>
    </row>
    <row r="103" spans="2:20" x14ac:dyDescent="0.25">
      <c r="B103" s="3" t="s">
        <v>172</v>
      </c>
      <c r="E103" s="13">
        <f t="shared" ref="E103:R103" si="36">-(E101-D101)</f>
        <v>493</v>
      </c>
      <c r="F103" s="13">
        <f t="shared" si="36"/>
        <v>-6754</v>
      </c>
      <c r="G103" s="13">
        <f t="shared" si="36"/>
        <v>-2320</v>
      </c>
      <c r="H103" s="13">
        <f t="shared" si="36"/>
        <v>-47</v>
      </c>
      <c r="I103" s="13">
        <f t="shared" si="36"/>
        <v>-53.145453765657294</v>
      </c>
      <c r="J103" s="13">
        <f t="shared" si="36"/>
        <v>471.37476985343528</v>
      </c>
      <c r="K103" s="13">
        <f t="shared" si="36"/>
        <v>143.57225919230768</v>
      </c>
      <c r="L103" s="13">
        <f t="shared" si="36"/>
        <v>196.00660777881421</v>
      </c>
      <c r="M103" s="13">
        <f t="shared" si="36"/>
        <v>310.42221937607246</v>
      </c>
      <c r="N103" s="13">
        <f t="shared" si="36"/>
        <v>320.01822795127373</v>
      </c>
      <c r="O103" s="13">
        <f t="shared" si="36"/>
        <v>331.03678062892141</v>
      </c>
      <c r="P103" s="13">
        <f t="shared" si="36"/>
        <v>342.53592531617323</v>
      </c>
      <c r="Q103" s="13">
        <f t="shared" si="36"/>
        <v>353.33192409843468</v>
      </c>
      <c r="R103" s="13">
        <f t="shared" si="36"/>
        <v>366.64601872336061</v>
      </c>
    </row>
    <row r="105" spans="2:20" x14ac:dyDescent="0.25">
      <c r="B105" s="6" t="s">
        <v>173</v>
      </c>
      <c r="C105" s="7"/>
      <c r="D105" s="22" t="s">
        <v>75</v>
      </c>
      <c r="E105" s="22" t="s">
        <v>76</v>
      </c>
      <c r="F105" s="22" t="s">
        <v>77</v>
      </c>
      <c r="G105" s="22" t="s">
        <v>78</v>
      </c>
      <c r="H105" s="22" t="s">
        <v>79</v>
      </c>
      <c r="I105" s="22" t="s">
        <v>80</v>
      </c>
      <c r="J105" s="22" t="s">
        <v>81</v>
      </c>
      <c r="K105" s="22" t="s">
        <v>82</v>
      </c>
      <c r="L105" s="22" t="s">
        <v>83</v>
      </c>
      <c r="M105" s="22" t="s">
        <v>84</v>
      </c>
      <c r="N105" s="22" t="s">
        <v>85</v>
      </c>
      <c r="O105" s="22" t="s">
        <v>86</v>
      </c>
      <c r="P105" s="22" t="s">
        <v>87</v>
      </c>
      <c r="Q105" s="22" t="s">
        <v>88</v>
      </c>
      <c r="R105" s="22" t="s">
        <v>89</v>
      </c>
      <c r="S105" s="6" t="s">
        <v>90</v>
      </c>
      <c r="T105" s="7"/>
    </row>
    <row r="106" spans="2:20" x14ac:dyDescent="0.25">
      <c r="B106" s="3" t="s">
        <v>174</v>
      </c>
      <c r="I106" s="27">
        <v>1</v>
      </c>
      <c r="J106" s="27">
        <v>2</v>
      </c>
      <c r="K106" s="27">
        <v>3</v>
      </c>
      <c r="L106" s="27">
        <v>4</v>
      </c>
      <c r="M106" s="27">
        <v>5</v>
      </c>
      <c r="N106" s="27">
        <v>6</v>
      </c>
      <c r="O106" s="27">
        <v>7</v>
      </c>
      <c r="P106" s="27">
        <v>8</v>
      </c>
      <c r="Q106" s="27">
        <v>9</v>
      </c>
      <c r="R106" s="27">
        <v>10</v>
      </c>
    </row>
    <row r="107" spans="2:20" x14ac:dyDescent="0.25">
      <c r="B107" s="3" t="s">
        <v>175</v>
      </c>
      <c r="I107" s="28">
        <f t="shared" ref="I107:R107" si="37">I106-$D$37</f>
        <v>0.5</v>
      </c>
      <c r="J107" s="28">
        <f t="shared" si="37"/>
        <v>1.5</v>
      </c>
      <c r="K107" s="28">
        <f t="shared" si="37"/>
        <v>2.5</v>
      </c>
      <c r="L107" s="28">
        <f t="shared" si="37"/>
        <v>3.5</v>
      </c>
      <c r="M107" s="28">
        <f t="shared" si="37"/>
        <v>4.5</v>
      </c>
      <c r="N107" s="28">
        <f t="shared" si="37"/>
        <v>5.5</v>
      </c>
      <c r="O107" s="28">
        <f t="shared" si="37"/>
        <v>6.5</v>
      </c>
      <c r="P107" s="28">
        <f t="shared" si="37"/>
        <v>7.5</v>
      </c>
      <c r="Q107" s="28">
        <f t="shared" si="37"/>
        <v>8.5</v>
      </c>
      <c r="R107" s="28">
        <f t="shared" si="37"/>
        <v>9.5</v>
      </c>
    </row>
    <row r="108" spans="2:20" x14ac:dyDescent="0.25">
      <c r="B108" s="3" t="s">
        <v>176</v>
      </c>
      <c r="I108" s="29">
        <f t="shared" ref="I108:R108" si="38">1/(1+$D$34)^I107</f>
        <v>0.95206461864703928</v>
      </c>
      <c r="J108" s="29">
        <f t="shared" si="38"/>
        <v>0.8629771123405553</v>
      </c>
      <c r="K108" s="29">
        <f t="shared" si="38"/>
        <v>0.78222578786927732</v>
      </c>
      <c r="L108" s="29">
        <f t="shared" si="38"/>
        <v>0.70903060400777762</v>
      </c>
      <c r="M108" s="29">
        <f t="shared" si="38"/>
        <v>0.64268451029851159</v>
      </c>
      <c r="N108" s="29">
        <f t="shared" si="38"/>
        <v>0.58254661708947453</v>
      </c>
      <c r="O108" s="29">
        <f t="shared" si="38"/>
        <v>0.52803600467166389</v>
      </c>
      <c r="P108" s="29">
        <f t="shared" si="38"/>
        <v>0.47862611171388636</v>
      </c>
      <c r="Q108" s="29">
        <f t="shared" si="38"/>
        <v>0.43383964878834136</v>
      </c>
      <c r="R108" s="29">
        <f t="shared" si="38"/>
        <v>0.39324398785268078</v>
      </c>
    </row>
    <row r="109" spans="2:20" x14ac:dyDescent="0.25">
      <c r="B109" s="4" t="s">
        <v>177</v>
      </c>
      <c r="I109" s="26">
        <f t="shared" ref="I109:R109" si="39">I88*I108</f>
        <v>23003.395255250933</v>
      </c>
      <c r="J109" s="26">
        <f t="shared" si="39"/>
        <v>20219.976088582374</v>
      </c>
      <c r="K109" s="26">
        <f t="shared" si="39"/>
        <v>19094.221378716538</v>
      </c>
      <c r="L109" s="26">
        <f t="shared" si="39"/>
        <v>17814.541594382183</v>
      </c>
      <c r="M109" s="26">
        <f t="shared" si="39"/>
        <v>17035.604995213307</v>
      </c>
      <c r="N109" s="26">
        <f t="shared" si="39"/>
        <v>15809.246896969498</v>
      </c>
      <c r="O109" s="26">
        <f t="shared" si="39"/>
        <v>14660.973951450498</v>
      </c>
      <c r="P109" s="26">
        <f t="shared" si="39"/>
        <v>13585.730245522796</v>
      </c>
      <c r="Q109" s="26">
        <f t="shared" si="39"/>
        <v>12578.819376928719</v>
      </c>
      <c r="R109" s="26">
        <f t="shared" si="39"/>
        <v>11639.958733640819</v>
      </c>
    </row>
    <row r="111" spans="2:20" x14ac:dyDescent="0.25">
      <c r="B111" s="6" t="s">
        <v>178</v>
      </c>
      <c r="C111" s="7"/>
      <c r="D111" s="7"/>
      <c r="E111" s="7"/>
      <c r="F111" s="7"/>
      <c r="G111" s="7"/>
      <c r="H111" s="7"/>
      <c r="I111" s="7"/>
      <c r="J111" s="7"/>
      <c r="K111" s="7"/>
      <c r="L111" s="7"/>
      <c r="M111" s="7"/>
      <c r="N111" s="7"/>
      <c r="O111" s="7"/>
      <c r="P111" s="7"/>
      <c r="Q111" s="7"/>
      <c r="R111" s="7"/>
      <c r="S111" s="7"/>
      <c r="T111" s="7"/>
    </row>
    <row r="112" spans="2:20" x14ac:dyDescent="0.25">
      <c r="B112" s="3" t="s">
        <v>179</v>
      </c>
      <c r="D112" s="13">
        <f>SUM(I109:R109)</f>
        <v>165442.46851665768</v>
      </c>
    </row>
    <row r="113" spans="2:20" x14ac:dyDescent="0.25">
      <c r="B113" s="3" t="s">
        <v>180</v>
      </c>
      <c r="D113" s="13">
        <f>R88*(1+$D$39)/($D$34-$D$39)</f>
        <v>508092.07140835229</v>
      </c>
    </row>
    <row r="114" spans="2:20" x14ac:dyDescent="0.25">
      <c r="B114" s="3" t="s">
        <v>181</v>
      </c>
      <c r="D114" s="13">
        <f>$D$113/(1+$D$34)^(10-$D$37)</f>
        <v>199804.15235694952</v>
      </c>
    </row>
    <row r="115" spans="2:20" x14ac:dyDescent="0.25">
      <c r="B115" s="4" t="s">
        <v>182</v>
      </c>
      <c r="D115" s="26">
        <f>$D$112+$D$114</f>
        <v>365246.62087360723</v>
      </c>
    </row>
    <row r="116" spans="2:20" x14ac:dyDescent="0.25">
      <c r="B116" s="3" t="s">
        <v>183</v>
      </c>
      <c r="D116" s="13">
        <f>R79*$D$40</f>
        <v>571344.92590191215</v>
      </c>
    </row>
    <row r="117" spans="2:20" x14ac:dyDescent="0.25">
      <c r="B117" s="3" t="s">
        <v>184</v>
      </c>
      <c r="D117" s="13">
        <f>$D$116/(1+$D$34)^10</f>
        <v>213907.93354581873</v>
      </c>
    </row>
    <row r="118" spans="2:20" x14ac:dyDescent="0.25">
      <c r="B118" s="4" t="s">
        <v>185</v>
      </c>
      <c r="D118" s="26">
        <f>$D$112+$D$117</f>
        <v>379350.40206247638</v>
      </c>
    </row>
    <row r="119" spans="2:20" x14ac:dyDescent="0.25">
      <c r="B119" s="3" t="s">
        <v>186</v>
      </c>
      <c r="D119" s="10">
        <f>$D$114/$D$115</f>
        <v>0.54703901675819011</v>
      </c>
    </row>
    <row r="120" spans="2:20" x14ac:dyDescent="0.25">
      <c r="B120" s="3" t="s">
        <v>187</v>
      </c>
      <c r="D120" s="10">
        <f>$D$117/$D$118</f>
        <v>0.56387954878347424</v>
      </c>
    </row>
    <row r="122" spans="2:20" x14ac:dyDescent="0.25">
      <c r="B122" s="6" t="s">
        <v>188</v>
      </c>
      <c r="C122" s="7"/>
      <c r="D122" s="7"/>
      <c r="E122" s="7"/>
      <c r="F122" s="7"/>
      <c r="G122" s="7"/>
      <c r="H122" s="7"/>
      <c r="I122" s="7"/>
      <c r="J122" s="7"/>
      <c r="K122" s="7"/>
      <c r="L122" s="7"/>
      <c r="M122" s="7"/>
      <c r="N122" s="7"/>
      <c r="O122" s="7"/>
      <c r="P122" s="7"/>
      <c r="Q122" s="7"/>
      <c r="R122" s="7"/>
      <c r="S122" s="7"/>
      <c r="T122" s="7"/>
    </row>
    <row r="123" spans="2:20" x14ac:dyDescent="0.25">
      <c r="B123" s="3" t="s">
        <v>189</v>
      </c>
      <c r="D123" s="24">
        <v>12635</v>
      </c>
      <c r="E123" s="5" t="s">
        <v>190</v>
      </c>
    </row>
    <row r="124" spans="2:20" x14ac:dyDescent="0.25">
      <c r="B124" s="3" t="s">
        <v>191</v>
      </c>
      <c r="D124" s="24">
        <v>141028</v>
      </c>
      <c r="E124" s="5" t="s">
        <v>190</v>
      </c>
    </row>
    <row r="125" spans="2:20" x14ac:dyDescent="0.25">
      <c r="B125" s="3" t="s">
        <v>192</v>
      </c>
      <c r="D125" s="24">
        <v>34790</v>
      </c>
      <c r="E125" s="5" t="s">
        <v>190</v>
      </c>
    </row>
    <row r="126" spans="2:20" x14ac:dyDescent="0.25">
      <c r="B126" s="3" t="s">
        <v>193</v>
      </c>
      <c r="D126" s="24">
        <v>8535</v>
      </c>
      <c r="E126" s="5" t="s">
        <v>190</v>
      </c>
    </row>
    <row r="127" spans="2:20" x14ac:dyDescent="0.25">
      <c r="B127" s="3" t="s">
        <v>194</v>
      </c>
      <c r="D127" s="13">
        <f>$D$123+$D$124+$D$125-$D$126</f>
        <v>179918</v>
      </c>
    </row>
    <row r="128" spans="2:20" x14ac:dyDescent="0.25">
      <c r="B128" s="3" t="s">
        <v>195</v>
      </c>
      <c r="D128" s="24">
        <v>743</v>
      </c>
      <c r="E128" s="5" t="s">
        <v>190</v>
      </c>
    </row>
    <row r="129" spans="2:20" x14ac:dyDescent="0.25">
      <c r="B129" s="30" t="s">
        <v>196</v>
      </c>
      <c r="C129" s="31"/>
      <c r="D129" s="31"/>
      <c r="E129" s="31"/>
      <c r="F129" s="31"/>
      <c r="G129" s="31"/>
      <c r="H129" s="31"/>
      <c r="I129" s="31"/>
      <c r="J129" s="31"/>
      <c r="K129" s="31"/>
      <c r="L129" s="31"/>
      <c r="M129" s="31"/>
      <c r="N129" s="31"/>
      <c r="O129" s="31"/>
      <c r="P129" s="31"/>
      <c r="Q129" s="31"/>
      <c r="R129" s="31"/>
      <c r="S129" s="31"/>
      <c r="T129" s="31"/>
    </row>
    <row r="130" spans="2:20" x14ac:dyDescent="0.25">
      <c r="B130" s="3" t="s">
        <v>197</v>
      </c>
      <c r="D130" s="24">
        <v>1814</v>
      </c>
      <c r="E130" s="5" t="s">
        <v>198</v>
      </c>
    </row>
    <row r="131" spans="2:20" x14ac:dyDescent="0.25">
      <c r="B131" s="3" t="s">
        <v>199</v>
      </c>
      <c r="D131" s="15">
        <v>0.03</v>
      </c>
      <c r="E131" s="5" t="s">
        <v>200</v>
      </c>
    </row>
    <row r="132" spans="2:20" x14ac:dyDescent="0.25">
      <c r="B132" s="3" t="s">
        <v>201</v>
      </c>
      <c r="D132" s="13">
        <f>$D$130/($D$30-$D$131)</f>
        <v>18242.79610088572</v>
      </c>
      <c r="E132" s="5" t="s">
        <v>202</v>
      </c>
    </row>
    <row r="133" spans="2:20" x14ac:dyDescent="0.25">
      <c r="B133" s="3" t="s">
        <v>203</v>
      </c>
      <c r="D133" s="13">
        <f>$D$130/$D$30</f>
        <v>14014.592808972435</v>
      </c>
    </row>
    <row r="134" spans="2:20" x14ac:dyDescent="0.25">
      <c r="B134" s="3" t="s">
        <v>204</v>
      </c>
      <c r="D134" s="24">
        <v>1515.25</v>
      </c>
      <c r="E134" s="5" t="s">
        <v>205</v>
      </c>
    </row>
    <row r="135" spans="2:20" x14ac:dyDescent="0.25">
      <c r="B135" s="3" t="s">
        <v>206</v>
      </c>
      <c r="D135" s="24">
        <v>2454</v>
      </c>
      <c r="E135" s="5" t="s">
        <v>207</v>
      </c>
    </row>
    <row r="136" spans="2:20" x14ac:dyDescent="0.25">
      <c r="B136" s="3" t="s">
        <v>208</v>
      </c>
      <c r="D136" s="24">
        <v>520.1</v>
      </c>
      <c r="E136" s="5" t="s">
        <v>209</v>
      </c>
    </row>
    <row r="137" spans="2:20" x14ac:dyDescent="0.25">
      <c r="B137" s="3" t="s">
        <v>210</v>
      </c>
      <c r="D137" s="24">
        <v>738.75</v>
      </c>
      <c r="E137" s="5" t="s">
        <v>211</v>
      </c>
    </row>
    <row r="138" spans="2:20" x14ac:dyDescent="0.25">
      <c r="B138" s="3" t="s">
        <v>212</v>
      </c>
      <c r="D138" s="24">
        <v>742</v>
      </c>
      <c r="E138" s="5" t="s">
        <v>213</v>
      </c>
    </row>
    <row r="139" spans="2:20" x14ac:dyDescent="0.25">
      <c r="B139" s="3" t="s">
        <v>214</v>
      </c>
      <c r="D139" s="24">
        <v>10399</v>
      </c>
      <c r="E139" s="5" t="s">
        <v>215</v>
      </c>
    </row>
    <row r="140" spans="2:20" x14ac:dyDescent="0.25">
      <c r="B140" s="3" t="s">
        <v>216</v>
      </c>
      <c r="D140" s="24">
        <v>3185</v>
      </c>
      <c r="E140" s="5" t="s">
        <v>217</v>
      </c>
    </row>
    <row r="141" spans="2:20" x14ac:dyDescent="0.25">
      <c r="B141" s="3" t="s">
        <v>218</v>
      </c>
      <c r="D141" s="13">
        <f>$D$132-$D$128</f>
        <v>17499.79610088572</v>
      </c>
      <c r="E141" s="5" t="s">
        <v>219</v>
      </c>
    </row>
    <row r="142" spans="2:20" x14ac:dyDescent="0.25">
      <c r="B142" s="3" t="s">
        <v>220</v>
      </c>
      <c r="D142" s="13">
        <f>$D$134+$D$135+$D$136+$D$137+$D$138+$D$139+$D$140+$D$141</f>
        <v>37053.896100885715</v>
      </c>
      <c r="E142" s="5" t="s">
        <v>221</v>
      </c>
    </row>
    <row r="143" spans="2:20" x14ac:dyDescent="0.25">
      <c r="B143" s="3" t="s">
        <v>222</v>
      </c>
      <c r="D143" s="24">
        <v>37053.896100999998</v>
      </c>
    </row>
    <row r="144" spans="2:20" x14ac:dyDescent="0.25">
      <c r="B144" s="3" t="s">
        <v>223</v>
      </c>
      <c r="D144" s="24">
        <v>7018</v>
      </c>
      <c r="E144" s="5" t="s">
        <v>224</v>
      </c>
    </row>
    <row r="145" spans="2:20" x14ac:dyDescent="0.25">
      <c r="B145" s="3" t="s">
        <v>225</v>
      </c>
      <c r="D145" s="32">
        <v>4310.5309999999999</v>
      </c>
      <c r="E145" s="5" t="s">
        <v>226</v>
      </c>
    </row>
    <row r="146" spans="2:20" x14ac:dyDescent="0.25">
      <c r="B146" s="3" t="s">
        <v>24</v>
      </c>
      <c r="D146" s="33">
        <v>58.6</v>
      </c>
      <c r="E146" s="5" t="s">
        <v>227</v>
      </c>
    </row>
    <row r="147" spans="2:20" x14ac:dyDescent="0.25">
      <c r="B147" s="3" t="s">
        <v>228</v>
      </c>
      <c r="D147" s="33">
        <v>1.1813389999999999</v>
      </c>
      <c r="E147" s="5" t="s">
        <v>229</v>
      </c>
    </row>
    <row r="148" spans="2:20" x14ac:dyDescent="0.25">
      <c r="B148" s="3" t="s">
        <v>230</v>
      </c>
      <c r="D148" s="18">
        <f>(1+$D$30)^$D$38</f>
        <v>1.1011741086494256</v>
      </c>
    </row>
    <row r="149" spans="2:20" x14ac:dyDescent="0.25">
      <c r="B149" s="30" t="s">
        <v>231</v>
      </c>
      <c r="C149" s="31"/>
      <c r="D149" s="31"/>
      <c r="E149" s="31"/>
      <c r="F149" s="31"/>
      <c r="G149" s="31"/>
      <c r="H149" s="31"/>
      <c r="I149" s="31"/>
      <c r="J149" s="31"/>
      <c r="K149" s="31"/>
      <c r="L149" s="31"/>
      <c r="M149" s="31"/>
      <c r="N149" s="31"/>
      <c r="O149" s="31"/>
      <c r="P149" s="31"/>
      <c r="Q149" s="31"/>
      <c r="R149" s="31"/>
      <c r="S149" s="31"/>
      <c r="T149" s="31"/>
    </row>
    <row r="150" spans="2:20" x14ac:dyDescent="0.25">
      <c r="B150" s="3" t="s">
        <v>232</v>
      </c>
      <c r="D150" s="13">
        <f>$D$115+$D$144-$D$127-$D$128-$D$142</f>
        <v>154549.72477272153</v>
      </c>
    </row>
    <row r="151" spans="2:20" x14ac:dyDescent="0.25">
      <c r="B151" s="3" t="s">
        <v>233</v>
      </c>
      <c r="D151" s="14">
        <f>$D$150/$D$145</f>
        <v>35.853987541841491</v>
      </c>
    </row>
    <row r="152" spans="2:20" x14ac:dyDescent="0.25">
      <c r="B152" s="4" t="s">
        <v>234</v>
      </c>
      <c r="D152" s="34">
        <f>$D$151*$D$148</f>
        <v>39.481482772914909</v>
      </c>
    </row>
    <row r="153" spans="2:20" x14ac:dyDescent="0.25">
      <c r="B153" s="3" t="s">
        <v>235</v>
      </c>
      <c r="D153" s="10">
        <f>$D$152/$D$146-1</f>
        <v>-0.32625456018916543</v>
      </c>
    </row>
    <row r="154" spans="2:20" x14ac:dyDescent="0.25">
      <c r="B154" s="4" t="s">
        <v>236</v>
      </c>
      <c r="D154" s="34">
        <f>$D$152*(1+$D$30)-$D$147</f>
        <v>43.410489162630078</v>
      </c>
    </row>
    <row r="155" spans="2:20" x14ac:dyDescent="0.25">
      <c r="B155" s="3" t="s">
        <v>237</v>
      </c>
      <c r="D155" s="10">
        <f>$D$154/$D$146-1</f>
        <v>-0.25920666957969152</v>
      </c>
    </row>
    <row r="156" spans="2:20" x14ac:dyDescent="0.25">
      <c r="B156" s="30" t="s">
        <v>238</v>
      </c>
      <c r="C156" s="31"/>
      <c r="D156" s="31"/>
      <c r="E156" s="31"/>
      <c r="F156" s="31"/>
      <c r="G156" s="31"/>
      <c r="H156" s="31"/>
      <c r="I156" s="31"/>
      <c r="J156" s="31"/>
      <c r="K156" s="31"/>
      <c r="L156" s="31"/>
      <c r="M156" s="31"/>
      <c r="N156" s="31"/>
      <c r="O156" s="31"/>
      <c r="P156" s="31"/>
      <c r="Q156" s="31"/>
      <c r="R156" s="31"/>
      <c r="S156" s="31"/>
      <c r="T156" s="31"/>
    </row>
    <row r="157" spans="2:20" x14ac:dyDescent="0.25">
      <c r="B157" s="3" t="s">
        <v>239</v>
      </c>
      <c r="D157" s="13">
        <f>$D$118+$D$144-$D$127-$D$128-$D$142</f>
        <v>168653.50596159068</v>
      </c>
    </row>
    <row r="158" spans="2:20" x14ac:dyDescent="0.25">
      <c r="B158" s="3" t="s">
        <v>233</v>
      </c>
      <c r="D158" s="14">
        <f>$D$157/$D$145</f>
        <v>39.125923456203118</v>
      </c>
    </row>
    <row r="159" spans="2:20" x14ac:dyDescent="0.25">
      <c r="B159" s="4" t="s">
        <v>234</v>
      </c>
      <c r="D159" s="34">
        <f>$D$158*$D$148</f>
        <v>43.084453886970117</v>
      </c>
    </row>
    <row r="160" spans="2:20" x14ac:dyDescent="0.25">
      <c r="B160" s="3" t="s">
        <v>235</v>
      </c>
      <c r="D160" s="10">
        <f>$D$159/$D$146-1</f>
        <v>-0.26477041148515157</v>
      </c>
    </row>
    <row r="161" spans="2:20" x14ac:dyDescent="0.25">
      <c r="B161" s="3" t="s">
        <v>240</v>
      </c>
      <c r="D161" s="13">
        <f>$D$134+$D$135+$D$136+$D$137+$D$138+$D$139+$D$140</f>
        <v>19554.099999999999</v>
      </c>
      <c r="E161" s="5" t="s">
        <v>241</v>
      </c>
    </row>
    <row r="162" spans="2:20" x14ac:dyDescent="0.25">
      <c r="B162" s="3" t="s">
        <v>242</v>
      </c>
      <c r="D162" s="14">
        <f>$D$159+$D$161/$D$145*$D$148</f>
        <v>48.079770853242195</v>
      </c>
    </row>
    <row r="164" spans="2:20" x14ac:dyDescent="0.25">
      <c r="B164" s="6" t="s">
        <v>243</v>
      </c>
      <c r="C164" s="7"/>
      <c r="D164" s="7"/>
      <c r="E164" s="7"/>
      <c r="F164" s="7"/>
      <c r="G164" s="7"/>
      <c r="H164" s="7"/>
      <c r="I164" s="7"/>
      <c r="J164" s="7"/>
      <c r="K164" s="7"/>
      <c r="L164" s="7"/>
      <c r="M164" s="7"/>
      <c r="N164" s="7"/>
      <c r="O164" s="7"/>
      <c r="P164" s="7"/>
      <c r="Q164" s="7"/>
      <c r="R164" s="7"/>
      <c r="S164" s="7"/>
      <c r="T164" s="7"/>
    </row>
    <row r="165" spans="2:20" x14ac:dyDescent="0.25">
      <c r="B165" s="3" t="s">
        <v>244</v>
      </c>
      <c r="D165" s="11">
        <f>$D$34-$D$39</f>
        <v>6.073275673541572E-2</v>
      </c>
      <c r="E165" s="5" t="s">
        <v>245</v>
      </c>
    </row>
    <row r="166" spans="2:20" x14ac:dyDescent="0.25">
      <c r="B166" s="3" t="s">
        <v>246</v>
      </c>
      <c r="D166" s="11">
        <f>$D$39-$D$41</f>
        <v>-7.4999999999999997E-3</v>
      </c>
    </row>
    <row r="167" spans="2:20" x14ac:dyDescent="0.25">
      <c r="B167" s="3" t="s">
        <v>247</v>
      </c>
      <c r="D167" s="12">
        <f>$D$113*(1+$D$34)^$D$37/R79</f>
        <v>5.6043966872547548</v>
      </c>
    </row>
    <row r="168" spans="2:20" x14ac:dyDescent="0.25">
      <c r="B168" s="3" t="s">
        <v>248</v>
      </c>
      <c r="D168" s="11">
        <f>($D$116/(1+$D$34)^$D$37*$D$34-R88)/($D$116/(1+$D$34)^$D$37+R88)</f>
        <v>4.6297692380702138E-2</v>
      </c>
    </row>
    <row r="169" spans="2:20" x14ac:dyDescent="0.25">
      <c r="B169" s="3" t="s">
        <v>249</v>
      </c>
      <c r="D169" s="10">
        <f>IF(AND(R83&gt;0,R88&lt;R83),$D$39/(1-R88/R83),"n.m.")</f>
        <v>0.1789712676456372</v>
      </c>
      <c r="E169" s="5" t="s">
        <v>250</v>
      </c>
    </row>
    <row r="170" spans="2:20" x14ac:dyDescent="0.25">
      <c r="B170" s="3" t="s">
        <v>251</v>
      </c>
      <c r="D170" s="10">
        <f>(-R85-R86-R84-R87)/R83</f>
        <v>0.2374682850442226</v>
      </c>
      <c r="E170" s="5" t="s">
        <v>252</v>
      </c>
    </row>
    <row r="171" spans="2:20" x14ac:dyDescent="0.25">
      <c r="B171" s="3" t="s">
        <v>253</v>
      </c>
      <c r="D171" s="10">
        <f>IF($D$170&gt;0,$D$39/$D$170,"n.m.")</f>
        <v>0.17897126764563709</v>
      </c>
      <c r="E171" s="5" t="s">
        <v>254</v>
      </c>
    </row>
    <row r="173" spans="2:20" x14ac:dyDescent="0.25">
      <c r="B173" s="6" t="s">
        <v>255</v>
      </c>
      <c r="C173" s="7"/>
      <c r="D173" s="22" t="s">
        <v>75</v>
      </c>
      <c r="E173" s="22" t="s">
        <v>76</v>
      </c>
      <c r="F173" s="22" t="s">
        <v>77</v>
      </c>
      <c r="G173" s="22" t="s">
        <v>78</v>
      </c>
      <c r="H173" s="22" t="s">
        <v>79</v>
      </c>
      <c r="I173" s="22" t="s">
        <v>80</v>
      </c>
      <c r="J173" s="22" t="s">
        <v>81</v>
      </c>
      <c r="K173" s="22" t="s">
        <v>82</v>
      </c>
      <c r="L173" s="22" t="s">
        <v>83</v>
      </c>
      <c r="M173" s="22" t="s">
        <v>84</v>
      </c>
      <c r="N173" s="22" t="s">
        <v>85</v>
      </c>
      <c r="O173" s="22" t="s">
        <v>86</v>
      </c>
      <c r="P173" s="22" t="s">
        <v>87</v>
      </c>
      <c r="Q173" s="22" t="s">
        <v>88</v>
      </c>
      <c r="R173" s="22" t="s">
        <v>89</v>
      </c>
      <c r="S173" s="6" t="s">
        <v>90</v>
      </c>
      <c r="T173" s="7"/>
    </row>
    <row r="174" spans="2:20" x14ac:dyDescent="0.25">
      <c r="B174" s="3" t="s">
        <v>256</v>
      </c>
      <c r="D174" s="24">
        <v>31149</v>
      </c>
      <c r="E174" s="24">
        <v>29185</v>
      </c>
      <c r="F174" s="24">
        <v>26815</v>
      </c>
      <c r="G174" s="24">
        <v>35801</v>
      </c>
      <c r="H174" s="24">
        <v>34790</v>
      </c>
      <c r="I174" s="13">
        <f t="shared" ref="I174:R174" si="40">H174*I70/H70</f>
        <v>34507.29841171841</v>
      </c>
      <c r="J174" s="13">
        <f t="shared" si="40"/>
        <v>36074.30730249091</v>
      </c>
      <c r="K174" s="13">
        <f t="shared" si="40"/>
        <v>37663.786419728807</v>
      </c>
      <c r="L174" s="13">
        <f t="shared" si="40"/>
        <v>39329.046856400455</v>
      </c>
      <c r="M174" s="13">
        <f t="shared" si="40"/>
        <v>41073.939646572624</v>
      </c>
      <c r="N174" s="13">
        <f t="shared" si="40"/>
        <v>42873.557879843247</v>
      </c>
      <c r="O174" s="13">
        <f t="shared" si="40"/>
        <v>44735.902831503401</v>
      </c>
      <c r="P174" s="13">
        <f t="shared" si="40"/>
        <v>46661.545262407664</v>
      </c>
      <c r="Q174" s="13">
        <f t="shared" si="40"/>
        <v>48650.95163171638</v>
      </c>
      <c r="R174" s="13">
        <f t="shared" si="40"/>
        <v>50714.374111086479</v>
      </c>
      <c r="S174" s="5" t="s">
        <v>257</v>
      </c>
    </row>
    <row r="175" spans="2:20" x14ac:dyDescent="0.25">
      <c r="B175" s="3" t="s">
        <v>258</v>
      </c>
      <c r="D175" s="11">
        <f t="shared" ref="D175:R175" si="41">D174/D70</f>
        <v>9.1941368155092212E-2</v>
      </c>
      <c r="E175" s="11">
        <f t="shared" si="41"/>
        <v>7.3199299734641565E-2</v>
      </c>
      <c r="F175" s="11">
        <f t="shared" si="41"/>
        <v>6.7057784979956431E-2</v>
      </c>
      <c r="G175" s="11">
        <f t="shared" si="41"/>
        <v>8.7675560507916292E-2</v>
      </c>
      <c r="H175" s="11">
        <f t="shared" si="41"/>
        <v>8.1484569694017128E-2</v>
      </c>
      <c r="I175" s="11">
        <f t="shared" si="41"/>
        <v>8.1484569694017128E-2</v>
      </c>
      <c r="J175" s="11">
        <f t="shared" si="41"/>
        <v>8.1484569694017128E-2</v>
      </c>
      <c r="K175" s="11">
        <f t="shared" si="41"/>
        <v>8.1484569694017128E-2</v>
      </c>
      <c r="L175" s="11">
        <f t="shared" si="41"/>
        <v>8.1484569694017114E-2</v>
      </c>
      <c r="M175" s="11">
        <f t="shared" si="41"/>
        <v>8.1484569694017114E-2</v>
      </c>
      <c r="N175" s="11">
        <f t="shared" si="41"/>
        <v>8.14845696940171E-2</v>
      </c>
      <c r="O175" s="11">
        <f t="shared" si="41"/>
        <v>8.14845696940171E-2</v>
      </c>
      <c r="P175" s="11">
        <f t="shared" si="41"/>
        <v>8.14845696940171E-2</v>
      </c>
      <c r="Q175" s="11">
        <f t="shared" si="41"/>
        <v>8.14845696940171E-2</v>
      </c>
      <c r="R175" s="11">
        <f t="shared" si="41"/>
        <v>8.14845696940171E-2</v>
      </c>
      <c r="S175" s="5" t="s">
        <v>259</v>
      </c>
    </row>
    <row r="176" spans="2:20" x14ac:dyDescent="0.25">
      <c r="B176" s="3" t="s">
        <v>260</v>
      </c>
      <c r="D176" s="24">
        <v>4117</v>
      </c>
      <c r="E176" s="24">
        <v>5056</v>
      </c>
      <c r="F176" s="24">
        <v>4802</v>
      </c>
      <c r="G176" s="24">
        <v>5321</v>
      </c>
      <c r="H176" s="24">
        <v>5923</v>
      </c>
      <c r="I176" s="13">
        <f t="shared" ref="I176:R176" si="42">I70*I56</f>
        <v>5886.4083067999991</v>
      </c>
      <c r="J176" s="13">
        <f t="shared" si="42"/>
        <v>6153.7156468709991</v>
      </c>
      <c r="K176" s="13">
        <f t="shared" si="42"/>
        <v>6424.8560580257872</v>
      </c>
      <c r="L176" s="13">
        <f t="shared" si="42"/>
        <v>6708.9235834070441</v>
      </c>
      <c r="M176" s="13">
        <f t="shared" si="42"/>
        <v>7006.5751495191244</v>
      </c>
      <c r="N176" s="13">
        <f t="shared" si="42"/>
        <v>7313.5620249041749</v>
      </c>
      <c r="O176" s="13">
        <f t="shared" si="42"/>
        <v>7631.2491026574589</v>
      </c>
      <c r="P176" s="13">
        <f t="shared" si="42"/>
        <v>7959.733745701903</v>
      </c>
      <c r="Q176" s="13">
        <f t="shared" si="42"/>
        <v>8299.09552471393</v>
      </c>
      <c r="R176" s="13">
        <f t="shared" si="42"/>
        <v>8651.083300693439</v>
      </c>
      <c r="S176" s="5" t="s">
        <v>261</v>
      </c>
    </row>
    <row r="177" spans="2:20" x14ac:dyDescent="0.25">
      <c r="B177" s="3" t="s">
        <v>262</v>
      </c>
      <c r="I177" s="13">
        <f t="shared" ref="I177:R177" si="43">I174-H174</f>
        <v>-282.70158828159038</v>
      </c>
      <c r="J177" s="13">
        <f t="shared" si="43"/>
        <v>1567.0088907725003</v>
      </c>
      <c r="K177" s="13">
        <f t="shared" si="43"/>
        <v>1589.4791172378973</v>
      </c>
      <c r="L177" s="13">
        <f t="shared" si="43"/>
        <v>1665.2604366716478</v>
      </c>
      <c r="M177" s="13">
        <f t="shared" si="43"/>
        <v>1744.892790172169</v>
      </c>
      <c r="N177" s="13">
        <f t="shared" si="43"/>
        <v>1799.618233270623</v>
      </c>
      <c r="O177" s="13">
        <f t="shared" si="43"/>
        <v>1862.344951660154</v>
      </c>
      <c r="P177" s="13">
        <f t="shared" si="43"/>
        <v>1925.6424309042632</v>
      </c>
      <c r="Q177" s="13">
        <f t="shared" si="43"/>
        <v>1989.4063693087155</v>
      </c>
      <c r="R177" s="13">
        <f t="shared" si="43"/>
        <v>2063.4224793700996</v>
      </c>
    </row>
    <row r="178" spans="2:20" x14ac:dyDescent="0.25">
      <c r="B178" s="3" t="s">
        <v>263</v>
      </c>
      <c r="I178" s="13">
        <f t="shared" ref="I178:R178" si="44">I176+I177</f>
        <v>5603.7067185184087</v>
      </c>
      <c r="J178" s="13">
        <f t="shared" si="44"/>
        <v>7720.7245376434994</v>
      </c>
      <c r="K178" s="13">
        <f t="shared" si="44"/>
        <v>8014.3351752636845</v>
      </c>
      <c r="L178" s="13">
        <f t="shared" si="44"/>
        <v>8374.1840200786919</v>
      </c>
      <c r="M178" s="13">
        <f t="shared" si="44"/>
        <v>8751.4679396912943</v>
      </c>
      <c r="N178" s="13">
        <f t="shared" si="44"/>
        <v>9113.1802581747979</v>
      </c>
      <c r="O178" s="13">
        <f t="shared" si="44"/>
        <v>9493.594054317613</v>
      </c>
      <c r="P178" s="13">
        <f t="shared" si="44"/>
        <v>9885.3761766061652</v>
      </c>
      <c r="Q178" s="13">
        <f t="shared" si="44"/>
        <v>10288.501894022646</v>
      </c>
      <c r="R178" s="13">
        <f t="shared" si="44"/>
        <v>10714.505780063539</v>
      </c>
      <c r="S178" s="5" t="s">
        <v>264</v>
      </c>
    </row>
    <row r="179" spans="2:20" x14ac:dyDescent="0.25">
      <c r="B179" s="4" t="s">
        <v>265</v>
      </c>
      <c r="I179" s="26">
        <f t="shared" ref="I179:R179" si="45">I88-I177</f>
        <v>24444.291888675922</v>
      </c>
      <c r="J179" s="26">
        <f t="shared" si="45"/>
        <v>21863.480515536339</v>
      </c>
      <c r="K179" s="26">
        <f t="shared" si="45"/>
        <v>22820.635807159731</v>
      </c>
      <c r="L179" s="26">
        <f t="shared" si="45"/>
        <v>23459.947831752783</v>
      </c>
      <c r="M179" s="26">
        <f t="shared" si="45"/>
        <v>24762.055365931166</v>
      </c>
      <c r="N179" s="26">
        <f t="shared" si="45"/>
        <v>25338.547937800497</v>
      </c>
      <c r="O179" s="26">
        <f t="shared" si="45"/>
        <v>25902.757847658962</v>
      </c>
      <c r="P179" s="26">
        <f t="shared" si="45"/>
        <v>26459.207273334374</v>
      </c>
      <c r="Q179" s="26">
        <f t="shared" si="45"/>
        <v>27004.760973532706</v>
      </c>
      <c r="R179" s="26">
        <f t="shared" si="45"/>
        <v>27536.4165345742</v>
      </c>
    </row>
    <row r="180" spans="2:20" x14ac:dyDescent="0.25">
      <c r="B180" s="3" t="s">
        <v>266</v>
      </c>
      <c r="I180" s="13">
        <f t="shared" ref="I180:R180" si="46">I179*I108</f>
        <v>23272.545435089156</v>
      </c>
      <c r="J180" s="13">
        <f t="shared" si="46"/>
        <v>18867.683281011545</v>
      </c>
      <c r="K180" s="13">
        <f t="shared" si="46"/>
        <v>17850.889823933361</v>
      </c>
      <c r="L180" s="13">
        <f t="shared" si="46"/>
        <v>16633.82098113863</v>
      </c>
      <c r="M180" s="13">
        <f t="shared" si="46"/>
        <v>15914.189426838102</v>
      </c>
      <c r="N180" s="13">
        <f t="shared" si="46"/>
        <v>14760.88538312516</v>
      </c>
      <c r="O180" s="13">
        <f t="shared" si="46"/>
        <v>13677.588763855427</v>
      </c>
      <c r="P180" s="13">
        <f t="shared" si="46"/>
        <v>12664.067496267813</v>
      </c>
      <c r="Q180" s="13">
        <f t="shared" si="46"/>
        <v>11715.736016370536</v>
      </c>
      <c r="R180" s="13">
        <f t="shared" si="46"/>
        <v>10828.530249228455</v>
      </c>
    </row>
    <row r="182" spans="2:20" x14ac:dyDescent="0.25">
      <c r="B182" s="30" t="s">
        <v>267</v>
      </c>
      <c r="C182" s="31"/>
      <c r="D182" s="31"/>
      <c r="E182" s="31"/>
      <c r="F182" s="31"/>
      <c r="G182" s="31"/>
      <c r="H182" s="31"/>
      <c r="I182" s="31"/>
      <c r="J182" s="31"/>
      <c r="K182" s="31"/>
      <c r="L182" s="31"/>
      <c r="M182" s="31"/>
      <c r="N182" s="31"/>
      <c r="O182" s="31"/>
      <c r="P182" s="31"/>
      <c r="Q182" s="31"/>
      <c r="R182" s="31"/>
      <c r="S182" s="31"/>
      <c r="T182" s="31"/>
    </row>
    <row r="183" spans="2:20" x14ac:dyDescent="0.25">
      <c r="B183" s="3" t="s">
        <v>268</v>
      </c>
      <c r="D183" s="13">
        <f>SUM(I180:R180)</f>
        <v>156185.9368568582</v>
      </c>
    </row>
    <row r="184" spans="2:20" x14ac:dyDescent="0.25">
      <c r="B184" s="3" t="s">
        <v>269</v>
      </c>
      <c r="D184" s="13">
        <f>R88*(1+$D$39)-$D$39*R174</f>
        <v>28702.471272315757</v>
      </c>
      <c r="E184" s="5" t="s">
        <v>270</v>
      </c>
    </row>
    <row r="185" spans="2:20" x14ac:dyDescent="0.25">
      <c r="B185" s="3" t="s">
        <v>271</v>
      </c>
      <c r="D185" s="13">
        <f>$D$184/($D$34-$D$39)</f>
        <v>472602.80637941451</v>
      </c>
    </row>
    <row r="186" spans="2:20" x14ac:dyDescent="0.25">
      <c r="B186" s="3" t="s">
        <v>272</v>
      </c>
      <c r="D186" s="13">
        <f>$D$185/(1+$D$34)^(10-$D$37)</f>
        <v>185848.21225100933</v>
      </c>
    </row>
    <row r="187" spans="2:20" x14ac:dyDescent="0.25">
      <c r="B187" s="3" t="s">
        <v>273</v>
      </c>
      <c r="D187" s="13">
        <f>$D$183+$D$186</f>
        <v>342034.1491078675</v>
      </c>
    </row>
    <row r="188" spans="2:20" x14ac:dyDescent="0.25">
      <c r="B188" s="3" t="s">
        <v>274</v>
      </c>
      <c r="D188" s="13">
        <f>$D$183+$D$117</f>
        <v>370093.87040267693</v>
      </c>
    </row>
    <row r="189" spans="2:20" x14ac:dyDescent="0.25">
      <c r="B189" s="3" t="s">
        <v>275</v>
      </c>
      <c r="D189" s="10">
        <f>$D$186/$D$187</f>
        <v>0.54336156999457463</v>
      </c>
    </row>
    <row r="190" spans="2:20" x14ac:dyDescent="0.25">
      <c r="B190" s="3" t="s">
        <v>276</v>
      </c>
      <c r="D190" s="10">
        <f>$D$117/$D$188</f>
        <v>0.57798291366749288</v>
      </c>
    </row>
    <row r="191" spans="2:20" x14ac:dyDescent="0.25">
      <c r="B191" s="3" t="s">
        <v>277</v>
      </c>
      <c r="D191" s="13">
        <f>$D$187+$D$144-$D$127-$D$128-$D$142</f>
        <v>131337.2530069818</v>
      </c>
    </row>
    <row r="192" spans="2:20" x14ac:dyDescent="0.25">
      <c r="B192" s="4" t="s">
        <v>278</v>
      </c>
      <c r="D192" s="34">
        <f>$D$191/$D$145*$D$148</f>
        <v>33.551593182470391</v>
      </c>
    </row>
    <row r="193" spans="2:20" x14ac:dyDescent="0.25">
      <c r="B193" s="3" t="s">
        <v>279</v>
      </c>
      <c r="D193" s="13">
        <f>$D$188+$D$144-$D$127-$D$128-$D$142+$D$161</f>
        <v>178951.07430179123</v>
      </c>
    </row>
    <row r="194" spans="2:20" x14ac:dyDescent="0.25">
      <c r="B194" s="4" t="s">
        <v>280</v>
      </c>
      <c r="D194" s="34">
        <f>$D$193/$D$145*$D$148</f>
        <v>45.715084692844592</v>
      </c>
    </row>
    <row r="195" spans="2:20" x14ac:dyDescent="0.25">
      <c r="B195" s="3" t="s">
        <v>281</v>
      </c>
      <c r="D195" s="10">
        <f>$D$192/$D$146-1</f>
        <v>-0.42744721531620489</v>
      </c>
    </row>
    <row r="196" spans="2:20" x14ac:dyDescent="0.25">
      <c r="B196" s="3" t="s">
        <v>282</v>
      </c>
      <c r="D196" s="10">
        <f>$D$194/$D$146-1</f>
        <v>-0.21987910080469986</v>
      </c>
    </row>
    <row r="197" spans="2:20" x14ac:dyDescent="0.25">
      <c r="B197" s="3" t="s">
        <v>283</v>
      </c>
      <c r="D197" s="33">
        <v>1.05</v>
      </c>
      <c r="E197" s="5" t="s">
        <v>284</v>
      </c>
    </row>
    <row r="198" spans="2:20" x14ac:dyDescent="0.25">
      <c r="B198" s="3" t="s">
        <v>285</v>
      </c>
      <c r="D198" s="14">
        <f>$D$192*(1+$D$30)-$D$197</f>
        <v>36.844394351408802</v>
      </c>
    </row>
    <row r="199" spans="2:20" x14ac:dyDescent="0.25">
      <c r="B199" s="3" t="s">
        <v>286</v>
      </c>
      <c r="D199" s="10">
        <f>$D$198/$D$146-1</f>
        <v>-0.37125606908858699</v>
      </c>
    </row>
    <row r="200" spans="2:20" x14ac:dyDescent="0.25">
      <c r="B200" s="3" t="s">
        <v>287</v>
      </c>
      <c r="D200" s="10">
        <f>IF($D$184&lt;R83*(1+$D$39),$D$39/(1-$D$184/(R83*(1+$D$39))),"n.m.")</f>
        <v>0.14618390760857691</v>
      </c>
    </row>
    <row r="201" spans="2:20" x14ac:dyDescent="0.25">
      <c r="B201" s="3" t="s">
        <v>288</v>
      </c>
      <c r="D201" s="12">
        <f>$D$185*(1+$D$34)^$D$37/R79</f>
        <v>5.2129402356514536</v>
      </c>
    </row>
    <row r="202" spans="2:20" x14ac:dyDescent="0.25">
      <c r="B202" s="3" t="s">
        <v>289</v>
      </c>
      <c r="D202" s="11">
        <f>($D$116/(1+$D$34)^$D$37*$D$34-R88)/($D$116/(1+$D$34)^$D$37+R88-R174)</f>
        <v>5.0788446961064659E-2</v>
      </c>
    </row>
    <row r="203" spans="2:20" x14ac:dyDescent="0.25">
      <c r="B203" s="3" t="s">
        <v>290</v>
      </c>
      <c r="D203" s="18">
        <f>R177/($D$39*R174)</f>
        <v>0.95734430351642308</v>
      </c>
    </row>
    <row r="205" spans="2:20" x14ac:dyDescent="0.25">
      <c r="B205" s="30" t="s">
        <v>291</v>
      </c>
      <c r="C205" s="31"/>
      <c r="D205" s="31"/>
      <c r="E205" s="31"/>
      <c r="F205" s="31"/>
      <c r="G205" s="31"/>
      <c r="H205" s="31"/>
      <c r="I205" s="31"/>
      <c r="J205" s="31"/>
      <c r="K205" s="31"/>
      <c r="L205" s="31"/>
      <c r="M205" s="31"/>
      <c r="N205" s="31"/>
      <c r="O205" s="31"/>
      <c r="P205" s="31"/>
      <c r="Q205" s="31"/>
      <c r="R205" s="31"/>
      <c r="S205" s="31"/>
      <c r="T205" s="31"/>
    </row>
    <row r="206" spans="2:20" x14ac:dyDescent="0.25">
      <c r="B206" s="3" t="s">
        <v>292</v>
      </c>
      <c r="D206" s="14">
        <f>$D$152</f>
        <v>39.481482772914909</v>
      </c>
    </row>
    <row r="207" spans="2:20" x14ac:dyDescent="0.25">
      <c r="B207" s="3" t="s">
        <v>293</v>
      </c>
      <c r="D207" s="14">
        <f>$D$192-$D$152</f>
        <v>-5.9298895904445175</v>
      </c>
    </row>
    <row r="208" spans="2:20" x14ac:dyDescent="0.25">
      <c r="B208" s="3" t="s">
        <v>294</v>
      </c>
      <c r="D208" s="14">
        <f>$D$159</f>
        <v>43.084453886970117</v>
      </c>
    </row>
    <row r="209" spans="2:20" x14ac:dyDescent="0.25">
      <c r="B209" s="3" t="s">
        <v>295</v>
      </c>
      <c r="D209" s="14">
        <f>$D$162-$D$159</f>
        <v>4.9953169662720782</v>
      </c>
    </row>
    <row r="210" spans="2:20" x14ac:dyDescent="0.25">
      <c r="B210" s="3" t="s">
        <v>296</v>
      </c>
      <c r="D210" s="14">
        <f>$D$194-$D$162</f>
        <v>-2.3646861603976035</v>
      </c>
    </row>
    <row r="212" spans="2:20" x14ac:dyDescent="0.25">
      <c r="B212" s="30" t="s">
        <v>297</v>
      </c>
      <c r="C212" s="31"/>
      <c r="D212" s="31"/>
      <c r="E212" s="31"/>
      <c r="F212" s="31"/>
      <c r="G212" s="31"/>
      <c r="H212" s="31"/>
      <c r="I212" s="31"/>
      <c r="J212" s="31"/>
      <c r="K212" s="31"/>
      <c r="L212" s="31"/>
      <c r="M212" s="31"/>
      <c r="N212" s="31"/>
      <c r="O212" s="31"/>
      <c r="P212" s="31"/>
      <c r="Q212" s="31"/>
      <c r="R212" s="31"/>
      <c r="S212" s="31"/>
      <c r="T212" s="31"/>
    </row>
    <row r="213" spans="2:20" x14ac:dyDescent="0.25">
      <c r="B213" s="3" t="s">
        <v>298</v>
      </c>
      <c r="D213" s="14">
        <f>$D$192+$D$141/$D$145*$D$148</f>
        <v>38.022114882219107</v>
      </c>
    </row>
    <row r="214" spans="2:20" x14ac:dyDescent="0.25">
      <c r="B214" s="3" t="s">
        <v>299</v>
      </c>
      <c r="D214" s="14">
        <f>$D$194+$D$141/$D$145*$D$148</f>
        <v>50.185606392593307</v>
      </c>
    </row>
    <row r="215" spans="2:20" x14ac:dyDescent="0.25">
      <c r="B215" s="3" t="s">
        <v>300</v>
      </c>
      <c r="D215" s="14">
        <f>$D$192+($D$132-$D$133)/$D$145*$D$148</f>
        <v>34.631735742902315</v>
      </c>
    </row>
    <row r="217" spans="2:20" x14ac:dyDescent="0.25">
      <c r="B217" s="30" t="s">
        <v>301</v>
      </c>
      <c r="C217" s="31"/>
      <c r="D217" s="31"/>
      <c r="E217" s="31"/>
      <c r="F217" s="31"/>
      <c r="G217" s="31"/>
      <c r="H217" s="31"/>
      <c r="I217" s="31"/>
      <c r="J217" s="31"/>
      <c r="K217" s="31"/>
      <c r="L217" s="31"/>
      <c r="M217" s="31"/>
      <c r="N217" s="31"/>
      <c r="O217" s="31"/>
      <c r="P217" s="31"/>
      <c r="Q217" s="31"/>
      <c r="R217" s="31"/>
      <c r="S217" s="31"/>
      <c r="T217" s="31"/>
    </row>
    <row r="218" spans="2:20" x14ac:dyDescent="0.25">
      <c r="C218" s="4" t="s">
        <v>302</v>
      </c>
      <c r="D218" s="4" t="s">
        <v>303</v>
      </c>
      <c r="E218" s="4" t="s">
        <v>304</v>
      </c>
      <c r="F218" s="4" t="s">
        <v>305</v>
      </c>
    </row>
    <row r="219" spans="2:20" x14ac:dyDescent="0.25">
      <c r="B219" s="3" t="s">
        <v>306</v>
      </c>
      <c r="C219" s="10">
        <f>$D$34</f>
        <v>0.10323275673541572</v>
      </c>
      <c r="D219" s="13">
        <f>R83*(1+$D$39)*(1-$D$39/C219)/($D$34-$D$39)</f>
        <v>392003.52862354252</v>
      </c>
      <c r="E219" s="14">
        <f>($D$183+D219/(1+$D$34)^(10-$D$37)+$D$144-$D$127-$D$128-$D$142)/$D$145*$D$148</f>
        <v>25.45469905743763</v>
      </c>
      <c r="F219" s="14">
        <f>E219-$D$192</f>
        <v>-8.0968941250327617</v>
      </c>
    </row>
    <row r="220" spans="2:20" x14ac:dyDescent="0.25">
      <c r="B220" s="3" t="s">
        <v>307</v>
      </c>
      <c r="C220" s="17">
        <v>0.125</v>
      </c>
      <c r="D220" s="13">
        <f>R83*(1+$D$39)*(1-$D$39/C220)/($D$34-$D$39)</f>
        <v>439772.87836343993</v>
      </c>
      <c r="E220" s="14">
        <f>($D$183+D220/(1+$D$34)^(10-$D$37)+$D$144-$D$127-$D$128-$D$142)/$D$145*$D$148</f>
        <v>30.253543141836783</v>
      </c>
      <c r="F220" s="14">
        <f>E220-$D$192</f>
        <v>-3.2980500406336084</v>
      </c>
    </row>
    <row r="221" spans="2:20" x14ac:dyDescent="0.25">
      <c r="B221" s="3" t="s">
        <v>308</v>
      </c>
      <c r="C221" s="17">
        <v>0.15</v>
      </c>
      <c r="D221" s="13">
        <f>R83*(1+$D$39)*(1-$D$39/C221)/($D$34-$D$39)</f>
        <v>477531.15579868481</v>
      </c>
      <c r="E221" s="14">
        <f>($D$183+D221/(1+$D$34)^(10-$D$37)+$D$144-$D$127-$D$128-$D$142)/$D$145*$D$148</f>
        <v>34.046688480716938</v>
      </c>
      <c r="F221" s="14">
        <f>E221-$D$192</f>
        <v>0.49509529824654663</v>
      </c>
    </row>
    <row r="222" spans="2:20" x14ac:dyDescent="0.25">
      <c r="B222" s="3" t="s">
        <v>309</v>
      </c>
      <c r="C222" s="10">
        <f>$D$200</f>
        <v>0.14618390760857691</v>
      </c>
      <c r="D222" s="13">
        <f>R83*(1+$D$39)*(1-$D$39/C222)/($D$34-$D$39)</f>
        <v>472602.80637941451</v>
      </c>
      <c r="E222" s="14">
        <f>($D$183+D222/(1+$D$34)^(10-$D$37)+$D$144-$D$127-$D$128-$D$142)/$D$145*$D$148</f>
        <v>33.551593182470391</v>
      </c>
      <c r="F222" s="14">
        <f>E222-$D$192</f>
        <v>0</v>
      </c>
    </row>
    <row r="223" spans="2:20" x14ac:dyDescent="0.25">
      <c r="B223" s="5" t="s">
        <v>310</v>
      </c>
    </row>
    <row r="225" spans="2:20" x14ac:dyDescent="0.25">
      <c r="B225" s="6" t="s">
        <v>311</v>
      </c>
      <c r="C225" s="7"/>
      <c r="D225" s="7"/>
      <c r="E225" s="7"/>
      <c r="F225" s="7"/>
      <c r="G225" s="7"/>
      <c r="H225" s="7"/>
      <c r="I225" s="7"/>
      <c r="J225" s="7"/>
      <c r="K225" s="7"/>
      <c r="L225" s="7"/>
      <c r="M225" s="7"/>
      <c r="N225" s="7"/>
      <c r="O225" s="7"/>
      <c r="P225" s="7"/>
      <c r="Q225" s="7"/>
      <c r="R225" s="7"/>
      <c r="S225" s="7"/>
      <c r="T225" s="7"/>
    </row>
    <row r="226" spans="2:20" x14ac:dyDescent="0.25">
      <c r="B226" s="30" t="s">
        <v>312</v>
      </c>
      <c r="C226" s="31"/>
      <c r="D226" s="31"/>
      <c r="E226" s="31"/>
      <c r="F226" s="31"/>
      <c r="G226" s="31"/>
      <c r="H226" s="31"/>
      <c r="I226" s="31"/>
      <c r="J226" s="31"/>
      <c r="K226" s="31"/>
      <c r="L226" s="31"/>
      <c r="M226" s="31"/>
      <c r="N226" s="31"/>
      <c r="O226" s="31"/>
      <c r="P226" s="31"/>
      <c r="Q226" s="31"/>
      <c r="R226" s="31"/>
      <c r="S226" s="31"/>
      <c r="T226" s="31"/>
    </row>
    <row r="227" spans="2:20" x14ac:dyDescent="0.25">
      <c r="B227" s="3" t="s">
        <v>313</v>
      </c>
      <c r="D227" s="11">
        <f>$D$39+(-0.01)</f>
        <v>3.2500000000000001E-2</v>
      </c>
      <c r="E227" s="11">
        <f>$D$39+(-0.005)</f>
        <v>3.7500000000000006E-2</v>
      </c>
      <c r="F227" s="11">
        <f>$D$39+(0)</f>
        <v>4.2500000000000003E-2</v>
      </c>
      <c r="G227" s="11">
        <f>$D$39+(0.005)</f>
        <v>4.7500000000000001E-2</v>
      </c>
      <c r="H227" s="11">
        <f>$D$39+(0.01)</f>
        <v>5.2500000000000005E-2</v>
      </c>
    </row>
    <row r="228" spans="2:20" x14ac:dyDescent="0.25">
      <c r="C228" s="11">
        <f>$D$34+(-0.02)</f>
        <v>8.3232756735415719E-2</v>
      </c>
      <c r="D228" s="14">
        <f>IF($C228-D$227&gt;=0.01,(NPV($C228,I179:R179)*(1+$C228)^$D$37+(R88*(1+D$227)-D$227*R174)/($C228-D$227)/(1+$C228)^(10-$D$37)+$D$144-$D$127-$D$128-$D$142)/$D$145*$D$148,"n.m.")</f>
        <v>57.572591595759789</v>
      </c>
      <c r="E228" s="14">
        <f>IF($C228-E$227&gt;=0.01,(NPV($C228,I179:R179)*(1+$C228)^$D$37+(R88*(1+E$227)-E$227*R174)/($C228-E$227)/(1+$C228)^(10-$D$37)+$D$144-$D$127-$D$128-$D$142)/$D$145*$D$148,"n.m.")</f>
        <v>64.744411535038722</v>
      </c>
      <c r="F228" s="14">
        <f>IF($C228-F$227&gt;=0.01,(NPV($C228,I179:R179)*(1+$C228)^$D$37+(R88*(1+F$227)-F$227*R174)/($C228-F$227)/(1+$C228)^(10-$D$37)+$D$144-$D$127-$D$128-$D$142)/$D$145*$D$148,"n.m.")</f>
        <v>73.676932323971471</v>
      </c>
      <c r="G228" s="14">
        <f>IF($C228-G$227&gt;=0.01,(NPV($C228,I179:R179)*(1+$C228)^$D$37+(R88*(1+G$227)-G$227*R174)/($C228-G$227)/(1+$C228)^(10-$D$37)+$D$144-$D$127-$D$128-$D$142)/$D$145*$D$148,"n.m.")</f>
        <v>85.109266059068375</v>
      </c>
      <c r="H228" s="14">
        <f>IF($C228-H$227&gt;=0.01,(NPV($C228,I179:R179)*(1+$C228)^$D$37+(R88*(1+H$227)-H$227*R174)/($C228-H$227)/(1+$C228)^(10-$D$37)+$D$144-$D$127-$D$128-$D$142)/$D$145*$D$148,"n.m.")</f>
        <v>100.26151787164861</v>
      </c>
    </row>
    <row r="229" spans="2:20" x14ac:dyDescent="0.25">
      <c r="C229" s="11">
        <f>$D$34+(-0.01)</f>
        <v>9.3232756735415728E-2</v>
      </c>
      <c r="D229" s="14">
        <f>IF($C229-D$227&gt;=0.01,(NPV($C229,I179:R179)*(1+$C229)^$D$37+(R88*(1+D$227)-D$227*R174)/($C229-D$227)/(1+$C229)^(10-$D$37)+$D$144-$D$127-$D$128-$D$142)/$D$145*$D$148,"n.m.")</f>
        <v>39.854397154601735</v>
      </c>
      <c r="E229" s="14">
        <f>IF($C229-E$227&gt;=0.01,(NPV($C229,I179:R179)*(1+$C229)^$D$37+(R88*(1+E$227)-E$227*R174)/($C229-E$227)/(1+$C229)^(10-$D$37)+$D$144-$D$127-$D$128-$D$142)/$D$145*$D$148,"n.m.")</f>
        <v>44.325272378783936</v>
      </c>
      <c r="F229" s="14">
        <f>IF($C229-F$227&gt;=0.01,(NPV($C229,I179:R179)*(1+$C229)^$D$37+(R88*(1+F$227)-F$227*R174)/($C229-F$227)/(1+$C229)^(10-$D$37)+$D$144-$D$127-$D$128-$D$142)/$D$145*$D$148,"n.m.")</f>
        <v>49.677407662911001</v>
      </c>
      <c r="G229" s="14">
        <f>IF($C229-G$227&gt;=0.01,(NPV($C229,I179:R179)*(1+$C229)^$D$37+(R88*(1+G$227)-G$227*R174)/($C229-G$227)/(1+$C229)^(10-$D$37)+$D$144-$D$127-$D$128-$D$142)/$D$145*$D$148,"n.m.")</f>
        <v>56.199849673809787</v>
      </c>
      <c r="H229" s="14">
        <f>IF($C229-H$227&gt;=0.01,(NPV($C229,I179:R179)*(1+$C229)^$D$37+(R88*(1+H$227)-H$227*R174)/($C229-H$227)/(1+$C229)^(10-$D$37)+$D$144-$D$127-$D$128-$D$142)/$D$145*$D$148,"n.m.")</f>
        <v>64.323568527635274</v>
      </c>
    </row>
    <row r="230" spans="2:20" x14ac:dyDescent="0.25">
      <c r="C230" s="11">
        <f>$D$34+(0)</f>
        <v>0.10323275673541572</v>
      </c>
      <c r="D230" s="14">
        <f>IF($C230-D$227&gt;=0.01,(NPV($C230,I179:R179)*(1+$C230)^$D$37+(R88*(1+D$227)-D$227*R174)/($C230-D$227)/(1+$C230)^(10-$D$37)+$D$144-$D$127-$D$128-$D$142)/$D$145*$D$148,"n.m.")</f>
        <v>27.139302545953893</v>
      </c>
      <c r="E230" s="14">
        <f>IF($C230-E$227&gt;=0.01,(NPV($C230,I179:R179)*(1+$C230)^$D$37+(R88*(1+E$227)-E$227*R174)/($C230-E$227)/(1+$C230)^(10-$D$37)+$D$144-$D$127-$D$128-$D$142)/$D$145*$D$148,"n.m.")</f>
        <v>30.101570573992628</v>
      </c>
      <c r="F230" s="14">
        <f>IF($C230-F$227&gt;=0.01,(NPV($C230,I179:R179)*(1+$C230)^$D$37+(R88*(1+F$227)-F$227*R174)/($C230-F$227)/(1+$C230)^(10-$D$37)+$D$144-$D$127-$D$128-$D$142)/$D$145*$D$148,"n.m.")</f>
        <v>33.551593182470391</v>
      </c>
      <c r="G230" s="14">
        <f>IF($C230-G$227&gt;=0.01,(NPV($C230,I179:R179)*(1+$C230)^$D$37+(R88*(1+G$227)-G$227*R174)/($C230-G$227)/(1+$C230)^(10-$D$37)+$D$144-$D$127-$D$128-$D$142)/$D$145*$D$148,"n.m.")</f>
        <v>37.620645390516721</v>
      </c>
      <c r="H230" s="14">
        <f>IF($C230-H$227&gt;=0.01,(NPV($C230,I179:R179)*(1+$C230)^$D$37+(R88*(1+H$227)-H$227*R174)/($C230-H$227)/(1+$C230)^(10-$D$37)+$D$144-$D$127-$D$128-$D$142)/$D$145*$D$148,"n.m.")</f>
        <v>42.491753798518346</v>
      </c>
    </row>
    <row r="231" spans="2:20" x14ac:dyDescent="0.25">
      <c r="C231" s="11">
        <f>$D$34+(0.01)</f>
        <v>0.11323275673541572</v>
      </c>
      <c r="D231" s="14">
        <f>IF($C231-D$227&gt;=0.01,(NPV($C231,I179:R179)*(1+$C231)^$D$37+(R88*(1+D$227)-D$227*R174)/($C231-D$227)/(1+$C231)^(10-$D$37)+$D$144-$D$127-$D$128-$D$142)/$D$145*$D$148,"n.m.")</f>
        <v>17.568440872677886</v>
      </c>
      <c r="E231" s="14">
        <f>IF($C231-E$227&gt;=0.01,(NPV($C231,I179:R179)*(1+$C231)^$D$37+(R88*(1+E$227)-E$227*R174)/($C231-E$227)/(1+$C231)^(10-$D$37)+$D$144-$D$127-$D$128-$D$142)/$D$145*$D$148,"n.m.")</f>
        <v>19.620109358341892</v>
      </c>
      <c r="F231" s="14">
        <f>IF($C231-F$227&gt;=0.01,(NPV($C231,I179:R179)*(1+$C231)^$D$37+(R88*(1+F$227)-F$227*R174)/($C231-F$227)/(1+$C231)^(10-$D$37)+$D$144-$D$127-$D$128-$D$142)/$D$145*$D$148,"n.m.")</f>
        <v>21.961837016072181</v>
      </c>
      <c r="G231" s="14">
        <f>IF($C231-G$227&gt;=0.01,(NPV($C231,I179:R179)*(1+$C231)^$D$37+(R88*(1+G$227)-G$227*R174)/($C231-G$227)/(1+$C231)^(10-$D$37)+$D$144-$D$127-$D$128-$D$142)/$D$145*$D$148,"n.m.")</f>
        <v>24.659814399819002</v>
      </c>
      <c r="H231" s="14">
        <f>IF($C231-H$227&gt;=0.01,(NPV($C231,I179:R179)*(1+$C231)^$D$37+(R88*(1+H$227)-H$227*R174)/($C231-H$227)/(1+$C231)^(10-$D$37)+$D$144-$D$127-$D$128-$D$142)/$D$145*$D$148,"n.m.")</f>
        <v>27.802029379349676</v>
      </c>
    </row>
    <row r="232" spans="2:20" x14ac:dyDescent="0.25">
      <c r="C232" s="11">
        <f>$D$34+(0.02)</f>
        <v>0.12323275673541573</v>
      </c>
      <c r="D232" s="14">
        <f>IF($C232-D$227&gt;=0.01,(NPV($C232,I179:R179)*(1+$C232)^$D$37+(R88*(1+D$227)-D$227*R174)/($C232-D$227)/(1+$C232)^(10-$D$37)+$D$144-$D$127-$D$128-$D$142)/$D$145*$D$148,"n.m.")</f>
        <v>10.102423874772821</v>
      </c>
      <c r="E232" s="14">
        <f>IF($C232-E$227&gt;=0.01,(NPV($C232,I179:R179)*(1+$C232)^$D$37+(R88*(1+E$227)-E$227*R174)/($C232-E$227)/(1+$C232)^(10-$D$37)+$D$144-$D$127-$D$128-$D$142)/$D$145*$D$148,"n.m.")</f>
        <v>11.57219790995507</v>
      </c>
      <c r="F232" s="14">
        <f>IF($C232-F$227&gt;=0.01,(NPV($C232,I179:R179)*(1+$C232)^$D$37+(R88*(1+F$227)-F$227*R174)/($C232-F$227)/(1+$C232)^(10-$D$37)+$D$144-$D$127-$D$128-$D$142)/$D$145*$D$148,"n.m.")</f>
        <v>13.224026181189116</v>
      </c>
      <c r="G232" s="14">
        <f>IF($C232-G$227&gt;=0.01,(NPV($C232,I179:R179)*(1+$C232)^$D$37+(R88*(1+G$227)-G$227*R174)/($C232-G$227)/(1+$C232)^(10-$D$37)+$D$144-$D$127-$D$128-$D$142)/$D$145*$D$148,"n.m.")</f>
        <v>15.093967240394813</v>
      </c>
      <c r="H232" s="14">
        <f>IF($C232-H$227&gt;=0.01,(NPV($C232,I179:R179)*(1+$C232)^$D$37+(R88*(1+H$227)-H$227*R174)/($C232-H$227)/(1+$C232)^(10-$D$37)+$D$144-$D$127-$D$128-$D$142)/$D$145*$D$148,"n.m.")</f>
        <v>17.228275354627144</v>
      </c>
    </row>
    <row r="234" spans="2:20" x14ac:dyDescent="0.25">
      <c r="B234" s="30" t="s">
        <v>314</v>
      </c>
      <c r="C234" s="31"/>
      <c r="D234" s="31"/>
      <c r="E234" s="31"/>
      <c r="F234" s="31"/>
      <c r="G234" s="31"/>
      <c r="H234" s="31"/>
      <c r="I234" s="31"/>
      <c r="J234" s="31"/>
      <c r="K234" s="31"/>
      <c r="L234" s="31"/>
      <c r="M234" s="31"/>
      <c r="N234" s="31"/>
      <c r="O234" s="31"/>
      <c r="P234" s="31"/>
      <c r="Q234" s="31"/>
      <c r="R234" s="31"/>
      <c r="S234" s="31"/>
      <c r="T234" s="31"/>
    </row>
    <row r="235" spans="2:20" x14ac:dyDescent="0.25">
      <c r="B235" s="3" t="s">
        <v>313</v>
      </c>
      <c r="D235" s="12">
        <f>$D$40+(-2)</f>
        <v>4</v>
      </c>
      <c r="E235" s="12">
        <f>$D$40+(-1)</f>
        <v>5</v>
      </c>
      <c r="F235" s="12">
        <f>$D$40+(0)</f>
        <v>6</v>
      </c>
      <c r="G235" s="12">
        <f>$D$40+(1)</f>
        <v>7</v>
      </c>
      <c r="H235" s="12">
        <f>$D$40+(2)</f>
        <v>8</v>
      </c>
    </row>
    <row r="236" spans="2:20" x14ac:dyDescent="0.25">
      <c r="C236" s="11">
        <f>$D$34+(-0.02)</f>
        <v>8.3232756735415719E-2</v>
      </c>
      <c r="D236" s="14">
        <f>(NPV($C236,I179:R179)*(1+$C236)^$D$37+R79*D$235/(1+$C236)^10+$D$144-$D$127-$D$128-$D$142+$D$161)/$D$145*$D$148</f>
        <v>38.190315888305591</v>
      </c>
      <c r="E236" s="14">
        <f>(NPV($C236,I179:R179)*(1+$C236)^$D$37+R79*E$235/(1+$C236)^10+$D$144-$D$127-$D$128-$D$142+$D$161)/$D$145*$D$148</f>
        <v>49.126215074429261</v>
      </c>
      <c r="F236" s="14">
        <f>(NPV($C236,I179:R179)*(1+$C236)^$D$37+R79*F$235/(1+$C236)^10+$D$144-$D$127-$D$128-$D$142+$D$161)/$D$145*$D$148</f>
        <v>60.062114260552931</v>
      </c>
      <c r="G236" s="14">
        <f>(NPV($C236,I179:R179)*(1+$C236)^$D$37+R79*G$235/(1+$C236)^10+$D$144-$D$127-$D$128-$D$142+$D$161)/$D$145*$D$148</f>
        <v>70.998013446676566</v>
      </c>
      <c r="H236" s="14">
        <f>(NPV($C236,I179:R179)*(1+$C236)^$D$37+R79*H$235/(1+$C236)^10+$D$144-$D$127-$D$128-$D$142+$D$161)/$D$145*$D$148</f>
        <v>81.933912632800258</v>
      </c>
    </row>
    <row r="237" spans="2:20" x14ac:dyDescent="0.25">
      <c r="C237" s="11">
        <f>$D$34+(-0.01)</f>
        <v>9.3232756735415728E-2</v>
      </c>
      <c r="D237" s="14">
        <f>(NPV($C237,I179:R179)*(1+$C237)^$D$37+R79*D$235/(1+$C237)^10+$D$144-$D$127-$D$128-$D$142+$D$161)/$D$145*$D$148</f>
        <v>32.605120322402001</v>
      </c>
      <c r="E237" s="14">
        <f>(NPV($C237,I179:R179)*(1+$C237)^$D$37+R79*E$235/(1+$C237)^10+$D$144-$D$127-$D$128-$D$142+$D$161)/$D$145*$D$148</f>
        <v>42.580880100041838</v>
      </c>
      <c r="F237" s="14">
        <f>(NPV($C237,I179:R179)*(1+$C237)^$D$37+R79*F$235/(1+$C237)^10+$D$144-$D$127-$D$128-$D$142+$D$161)/$D$145*$D$148</f>
        <v>52.556639877681647</v>
      </c>
      <c r="G237" s="14">
        <f>(NPV($C237,I179:R179)*(1+$C237)^$D$37+R79*G$235/(1+$C237)^10+$D$144-$D$127-$D$128-$D$142+$D$161)/$D$145*$D$148</f>
        <v>62.532399655321484</v>
      </c>
      <c r="H237" s="14">
        <f>(NPV($C237,I179:R179)*(1+$C237)^$D$37+R79*H$235/(1+$C237)^10+$D$144-$D$127-$D$128-$D$142+$D$161)/$D$145*$D$148</f>
        <v>72.508159432961307</v>
      </c>
    </row>
    <row r="238" spans="2:20" x14ac:dyDescent="0.25">
      <c r="C238" s="11">
        <f>$D$34+(0)</f>
        <v>0.10323275673541572</v>
      </c>
      <c r="D238" s="14">
        <f>(NPV($C238,I179:R179)*(1+$C238)^$D$37+R79*D$235/(1+$C238)^10+$D$144-$D$127-$D$128-$D$142+$D$161)/$D$145*$D$148</f>
        <v>27.500014201888245</v>
      </c>
      <c r="E238" s="14">
        <f>(NPV($C238,I179:R179)*(1+$C238)^$D$37+R79*E$235/(1+$C238)^10+$D$144-$D$127-$D$128-$D$142+$D$161)/$D$145*$D$148</f>
        <v>36.607549447366431</v>
      </c>
      <c r="F238" s="14">
        <f>(NPV($C238,I179:R179)*(1+$C238)^$D$37+R79*F$235/(1+$C238)^10+$D$144-$D$127-$D$128-$D$142+$D$161)/$D$145*$D$148</f>
        <v>45.715084692844577</v>
      </c>
      <c r="G238" s="14">
        <f>(NPV($C238,I179:R179)*(1+$C238)^$D$37+R79*G$235/(1+$C238)^10+$D$144-$D$127-$D$128-$D$142+$D$161)/$D$145*$D$148</f>
        <v>54.822619938322759</v>
      </c>
      <c r="H238" s="14">
        <f>(NPV($C238,I179:R179)*(1+$C238)^$D$37+R79*H$235/(1+$C238)^10+$D$144-$D$127-$D$128-$D$142+$D$161)/$D$145*$D$148</f>
        <v>63.93015518380092</v>
      </c>
    </row>
    <row r="239" spans="2:20" x14ac:dyDescent="0.25">
      <c r="C239" s="11">
        <f>$D$34+(0.01)</f>
        <v>0.11323275673541572</v>
      </c>
      <c r="D239" s="14">
        <f>(NPV($C239,I179:R179)*(1+$C239)^$D$37+R79*D$235/(1+$C239)^10+$D$144-$D$127-$D$128-$D$142+$D$161)/$D$145*$D$148</f>
        <v>22.828012045944195</v>
      </c>
      <c r="E239" s="14">
        <f>(NPV($C239,I179:R179)*(1+$C239)^$D$37+R79*E$235/(1+$C239)^10+$D$144-$D$127-$D$128-$D$142+$D$161)/$D$145*$D$148</f>
        <v>31.14972198581675</v>
      </c>
      <c r="F239" s="14">
        <f>(NPV($C239,I179:R179)*(1+$C239)^$D$37+R79*F$235/(1+$C239)^10+$D$144-$D$127-$D$128-$D$142+$D$161)/$D$145*$D$148</f>
        <v>39.471431925689316</v>
      </c>
      <c r="G239" s="14">
        <f>(NPV($C239,I179:R179)*(1+$C239)^$D$37+R79*G$235/(1+$C239)^10+$D$144-$D$127-$D$128-$D$142+$D$161)/$D$145*$D$148</f>
        <v>47.793141865561871</v>
      </c>
      <c r="H239" s="14">
        <f>(NPV($C239,I179:R179)*(1+$C239)^$D$37+R79*H$235/(1+$C239)^10+$D$144-$D$127-$D$128-$D$142+$D$161)/$D$145*$D$148</f>
        <v>56.114851805434427</v>
      </c>
    </row>
    <row r="240" spans="2:20" x14ac:dyDescent="0.25">
      <c r="C240" s="11">
        <f>$D$34+(0.02)</f>
        <v>0.12323275673541573</v>
      </c>
      <c r="D240" s="14">
        <f>(NPV($C240,I179:R179)*(1+$C240)^$D$37+R79*D$235/(1+$C240)^10+$D$144-$D$127-$D$128-$D$142+$D$161)/$D$145*$D$148</f>
        <v>18.547174847809551</v>
      </c>
      <c r="E240" s="14">
        <f>(NPV($C240,I179:R179)*(1+$C240)^$D$37+R79*E$235/(1+$C240)^10+$D$144-$D$127-$D$128-$D$142+$D$161)/$D$145*$D$148</f>
        <v>26.157001090666743</v>
      </c>
      <c r="F240" s="14">
        <f>(NPV($C240,I179:R179)*(1+$C240)^$D$37+R79*F$235/(1+$C240)^10+$D$144-$D$127-$D$128-$D$142+$D$161)/$D$145*$D$148</f>
        <v>33.766827333523914</v>
      </c>
      <c r="G240" s="14">
        <f>(NPV($C240,I179:R179)*(1+$C240)^$D$37+R79*G$235/(1+$C240)^10+$D$144-$D$127-$D$128-$D$142+$D$161)/$D$145*$D$148</f>
        <v>41.376653576381109</v>
      </c>
      <c r="H240" s="14">
        <f>(NPV($C240,I179:R179)*(1+$C240)^$D$37+R79*H$235/(1+$C240)^10+$D$144-$D$127-$D$128-$D$142+$D$161)/$D$145*$D$148</f>
        <v>48.986479819238305</v>
      </c>
    </row>
    <row r="242" spans="2:20" x14ac:dyDescent="0.25">
      <c r="B242" s="30" t="s">
        <v>315</v>
      </c>
      <c r="C242" s="31"/>
      <c r="D242" s="31"/>
      <c r="E242" s="31"/>
      <c r="F242" s="31"/>
      <c r="G242" s="31"/>
      <c r="H242" s="31"/>
      <c r="I242" s="31"/>
      <c r="J242" s="31"/>
      <c r="K242" s="31"/>
      <c r="L242" s="31"/>
      <c r="M242" s="31"/>
      <c r="N242" s="31"/>
      <c r="O242" s="31"/>
      <c r="P242" s="31"/>
      <c r="Q242" s="31"/>
      <c r="R242" s="31"/>
      <c r="S242" s="31"/>
      <c r="T242" s="31"/>
    </row>
    <row r="243" spans="2:20" x14ac:dyDescent="0.25">
      <c r="B243" s="3" t="s">
        <v>313</v>
      </c>
      <c r="D243" s="12">
        <f>$D$40+(-2)</f>
        <v>4</v>
      </c>
      <c r="E243" s="12">
        <f>$D$40+(-1)</f>
        <v>5</v>
      </c>
      <c r="F243" s="12">
        <f>$D$40+(0)</f>
        <v>6</v>
      </c>
      <c r="G243" s="12">
        <f>$D$40+(1)</f>
        <v>7</v>
      </c>
      <c r="H243" s="12">
        <f>$D$40+(2)</f>
        <v>8</v>
      </c>
    </row>
    <row r="244" spans="2:20" x14ac:dyDescent="0.25">
      <c r="C244" s="11">
        <f>$D$34+(-0.02)</f>
        <v>8.3232756735415719E-2</v>
      </c>
      <c r="D244" s="13">
        <f>NPV($C244,I179:R179)*(1+$C244)^$D$37+R79*D$243/(1+$C244)^10</f>
        <v>340638.26574849535</v>
      </c>
      <c r="E244" s="13">
        <f>NPV($C244,I179:R179)*(1+$C244)^$D$37+R79*E$243/(1+$C244)^10</f>
        <v>383446.69366592687</v>
      </c>
      <c r="F244" s="13">
        <f>NPV($C244,I179:R179)*(1+$C244)^$D$37+R79*F$243/(1+$C244)^10</f>
        <v>426255.12158335838</v>
      </c>
      <c r="G244" s="13">
        <f>NPV($C244,I179:R179)*(1+$C244)^$D$37+R79*G$243/(1+$C244)^10</f>
        <v>469063.54950078984</v>
      </c>
      <c r="H244" s="13">
        <f>NPV($C244,I179:R179)*(1+$C244)^$D$37+R79*H$243/(1+$C244)^10</f>
        <v>511871.97741822142</v>
      </c>
    </row>
    <row r="245" spans="2:20" x14ac:dyDescent="0.25">
      <c r="C245" s="11">
        <f>$D$34+(-0.01)</f>
        <v>9.3232756735415728E-2</v>
      </c>
      <c r="D245" s="13">
        <f>NPV($C245,I179:R179)*(1+$C245)^$D$37+R79*D$243/(1+$C245)^10</f>
        <v>318775.09403133811</v>
      </c>
      <c r="E245" s="13">
        <f>NPV($C245,I179:R179)*(1+$C245)^$D$37+R79*E$243/(1+$C245)^10</f>
        <v>357825.06935523078</v>
      </c>
      <c r="F245" s="13">
        <f>NPV($C245,I179:R179)*(1+$C245)^$D$37+R79*F$243/(1+$C245)^10</f>
        <v>396875.04467912338</v>
      </c>
      <c r="G245" s="13">
        <f>NPV($C245,I179:R179)*(1+$C245)^$D$37+R79*G$243/(1+$C245)^10</f>
        <v>435925.02000301611</v>
      </c>
      <c r="H245" s="13">
        <f>NPV($C245,I179:R179)*(1+$C245)^$D$37+R79*H$243/(1+$C245)^10</f>
        <v>474974.99532690877</v>
      </c>
    </row>
    <row r="246" spans="2:20" x14ac:dyDescent="0.25">
      <c r="C246" s="11">
        <f>$D$34+(0)</f>
        <v>0.10323275673541572</v>
      </c>
      <c r="D246" s="13">
        <f>NPV($C246,I179:R179)*(1+$C246)^$D$37+R79*D$243/(1+$C246)^10</f>
        <v>298791.225887404</v>
      </c>
      <c r="E246" s="13">
        <f>NPV($C246,I179:R179)*(1+$C246)^$D$37+R79*E$243/(1+$C246)^10</f>
        <v>334442.54814504052</v>
      </c>
      <c r="F246" s="13">
        <f>NPV($C246,I179:R179)*(1+$C246)^$D$37+R79*F$243/(1+$C246)^10</f>
        <v>370093.87040267687</v>
      </c>
      <c r="G246" s="13">
        <f>NPV($C246,I179:R179)*(1+$C246)^$D$37+R79*G$243/(1+$C246)^10</f>
        <v>405745.19266031339</v>
      </c>
      <c r="H246" s="13">
        <f>NPV($C246,I179:R179)*(1+$C246)^$D$37+R79*H$243/(1+$C246)^10</f>
        <v>441396.5149179498</v>
      </c>
    </row>
    <row r="247" spans="2:20" x14ac:dyDescent="0.25">
      <c r="C247" s="11">
        <f>$D$34+(0.01)</f>
        <v>0.11323275673541572</v>
      </c>
      <c r="D247" s="13">
        <f>NPV($C247,I179:R179)*(1+$C247)^$D$37+R79*D$243/(1+$C247)^10</f>
        <v>280502.73729411187</v>
      </c>
      <c r="E247" s="13">
        <f>NPV($C247,I179:R179)*(1+$C247)^$D$37+R79*E$243/(1+$C247)^10</f>
        <v>313077.95713180315</v>
      </c>
      <c r="F247" s="13">
        <f>NPV($C247,I179:R179)*(1+$C247)^$D$37+R79*F$243/(1+$C247)^10</f>
        <v>345653.17696949444</v>
      </c>
      <c r="G247" s="13">
        <f>NPV($C247,I179:R179)*(1+$C247)^$D$37+R79*G$243/(1+$C247)^10</f>
        <v>378228.39680718572</v>
      </c>
      <c r="H247" s="13">
        <f>NPV($C247,I179:R179)*(1+$C247)^$D$37+R79*H$243/(1+$C247)^10</f>
        <v>410803.61664487701</v>
      </c>
    </row>
    <row r="248" spans="2:20" x14ac:dyDescent="0.25">
      <c r="C248" s="11">
        <f>$D$34+(0.02)</f>
        <v>0.12323275673541573</v>
      </c>
      <c r="D248" s="13">
        <f>NPV($C248,I179:R179)*(1+$C248)^$D$37+R79*D$243/(1+$C248)^10</f>
        <v>263745.45858262409</v>
      </c>
      <c r="E248" s="13">
        <f>NPV($C248,I179:R179)*(1+$C248)^$D$37+R79*E$243/(1+$C248)^10</f>
        <v>293534.01941673335</v>
      </c>
      <c r="F248" s="13">
        <f>NPV($C248,I179:R179)*(1+$C248)^$D$37+R79*F$243/(1+$C248)^10</f>
        <v>323322.58025084255</v>
      </c>
      <c r="G248" s="13">
        <f>NPV($C248,I179:R179)*(1+$C248)^$D$37+R79*G$243/(1+$C248)^10</f>
        <v>353111.14108495181</v>
      </c>
      <c r="H248" s="13">
        <f>NPV($C248,I179:R179)*(1+$C248)^$D$37+R79*H$243/(1+$C248)^10</f>
        <v>382899.70191906107</v>
      </c>
    </row>
    <row r="250" spans="2:20" x14ac:dyDescent="0.25">
      <c r="B250" s="30" t="s">
        <v>316</v>
      </c>
      <c r="C250" s="31"/>
      <c r="D250" s="31"/>
      <c r="E250" s="31"/>
      <c r="F250" s="31"/>
      <c r="G250" s="31"/>
      <c r="H250" s="31"/>
      <c r="I250" s="31"/>
      <c r="J250" s="31"/>
      <c r="K250" s="31"/>
      <c r="L250" s="31"/>
      <c r="M250" s="31"/>
      <c r="N250" s="31"/>
      <c r="O250" s="31"/>
      <c r="P250" s="31"/>
      <c r="Q250" s="31"/>
      <c r="R250" s="31"/>
      <c r="S250" s="31"/>
      <c r="T250" s="31"/>
    </row>
    <row r="251" spans="2:20" x14ac:dyDescent="0.25">
      <c r="B251" s="3" t="s">
        <v>313</v>
      </c>
      <c r="D251" s="12">
        <f>$D$40+(-2)</f>
        <v>4</v>
      </c>
      <c r="E251" s="12">
        <f>$D$40+(-1)</f>
        <v>5</v>
      </c>
      <c r="F251" s="12">
        <f>$D$40+(0)</f>
        <v>6</v>
      </c>
      <c r="G251" s="12">
        <f>$D$40+(1)</f>
        <v>7</v>
      </c>
      <c r="H251" s="12">
        <f>$D$40+(2)</f>
        <v>8</v>
      </c>
    </row>
    <row r="252" spans="2:20" x14ac:dyDescent="0.25">
      <c r="C252" s="11">
        <f>$D$34+(-0.02)</f>
        <v>8.3232756735415719E-2</v>
      </c>
      <c r="D252" s="11">
        <f>(R79*D$251/(1+$C252)^$D$37*$C252-R88)/(R79*D$251/(1+$C252)^$D$37+R88-R174)</f>
        <v>2.4964172745130229E-3</v>
      </c>
      <c r="E252" s="11">
        <f>(R79*E$251/(1+$C252)^$D$37*$C252-R88)/(R79*E$251/(1+$C252)^$D$37+R88-R174)</f>
        <v>1.9425037378963436E-2</v>
      </c>
      <c r="F252" s="11">
        <f>(R79*F$251/(1+$C252)^$D$37*$C252-R88)/(R79*F$251/(1+$C252)^$D$37+R88-R174)</f>
        <v>3.0485059781306834E-2</v>
      </c>
      <c r="G252" s="11">
        <f>(R79*G$251/(1+$C252)^$D$37*$C252-R88)/(R79*G$251/(1+$C252)^$D$37+R88-R174)</f>
        <v>3.8277343831545699E-2</v>
      </c>
      <c r="H252" s="11">
        <f>(R79*H$251/(1+$C252)^$D$37*$C252-R88)/(R79*H$251/(1+$C252)^$D$37+R88-R174)</f>
        <v>4.40636909881061E-2</v>
      </c>
    </row>
    <row r="253" spans="2:20" x14ac:dyDescent="0.25">
      <c r="C253" s="11">
        <f>$D$34+(-0.01)</f>
        <v>9.3232756735415728E-2</v>
      </c>
      <c r="D253" s="11">
        <f>(R79*D$251/(1+$C253)^$D$37*$C253-R88)/(R79*D$251/(1+$C253)^$D$37+R88-R174)</f>
        <v>1.2716997582308818E-2</v>
      </c>
      <c r="E253" s="11">
        <f>(R79*E$251/(1+$C253)^$D$37*$C253-R88)/(R79*E$251/(1+$C253)^$D$37+R88-R174)</f>
        <v>2.9603129827877713E-2</v>
      </c>
      <c r="F253" s="11">
        <f>(R79*F$251/(1+$C253)^$D$37*$C253-R88)/(R79*F$251/(1+$C253)^$D$37+R88-R174)</f>
        <v>4.0634314944181335E-2</v>
      </c>
      <c r="G253" s="11">
        <f>(R79*G$251/(1+$C253)^$D$37*$C253-R88)/(R79*G$251/(1+$C253)^$D$37+R88-R174)</f>
        <v>4.8405770042244604E-2</v>
      </c>
      <c r="H253" s="11">
        <f>(R79*H$251/(1+$C253)^$D$37*$C253-R88)/(R79*H$251/(1+$C253)^$D$37+R88-R174)</f>
        <v>5.4176376457330581E-2</v>
      </c>
    </row>
    <row r="254" spans="2:20" x14ac:dyDescent="0.25">
      <c r="C254" s="11">
        <f>$D$34+(0)</f>
        <v>0.10323275673541572</v>
      </c>
      <c r="D254" s="11">
        <f>(R79*D$251/(1+$C254)^$D$37*$C254-R88)/(R79*D$251/(1+$C254)^$D$37+R88-R174)</f>
        <v>2.2945120019121718E-2</v>
      </c>
      <c r="E254" s="11">
        <f>(R79*E$251/(1+$C254)^$D$37*$C254-R88)/(R79*E$251/(1+$C254)^$D$37+R88-R174)</f>
        <v>3.9787146204922234E-2</v>
      </c>
      <c r="F254" s="11">
        <f>(R79*F$251/(1+$C254)^$D$37*$C254-R88)/(R79*F$251/(1+$C254)^$D$37+R88-R174)</f>
        <v>5.0788446961064659E-2</v>
      </c>
      <c r="G254" s="11">
        <f>(R79*G$251/(1+$C254)^$D$37*$C254-R88)/(R79*G$251/(1+$C254)^$D$37+R88-R174)</f>
        <v>5.8538340338837438E-2</v>
      </c>
      <c r="H254" s="11">
        <f>(R79*H$251/(1+$C254)^$D$37*$C254-R88)/(R79*H$251/(1+$C254)^$D$37+R88-R174)</f>
        <v>6.4292664568030899E-2</v>
      </c>
    </row>
    <row r="255" spans="2:20" x14ac:dyDescent="0.25">
      <c r="C255" s="11">
        <f>$D$34+(0.01)</f>
        <v>0.11323275673541572</v>
      </c>
      <c r="D255" s="11">
        <f>(R79*D$251/(1+$C255)^$D$37*$C255-R88)/(R79*D$251/(1+$C255)^$D$37+R88-R174)</f>
        <v>3.318072751679093E-2</v>
      </c>
      <c r="E255" s="11">
        <f>(R79*E$251/(1+$C255)^$D$37*$C255-R88)/(R79*E$251/(1+$C255)^$D$37+R88-R174)</f>
        <v>4.9977040704742778E-2</v>
      </c>
      <c r="F255" s="11">
        <f>(R79*F$251/(1+$C255)^$D$37*$C255-R88)/(R79*F$251/(1+$C255)^$D$37+R88-R174)</f>
        <v>6.0947417594819309E-2</v>
      </c>
      <c r="G255" s="11">
        <f>(R79*G$251/(1+$C255)^$D$37*$C255-R88)/(R79*G$251/(1+$C255)^$D$37+R88-R174)</f>
        <v>6.8675021913293E-2</v>
      </c>
      <c r="H255" s="11">
        <f>(R79*H$251/(1+$C255)^$D$37*$C255-R88)/(R79*H$251/(1+$C255)^$D$37+R88-R174)</f>
        <v>7.441252659455691E-2</v>
      </c>
    </row>
    <row r="256" spans="2:20" x14ac:dyDescent="0.25">
      <c r="C256" s="11">
        <f>$D$34+(0.02)</f>
        <v>0.12323275673541573</v>
      </c>
      <c r="D256" s="11">
        <f>(R79*D$251/(1+$C256)^$D$37*$C256-R88)/(R79*D$251/(1+$C256)^$D$37+R88-R174)</f>
        <v>4.342376413319194E-2</v>
      </c>
      <c r="E256" s="11">
        <f>(R79*E$251/(1+$C256)^$D$37*$C256-R88)/(R79*E$251/(1+$C256)^$D$37+R88-R174)</f>
        <v>6.0172768423705073E-2</v>
      </c>
      <c r="F256" s="11">
        <f>(R79*F$251/(1+$C256)^$D$37*$C256-R88)/(R79*F$251/(1+$C256)^$D$37+R88-R174)</f>
        <v>7.1111189360148458E-2</v>
      </c>
      <c r="G256" s="11">
        <f>(R79*G$251/(1+$C256)^$D$37*$C256-R88)/(R79*G$251/(1+$C256)^$D$37+R88-R174)</f>
        <v>7.8815782602226728E-2</v>
      </c>
      <c r="H256" s="11">
        <f>(R79*H$251/(1+$C256)^$D$37*$C256-R88)/(R79*H$251/(1+$C256)^$D$37+R88-R174)</f>
        <v>8.4535934375444682E-2</v>
      </c>
    </row>
    <row r="258" spans="2:20" x14ac:dyDescent="0.25">
      <c r="B258" s="30" t="s">
        <v>317</v>
      </c>
      <c r="C258" s="31"/>
      <c r="D258" s="31"/>
      <c r="E258" s="31"/>
      <c r="F258" s="31"/>
      <c r="G258" s="31"/>
      <c r="H258" s="31"/>
      <c r="I258" s="31"/>
      <c r="J258" s="31"/>
      <c r="K258" s="31"/>
      <c r="L258" s="31"/>
      <c r="M258" s="31"/>
      <c r="N258" s="31"/>
      <c r="O258" s="31"/>
      <c r="P258" s="31"/>
      <c r="Q258" s="31"/>
      <c r="R258" s="31"/>
      <c r="S258" s="31"/>
      <c r="T258" s="31"/>
    </row>
    <row r="259" spans="2:20" x14ac:dyDescent="0.25">
      <c r="B259" s="3" t="s">
        <v>313</v>
      </c>
      <c r="D259" s="12">
        <f>$D$40+(-2)</f>
        <v>4</v>
      </c>
      <c r="E259" s="12">
        <f>$D$40+(-1)</f>
        <v>5</v>
      </c>
      <c r="F259" s="12">
        <f>$D$40+(0)</f>
        <v>6</v>
      </c>
      <c r="G259" s="12">
        <f>$D$40+(1)</f>
        <v>7</v>
      </c>
      <c r="H259" s="12">
        <f>$D$40+(2)</f>
        <v>8</v>
      </c>
    </row>
    <row r="260" spans="2:20" x14ac:dyDescent="0.25">
      <c r="C260" s="11">
        <f>$D$34+(-0.02)</f>
        <v>8.3232756735415719E-2</v>
      </c>
      <c r="D260" s="10">
        <f>(NPV($C260,I179:R179)*(1+$C260)^$D$37+R79*D$259/(1+$C260)^10+$D$144-$D$127-$D$128-$D$142+$D$161)/$D$145*$D$148/$D$146-1</f>
        <v>-0.34828812477294213</v>
      </c>
      <c r="E260" s="10">
        <f>(NPV($C260,I179:R179)*(1+$C260)^$D$37+R79*E$259/(1+$C260)^10+$D$144-$D$127-$D$128-$D$142+$D$161)/$D$145*$D$148/$D$146-1</f>
        <v>-0.16166868473670204</v>
      </c>
      <c r="F260" s="10">
        <f>(NPV($C260,I179:R179)*(1+$C260)^$D$37+R79*F$259/(1+$C260)^10+$D$144-$D$127-$D$128-$D$142+$D$161)/$D$145*$D$148/$D$146-1</f>
        <v>2.4950755299538052E-2</v>
      </c>
      <c r="G260" s="10">
        <f>(NPV($C260,I179:R179)*(1+$C260)^$D$37+R79*G$259/(1+$C260)^10+$D$144-$D$127-$D$128-$D$142+$D$161)/$D$145*$D$148/$D$146-1</f>
        <v>0.21157019533577759</v>
      </c>
      <c r="H260" s="10">
        <f>(NPV($C260,I179:R179)*(1+$C260)^$D$37+R79*H$259/(1+$C260)^10+$D$144-$D$127-$D$128-$D$142+$D$161)/$D$145*$D$148/$D$146-1</f>
        <v>0.39818963537201801</v>
      </c>
    </row>
    <row r="261" spans="2:20" x14ac:dyDescent="0.25">
      <c r="C261" s="11">
        <f>$D$34+(-0.01)</f>
        <v>9.3232756735415728E-2</v>
      </c>
      <c r="D261" s="10">
        <f>(NPV($C261,I179:R179)*(1+$C261)^$D$37+R79*D$259/(1+$C261)^10+$D$144-$D$127-$D$128-$D$142+$D$161)/$D$145*$D$148/$D$146-1</f>
        <v>-0.44359862931054606</v>
      </c>
      <c r="E261" s="10">
        <f>(NPV($C261,I179:R179)*(1+$C261)^$D$37+R79*E$259/(1+$C261)^10+$D$144-$D$127-$D$128-$D$142+$D$161)/$D$145*$D$148/$D$146-1</f>
        <v>-0.27336382081839872</v>
      </c>
      <c r="F261" s="10">
        <f>(NPV($C261,I179:R179)*(1+$C261)^$D$37+R79*F$259/(1+$C261)^10+$D$144-$D$127-$D$128-$D$142+$D$161)/$D$145*$D$148/$D$146-1</f>
        <v>-0.10312901232625182</v>
      </c>
      <c r="G261" s="10">
        <f>(NPV($C261,I179:R179)*(1+$C261)^$D$37+R79*G$259/(1+$C261)^10+$D$144-$D$127-$D$128-$D$142+$D$161)/$D$145*$D$148/$D$146-1</f>
        <v>6.7105796165895626E-2</v>
      </c>
      <c r="H261" s="10">
        <f>(NPV($C261,I179:R179)*(1+$C261)^$D$37+R79*H$259/(1+$C261)^10+$D$144-$D$127-$D$128-$D$142+$D$161)/$D$145*$D$148/$D$146-1</f>
        <v>0.23734060465804285</v>
      </c>
    </row>
    <row r="262" spans="2:20" x14ac:dyDescent="0.25">
      <c r="C262" s="11">
        <f>$D$34+(0)</f>
        <v>0.10323275673541572</v>
      </c>
      <c r="D262" s="10">
        <f>(NPV($C262,I179:R179)*(1+$C262)^$D$37+R79*D$259/(1+$C262)^10+$D$144-$D$127-$D$128-$D$142+$D$161)/$D$145*$D$148/$D$146-1</f>
        <v>-0.53071648119644632</v>
      </c>
      <c r="E262" s="10">
        <f>(NPV($C262,I179:R179)*(1+$C262)^$D$37+R79*E$259/(1+$C262)^10+$D$144-$D$127-$D$128-$D$142+$D$161)/$D$145*$D$148/$D$146-1</f>
        <v>-0.37529779100057292</v>
      </c>
      <c r="F262" s="10">
        <f>(NPV($C262,I179:R179)*(1+$C262)^$D$37+R79*F$259/(1+$C262)^10+$D$144-$D$127-$D$128-$D$142+$D$161)/$D$145*$D$148/$D$146-1</f>
        <v>-0.21987910080470008</v>
      </c>
      <c r="G262" s="10">
        <f>(NPV($C262,I179:R179)*(1+$C262)^$D$37+R79*G$259/(1+$C262)^10+$D$144-$D$127-$D$128-$D$142+$D$161)/$D$145*$D$148/$D$146-1</f>
        <v>-6.4460410608826679E-2</v>
      </c>
      <c r="H262" s="10">
        <f>(NPV($C262,I179:R179)*(1+$C262)^$D$37+R79*H$259/(1+$C262)^10+$D$144-$D$127-$D$128-$D$142+$D$161)/$D$145*$D$148/$D$146-1</f>
        <v>9.0958279587046498E-2</v>
      </c>
    </row>
    <row r="263" spans="2:20" x14ac:dyDescent="0.25">
      <c r="C263" s="11">
        <f>$D$34+(0.01)</f>
        <v>0.11323275673541572</v>
      </c>
      <c r="D263" s="10">
        <f>(NPV($C263,I179:R179)*(1+$C263)^$D$37+R79*D$259/(1+$C263)^10+$D$144-$D$127-$D$128-$D$142+$D$161)/$D$145*$D$148/$D$146-1</f>
        <v>-0.61044348044463836</v>
      </c>
      <c r="E263" s="10">
        <f>(NPV($C263,I179:R179)*(1+$C263)^$D$37+R79*E$259/(1+$C263)^10+$D$144-$D$127-$D$128-$D$142+$D$161)/$D$145*$D$148/$D$146-1</f>
        <v>-0.46843477839903158</v>
      </c>
      <c r="F263" s="10">
        <f>(NPV($C263,I179:R179)*(1+$C263)^$D$37+R79*F$259/(1+$C263)^10+$D$144-$D$127-$D$128-$D$142+$D$161)/$D$145*$D$148/$D$146-1</f>
        <v>-0.32642607635342469</v>
      </c>
      <c r="G263" s="10">
        <f>(NPV($C263,I179:R179)*(1+$C263)^$D$37+R79*G$259/(1+$C263)^10+$D$144-$D$127-$D$128-$D$142+$D$161)/$D$145*$D$148/$D$146-1</f>
        <v>-0.18441737430781791</v>
      </c>
      <c r="H263" s="10">
        <f>(NPV($C263,I179:R179)*(1+$C263)^$D$37+R79*H$259/(1+$C263)^10+$D$144-$D$127-$D$128-$D$142+$D$161)/$D$145*$D$148/$D$146-1</f>
        <v>-4.2408672262211122E-2</v>
      </c>
    </row>
    <row r="264" spans="2:20" x14ac:dyDescent="0.25">
      <c r="C264" s="11">
        <f>$D$34+(0.02)</f>
        <v>0.12323275673541573</v>
      </c>
      <c r="D264" s="10">
        <f>(NPV($C264,I179:R179)*(1+$C264)^$D$37+R79*D$259/(1+$C264)^10+$D$144-$D$127-$D$128-$D$142+$D$161)/$D$145*$D$148/$D$146-1</f>
        <v>-0.68349530976434214</v>
      </c>
      <c r="E264" s="10">
        <f>(NPV($C264,I179:R179)*(1+$C264)^$D$37+R79*E$259/(1+$C264)^10+$D$144-$D$127-$D$128-$D$142+$D$161)/$D$145*$D$148/$D$146-1</f>
        <v>-0.55363479367462898</v>
      </c>
      <c r="F264" s="10">
        <f>(NPV($C264,I179:R179)*(1+$C264)^$D$37+R79*F$259/(1+$C264)^10+$D$144-$D$127-$D$128-$D$142+$D$161)/$D$145*$D$148/$D$146-1</f>
        <v>-0.42377427758491615</v>
      </c>
      <c r="G264" s="10">
        <f>(NPV($C264,I179:R179)*(1+$C264)^$D$37+R79*G$259/(1+$C264)^10+$D$144-$D$127-$D$128-$D$142+$D$161)/$D$145*$D$148/$D$146-1</f>
        <v>-0.29391376149520299</v>
      </c>
      <c r="H264" s="10">
        <f>(NPV($C264,I179:R179)*(1+$C264)^$D$37+R79*H$259/(1+$C264)^10+$D$144-$D$127-$D$128-$D$142+$D$161)/$D$145*$D$148/$D$146-1</f>
        <v>-0.16405324540548971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24"/>
  <sheetViews>
    <sheetView showGridLines="0" workbookViewId="0"/>
  </sheetViews>
  <sheetFormatPr defaultRowHeight="15" x14ac:dyDescent="0.25"/>
  <cols>
    <col min="2" max="2" width="70" customWidth="1"/>
    <col min="4" max="4" width="14" customWidth="1"/>
    <col min="5" max="5" width="80" customWidth="1"/>
  </cols>
  <sheetData>
    <row r="2" spans="2:5" ht="18.75" customHeight="1" x14ac:dyDescent="0.3">
      <c r="B2" s="1" t="s">
        <v>318</v>
      </c>
    </row>
    <row r="3" spans="2:5" x14ac:dyDescent="0.25">
      <c r="B3" s="2" t="s">
        <v>319</v>
      </c>
    </row>
    <row r="5" spans="2:5" x14ac:dyDescent="0.25">
      <c r="B5" s="6" t="s">
        <v>320</v>
      </c>
      <c r="C5" s="7"/>
      <c r="D5" s="7"/>
      <c r="E5" s="7"/>
    </row>
    <row r="6" spans="2:5" x14ac:dyDescent="0.25">
      <c r="B6" s="3" t="s">
        <v>321</v>
      </c>
      <c r="D6" s="13">
        <f>DCF!$D$146/DCF!$D$148*DCF!$D$145+DCF!$D$127+DCF!$D$128+DCF!$D$142-DCF!$D$144</f>
        <v>440085.79529122973</v>
      </c>
    </row>
    <row r="7" spans="2:5" x14ac:dyDescent="0.25">
      <c r="B7" s="3" t="s">
        <v>322</v>
      </c>
      <c r="D7" s="13">
        <f>DCF!$D$183</f>
        <v>156185.9368568582</v>
      </c>
    </row>
    <row r="8" spans="2:5" x14ac:dyDescent="0.25">
      <c r="B8" s="3" t="s">
        <v>323</v>
      </c>
      <c r="D8" s="13">
        <f>($D$6-$D$7)*(1+DCF!$D$34)^(10-DCF!$D$37)</f>
        <v>721943.29018127965</v>
      </c>
    </row>
    <row r="9" spans="2:5" x14ac:dyDescent="0.25">
      <c r="B9" s="3" t="s">
        <v>324</v>
      </c>
      <c r="D9" s="11">
        <f>IF($D$6&gt;$D$7,($D$8*DCF!$D$34-DCF!R88)/($D$8+DCF!R88-DCF!R174),"n.m.")</f>
        <v>6.410746806858908E-2</v>
      </c>
    </row>
    <row r="10" spans="2:5" x14ac:dyDescent="0.25">
      <c r="B10" s="3" t="s">
        <v>325</v>
      </c>
      <c r="D10" s="11">
        <f>DCF!$D$39</f>
        <v>4.2500000000000003E-2</v>
      </c>
    </row>
    <row r="12" spans="2:5" x14ac:dyDescent="0.25">
      <c r="B12" s="6" t="s">
        <v>326</v>
      </c>
      <c r="C12" s="7"/>
      <c r="D12" s="7"/>
      <c r="E12" s="7"/>
    </row>
    <row r="13" spans="2:5" x14ac:dyDescent="0.25">
      <c r="B13" s="3" t="s">
        <v>327</v>
      </c>
      <c r="D13" s="35">
        <f>DCF!$D$146/DCF!$D$148*DCF!$D$145+DCF!$D$127+DCF!$D$128+DCF!$D$142-DCF!$D$144</f>
        <v>440085.79529122973</v>
      </c>
    </row>
    <row r="14" spans="2:5" x14ac:dyDescent="0.25">
      <c r="B14" s="3" t="s">
        <v>328</v>
      </c>
      <c r="D14" s="35">
        <f>DCF!$D$112</f>
        <v>165442.46851665768</v>
      </c>
    </row>
    <row r="15" spans="2:5" x14ac:dyDescent="0.25">
      <c r="B15" s="3" t="s">
        <v>323</v>
      </c>
      <c r="D15" s="13">
        <f>($D$13-$D$14)*(1+DCF!$D$34)^(10-DCF!$D$37)</f>
        <v>698404.38826355408</v>
      </c>
    </row>
    <row r="16" spans="2:5" x14ac:dyDescent="0.25">
      <c r="B16" s="3" t="s">
        <v>329</v>
      </c>
      <c r="D16" s="11">
        <f>IF($D$13&gt;$D$14,($D$15*DCF!$D$34-DCF!R88)/($D$15+DCF!R88),"n.m.")</f>
        <v>5.8376544682362974E-2</v>
      </c>
    </row>
    <row r="17" spans="2:5" x14ac:dyDescent="0.25">
      <c r="B17" s="3" t="s">
        <v>325</v>
      </c>
      <c r="D17" s="36">
        <f>DCF!$D$39</f>
        <v>4.2500000000000003E-2</v>
      </c>
    </row>
    <row r="18" spans="2:5" x14ac:dyDescent="0.25">
      <c r="B18" s="5" t="s">
        <v>330</v>
      </c>
    </row>
    <row r="20" spans="2:5" x14ac:dyDescent="0.25">
      <c r="B20" s="6" t="s">
        <v>331</v>
      </c>
      <c r="C20" s="7"/>
      <c r="D20" s="7"/>
      <c r="E20" s="7"/>
    </row>
    <row r="21" spans="2:5" x14ac:dyDescent="0.25">
      <c r="B21" s="3" t="s">
        <v>332</v>
      </c>
      <c r="E21" s="5" t="s">
        <v>333</v>
      </c>
    </row>
    <row r="22" spans="2:5" x14ac:dyDescent="0.25">
      <c r="B22" s="3" t="s">
        <v>334</v>
      </c>
      <c r="D22" s="15">
        <v>3.4226966276764872E-2</v>
      </c>
      <c r="E22" s="5" t="s">
        <v>335</v>
      </c>
    </row>
    <row r="23" spans="2:5" x14ac:dyDescent="0.25">
      <c r="B23" s="3" t="s">
        <v>336</v>
      </c>
      <c r="D23" s="15">
        <v>1.777277365326882E-2</v>
      </c>
      <c r="E23" s="5"/>
    </row>
    <row r="24" spans="2:5" x14ac:dyDescent="0.25">
      <c r="B24" s="3" t="s">
        <v>337</v>
      </c>
      <c r="D24" s="15">
        <v>2.3347786441445351E-2</v>
      </c>
      <c r="E24" s="5" t="s">
        <v>338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5"/>
  <sheetViews>
    <sheetView showGridLines="0" workbookViewId="0"/>
  </sheetViews>
  <sheetFormatPr defaultRowHeight="15" x14ac:dyDescent="0.25"/>
  <cols>
    <col min="2" max="2" width="44" customWidth="1"/>
    <col min="3" max="8" width="13" customWidth="1"/>
  </cols>
  <sheetData>
    <row r="2" spans="2:8" ht="18.75" customHeight="1" x14ac:dyDescent="0.3">
      <c r="B2" s="1" t="s">
        <v>339</v>
      </c>
    </row>
    <row r="3" spans="2:8" x14ac:dyDescent="0.25">
      <c r="B3" s="2" t="s">
        <v>340</v>
      </c>
    </row>
    <row r="5" spans="2:8" x14ac:dyDescent="0.25">
      <c r="B5" s="6" t="s">
        <v>341</v>
      </c>
      <c r="C5" s="7"/>
      <c r="D5" s="7"/>
      <c r="E5" s="7"/>
      <c r="F5" s="7"/>
      <c r="G5" s="7"/>
      <c r="H5" s="7"/>
    </row>
    <row r="6" spans="2:8" x14ac:dyDescent="0.25">
      <c r="B6" s="3" t="s">
        <v>342</v>
      </c>
      <c r="C6" s="15">
        <v>-0.01</v>
      </c>
      <c r="D6" s="15">
        <v>-5.0000000000000001E-3</v>
      </c>
      <c r="E6" s="15">
        <v>0</v>
      </c>
      <c r="F6" s="15">
        <v>5.0000000000000001E-3</v>
      </c>
      <c r="G6" s="15">
        <v>0.01</v>
      </c>
    </row>
    <row r="7" spans="2:8" x14ac:dyDescent="0.25">
      <c r="B7" s="15">
        <v>-0.01</v>
      </c>
      <c r="C7" s="14">
        <v>40.159004872822209</v>
      </c>
      <c r="D7" s="14">
        <v>46.292565664363643</v>
      </c>
      <c r="E7" s="14">
        <v>52.426126455905163</v>
      </c>
      <c r="F7" s="14">
        <v>58.559687247446547</v>
      </c>
      <c r="G7" s="14">
        <v>64.693248038988045</v>
      </c>
    </row>
    <row r="8" spans="2:8" x14ac:dyDescent="0.25">
      <c r="B8" s="15">
        <v>-5.0000000000000001E-3</v>
      </c>
      <c r="C8" s="14">
        <v>30.721738236104802</v>
      </c>
      <c r="D8" s="14">
        <v>36.855299027646247</v>
      </c>
      <c r="E8" s="14">
        <v>42.988859819187752</v>
      </c>
      <c r="F8" s="14">
        <v>49.122420610729129</v>
      </c>
      <c r="G8" s="14">
        <v>55.255981402270649</v>
      </c>
    </row>
    <row r="9" spans="2:8" x14ac:dyDescent="0.25">
      <c r="B9" s="15">
        <v>0</v>
      </c>
      <c r="C9" s="14">
        <v>21.28447159938743</v>
      </c>
      <c r="D9" s="14">
        <v>27.418032390928872</v>
      </c>
      <c r="E9" s="14">
        <v>33.551593182470377</v>
      </c>
      <c r="F9" s="14">
        <v>39.685153974011769</v>
      </c>
      <c r="G9" s="14">
        <v>45.81871476555326</v>
      </c>
    </row>
    <row r="10" spans="2:8" x14ac:dyDescent="0.25">
      <c r="B10" s="15">
        <v>5.0000000000000001E-3</v>
      </c>
      <c r="C10" s="14">
        <v>11.84720496267003</v>
      </c>
      <c r="D10" s="14">
        <v>17.980765754211468</v>
      </c>
      <c r="E10" s="14">
        <v>24.11432654575297</v>
      </c>
      <c r="F10" s="14">
        <v>30.247887337294369</v>
      </c>
      <c r="G10" s="14">
        <v>36.381448128835878</v>
      </c>
    </row>
    <row r="11" spans="2:8" x14ac:dyDescent="0.25">
      <c r="B11" s="15">
        <v>0.01</v>
      </c>
      <c r="C11" s="14">
        <v>2.4099383259526328</v>
      </c>
      <c r="D11" s="14">
        <v>8.5434991174940809</v>
      </c>
      <c r="E11" s="14">
        <v>14.67705990903559</v>
      </c>
      <c r="F11" s="14">
        <v>20.81062070057698</v>
      </c>
      <c r="G11" s="14">
        <v>26.944181492118481</v>
      </c>
    </row>
    <row r="13" spans="2:8" x14ac:dyDescent="0.25">
      <c r="B13" s="6" t="s">
        <v>343</v>
      </c>
      <c r="C13" s="7"/>
      <c r="D13" s="7"/>
      <c r="E13" s="7"/>
      <c r="F13" s="7"/>
      <c r="G13" s="7"/>
      <c r="H13" s="7"/>
    </row>
    <row r="14" spans="2:8" x14ac:dyDescent="0.25">
      <c r="B14" s="3" t="s">
        <v>342</v>
      </c>
      <c r="C14" s="15">
        <v>-0.01</v>
      </c>
      <c r="D14" s="15">
        <v>-5.0000000000000001E-3</v>
      </c>
      <c r="E14" s="15">
        <v>0</v>
      </c>
      <c r="F14" s="15">
        <v>5.0000000000000001E-3</v>
      </c>
      <c r="G14" s="15">
        <v>0.01</v>
      </c>
    </row>
    <row r="15" spans="2:8" x14ac:dyDescent="0.25">
      <c r="B15" s="15">
        <v>-0.01</v>
      </c>
      <c r="C15" s="14">
        <v>45.054887692917283</v>
      </c>
      <c r="D15" s="14">
        <v>49.456062439874593</v>
      </c>
      <c r="E15" s="14">
        <v>53.857237186831867</v>
      </c>
      <c r="F15" s="14">
        <v>58.258411933789162</v>
      </c>
      <c r="G15" s="14">
        <v>62.659586680746457</v>
      </c>
    </row>
    <row r="16" spans="2:8" x14ac:dyDescent="0.25">
      <c r="B16" s="15">
        <v>-5.0000000000000001E-3</v>
      </c>
      <c r="C16" s="14">
        <v>40.983811445923628</v>
      </c>
      <c r="D16" s="14">
        <v>45.384986192880937</v>
      </c>
      <c r="E16" s="14">
        <v>49.786160939838233</v>
      </c>
      <c r="F16" s="14">
        <v>54.187335686795493</v>
      </c>
      <c r="G16" s="14">
        <v>58.588510433752823</v>
      </c>
    </row>
    <row r="17" spans="2:8" x14ac:dyDescent="0.25">
      <c r="B17" s="15">
        <v>0</v>
      </c>
      <c r="C17" s="14">
        <v>36.912735198929987</v>
      </c>
      <c r="D17" s="14">
        <v>41.313909945887303</v>
      </c>
      <c r="E17" s="14">
        <v>45.715084692844599</v>
      </c>
      <c r="F17" s="14">
        <v>50.116259439801851</v>
      </c>
      <c r="G17" s="14">
        <v>54.517434186759189</v>
      </c>
    </row>
    <row r="18" spans="2:8" x14ac:dyDescent="0.25">
      <c r="B18" s="15">
        <v>5.0000000000000001E-3</v>
      </c>
      <c r="C18" s="14">
        <v>32.841658951936353</v>
      </c>
      <c r="D18" s="14">
        <v>37.242833698893648</v>
      </c>
      <c r="E18" s="14">
        <v>41.644008445850957</v>
      </c>
      <c r="F18" s="14">
        <v>46.04518319280821</v>
      </c>
      <c r="G18" s="14">
        <v>50.446357939765541</v>
      </c>
    </row>
    <row r="19" spans="2:8" x14ac:dyDescent="0.25">
      <c r="B19" s="15">
        <v>0.01</v>
      </c>
      <c r="C19" s="14">
        <v>28.770582704942701</v>
      </c>
      <c r="D19" s="14">
        <v>33.171757451900007</v>
      </c>
      <c r="E19" s="14">
        <v>37.572932198857309</v>
      </c>
      <c r="F19" s="14">
        <v>41.974106945814583</v>
      </c>
      <c r="G19" s="14">
        <v>46.375281692771892</v>
      </c>
    </row>
    <row r="21" spans="2:8" x14ac:dyDescent="0.25">
      <c r="B21" s="6" t="s">
        <v>344</v>
      </c>
      <c r="C21" s="7"/>
      <c r="D21" s="7"/>
      <c r="E21" s="7"/>
      <c r="F21" s="7"/>
      <c r="G21" s="7"/>
      <c r="H21" s="7"/>
    </row>
    <row r="22" spans="2:8" x14ac:dyDescent="0.25">
      <c r="B22" s="4" t="s">
        <v>345</v>
      </c>
      <c r="C22" s="4" t="s">
        <v>346</v>
      </c>
      <c r="D22" s="4" t="s">
        <v>347</v>
      </c>
      <c r="E22" s="4" t="s">
        <v>348</v>
      </c>
      <c r="F22" s="4" t="s">
        <v>349</v>
      </c>
    </row>
    <row r="23" spans="2:8" x14ac:dyDescent="0.25">
      <c r="B23" s="15">
        <v>-0.01</v>
      </c>
      <c r="C23" s="14">
        <v>52.426126455905163</v>
      </c>
      <c r="D23" s="10">
        <v>0.32592978914240928</v>
      </c>
      <c r="E23" s="10">
        <v>0.13039618168019121</v>
      </c>
      <c r="F23" s="10">
        <v>5.4243729545397031E-2</v>
      </c>
    </row>
    <row r="24" spans="2:8" x14ac:dyDescent="0.25">
      <c r="B24" s="15">
        <v>-5.0000000000000001E-3</v>
      </c>
      <c r="C24" s="14">
        <v>42.988859819187752</v>
      </c>
      <c r="D24" s="10">
        <v>0.2018398979346169</v>
      </c>
      <c r="E24" s="10">
        <v>0.2105629285136047</v>
      </c>
      <c r="F24" s="10">
        <v>4.9243729545397033E-2</v>
      </c>
    </row>
    <row r="25" spans="2:8" x14ac:dyDescent="0.25">
      <c r="B25" s="15">
        <v>0</v>
      </c>
      <c r="C25" s="14">
        <v>33.551593182470377</v>
      </c>
      <c r="D25" s="10">
        <v>0.14618390760857669</v>
      </c>
      <c r="E25" s="10">
        <v>0.2907296753470181</v>
      </c>
      <c r="F25" s="10">
        <v>4.4243729545397043E-2</v>
      </c>
    </row>
    <row r="26" spans="2:8" x14ac:dyDescent="0.25">
      <c r="B26" s="15">
        <v>5.0000000000000001E-3</v>
      </c>
      <c r="C26" s="14">
        <v>24.11432654575297</v>
      </c>
      <c r="D26" s="10">
        <v>0.1145872471622949</v>
      </c>
      <c r="E26" s="10">
        <v>0.37089642218043162</v>
      </c>
      <c r="F26" s="10">
        <v>3.9243729545397031E-2</v>
      </c>
    </row>
    <row r="27" spans="2:8" x14ac:dyDescent="0.25">
      <c r="B27" s="15">
        <v>0.01</v>
      </c>
      <c r="C27" s="14">
        <v>14.67705990903559</v>
      </c>
      <c r="D27" s="10">
        <v>9.4221836140861034E-2</v>
      </c>
      <c r="E27" s="10">
        <v>0.45106316901384491</v>
      </c>
      <c r="F27" s="10">
        <v>3.4243729545397041E-2</v>
      </c>
    </row>
    <row r="29" spans="2:8" x14ac:dyDescent="0.25">
      <c r="B29" s="6" t="s">
        <v>350</v>
      </c>
      <c r="C29" s="7"/>
      <c r="D29" s="7"/>
      <c r="E29" s="7"/>
      <c r="F29" s="7"/>
      <c r="G29" s="7"/>
      <c r="H29" s="7"/>
    </row>
    <row r="30" spans="2:8" x14ac:dyDescent="0.25">
      <c r="B30" s="4" t="s">
        <v>351</v>
      </c>
      <c r="C30" s="4" t="s">
        <v>352</v>
      </c>
      <c r="D30" s="4" t="s">
        <v>353</v>
      </c>
    </row>
    <row r="31" spans="2:8" x14ac:dyDescent="0.25">
      <c r="B31" s="15">
        <v>-0.01</v>
      </c>
      <c r="C31" s="14">
        <v>27.447029049198751</v>
      </c>
      <c r="D31" s="14">
        <v>39.209541604996637</v>
      </c>
    </row>
    <row r="32" spans="2:8" x14ac:dyDescent="0.25">
      <c r="B32" s="15">
        <v>-5.0000000000000001E-3</v>
      </c>
      <c r="C32" s="14">
        <v>30.437368823424549</v>
      </c>
      <c r="D32" s="14">
        <v>42.398974775846519</v>
      </c>
    </row>
    <row r="33" spans="2:4" x14ac:dyDescent="0.25">
      <c r="B33" s="15">
        <v>0</v>
      </c>
      <c r="C33" s="14">
        <v>33.551593182470377</v>
      </c>
      <c r="D33" s="14">
        <v>45.715084692844599</v>
      </c>
    </row>
    <row r="34" spans="2:4" x14ac:dyDescent="0.25">
      <c r="B34" s="15">
        <v>5.0000000000000001E-3</v>
      </c>
      <c r="C34" s="14">
        <v>36.794546966438404</v>
      </c>
      <c r="D34" s="14">
        <v>49.16258850164089</v>
      </c>
    </row>
    <row r="35" spans="2:4" x14ac:dyDescent="0.25">
      <c r="B35" s="15">
        <v>0.01</v>
      </c>
      <c r="C35" s="14">
        <v>40.171244041781023</v>
      </c>
      <c r="D35" s="14">
        <v>52.746359889885582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41"/>
  <sheetViews>
    <sheetView showGridLines="0" workbookViewId="0"/>
  </sheetViews>
  <sheetFormatPr defaultRowHeight="15" x14ac:dyDescent="0.25"/>
  <cols>
    <col min="2" max="2" width="64" customWidth="1"/>
    <col min="3" max="10" width="11" customWidth="1"/>
    <col min="11" max="11" width="70" customWidth="1"/>
  </cols>
  <sheetData>
    <row r="2" spans="2:11" ht="18.75" customHeight="1" x14ac:dyDescent="0.3">
      <c r="B2" s="1" t="s">
        <v>354</v>
      </c>
    </row>
    <row r="3" spans="2:11" x14ac:dyDescent="0.25">
      <c r="B3" s="2" t="s">
        <v>355</v>
      </c>
    </row>
    <row r="5" spans="2:11" x14ac:dyDescent="0.25">
      <c r="B5" s="6" t="s">
        <v>356</v>
      </c>
      <c r="C5" s="7"/>
      <c r="D5" s="7"/>
      <c r="E5" s="7"/>
      <c r="F5" s="7"/>
      <c r="G5" s="7"/>
      <c r="H5" s="7"/>
      <c r="I5" s="7"/>
      <c r="J5" s="7"/>
      <c r="K5" s="7"/>
    </row>
    <row r="6" spans="2:11" x14ac:dyDescent="0.25">
      <c r="B6" s="4" t="s">
        <v>357</v>
      </c>
      <c r="C6" s="4" t="s">
        <v>55</v>
      </c>
      <c r="D6" s="4" t="s">
        <v>358</v>
      </c>
      <c r="E6" s="4" t="s">
        <v>359</v>
      </c>
      <c r="F6" s="4" t="s">
        <v>352</v>
      </c>
      <c r="G6" s="4" t="s">
        <v>353</v>
      </c>
      <c r="H6" s="4" t="s">
        <v>360</v>
      </c>
      <c r="I6" s="4" t="s">
        <v>361</v>
      </c>
      <c r="J6" s="4" t="s">
        <v>362</v>
      </c>
      <c r="K6" s="4" t="s">
        <v>363</v>
      </c>
    </row>
    <row r="7" spans="2:11" x14ac:dyDescent="0.25">
      <c r="B7" s="3" t="s">
        <v>364</v>
      </c>
      <c r="C7" s="11">
        <v>0.1032327567354157</v>
      </c>
      <c r="D7" s="11">
        <v>0.12943651126550321</v>
      </c>
      <c r="E7" s="11">
        <v>4.2500000000000003E-2</v>
      </c>
      <c r="F7" s="14">
        <v>33.551593182470377</v>
      </c>
      <c r="G7" s="14">
        <v>45.715084692844599</v>
      </c>
      <c r="H7" s="10">
        <v>-0.42744721531620511</v>
      </c>
      <c r="I7" s="10">
        <v>-0.21987910080469969</v>
      </c>
      <c r="J7" s="10">
        <v>0.14618390760857669</v>
      </c>
      <c r="K7" s="5" t="s">
        <v>365</v>
      </c>
    </row>
    <row r="9" spans="2:11" x14ac:dyDescent="0.25">
      <c r="B9" s="6" t="s">
        <v>366</v>
      </c>
      <c r="C9" s="7"/>
      <c r="D9" s="7"/>
      <c r="E9" s="7"/>
      <c r="F9" s="7"/>
      <c r="G9" s="7"/>
      <c r="H9" s="7"/>
      <c r="I9" s="7"/>
      <c r="J9" s="7"/>
      <c r="K9" s="7"/>
    </row>
    <row r="10" spans="2:11" x14ac:dyDescent="0.25">
      <c r="B10" s="4" t="s">
        <v>357</v>
      </c>
      <c r="C10" s="4" t="s">
        <v>55</v>
      </c>
      <c r="D10" s="4" t="s">
        <v>358</v>
      </c>
      <c r="E10" s="4" t="s">
        <v>359</v>
      </c>
      <c r="F10" s="4" t="s">
        <v>352</v>
      </c>
      <c r="G10" s="4" t="s">
        <v>353</v>
      </c>
      <c r="H10" s="4" t="s">
        <v>360</v>
      </c>
      <c r="I10" s="4" t="s">
        <v>361</v>
      </c>
      <c r="J10" s="4" t="s">
        <v>362</v>
      </c>
      <c r="K10" s="4" t="s">
        <v>363</v>
      </c>
    </row>
    <row r="11" spans="2:11" x14ac:dyDescent="0.25">
      <c r="B11" s="3" t="s">
        <v>367</v>
      </c>
      <c r="C11" s="11">
        <v>0.1015131037806207</v>
      </c>
      <c r="D11" s="11">
        <v>0.12643898419999999</v>
      </c>
      <c r="E11" s="11">
        <v>4.2500000000000003E-2</v>
      </c>
      <c r="F11" s="14">
        <v>35.717553950334967</v>
      </c>
      <c r="G11" s="14">
        <v>46.604263638736242</v>
      </c>
      <c r="H11" s="10">
        <v>-0.39048542746868659</v>
      </c>
      <c r="I11" s="10">
        <v>-0.2047053986563783</v>
      </c>
      <c r="J11" s="10">
        <v>0.14618390760857669</v>
      </c>
      <c r="K11" s="5" t="s">
        <v>368</v>
      </c>
    </row>
    <row r="12" spans="2:11" x14ac:dyDescent="0.25">
      <c r="B12" s="3" t="s">
        <v>369</v>
      </c>
      <c r="C12" s="11">
        <v>0.1012542956373373</v>
      </c>
      <c r="D12" s="11">
        <v>0.12598785572544269</v>
      </c>
      <c r="E12" s="11">
        <v>4.2500000000000003E-2</v>
      </c>
      <c r="F12" s="14">
        <v>36.053920591977032</v>
      </c>
      <c r="G12" s="14">
        <v>46.738485106291073</v>
      </c>
      <c r="H12" s="10">
        <v>-0.38474538238947043</v>
      </c>
      <c r="I12" s="10">
        <v>-0.20241492992677371</v>
      </c>
      <c r="J12" s="10">
        <v>0.14618390760857669</v>
      </c>
      <c r="K12" s="5" t="s">
        <v>370</v>
      </c>
    </row>
    <row r="13" spans="2:11" x14ac:dyDescent="0.25">
      <c r="B13" s="3" t="s">
        <v>371</v>
      </c>
      <c r="C13" s="11">
        <v>0.1028907602448382</v>
      </c>
      <c r="D13" s="11">
        <v>0.12884037718277749</v>
      </c>
      <c r="E13" s="11">
        <v>4.2500000000000003E-2</v>
      </c>
      <c r="F13" s="14">
        <v>33.973047410280188</v>
      </c>
      <c r="G13" s="14">
        <v>45.891538297548188</v>
      </c>
      <c r="H13" s="10">
        <v>-0.42025516364709581</v>
      </c>
      <c r="I13" s="10">
        <v>-0.21686794714081589</v>
      </c>
      <c r="J13" s="10">
        <v>0.14618390760857669</v>
      </c>
      <c r="K13" s="5" t="s">
        <v>372</v>
      </c>
    </row>
    <row r="14" spans="2:11" x14ac:dyDescent="0.25">
      <c r="B14" s="3" t="s">
        <v>373</v>
      </c>
      <c r="C14" s="11">
        <v>0.1009496563426157</v>
      </c>
      <c r="D14" s="11">
        <v>0.12545683897081339</v>
      </c>
      <c r="E14" s="11">
        <v>4.2500000000000003E-2</v>
      </c>
      <c r="F14" s="14">
        <v>36.453470786310533</v>
      </c>
      <c r="G14" s="14">
        <v>46.896601720022197</v>
      </c>
      <c r="H14" s="10">
        <v>-0.37792711968753362</v>
      </c>
      <c r="I14" s="10">
        <v>-0.19971669419757329</v>
      </c>
      <c r="J14" s="10">
        <v>0.14618390760857669</v>
      </c>
      <c r="K14" s="5" t="s">
        <v>374</v>
      </c>
    </row>
    <row r="15" spans="2:11" x14ac:dyDescent="0.25">
      <c r="B15" s="3" t="s">
        <v>375</v>
      </c>
      <c r="C15" s="11">
        <v>0.10303474209837429</v>
      </c>
      <c r="D15" s="11">
        <v>0.1290913519516762</v>
      </c>
      <c r="E15" s="11">
        <v>4.2500000000000003E-2</v>
      </c>
      <c r="F15" s="14">
        <v>33.795064735367824</v>
      </c>
      <c r="G15" s="14">
        <v>45.817226753662368</v>
      </c>
      <c r="H15" s="10">
        <v>-0.42329241065925222</v>
      </c>
      <c r="I15" s="10">
        <v>-0.21813606222419171</v>
      </c>
      <c r="J15" s="10">
        <v>0.14618390760857669</v>
      </c>
      <c r="K15" s="5" t="s">
        <v>376</v>
      </c>
    </row>
    <row r="16" spans="2:11" x14ac:dyDescent="0.25">
      <c r="B16" s="3" t="s">
        <v>377</v>
      </c>
      <c r="C16" s="11">
        <v>0.10094795285698691</v>
      </c>
      <c r="D16" s="11">
        <v>0.12545386962501401</v>
      </c>
      <c r="E16" s="11">
        <v>4.2500000000000003E-2</v>
      </c>
      <c r="F16" s="14">
        <v>36.455716100911218</v>
      </c>
      <c r="G16" s="14">
        <v>46.897486256914867</v>
      </c>
      <c r="H16" s="10">
        <v>-0.37788880373871642</v>
      </c>
      <c r="I16" s="10">
        <v>-0.1997015997113504</v>
      </c>
      <c r="J16" s="10">
        <v>0.14618390760857669</v>
      </c>
      <c r="K16" s="5" t="s">
        <v>378</v>
      </c>
    </row>
    <row r="17" spans="2:11" x14ac:dyDescent="0.25">
      <c r="B17" s="3" t="s">
        <v>379</v>
      </c>
      <c r="C17" s="11">
        <v>0.1036579924109365</v>
      </c>
      <c r="D17" s="11">
        <v>0.13017773957150339</v>
      </c>
      <c r="E17" s="11">
        <v>4.2500000000000003E-2</v>
      </c>
      <c r="F17" s="14">
        <v>33.033776888832257</v>
      </c>
      <c r="G17" s="14">
        <v>45.495960496771922</v>
      </c>
      <c r="H17" s="10">
        <v>-0.43628367083903979</v>
      </c>
      <c r="I17" s="10">
        <v>-0.2236184215567931</v>
      </c>
      <c r="J17" s="10">
        <v>0.14618390760857669</v>
      </c>
      <c r="K17" s="5" t="s">
        <v>380</v>
      </c>
    </row>
    <row r="18" spans="2:11" x14ac:dyDescent="0.25">
      <c r="B18" s="3" t="s">
        <v>381</v>
      </c>
      <c r="C18" s="11">
        <v>0.1050626908637045</v>
      </c>
      <c r="D18" s="11">
        <v>0.13262626944452341</v>
      </c>
      <c r="E18" s="11">
        <v>4.2500000000000003E-2</v>
      </c>
      <c r="F18" s="14">
        <v>31.370540594900159</v>
      </c>
      <c r="G18" s="14">
        <v>44.774388822053837</v>
      </c>
      <c r="H18" s="10">
        <v>-0.4646665427491441</v>
      </c>
      <c r="I18" s="10">
        <v>-0.2359319313642689</v>
      </c>
      <c r="J18" s="10">
        <v>0.14618390760857669</v>
      </c>
      <c r="K18" s="5" t="s">
        <v>382</v>
      </c>
    </row>
    <row r="19" spans="2:11" x14ac:dyDescent="0.25">
      <c r="B19" s="3" t="s">
        <v>383</v>
      </c>
      <c r="C19" s="11">
        <v>0.11486236039765819</v>
      </c>
      <c r="D19" s="11">
        <v>0.14970807340915801</v>
      </c>
      <c r="E19" s="11">
        <v>4.2500000000000003E-2</v>
      </c>
      <c r="F19" s="14">
        <v>21.464030488157139</v>
      </c>
      <c r="G19" s="14">
        <v>39.853108629283213</v>
      </c>
      <c r="H19" s="10">
        <v>-0.63371961624305229</v>
      </c>
      <c r="I19" s="10">
        <v>-0.31991282202588389</v>
      </c>
      <c r="J19" s="10">
        <v>0.14618390760857669</v>
      </c>
      <c r="K19" s="5" t="s">
        <v>384</v>
      </c>
    </row>
    <row r="21" spans="2:11" x14ac:dyDescent="0.25">
      <c r="B21" s="6" t="s">
        <v>385</v>
      </c>
      <c r="C21" s="7"/>
      <c r="D21" s="7"/>
      <c r="E21" s="7"/>
      <c r="F21" s="7"/>
      <c r="G21" s="7"/>
      <c r="H21" s="7"/>
      <c r="I21" s="7"/>
      <c r="J21" s="7"/>
      <c r="K21" s="7"/>
    </row>
    <row r="22" spans="2:11" x14ac:dyDescent="0.25">
      <c r="B22" s="4" t="s">
        <v>357</v>
      </c>
      <c r="C22" s="4" t="s">
        <v>55</v>
      </c>
      <c r="D22" s="4" t="s">
        <v>358</v>
      </c>
      <c r="E22" s="4" t="s">
        <v>359</v>
      </c>
      <c r="F22" s="4" t="s">
        <v>352</v>
      </c>
      <c r="G22" s="4" t="s">
        <v>353</v>
      </c>
      <c r="H22" s="4" t="s">
        <v>360</v>
      </c>
      <c r="I22" s="4" t="s">
        <v>361</v>
      </c>
      <c r="J22" s="4" t="s">
        <v>362</v>
      </c>
      <c r="K22" s="4" t="s">
        <v>363</v>
      </c>
    </row>
    <row r="23" spans="2:11" x14ac:dyDescent="0.25">
      <c r="B23" s="3" t="s">
        <v>386</v>
      </c>
      <c r="C23" s="11">
        <v>0.1032327567354157</v>
      </c>
      <c r="D23" s="11">
        <v>0.12943651126550321</v>
      </c>
      <c r="E23" s="11">
        <v>4.0609346107888793E-2</v>
      </c>
      <c r="F23" s="14">
        <v>31.36549159195804</v>
      </c>
      <c r="G23" s="14">
        <v>44.802798912741878</v>
      </c>
      <c r="H23" s="10">
        <v>-0.46475270320890721</v>
      </c>
      <c r="I23" s="10">
        <v>-0.23544711753000211</v>
      </c>
      <c r="J23" s="10">
        <v>0.14042585925258161</v>
      </c>
      <c r="K23" s="5" t="s">
        <v>387</v>
      </c>
    </row>
    <row r="24" spans="2:11" x14ac:dyDescent="0.25">
      <c r="B24" s="3" t="s">
        <v>388</v>
      </c>
      <c r="C24" s="11">
        <v>0.1032327567354157</v>
      </c>
      <c r="D24" s="11">
        <v>0.12943651126550321</v>
      </c>
      <c r="E24" s="11">
        <v>4.313034705787587E-2</v>
      </c>
      <c r="F24" s="14">
        <v>34.303464291416667</v>
      </c>
      <c r="G24" s="14">
        <v>46.011426568275191</v>
      </c>
      <c r="H24" s="10">
        <v>-0.41461665031712158</v>
      </c>
      <c r="I24" s="10">
        <v>-0.21482207221373401</v>
      </c>
      <c r="J24" s="10">
        <v>0.1480905919209563</v>
      </c>
      <c r="K24" s="5" t="s">
        <v>389</v>
      </c>
    </row>
    <row r="26" spans="2:11" x14ac:dyDescent="0.25">
      <c r="B26" s="6" t="s">
        <v>390</v>
      </c>
      <c r="C26" s="7"/>
      <c r="D26" s="7"/>
      <c r="E26" s="7"/>
      <c r="F26" s="7"/>
      <c r="G26" s="7"/>
      <c r="H26" s="7"/>
      <c r="I26" s="7"/>
      <c r="J26" s="7"/>
      <c r="K26" s="7"/>
    </row>
    <row r="27" spans="2:11" x14ac:dyDescent="0.25">
      <c r="B27" s="4" t="s">
        <v>357</v>
      </c>
      <c r="C27" s="4" t="s">
        <v>55</v>
      </c>
      <c r="D27" s="4" t="s">
        <v>358</v>
      </c>
      <c r="E27" s="4" t="s">
        <v>359</v>
      </c>
      <c r="F27" s="4" t="s">
        <v>352</v>
      </c>
      <c r="G27" s="4" t="s">
        <v>353</v>
      </c>
      <c r="H27" s="4" t="s">
        <v>360</v>
      </c>
      <c r="I27" s="4" t="s">
        <v>361</v>
      </c>
      <c r="J27" s="4" t="s">
        <v>362</v>
      </c>
      <c r="K27" s="4" t="s">
        <v>363</v>
      </c>
    </row>
    <row r="28" spans="2:11" x14ac:dyDescent="0.25">
      <c r="B28" s="3" t="s">
        <v>391</v>
      </c>
      <c r="C28" s="11">
        <v>0.1032327567354157</v>
      </c>
      <c r="D28" s="11">
        <v>0.12943651126550321</v>
      </c>
      <c r="E28" s="11">
        <v>4.2500000000000003E-2</v>
      </c>
      <c r="F28" s="14">
        <v>39.931555104727693</v>
      </c>
      <c r="G28" s="14">
        <v>46.728856225378173</v>
      </c>
      <c r="H28" s="10">
        <v>-0.31857414497051728</v>
      </c>
      <c r="I28" s="10">
        <v>-0.20257924530071389</v>
      </c>
      <c r="J28" s="10">
        <v>0.2018398979346169</v>
      </c>
      <c r="K28" s="5" t="s">
        <v>392</v>
      </c>
    </row>
    <row r="29" spans="2:11" x14ac:dyDescent="0.25">
      <c r="B29" s="3" t="s">
        <v>393</v>
      </c>
      <c r="C29" s="11">
        <v>0.1032327567354157</v>
      </c>
      <c r="D29" s="11">
        <v>0.12943651126550321</v>
      </c>
      <c r="E29" s="11">
        <v>4.2500000000000003E-2</v>
      </c>
      <c r="F29" s="14">
        <v>47.053101791734747</v>
      </c>
      <c r="G29" s="14">
        <v>48.48421252266148</v>
      </c>
      <c r="H29" s="10">
        <v>-0.1970460445096458</v>
      </c>
      <c r="I29" s="10">
        <v>-0.1726243596815448</v>
      </c>
      <c r="J29" s="10">
        <v>0.32592978914240928</v>
      </c>
      <c r="K29" s="5" t="s">
        <v>394</v>
      </c>
    </row>
    <row r="30" spans="2:11" x14ac:dyDescent="0.25">
      <c r="B30" s="3" t="s">
        <v>395</v>
      </c>
      <c r="C30" s="11">
        <v>0.1032327567354157</v>
      </c>
      <c r="D30" s="11">
        <v>0.12943651126550321</v>
      </c>
      <c r="E30" s="11">
        <v>4.2500000000000003E-2</v>
      </c>
      <c r="F30" s="14">
        <v>54.174648478741801</v>
      </c>
      <c r="G30" s="14">
        <v>50.239568819944793</v>
      </c>
      <c r="H30" s="10">
        <v>-7.5517944048774766E-2</v>
      </c>
      <c r="I30" s="10">
        <v>-0.14266947406237551</v>
      </c>
      <c r="J30" s="10">
        <v>0.84611742357134001</v>
      </c>
      <c r="K30" s="5" t="s">
        <v>396</v>
      </c>
    </row>
    <row r="31" spans="2:11" x14ac:dyDescent="0.25">
      <c r="B31" s="3" t="s">
        <v>397</v>
      </c>
      <c r="C31" s="11">
        <v>0.1032327567354157</v>
      </c>
      <c r="D31" s="11">
        <v>0.12943651126550321</v>
      </c>
      <c r="E31" s="11">
        <v>4.2500000000000003E-2</v>
      </c>
      <c r="F31" s="14">
        <v>64.355929962601536</v>
      </c>
      <c r="G31" s="14">
        <v>52.749104648687357</v>
      </c>
      <c r="H31" s="10">
        <v>9.8224060795248036E-2</v>
      </c>
      <c r="I31" s="10">
        <v>-9.9844630568475146E-2</v>
      </c>
      <c r="J31" s="10" t="s">
        <v>398</v>
      </c>
      <c r="K31" s="5" t="s">
        <v>399</v>
      </c>
    </row>
    <row r="33" spans="2:11" x14ac:dyDescent="0.25">
      <c r="B33" s="6" t="s">
        <v>400</v>
      </c>
      <c r="C33" s="7"/>
      <c r="D33" s="7"/>
      <c r="E33" s="7"/>
      <c r="F33" s="7"/>
      <c r="G33" s="7"/>
      <c r="H33" s="7"/>
      <c r="I33" s="7"/>
      <c r="J33" s="7"/>
      <c r="K33" s="7"/>
    </row>
    <row r="34" spans="2:11" x14ac:dyDescent="0.25">
      <c r="B34" s="4" t="s">
        <v>357</v>
      </c>
      <c r="C34" s="4" t="s">
        <v>55</v>
      </c>
      <c r="D34" s="4" t="s">
        <v>358</v>
      </c>
      <c r="E34" s="4" t="s">
        <v>359</v>
      </c>
      <c r="F34" s="4" t="s">
        <v>352</v>
      </c>
      <c r="G34" s="4" t="s">
        <v>353</v>
      </c>
      <c r="H34" s="4" t="s">
        <v>360</v>
      </c>
      <c r="I34" s="4" t="s">
        <v>361</v>
      </c>
      <c r="J34" s="4" t="s">
        <v>362</v>
      </c>
      <c r="K34" s="4" t="s">
        <v>363</v>
      </c>
    </row>
    <row r="35" spans="2:11" x14ac:dyDescent="0.25">
      <c r="B35" s="3" t="s">
        <v>401</v>
      </c>
      <c r="C35" s="11">
        <v>0.1032327567354157</v>
      </c>
      <c r="D35" s="11">
        <v>0.12943651126550321</v>
      </c>
      <c r="E35" s="11">
        <v>4.2500000000000003E-2</v>
      </c>
      <c r="F35" s="14">
        <v>33.551593182470377</v>
      </c>
      <c r="G35" s="14">
        <v>41.394318205900149</v>
      </c>
      <c r="H35" s="10">
        <v>-0.42744721531620511</v>
      </c>
      <c r="I35" s="10">
        <v>-0.29361231730545823</v>
      </c>
      <c r="J35" s="10">
        <v>0.14618390760857669</v>
      </c>
      <c r="K35" s="5" t="s">
        <v>402</v>
      </c>
    </row>
    <row r="36" spans="2:11" x14ac:dyDescent="0.25">
      <c r="B36" s="3" t="s">
        <v>403</v>
      </c>
      <c r="C36" s="11">
        <v>0.1032327567354157</v>
      </c>
      <c r="D36" s="11">
        <v>0.12943651126550321</v>
      </c>
      <c r="E36" s="11">
        <v>4.2500000000000003E-2</v>
      </c>
      <c r="F36" s="14">
        <v>33.551593182470377</v>
      </c>
      <c r="G36" s="14">
        <v>66.383025957360147</v>
      </c>
      <c r="H36" s="10">
        <v>-0.42744721531620511</v>
      </c>
      <c r="I36" s="10">
        <v>0.13281614261706731</v>
      </c>
      <c r="J36" s="10">
        <v>0.14618390760857669</v>
      </c>
      <c r="K36" s="5" t="s">
        <v>402</v>
      </c>
    </row>
    <row r="37" spans="2:11" x14ac:dyDescent="0.25">
      <c r="B37" s="3" t="s">
        <v>404</v>
      </c>
      <c r="C37" s="11">
        <v>0.1032327567354157</v>
      </c>
      <c r="D37" s="11">
        <v>0.12943651126550321</v>
      </c>
      <c r="E37" s="11">
        <v>4.2500000000000003E-2</v>
      </c>
      <c r="F37" s="14">
        <v>33.551593182470377</v>
      </c>
      <c r="G37" s="14">
        <v>55.93701032034113</v>
      </c>
      <c r="H37" s="10">
        <v>-0.42744721531620511</v>
      </c>
      <c r="I37" s="10">
        <v>-4.544350989178958E-2</v>
      </c>
      <c r="J37" s="10">
        <v>0.14618390760857669</v>
      </c>
      <c r="K37" s="5" t="s">
        <v>405</v>
      </c>
    </row>
    <row r="39" spans="2:11" x14ac:dyDescent="0.25">
      <c r="B39" s="5" t="s">
        <v>406</v>
      </c>
    </row>
    <row r="40" spans="2:11" x14ac:dyDescent="0.25">
      <c r="B40" s="5" t="s">
        <v>407</v>
      </c>
    </row>
    <row r="41" spans="2:11" x14ac:dyDescent="0.25">
      <c r="B41" s="5" t="s">
        <v>408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65"/>
  <sheetViews>
    <sheetView showGridLines="0" workbookViewId="0"/>
  </sheetViews>
  <sheetFormatPr defaultRowHeight="15" x14ac:dyDescent="0.25"/>
  <cols>
    <col min="2" max="2" width="72" customWidth="1"/>
    <col min="4" max="4" width="14" customWidth="1"/>
    <col min="5" max="5" width="90" customWidth="1"/>
  </cols>
  <sheetData>
    <row r="2" spans="2:5" ht="18.75" customHeight="1" x14ac:dyDescent="0.3">
      <c r="B2" s="1" t="s">
        <v>409</v>
      </c>
    </row>
    <row r="3" spans="2:5" x14ac:dyDescent="0.25">
      <c r="B3" s="2" t="s">
        <v>410</v>
      </c>
    </row>
    <row r="5" spans="2:5" x14ac:dyDescent="0.25">
      <c r="B5" s="6" t="s">
        <v>411</v>
      </c>
      <c r="C5" s="7"/>
      <c r="D5" s="7"/>
      <c r="E5" s="7"/>
    </row>
    <row r="6" spans="2:5" x14ac:dyDescent="0.25">
      <c r="B6" s="3" t="s">
        <v>412</v>
      </c>
      <c r="D6" s="24">
        <v>18858.3</v>
      </c>
      <c r="E6" s="5" t="s">
        <v>413</v>
      </c>
    </row>
    <row r="7" spans="2:5" x14ac:dyDescent="0.25">
      <c r="B7" s="3" t="s">
        <v>414</v>
      </c>
      <c r="D7" s="24">
        <v>501.6</v>
      </c>
      <c r="E7" s="5" t="s">
        <v>415</v>
      </c>
    </row>
    <row r="8" spans="2:5" x14ac:dyDescent="0.25">
      <c r="B8" s="3" t="s">
        <v>416</v>
      </c>
      <c r="D8" s="37">
        <f>DCF!I62</f>
        <v>0.34</v>
      </c>
    </row>
    <row r="9" spans="2:5" x14ac:dyDescent="0.25">
      <c r="B9" s="3" t="s">
        <v>417</v>
      </c>
      <c r="D9" s="24">
        <v>12125.1</v>
      </c>
      <c r="E9" s="5" t="s">
        <v>418</v>
      </c>
    </row>
    <row r="10" spans="2:5" x14ac:dyDescent="0.25">
      <c r="B10" s="3" t="s">
        <v>419</v>
      </c>
      <c r="D10" s="24">
        <v>6942</v>
      </c>
      <c r="E10" s="5" t="s">
        <v>420</v>
      </c>
    </row>
    <row r="11" spans="2:5" x14ac:dyDescent="0.25">
      <c r="B11" s="3" t="s">
        <v>421</v>
      </c>
      <c r="D11" s="24">
        <v>2906.39</v>
      </c>
      <c r="E11" s="5" t="s">
        <v>422</v>
      </c>
    </row>
    <row r="12" spans="2:5" x14ac:dyDescent="0.25">
      <c r="B12" s="3" t="s">
        <v>423</v>
      </c>
      <c r="D12" s="24">
        <v>-2009</v>
      </c>
      <c r="E12" s="5" t="s">
        <v>424</v>
      </c>
    </row>
    <row r="13" spans="2:5" x14ac:dyDescent="0.25">
      <c r="B13" s="4" t="s">
        <v>425</v>
      </c>
      <c r="D13" s="26">
        <f>($D$6-$D$7)*(1-$D$8)+$D$9-$D$10-$D$11+$D$12</f>
        <v>12383.131999999998</v>
      </c>
    </row>
    <row r="14" spans="2:5" x14ac:dyDescent="0.25">
      <c r="B14" s="3" t="s">
        <v>426</v>
      </c>
      <c r="D14" s="35">
        <f>DCF!I179</f>
        <v>24444.291888675922</v>
      </c>
    </row>
    <row r="15" spans="2:5" x14ac:dyDescent="0.25">
      <c r="B15" s="3" t="s">
        <v>427</v>
      </c>
      <c r="D15" s="20">
        <v>1</v>
      </c>
      <c r="E15" s="5" t="s">
        <v>428</v>
      </c>
    </row>
    <row r="16" spans="2:5" x14ac:dyDescent="0.25">
      <c r="B16" s="3" t="s">
        <v>429</v>
      </c>
      <c r="D16" s="13">
        <f>$D$14-$D$15*$D$7*(1-$D$8)</f>
        <v>24113.235888675921</v>
      </c>
    </row>
    <row r="17" spans="2:5" x14ac:dyDescent="0.25">
      <c r="B17" s="4" t="s">
        <v>430</v>
      </c>
      <c r="D17" s="26">
        <f>$D$16-$D$13</f>
        <v>11730.103888675923</v>
      </c>
      <c r="E17" s="5" t="s">
        <v>431</v>
      </c>
    </row>
    <row r="19" spans="2:5" x14ac:dyDescent="0.25">
      <c r="B19" s="6" t="s">
        <v>432</v>
      </c>
      <c r="C19" s="7"/>
      <c r="D19" s="7"/>
      <c r="E19" s="7"/>
    </row>
    <row r="20" spans="2:5" x14ac:dyDescent="0.25">
      <c r="B20" s="3" t="s">
        <v>433</v>
      </c>
      <c r="D20" s="18">
        <f>0.5*(1-DCF!$D$37)</f>
        <v>0.25</v>
      </c>
    </row>
    <row r="21" spans="2:5" x14ac:dyDescent="0.25">
      <c r="B21" s="3" t="s">
        <v>434</v>
      </c>
      <c r="D21" s="13">
        <f>$D$17/(1+DCF!$D$34)^$D$20</f>
        <v>11445.507951864047</v>
      </c>
    </row>
    <row r="22" spans="2:5" x14ac:dyDescent="0.25">
      <c r="B22" s="3" t="s">
        <v>435</v>
      </c>
      <c r="D22" s="13">
        <f>DCF!J179/(1+DCF!$D$34)^(1+0.5-DCF!$D$37)</f>
        <v>19817.649885807168</v>
      </c>
    </row>
    <row r="23" spans="2:5" x14ac:dyDescent="0.25">
      <c r="B23" s="3" t="s">
        <v>436</v>
      </c>
      <c r="D23" s="13">
        <f>DCF!K179/(1+DCF!$D$34)^(2+0.5-DCF!$D$37)</f>
        <v>18749.662023257326</v>
      </c>
    </row>
    <row r="24" spans="2:5" x14ac:dyDescent="0.25">
      <c r="B24" s="3" t="s">
        <v>437</v>
      </c>
      <c r="D24" s="13">
        <f>DCF!L179/(1+DCF!$D$34)^(3+0.5-DCF!$D$37)</f>
        <v>17471.315134866192</v>
      </c>
    </row>
    <row r="25" spans="2:5" x14ac:dyDescent="0.25">
      <c r="B25" s="3" t="s">
        <v>438</v>
      </c>
      <c r="D25" s="13">
        <f>DCF!M179/(1+DCF!$D$34)^(4+0.5-DCF!$D$37)</f>
        <v>16715.450942241136</v>
      </c>
    </row>
    <row r="26" spans="2:5" x14ac:dyDescent="0.25">
      <c r="B26" s="3" t="s">
        <v>439</v>
      </c>
      <c r="D26" s="13">
        <f>DCF!N179/(1+DCF!$D$34)^(5+0.5-DCF!$D$37)</f>
        <v>15504.079338754938</v>
      </c>
    </row>
    <row r="27" spans="2:5" x14ac:dyDescent="0.25">
      <c r="B27" s="3" t="s">
        <v>440</v>
      </c>
      <c r="D27" s="13">
        <f>DCF!O179/(1+DCF!$D$34)^(6+0.5-DCF!$D$37)</f>
        <v>14366.239954691713</v>
      </c>
    </row>
    <row r="28" spans="2:5" x14ac:dyDescent="0.25">
      <c r="B28" s="3" t="s">
        <v>441</v>
      </c>
      <c r="D28" s="13">
        <f>DCF!P179/(1+DCF!$D$34)^(7+0.5-DCF!$D$37)</f>
        <v>13301.689032688217</v>
      </c>
    </row>
    <row r="29" spans="2:5" x14ac:dyDescent="0.25">
      <c r="B29" s="3" t="s">
        <v>442</v>
      </c>
      <c r="D29" s="13">
        <f>DCF!Q179/(1+DCF!$D$34)^(8+0.5-DCF!$D$37)</f>
        <v>12305.610130769843</v>
      </c>
    </row>
    <row r="30" spans="2:5" x14ac:dyDescent="0.25">
      <c r="B30" s="3" t="s">
        <v>443</v>
      </c>
      <c r="D30" s="13">
        <f>DCF!R179/(1+DCF!$D$34)^(9+0.5-DCF!$D$37)</f>
        <v>11373.734552405349</v>
      </c>
    </row>
    <row r="31" spans="2:5" x14ac:dyDescent="0.25">
      <c r="B31" s="3" t="s">
        <v>444</v>
      </c>
      <c r="D31" s="13">
        <f>DCF!$D$185/(1+DCF!$D$34)^(9+0.5-DCF!$D$37)</f>
        <v>195205.46043934982</v>
      </c>
    </row>
    <row r="32" spans="2:5" x14ac:dyDescent="0.25">
      <c r="B32" s="3" t="s">
        <v>445</v>
      </c>
      <c r="D32" s="13">
        <f>DCF!$D$116/(1+DCF!$D$34)^(9+0.5)</f>
        <v>224677.95710106235</v>
      </c>
    </row>
    <row r="33" spans="2:5" x14ac:dyDescent="0.25">
      <c r="B33" s="4" t="s">
        <v>446</v>
      </c>
      <c r="D33" s="26">
        <f>$D$21+$D$22+$D$23+$D$24+$D$25+$D$26+$D$27+$D$28+$D$29+$D$30+$D$31</f>
        <v>346256.3993866957</v>
      </c>
    </row>
    <row r="34" spans="2:5" x14ac:dyDescent="0.25">
      <c r="B34" s="4" t="s">
        <v>447</v>
      </c>
      <c r="D34" s="26">
        <f>$D$21+$D$22+$D$23+$D$24+$D$25+$D$26+$D$27+$D$28+$D$29+$D$30+$D$32</f>
        <v>375728.89604840823</v>
      </c>
    </row>
    <row r="36" spans="2:5" x14ac:dyDescent="0.25">
      <c r="B36" s="6" t="s">
        <v>448</v>
      </c>
      <c r="C36" s="7"/>
      <c r="D36" s="7"/>
      <c r="E36" s="7"/>
    </row>
    <row r="37" spans="2:5" x14ac:dyDescent="0.25">
      <c r="B37" s="3" t="s">
        <v>449</v>
      </c>
      <c r="D37" s="24">
        <v>153660</v>
      </c>
      <c r="E37" s="5" t="s">
        <v>450</v>
      </c>
    </row>
    <row r="38" spans="2:5" x14ac:dyDescent="0.25">
      <c r="B38" s="3" t="s">
        <v>451</v>
      </c>
      <c r="D38" s="24">
        <v>33361</v>
      </c>
      <c r="E38" s="5" t="s">
        <v>452</v>
      </c>
    </row>
    <row r="39" spans="2:5" x14ac:dyDescent="0.25">
      <c r="B39" s="3" t="s">
        <v>453</v>
      </c>
      <c r="D39" s="24">
        <v>16563</v>
      </c>
      <c r="E39" s="5" t="s">
        <v>454</v>
      </c>
    </row>
    <row r="40" spans="2:5" x14ac:dyDescent="0.25">
      <c r="B40" s="3" t="s">
        <v>455</v>
      </c>
      <c r="D40" s="24">
        <v>721.7</v>
      </c>
      <c r="E40" s="5" t="s">
        <v>456</v>
      </c>
    </row>
    <row r="41" spans="2:5" x14ac:dyDescent="0.25">
      <c r="B41" s="3" t="s">
        <v>457</v>
      </c>
      <c r="D41" s="13">
        <f>DCF!$D$132-$D$40</f>
        <v>17521.096100885719</v>
      </c>
    </row>
    <row r="42" spans="2:5" x14ac:dyDescent="0.25">
      <c r="B42" s="3" t="s">
        <v>458</v>
      </c>
      <c r="D42" s="24">
        <v>18135</v>
      </c>
      <c r="E42" s="5" t="s">
        <v>459</v>
      </c>
    </row>
    <row r="43" spans="2:5" x14ac:dyDescent="0.25">
      <c r="B43" s="3" t="s">
        <v>460</v>
      </c>
      <c r="D43" s="24">
        <v>4538.05</v>
      </c>
      <c r="E43" s="5" t="s">
        <v>461</v>
      </c>
    </row>
    <row r="44" spans="2:5" x14ac:dyDescent="0.25">
      <c r="B44" s="3" t="s">
        <v>462</v>
      </c>
      <c r="D44" s="24">
        <v>6497.5</v>
      </c>
      <c r="E44" s="5" t="s">
        <v>463</v>
      </c>
    </row>
    <row r="45" spans="2:5" x14ac:dyDescent="0.25">
      <c r="B45" s="3" t="s">
        <v>464</v>
      </c>
      <c r="D45" s="13">
        <f>$D$33-($D$37+$D$38-$D$39)-$D$43-$D$40-$D$41+$D$44-$D$42</f>
        <v>141380.05328580999</v>
      </c>
    </row>
    <row r="46" spans="2:5" x14ac:dyDescent="0.25">
      <c r="B46" s="3" t="s">
        <v>465</v>
      </c>
      <c r="D46" s="13">
        <f>$D$34-($D$37+$D$38-$D$39)-$D$43-$D$40-$D$41+$D$44</f>
        <v>188987.54994752252</v>
      </c>
    </row>
    <row r="47" spans="2:5" x14ac:dyDescent="0.25">
      <c r="B47" s="3" t="s">
        <v>466</v>
      </c>
      <c r="D47" s="20">
        <v>108</v>
      </c>
      <c r="E47" s="5" t="s">
        <v>467</v>
      </c>
    </row>
    <row r="48" spans="2:5" x14ac:dyDescent="0.25">
      <c r="B48" s="3" t="s">
        <v>468</v>
      </c>
      <c r="D48" s="18">
        <f>(1+DCF!$D$30)^($D$47/365)</f>
        <v>1.0366718518463174</v>
      </c>
    </row>
    <row r="49" spans="2:5" x14ac:dyDescent="0.25">
      <c r="B49" s="3" t="s">
        <v>469</v>
      </c>
      <c r="D49" s="24">
        <v>76</v>
      </c>
      <c r="E49" s="5" t="s">
        <v>470</v>
      </c>
    </row>
    <row r="50" spans="2:5" x14ac:dyDescent="0.25">
      <c r="B50" s="3" t="s">
        <v>471</v>
      </c>
      <c r="D50" s="32">
        <v>4294.9437150000003</v>
      </c>
      <c r="E50" s="5" t="s">
        <v>472</v>
      </c>
    </row>
    <row r="51" spans="2:5" x14ac:dyDescent="0.25">
      <c r="B51" s="4" t="s">
        <v>473</v>
      </c>
      <c r="D51" s="34">
        <f>($D$45*$D$48-$D$49)/$D$50</f>
        <v>34.107250612463879</v>
      </c>
    </row>
    <row r="52" spans="2:5" x14ac:dyDescent="0.25">
      <c r="B52" s="4" t="s">
        <v>474</v>
      </c>
      <c r="D52" s="34">
        <f>($D$46*$D$48-$D$49)/$D$50</f>
        <v>45.59828635146539</v>
      </c>
    </row>
    <row r="54" spans="2:5" x14ac:dyDescent="0.25">
      <c r="B54" s="6" t="s">
        <v>475</v>
      </c>
      <c r="C54" s="7"/>
      <c r="D54" s="7"/>
      <c r="E54" s="7"/>
    </row>
    <row r="55" spans="2:5" x14ac:dyDescent="0.25">
      <c r="B55" s="3" t="s">
        <v>476</v>
      </c>
      <c r="D55" s="14">
        <f>DCF!$D$192</f>
        <v>33.551593182470391</v>
      </c>
    </row>
    <row r="56" spans="2:5" x14ac:dyDescent="0.25">
      <c r="B56" s="3" t="s">
        <v>477</v>
      </c>
      <c r="D56" s="14">
        <f>$D$51</f>
        <v>34.107250612463879</v>
      </c>
    </row>
    <row r="57" spans="2:5" x14ac:dyDescent="0.25">
      <c r="B57" s="3" t="s">
        <v>478</v>
      </c>
      <c r="D57" s="14">
        <f>$D$51-DCF!$D$192</f>
        <v>0.55565742999348799</v>
      </c>
    </row>
    <row r="58" spans="2:5" x14ac:dyDescent="0.25">
      <c r="B58" s="3" t="s">
        <v>479</v>
      </c>
      <c r="D58" s="10">
        <f>$D$51/DCF!$D$192-1</f>
        <v>1.6561283005893213E-2</v>
      </c>
    </row>
    <row r="59" spans="2:5" x14ac:dyDescent="0.25">
      <c r="B59" s="3" t="s">
        <v>480</v>
      </c>
      <c r="D59" s="14">
        <f>DCF!$D$194</f>
        <v>45.715084692844592</v>
      </c>
    </row>
    <row r="60" spans="2:5" x14ac:dyDescent="0.25">
      <c r="B60" s="3" t="s">
        <v>481</v>
      </c>
      <c r="D60" s="14">
        <f>$D$52</f>
        <v>45.59828635146539</v>
      </c>
    </row>
    <row r="61" spans="2:5" x14ac:dyDescent="0.25">
      <c r="B61" s="3" t="s">
        <v>482</v>
      </c>
      <c r="D61" s="10">
        <f>$D$52/DCF!$D$194-1</f>
        <v>-2.5549190636735553E-3</v>
      </c>
    </row>
    <row r="62" spans="2:5" x14ac:dyDescent="0.25">
      <c r="B62" s="30" t="s">
        <v>483</v>
      </c>
      <c r="C62" s="31"/>
      <c r="D62" s="31"/>
      <c r="E62" s="31"/>
    </row>
    <row r="63" spans="2:5" x14ac:dyDescent="0.25">
      <c r="B63" s="5" t="s">
        <v>484</v>
      </c>
    </row>
    <row r="64" spans="2:5" x14ac:dyDescent="0.25">
      <c r="B64" s="5" t="s">
        <v>485</v>
      </c>
    </row>
    <row r="65" spans="2:2" x14ac:dyDescent="0.25">
      <c r="B65" s="5" t="s">
        <v>486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71"/>
  <sheetViews>
    <sheetView showGridLines="0" workbookViewId="0"/>
  </sheetViews>
  <sheetFormatPr defaultRowHeight="15" x14ac:dyDescent="0.25"/>
  <cols>
    <col min="2" max="2" width="52" customWidth="1"/>
    <col min="3" max="6" width="16" customWidth="1"/>
    <col min="7" max="7" width="10" customWidth="1"/>
  </cols>
  <sheetData>
    <row r="2" spans="2:11" ht="18.75" customHeight="1" x14ac:dyDescent="0.3">
      <c r="B2" s="1" t="s">
        <v>487</v>
      </c>
    </row>
    <row r="3" spans="2:11" x14ac:dyDescent="0.25">
      <c r="B3" s="2" t="s">
        <v>488</v>
      </c>
    </row>
    <row r="5" spans="2:11" x14ac:dyDescent="0.25">
      <c r="B5" s="6" t="s">
        <v>489</v>
      </c>
      <c r="C5" s="6"/>
      <c r="D5" s="6" t="s">
        <v>490</v>
      </c>
      <c r="E5" s="6" t="s">
        <v>491</v>
      </c>
      <c r="F5" s="6" t="s">
        <v>492</v>
      </c>
      <c r="G5" s="6" t="s">
        <v>493</v>
      </c>
      <c r="H5" s="6" t="s">
        <v>494</v>
      </c>
      <c r="I5" s="6" t="s">
        <v>495</v>
      </c>
      <c r="J5" s="6" t="s">
        <v>496</v>
      </c>
      <c r="K5" s="6" t="s">
        <v>497</v>
      </c>
    </row>
    <row r="6" spans="2:11" x14ac:dyDescent="0.25">
      <c r="B6" s="3" t="s">
        <v>55</v>
      </c>
      <c r="D6" s="15">
        <v>0.10323300000000001</v>
      </c>
      <c r="E6" s="36">
        <f>DCF!$D$34</f>
        <v>0.10323275673541572</v>
      </c>
      <c r="F6" s="11">
        <f t="shared" ref="F6:F35" si="0">IFERROR(E6-D6,"n.a.")</f>
        <v>-2.4326458428203246E-7</v>
      </c>
      <c r="G6" s="38">
        <f t="shared" ref="G6:G35" si="1">IFERROR(IF(D6=0,E6-D6,E6/D6-1),"n.a.")</f>
        <v>-2.3564614443083443E-6</v>
      </c>
      <c r="H6" s="39" t="str">
        <f t="shared" ref="H6:H35" si="2">IFERROR(IF(OR(ABS(G6)&lt;0.000001,ABS(F6)&lt;=0.0000005),"OK","CHECK"),"CHECK")</f>
        <v>OK</v>
      </c>
      <c r="I6" s="15">
        <v>0.1032327567354157</v>
      </c>
      <c r="J6" s="38">
        <f t="shared" ref="J6:J37" si="3">IFERROR(IF(I6=0,E6-I6,E6/I6-1),"n.a.")</f>
        <v>2.2204460492503131E-16</v>
      </c>
      <c r="K6" s="39" t="str">
        <f t="shared" ref="K6:K37" si="4">IFERROR(IF(ABS(J6)&lt;0.000001,"OK","CHECK"),"CHECK")</f>
        <v>OK</v>
      </c>
    </row>
    <row r="7" spans="2:11" x14ac:dyDescent="0.25">
      <c r="B7" s="3" t="s">
        <v>498</v>
      </c>
      <c r="D7" s="24">
        <v>365246.62087400001</v>
      </c>
      <c r="E7" s="35">
        <f>DCF!$D$115</f>
        <v>365246.62087360723</v>
      </c>
      <c r="F7" s="13">
        <f t="shared" si="0"/>
        <v>-3.9278529584407806E-7</v>
      </c>
      <c r="G7" s="38">
        <f t="shared" si="1"/>
        <v>-1.0753620216519266E-12</v>
      </c>
      <c r="H7" s="39" t="str">
        <f t="shared" si="2"/>
        <v>OK</v>
      </c>
      <c r="I7" s="24">
        <v>365246.62087360711</v>
      </c>
      <c r="J7" s="38">
        <f t="shared" si="3"/>
        <v>2.2204460492503131E-16</v>
      </c>
      <c r="K7" s="39" t="str">
        <f t="shared" si="4"/>
        <v>OK</v>
      </c>
    </row>
    <row r="8" spans="2:11" x14ac:dyDescent="0.25">
      <c r="B8" s="3" t="s">
        <v>499</v>
      </c>
      <c r="D8" s="24">
        <v>379350.40206200001</v>
      </c>
      <c r="E8" s="35">
        <f>DCF!$D$118</f>
        <v>379350.40206247638</v>
      </c>
      <c r="F8" s="13">
        <f t="shared" si="0"/>
        <v>4.7637149691581726E-7</v>
      </c>
      <c r="G8" s="38">
        <f t="shared" si="1"/>
        <v>1.255662240851052E-12</v>
      </c>
      <c r="H8" s="39" t="str">
        <f t="shared" si="2"/>
        <v>OK</v>
      </c>
      <c r="I8" s="24">
        <v>379350.40206247638</v>
      </c>
      <c r="J8" s="38">
        <f t="shared" si="3"/>
        <v>0</v>
      </c>
      <c r="K8" s="39" t="str">
        <f t="shared" si="4"/>
        <v>OK</v>
      </c>
    </row>
    <row r="9" spans="2:11" x14ac:dyDescent="0.25">
      <c r="B9" s="3" t="s">
        <v>500</v>
      </c>
      <c r="D9" s="33">
        <v>39.481482999999997</v>
      </c>
      <c r="E9" s="40">
        <f>DCF!$D$152</f>
        <v>39.481482772914909</v>
      </c>
      <c r="F9" s="14">
        <f t="shared" si="0"/>
        <v>-2.2708508851110309E-7</v>
      </c>
      <c r="G9" s="38">
        <f t="shared" si="1"/>
        <v>-5.7516859053308167E-9</v>
      </c>
      <c r="H9" s="39" t="str">
        <f t="shared" si="2"/>
        <v>OK</v>
      </c>
      <c r="I9" s="33">
        <v>39.481482772885677</v>
      </c>
      <c r="J9" s="38">
        <f t="shared" si="3"/>
        <v>7.4029671282005438E-13</v>
      </c>
      <c r="K9" s="39" t="str">
        <f t="shared" si="4"/>
        <v>OK</v>
      </c>
    </row>
    <row r="10" spans="2:11" x14ac:dyDescent="0.25">
      <c r="B10" s="3" t="s">
        <v>501</v>
      </c>
      <c r="D10" s="33">
        <v>43.084454000000001</v>
      </c>
      <c r="E10" s="40">
        <f>DCF!$D$159</f>
        <v>43.084453886970117</v>
      </c>
      <c r="F10" s="14">
        <f t="shared" si="0"/>
        <v>-1.1302988411898696E-7</v>
      </c>
      <c r="G10" s="38">
        <f t="shared" si="1"/>
        <v>-2.623449346650375E-9</v>
      </c>
      <c r="H10" s="39" t="str">
        <f t="shared" si="2"/>
        <v>OK</v>
      </c>
      <c r="I10" s="33">
        <v>43.084453886940928</v>
      </c>
      <c r="J10" s="38">
        <f t="shared" si="3"/>
        <v>6.7745808962627052E-13</v>
      </c>
      <c r="K10" s="39" t="str">
        <f t="shared" si="4"/>
        <v>OK</v>
      </c>
    </row>
    <row r="11" spans="2:11" x14ac:dyDescent="0.25">
      <c r="B11" s="3" t="s">
        <v>502</v>
      </c>
      <c r="D11" s="33">
        <v>43.410488999999998</v>
      </c>
      <c r="E11" s="40">
        <f>DCF!$D$154</f>
        <v>43.410489162630078</v>
      </c>
      <c r="F11" s="14">
        <f t="shared" si="0"/>
        <v>1.6263008006944801E-7</v>
      </c>
      <c r="G11" s="38">
        <f t="shared" si="1"/>
        <v>3.746331467269215E-9</v>
      </c>
      <c r="H11" s="39" t="str">
        <f t="shared" si="2"/>
        <v>OK</v>
      </c>
      <c r="I11" s="33">
        <v>43.410489162597059</v>
      </c>
      <c r="J11" s="38">
        <f t="shared" si="3"/>
        <v>7.6072481647315726E-13</v>
      </c>
      <c r="K11" s="39" t="str">
        <f t="shared" si="4"/>
        <v>OK</v>
      </c>
    </row>
    <row r="12" spans="2:11" x14ac:dyDescent="0.25">
      <c r="B12" s="3" t="s">
        <v>503</v>
      </c>
      <c r="D12" s="21">
        <v>5.6043969999999996</v>
      </c>
      <c r="E12" s="41">
        <f>DCF!$D$167</f>
        <v>5.6043966872547548</v>
      </c>
      <c r="F12" s="12">
        <f t="shared" si="0"/>
        <v>-3.1274524481261778E-7</v>
      </c>
      <c r="G12" s="38">
        <f t="shared" si="1"/>
        <v>-5.5803549448008027E-8</v>
      </c>
      <c r="H12" s="39" t="str">
        <f t="shared" si="2"/>
        <v>OK</v>
      </c>
      <c r="I12" s="21">
        <v>5.6043966872547522</v>
      </c>
      <c r="J12" s="38">
        <f t="shared" si="3"/>
        <v>4.4408920985006262E-16</v>
      </c>
      <c r="K12" s="39" t="str">
        <f t="shared" si="4"/>
        <v>OK</v>
      </c>
    </row>
    <row r="13" spans="2:11" x14ac:dyDescent="0.25">
      <c r="B13" s="3" t="s">
        <v>248</v>
      </c>
      <c r="D13" s="15">
        <v>4.6297999999999999E-2</v>
      </c>
      <c r="E13" s="36">
        <f>DCF!$D$168</f>
        <v>4.6297692380702138E-2</v>
      </c>
      <c r="F13" s="11">
        <f t="shared" si="0"/>
        <v>-3.0761929786099484E-7</v>
      </c>
      <c r="G13" s="38">
        <f t="shared" si="1"/>
        <v>-6.6443323223364104E-6</v>
      </c>
      <c r="H13" s="39" t="str">
        <f t="shared" si="2"/>
        <v>OK</v>
      </c>
      <c r="I13" s="15">
        <v>4.6297692380702159E-2</v>
      </c>
      <c r="J13" s="38">
        <f t="shared" si="3"/>
        <v>-4.4408920985006262E-16</v>
      </c>
      <c r="K13" s="39" t="str">
        <f t="shared" si="4"/>
        <v>OK</v>
      </c>
    </row>
    <row r="14" spans="2:11" x14ac:dyDescent="0.25">
      <c r="B14" s="3" t="s">
        <v>504</v>
      </c>
      <c r="D14" s="15">
        <v>5.8376999999999998E-2</v>
      </c>
      <c r="E14" s="36">
        <f>Reverse_DCF!$D$16</f>
        <v>5.8376544682362974E-2</v>
      </c>
      <c r="F14" s="11">
        <f t="shared" si="0"/>
        <v>-4.5531763702422179E-7</v>
      </c>
      <c r="G14" s="38">
        <f t="shared" si="1"/>
        <v>-7.7996066434327105E-6</v>
      </c>
      <c r="H14" s="39" t="str">
        <f t="shared" si="2"/>
        <v>OK</v>
      </c>
      <c r="I14" s="15">
        <v>5.8376544682380897E-2</v>
      </c>
      <c r="J14" s="38">
        <f t="shared" si="3"/>
        <v>-3.0697666630885578E-13</v>
      </c>
      <c r="K14" s="39" t="str">
        <f t="shared" si="4"/>
        <v>OK</v>
      </c>
    </row>
    <row r="15" spans="2:11" x14ac:dyDescent="0.25">
      <c r="B15" s="3" t="s">
        <v>505</v>
      </c>
      <c r="D15" s="17">
        <v>0.54703900000000005</v>
      </c>
      <c r="E15" s="37">
        <f>DCF!$D$119</f>
        <v>0.54703901675819011</v>
      </c>
      <c r="F15" s="10">
        <f t="shared" si="0"/>
        <v>1.6758190057863942E-8</v>
      </c>
      <c r="G15" s="38">
        <f t="shared" si="1"/>
        <v>3.0634360825843032E-8</v>
      </c>
      <c r="H15" s="39" t="str">
        <f t="shared" si="2"/>
        <v>OK</v>
      </c>
      <c r="I15" s="17">
        <v>0.54703901675819011</v>
      </c>
      <c r="J15" s="38">
        <f t="shared" si="3"/>
        <v>0</v>
      </c>
      <c r="K15" s="39" t="str">
        <f t="shared" si="4"/>
        <v>OK</v>
      </c>
    </row>
    <row r="16" spans="2:11" x14ac:dyDescent="0.25">
      <c r="B16" s="3" t="s">
        <v>506</v>
      </c>
      <c r="D16" s="24">
        <v>24161.5903</v>
      </c>
      <c r="E16" s="35">
        <f>DCF!I88</f>
        <v>24161.590300394331</v>
      </c>
      <c r="F16" s="13">
        <f t="shared" si="0"/>
        <v>3.9433143683709204E-7</v>
      </c>
      <c r="G16" s="38">
        <f t="shared" si="1"/>
        <v>1.6320500506594726E-11</v>
      </c>
      <c r="H16" s="39" t="str">
        <f t="shared" si="2"/>
        <v>OK</v>
      </c>
      <c r="I16" s="24">
        <v>24161.590300394339</v>
      </c>
      <c r="J16" s="38">
        <f t="shared" si="3"/>
        <v>-3.3306690738754696E-16</v>
      </c>
      <c r="K16" s="39" t="str">
        <f t="shared" si="4"/>
        <v>OK</v>
      </c>
    </row>
    <row r="17" spans="2:11" x14ac:dyDescent="0.25">
      <c r="B17" s="3" t="s">
        <v>507</v>
      </c>
      <c r="D17" s="24">
        <v>23430.489406000001</v>
      </c>
      <c r="E17" s="35">
        <f>DCF!J88</f>
        <v>23430.48940630884</v>
      </c>
      <c r="F17" s="13">
        <f t="shared" si="0"/>
        <v>3.0883893487043679E-7</v>
      </c>
      <c r="G17" s="38">
        <f t="shared" si="1"/>
        <v>1.3181011837559709E-11</v>
      </c>
      <c r="H17" s="39" t="str">
        <f t="shared" si="2"/>
        <v>OK</v>
      </c>
      <c r="I17" s="24">
        <v>23430.489406308821</v>
      </c>
      <c r="J17" s="38">
        <f t="shared" si="3"/>
        <v>6.6613381477509392E-16</v>
      </c>
      <c r="K17" s="39" t="str">
        <f t="shared" si="4"/>
        <v>OK</v>
      </c>
    </row>
    <row r="18" spans="2:11" x14ac:dyDescent="0.25">
      <c r="B18" s="3" t="s">
        <v>508</v>
      </c>
      <c r="D18" s="24">
        <v>24410.114924000001</v>
      </c>
      <c r="E18" s="35">
        <f>DCF!K88</f>
        <v>24410.114924397629</v>
      </c>
      <c r="F18" s="13">
        <f t="shared" si="0"/>
        <v>3.9762744563631713E-7</v>
      </c>
      <c r="G18" s="38">
        <f t="shared" si="1"/>
        <v>1.6289414261905222E-11</v>
      </c>
      <c r="H18" s="39" t="str">
        <f t="shared" si="2"/>
        <v>OK</v>
      </c>
      <c r="I18" s="24">
        <v>24410.11492439764</v>
      </c>
      <c r="J18" s="38">
        <f t="shared" si="3"/>
        <v>-4.4408920985006262E-16</v>
      </c>
      <c r="K18" s="39" t="str">
        <f t="shared" si="4"/>
        <v>OK</v>
      </c>
    </row>
    <row r="19" spans="2:11" x14ac:dyDescent="0.25">
      <c r="B19" s="3" t="s">
        <v>509</v>
      </c>
      <c r="D19" s="24">
        <v>25125.208267999998</v>
      </c>
      <c r="E19" s="35">
        <f>DCF!L88</f>
        <v>25125.208268424431</v>
      </c>
      <c r="F19" s="13">
        <f t="shared" si="0"/>
        <v>4.2443207348696887E-7</v>
      </c>
      <c r="G19" s="38">
        <f t="shared" si="1"/>
        <v>1.6892709453486532E-11</v>
      </c>
      <c r="H19" s="39" t="str">
        <f t="shared" si="2"/>
        <v>OK</v>
      </c>
      <c r="I19" s="24">
        <v>25125.208268424431</v>
      </c>
      <c r="J19" s="38">
        <f t="shared" si="3"/>
        <v>0</v>
      </c>
      <c r="K19" s="39" t="str">
        <f t="shared" si="4"/>
        <v>OK</v>
      </c>
    </row>
    <row r="20" spans="2:11" x14ac:dyDescent="0.25">
      <c r="B20" s="3" t="s">
        <v>510</v>
      </c>
      <c r="D20" s="24">
        <v>26506.948155999999</v>
      </c>
      <c r="E20" s="35">
        <f>DCF!M88</f>
        <v>26506.948156103335</v>
      </c>
      <c r="F20" s="13">
        <f t="shared" si="0"/>
        <v>1.0333678801544011E-7</v>
      </c>
      <c r="G20" s="38">
        <f t="shared" si="1"/>
        <v>3.8984371286687747E-12</v>
      </c>
      <c r="H20" s="39" t="str">
        <f t="shared" si="2"/>
        <v>OK</v>
      </c>
      <c r="I20" s="24">
        <v>26506.948156103339</v>
      </c>
      <c r="J20" s="38">
        <f t="shared" si="3"/>
        <v>-1.1102230246251565E-16</v>
      </c>
      <c r="K20" s="39" t="str">
        <f t="shared" si="4"/>
        <v>OK</v>
      </c>
    </row>
    <row r="21" spans="2:11" x14ac:dyDescent="0.25">
      <c r="B21" s="3" t="s">
        <v>511</v>
      </c>
      <c r="D21" s="24">
        <v>27138.166171000001</v>
      </c>
      <c r="E21" s="35">
        <f>DCF!N88</f>
        <v>27138.16617107112</v>
      </c>
      <c r="F21" s="13">
        <f t="shared" si="0"/>
        <v>7.1118847699835896E-8</v>
      </c>
      <c r="G21" s="38">
        <f t="shared" si="1"/>
        <v>2.6205704273252195E-12</v>
      </c>
      <c r="H21" s="39" t="str">
        <f t="shared" si="2"/>
        <v>OK</v>
      </c>
      <c r="I21" s="24">
        <v>27138.16617107112</v>
      </c>
      <c r="J21" s="38">
        <f t="shared" si="3"/>
        <v>0</v>
      </c>
      <c r="K21" s="39" t="str">
        <f t="shared" si="4"/>
        <v>OK</v>
      </c>
    </row>
    <row r="22" spans="2:11" x14ac:dyDescent="0.25">
      <c r="B22" s="3" t="s">
        <v>512</v>
      </c>
      <c r="D22" s="24">
        <v>27765.102799</v>
      </c>
      <c r="E22" s="35">
        <f>DCF!O88</f>
        <v>27765.102799319116</v>
      </c>
      <c r="F22" s="13">
        <f t="shared" si="0"/>
        <v>3.1911622500047088E-7</v>
      </c>
      <c r="G22" s="38">
        <f t="shared" si="1"/>
        <v>1.1493472840129471E-11</v>
      </c>
      <c r="H22" s="39" t="str">
        <f t="shared" si="2"/>
        <v>OK</v>
      </c>
      <c r="I22" s="24">
        <v>27765.102799319109</v>
      </c>
      <c r="J22" s="38">
        <f t="shared" si="3"/>
        <v>2.2204460492503131E-16</v>
      </c>
      <c r="K22" s="39" t="str">
        <f t="shared" si="4"/>
        <v>OK</v>
      </c>
    </row>
    <row r="23" spans="2:11" x14ac:dyDescent="0.25">
      <c r="B23" s="3" t="s">
        <v>513</v>
      </c>
      <c r="D23" s="24">
        <v>28384.849704</v>
      </c>
      <c r="E23" s="35">
        <f>DCF!P88</f>
        <v>28384.849704238637</v>
      </c>
      <c r="F23" s="13">
        <f t="shared" si="0"/>
        <v>2.38636857829988E-7</v>
      </c>
      <c r="G23" s="38">
        <f t="shared" si="1"/>
        <v>8.4072748762764604E-12</v>
      </c>
      <c r="H23" s="39" t="str">
        <f t="shared" si="2"/>
        <v>OK</v>
      </c>
      <c r="I23" s="24">
        <v>28384.84970423863</v>
      </c>
      <c r="J23" s="38">
        <f t="shared" si="3"/>
        <v>2.2204460492503131E-16</v>
      </c>
      <c r="K23" s="39" t="str">
        <f t="shared" si="4"/>
        <v>OK</v>
      </c>
    </row>
    <row r="24" spans="2:11" x14ac:dyDescent="0.25">
      <c r="B24" s="3" t="s">
        <v>514</v>
      </c>
      <c r="D24" s="24">
        <v>28994.167343000001</v>
      </c>
      <c r="E24" s="35">
        <f>DCF!Q88</f>
        <v>28994.167342841421</v>
      </c>
      <c r="F24" s="13">
        <f t="shared" si="0"/>
        <v>-1.5857949620112777E-7</v>
      </c>
      <c r="G24" s="38">
        <f t="shared" si="1"/>
        <v>-5.4694027085133712E-12</v>
      </c>
      <c r="H24" s="39" t="str">
        <f t="shared" si="2"/>
        <v>OK</v>
      </c>
      <c r="I24" s="24">
        <v>28994.167342841429</v>
      </c>
      <c r="J24" s="38">
        <f t="shared" si="3"/>
        <v>-2.2204460492503131E-16</v>
      </c>
      <c r="K24" s="39" t="str">
        <f t="shared" si="4"/>
        <v>OK</v>
      </c>
    </row>
    <row r="25" spans="2:11" x14ac:dyDescent="0.25">
      <c r="B25" s="3" t="s">
        <v>515</v>
      </c>
      <c r="D25" s="24">
        <v>29599.839014000001</v>
      </c>
      <c r="E25" s="35">
        <f>DCF!R88</f>
        <v>29599.8390139443</v>
      </c>
      <c r="F25" s="13">
        <f t="shared" si="0"/>
        <v>-5.5701093515381217E-8</v>
      </c>
      <c r="G25" s="38">
        <f t="shared" si="1"/>
        <v>-1.8818280267396403E-12</v>
      </c>
      <c r="H25" s="39" t="str">
        <f t="shared" si="2"/>
        <v>OK</v>
      </c>
      <c r="I25" s="24">
        <v>29599.839013944289</v>
      </c>
      <c r="J25" s="38">
        <f t="shared" si="3"/>
        <v>4.4408920985006262E-16</v>
      </c>
      <c r="K25" s="39" t="str">
        <f t="shared" si="4"/>
        <v>OK</v>
      </c>
    </row>
    <row r="26" spans="2:11" x14ac:dyDescent="0.25">
      <c r="B26" s="3" t="s">
        <v>516</v>
      </c>
      <c r="D26" s="24">
        <v>62251.943963999998</v>
      </c>
      <c r="E26" s="35">
        <f>DCF!I79</f>
        <v>62251.943963999976</v>
      </c>
      <c r="F26" s="13">
        <f t="shared" si="0"/>
        <v>-2.1827872842550278E-11</v>
      </c>
      <c r="G26" s="38">
        <f t="shared" si="1"/>
        <v>-3.3306690738754696E-16</v>
      </c>
      <c r="H26" s="39" t="str">
        <f t="shared" si="2"/>
        <v>OK</v>
      </c>
      <c r="I26" s="24">
        <v>62251.943963999976</v>
      </c>
      <c r="J26" s="38">
        <f t="shared" si="3"/>
        <v>0</v>
      </c>
      <c r="K26" s="39" t="str">
        <f t="shared" si="4"/>
        <v>OK</v>
      </c>
    </row>
    <row r="27" spans="2:11" x14ac:dyDescent="0.25">
      <c r="B27" s="3" t="s">
        <v>517</v>
      </c>
      <c r="D27" s="24">
        <v>64193.436604000002</v>
      </c>
      <c r="E27" s="35">
        <f>DCF!J79</f>
        <v>64193.436604050003</v>
      </c>
      <c r="F27" s="13">
        <f t="shared" si="0"/>
        <v>5.0000380724668503E-8</v>
      </c>
      <c r="G27" s="38">
        <f t="shared" si="1"/>
        <v>7.7893247407700983E-13</v>
      </c>
      <c r="H27" s="39" t="str">
        <f t="shared" si="2"/>
        <v>OK</v>
      </c>
      <c r="I27" s="24">
        <v>64193.436604050003</v>
      </c>
      <c r="J27" s="38">
        <f t="shared" si="3"/>
        <v>0</v>
      </c>
      <c r="K27" s="39" t="str">
        <f t="shared" si="4"/>
        <v>OK</v>
      </c>
    </row>
    <row r="28" spans="2:11" x14ac:dyDescent="0.25">
      <c r="B28" s="3" t="s">
        <v>518</v>
      </c>
      <c r="D28" s="24">
        <v>68870.759183000002</v>
      </c>
      <c r="E28" s="35">
        <f>DCF!K79</f>
        <v>68870.759183154136</v>
      </c>
      <c r="F28" s="13">
        <f t="shared" si="0"/>
        <v>1.5413388609886169E-7</v>
      </c>
      <c r="G28" s="38">
        <f t="shared" si="1"/>
        <v>2.2379875730393906E-12</v>
      </c>
      <c r="H28" s="39" t="str">
        <f t="shared" si="2"/>
        <v>OK</v>
      </c>
      <c r="I28" s="24">
        <v>68870.759183154136</v>
      </c>
      <c r="J28" s="38">
        <f t="shared" si="3"/>
        <v>0</v>
      </c>
      <c r="K28" s="39" t="str">
        <f t="shared" si="4"/>
        <v>OK</v>
      </c>
    </row>
    <row r="29" spans="2:11" x14ac:dyDescent="0.25">
      <c r="B29" s="3" t="s">
        <v>519</v>
      </c>
      <c r="D29" s="24">
        <v>72881.112309000004</v>
      </c>
      <c r="E29" s="35">
        <f>DCF!L79</f>
        <v>72881.112308954253</v>
      </c>
      <c r="F29" s="13">
        <f t="shared" si="0"/>
        <v>-4.5751221477985382E-8</v>
      </c>
      <c r="G29" s="38">
        <f t="shared" si="1"/>
        <v>-6.2772009812306351E-13</v>
      </c>
      <c r="H29" s="39" t="str">
        <f t="shared" si="2"/>
        <v>OK</v>
      </c>
      <c r="I29" s="24">
        <v>72881.112308954253</v>
      </c>
      <c r="J29" s="38">
        <f t="shared" si="3"/>
        <v>0</v>
      </c>
      <c r="K29" s="39" t="str">
        <f t="shared" si="4"/>
        <v>OK</v>
      </c>
    </row>
    <row r="30" spans="2:11" x14ac:dyDescent="0.25">
      <c r="B30" s="3" t="s">
        <v>520</v>
      </c>
      <c r="D30" s="24">
        <v>77122.733659999998</v>
      </c>
      <c r="E30" s="35">
        <f>DCF!M79</f>
        <v>77122.733660174548</v>
      </c>
      <c r="F30" s="13">
        <f t="shared" si="0"/>
        <v>1.7455022316426039E-7</v>
      </c>
      <c r="G30" s="38">
        <f t="shared" si="1"/>
        <v>2.2633006580008441E-12</v>
      </c>
      <c r="H30" s="39" t="str">
        <f t="shared" si="2"/>
        <v>OK</v>
      </c>
      <c r="I30" s="24">
        <v>77122.733660174548</v>
      </c>
      <c r="J30" s="38">
        <f t="shared" si="3"/>
        <v>0</v>
      </c>
      <c r="K30" s="39" t="str">
        <f t="shared" si="4"/>
        <v>OK</v>
      </c>
    </row>
    <row r="31" spans="2:11" x14ac:dyDescent="0.25">
      <c r="B31" s="3" t="s">
        <v>521</v>
      </c>
      <c r="D31" s="24">
        <v>80501.797827999995</v>
      </c>
      <c r="E31" s="35">
        <f>DCF!N79</f>
        <v>80501.797828081937</v>
      </c>
      <c r="F31" s="13">
        <f t="shared" si="0"/>
        <v>8.1941834650933743E-8</v>
      </c>
      <c r="G31" s="38">
        <f t="shared" si="1"/>
        <v>1.0178524689763435E-12</v>
      </c>
      <c r="H31" s="39" t="str">
        <f t="shared" si="2"/>
        <v>OK</v>
      </c>
      <c r="I31" s="24">
        <v>80501.797828081937</v>
      </c>
      <c r="J31" s="38">
        <f t="shared" si="3"/>
        <v>0</v>
      </c>
      <c r="K31" s="39" t="str">
        <f t="shared" si="4"/>
        <v>OK</v>
      </c>
    </row>
    <row r="32" spans="2:11" x14ac:dyDescent="0.25">
      <c r="B32" s="3" t="s">
        <v>522</v>
      </c>
      <c r="D32" s="24">
        <v>83998.641201999999</v>
      </c>
      <c r="E32" s="35">
        <f>DCF!O79</f>
        <v>83998.641201913095</v>
      </c>
      <c r="F32" s="13">
        <f t="shared" si="0"/>
        <v>-8.6904037743806839E-8</v>
      </c>
      <c r="G32" s="38">
        <f t="shared" si="1"/>
        <v>-1.0346168366481834E-12</v>
      </c>
      <c r="H32" s="39" t="str">
        <f t="shared" si="2"/>
        <v>OK</v>
      </c>
      <c r="I32" s="24">
        <v>83998.641201913095</v>
      </c>
      <c r="J32" s="38">
        <f t="shared" si="3"/>
        <v>0</v>
      </c>
      <c r="K32" s="39" t="str">
        <f t="shared" si="4"/>
        <v>OK</v>
      </c>
    </row>
    <row r="33" spans="2:11" x14ac:dyDescent="0.25">
      <c r="B33" s="3" t="s">
        <v>523</v>
      </c>
      <c r="D33" s="24">
        <v>87614.335474000007</v>
      </c>
      <c r="E33" s="35">
        <f>DCF!P79</f>
        <v>87614.335474272753</v>
      </c>
      <c r="F33" s="13">
        <f t="shared" si="0"/>
        <v>2.727465471252799E-7</v>
      </c>
      <c r="G33" s="38">
        <f t="shared" si="1"/>
        <v>3.1130653610489389E-12</v>
      </c>
      <c r="H33" s="39" t="str">
        <f t="shared" si="2"/>
        <v>OK</v>
      </c>
      <c r="I33" s="24">
        <v>87614.335474272753</v>
      </c>
      <c r="J33" s="38">
        <f t="shared" si="3"/>
        <v>0</v>
      </c>
      <c r="K33" s="39" t="str">
        <f t="shared" si="4"/>
        <v>OK</v>
      </c>
    </row>
    <row r="34" spans="2:11" x14ac:dyDescent="0.25">
      <c r="B34" s="3" t="s">
        <v>524</v>
      </c>
      <c r="D34" s="24">
        <v>91349.756494999994</v>
      </c>
      <c r="E34" s="35">
        <f>DCF!Q79</f>
        <v>91349.756495052628</v>
      </c>
      <c r="F34" s="13">
        <f t="shared" si="0"/>
        <v>5.2634277381002903E-8</v>
      </c>
      <c r="G34" s="38">
        <f t="shared" si="1"/>
        <v>5.7620574978045624E-13</v>
      </c>
      <c r="H34" s="39" t="str">
        <f t="shared" si="2"/>
        <v>OK</v>
      </c>
      <c r="I34" s="24">
        <v>91349.756495052628</v>
      </c>
      <c r="J34" s="38">
        <f t="shared" si="3"/>
        <v>0</v>
      </c>
      <c r="K34" s="39" t="str">
        <f t="shared" si="4"/>
        <v>OK</v>
      </c>
    </row>
    <row r="35" spans="2:11" x14ac:dyDescent="0.25">
      <c r="B35" s="3" t="s">
        <v>525</v>
      </c>
      <c r="D35" s="24">
        <v>95224.154316999993</v>
      </c>
      <c r="E35" s="35">
        <f>DCF!R79</f>
        <v>95224.154316985368</v>
      </c>
      <c r="F35" s="13">
        <f t="shared" si="0"/>
        <v>-1.4624674804508686E-8</v>
      </c>
      <c r="G35" s="38">
        <f t="shared" si="1"/>
        <v>-1.5354384430565915E-13</v>
      </c>
      <c r="H35" s="39" t="str">
        <f t="shared" si="2"/>
        <v>OK</v>
      </c>
      <c r="I35" s="24">
        <v>95224.154316985368</v>
      </c>
      <c r="J35" s="38">
        <f t="shared" si="3"/>
        <v>0</v>
      </c>
      <c r="K35" s="39" t="str">
        <f t="shared" si="4"/>
        <v>OK</v>
      </c>
    </row>
    <row r="36" spans="2:11" x14ac:dyDescent="0.25">
      <c r="B36" s="3" t="s">
        <v>526</v>
      </c>
      <c r="D36" s="3" t="s">
        <v>527</v>
      </c>
      <c r="E36" s="42">
        <f>DCF!I108</f>
        <v>0.95206461864703928</v>
      </c>
      <c r="H36" s="3" t="s">
        <v>528</v>
      </c>
      <c r="I36" s="43">
        <v>0.95206461864703928</v>
      </c>
      <c r="J36" s="38">
        <f t="shared" si="3"/>
        <v>0</v>
      </c>
      <c r="K36" s="39" t="str">
        <f t="shared" si="4"/>
        <v>OK</v>
      </c>
    </row>
    <row r="37" spans="2:11" x14ac:dyDescent="0.25">
      <c r="B37" s="3" t="s">
        <v>529</v>
      </c>
      <c r="D37" s="3" t="s">
        <v>527</v>
      </c>
      <c r="E37" s="42">
        <f>DCF!J108</f>
        <v>0.8629771123405553</v>
      </c>
      <c r="H37" s="3" t="s">
        <v>528</v>
      </c>
      <c r="I37" s="43">
        <v>0.8629771123405553</v>
      </c>
      <c r="J37" s="38">
        <f t="shared" si="3"/>
        <v>0</v>
      </c>
      <c r="K37" s="39" t="str">
        <f t="shared" si="4"/>
        <v>OK</v>
      </c>
    </row>
    <row r="38" spans="2:11" x14ac:dyDescent="0.25">
      <c r="B38" s="3" t="s">
        <v>530</v>
      </c>
      <c r="D38" s="3" t="s">
        <v>527</v>
      </c>
      <c r="E38" s="42">
        <f>DCF!K108</f>
        <v>0.78222578786927732</v>
      </c>
      <c r="H38" s="3" t="s">
        <v>528</v>
      </c>
      <c r="I38" s="43">
        <v>0.78222578786927732</v>
      </c>
      <c r="J38" s="38">
        <f t="shared" ref="J38:J69" si="5">IFERROR(IF(I38=0,E38-I38,E38/I38-1),"n.a.")</f>
        <v>0</v>
      </c>
      <c r="K38" s="39" t="str">
        <f t="shared" ref="K38:K69" si="6">IFERROR(IF(ABS(J38)&lt;0.000001,"OK","CHECK"),"CHECK")</f>
        <v>OK</v>
      </c>
    </row>
    <row r="39" spans="2:11" x14ac:dyDescent="0.25">
      <c r="B39" s="3" t="s">
        <v>531</v>
      </c>
      <c r="D39" s="3" t="s">
        <v>527</v>
      </c>
      <c r="E39" s="42">
        <f>DCF!L108</f>
        <v>0.70903060400777762</v>
      </c>
      <c r="H39" s="3" t="s">
        <v>528</v>
      </c>
      <c r="I39" s="43">
        <v>0.70903060400777762</v>
      </c>
      <c r="J39" s="38">
        <f t="shared" si="5"/>
        <v>0</v>
      </c>
      <c r="K39" s="39" t="str">
        <f t="shared" si="6"/>
        <v>OK</v>
      </c>
    </row>
    <row r="40" spans="2:11" x14ac:dyDescent="0.25">
      <c r="B40" s="3" t="s">
        <v>532</v>
      </c>
      <c r="D40" s="3" t="s">
        <v>527</v>
      </c>
      <c r="E40" s="42">
        <f>DCF!M108</f>
        <v>0.64268451029851159</v>
      </c>
      <c r="H40" s="3" t="s">
        <v>528</v>
      </c>
      <c r="I40" s="43">
        <v>0.64268451029851159</v>
      </c>
      <c r="J40" s="38">
        <f t="shared" si="5"/>
        <v>0</v>
      </c>
      <c r="K40" s="39" t="str">
        <f t="shared" si="6"/>
        <v>OK</v>
      </c>
    </row>
    <row r="41" spans="2:11" x14ac:dyDescent="0.25">
      <c r="B41" s="3" t="s">
        <v>533</v>
      </c>
      <c r="D41" s="3" t="s">
        <v>527</v>
      </c>
      <c r="E41" s="42">
        <f>DCF!N108</f>
        <v>0.58254661708947453</v>
      </c>
      <c r="H41" s="3" t="s">
        <v>528</v>
      </c>
      <c r="I41" s="43">
        <v>0.58254661708947453</v>
      </c>
      <c r="J41" s="38">
        <f t="shared" si="5"/>
        <v>0</v>
      </c>
      <c r="K41" s="39" t="str">
        <f t="shared" si="6"/>
        <v>OK</v>
      </c>
    </row>
    <row r="42" spans="2:11" x14ac:dyDescent="0.25">
      <c r="B42" s="3" t="s">
        <v>534</v>
      </c>
      <c r="D42" s="3" t="s">
        <v>527</v>
      </c>
      <c r="E42" s="42">
        <f>DCF!O108</f>
        <v>0.52803600467166389</v>
      </c>
      <c r="H42" s="3" t="s">
        <v>528</v>
      </c>
      <c r="I42" s="43">
        <v>0.52803600467166389</v>
      </c>
      <c r="J42" s="38">
        <f t="shared" si="5"/>
        <v>0</v>
      </c>
      <c r="K42" s="39" t="str">
        <f t="shared" si="6"/>
        <v>OK</v>
      </c>
    </row>
    <row r="43" spans="2:11" x14ac:dyDescent="0.25">
      <c r="B43" s="3" t="s">
        <v>535</v>
      </c>
      <c r="D43" s="3" t="s">
        <v>527</v>
      </c>
      <c r="E43" s="42">
        <f>DCF!P108</f>
        <v>0.47862611171388636</v>
      </c>
      <c r="H43" s="3" t="s">
        <v>528</v>
      </c>
      <c r="I43" s="43">
        <v>0.47862611171388642</v>
      </c>
      <c r="J43" s="38">
        <f t="shared" si="5"/>
        <v>-1.1102230246251565E-16</v>
      </c>
      <c r="K43" s="39" t="str">
        <f t="shared" si="6"/>
        <v>OK</v>
      </c>
    </row>
    <row r="44" spans="2:11" x14ac:dyDescent="0.25">
      <c r="B44" s="3" t="s">
        <v>536</v>
      </c>
      <c r="D44" s="3" t="s">
        <v>527</v>
      </c>
      <c r="E44" s="42">
        <f>DCF!Q108</f>
        <v>0.43383964878834136</v>
      </c>
      <c r="H44" s="3" t="s">
        <v>528</v>
      </c>
      <c r="I44" s="43">
        <v>0.43383964878834141</v>
      </c>
      <c r="J44" s="38">
        <f t="shared" si="5"/>
        <v>-1.1102230246251565E-16</v>
      </c>
      <c r="K44" s="39" t="str">
        <f t="shared" si="6"/>
        <v>OK</v>
      </c>
    </row>
    <row r="45" spans="2:11" x14ac:dyDescent="0.25">
      <c r="B45" s="3" t="s">
        <v>537</v>
      </c>
      <c r="D45" s="3" t="s">
        <v>527</v>
      </c>
      <c r="E45" s="42">
        <f>DCF!R108</f>
        <v>0.39324398785268078</v>
      </c>
      <c r="H45" s="3" t="s">
        <v>528</v>
      </c>
      <c r="I45" s="43">
        <v>0.39324398785268078</v>
      </c>
      <c r="J45" s="38">
        <f t="shared" si="5"/>
        <v>0</v>
      </c>
      <c r="K45" s="39" t="str">
        <f t="shared" si="6"/>
        <v>OK</v>
      </c>
    </row>
    <row r="46" spans="2:11" x14ac:dyDescent="0.25">
      <c r="B46" s="3" t="s">
        <v>538</v>
      </c>
      <c r="D46" s="3" t="s">
        <v>527</v>
      </c>
      <c r="E46" s="35">
        <f>DCF!$D$112</f>
        <v>165442.46851665768</v>
      </c>
      <c r="H46" s="3" t="s">
        <v>528</v>
      </c>
      <c r="I46" s="24">
        <v>165442.46851665771</v>
      </c>
      <c r="J46" s="38">
        <f t="shared" si="5"/>
        <v>-2.2204460492503131E-16</v>
      </c>
      <c r="K46" s="39" t="str">
        <f t="shared" si="6"/>
        <v>OK</v>
      </c>
    </row>
    <row r="47" spans="2:11" x14ac:dyDescent="0.25">
      <c r="B47" s="3" t="s">
        <v>539</v>
      </c>
      <c r="D47" s="3" t="s">
        <v>527</v>
      </c>
      <c r="E47" s="35">
        <f>DCF!$D$113</f>
        <v>508092.07140835229</v>
      </c>
      <c r="H47" s="3" t="s">
        <v>528</v>
      </c>
      <c r="I47" s="24">
        <v>508092.07140835212</v>
      </c>
      <c r="J47" s="38">
        <f t="shared" si="5"/>
        <v>4.4408920985006262E-16</v>
      </c>
      <c r="K47" s="39" t="str">
        <f t="shared" si="6"/>
        <v>OK</v>
      </c>
    </row>
    <row r="48" spans="2:11" x14ac:dyDescent="0.25">
      <c r="B48" s="3" t="s">
        <v>540</v>
      </c>
      <c r="D48" s="3" t="s">
        <v>527</v>
      </c>
      <c r="E48" s="35">
        <f>DCF!$D$114</f>
        <v>199804.15235694952</v>
      </c>
      <c r="H48" s="3" t="s">
        <v>528</v>
      </c>
      <c r="I48" s="24">
        <v>199804.15235694949</v>
      </c>
      <c r="J48" s="38">
        <f t="shared" si="5"/>
        <v>2.2204460492503131E-16</v>
      </c>
      <c r="K48" s="39" t="str">
        <f t="shared" si="6"/>
        <v>OK</v>
      </c>
    </row>
    <row r="49" spans="2:11" x14ac:dyDescent="0.25">
      <c r="B49" s="3" t="s">
        <v>541</v>
      </c>
      <c r="D49" s="3" t="s">
        <v>527</v>
      </c>
      <c r="E49" s="35">
        <f>DCF!$D$116</f>
        <v>571344.92590191215</v>
      </c>
      <c r="H49" s="3" t="s">
        <v>528</v>
      </c>
      <c r="I49" s="24">
        <v>571344.92590191215</v>
      </c>
      <c r="J49" s="38">
        <f t="shared" si="5"/>
        <v>0</v>
      </c>
      <c r="K49" s="39" t="str">
        <f t="shared" si="6"/>
        <v>OK</v>
      </c>
    </row>
    <row r="50" spans="2:11" x14ac:dyDescent="0.25">
      <c r="B50" s="3" t="s">
        <v>542</v>
      </c>
      <c r="D50" s="3" t="s">
        <v>527</v>
      </c>
      <c r="E50" s="35">
        <f>DCF!$D$117</f>
        <v>213907.93354581873</v>
      </c>
      <c r="H50" s="3" t="s">
        <v>528</v>
      </c>
      <c r="I50" s="24">
        <v>213907.93354581881</v>
      </c>
      <c r="J50" s="38">
        <f t="shared" si="5"/>
        <v>-4.4408920985006262E-16</v>
      </c>
      <c r="K50" s="39" t="str">
        <f t="shared" si="6"/>
        <v>OK</v>
      </c>
    </row>
    <row r="51" spans="2:11" x14ac:dyDescent="0.25">
      <c r="B51" s="3" t="s">
        <v>543</v>
      </c>
      <c r="D51" s="3" t="s">
        <v>527</v>
      </c>
      <c r="E51" s="35">
        <f>DCF!$D$127</f>
        <v>179918</v>
      </c>
      <c r="H51" s="3" t="s">
        <v>528</v>
      </c>
      <c r="I51" s="24">
        <v>179918</v>
      </c>
      <c r="J51" s="38">
        <f t="shared" si="5"/>
        <v>0</v>
      </c>
      <c r="K51" s="39" t="str">
        <f t="shared" si="6"/>
        <v>OK</v>
      </c>
    </row>
    <row r="52" spans="2:11" x14ac:dyDescent="0.25">
      <c r="B52" s="3" t="s">
        <v>544</v>
      </c>
      <c r="D52" s="3" t="s">
        <v>527</v>
      </c>
      <c r="E52" s="44">
        <f>DCF!$D$145</f>
        <v>4310.5309999999999</v>
      </c>
      <c r="H52" s="3" t="s">
        <v>528</v>
      </c>
      <c r="I52" s="32">
        <v>4310.5309999999999</v>
      </c>
      <c r="J52" s="38">
        <f t="shared" si="5"/>
        <v>0</v>
      </c>
      <c r="K52" s="39" t="str">
        <f t="shared" si="6"/>
        <v>OK</v>
      </c>
    </row>
    <row r="53" spans="2:11" x14ac:dyDescent="0.25">
      <c r="B53" s="3" t="s">
        <v>545</v>
      </c>
      <c r="D53" s="3" t="s">
        <v>527</v>
      </c>
      <c r="E53" s="45">
        <f>DCF!$D$148</f>
        <v>1.1011741086494256</v>
      </c>
      <c r="H53" s="3" t="s">
        <v>528</v>
      </c>
      <c r="I53" s="16">
        <v>1.101174108649426</v>
      </c>
      <c r="J53" s="38">
        <f t="shared" si="5"/>
        <v>-4.4408920985006262E-16</v>
      </c>
      <c r="K53" s="39" t="str">
        <f t="shared" si="6"/>
        <v>OK</v>
      </c>
    </row>
    <row r="54" spans="2:11" x14ac:dyDescent="0.25">
      <c r="B54" s="3" t="s">
        <v>546</v>
      </c>
      <c r="D54" s="3" t="s">
        <v>527</v>
      </c>
      <c r="E54" s="35">
        <f>DCF!R179</f>
        <v>27536.4165345742</v>
      </c>
      <c r="H54" s="3" t="s">
        <v>528</v>
      </c>
      <c r="I54" s="24">
        <v>27536.416534574189</v>
      </c>
      <c r="J54" s="38">
        <f t="shared" si="5"/>
        <v>4.4408920985006262E-16</v>
      </c>
      <c r="K54" s="39" t="str">
        <f t="shared" si="6"/>
        <v>OK</v>
      </c>
    </row>
    <row r="55" spans="2:11" x14ac:dyDescent="0.25">
      <c r="B55" s="3" t="s">
        <v>547</v>
      </c>
      <c r="D55" s="3" t="s">
        <v>527</v>
      </c>
      <c r="E55" s="35">
        <f>DCF!R174</f>
        <v>50714.374111086479</v>
      </c>
      <c r="H55" s="3" t="s">
        <v>528</v>
      </c>
      <c r="I55" s="24">
        <v>50714.374111086479</v>
      </c>
      <c r="J55" s="38">
        <f t="shared" si="5"/>
        <v>0</v>
      </c>
      <c r="K55" s="39" t="str">
        <f t="shared" si="6"/>
        <v>OK</v>
      </c>
    </row>
    <row r="56" spans="2:11" x14ac:dyDescent="0.25">
      <c r="B56" s="3" t="s">
        <v>548</v>
      </c>
      <c r="D56" s="3" t="s">
        <v>527</v>
      </c>
      <c r="E56" s="35">
        <f>DCF!$D$183</f>
        <v>156185.9368568582</v>
      </c>
      <c r="H56" s="3" t="s">
        <v>528</v>
      </c>
      <c r="I56" s="24">
        <v>156185.9368568582</v>
      </c>
      <c r="J56" s="38">
        <f t="shared" si="5"/>
        <v>0</v>
      </c>
      <c r="K56" s="39" t="str">
        <f t="shared" si="6"/>
        <v>OK</v>
      </c>
    </row>
    <row r="57" spans="2:11" x14ac:dyDescent="0.25">
      <c r="B57" s="3" t="s">
        <v>549</v>
      </c>
      <c r="D57" s="3" t="s">
        <v>527</v>
      </c>
      <c r="E57" s="35">
        <f>DCF!$D$185</f>
        <v>472602.80637941451</v>
      </c>
      <c r="H57" s="3" t="s">
        <v>528</v>
      </c>
      <c r="I57" s="24">
        <v>472602.80637941428</v>
      </c>
      <c r="J57" s="38">
        <f t="shared" si="5"/>
        <v>4.4408920985006262E-16</v>
      </c>
      <c r="K57" s="39" t="str">
        <f t="shared" si="6"/>
        <v>OK</v>
      </c>
    </row>
    <row r="58" spans="2:11" x14ac:dyDescent="0.25">
      <c r="B58" s="3" t="s">
        <v>550</v>
      </c>
      <c r="D58" s="3" t="s">
        <v>527</v>
      </c>
      <c r="E58" s="35">
        <f>DCF!$D$187</f>
        <v>342034.1491078675</v>
      </c>
      <c r="H58" s="3" t="s">
        <v>528</v>
      </c>
      <c r="I58" s="24">
        <v>342034.1491078675</v>
      </c>
      <c r="J58" s="38">
        <f t="shared" si="5"/>
        <v>0</v>
      </c>
      <c r="K58" s="39" t="str">
        <f t="shared" si="6"/>
        <v>OK</v>
      </c>
    </row>
    <row r="59" spans="2:11" x14ac:dyDescent="0.25">
      <c r="B59" s="3" t="s">
        <v>551</v>
      </c>
      <c r="D59" s="3" t="s">
        <v>527</v>
      </c>
      <c r="E59" s="35">
        <f>DCF!$D$188</f>
        <v>370093.87040267693</v>
      </c>
      <c r="H59" s="3" t="s">
        <v>528</v>
      </c>
      <c r="I59" s="24">
        <v>370093.87040267698</v>
      </c>
      <c r="J59" s="38">
        <f t="shared" si="5"/>
        <v>-1.1102230246251565E-16</v>
      </c>
      <c r="K59" s="39" t="str">
        <f t="shared" si="6"/>
        <v>OK</v>
      </c>
    </row>
    <row r="60" spans="2:11" x14ac:dyDescent="0.25">
      <c r="B60" s="3" t="s">
        <v>552</v>
      </c>
      <c r="D60" s="3" t="s">
        <v>527</v>
      </c>
      <c r="E60" s="35">
        <f>DCF!$D$142</f>
        <v>37053.896100885715</v>
      </c>
      <c r="H60" s="3" t="s">
        <v>528</v>
      </c>
      <c r="I60" s="24">
        <v>37053.896100885722</v>
      </c>
      <c r="J60" s="38">
        <f t="shared" si="5"/>
        <v>-2.2204460492503131E-16</v>
      </c>
      <c r="K60" s="39" t="str">
        <f t="shared" si="6"/>
        <v>OK</v>
      </c>
    </row>
    <row r="61" spans="2:11" x14ac:dyDescent="0.25">
      <c r="B61" s="3" t="s">
        <v>553</v>
      </c>
      <c r="D61" s="3" t="s">
        <v>527</v>
      </c>
      <c r="E61" s="40">
        <f>DCF!$D$192</f>
        <v>33.551593182470391</v>
      </c>
      <c r="H61" s="3" t="s">
        <v>528</v>
      </c>
      <c r="I61" s="33">
        <v>33.551593182470377</v>
      </c>
      <c r="J61" s="38">
        <f t="shared" si="5"/>
        <v>4.4408920985006262E-16</v>
      </c>
      <c r="K61" s="39" t="str">
        <f t="shared" si="6"/>
        <v>OK</v>
      </c>
    </row>
    <row r="62" spans="2:11" x14ac:dyDescent="0.25">
      <c r="B62" s="3" t="s">
        <v>554</v>
      </c>
      <c r="D62" s="3" t="s">
        <v>527</v>
      </c>
      <c r="E62" s="40">
        <f>DCF!$D$194</f>
        <v>45.715084692844592</v>
      </c>
      <c r="H62" s="3" t="s">
        <v>528</v>
      </c>
      <c r="I62" s="33">
        <v>45.715084692844599</v>
      </c>
      <c r="J62" s="38">
        <f t="shared" si="5"/>
        <v>-1.1102230246251565E-16</v>
      </c>
      <c r="K62" s="39" t="str">
        <f t="shared" si="6"/>
        <v>OK</v>
      </c>
    </row>
    <row r="63" spans="2:11" x14ac:dyDescent="0.25">
      <c r="B63" s="3" t="s">
        <v>555</v>
      </c>
      <c r="D63" s="3" t="s">
        <v>527</v>
      </c>
      <c r="E63" s="37">
        <f>DCF!$D$200</f>
        <v>0.14618390760857691</v>
      </c>
      <c r="H63" s="3" t="s">
        <v>528</v>
      </c>
      <c r="I63" s="17">
        <v>0.14618390760857669</v>
      </c>
      <c r="J63" s="38">
        <f t="shared" si="5"/>
        <v>1.5543122344752192E-15</v>
      </c>
      <c r="K63" s="39" t="str">
        <f t="shared" si="6"/>
        <v>OK</v>
      </c>
    </row>
    <row r="64" spans="2:11" x14ac:dyDescent="0.25">
      <c r="B64" s="3" t="s">
        <v>556</v>
      </c>
      <c r="D64" s="3" t="s">
        <v>527</v>
      </c>
      <c r="E64" s="36">
        <f>DCF!$D$202</f>
        <v>5.0788446961064659E-2</v>
      </c>
      <c r="H64" s="3" t="s">
        <v>528</v>
      </c>
      <c r="I64" s="15">
        <v>5.078844696106468E-2</v>
      </c>
      <c r="J64" s="38">
        <f t="shared" si="5"/>
        <v>-4.4408920985006262E-16</v>
      </c>
      <c r="K64" s="39" t="str">
        <f t="shared" si="6"/>
        <v>OK</v>
      </c>
    </row>
    <row r="65" spans="2:11" x14ac:dyDescent="0.25">
      <c r="B65" s="3" t="s">
        <v>557</v>
      </c>
      <c r="D65" s="3" t="s">
        <v>527</v>
      </c>
      <c r="E65" s="40">
        <f>DCF!$E$219</f>
        <v>25.45469905743763</v>
      </c>
      <c r="H65" s="3" t="s">
        <v>528</v>
      </c>
      <c r="I65" s="33">
        <v>25.45469905743763</v>
      </c>
      <c r="J65" s="38">
        <f t="shared" si="5"/>
        <v>0</v>
      </c>
      <c r="K65" s="39" t="str">
        <f t="shared" si="6"/>
        <v>OK</v>
      </c>
    </row>
    <row r="66" spans="2:11" x14ac:dyDescent="0.25">
      <c r="B66" s="3" t="s">
        <v>558</v>
      </c>
      <c r="D66" s="3" t="s">
        <v>527</v>
      </c>
      <c r="E66" s="36">
        <f>Reverse_DCF!$D$9</f>
        <v>6.410746806858908E-2</v>
      </c>
      <c r="H66" s="3" t="s">
        <v>528</v>
      </c>
      <c r="I66" s="15">
        <v>6.4107468068589094E-2</v>
      </c>
      <c r="J66" s="38">
        <f t="shared" si="5"/>
        <v>-2.2204460492503131E-16</v>
      </c>
      <c r="K66" s="39" t="str">
        <f t="shared" si="6"/>
        <v>OK</v>
      </c>
    </row>
    <row r="68" spans="2:11" x14ac:dyDescent="0.25">
      <c r="B68" s="3" t="s">
        <v>559</v>
      </c>
      <c r="D68" s="46">
        <v>30</v>
      </c>
    </row>
    <row r="69" spans="2:11" x14ac:dyDescent="0.25">
      <c r="B69" s="3" t="s">
        <v>560</v>
      </c>
      <c r="D69" s="46">
        <f>COUNTIF(H6:H35,"OK")</f>
        <v>30</v>
      </c>
    </row>
    <row r="70" spans="2:11" x14ac:dyDescent="0.25">
      <c r="B70" s="3" t="s">
        <v>561</v>
      </c>
      <c r="D70" s="46">
        <v>61</v>
      </c>
    </row>
    <row r="71" spans="2:11" x14ac:dyDescent="0.25">
      <c r="B71" s="3" t="s">
        <v>562</v>
      </c>
      <c r="D71" s="46">
        <f>COUNTIF(K6:K66,"OK")</f>
        <v>61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36"/>
  <sheetViews>
    <sheetView workbookViewId="0"/>
  </sheetViews>
  <sheetFormatPr defaultRowHeight="15" x14ac:dyDescent="0.25"/>
  <cols>
    <col min="2" max="2" width="46" customWidth="1"/>
    <col min="3" max="3" width="14" customWidth="1"/>
    <col min="4" max="5" width="12" customWidth="1"/>
    <col min="6" max="6" width="80" customWidth="1"/>
    <col min="7" max="7" width="12" customWidth="1"/>
  </cols>
  <sheetData>
    <row r="2" spans="2:7" ht="18.75" customHeight="1" x14ac:dyDescent="0.3">
      <c r="B2" s="1" t="s">
        <v>563</v>
      </c>
    </row>
    <row r="3" spans="2:7" x14ac:dyDescent="0.25">
      <c r="B3" s="5" t="s">
        <v>16</v>
      </c>
    </row>
    <row r="5" spans="2:7" x14ac:dyDescent="0.25">
      <c r="B5" s="6" t="s">
        <v>489</v>
      </c>
      <c r="C5" s="6" t="s">
        <v>564</v>
      </c>
      <c r="D5" s="6" t="s">
        <v>565</v>
      </c>
      <c r="E5" s="6" t="s">
        <v>566</v>
      </c>
      <c r="F5" s="6" t="s">
        <v>567</v>
      </c>
      <c r="G5" s="6" t="s">
        <v>568</v>
      </c>
    </row>
    <row r="6" spans="2:7" x14ac:dyDescent="0.25">
      <c r="B6" s="3" t="s">
        <v>569</v>
      </c>
      <c r="C6" s="47">
        <v>58.6</v>
      </c>
      <c r="D6" s="3" t="s">
        <v>570</v>
      </c>
      <c r="E6" s="3" t="s">
        <v>571</v>
      </c>
      <c r="F6" s="3" t="s">
        <v>572</v>
      </c>
      <c r="G6" s="3" t="s">
        <v>573</v>
      </c>
    </row>
    <row r="7" spans="2:7" x14ac:dyDescent="0.25">
      <c r="B7" s="3" t="s">
        <v>574</v>
      </c>
      <c r="C7" s="3" t="s">
        <v>575</v>
      </c>
      <c r="D7" s="3" t="s">
        <v>570</v>
      </c>
      <c r="E7" s="3" t="s">
        <v>571</v>
      </c>
      <c r="F7" s="3" t="s">
        <v>576</v>
      </c>
      <c r="G7" s="3" t="s">
        <v>577</v>
      </c>
    </row>
    <row r="8" spans="2:7" x14ac:dyDescent="0.25">
      <c r="B8" s="3" t="s">
        <v>578</v>
      </c>
      <c r="C8" s="47">
        <v>4294.9437150000003</v>
      </c>
      <c r="D8" s="3" t="s">
        <v>579</v>
      </c>
      <c r="E8" s="3" t="s">
        <v>571</v>
      </c>
      <c r="F8" s="3" t="s">
        <v>580</v>
      </c>
      <c r="G8" s="3" t="s">
        <v>581</v>
      </c>
    </row>
    <row r="9" spans="2:7" x14ac:dyDescent="0.25">
      <c r="B9" s="3" t="s">
        <v>582</v>
      </c>
      <c r="C9" s="47">
        <v>251683.7</v>
      </c>
      <c r="D9" s="3" t="s">
        <v>583</v>
      </c>
      <c r="E9" s="3" t="s">
        <v>584</v>
      </c>
      <c r="F9" s="3" t="s">
        <v>585</v>
      </c>
      <c r="G9" s="3" t="s">
        <v>573</v>
      </c>
    </row>
    <row r="10" spans="2:7" x14ac:dyDescent="0.25">
      <c r="B10" s="3" t="s">
        <v>586</v>
      </c>
      <c r="C10" s="48">
        <v>9.2600000000000002E-2</v>
      </c>
      <c r="D10" s="3" t="s">
        <v>587</v>
      </c>
      <c r="E10" s="3" t="s">
        <v>571</v>
      </c>
      <c r="F10" s="3" t="s">
        <v>588</v>
      </c>
      <c r="G10" s="3" t="s">
        <v>573</v>
      </c>
    </row>
    <row r="11" spans="2:7" x14ac:dyDescent="0.25">
      <c r="B11" s="3" t="s">
        <v>589</v>
      </c>
      <c r="C11" s="48">
        <v>5.0900000000000001E-2</v>
      </c>
      <c r="D11" s="3" t="s">
        <v>587</v>
      </c>
      <c r="E11" s="3" t="s">
        <v>571</v>
      </c>
      <c r="F11" s="3" t="s">
        <v>588</v>
      </c>
      <c r="G11" s="3" t="s">
        <v>573</v>
      </c>
    </row>
    <row r="12" spans="2:7" x14ac:dyDescent="0.25">
      <c r="B12" s="3" t="s">
        <v>590</v>
      </c>
      <c r="C12" s="48">
        <v>9.5300000000000003E-3</v>
      </c>
      <c r="D12" s="3" t="s">
        <v>587</v>
      </c>
      <c r="E12" s="3" t="s">
        <v>571</v>
      </c>
      <c r="F12" s="3" t="s">
        <v>591</v>
      </c>
      <c r="G12" s="3" t="s">
        <v>573</v>
      </c>
    </row>
    <row r="13" spans="2:7" x14ac:dyDescent="0.25">
      <c r="B13" s="3" t="s">
        <v>592</v>
      </c>
      <c r="C13" s="48">
        <v>4.2000000000000003E-2</v>
      </c>
      <c r="D13" s="3" t="s">
        <v>587</v>
      </c>
      <c r="E13" s="3" t="s">
        <v>571</v>
      </c>
      <c r="F13" s="3" t="s">
        <v>593</v>
      </c>
      <c r="G13" s="3" t="s">
        <v>594</v>
      </c>
    </row>
    <row r="14" spans="2:7" x14ac:dyDescent="0.25">
      <c r="B14" s="3" t="s">
        <v>595</v>
      </c>
      <c r="C14" s="3" t="s">
        <v>596</v>
      </c>
      <c r="D14" s="3" t="s">
        <v>587</v>
      </c>
      <c r="E14" s="3" t="s">
        <v>571</v>
      </c>
      <c r="F14" s="3" t="s">
        <v>597</v>
      </c>
      <c r="G14" s="3" t="s">
        <v>598</v>
      </c>
    </row>
    <row r="15" spans="2:7" x14ac:dyDescent="0.25">
      <c r="B15" s="3" t="s">
        <v>599</v>
      </c>
      <c r="C15" s="3" t="s">
        <v>600</v>
      </c>
      <c r="D15" s="3" t="s">
        <v>601</v>
      </c>
      <c r="E15" s="3" t="s">
        <v>571</v>
      </c>
      <c r="F15" s="3" t="s">
        <v>602</v>
      </c>
      <c r="G15" s="3" t="s">
        <v>603</v>
      </c>
    </row>
    <row r="16" spans="2:7" x14ac:dyDescent="0.25">
      <c r="B16" s="3" t="s">
        <v>604</v>
      </c>
      <c r="C16" s="3" t="s">
        <v>605</v>
      </c>
      <c r="D16" s="3" t="s">
        <v>587</v>
      </c>
      <c r="E16" s="3" t="s">
        <v>571</v>
      </c>
      <c r="F16" s="3" t="s">
        <v>606</v>
      </c>
      <c r="G16" s="3" t="s">
        <v>607</v>
      </c>
    </row>
    <row r="17" spans="2:7" x14ac:dyDescent="0.25">
      <c r="B17" s="3" t="s">
        <v>608</v>
      </c>
      <c r="C17" s="3" t="s">
        <v>609</v>
      </c>
      <c r="D17" s="3" t="s">
        <v>587</v>
      </c>
      <c r="E17" s="3" t="s">
        <v>571</v>
      </c>
      <c r="F17" s="3" t="s">
        <v>610</v>
      </c>
      <c r="G17" s="3" t="s">
        <v>594</v>
      </c>
    </row>
    <row r="18" spans="2:7" x14ac:dyDescent="0.25">
      <c r="B18" s="3" t="s">
        <v>611</v>
      </c>
      <c r="C18" s="47">
        <v>11029.4</v>
      </c>
      <c r="D18" s="3" t="s">
        <v>583</v>
      </c>
      <c r="E18" s="3" t="s">
        <v>571</v>
      </c>
      <c r="F18" s="3" t="s">
        <v>612</v>
      </c>
      <c r="G18" s="3" t="s">
        <v>613</v>
      </c>
    </row>
    <row r="19" spans="2:7" x14ac:dyDescent="0.25">
      <c r="B19" s="3" t="s">
        <v>614</v>
      </c>
      <c r="C19" s="47">
        <v>13011.5</v>
      </c>
      <c r="D19" s="3" t="s">
        <v>583</v>
      </c>
      <c r="E19" s="3" t="s">
        <v>571</v>
      </c>
      <c r="F19" s="3" t="s">
        <v>615</v>
      </c>
      <c r="G19" s="3" t="s">
        <v>613</v>
      </c>
    </row>
    <row r="20" spans="2:7" x14ac:dyDescent="0.25">
      <c r="B20" s="3" t="s">
        <v>616</v>
      </c>
      <c r="C20" s="47">
        <v>1864.2</v>
      </c>
      <c r="D20" s="3" t="s">
        <v>583</v>
      </c>
      <c r="E20" s="3" t="s">
        <v>584</v>
      </c>
      <c r="F20" s="3" t="s">
        <v>617</v>
      </c>
      <c r="G20" s="3" t="s">
        <v>613</v>
      </c>
    </row>
    <row r="21" spans="2:7" x14ac:dyDescent="0.25">
      <c r="B21" s="3" t="s">
        <v>618</v>
      </c>
      <c r="C21" s="3" t="s">
        <v>619</v>
      </c>
      <c r="D21" s="3" t="s">
        <v>583</v>
      </c>
      <c r="E21" s="3" t="s">
        <v>571</v>
      </c>
      <c r="F21" s="3" t="s">
        <v>620</v>
      </c>
      <c r="G21" s="3" t="s">
        <v>613</v>
      </c>
    </row>
    <row r="22" spans="2:7" x14ac:dyDescent="0.25">
      <c r="B22" s="3" t="s">
        <v>621</v>
      </c>
      <c r="C22" s="48">
        <v>0.32</v>
      </c>
      <c r="D22" s="3" t="s">
        <v>601</v>
      </c>
      <c r="E22" s="3" t="s">
        <v>622</v>
      </c>
      <c r="F22" s="3" t="s">
        <v>623</v>
      </c>
      <c r="G22" s="3" t="s">
        <v>573</v>
      </c>
    </row>
    <row r="23" spans="2:7" x14ac:dyDescent="0.25">
      <c r="B23" s="3" t="s">
        <v>624</v>
      </c>
      <c r="C23" s="48">
        <v>9.2600000000000002E-2</v>
      </c>
      <c r="D23" s="3" t="s">
        <v>587</v>
      </c>
      <c r="E23" s="3" t="s">
        <v>571</v>
      </c>
      <c r="F23" s="3" t="s">
        <v>625</v>
      </c>
      <c r="G23" s="3" t="s">
        <v>626</v>
      </c>
    </row>
    <row r="24" spans="2:7" x14ac:dyDescent="0.25">
      <c r="B24" s="3" t="s">
        <v>627</v>
      </c>
      <c r="C24" s="3" t="s">
        <v>628</v>
      </c>
      <c r="D24" s="3" t="s">
        <v>583</v>
      </c>
      <c r="E24" s="3" t="s">
        <v>571</v>
      </c>
      <c r="F24" s="3" t="s">
        <v>629</v>
      </c>
      <c r="G24" s="3" t="s">
        <v>630</v>
      </c>
    </row>
    <row r="25" spans="2:7" x14ac:dyDescent="0.25">
      <c r="B25" s="3" t="s">
        <v>631</v>
      </c>
      <c r="C25" s="3" t="s">
        <v>632</v>
      </c>
      <c r="D25" s="3" t="s">
        <v>583</v>
      </c>
      <c r="E25" s="3" t="s">
        <v>571</v>
      </c>
      <c r="F25" s="3" t="s">
        <v>633</v>
      </c>
      <c r="G25" s="3" t="s">
        <v>613</v>
      </c>
    </row>
    <row r="26" spans="2:7" x14ac:dyDescent="0.25">
      <c r="B26" s="3" t="s">
        <v>634</v>
      </c>
      <c r="C26" s="47">
        <v>6507</v>
      </c>
      <c r="D26" s="3" t="s">
        <v>583</v>
      </c>
      <c r="E26" s="3" t="s">
        <v>571</v>
      </c>
      <c r="F26" s="3" t="s">
        <v>635</v>
      </c>
      <c r="G26" s="3" t="s">
        <v>630</v>
      </c>
    </row>
    <row r="27" spans="2:7" x14ac:dyDescent="0.25">
      <c r="B27" s="3" t="s">
        <v>636</v>
      </c>
      <c r="C27" s="47">
        <v>12999</v>
      </c>
      <c r="D27" s="3" t="s">
        <v>583</v>
      </c>
      <c r="E27" s="3" t="s">
        <v>571</v>
      </c>
      <c r="F27" s="3" t="s">
        <v>637</v>
      </c>
      <c r="G27" s="3" t="s">
        <v>630</v>
      </c>
    </row>
    <row r="28" spans="2:7" x14ac:dyDescent="0.25">
      <c r="B28" s="3" t="s">
        <v>638</v>
      </c>
      <c r="C28" s="47">
        <v>3185</v>
      </c>
      <c r="D28" s="3" t="s">
        <v>583</v>
      </c>
      <c r="E28" s="3" t="s">
        <v>571</v>
      </c>
      <c r="F28" s="3" t="s">
        <v>639</v>
      </c>
      <c r="G28" s="3" t="s">
        <v>630</v>
      </c>
    </row>
    <row r="29" spans="2:7" x14ac:dyDescent="0.25">
      <c r="B29" s="3" t="s">
        <v>640</v>
      </c>
      <c r="C29" s="47">
        <v>4216</v>
      </c>
      <c r="D29" s="3" t="s">
        <v>583</v>
      </c>
      <c r="E29" s="3" t="s">
        <v>571</v>
      </c>
      <c r="F29" s="3" t="s">
        <v>641</v>
      </c>
      <c r="G29" s="3" t="s">
        <v>630</v>
      </c>
    </row>
    <row r="30" spans="2:7" x14ac:dyDescent="0.25">
      <c r="B30" s="3" t="s">
        <v>642</v>
      </c>
      <c r="C30" s="47">
        <v>7018</v>
      </c>
      <c r="D30" s="3" t="s">
        <v>583</v>
      </c>
      <c r="E30" s="3" t="s">
        <v>571</v>
      </c>
      <c r="F30" s="3" t="s">
        <v>643</v>
      </c>
      <c r="G30" s="3" t="s">
        <v>630</v>
      </c>
    </row>
    <row r="31" spans="2:7" x14ac:dyDescent="0.25">
      <c r="B31" s="3" t="s">
        <v>644</v>
      </c>
      <c r="C31" s="47">
        <v>907</v>
      </c>
      <c r="D31" s="3" t="s">
        <v>583</v>
      </c>
      <c r="E31" s="3" t="s">
        <v>571</v>
      </c>
      <c r="F31" s="3" t="s">
        <v>645</v>
      </c>
      <c r="G31" s="3" t="s">
        <v>613</v>
      </c>
    </row>
    <row r="32" spans="2:7" x14ac:dyDescent="0.25">
      <c r="B32" s="3" t="s">
        <v>646</v>
      </c>
      <c r="C32" s="3" t="s">
        <v>647</v>
      </c>
      <c r="D32" s="3" t="s">
        <v>583</v>
      </c>
      <c r="E32" s="3" t="s">
        <v>571</v>
      </c>
      <c r="F32" s="3" t="s">
        <v>648</v>
      </c>
      <c r="G32" s="3" t="s">
        <v>630</v>
      </c>
    </row>
    <row r="33" spans="2:7" x14ac:dyDescent="0.25">
      <c r="B33" s="3" t="s">
        <v>649</v>
      </c>
      <c r="C33" s="48">
        <v>1.075</v>
      </c>
      <c r="D33" s="3" t="s">
        <v>650</v>
      </c>
      <c r="E33" s="3" t="s">
        <v>571</v>
      </c>
      <c r="F33" s="3" t="s">
        <v>651</v>
      </c>
      <c r="G33" s="3" t="s">
        <v>652</v>
      </c>
    </row>
    <row r="34" spans="2:7" x14ac:dyDescent="0.25">
      <c r="B34" s="3" t="s">
        <v>653</v>
      </c>
      <c r="C34" s="48">
        <v>1.05</v>
      </c>
      <c r="D34" s="3" t="s">
        <v>650</v>
      </c>
      <c r="E34" s="3" t="s">
        <v>571</v>
      </c>
      <c r="F34" s="3" t="s">
        <v>654</v>
      </c>
      <c r="G34" s="3" t="s">
        <v>655</v>
      </c>
    </row>
    <row r="36" spans="2:7" x14ac:dyDescent="0.25">
      <c r="B36" s="5" t="s">
        <v>656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C29"/>
  <sheetViews>
    <sheetView workbookViewId="0"/>
  </sheetViews>
  <sheetFormatPr defaultRowHeight="15" x14ac:dyDescent="0.25"/>
  <cols>
    <col min="2" max="2" width="80" customWidth="1"/>
    <col min="3" max="3" width="16" customWidth="1"/>
    <col min="4" max="4" width="12" customWidth="1"/>
  </cols>
  <sheetData>
    <row r="2" spans="2:3" ht="18.75" customHeight="1" x14ac:dyDescent="0.3">
      <c r="B2" s="1" t="s">
        <v>657</v>
      </c>
    </row>
    <row r="4" spans="2:3" x14ac:dyDescent="0.25">
      <c r="B4" s="3" t="s">
        <v>658</v>
      </c>
      <c r="C4" s="39" t="str">
        <f>IF(DCF!$D$165&gt;=0.02,"OK","WARN")</f>
        <v>OK</v>
      </c>
    </row>
    <row r="5" spans="2:3" x14ac:dyDescent="0.25">
      <c r="B5" s="3" t="s">
        <v>659</v>
      </c>
      <c r="C5" s="39" t="str">
        <f>IF(DCF!$D$166&lt;=0,"OK","FAIL")</f>
        <v>OK</v>
      </c>
    </row>
    <row r="6" spans="2:3" x14ac:dyDescent="0.25">
      <c r="B6" s="3" t="s">
        <v>660</v>
      </c>
      <c r="C6" s="39" t="str">
        <f>IF(ABS(DCF!$D$32+DCF!$D$33-1)&lt;0.000001,"OK","FAIL")</f>
        <v>OK</v>
      </c>
    </row>
    <row r="7" spans="2:3" x14ac:dyDescent="0.25">
      <c r="B7" s="3" t="s">
        <v>661</v>
      </c>
      <c r="C7" s="39" t="str">
        <f>IF(Engine_Recon!$D$69=Engine_Recon!$D$68,"OK","CHECK")</f>
        <v>OK</v>
      </c>
    </row>
    <row r="8" spans="2:3" x14ac:dyDescent="0.25">
      <c r="B8" s="3" t="s">
        <v>662</v>
      </c>
      <c r="C8" s="39" t="str">
        <f>IF(Engine_Recon!$D$71=Engine_Recon!$D$70,"OK","CHECK")</f>
        <v>OK</v>
      </c>
    </row>
    <row r="9" spans="2:3" x14ac:dyDescent="0.25">
      <c r="B9" s="3" t="s">
        <v>663</v>
      </c>
      <c r="C9" s="39" t="str">
        <f>IF(DCF!$D$189&lt;0.85,"OK","WARN")</f>
        <v>OK</v>
      </c>
    </row>
    <row r="10" spans="2:3" x14ac:dyDescent="0.25">
      <c r="B10" s="3" t="s">
        <v>664</v>
      </c>
      <c r="C10" s="39" t="str">
        <f>IF(AND(DCF!$D$201&gt;=0.5*DCF!$D$40,DCF!$D$201&lt;=2*DCF!$D$40),"OK","WARN")</f>
        <v>OK</v>
      </c>
    </row>
    <row r="11" spans="2:3" x14ac:dyDescent="0.25">
      <c r="B11" s="3" t="s">
        <v>665</v>
      </c>
      <c r="C11" s="39" t="str">
        <f>IF(DCF!$D$192&lt;=DCF!$D$152+0.000001,"OK","CHECK")</f>
        <v>OK</v>
      </c>
    </row>
    <row r="12" spans="2:3" x14ac:dyDescent="0.25">
      <c r="B12" s="3" t="s">
        <v>666</v>
      </c>
      <c r="C12" s="39" t="str">
        <f>IF(ABS(DCF!$D$203-1)&lt;=0.1,"OK","WARN")</f>
        <v>OK</v>
      </c>
    </row>
    <row r="13" spans="2:3" x14ac:dyDescent="0.25">
      <c r="B13" s="3" t="s">
        <v>667</v>
      </c>
      <c r="C13" s="39" t="str">
        <f>IF(ABS(DCF!$E$222-DCF!$D$192)&lt;0.000001,"OK","FAIL")</f>
        <v>OK</v>
      </c>
    </row>
    <row r="14" spans="2:3" x14ac:dyDescent="0.25">
      <c r="B14" s="3" t="s">
        <v>668</v>
      </c>
      <c r="C14" s="39" t="str">
        <f>IF(DCF!$D$200&gt;DCF!$D$34,"OK","WARN")</f>
        <v>OK</v>
      </c>
    </row>
    <row r="15" spans="2:3" x14ac:dyDescent="0.25">
      <c r="B15" s="3" t="s">
        <v>669</v>
      </c>
      <c r="C15" s="39" t="str">
        <f>IF(AND(ABS(Dated_Check!$D$58)&lt;0.05,ABS(Dated_Check!$D$61)&lt;0.05),"OK","WARN")</f>
        <v>OK</v>
      </c>
    </row>
    <row r="16" spans="2:3" x14ac:dyDescent="0.25">
      <c r="B16" s="3" t="s">
        <v>670</v>
      </c>
      <c r="C16" s="39" t="str">
        <f>IF(AND(ABS(Scenarios!$F$7-DCF!$D$192)&lt;0.000001,ABS(Scenarios!$G$7-DCF!$D$194)&lt;0.000001),"OK","FAIL")</f>
        <v>OK</v>
      </c>
    </row>
    <row r="17" spans="2:3" x14ac:dyDescent="0.25">
      <c r="B17" s="3" t="s">
        <v>671</v>
      </c>
      <c r="C17" s="39" t="str">
        <f>IF(ABS(DCF!D101-(-14860))&lt;0.5,"OK","FAIL")</f>
        <v>OK</v>
      </c>
    </row>
    <row r="18" spans="2:3" x14ac:dyDescent="0.25">
      <c r="B18" s="3" t="s">
        <v>672</v>
      </c>
      <c r="C18" s="39" t="str">
        <f>IF(ABS(DCF!E101-(-15353))&lt;0.5,"OK","FAIL")</f>
        <v>OK</v>
      </c>
    </row>
    <row r="19" spans="2:3" x14ac:dyDescent="0.25">
      <c r="B19" s="3" t="s">
        <v>673</v>
      </c>
      <c r="C19" s="39" t="str">
        <f>IF(ABS(DCF!F101-(-8599))&lt;0.5,"OK","FAIL")</f>
        <v>OK</v>
      </c>
    </row>
    <row r="20" spans="2:3" x14ac:dyDescent="0.25">
      <c r="B20" s="3" t="s">
        <v>674</v>
      </c>
      <c r="C20" s="39" t="str">
        <f>IF(ABS(DCF!G101-(-6279))&lt;0.5,"OK","FAIL")</f>
        <v>OK</v>
      </c>
    </row>
    <row r="21" spans="2:3" x14ac:dyDescent="0.25">
      <c r="B21" s="3" t="s">
        <v>675</v>
      </c>
      <c r="C21" s="39" t="str">
        <f>IF(ABS(DCF!H101-(-6232))&lt;0.5,"OK","FAIL")</f>
        <v>OK</v>
      </c>
    </row>
    <row r="22" spans="2:3" x14ac:dyDescent="0.25">
      <c r="B22" s="3" t="s">
        <v>676</v>
      </c>
      <c r="C22" s="39" t="str">
        <f>IF(ABS(DCF!$D$142-DCF!$D$143)&lt;0.5,"OK","FAIL")</f>
        <v>OK</v>
      </c>
    </row>
    <row r="23" spans="2:3" x14ac:dyDescent="0.25">
      <c r="B23" s="3" t="s">
        <v>677</v>
      </c>
      <c r="C23" s="39" t="str">
        <f>IF(ABS(SUM(DCF!D65:D69)-DCF!D70)&lt;0.5,"OK","FAIL")</f>
        <v>OK</v>
      </c>
    </row>
    <row r="24" spans="2:3" x14ac:dyDescent="0.25">
      <c r="B24" s="3" t="s">
        <v>678</v>
      </c>
      <c r="C24" s="39" t="str">
        <f>IF(ABS(SUM(DCF!E65:E69)-DCF!E70)&lt;0.5,"OK","FAIL")</f>
        <v>OK</v>
      </c>
    </row>
    <row r="25" spans="2:3" x14ac:dyDescent="0.25">
      <c r="B25" s="3" t="s">
        <v>679</v>
      </c>
      <c r="C25" s="39" t="str">
        <f>IF(ABS(SUM(DCF!F65:F69)-DCF!F70)&lt;0.5,"OK","FAIL")</f>
        <v>OK</v>
      </c>
    </row>
    <row r="26" spans="2:3" x14ac:dyDescent="0.25">
      <c r="B26" s="3" t="s">
        <v>680</v>
      </c>
      <c r="C26" s="39" t="str">
        <f>IF(ABS(SUM(DCF!G65:G69)-DCF!G70)&lt;0.5,"OK","FAIL")</f>
        <v>OK</v>
      </c>
    </row>
    <row r="27" spans="2:3" x14ac:dyDescent="0.25">
      <c r="B27" s="3" t="s">
        <v>681</v>
      </c>
      <c r="C27" s="39" t="str">
        <f>IF(ABS(SUM(DCF!H65:H69)-DCF!H70)&lt;0.5,"OK","FAIL")</f>
        <v>OK</v>
      </c>
    </row>
    <row r="29" spans="2:3" x14ac:dyDescent="0.25">
      <c r="B29" s="5" t="s">
        <v>682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DCF</vt:lpstr>
      <vt:lpstr>Reverse_DCF</vt:lpstr>
      <vt:lpstr>Levers</vt:lpstr>
      <vt:lpstr>Scenarios</vt:lpstr>
      <vt:lpstr>Dated_Check</vt:lpstr>
      <vt:lpstr>Engine_Recon</vt:lpstr>
      <vt:lpstr>Inputs_Sources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Arturo Romo Alba</cp:lastModifiedBy>
  <dcterms:created xsi:type="dcterms:W3CDTF">2026-10-17T17:06:23Z</dcterms:created>
  <dcterms:modified xsi:type="dcterms:W3CDTF">2026-10-17T17:11:50Z</dcterms:modified>
</cp:coreProperties>
</file>