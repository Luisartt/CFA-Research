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fa reserach\valuation\"/>
    </mc:Choice>
  </mc:AlternateContent>
  <xr:revisionPtr revIDLastSave="0" documentId="13_ncr:1_{596BD1AD-69E3-40B4-8511-CA2D82C3EE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ACC" sheetId="1" r:id="rId1"/>
    <sheet name="Inputs_Sour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4" i="1" l="1"/>
  <c r="G193" i="1"/>
  <c r="F193" i="1"/>
  <c r="E193" i="1"/>
  <c r="D193" i="1"/>
  <c r="C193" i="1"/>
  <c r="G183" i="1"/>
  <c r="F183" i="1"/>
  <c r="E183" i="1"/>
  <c r="D183" i="1"/>
  <c r="C183" i="1"/>
  <c r="C173" i="1"/>
  <c r="C172" i="1"/>
  <c r="C170" i="1"/>
  <c r="N125" i="1"/>
  <c r="N120" i="1"/>
  <c r="K120" i="1"/>
  <c r="L120" i="1" s="1"/>
  <c r="K119" i="1"/>
  <c r="L119" i="1" s="1"/>
  <c r="N119" i="1" s="1"/>
  <c r="K118" i="1"/>
  <c r="L118" i="1" s="1"/>
  <c r="N118" i="1" s="1"/>
  <c r="K117" i="1"/>
  <c r="L117" i="1" s="1"/>
  <c r="N117" i="1" s="1"/>
  <c r="K116" i="1"/>
  <c r="L116" i="1" s="1"/>
  <c r="N116" i="1" s="1"/>
  <c r="K115" i="1"/>
  <c r="L115" i="1" s="1"/>
  <c r="N115" i="1" s="1"/>
  <c r="K114" i="1"/>
  <c r="L114" i="1" s="1"/>
  <c r="N114" i="1" s="1"/>
  <c r="I92" i="1"/>
  <c r="L71" i="1"/>
  <c r="K71" i="1"/>
  <c r="J71" i="1"/>
  <c r="I71" i="1"/>
  <c r="H68" i="1"/>
  <c r="F68" i="1"/>
  <c r="G68" i="1" s="1"/>
  <c r="M68" i="1" s="1"/>
  <c r="H67" i="1"/>
  <c r="F67" i="1"/>
  <c r="G67" i="1" s="1"/>
  <c r="M67" i="1" s="1"/>
  <c r="H66" i="1"/>
  <c r="F66" i="1"/>
  <c r="G66" i="1" s="1"/>
  <c r="M66" i="1" s="1"/>
  <c r="H65" i="1"/>
  <c r="F65" i="1"/>
  <c r="G65" i="1" s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C16" i="1"/>
  <c r="C17" i="1" s="1"/>
  <c r="C174" i="1" l="1"/>
  <c r="B198" i="1"/>
  <c r="B197" i="1"/>
  <c r="B196" i="1"/>
  <c r="B195" i="1"/>
  <c r="C168" i="1"/>
  <c r="N122" i="1"/>
  <c r="N121" i="1"/>
  <c r="K70" i="1"/>
  <c r="I70" i="1"/>
  <c r="J70" i="1"/>
  <c r="L70" i="1"/>
  <c r="L69" i="1"/>
  <c r="I69" i="1"/>
  <c r="C14" i="1" s="1"/>
  <c r="C18" i="1" s="1"/>
  <c r="K69" i="1"/>
  <c r="M65" i="1"/>
  <c r="J69" i="1"/>
  <c r="C178" i="1" l="1"/>
  <c r="C179" i="1" s="1"/>
  <c r="C184" i="1"/>
  <c r="D184" i="1"/>
  <c r="D185" i="1"/>
  <c r="E185" i="1"/>
  <c r="F185" i="1"/>
  <c r="G185" i="1"/>
  <c r="C186" i="1"/>
  <c r="D186" i="1"/>
  <c r="E186" i="1"/>
  <c r="F186" i="1"/>
  <c r="G186" i="1"/>
  <c r="C169" i="1"/>
  <c r="C171" i="1" s="1"/>
  <c r="C175" i="1" s="1"/>
  <c r="C177" i="1" s="1"/>
  <c r="C187" i="1"/>
  <c r="D187" i="1"/>
  <c r="E187" i="1"/>
  <c r="F187" i="1"/>
  <c r="G187" i="1"/>
  <c r="C188" i="1"/>
  <c r="D188" i="1"/>
  <c r="E188" i="1"/>
  <c r="F188" i="1"/>
  <c r="G188" i="1"/>
  <c r="C189" i="1"/>
  <c r="D189" i="1"/>
  <c r="E189" i="1"/>
  <c r="E198" i="1"/>
  <c r="G198" i="1"/>
  <c r="C198" i="1"/>
  <c r="F198" i="1"/>
  <c r="D198" i="1"/>
  <c r="G197" i="1"/>
  <c r="E197" i="1"/>
  <c r="C197" i="1"/>
  <c r="F197" i="1"/>
  <c r="D197" i="1"/>
  <c r="F196" i="1"/>
  <c r="G196" i="1"/>
  <c r="E196" i="1"/>
  <c r="D196" i="1"/>
  <c r="C196" i="1"/>
  <c r="F195" i="1"/>
  <c r="G195" i="1"/>
  <c r="C195" i="1"/>
  <c r="D195" i="1"/>
  <c r="E195" i="1"/>
  <c r="F184" i="1"/>
  <c r="G184" i="1"/>
  <c r="F194" i="1"/>
  <c r="E194" i="1"/>
  <c r="D194" i="1"/>
  <c r="C194" i="1"/>
  <c r="G194" i="1"/>
  <c r="G190" i="1"/>
  <c r="F190" i="1"/>
  <c r="E190" i="1"/>
  <c r="D190" i="1"/>
  <c r="C190" i="1"/>
  <c r="G189" i="1"/>
  <c r="F189" i="1"/>
  <c r="C185" i="1"/>
  <c r="E184" i="1"/>
</calcChain>
</file>

<file path=xl/sharedStrings.xml><?xml version="1.0" encoding="utf-8"?>
<sst xmlns="http://schemas.openxmlformats.org/spreadsheetml/2006/main" count="744" uniqueCount="421">
  <si>
    <t>WACC Analysis</t>
  </si>
  <si>
    <t>Grupo Bimbo, S.A.B. de C.V. (BMV:BIMBO A) | valuation date 2026-10-16 | MXN nominal | layout after S&amp;P Capital IQ Pro 'WACC Analysis' (template defaults overridden: local risk-free, mature-market ERP, statutory marginal tax, MXN cost of debt).</t>
  </si>
  <si>
    <t>Blue on yellow = input. [sourced] from a filing or public source; [guidance] management statement; [assumption] team or assistant judgment (proposal until the team confirms); [calc] computed; [unverified] not yet tied to a source.</t>
  </si>
  <si>
    <t>STEP 1 - SELECTIONS</t>
  </si>
  <si>
    <t>Route: 1 = A local (M-Bono, CRP 0); 2 = B Damodaran (default-free rf + exposure-weighted CRP)</t>
  </si>
  <si>
    <t>Beta: 1 = bottom-up median; 2 = bottom-up mean; 3 = industry (Damodaran); 4 = Bimbo regression (unlevered)</t>
  </si>
  <si>
    <t>Country-risk weights (route B): 1 = FY2025 Adj. EBITDA; 2 = FY2025 sales; 3 = FY2023-25 average Adj. EBITDA; 4 = FY2023-25 average sales</t>
  </si>
  <si>
    <t>STEP 2 - RISK-FREE RATE AND COUNTRY RISK</t>
  </si>
  <si>
    <t>Mexico M-Bono 10-year yield</t>
  </si>
  <si>
    <t>[sourced] M-Bono 10y, S&amp;P Capital IQ rates 2026-10-16 (wacc_inputs F1)</t>
  </si>
  <si>
    <t>Mexico sovereign default spread (variant B)</t>
  </si>
  <si>
    <t>[sourced] Damodaran July 2026 update (ctrypremJuly26.xlsx, default spreads corrected 9-Jul-2026): Mexico Moody's Baa3 (S&amp;P BBB, Fitch BBB-), rating-based default spread 1.7499%; Mexico 10y CDS 1.64% at 16-Oct-2026 (Capital IQ) and 1.59% at 30-Jun-2026 (Damodaran file). Supersedes the January 2026 Baa2 spread of 1.62%</t>
  </si>
  <si>
    <t>Equity country risk premium, exposure-weighted (variant B; build below)</t>
  </si>
  <si>
    <t>[calc] Exposure-weighted CRP, table below</t>
  </si>
  <si>
    <t>Size premium</t>
  </si>
  <si>
    <t>[assumption] No size premium (large cap)</t>
  </si>
  <si>
    <t>Default-free MXN risk-free (variant B) = M-Bono 10y - default spread</t>
  </si>
  <si>
    <t>Risk-free used</t>
  </si>
  <si>
    <t>Country risk premium used</t>
  </si>
  <si>
    <t>Equity risk premium (mature market)</t>
  </si>
  <si>
    <t>[sourced] Damodaran implied ERP 4.20%, 1-Oct-2026 (wacc_inputs G1)</t>
  </si>
  <si>
    <t>Marginal tax rate (Mexico statutory)</t>
  </si>
  <si>
    <t>[sourced] Mexico statutory corporate rate 30% (Ley del ISR); effective/cash tax is a separate forecast driver.</t>
  </si>
  <si>
    <t>Route B - country risk premium weighted by where Bimbo operates: countries (Damodaran; dataset in the source column) -&gt; regions (plant-weighted) -&gt; company (region weights)</t>
  </si>
  <si>
    <t>Region</t>
  </si>
  <si>
    <t>Sub-region</t>
  </si>
  <si>
    <t>Country</t>
  </si>
  <si>
    <t>Plants</t>
  </si>
  <si>
    <t>Moody's</t>
  </si>
  <si>
    <t>Default spread</t>
  </si>
  <si>
    <t>CRP</t>
  </si>
  <si>
    <t>Include</t>
  </si>
  <si>
    <t>Plants x CRP</t>
  </si>
  <si>
    <t>Tag / source</t>
  </si>
  <si>
    <t>North America</t>
  </si>
  <si>
    <t>United States</t>
  </si>
  <si>
    <t>Aa1</t>
  </si>
  <si>
    <t>yes</t>
  </si>
  <si>
    <t>plants [sourced]; CRP [sourced] Plants: RA25 p.114 ('60 en EE.UU.'), p.115 table (BBU 54 + Organizacion Barcel 2 + Bimbo QSR 4). CRP: Damodaran ctrypremJuly26.xlsx 'ERPs by country' (update 1-Jul-2026, default spreads corrected 9-Jul-2026; listed on pages.stern.nyu.edu/~adamodar/New_Home_Page/datacurrent.html, read 2026-10-17)</t>
  </si>
  <si>
    <t>Canada</t>
  </si>
  <si>
    <t>Aaa</t>
  </si>
  <si>
    <t>plants [sourced]; CRP [sourced] Plants: RA25 p.114-115 (Bimbo Canada 17). CRP: Damodaran ctrypremJuly26.xlsx 'ERPs by country' (update 1-Jul-2026, default spreads corrected 9-Jul-2026; listed on pages.stern.nyu.edu/~adamodar/New_Home_Page/datacurrent.html, read 2026-10-17)</t>
  </si>
  <si>
    <t>Mexico</t>
  </si>
  <si>
    <t>Baa3</t>
  </si>
  <si>
    <t>plants [sourced]; CRP [sourced] Plants: RA25 p.115 (Bimbo 30, Barcel 7, Moldes y Exhibidores 1). CRP: Damodaran ctrypremJuly26.xlsx 'ERPs by country' (update 1-Jul-2026, default spreads corrected 9-Jul-2026; listed on pages.stern.nyu.edu/~adamodar/New_Home_Page/datacurrent.html, read 2026-10-17)</t>
  </si>
  <si>
    <t>EAA</t>
  </si>
  <si>
    <t>Europe</t>
  </si>
  <si>
    <t>Spain</t>
  </si>
  <si>
    <t>A3</t>
  </si>
  <si>
    <t>plants [sourced]; CRP [sourced] Plants: RA25 p.116 Europe table. CRP: Damodaran ctrypremJuly26.xlsx 'ERPs by country' (update 1-Jul-2026, default spreads corrected 9-Jul-2026; listed on pages.stern.nyu.edu/~adamodar/New_Home_Page/datacurrent.html, read 2026-10-17)</t>
  </si>
  <si>
    <t>Portugal</t>
  </si>
  <si>
    <t>France</t>
  </si>
  <si>
    <t>Aa3</t>
  </si>
  <si>
    <t>Italy</t>
  </si>
  <si>
    <t>Baa2</t>
  </si>
  <si>
    <t>Ukraine</t>
  </si>
  <si>
    <t>Ca</t>
  </si>
  <si>
    <t>plants [sourced]; CRP [sourced] Plants: RA25 p.116 Europe table; Bimbo QSR operation (RA25 p.86). CRP: Damodaran ctrypremJuly26.xlsx 'ERPs by country' (update 1-Jul-2026, default spreads corrected 9-Jul-2026; listed on pages.stern.nyu.edu/~adamodar/New_Home_Page/datacurrent.html, read 2026-10-17)</t>
  </si>
  <si>
    <t>United Kingdom</t>
  </si>
  <si>
    <t>Turkey</t>
  </si>
  <si>
    <t>Ba3</t>
  </si>
  <si>
    <t>plants [sourced]; CRP [sourced] Plants: RA25 p.116 Europe table; the 1 plant is also in the FY2023 (RA23 pdf p.145) and FY2024 (RA24 p.121 de 210) tables, i.e. before the 30% UNO stake of 27-Mar-2024, which is an equity-method associate (RA25 p.77-78; note 10, pdf p.259); Damodaran row is labelled 'Turkey (updated February 2026)'. CRP: Damodaran ctrypremJuly26.xlsx 'ERPs by country' (update 1-Jul-2026, default spreads corrected 9-Jul-2026; listed on pages.stern.nyu.edu/~adamodar/New_Home_Page/datacurrent.html, read 2026-10-17)</t>
  </si>
  <si>
    <t>Switzerland</t>
  </si>
  <si>
    <t>Russia</t>
  </si>
  <si>
    <t>NR (PRS)</t>
  </si>
  <si>
    <t>plants [sourced]; CRP [sourced] Plants: RA25 p.116 Europe table; Bimbo QSR operation (RA25 p.86), Bimbo-brand sales and new investment suspended since 14-Mar-2022 (RA25 p.56, p.76); Damodaran shows rating 'NR' with the spread and CRP listed here. CRP: Damodaran ctrypremJuly26.xlsx 'ERPs by country' (update 1-Jul-2026, default spreads corrected 9-Jul-2026; listed on pages.stern.nyu.edu/~adamodar/New_Home_Page/datacurrent.html, read 2026-10-17)</t>
  </si>
  <si>
    <t>Romania</t>
  </si>
  <si>
    <t>plants [sourced]; CRP [sourced] Plants: RA25 p.116 Europe table (includes Karamolegos Bakery, acquired 29-Apr-2025, RA25 p.77). CRP: Damodaran ctrypremJuly26.xlsx 'ERPs by country' (update 1-Jul-2026, default spreads corrected 9-Jul-2026; listed on pages.stern.nyu.edu/~adamodar/New_Home_Page/datacurrent.html, read 2026-10-17)</t>
  </si>
  <si>
    <t>Slovenia</t>
  </si>
  <si>
    <t>A2</t>
  </si>
  <si>
    <t>plants [sourced]; CRP [sourced] Plants: RA25 p.116 Europe table (Don Don, acquired 31-May-2025, RA25 p.77). CRP: Damodaran ctrypremJuly26.xlsx 'ERPs by country' (update 1-Jul-2026, default spreads corrected 9-Jul-2026; listed on pages.stern.nyu.edu/~adamodar/New_Home_Page/datacurrent.html, read 2026-10-17)</t>
  </si>
  <si>
    <t>Serbia</t>
  </si>
  <si>
    <t>Ba2</t>
  </si>
  <si>
    <t>Montenegro</t>
  </si>
  <si>
    <t>Croatia</t>
  </si>
  <si>
    <t>Asia</t>
  </si>
  <si>
    <t>China</t>
  </si>
  <si>
    <t>A1</t>
  </si>
  <si>
    <t>plants [sourced]; CRP [sourced] Plants: RA25 p.116 Asia table. CRP: Damodaran ctrypremJuly26.xlsx 'ERPs by country' (update 1-Jul-2026, default spreads corrected 9-Jul-2026; listed on pages.stern.nyu.edu/~adamodar/New_Home_Page/datacurrent.html, read 2026-10-17)</t>
  </si>
  <si>
    <t>India</t>
  </si>
  <si>
    <t>South Korea</t>
  </si>
  <si>
    <t>Aa2</t>
  </si>
  <si>
    <t>plants [sourced]; CRP [sourced] Plants: RA25 p.116 Asia table; Damodaran lists it as 'Korea'. CRP: Damodaran ctrypremJuly26.xlsx 'ERPs by country' (update 1-Jul-2026, default spreads corrected 9-Jul-2026; listed on pages.stern.nyu.edu/~adamodar/New_Home_Page/datacurrent.html, read 2026-10-17)</t>
  </si>
  <si>
    <t>Kazakhstan</t>
  </si>
  <si>
    <t>Baa1</t>
  </si>
  <si>
    <t>Africa</t>
  </si>
  <si>
    <t>South Africa</t>
  </si>
  <si>
    <t>plants [sourced]; CRP [sourced] Plants: RA25 p.116 Africa table. CRP: Damodaran ctrypremJuly26.xlsx 'ERPs by country' (update 1-Jul-2026, default spreads corrected 9-Jul-2026; listed on pages.stern.nyu.edu/~adamodar/New_Home_Page/datacurrent.html, read 2026-10-17)</t>
  </si>
  <si>
    <t>Morocco</t>
  </si>
  <si>
    <t>Ba1</t>
  </si>
  <si>
    <t>plants [sourced]; CRP [sourced] Plants: RA25 p.116 Africa table; bakery from the 2017 Groupe Adghal acquisition (RA25 p.87), Morocco cited in EAA sales growth (RA25 p.135); the 'strategic alliance' footnote covers the QSR business (RA25 p.112). CRP: Damodaran ctrypremJuly26.xlsx 'ERPs by country' (update 1-Jul-2026, default spreads corrected 9-Jul-2026; listed on pages.stern.nyu.edu/~adamodar/New_Home_Page/datacurrent.html, read 2026-10-17)</t>
  </si>
  <si>
    <t>Tunisia</t>
  </si>
  <si>
    <t>Caa1</t>
  </si>
  <si>
    <t>Latin America</t>
  </si>
  <si>
    <t>Latin Sur</t>
  </si>
  <si>
    <t>Argentina</t>
  </si>
  <si>
    <t>plants [sourced]; CRP [sourced] Plants: RA25 p.115 Latin Sur table; consolidated, hyperinflationary (IAS 29) (RA25 p.85). CRP: Damodaran ctrypremJuly26.xlsx 'ERPs by country' (update 1-Jul-2026, default spreads corrected 9-Jul-2026; listed on pages.stern.nyu.edu/~adamodar/New_Home_Page/datacurrent.html, read 2026-10-17)</t>
  </si>
  <si>
    <t>Brazil</t>
  </si>
  <si>
    <t>plants [sourced]; CRP [sourced] Plants: RA25 p.115 Latin Sur table. CRP: Damodaran ctrypremJuly26.xlsx 'ERPs by country' (update 1-Jul-2026, default spreads corrected 9-Jul-2026; listed on pages.stern.nyu.edu/~adamodar/New_Home_Page/datacurrent.html, read 2026-10-17)</t>
  </si>
  <si>
    <t>Peru</t>
  </si>
  <si>
    <t>Paraguay</t>
  </si>
  <si>
    <t>Uruguay</t>
  </si>
  <si>
    <t>Chile</t>
  </si>
  <si>
    <t>Latin Centro</t>
  </si>
  <si>
    <t>Guatemala</t>
  </si>
  <si>
    <t>plants [sourced]; CRP [sourced] Plants: RA25 p.115 Latin Centro table. CRP: Damodaran ctrypremJuly26.xlsx 'ERPs by country' (update 1-Jul-2026, default spreads corrected 9-Jul-2026; listed on pages.stern.nyu.edu/~adamodar/New_Home_Page/datacurrent.html, read 2026-10-17)</t>
  </si>
  <si>
    <t>El Salvador</t>
  </si>
  <si>
    <t>B3</t>
  </si>
  <si>
    <t>Honduras</t>
  </si>
  <si>
    <t>B1</t>
  </si>
  <si>
    <t>Nicaragua</t>
  </si>
  <si>
    <t>B2</t>
  </si>
  <si>
    <t>plants [sourced]; CRP [sourced] Plants: No plants: Nicaragua is one of the 15 operating countries (RA25 p.85) but is absent from the plant tables (RA25 p.114-115), so it carries zero weight. CRP: Damodaran ctrypremJuly26.xlsx 'ERPs by country' (update 1-Jul-2026, default spreads corrected 9-Jul-2026; listed on pages.stern.nyu.edu/~adamodar/New_Home_Page/datacurrent.html, read 2026-10-17)</t>
  </si>
  <si>
    <t>Costa Rica</t>
  </si>
  <si>
    <t>Panama</t>
  </si>
  <si>
    <t>Colombia</t>
  </si>
  <si>
    <t>Venezuela</t>
  </si>
  <si>
    <t>Caa3</t>
  </si>
  <si>
    <t>no</t>
  </si>
  <si>
    <t>plants [sourced]; CRP [sourced] Plants: RA25 p.115 Latin Centro table; EXCLUDED: no longer consolidated, held as an equity instrument at fair value (RA25 p.85). CRP: Damodaran ctrypremJuly26.xlsx 'ERPs by country' (update 1-Jul-2026, default spreads corrected 9-Jul-2026; listed on pages.stern.nyu.edu/~adamodar/New_Home_Page/datacurrent.html, read 2026-10-17)</t>
  </si>
  <si>
    <t>Ecuador</t>
  </si>
  <si>
    <t>Plants included</t>
  </si>
  <si>
    <t>Region CRP</t>
  </si>
  <si>
    <t>Region CRP excl. Argentina</t>
  </si>
  <si>
    <t>W: Adj. EBITDA FY25</t>
  </si>
  <si>
    <t>W: sales FY25</t>
  </si>
  <si>
    <t>W: Adj. EBITDA FY23-25</t>
  </si>
  <si>
    <t>W: sales FY23-25</t>
  </si>
  <si>
    <t>Region CRP = spec</t>
  </si>
  <si>
    <t>North America (US + Canada)</t>
  </si>
  <si>
    <t>Region CRP = plant-weighted Damodaran CRP of the included countries (July 2026 update); weights: FY2025 and FY2023-25 average segment Adj. EBITDA (eliminations to Mexico) and external sales, EEFF25 p.85-86</t>
  </si>
  <si>
    <t>Europe, Asia &amp; Africa</t>
  </si>
  <si>
    <t>Company CRP = SUMPRODUCT(region weights, region CRP)</t>
  </si>
  <si>
    <t>Company CRP excluding Argentina (sensitivity)</t>
  </si>
  <si>
    <t>Weights add up to 100%</t>
  </si>
  <si>
    <t>Rule: consolidated operations in; Venezuela out (not consolidated; held at fair value, RA25 p.85). Argentina is consolidated (IAS 29), so it is in; the row above shows the value without it. Within a region, countries are weighted by plant count (no country sales disclosure) [assumption].</t>
  </si>
  <si>
    <t>Method (base): additive, ke = rf + beta_l x ERP + CRP, the formula of the project guide's USD route (references/wacc-latam.md). Beta-scaled sensitivity in STEP 5.</t>
  </si>
  <si>
    <t>Cross-checks (not used in the WACC)</t>
  </si>
  <si>
    <t>Mexico 10-year sovereign CDS, mid (Capital IQ, 16-Oct-2026)</t>
  </si>
  <si>
    <t>Mexico 5-year sovereign CDS, mid (Capital IQ, 16-Oct-2026)</t>
  </si>
  <si>
    <t>Damodaran rating-based default spread, Mexico, used in route B</t>
  </si>
  <si>
    <t>Equity / bond volatility multiplier implied by Damodaran (Mexico CRP / default spread)</t>
  </si>
  <si>
    <t>Company impairment-test discount rates (post-tax, local currency), weighted by FY2025 Adj. EBITDA</t>
  </si>
  <si>
    <t>Same, weighted by FY2025 sales</t>
  </si>
  <si>
    <t>Impairment-test rates 2025 (RA25 p.265): Mexico 10.00%; United States 7.27%; Canada 6.50%; Spain 7.00%; Brazil 10.25%</t>
  </si>
  <si>
    <t>Damodaran July 2026: Mexico Moody's Baa3 (S&amp;P BBB, Fitch BBB-), rating-based default spread 1.7499%, CRP 2.7202%; mature-market ERP 4.20% (implied ERP over the US T-bond adjusted for the US default spread), US ERP 4.42%; equity/bond multiplier 1.5545. Mexico 10y CDS 1.59% at 30-Jun-2026 in the file and 1.64% at 16-Oct-2026 (Capital IQ). The January 2026 table (Baa2, 1.62% / 2.46%) is superseded.</t>
  </si>
  <si>
    <t>Evidence - government curves, sovereign CDS and inflation (S&amp;P Capital IQ, 16-Oct-2026)</t>
  </si>
  <si>
    <t>Series</t>
  </si>
  <si>
    <t>Value</t>
  </si>
  <si>
    <t>Unit</t>
  </si>
  <si>
    <t>Date</t>
  </si>
  <si>
    <t>Source</t>
  </si>
  <si>
    <t>Mexico M-Bono 1Y</t>
  </si>
  <si>
    <t>yield</t>
  </si>
  <si>
    <t>2026-10-16</t>
  </si>
  <si>
    <t>data/capitaliq/capiq-ai-model-gaps-2_2026-10-17.md Task 2A</t>
  </si>
  <si>
    <t>Mexico M-Bono 2Y</t>
  </si>
  <si>
    <t>n/a</t>
  </si>
  <si>
    <t>data/capitaliq/capiq-ai-model-gaps-2_2026-10-17.md Task 2A (not in the curve)</t>
  </si>
  <si>
    <t>Mexico M-Bono 3Y</t>
  </si>
  <si>
    <t>Mexico M-Bono 5Y</t>
  </si>
  <si>
    <t>Mexico M-Bono 7Y</t>
  </si>
  <si>
    <t>Mexico M-Bono 10Y</t>
  </si>
  <si>
    <t>Mexico M-Bono 20Y</t>
  </si>
  <si>
    <t>Mexico M-Bono 30Y</t>
  </si>
  <si>
    <t>Mexico Udibono 10Y real yield</t>
  </si>
  <si>
    <t>data/capitaliq/capiq-ai-model-gaps-2_2026-10-17.md Task 2A (not returned)</t>
  </si>
  <si>
    <t>US Treasury 2Y</t>
  </si>
  <si>
    <t>US Treasury 5Y</t>
  </si>
  <si>
    <t>US Treasury 10Y</t>
  </si>
  <si>
    <t>US Treasury 30Y</t>
  </si>
  <si>
    <t>Canada government 10Y</t>
  </si>
  <si>
    <t>Spain government 10Y</t>
  </si>
  <si>
    <t>Brazil local-currency government 10Y</t>
  </si>
  <si>
    <t>Germany Bund 10Y</t>
  </si>
  <si>
    <t>Mexico 5Y sovereign CDS, mid (USD)</t>
  </si>
  <si>
    <t>spread</t>
  </si>
  <si>
    <t>data/capitaliq/capiq-ai-model-gaps-2_2026-10-17.md Task 2B</t>
  </si>
  <si>
    <t>Mexico 10Y sovereign CDS, mid (USD)</t>
  </si>
  <si>
    <t>Mexico CPI, year over year, Sep-2026</t>
  </si>
  <si>
    <t>inflation</t>
  </si>
  <si>
    <t>2026-09-30</t>
  </si>
  <si>
    <t>US CPI, year over year, Sep-2026</t>
  </si>
  <si>
    <t>Banxico target rate</t>
  </si>
  <si>
    <t>rate</t>
  </si>
  <si>
    <t>data/capitaliq/capiq-ai-model-gaps-2_2026-10-17.md Task 2B (not returned)</t>
  </si>
  <si>
    <t>TIIE 28-day</t>
  </si>
  <si>
    <t>Mexico USD sovereign bond (UMS) 10Y</t>
  </si>
  <si>
    <t>STEP 3 - BOTTOM-UP BETA (Hamada: beta_u = beta_l / (1 + (1 - t) x D/E); debt incl. leases, market equity)</t>
  </si>
  <si>
    <t>Peer</t>
  </si>
  <si>
    <t>Ticker</t>
  </si>
  <si>
    <t>Marginal tax</t>
  </si>
  <si>
    <t>Levered beta</t>
  </si>
  <si>
    <t>Debt incl. leases</t>
  </si>
  <si>
    <t>Market equity</t>
  </si>
  <si>
    <t>D/E</t>
  </si>
  <si>
    <t>Unlevered beta</t>
  </si>
  <si>
    <t>Included</t>
  </si>
  <si>
    <t>Used</t>
  </si>
  <si>
    <t>Flowers Foods</t>
  </si>
  <si>
    <t>NYSE:FLO</t>
  </si>
  <si>
    <t>[sourced] beta stockanalysis.com 5Y (16-Oct); CIQ</t>
  </si>
  <si>
    <t>Aryzta</t>
  </si>
  <si>
    <t>SWX:ARYN</t>
  </si>
  <si>
    <t>[sourced] beta stockanalysis.com 5Y; CIQ</t>
  </si>
  <si>
    <t>J.M. Smucker</t>
  </si>
  <si>
    <t>NYSE:SJM</t>
  </si>
  <si>
    <t>[sourced] beta stockanalysis.com 5Y (Yahoo 0.27); CIQ</t>
  </si>
  <si>
    <t>Campbell's</t>
  </si>
  <si>
    <t>NasdaqGS:CPB</t>
  </si>
  <si>
    <t>[sourced] beta stockanalysis.com 5Y (Yahoo 0.04); CIQ</t>
  </si>
  <si>
    <t>Mondelez</t>
  </si>
  <si>
    <t>NasdaqGS:MDLZ</t>
  </si>
  <si>
    <t>[sourced] beta stockanalysis.com 5Y (Yahoo 0.39); CIQ debt 22,059 (incl. noncurrent operating leases 609) + current operating leases 164 (31-Dec-2025 10-K, proxy for Jun-26) [assumption]</t>
  </si>
  <si>
    <t>PepsiCo</t>
  </si>
  <si>
    <t>NasdaqGS:PEP</t>
  </si>
  <si>
    <t>[sourced] beta stockanalysis.com 5Y (Yahoo 0.36); CIQ debt 51,881 (excludes operating leases) + operating lease liabilities 3,846 (27-Dec-2025 10-K) [assumption: latest available]</t>
  </si>
  <si>
    <t>Arca Continental</t>
  </si>
  <si>
    <t>BMV:AC</t>
  </si>
  <si>
    <t>[unverified] beta Yahoo only; market cap does not reconcile with shares (wacc_inputs H1)</t>
  </si>
  <si>
    <t>Median (included)</t>
  </si>
  <si>
    <t>Mean (included)</t>
  </si>
  <si>
    <t>Industry unlevered beta (Damodaran, Food Processing)</t>
  </si>
  <si>
    <t>[sourced] Damodaran Food Processing, Global (n=1,450), unlevered 0.53; cash-corrected 0.56 (dataset dated 5-Jan-2026 in betaGlobal.xls; footer 'January 2025' stale; wacc_inputs G6). Unlevered at the file's marginal tax option (25.37%); the effective rate (16.35%) would give 0.51. US: 0.46 (G5)</t>
  </si>
  <si>
    <t>Bimbo regression beta, unlevered at its own market D/E</t>
  </si>
  <si>
    <t>[calc] Bimbo 5-year monthly total-return regression on the S&amp;P/BMV IPC (59 returns, Nov-2021 to 16-Oct-2026): levered 0.8233 (R-squared 0.30, standard error 0.17), unlevered at market D/E 0.7431 and 30% tax (valuation/inputs/beta_regression.json, valuation/build/beta_bimbo.py). It corroborates the Damodaran global 0.53.</t>
  </si>
  <si>
    <t>Selected unlevered beta</t>
  </si>
  <si>
    <t>Evidence - Bimbo regression beta vs the S&amp;P/BMV IPC (monthly; levered at its own market D/E 0.743)</t>
  </si>
  <si>
    <t>Window</t>
  </si>
  <si>
    <t>Months</t>
  </si>
  <si>
    <t>R-squared</t>
  </si>
  <si>
    <t>Std. error</t>
  </si>
  <si>
    <t>95% low</t>
  </si>
  <si>
    <t>95% high</t>
  </si>
  <si>
    <t>Blume</t>
  </si>
  <si>
    <t>Unlevered</t>
  </si>
  <si>
    <t>Unlevered (Blume)</t>
  </si>
  <si>
    <t>price 60m</t>
  </si>
  <si>
    <t>price 36m</t>
  </si>
  <si>
    <t>price 24m</t>
  </si>
  <si>
    <t>total return 60m</t>
  </si>
  <si>
    <t>total return 36m</t>
  </si>
  <si>
    <t>total return 24m</t>
  </si>
  <si>
    <t>[calc] data/market/bimbo_ipc_monthly_2021-11_2026-10.csv (Yahoo Finance BIMBOA.MX and ^MXX month-ends; checked against Capital IQ, data/market/README.md). 5-year monthly total-return regression on the IPC; 59 monthly returns (the 60 month-ends give 59 returns). It corroborates the Damodaran global food-processing unlevered beta of 0.53; the 36- and 24-month windows are higher (the 2023-24 de-rating) and less precise.</t>
  </si>
  <si>
    <t>STEP 4 - CAPITAL STRUCTURE AND COST OF DEBT (MXN)</t>
  </si>
  <si>
    <t>Bimbo current market D/E (debt incl. leases / market cap)</t>
  </si>
  <si>
    <t>[calc] (153,660 debt + 33,361 leases) / market cap 251,684 at MXN 58.60 x 4,294.9m shares (wacc_inputs D2)</t>
  </si>
  <si>
    <t>Peer median market D/E</t>
  </si>
  <si>
    <t>[calc] Median market D/E incl. leases of 9 peers (wacc_inputs H1)</t>
  </si>
  <si>
    <t>D/E implied by management's 2.0-2.5x ex-IFRS 16 comfort range plus leases</t>
  </si>
  <si>
    <t>[calc] Net debt ex-IFRS 16 at 2.25x (mid of the 2.0-2.5x comfort range) x Adj. EBITDA ex-IFRS 16 54,839 (= 137,097 / 2.5) + cash 16,563 + leases 33,361 = 173,392 / 251,684 [assumption]</t>
  </si>
  <si>
    <t>Target D/E used (team decision)</t>
  </si>
  <si>
    <t>valuation/valuation.yaml</t>
  </si>
  <si>
    <t>Pre-tax Kd candidate: A. BIMBO 23L market yield (2033)</t>
  </si>
  <si>
    <t>[sourced] LSEG export 2026-10-10 (wacc_inputs J2-A)</t>
  </si>
  <si>
    <t>Pre-tax Kd candidate: B. M-Bono 10y + BIMBO 26 issue spread 0.45pp (proposal)</t>
  </si>
  <si>
    <t>[calc] wacc_inputs J2-B</t>
  </si>
  <si>
    <t>Pre-tax Kd candidate: C. M-Bono 10y + Damodaran BBB+ synthetic spread 1.00pp</t>
  </si>
  <si>
    <t>[calc] wacc_inputs J2-C</t>
  </si>
  <si>
    <t>Pre-tax Kd candidate: Fallback: BIMBO 26 issue coupon (not a yield)</t>
  </si>
  <si>
    <t>[sourced] wacc_inputs J2</t>
  </si>
  <si>
    <t>Pre-tax cost of debt used (team decision)</t>
  </si>
  <si>
    <t>Evidence - Bimbo bonds outstanding and issuer rating (S&amp;P Capital IQ, 16-Oct-2026)</t>
  </si>
  <si>
    <t>Issuer rating: S&amp;P BBB+ (foreign currency long-term), outlook Negative; effective 2023-03-29, last reviewed 2026-05-13. data/capitaliq/capiq-ai-model-gaps-3_2026-10-17.md Task 3A</t>
  </si>
  <si>
    <t>Bond</t>
  </si>
  <si>
    <t>Currency</t>
  </si>
  <si>
    <t>Coupon</t>
  </si>
  <si>
    <t>Maturity</t>
  </si>
  <si>
    <t>Amount (m)</t>
  </si>
  <si>
    <t>Note</t>
  </si>
  <si>
    <t>BIMBO 17</t>
  </si>
  <si>
    <t>MXN</t>
  </si>
  <si>
    <t>fixed (rate not returned)</t>
  </si>
  <si>
    <t>not returned</t>
  </si>
  <si>
    <t>BIMBO 23L</t>
  </si>
  <si>
    <t>fixed, sustainability-linked (rate not returned)</t>
  </si>
  <si>
    <t>BIMBO 23-2L</t>
  </si>
  <si>
    <t>variable, sustainability-linked</t>
  </si>
  <si>
    <t>0.20% step-up after missing the 2025 emission-reduction target</t>
  </si>
  <si>
    <t>BIMBO 25</t>
  </si>
  <si>
    <t>2032-02-06</t>
  </si>
  <si>
    <t>fixed</t>
  </si>
  <si>
    <t>BIMBO 25-2</t>
  </si>
  <si>
    <t>TIIE 28D + 0.34%</t>
  </si>
  <si>
    <t>2028-02-11</t>
  </si>
  <si>
    <t>variable</t>
  </si>
  <si>
    <t>BIMBO 26</t>
  </si>
  <si>
    <t>2035-01-26</t>
  </si>
  <si>
    <t>fixed; its issue spread over the M-Bono anchors the 9.71% cost of debt</t>
  </si>
  <si>
    <t>BIMBO 26-2</t>
  </si>
  <si>
    <t>TIIE Fondeo + 0.45%</t>
  </si>
  <si>
    <t>2030-02-01</t>
  </si>
  <si>
    <t>6.98% gross coupon paid 16-Oct-2026</t>
  </si>
  <si>
    <t>Grupo Bimbo 2044 notes</t>
  </si>
  <si>
    <t>USD</t>
  </si>
  <si>
    <t>2044</t>
  </si>
  <si>
    <t>as issued</t>
  </si>
  <si>
    <t>Grupo Bimbo 2047 notes</t>
  </si>
  <si>
    <t>2047</t>
  </si>
  <si>
    <t>Grupo Bimbo 2049 notes</t>
  </si>
  <si>
    <t>2049</t>
  </si>
  <si>
    <t>Bimbo Bakeries USA 2051 (USP1666MAA14)</t>
  </si>
  <si>
    <t>2051</t>
  </si>
  <si>
    <t>Bimbo Bakeries USA 2034 (USP1666MAB96)</t>
  </si>
  <si>
    <t>2034</t>
  </si>
  <si>
    <t>Bimbo Bakeries USA 2029 (USP1666MAC79 / US09072FAC37)</t>
  </si>
  <si>
    <t>2029</t>
  </si>
  <si>
    <t>450 issued Nov-2023 + 450 reopened Jan-2024</t>
  </si>
  <si>
    <t>Bimbo Bakeries USA 2036 (US09072FAD10)</t>
  </si>
  <si>
    <t>2036</t>
  </si>
  <si>
    <t>data/capitaliq/capiq-ai-model-gaps-3_2026-10-17.md (amounts as issued; clean prices, yields, spreads, instrument ratings and USD coupons were not returned)</t>
  </si>
  <si>
    <t>STEP 5 - COST OF EQUITY AND WACC</t>
  </si>
  <si>
    <t>Relevered beta = beta_u x (1 + (1 - t) x D/E)</t>
  </si>
  <si>
    <t>Cost of equity = rf + beta_l x ERP + CRP + size</t>
  </si>
  <si>
    <t>E / (D + E)</t>
  </si>
  <si>
    <t>Cost of equity portion</t>
  </si>
  <si>
    <t>After-tax cost of debt</t>
  </si>
  <si>
    <t>D / (D + E)</t>
  </si>
  <si>
    <t>Cost of debt portion</t>
  </si>
  <si>
    <t>WACC</t>
  </si>
  <si>
    <t>WACC in valuation/valuation.yaml (engine input set)</t>
  </si>
  <si>
    <t>Check: workbook WACC = valuation.yaml WACC</t>
  </si>
  <si>
    <t>Differs only if the selectors or inputs on this sheet are changed from the valuation.yaml set.</t>
  </si>
  <si>
    <t>Sensitivity: cost of equity with the CRP scaled by beta = rf + beta_l x (ERP + CRP)</t>
  </si>
  <si>
    <t>Sensitivity: WACC with the beta-scaled CRP</t>
  </si>
  <si>
    <t>Damodaran's operations-weighted ERP approach multiplies the CRP by beta; the base keeps it additive.</t>
  </si>
  <si>
    <t>WACC SENSITIVITY ANALYSIS</t>
  </si>
  <si>
    <t>WACC: D/(D+E) (rows; beta relevered at each D/E) x pre-tax cost of debt (columns)</t>
  </si>
  <si>
    <t>WACC: unlevered beta (rows) x equity risk premium (columns), at the target D/E</t>
  </si>
  <si>
    <t>(1) Unlevered beta = levered beta / (1 + (1 - tax) x D/E). (2) Relevered beta = unlevered beta x (1 + (1 - tax) x D/E). Source data: valuation/inputs/wacc_inputs.yaml and the wiki (see Inputs_Sources).</t>
  </si>
  <si>
    <t>Inputs and sources</t>
  </si>
  <si>
    <t>[sourced] from a filing or public source; [guidance] management statement; [assumption] team or assistant judgment (proposal until the team confirms); [calc] computed; [unverified] not yet tied to a source.</t>
  </si>
  <si>
    <t>Item</t>
  </si>
  <si>
    <t>Tag</t>
  </si>
  <si>
    <t>As of</t>
  </si>
  <si>
    <t>Share price, BMV official close (PPP)</t>
  </si>
  <si>
    <t>sourced</t>
  </si>
  <si>
    <t>BMV 'Estadisticas de operacion' BIMBO serie A (https://www.bmv.com.mx/es/emisoras/estadisticas/BIMBO-5163): PPP 58.60, last 58.62, prior 57.97; investing.com / Yahoo agree (wacc_inputs A1)</t>
  </si>
  <si>
    <t>52-week high / low</t>
  </si>
  <si>
    <t>68.67 / 53.03</t>
  </si>
  <si>
    <t>CIQ corporate_issuance.csv (wacc_inputs A4-A5)</t>
  </si>
  <si>
    <t>2026-10-06</t>
  </si>
  <si>
    <t>Shares outstanding</t>
  </si>
  <si>
    <t>m</t>
  </si>
  <si>
    <t>BMV notice (wacc_inputs A8)</t>
  </si>
  <si>
    <t>2026-07-29</t>
  </si>
  <si>
    <t>Market capitalisation</t>
  </si>
  <si>
    <t>MXN m</t>
  </si>
  <si>
    <t>calc</t>
  </si>
  <si>
    <t>price x shares (wacc_inputs A9)</t>
  </si>
  <si>
    <t>M-Bono 10y</t>
  </si>
  <si>
    <t>%</t>
  </si>
  <si>
    <t>S&amp;P Capital IQ rates</t>
  </si>
  <si>
    <t>UST 10y</t>
  </si>
  <si>
    <t>Mexico 5y CDS</t>
  </si>
  <si>
    <t>S&amp;P Capital IQ CDS</t>
  </si>
  <si>
    <t>Damodaran implied ERP</t>
  </si>
  <si>
    <t>Damodaran home page</t>
  </si>
  <si>
    <t>2026-10-01</t>
  </si>
  <si>
    <t>Damodaran Mexico default spread / CRP</t>
  </si>
  <si>
    <t>1.75% / 2.72%</t>
  </si>
  <si>
    <t>Damodaran ctrypremJuly26.xlsx (July 2026 update; Mexico Baa3)</t>
  </si>
  <si>
    <t>2026-07-01</t>
  </si>
  <si>
    <t>Damodaran Food Processing unlevered beta, Global / US</t>
  </si>
  <si>
    <t>0.53 / 0.46</t>
  </si>
  <si>
    <t>x</t>
  </si>
  <si>
    <t>Damodaran betas; betaGlobal.xls 'Date updated' 5-Jan-2026 (https://pages.stern.nyu.edu/~adamodar/pc/datasets/betaGlobal.xls, retrieved 2026-10-17); BetasGlobal.html header 'January 2026', footer 'January 2025' stale</t>
  </si>
  <si>
    <t>2026-01-05</t>
  </si>
  <si>
    <t>Mexico real GDP growth 2029-31 / CPI inflation 2029-31</t>
  </si>
  <si>
    <t>2.1% / 3.0%</t>
  </si>
  <si>
    <t>IMF WEO October 2026, DataMapper NGDP_RPCH and PCPIPCH (https://www.imf.org/external/datamapper/api/v1/NGDP_RPCH/MEX, last modified 2026-10-08)</t>
  </si>
  <si>
    <t>2026-10-08</t>
  </si>
  <si>
    <t>Mexico real GDP growth, average next 10 years (2027-36), mean / median</t>
  </si>
  <si>
    <t>1.88% / 1.80%</t>
  </si>
  <si>
    <t>Banxico, Encuesta sobre las Expectativas de los Especialistas en Economia del Sector Privado: septiembre 2026 (published 1-Oct-2026), Cuadro 6 p.8</t>
  </si>
  <si>
    <t>Provisions incl. uncertain tax positions (UTP 8,692; tax 1,318; labour 512; civil 506; other 1)</t>
  </si>
  <si>
    <t>BMV 2Q26 XBRL p.59 (pasivos contingentes)</t>
  </si>
  <si>
    <t>2026-06-30</t>
  </si>
  <si>
    <t>Other long-term provisions line (provisions + MEPP + deferred compensation + other)</t>
  </si>
  <si>
    <t>BMV 2Q26 XBRL [210000] p.13 (12,999.0 at Dec-25)</t>
  </si>
  <si>
    <t>Derivative liabilities 978 + 2,658 less assets 785 + 988 (net 1,864)</t>
  </si>
  <si>
    <t>BMV 2Q26 XBRL p.64-65 (financial instruments by category)</t>
  </si>
  <si>
    <t>Lease payments / interest accrued 1H26</t>
  </si>
  <si>
    <t>3,948 / 1,042</t>
  </si>
  <si>
    <t>BMV 2Q26 XBRL p.100 (lease roll-forward)</t>
  </si>
  <si>
    <t>Bimbo published beta</t>
  </si>
  <si>
    <t>unverified</t>
  </si>
  <si>
    <t>investing.com (window not stated)</t>
  </si>
  <si>
    <t>BIMBO 23L yield</t>
  </si>
  <si>
    <t>LSEG export (pricing ~10-Oct)</t>
  </si>
  <si>
    <t>2026-10-10</t>
  </si>
  <si>
    <t>Debt / leases / cash, 31-Dec-2025</t>
  </si>
  <si>
    <t>153,663 / 34,790 / 8,535</t>
  </si>
  <si>
    <t>EEFF25 p.12 via data/financials.csv</t>
  </si>
  <si>
    <t>2025-12-31</t>
  </si>
  <si>
    <t>Debt / leases / cash, 30-Jun-2026</t>
  </si>
  <si>
    <t>153,660 / 33,361 / 16,563</t>
  </si>
  <si>
    <t>BMV Jun-26; CIQ</t>
  </si>
  <si>
    <t>Employee benefits line: retirement 2,130 + US welfare 3,272 + plan-asset gross-up 362 + LT bonuses 743</t>
  </si>
  <si>
    <t>EEFF25 p.75 note 18</t>
  </si>
  <si>
    <t>Other LT liabilities: provisions 10,684 (UTP 8,537; tax 1,196; labour 439; civil 511; other 1) + MEPP 985 + deferred compensation 1,060 + other 270</t>
  </si>
  <si>
    <t>EEFF25 p.79-80 note 19</t>
  </si>
  <si>
    <t>Net derivative liabilities (3,902 - 717)</t>
  </si>
  <si>
    <t>EEFF25 p.12 (data/adjustments.md)</t>
  </si>
  <si>
    <t>US self-insurance claims liability (in other payables and accruals: operating)</t>
  </si>
  <si>
    <t>EEFF25 p.36</t>
  </si>
  <si>
    <t>Investments in associates</t>
  </si>
  <si>
    <t>EEFF25 p.12</t>
  </si>
  <si>
    <t>NCI income 1H26 (annualised 1,814)</t>
  </si>
  <si>
    <t>CIQ quarterly: 1Q26 436 + 2Q26 471</t>
  </si>
  <si>
    <t>NCI income FY23 / FY24 / FY25; extraction via structured entities; NCI dividends</t>
  </si>
  <si>
    <t>1,445 / 1,499 / 1,813; 1,851 / 3,120 / 2,240; 91 / 109 / 135</t>
  </si>
  <si>
    <t>EEFF25 p.13, p.15</t>
  </si>
  <si>
    <t>2026 dividend paid (13-May)</t>
  </si>
  <si>
    <t>MXN/share</t>
  </si>
  <si>
    <t>wacc_inputs C1-C4</t>
  </si>
  <si>
    <t>2026-05-13</t>
  </si>
  <si>
    <t>Consensus DPS FY2027E (next 12 months)</t>
  </si>
  <si>
    <t>CIQ consensus (data/capitaliq/consensus.csv)</t>
  </si>
  <si>
    <t>2026-09-20</t>
  </si>
  <si>
    <t>Drivers: model/drivers.yaml (tag, rationale and pillar per driver). History: data/financials.csv (document and page per figure) and data/adjustments.md.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</si>
</sst>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%;\(0.00%\);&quot;-&quot;"/>
    <numFmt numFmtId="165" formatCode="0.0%;\(0.0%\);&quot;-&quot;"/>
    <numFmt numFmtId="166" formatCode="0.0000"/>
    <numFmt numFmtId="167" formatCode="0.000"/>
    <numFmt numFmtId="168" formatCode="#,##0;\(#,##0\);&quot;-&quot;"/>
    <numFmt numFmtId="169" formatCode="#,##0.0000"/>
  </numFmts>
  <fonts count="8" x14ac:knownFonts="1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i/>
      <sz val="10"/>
      <color rgb="FF595959"/>
      <name val="Calibri"/>
    </font>
    <font>
      <i/>
      <sz val="9"/>
      <color rgb="FF595959"/>
      <name val="Calibri"/>
    </font>
    <font>
      <b/>
      <sz val="10"/>
      <color rgb="FFFFFFFF"/>
      <name val="Calibri"/>
    </font>
    <font>
      <sz val="10"/>
      <name val="Calibri"/>
    </font>
    <font>
      <sz val="10"/>
      <color rgb="FF0000FF"/>
      <name val="Calibri"/>
    </font>
    <font>
      <b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5" fillId="0" borderId="0" xfId="0" applyFont="1"/>
    <xf numFmtId="1" fontId="6" fillId="3" borderId="0" xfId="0" applyNumberFormat="1" applyFont="1" applyFill="1"/>
    <xf numFmtId="164" fontId="6" fillId="3" borderId="0" xfId="0" applyNumberFormat="1" applyFont="1" applyFill="1"/>
    <xf numFmtId="164" fontId="5" fillId="0" borderId="0" xfId="0" applyNumberFormat="1" applyFont="1"/>
    <xf numFmtId="0" fontId="7" fillId="0" borderId="0" xfId="0" applyFont="1"/>
    <xf numFmtId="164" fontId="7" fillId="0" borderId="0" xfId="0" applyNumberFormat="1" applyFont="1"/>
    <xf numFmtId="165" fontId="6" fillId="3" borderId="0" xfId="0" applyNumberFormat="1" applyFont="1" applyFill="1"/>
    <xf numFmtId="0" fontId="7" fillId="4" borderId="0" xfId="0" applyFont="1" applyFill="1"/>
    <xf numFmtId="0" fontId="0" fillId="4" borderId="0" xfId="0" applyFill="1"/>
    <xf numFmtId="49" fontId="6" fillId="3" borderId="0" xfId="0" applyNumberFormat="1" applyFont="1" applyFill="1"/>
    <xf numFmtId="166" fontId="5" fillId="0" borderId="0" xfId="0" applyNumberFormat="1" applyFont="1"/>
    <xf numFmtId="1" fontId="5" fillId="0" borderId="0" xfId="0" applyNumberFormat="1" applyFont="1"/>
    <xf numFmtId="49" fontId="5" fillId="0" borderId="0" xfId="0" applyNumberFormat="1" applyFont="1"/>
    <xf numFmtId="2" fontId="6" fillId="3" borderId="0" xfId="0" applyNumberFormat="1" applyFont="1" applyFill="1"/>
    <xf numFmtId="167" fontId="6" fillId="3" borderId="0" xfId="0" applyNumberFormat="1" applyFont="1" applyFill="1"/>
    <xf numFmtId="168" fontId="6" fillId="3" borderId="0" xfId="0" applyNumberFormat="1" applyFont="1" applyFill="1"/>
    <xf numFmtId="167" fontId="5" fillId="0" borderId="0" xfId="0" applyNumberFormat="1" applyFont="1"/>
    <xf numFmtId="167" fontId="7" fillId="0" borderId="0" xfId="0" applyNumberFormat="1" applyFont="1"/>
    <xf numFmtId="165" fontId="5" fillId="0" borderId="0" xfId="0" applyNumberFormat="1" applyFont="1"/>
    <xf numFmtId="4" fontId="6" fillId="3" borderId="0" xfId="0" applyNumberFormat="1" applyFont="1" applyFill="1"/>
    <xf numFmtId="169" fontId="6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200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2" customWidth="1"/>
    <col min="2" max="2" width="58" customWidth="1"/>
    <col min="3" max="3" width="14" customWidth="1"/>
    <col min="4" max="4" width="3" customWidth="1"/>
    <col min="5" max="5" width="34" customWidth="1"/>
    <col min="6" max="6" width="16" customWidth="1"/>
    <col min="7" max="7" width="10" customWidth="1"/>
    <col min="8" max="8" width="11" customWidth="1"/>
    <col min="9" max="10" width="14" customWidth="1"/>
    <col min="11" max="13" width="11" customWidth="1"/>
    <col min="14" max="14" width="10" customWidth="1"/>
    <col min="15" max="15" width="60" customWidth="1"/>
  </cols>
  <sheetData>
    <row r="2" spans="2:15" ht="18.75" x14ac:dyDescent="0.3">
      <c r="B2" s="1" t="s">
        <v>0</v>
      </c>
    </row>
    <row r="3" spans="2:15" x14ac:dyDescent="0.25">
      <c r="B3" s="2" t="s">
        <v>1</v>
      </c>
    </row>
    <row r="4" spans="2:15" x14ac:dyDescent="0.25">
      <c r="B4" s="3" t="s">
        <v>2</v>
      </c>
    </row>
    <row r="6" spans="2:15" x14ac:dyDescent="0.25">
      <c r="B6" s="4" t="s">
        <v>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2:15" x14ac:dyDescent="0.25">
      <c r="B7" s="6" t="s">
        <v>4</v>
      </c>
      <c r="C7" s="7">
        <v>2</v>
      </c>
    </row>
    <row r="8" spans="2:15" x14ac:dyDescent="0.25">
      <c r="B8" s="6" t="s">
        <v>5</v>
      </c>
      <c r="C8" s="7">
        <v>3</v>
      </c>
    </row>
    <row r="9" spans="2:15" x14ac:dyDescent="0.25">
      <c r="B9" s="6" t="s">
        <v>6</v>
      </c>
      <c r="C9" s="7">
        <v>1</v>
      </c>
    </row>
    <row r="11" spans="2:15" x14ac:dyDescent="0.25">
      <c r="B11" s="4" t="s">
        <v>7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2:15" x14ac:dyDescent="0.25">
      <c r="B12" s="6" t="s">
        <v>8</v>
      </c>
      <c r="C12" s="8">
        <v>9.2600000000000002E-2</v>
      </c>
      <c r="E12" s="3" t="s">
        <v>9</v>
      </c>
    </row>
    <row r="13" spans="2:15" x14ac:dyDescent="0.25">
      <c r="B13" s="6" t="s">
        <v>10</v>
      </c>
      <c r="C13" s="8">
        <v>1.7498812238305829E-2</v>
      </c>
      <c r="E13" s="3" t="s">
        <v>11</v>
      </c>
    </row>
    <row r="14" spans="2:15" x14ac:dyDescent="0.25">
      <c r="B14" s="6" t="s">
        <v>12</v>
      </c>
      <c r="C14" s="9">
        <f>CHOOSE($C$9,$I$69,$J$69,$K$69,$L$69)</f>
        <v>2.0496339303808984E-2</v>
      </c>
      <c r="E14" s="3" t="s">
        <v>13</v>
      </c>
    </row>
    <row r="15" spans="2:15" x14ac:dyDescent="0.25">
      <c r="B15" s="6" t="s">
        <v>14</v>
      </c>
      <c r="C15" s="8">
        <v>0</v>
      </c>
      <c r="E15" s="3" t="s">
        <v>15</v>
      </c>
    </row>
    <row r="16" spans="2:15" x14ac:dyDescent="0.25">
      <c r="B16" s="6" t="s">
        <v>16</v>
      </c>
      <c r="C16" s="9">
        <f>$C$12-$C$13</f>
        <v>7.5101187761694166E-2</v>
      </c>
    </row>
    <row r="17" spans="2:15" x14ac:dyDescent="0.25">
      <c r="B17" s="10" t="s">
        <v>17</v>
      </c>
      <c r="C17" s="11">
        <f>IF($C$7=1,$C$12,$C$16)</f>
        <v>7.5101187761694166E-2</v>
      </c>
    </row>
    <row r="18" spans="2:15" x14ac:dyDescent="0.25">
      <c r="B18" s="10" t="s">
        <v>18</v>
      </c>
      <c r="C18" s="11">
        <f>IF($C$7=1,0,$C$14)</f>
        <v>2.0496339303808984E-2</v>
      </c>
    </row>
    <row r="19" spans="2:15" x14ac:dyDescent="0.25">
      <c r="B19" s="6" t="s">
        <v>19</v>
      </c>
      <c r="C19" s="8">
        <v>4.2000000000000003E-2</v>
      </c>
      <c r="E19" s="3" t="s">
        <v>20</v>
      </c>
    </row>
    <row r="20" spans="2:15" x14ac:dyDescent="0.25">
      <c r="B20" s="6" t="s">
        <v>21</v>
      </c>
      <c r="C20" s="12">
        <v>0.3</v>
      </c>
      <c r="E20" s="3" t="s">
        <v>22</v>
      </c>
    </row>
    <row r="22" spans="2:15" x14ac:dyDescent="0.25">
      <c r="B22" s="13" t="s">
        <v>23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2:15" x14ac:dyDescent="0.25">
      <c r="E23" s="10" t="s">
        <v>24</v>
      </c>
      <c r="F23" s="10" t="s">
        <v>25</v>
      </c>
      <c r="G23" s="10" t="s">
        <v>26</v>
      </c>
      <c r="H23" s="10" t="s">
        <v>27</v>
      </c>
      <c r="I23" s="10" t="s">
        <v>28</v>
      </c>
      <c r="J23" s="10" t="s">
        <v>29</v>
      </c>
      <c r="K23" s="10" t="s">
        <v>30</v>
      </c>
      <c r="L23" s="10" t="s">
        <v>31</v>
      </c>
      <c r="M23" s="10" t="s">
        <v>32</v>
      </c>
      <c r="O23" s="10" t="s">
        <v>33</v>
      </c>
    </row>
    <row r="24" spans="2:15" x14ac:dyDescent="0.25">
      <c r="E24" s="6" t="s">
        <v>34</v>
      </c>
      <c r="F24" s="6"/>
      <c r="G24" s="6" t="s">
        <v>35</v>
      </c>
      <c r="H24" s="7">
        <v>60</v>
      </c>
      <c r="I24" s="6" t="s">
        <v>36</v>
      </c>
      <c r="J24" s="8">
        <v>2.1863536781947081E-3</v>
      </c>
      <c r="K24" s="8">
        <v>2.1863536781947081E-3</v>
      </c>
      <c r="L24" s="15" t="s">
        <v>37</v>
      </c>
      <c r="M24" s="16">
        <f t="shared" ref="M24:M62" si="0">IF(L24="yes",H24*K24,0)</f>
        <v>0.13118122069168248</v>
      </c>
      <c r="O24" s="3" t="s">
        <v>38</v>
      </c>
    </row>
    <row r="25" spans="2:15" x14ac:dyDescent="0.25">
      <c r="E25" s="6" t="s">
        <v>34</v>
      </c>
      <c r="F25" s="6"/>
      <c r="G25" s="6" t="s">
        <v>39</v>
      </c>
      <c r="H25" s="7">
        <v>17</v>
      </c>
      <c r="I25" s="6" t="s">
        <v>40</v>
      </c>
      <c r="J25" s="8">
        <v>0</v>
      </c>
      <c r="K25" s="8">
        <v>0</v>
      </c>
      <c r="L25" s="15" t="s">
        <v>37</v>
      </c>
      <c r="M25" s="16">
        <f t="shared" si="0"/>
        <v>0</v>
      </c>
      <c r="O25" s="3" t="s">
        <v>41</v>
      </c>
    </row>
    <row r="26" spans="2:15" x14ac:dyDescent="0.25">
      <c r="E26" s="6" t="s">
        <v>42</v>
      </c>
      <c r="F26" s="6"/>
      <c r="G26" s="6" t="s">
        <v>42</v>
      </c>
      <c r="H26" s="7">
        <v>38</v>
      </c>
      <c r="I26" s="6" t="s">
        <v>43</v>
      </c>
      <c r="J26" s="8">
        <v>1.7498812238305829E-2</v>
      </c>
      <c r="K26" s="8">
        <v>2.7201825339291621E-2</v>
      </c>
      <c r="L26" s="15" t="s">
        <v>37</v>
      </c>
      <c r="M26" s="16">
        <f t="shared" si="0"/>
        <v>1.0336693628930815</v>
      </c>
      <c r="O26" s="3" t="s">
        <v>44</v>
      </c>
    </row>
    <row r="27" spans="2:15" x14ac:dyDescent="0.25">
      <c r="E27" s="6" t="s">
        <v>45</v>
      </c>
      <c r="F27" s="6" t="s">
        <v>46</v>
      </c>
      <c r="G27" s="6" t="s">
        <v>47</v>
      </c>
      <c r="H27" s="7">
        <v>10</v>
      </c>
      <c r="I27" s="6" t="s">
        <v>48</v>
      </c>
      <c r="J27" s="8">
        <v>9.5448066754395405E-3</v>
      </c>
      <c r="K27" s="8">
        <v>1.4837359275977241E-2</v>
      </c>
      <c r="L27" s="15" t="s">
        <v>37</v>
      </c>
      <c r="M27" s="16">
        <f t="shared" si="0"/>
        <v>0.14837359275977241</v>
      </c>
      <c r="O27" s="3" t="s">
        <v>49</v>
      </c>
    </row>
    <row r="28" spans="2:15" x14ac:dyDescent="0.25">
      <c r="E28" s="6" t="s">
        <v>45</v>
      </c>
      <c r="F28" s="6" t="s">
        <v>46</v>
      </c>
      <c r="G28" s="6" t="s">
        <v>50</v>
      </c>
      <c r="H28" s="7">
        <v>2</v>
      </c>
      <c r="I28" s="6" t="s">
        <v>48</v>
      </c>
      <c r="J28" s="8">
        <v>9.5448066754395405E-3</v>
      </c>
      <c r="K28" s="8">
        <v>1.4837359275977241E-2</v>
      </c>
      <c r="L28" s="15" t="s">
        <v>37</v>
      </c>
      <c r="M28" s="16">
        <f t="shared" si="0"/>
        <v>2.9674718551954481E-2</v>
      </c>
      <c r="O28" s="3" t="s">
        <v>49</v>
      </c>
    </row>
    <row r="29" spans="2:15" x14ac:dyDescent="0.25">
      <c r="E29" s="6" t="s">
        <v>45</v>
      </c>
      <c r="F29" s="6" t="s">
        <v>46</v>
      </c>
      <c r="G29" s="6" t="s">
        <v>51</v>
      </c>
      <c r="H29" s="7">
        <v>4</v>
      </c>
      <c r="I29" s="6" t="s">
        <v>52</v>
      </c>
      <c r="J29" s="8">
        <v>4.7724033377197703E-3</v>
      </c>
      <c r="K29" s="8">
        <v>7.4186796379886212E-3</v>
      </c>
      <c r="L29" s="15" t="s">
        <v>37</v>
      </c>
      <c r="M29" s="16">
        <f t="shared" si="0"/>
        <v>2.9674718551954485E-2</v>
      </c>
      <c r="O29" s="3" t="s">
        <v>49</v>
      </c>
    </row>
    <row r="30" spans="2:15" x14ac:dyDescent="0.25">
      <c r="E30" s="6" t="s">
        <v>45</v>
      </c>
      <c r="F30" s="6" t="s">
        <v>46</v>
      </c>
      <c r="G30" s="6" t="s">
        <v>53</v>
      </c>
      <c r="H30" s="7">
        <v>2</v>
      </c>
      <c r="I30" s="6" t="s">
        <v>54</v>
      </c>
      <c r="J30" s="8">
        <v>1.51593988374628E-2</v>
      </c>
      <c r="K30" s="8">
        <v>2.356521767361092E-2</v>
      </c>
      <c r="L30" s="15" t="s">
        <v>37</v>
      </c>
      <c r="M30" s="16">
        <f t="shared" si="0"/>
        <v>4.713043534722184E-2</v>
      </c>
      <c r="O30" s="3" t="s">
        <v>49</v>
      </c>
    </row>
    <row r="31" spans="2:15" x14ac:dyDescent="0.25">
      <c r="E31" s="6" t="s">
        <v>45</v>
      </c>
      <c r="F31" s="6" t="s">
        <v>46</v>
      </c>
      <c r="G31" s="6" t="s">
        <v>55</v>
      </c>
      <c r="H31" s="7">
        <v>1</v>
      </c>
      <c r="I31" s="6" t="s">
        <v>56</v>
      </c>
      <c r="J31" s="8">
        <v>9.5541643290429135E-2</v>
      </c>
      <c r="K31" s="8">
        <v>0.1485190570663997</v>
      </c>
      <c r="L31" s="15" t="s">
        <v>37</v>
      </c>
      <c r="M31" s="16">
        <f t="shared" si="0"/>
        <v>0.1485190570663997</v>
      </c>
      <c r="O31" s="3" t="s">
        <v>57</v>
      </c>
    </row>
    <row r="32" spans="2:15" x14ac:dyDescent="0.25">
      <c r="E32" s="6" t="s">
        <v>45</v>
      </c>
      <c r="F32" s="6" t="s">
        <v>46</v>
      </c>
      <c r="G32" s="6" t="s">
        <v>58</v>
      </c>
      <c r="H32" s="7">
        <v>2</v>
      </c>
      <c r="I32" s="6" t="s">
        <v>52</v>
      </c>
      <c r="J32" s="8">
        <v>4.7724033377197703E-3</v>
      </c>
      <c r="K32" s="8">
        <v>7.4186796379886212E-3</v>
      </c>
      <c r="L32" s="15" t="s">
        <v>37</v>
      </c>
      <c r="M32" s="16">
        <f t="shared" si="0"/>
        <v>1.4837359275977242E-2</v>
      </c>
      <c r="O32" s="3" t="s">
        <v>49</v>
      </c>
    </row>
    <row r="33" spans="5:15" x14ac:dyDescent="0.25">
      <c r="E33" s="6" t="s">
        <v>45</v>
      </c>
      <c r="F33" s="6" t="s">
        <v>46</v>
      </c>
      <c r="G33" s="6" t="s">
        <v>59</v>
      </c>
      <c r="H33" s="7">
        <v>1</v>
      </c>
      <c r="I33" s="6" t="s">
        <v>60</v>
      </c>
      <c r="J33" s="8">
        <v>2.8634420026318622E-2</v>
      </c>
      <c r="K33" s="8">
        <v>4.4512077827931727E-2</v>
      </c>
      <c r="L33" s="15" t="s">
        <v>37</v>
      </c>
      <c r="M33" s="16">
        <f t="shared" si="0"/>
        <v>4.4512077827931727E-2</v>
      </c>
      <c r="O33" s="3" t="s">
        <v>61</v>
      </c>
    </row>
    <row r="34" spans="5:15" x14ac:dyDescent="0.25">
      <c r="E34" s="6" t="s">
        <v>45</v>
      </c>
      <c r="F34" s="6" t="s">
        <v>46</v>
      </c>
      <c r="G34" s="6" t="s">
        <v>62</v>
      </c>
      <c r="H34" s="7">
        <v>1</v>
      </c>
      <c r="I34" s="6" t="s">
        <v>40</v>
      </c>
      <c r="J34" s="8">
        <v>0</v>
      </c>
      <c r="K34" s="8">
        <v>0</v>
      </c>
      <c r="L34" s="15" t="s">
        <v>37</v>
      </c>
      <c r="M34" s="16">
        <f t="shared" si="0"/>
        <v>0</v>
      </c>
      <c r="O34" s="3" t="s">
        <v>49</v>
      </c>
    </row>
    <row r="35" spans="5:15" x14ac:dyDescent="0.25">
      <c r="E35" s="6" t="s">
        <v>45</v>
      </c>
      <c r="F35" s="6" t="s">
        <v>46</v>
      </c>
      <c r="G35" s="6" t="s">
        <v>63</v>
      </c>
      <c r="H35" s="7">
        <v>1</v>
      </c>
      <c r="I35" s="6" t="s">
        <v>64</v>
      </c>
      <c r="J35" s="8">
        <v>2.395559322463257E-2</v>
      </c>
      <c r="K35" s="8">
        <v>3.7238862496570331E-2</v>
      </c>
      <c r="L35" s="15" t="s">
        <v>37</v>
      </c>
      <c r="M35" s="16">
        <f t="shared" si="0"/>
        <v>3.7238862496570331E-2</v>
      </c>
      <c r="O35" s="3" t="s">
        <v>65</v>
      </c>
    </row>
    <row r="36" spans="5:15" x14ac:dyDescent="0.25">
      <c r="E36" s="6" t="s">
        <v>45</v>
      </c>
      <c r="F36" s="6" t="s">
        <v>46</v>
      </c>
      <c r="G36" s="6" t="s">
        <v>66</v>
      </c>
      <c r="H36" s="7">
        <v>15</v>
      </c>
      <c r="I36" s="6" t="s">
        <v>43</v>
      </c>
      <c r="J36" s="8">
        <v>1.7498812238305829E-2</v>
      </c>
      <c r="K36" s="8">
        <v>2.7201825339291621E-2</v>
      </c>
      <c r="L36" s="15" t="s">
        <v>37</v>
      </c>
      <c r="M36" s="16">
        <f t="shared" si="0"/>
        <v>0.40802738008937434</v>
      </c>
      <c r="O36" s="3" t="s">
        <v>67</v>
      </c>
    </row>
    <row r="37" spans="5:15" x14ac:dyDescent="0.25">
      <c r="E37" s="6" t="s">
        <v>45</v>
      </c>
      <c r="F37" s="6" t="s">
        <v>46</v>
      </c>
      <c r="G37" s="6" t="s">
        <v>68</v>
      </c>
      <c r="H37" s="7">
        <v>3</v>
      </c>
      <c r="I37" s="6" t="s">
        <v>69</v>
      </c>
      <c r="J37" s="8">
        <v>6.7375105944279109E-3</v>
      </c>
      <c r="K37" s="8">
        <v>1.0473430077160411E-2</v>
      </c>
      <c r="L37" s="15" t="s">
        <v>37</v>
      </c>
      <c r="M37" s="16">
        <f t="shared" si="0"/>
        <v>3.1420290231481234E-2</v>
      </c>
      <c r="O37" s="3" t="s">
        <v>70</v>
      </c>
    </row>
    <row r="38" spans="5:15" x14ac:dyDescent="0.25">
      <c r="E38" s="6" t="s">
        <v>45</v>
      </c>
      <c r="F38" s="6" t="s">
        <v>46</v>
      </c>
      <c r="G38" s="6" t="s">
        <v>71</v>
      </c>
      <c r="H38" s="7">
        <v>17</v>
      </c>
      <c r="I38" s="6" t="s">
        <v>72</v>
      </c>
      <c r="J38" s="8">
        <v>2.3955593224632581E-2</v>
      </c>
      <c r="K38" s="8">
        <v>3.7238862496570338E-2</v>
      </c>
      <c r="L38" s="15" t="s">
        <v>37</v>
      </c>
      <c r="M38" s="16">
        <f t="shared" si="0"/>
        <v>0.63306066244169579</v>
      </c>
      <c r="O38" s="3" t="s">
        <v>70</v>
      </c>
    </row>
    <row r="39" spans="5:15" x14ac:dyDescent="0.25">
      <c r="E39" s="6" t="s">
        <v>45</v>
      </c>
      <c r="F39" s="6" t="s">
        <v>46</v>
      </c>
      <c r="G39" s="6" t="s">
        <v>73</v>
      </c>
      <c r="H39" s="7">
        <v>1</v>
      </c>
      <c r="I39" s="6" t="s">
        <v>60</v>
      </c>
      <c r="J39" s="8">
        <v>2.8634420026318622E-2</v>
      </c>
      <c r="K39" s="8">
        <v>4.4512077827931727E-2</v>
      </c>
      <c r="L39" s="15" t="s">
        <v>37</v>
      </c>
      <c r="M39" s="16">
        <f t="shared" si="0"/>
        <v>4.4512077827931727E-2</v>
      </c>
      <c r="O39" s="3" t="s">
        <v>49</v>
      </c>
    </row>
    <row r="40" spans="5:15" x14ac:dyDescent="0.25">
      <c r="E40" s="6" t="s">
        <v>45</v>
      </c>
      <c r="F40" s="6" t="s">
        <v>46</v>
      </c>
      <c r="G40" s="6" t="s">
        <v>74</v>
      </c>
      <c r="H40" s="7">
        <v>1</v>
      </c>
      <c r="I40" s="6" t="s">
        <v>48</v>
      </c>
      <c r="J40" s="8">
        <v>9.5448066754395405E-3</v>
      </c>
      <c r="K40" s="8">
        <v>1.4837359275977241E-2</v>
      </c>
      <c r="L40" s="15" t="s">
        <v>37</v>
      </c>
      <c r="M40" s="16">
        <f t="shared" si="0"/>
        <v>1.4837359275977241E-2</v>
      </c>
      <c r="O40" s="3" t="s">
        <v>49</v>
      </c>
    </row>
    <row r="41" spans="5:15" x14ac:dyDescent="0.25">
      <c r="E41" s="6" t="s">
        <v>45</v>
      </c>
      <c r="F41" s="6" t="s">
        <v>75</v>
      </c>
      <c r="G41" s="6" t="s">
        <v>76</v>
      </c>
      <c r="H41" s="7">
        <v>10</v>
      </c>
      <c r="I41" s="6" t="s">
        <v>77</v>
      </c>
      <c r="J41" s="8">
        <v>5.614592162023261E-3</v>
      </c>
      <c r="K41" s="8">
        <v>8.727858397633674E-3</v>
      </c>
      <c r="L41" s="15" t="s">
        <v>37</v>
      </c>
      <c r="M41" s="16">
        <f t="shared" si="0"/>
        <v>8.727858397633674E-2</v>
      </c>
      <c r="O41" s="3" t="s">
        <v>78</v>
      </c>
    </row>
    <row r="42" spans="5:15" x14ac:dyDescent="0.25">
      <c r="E42" s="6" t="s">
        <v>45</v>
      </c>
      <c r="F42" s="6" t="s">
        <v>75</v>
      </c>
      <c r="G42" s="6" t="s">
        <v>79</v>
      </c>
      <c r="H42" s="7">
        <v>14</v>
      </c>
      <c r="I42" s="6" t="s">
        <v>43</v>
      </c>
      <c r="J42" s="8">
        <v>1.7498812238305829E-2</v>
      </c>
      <c r="K42" s="8">
        <v>2.7201825339291621E-2</v>
      </c>
      <c r="L42" s="15" t="s">
        <v>37</v>
      </c>
      <c r="M42" s="16">
        <f t="shared" si="0"/>
        <v>0.38082555475008273</v>
      </c>
      <c r="O42" s="3" t="s">
        <v>78</v>
      </c>
    </row>
    <row r="43" spans="5:15" x14ac:dyDescent="0.25">
      <c r="E43" s="6" t="s">
        <v>45</v>
      </c>
      <c r="F43" s="6" t="s">
        <v>75</v>
      </c>
      <c r="G43" s="6" t="s">
        <v>80</v>
      </c>
      <c r="H43" s="7">
        <v>1</v>
      </c>
      <c r="I43" s="6" t="s">
        <v>81</v>
      </c>
      <c r="J43" s="8">
        <v>3.9302145134162813E-3</v>
      </c>
      <c r="K43" s="8">
        <v>6.1095008783435701E-3</v>
      </c>
      <c r="L43" s="15" t="s">
        <v>37</v>
      </c>
      <c r="M43" s="16">
        <f t="shared" si="0"/>
        <v>6.1095008783435701E-3</v>
      </c>
      <c r="O43" s="3" t="s">
        <v>82</v>
      </c>
    </row>
    <row r="44" spans="5:15" x14ac:dyDescent="0.25">
      <c r="E44" s="6" t="s">
        <v>45</v>
      </c>
      <c r="F44" s="6" t="s">
        <v>75</v>
      </c>
      <c r="G44" s="6" t="s">
        <v>83</v>
      </c>
      <c r="H44" s="7">
        <v>1</v>
      </c>
      <c r="I44" s="6" t="s">
        <v>84</v>
      </c>
      <c r="J44" s="8">
        <v>1.272640890058605E-2</v>
      </c>
      <c r="K44" s="8">
        <v>1.978314570130299E-2</v>
      </c>
      <c r="L44" s="15" t="s">
        <v>37</v>
      </c>
      <c r="M44" s="16">
        <f t="shared" si="0"/>
        <v>1.978314570130299E-2</v>
      </c>
      <c r="O44" s="3" t="s">
        <v>78</v>
      </c>
    </row>
    <row r="45" spans="5:15" x14ac:dyDescent="0.25">
      <c r="E45" s="6" t="s">
        <v>45</v>
      </c>
      <c r="F45" s="6" t="s">
        <v>85</v>
      </c>
      <c r="G45" s="6" t="s">
        <v>86</v>
      </c>
      <c r="H45" s="7">
        <v>2</v>
      </c>
      <c r="I45" s="6" t="s">
        <v>72</v>
      </c>
      <c r="J45" s="8">
        <v>2.3955593224632581E-2</v>
      </c>
      <c r="K45" s="8">
        <v>3.7238862496570338E-2</v>
      </c>
      <c r="L45" s="15" t="s">
        <v>37</v>
      </c>
      <c r="M45" s="16">
        <f t="shared" si="0"/>
        <v>7.4477724993140676E-2</v>
      </c>
      <c r="O45" s="3" t="s">
        <v>87</v>
      </c>
    </row>
    <row r="46" spans="5:15" x14ac:dyDescent="0.25">
      <c r="E46" s="6" t="s">
        <v>45</v>
      </c>
      <c r="F46" s="6" t="s">
        <v>85</v>
      </c>
      <c r="G46" s="6" t="s">
        <v>88</v>
      </c>
      <c r="H46" s="7">
        <v>1</v>
      </c>
      <c r="I46" s="6" t="s">
        <v>89</v>
      </c>
      <c r="J46" s="8">
        <v>1.9931802175182579E-2</v>
      </c>
      <c r="K46" s="8">
        <v>3.0983897311599541E-2</v>
      </c>
      <c r="L46" s="15" t="s">
        <v>37</v>
      </c>
      <c r="M46" s="16">
        <f t="shared" si="0"/>
        <v>3.0983897311599541E-2</v>
      </c>
      <c r="O46" s="3" t="s">
        <v>90</v>
      </c>
    </row>
    <row r="47" spans="5:15" x14ac:dyDescent="0.25">
      <c r="E47" s="6" t="s">
        <v>45</v>
      </c>
      <c r="F47" s="6" t="s">
        <v>85</v>
      </c>
      <c r="G47" s="6" t="s">
        <v>91</v>
      </c>
      <c r="H47" s="7">
        <v>2</v>
      </c>
      <c r="I47" s="6" t="s">
        <v>92</v>
      </c>
      <c r="J47" s="8">
        <v>5.970182998951399E-2</v>
      </c>
      <c r="K47" s="8">
        <v>9.2806227628171381E-2</v>
      </c>
      <c r="L47" s="15" t="s">
        <v>37</v>
      </c>
      <c r="M47" s="16">
        <f t="shared" si="0"/>
        <v>0.18561245525634276</v>
      </c>
      <c r="O47" s="3" t="s">
        <v>87</v>
      </c>
    </row>
    <row r="48" spans="5:15" x14ac:dyDescent="0.25">
      <c r="E48" s="6" t="s">
        <v>93</v>
      </c>
      <c r="F48" s="6" t="s">
        <v>94</v>
      </c>
      <c r="G48" s="6" t="s">
        <v>95</v>
      </c>
      <c r="H48" s="7">
        <v>4</v>
      </c>
      <c r="I48" s="6" t="s">
        <v>92</v>
      </c>
      <c r="J48" s="8">
        <v>5.970182998951399E-2</v>
      </c>
      <c r="K48" s="8">
        <v>9.2806227628171381E-2</v>
      </c>
      <c r="L48" s="15" t="s">
        <v>37</v>
      </c>
      <c r="M48" s="16">
        <f t="shared" si="0"/>
        <v>0.37122491051268552</v>
      </c>
      <c r="O48" s="3" t="s">
        <v>96</v>
      </c>
    </row>
    <row r="49" spans="5:15" x14ac:dyDescent="0.25">
      <c r="E49" s="6" t="s">
        <v>93</v>
      </c>
      <c r="F49" s="6" t="s">
        <v>94</v>
      </c>
      <c r="G49" s="6" t="s">
        <v>97</v>
      </c>
      <c r="H49" s="7">
        <v>14</v>
      </c>
      <c r="I49" s="6" t="s">
        <v>89</v>
      </c>
      <c r="J49" s="8">
        <v>1.9931802175182579E-2</v>
      </c>
      <c r="K49" s="8">
        <v>3.0983897311599541E-2</v>
      </c>
      <c r="L49" s="15" t="s">
        <v>37</v>
      </c>
      <c r="M49" s="16">
        <f t="shared" si="0"/>
        <v>0.43377456236239359</v>
      </c>
      <c r="O49" s="3" t="s">
        <v>98</v>
      </c>
    </row>
    <row r="50" spans="5:15" x14ac:dyDescent="0.25">
      <c r="E50" s="6" t="s">
        <v>93</v>
      </c>
      <c r="F50" s="6" t="s">
        <v>94</v>
      </c>
      <c r="G50" s="6" t="s">
        <v>99</v>
      </c>
      <c r="H50" s="7">
        <v>1</v>
      </c>
      <c r="I50" s="6" t="s">
        <v>84</v>
      </c>
      <c r="J50" s="8">
        <v>1.272640890058605E-2</v>
      </c>
      <c r="K50" s="8">
        <v>1.978314570130299E-2</v>
      </c>
      <c r="L50" s="15" t="s">
        <v>37</v>
      </c>
      <c r="M50" s="16">
        <f t="shared" si="0"/>
        <v>1.978314570130299E-2</v>
      </c>
      <c r="O50" s="3" t="s">
        <v>98</v>
      </c>
    </row>
    <row r="51" spans="5:15" x14ac:dyDescent="0.25">
      <c r="E51" s="6" t="s">
        <v>93</v>
      </c>
      <c r="F51" s="6" t="s">
        <v>94</v>
      </c>
      <c r="G51" s="6" t="s">
        <v>100</v>
      </c>
      <c r="H51" s="7">
        <v>1</v>
      </c>
      <c r="I51" s="6" t="s">
        <v>89</v>
      </c>
      <c r="J51" s="8">
        <v>1.9931802175182579E-2</v>
      </c>
      <c r="K51" s="8">
        <v>3.0983897311599541E-2</v>
      </c>
      <c r="L51" s="15" t="s">
        <v>37</v>
      </c>
      <c r="M51" s="16">
        <f t="shared" si="0"/>
        <v>3.0983897311599541E-2</v>
      </c>
      <c r="O51" s="3" t="s">
        <v>98</v>
      </c>
    </row>
    <row r="52" spans="5:15" x14ac:dyDescent="0.25">
      <c r="E52" s="6" t="s">
        <v>93</v>
      </c>
      <c r="F52" s="6" t="s">
        <v>94</v>
      </c>
      <c r="G52" s="6" t="s">
        <v>101</v>
      </c>
      <c r="H52" s="7">
        <v>2</v>
      </c>
      <c r="I52" s="6" t="s">
        <v>84</v>
      </c>
      <c r="J52" s="8">
        <v>1.272640890058605E-2</v>
      </c>
      <c r="K52" s="8">
        <v>1.978314570130299E-2</v>
      </c>
      <c r="L52" s="15" t="s">
        <v>37</v>
      </c>
      <c r="M52" s="16">
        <f t="shared" si="0"/>
        <v>3.956629140260598E-2</v>
      </c>
      <c r="O52" s="3" t="s">
        <v>98</v>
      </c>
    </row>
    <row r="53" spans="5:15" x14ac:dyDescent="0.25">
      <c r="E53" s="6" t="s">
        <v>93</v>
      </c>
      <c r="F53" s="6" t="s">
        <v>94</v>
      </c>
      <c r="G53" s="6" t="s">
        <v>102</v>
      </c>
      <c r="H53" s="7">
        <v>4</v>
      </c>
      <c r="I53" s="6" t="s">
        <v>69</v>
      </c>
      <c r="J53" s="8">
        <v>6.7375105944279109E-3</v>
      </c>
      <c r="K53" s="8">
        <v>1.0473430077160411E-2</v>
      </c>
      <c r="L53" s="15" t="s">
        <v>37</v>
      </c>
      <c r="M53" s="16">
        <f t="shared" si="0"/>
        <v>4.1893720308641642E-2</v>
      </c>
      <c r="O53" s="3" t="s">
        <v>98</v>
      </c>
    </row>
    <row r="54" spans="5:15" x14ac:dyDescent="0.25">
      <c r="E54" s="6" t="s">
        <v>93</v>
      </c>
      <c r="F54" s="6" t="s">
        <v>103</v>
      </c>
      <c r="G54" s="6" t="s">
        <v>104</v>
      </c>
      <c r="H54" s="7">
        <v>1</v>
      </c>
      <c r="I54" s="6" t="s">
        <v>89</v>
      </c>
      <c r="J54" s="8">
        <v>1.9931802175182579E-2</v>
      </c>
      <c r="K54" s="8">
        <v>3.0983897311599541E-2</v>
      </c>
      <c r="L54" s="15" t="s">
        <v>37</v>
      </c>
      <c r="M54" s="16">
        <f t="shared" si="0"/>
        <v>3.0983897311599541E-2</v>
      </c>
      <c r="O54" s="3" t="s">
        <v>105</v>
      </c>
    </row>
    <row r="55" spans="5:15" x14ac:dyDescent="0.25">
      <c r="E55" s="6" t="s">
        <v>93</v>
      </c>
      <c r="F55" s="6" t="s">
        <v>103</v>
      </c>
      <c r="G55" s="6" t="s">
        <v>106</v>
      </c>
      <c r="H55" s="7">
        <v>1</v>
      </c>
      <c r="I55" s="6" t="s">
        <v>107</v>
      </c>
      <c r="J55" s="8">
        <v>5.1747824426647708E-2</v>
      </c>
      <c r="K55" s="8">
        <v>8.0441761564857009E-2</v>
      </c>
      <c r="L55" s="15" t="s">
        <v>37</v>
      </c>
      <c r="M55" s="16">
        <f t="shared" si="0"/>
        <v>8.0441761564857009E-2</v>
      </c>
      <c r="O55" s="3" t="s">
        <v>105</v>
      </c>
    </row>
    <row r="56" spans="5:15" x14ac:dyDescent="0.25">
      <c r="E56" s="6" t="s">
        <v>93</v>
      </c>
      <c r="F56" s="6" t="s">
        <v>103</v>
      </c>
      <c r="G56" s="6" t="s">
        <v>108</v>
      </c>
      <c r="H56" s="7">
        <v>1</v>
      </c>
      <c r="I56" s="6" t="s">
        <v>109</v>
      </c>
      <c r="J56" s="8">
        <v>3.5839813300915138E-2</v>
      </c>
      <c r="K56" s="8">
        <v>5.5712829438228272E-2</v>
      </c>
      <c r="L56" s="15" t="s">
        <v>37</v>
      </c>
      <c r="M56" s="16">
        <f t="shared" si="0"/>
        <v>5.5712829438228272E-2</v>
      </c>
      <c r="O56" s="3" t="s">
        <v>105</v>
      </c>
    </row>
    <row r="57" spans="5:15" x14ac:dyDescent="0.25">
      <c r="E57" s="6" t="s">
        <v>93</v>
      </c>
      <c r="F57" s="6" t="s">
        <v>103</v>
      </c>
      <c r="G57" s="6" t="s">
        <v>110</v>
      </c>
      <c r="H57" s="7">
        <v>0</v>
      </c>
      <c r="I57" s="6" t="s">
        <v>111</v>
      </c>
      <c r="J57" s="8">
        <v>4.379381886378142E-2</v>
      </c>
      <c r="K57" s="8">
        <v>6.8077295501542637E-2</v>
      </c>
      <c r="L57" s="15" t="s">
        <v>37</v>
      </c>
      <c r="M57" s="16">
        <f t="shared" si="0"/>
        <v>0</v>
      </c>
      <c r="O57" s="3" t="s">
        <v>112</v>
      </c>
    </row>
    <row r="58" spans="5:15" x14ac:dyDescent="0.25">
      <c r="E58" s="6" t="s">
        <v>93</v>
      </c>
      <c r="F58" s="6" t="s">
        <v>103</v>
      </c>
      <c r="G58" s="6" t="s">
        <v>113</v>
      </c>
      <c r="H58" s="7">
        <v>3</v>
      </c>
      <c r="I58" s="6" t="s">
        <v>60</v>
      </c>
      <c r="J58" s="8">
        <v>2.8634420026318622E-2</v>
      </c>
      <c r="K58" s="8">
        <v>4.4512077827931727E-2</v>
      </c>
      <c r="L58" s="15" t="s">
        <v>37</v>
      </c>
      <c r="M58" s="16">
        <f t="shared" si="0"/>
        <v>0.13353623348379517</v>
      </c>
      <c r="O58" s="3" t="s">
        <v>105</v>
      </c>
    </row>
    <row r="59" spans="5:15" x14ac:dyDescent="0.25">
      <c r="E59" s="6" t="s">
        <v>93</v>
      </c>
      <c r="F59" s="6" t="s">
        <v>103</v>
      </c>
      <c r="G59" s="6" t="s">
        <v>114</v>
      </c>
      <c r="H59" s="7">
        <v>1</v>
      </c>
      <c r="I59" s="6" t="s">
        <v>43</v>
      </c>
      <c r="J59" s="8">
        <v>1.7498812238305829E-2</v>
      </c>
      <c r="K59" s="8">
        <v>2.7201825339291621E-2</v>
      </c>
      <c r="L59" s="15" t="s">
        <v>37</v>
      </c>
      <c r="M59" s="16">
        <f t="shared" si="0"/>
        <v>2.7201825339291621E-2</v>
      </c>
      <c r="O59" s="3" t="s">
        <v>105</v>
      </c>
    </row>
    <row r="60" spans="5:15" x14ac:dyDescent="0.25">
      <c r="E60" s="6" t="s">
        <v>93</v>
      </c>
      <c r="F60" s="6" t="s">
        <v>103</v>
      </c>
      <c r="G60" s="6" t="s">
        <v>115</v>
      </c>
      <c r="H60" s="7">
        <v>6</v>
      </c>
      <c r="I60" s="6" t="s">
        <v>43</v>
      </c>
      <c r="J60" s="8">
        <v>1.7498812238305829E-2</v>
      </c>
      <c r="K60" s="8">
        <v>2.7201825339291621E-2</v>
      </c>
      <c r="L60" s="15" t="s">
        <v>37</v>
      </c>
      <c r="M60" s="16">
        <f t="shared" si="0"/>
        <v>0.16321095203574973</v>
      </c>
      <c r="O60" s="3" t="s">
        <v>105</v>
      </c>
    </row>
    <row r="61" spans="5:15" x14ac:dyDescent="0.25">
      <c r="E61" s="6" t="s">
        <v>93</v>
      </c>
      <c r="F61" s="6" t="s">
        <v>103</v>
      </c>
      <c r="G61" s="6" t="s">
        <v>116</v>
      </c>
      <c r="H61" s="7">
        <v>1</v>
      </c>
      <c r="I61" s="6" t="s">
        <v>117</v>
      </c>
      <c r="J61" s="8">
        <v>7.9633632164696572E-2</v>
      </c>
      <c r="K61" s="8">
        <v>0.1237901249397709</v>
      </c>
      <c r="L61" s="15" t="s">
        <v>118</v>
      </c>
      <c r="M61" s="16">
        <f t="shared" si="0"/>
        <v>0</v>
      </c>
      <c r="O61" s="3" t="s">
        <v>119</v>
      </c>
    </row>
    <row r="62" spans="5:15" x14ac:dyDescent="0.25">
      <c r="E62" s="6" t="s">
        <v>93</v>
      </c>
      <c r="F62" s="6" t="s">
        <v>103</v>
      </c>
      <c r="G62" s="6" t="s">
        <v>120</v>
      </c>
      <c r="H62" s="7">
        <v>2</v>
      </c>
      <c r="I62" s="6" t="s">
        <v>92</v>
      </c>
      <c r="J62" s="8">
        <v>5.970182998951399E-2</v>
      </c>
      <c r="K62" s="8">
        <v>9.2806227628171381E-2</v>
      </c>
      <c r="L62" s="15" t="s">
        <v>37</v>
      </c>
      <c r="M62" s="16">
        <f t="shared" si="0"/>
        <v>0.18561245525634276</v>
      </c>
      <c r="O62" s="3" t="s">
        <v>105</v>
      </c>
    </row>
    <row r="64" spans="5:15" x14ac:dyDescent="0.25">
      <c r="E64" s="10" t="s">
        <v>24</v>
      </c>
      <c r="F64" s="10" t="s">
        <v>121</v>
      </c>
      <c r="G64" s="10" t="s">
        <v>122</v>
      </c>
      <c r="H64" s="10" t="s">
        <v>123</v>
      </c>
      <c r="I64" s="10" t="s">
        <v>124</v>
      </c>
      <c r="J64" s="10" t="s">
        <v>125</v>
      </c>
      <c r="K64" s="10" t="s">
        <v>126</v>
      </c>
      <c r="L64" s="10" t="s">
        <v>127</v>
      </c>
      <c r="M64" s="10" t="s">
        <v>128</v>
      </c>
    </row>
    <row r="65" spans="5:15" x14ac:dyDescent="0.25">
      <c r="E65" s="6" t="s">
        <v>129</v>
      </c>
      <c r="F65" s="17">
        <f>SUMPRODUCT(($E$24:$E$62="North America")*($L$24:$L$62="yes")*$H$24:$H$62)</f>
        <v>77</v>
      </c>
      <c r="G65" s="9">
        <f>IFERROR(SUMPRODUCT(($E$24:$E$62="North America")*($L$24:$L$62="yes")*$H$24:$H$62*$K$24:$K$62)/F65,0)</f>
        <v>1.7036522167750972E-3</v>
      </c>
      <c r="H65" s="9">
        <f>IFERROR(SUMPRODUCT(($E$24:$E$62="North America")*($L$24:$L$62="yes")*($G$24:$G$62&lt;&gt;"Argentina")*$H$24:$H$62*$K$24:$K$62)/SUMPRODUCT(($E$24:$E$62="North America")*($L$24:$L$62="yes")*($G$24:$G$62&lt;&gt;"Argentina")*$H$24:$H$62),0)</f>
        <v>1.7036522167750972E-3</v>
      </c>
      <c r="I65" s="12">
        <v>0.28789356835306779</v>
      </c>
      <c r="J65" s="12">
        <v>0.44232606944106129</v>
      </c>
      <c r="K65" s="12">
        <v>0.31363433209215691</v>
      </c>
      <c r="L65" s="12">
        <v>0.46112042411427928</v>
      </c>
      <c r="M65" s="18" t="str">
        <f>IF(ABS(G65-(0.00170365221677509))&lt;0.0000001,"OK","DIFF")</f>
        <v>OK</v>
      </c>
      <c r="O65" s="3" t="s">
        <v>130</v>
      </c>
    </row>
    <row r="66" spans="5:15" x14ac:dyDescent="0.25">
      <c r="E66" s="6" t="s">
        <v>42</v>
      </c>
      <c r="F66" s="17">
        <f>SUMPRODUCT(($E$24:$E$62="Mexico")*($L$24:$L$62="yes")*$H$24:$H$62)</f>
        <v>38</v>
      </c>
      <c r="G66" s="9">
        <f>IFERROR(SUMPRODUCT(($E$24:$E$62="Mexico")*($L$24:$L$62="yes")*$H$24:$H$62*$K$24:$K$62)/F66,0)</f>
        <v>2.7201825339291618E-2</v>
      </c>
      <c r="H66" s="9">
        <f>IFERROR(SUMPRODUCT(($E$24:$E$62="Mexico")*($L$24:$L$62="yes")*($G$24:$G$62&lt;&gt;"Argentina")*$H$24:$H$62*$K$24:$K$62)/SUMPRODUCT(($E$24:$E$62="Mexico")*($L$24:$L$62="yes")*($G$24:$G$62&lt;&gt;"Argentina")*$H$24:$H$62),0)</f>
        <v>2.7201825339291618E-2</v>
      </c>
      <c r="I66" s="12">
        <v>0.55430906889128095</v>
      </c>
      <c r="J66" s="12">
        <v>0.32874889917367761</v>
      </c>
      <c r="K66" s="12">
        <v>0.54759571795202056</v>
      </c>
      <c r="L66" s="12">
        <v>0.32935004040419857</v>
      </c>
      <c r="M66" s="18" t="str">
        <f>IF(ABS(G66-(0.0272018253392916))&lt;0.0000001,"OK","DIFF")</f>
        <v>OK</v>
      </c>
      <c r="O66" s="3" t="s">
        <v>130</v>
      </c>
    </row>
    <row r="67" spans="5:15" x14ac:dyDescent="0.25">
      <c r="E67" s="6" t="s">
        <v>131</v>
      </c>
      <c r="F67" s="17">
        <f>SUMPRODUCT(($E$24:$E$62="EAA")*($L$24:$L$62="yes")*$H$24:$H$62)</f>
        <v>92</v>
      </c>
      <c r="G67" s="9">
        <f>IFERROR(SUMPRODUCT(($E$24:$E$62="EAA")*($L$24:$L$62="yes")*$H$24:$H$62*$K$24:$K$62)/F67,0)</f>
        <v>2.6270537550123822E-2</v>
      </c>
      <c r="H67" s="9">
        <f>IFERROR(SUMPRODUCT(($E$24:$E$62="EAA")*($L$24:$L$62="yes")*($G$24:$G$62&lt;&gt;"Argentina")*$H$24:$H$62*$K$24:$K$62)/SUMPRODUCT(($E$24:$E$62="EAA")*($L$24:$L$62="yes")*($G$24:$G$62&lt;&gt;"Argentina")*$H$24:$H$62),0)</f>
        <v>2.6270537550123822E-2</v>
      </c>
      <c r="I67" s="12">
        <v>9.8055705059203441E-2</v>
      </c>
      <c r="J67" s="12">
        <v>0.12677069085049369</v>
      </c>
      <c r="K67" s="12">
        <v>7.5783300805118081E-2</v>
      </c>
      <c r="L67" s="12">
        <v>0.1127104919492527</v>
      </c>
      <c r="M67" s="18" t="str">
        <f>IF(ABS(G67-(0.0262705375501238))&lt;0.0000001,"OK","DIFF")</f>
        <v>OK</v>
      </c>
      <c r="O67" s="3" t="s">
        <v>130</v>
      </c>
    </row>
    <row r="68" spans="5:15" x14ac:dyDescent="0.25">
      <c r="E68" s="6" t="s">
        <v>93</v>
      </c>
      <c r="F68" s="17">
        <f>SUMPRODUCT(($E$24:$E$62="Latin America")*($L$24:$L$62="yes")*$H$24:$H$62)</f>
        <v>41</v>
      </c>
      <c r="G68" s="9">
        <f>IFERROR(SUMPRODUCT(($E$24:$E$62="Latin America")*($L$24:$L$62="yes")*$H$24:$H$62*$K$24:$K$62)/F68,0)</f>
        <v>3.9364060537294965E-2</v>
      </c>
      <c r="H68" s="9">
        <f>IFERROR(SUMPRODUCT(($E$24:$E$62="Latin America")*($L$24:$L$62="yes")*($G$24:$G$62&lt;&gt;"Argentina")*$H$24:$H$62*$K$24:$K$62)/SUMPRODUCT(($E$24:$E$62="Latin America")*($L$24:$L$62="yes")*($G$24:$G$62&lt;&gt;"Argentina")*$H$24:$H$62),0)</f>
        <v>3.3586528959902912E-2</v>
      </c>
      <c r="I68" s="12">
        <v>5.9741657696447792E-2</v>
      </c>
      <c r="J68" s="12">
        <v>0.10215434053476739</v>
      </c>
      <c r="K68" s="12">
        <v>6.2986649150704427E-2</v>
      </c>
      <c r="L68" s="12">
        <v>9.6819043532269403E-2</v>
      </c>
      <c r="M68" s="18" t="str">
        <f>IF(ABS(G68-(0.0393640605372949))&lt;0.0000001,"OK","DIFF")</f>
        <v>OK</v>
      </c>
      <c r="O68" s="3" t="s">
        <v>130</v>
      </c>
    </row>
    <row r="69" spans="5:15" x14ac:dyDescent="0.25">
      <c r="E69" s="10" t="s">
        <v>132</v>
      </c>
      <c r="I69" s="11">
        <f>SUMPRODUCT(I65:I68,$G$65:$G$68)</f>
        <v>2.0496339303808984E-2</v>
      </c>
      <c r="J69" s="11">
        <f>SUMPRODUCT(J65:J68,$G$65:$G$68)</f>
        <v>1.704768376374851E-2</v>
      </c>
      <c r="K69" s="11">
        <f>SUMPRODUCT(K65:K68,$G$65:$G$68)</f>
        <v>1.9900205221083309E-2</v>
      </c>
      <c r="L69" s="11">
        <f>SUMPRODUCT(L65:L68,$G$65:$G$68)</f>
        <v>1.6516667009119232E-2</v>
      </c>
    </row>
    <row r="70" spans="5:15" x14ac:dyDescent="0.25">
      <c r="E70" s="6" t="s">
        <v>133</v>
      </c>
      <c r="I70" s="9">
        <f>SUMPRODUCT(I65:I68,$H$65:$H$68)</f>
        <v>2.0151179989982008E-2</v>
      </c>
      <c r="J70" s="9">
        <f>SUMPRODUCT(J65:J68,$H$65:$H$68)</f>
        <v>1.6457483835541228E-2</v>
      </c>
      <c r="K70" s="9">
        <f>SUMPRODUCT(K65:K68,$H$65:$H$68)</f>
        <v>1.9536297866661001E-2</v>
      </c>
      <c r="L70" s="9">
        <f>SUMPRODUCT(L65:L68,$H$65:$H$68)</f>
        <v>1.595729192781865E-2</v>
      </c>
    </row>
    <row r="71" spans="5:15" x14ac:dyDescent="0.25">
      <c r="E71" s="6" t="s">
        <v>134</v>
      </c>
      <c r="I71" s="18" t="str">
        <f>IF(ABS(SUM(I65:I68)-1)&lt;0.000001,"OK","FAIL")</f>
        <v>OK</v>
      </c>
      <c r="J71" s="18" t="str">
        <f>IF(ABS(SUM(J65:J68)-1)&lt;0.000001,"OK","FAIL")</f>
        <v>OK</v>
      </c>
      <c r="K71" s="18" t="str">
        <f>IF(ABS(SUM(K65:K68)-1)&lt;0.000001,"OK","FAIL")</f>
        <v>OK</v>
      </c>
      <c r="L71" s="18" t="str">
        <f>IF(ABS(SUM(L65:L68)-1)&lt;0.000001,"OK","FAIL")</f>
        <v>OK</v>
      </c>
    </row>
    <row r="72" spans="5:15" x14ac:dyDescent="0.25">
      <c r="E72" s="3" t="s">
        <v>135</v>
      </c>
    </row>
    <row r="73" spans="5:15" x14ac:dyDescent="0.25">
      <c r="E73" s="3" t="s">
        <v>136</v>
      </c>
    </row>
    <row r="75" spans="5:15" x14ac:dyDescent="0.25">
      <c r="E75" s="10" t="s">
        <v>137</v>
      </c>
    </row>
    <row r="76" spans="5:15" x14ac:dyDescent="0.25">
      <c r="E76" s="6" t="s">
        <v>138</v>
      </c>
      <c r="I76" s="8">
        <v>1.6408389999999998E-2</v>
      </c>
    </row>
    <row r="77" spans="5:15" x14ac:dyDescent="0.25">
      <c r="E77" s="6" t="s">
        <v>139</v>
      </c>
      <c r="I77" s="8">
        <v>9.5295299999999996E-3</v>
      </c>
    </row>
    <row r="78" spans="5:15" x14ac:dyDescent="0.25">
      <c r="E78" s="6" t="s">
        <v>140</v>
      </c>
      <c r="I78" s="8">
        <v>1.7498812238305829E-2</v>
      </c>
    </row>
    <row r="79" spans="5:15" x14ac:dyDescent="0.25">
      <c r="E79" s="6" t="s">
        <v>141</v>
      </c>
      <c r="I79" s="19">
        <v>1.5544955262589411</v>
      </c>
    </row>
    <row r="80" spans="5:15" x14ac:dyDescent="0.25">
      <c r="E80" s="6" t="s">
        <v>142</v>
      </c>
      <c r="I80" s="8">
        <v>8.8858769510226046E-2</v>
      </c>
    </row>
    <row r="81" spans="2:15" x14ac:dyDescent="0.25">
      <c r="E81" s="6" t="s">
        <v>143</v>
      </c>
      <c r="I81" s="8">
        <v>8.3624809112031323E-2</v>
      </c>
    </row>
    <row r="82" spans="2:15" x14ac:dyDescent="0.25">
      <c r="E82" s="3" t="s">
        <v>144</v>
      </c>
    </row>
    <row r="83" spans="2:15" x14ac:dyDescent="0.25">
      <c r="E83" s="3" t="s">
        <v>145</v>
      </c>
    </row>
    <row r="85" spans="2:15" x14ac:dyDescent="0.25">
      <c r="B85" s="13" t="s">
        <v>146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spans="2:15" x14ac:dyDescent="0.25">
      <c r="E86" s="10" t="s">
        <v>147</v>
      </c>
      <c r="F86" s="10" t="s">
        <v>148</v>
      </c>
      <c r="G86" s="10" t="s">
        <v>149</v>
      </c>
      <c r="H86" s="10" t="s">
        <v>150</v>
      </c>
      <c r="O86" s="10" t="s">
        <v>151</v>
      </c>
    </row>
    <row r="87" spans="2:15" x14ac:dyDescent="0.25">
      <c r="E87" s="6" t="s">
        <v>152</v>
      </c>
      <c r="F87" s="8">
        <v>6.6790000000000002E-2</v>
      </c>
      <c r="G87" s="6" t="s">
        <v>153</v>
      </c>
      <c r="H87" s="6" t="s">
        <v>154</v>
      </c>
      <c r="O87" s="3" t="s">
        <v>155</v>
      </c>
    </row>
    <row r="88" spans="2:15" x14ac:dyDescent="0.25">
      <c r="E88" s="6" t="s">
        <v>156</v>
      </c>
      <c r="F88" s="6" t="s">
        <v>157</v>
      </c>
      <c r="G88" s="6" t="s">
        <v>153</v>
      </c>
      <c r="H88" s="6" t="s">
        <v>154</v>
      </c>
      <c r="O88" s="3" t="s">
        <v>158</v>
      </c>
    </row>
    <row r="89" spans="2:15" x14ac:dyDescent="0.25">
      <c r="E89" s="6" t="s">
        <v>159</v>
      </c>
      <c r="F89" s="8">
        <v>7.016E-2</v>
      </c>
      <c r="G89" s="6" t="s">
        <v>153</v>
      </c>
      <c r="H89" s="6" t="s">
        <v>154</v>
      </c>
      <c r="O89" s="3" t="s">
        <v>155</v>
      </c>
    </row>
    <row r="90" spans="2:15" x14ac:dyDescent="0.25">
      <c r="E90" s="6" t="s">
        <v>160</v>
      </c>
      <c r="F90" s="8">
        <v>8.2979999999999998E-2</v>
      </c>
      <c r="G90" s="6" t="s">
        <v>153</v>
      </c>
      <c r="H90" s="6" t="s">
        <v>154</v>
      </c>
      <c r="O90" s="3" t="s">
        <v>155</v>
      </c>
    </row>
    <row r="91" spans="2:15" x14ac:dyDescent="0.25">
      <c r="E91" s="6" t="s">
        <v>161</v>
      </c>
      <c r="F91" s="8">
        <v>8.9230000000000004E-2</v>
      </c>
      <c r="G91" s="6" t="s">
        <v>153</v>
      </c>
      <c r="H91" s="6" t="s">
        <v>154</v>
      </c>
      <c r="O91" s="3" t="s">
        <v>155</v>
      </c>
    </row>
    <row r="92" spans="2:15" x14ac:dyDescent="0.25">
      <c r="E92" s="6" t="s">
        <v>162</v>
      </c>
      <c r="F92" s="8">
        <v>9.2600000000000002E-2</v>
      </c>
      <c r="G92" s="6" t="s">
        <v>153</v>
      </c>
      <c r="H92" s="6" t="s">
        <v>154</v>
      </c>
      <c r="I92" s="18" t="str">
        <f>IF(ABS(F92-$C$12)&lt;0.000001,"= rf input","DIFF")</f>
        <v>= rf input</v>
      </c>
      <c r="O92" s="3" t="s">
        <v>155</v>
      </c>
    </row>
    <row r="93" spans="2:15" x14ac:dyDescent="0.25">
      <c r="E93" s="6" t="s">
        <v>163</v>
      </c>
      <c r="F93" s="8">
        <v>9.7199999999999995E-2</v>
      </c>
      <c r="G93" s="6" t="s">
        <v>153</v>
      </c>
      <c r="H93" s="6" t="s">
        <v>154</v>
      </c>
      <c r="O93" s="3" t="s">
        <v>155</v>
      </c>
    </row>
    <row r="94" spans="2:15" x14ac:dyDescent="0.25">
      <c r="E94" s="6" t="s">
        <v>164</v>
      </c>
      <c r="F94" s="8">
        <v>9.7820000000000004E-2</v>
      </c>
      <c r="G94" s="6" t="s">
        <v>153</v>
      </c>
      <c r="H94" s="6" t="s">
        <v>154</v>
      </c>
      <c r="O94" s="3" t="s">
        <v>155</v>
      </c>
    </row>
    <row r="95" spans="2:15" x14ac:dyDescent="0.25">
      <c r="E95" s="6" t="s">
        <v>165</v>
      </c>
      <c r="F95" s="6" t="s">
        <v>157</v>
      </c>
      <c r="G95" s="6" t="s">
        <v>153</v>
      </c>
      <c r="H95" s="6" t="s">
        <v>154</v>
      </c>
      <c r="O95" s="3" t="s">
        <v>166</v>
      </c>
    </row>
    <row r="96" spans="2:15" x14ac:dyDescent="0.25">
      <c r="E96" s="6" t="s">
        <v>167</v>
      </c>
      <c r="F96" s="8">
        <v>4.7399999999999998E-2</v>
      </c>
      <c r="G96" s="6" t="s">
        <v>153</v>
      </c>
      <c r="H96" s="6" t="s">
        <v>154</v>
      </c>
      <c r="O96" s="3" t="s">
        <v>155</v>
      </c>
    </row>
    <row r="97" spans="2:15" x14ac:dyDescent="0.25">
      <c r="E97" s="6" t="s">
        <v>168</v>
      </c>
      <c r="F97" s="8">
        <v>4.8899999999999999E-2</v>
      </c>
      <c r="G97" s="6" t="s">
        <v>153</v>
      </c>
      <c r="H97" s="6" t="s">
        <v>154</v>
      </c>
      <c r="O97" s="3" t="s">
        <v>155</v>
      </c>
    </row>
    <row r="98" spans="2:15" x14ac:dyDescent="0.25">
      <c r="E98" s="6" t="s">
        <v>169</v>
      </c>
      <c r="F98" s="8">
        <v>5.0900000000000001E-2</v>
      </c>
      <c r="G98" s="6" t="s">
        <v>153</v>
      </c>
      <c r="H98" s="6" t="s">
        <v>154</v>
      </c>
      <c r="O98" s="3" t="s">
        <v>155</v>
      </c>
    </row>
    <row r="99" spans="2:15" x14ac:dyDescent="0.25">
      <c r="E99" s="6" t="s">
        <v>170</v>
      </c>
      <c r="F99" s="8">
        <v>5.4300000000000001E-2</v>
      </c>
      <c r="G99" s="6" t="s">
        <v>153</v>
      </c>
      <c r="H99" s="6" t="s">
        <v>154</v>
      </c>
      <c r="O99" s="3" t="s">
        <v>155</v>
      </c>
    </row>
    <row r="100" spans="2:15" x14ac:dyDescent="0.25">
      <c r="E100" s="6" t="s">
        <v>171</v>
      </c>
      <c r="F100" s="8">
        <v>3.8067999999999998E-2</v>
      </c>
      <c r="G100" s="6" t="s">
        <v>153</v>
      </c>
      <c r="H100" s="6" t="s">
        <v>154</v>
      </c>
      <c r="O100" s="3" t="s">
        <v>155</v>
      </c>
    </row>
    <row r="101" spans="2:15" x14ac:dyDescent="0.25">
      <c r="E101" s="6" t="s">
        <v>172</v>
      </c>
      <c r="F101" s="8">
        <v>4.0070000000000001E-2</v>
      </c>
      <c r="G101" s="6" t="s">
        <v>153</v>
      </c>
      <c r="H101" s="6" t="s">
        <v>154</v>
      </c>
      <c r="O101" s="3" t="s">
        <v>155</v>
      </c>
    </row>
    <row r="102" spans="2:15" x14ac:dyDescent="0.25">
      <c r="E102" s="6" t="s">
        <v>173</v>
      </c>
      <c r="F102" s="8">
        <v>0.13044</v>
      </c>
      <c r="G102" s="6" t="s">
        <v>153</v>
      </c>
      <c r="H102" s="6" t="s">
        <v>154</v>
      </c>
      <c r="O102" s="3" t="s">
        <v>155</v>
      </c>
    </row>
    <row r="103" spans="2:15" x14ac:dyDescent="0.25">
      <c r="E103" s="6" t="s">
        <v>174</v>
      </c>
      <c r="F103" s="8">
        <v>3.4070000000000003E-2</v>
      </c>
      <c r="G103" s="6" t="s">
        <v>153</v>
      </c>
      <c r="H103" s="6" t="s">
        <v>154</v>
      </c>
      <c r="O103" s="3" t="s">
        <v>155</v>
      </c>
    </row>
    <row r="104" spans="2:15" x14ac:dyDescent="0.25">
      <c r="E104" s="6" t="s">
        <v>175</v>
      </c>
      <c r="F104" s="8">
        <v>9.5295299999999996E-3</v>
      </c>
      <c r="G104" s="6" t="s">
        <v>176</v>
      </c>
      <c r="H104" s="6" t="s">
        <v>154</v>
      </c>
      <c r="O104" s="3" t="s">
        <v>177</v>
      </c>
    </row>
    <row r="105" spans="2:15" x14ac:dyDescent="0.25">
      <c r="E105" s="6" t="s">
        <v>178</v>
      </c>
      <c r="F105" s="8">
        <v>1.6408389999999998E-2</v>
      </c>
      <c r="G105" s="6" t="s">
        <v>176</v>
      </c>
      <c r="H105" s="6" t="s">
        <v>154</v>
      </c>
      <c r="O105" s="3" t="s">
        <v>177</v>
      </c>
    </row>
    <row r="106" spans="2:15" x14ac:dyDescent="0.25">
      <c r="E106" s="6" t="s">
        <v>179</v>
      </c>
      <c r="F106" s="8">
        <v>3.4500000000000003E-2</v>
      </c>
      <c r="G106" s="6" t="s">
        <v>180</v>
      </c>
      <c r="H106" s="6" t="s">
        <v>181</v>
      </c>
      <c r="O106" s="3" t="s">
        <v>177</v>
      </c>
    </row>
    <row r="107" spans="2:15" x14ac:dyDescent="0.25">
      <c r="E107" s="6" t="s">
        <v>182</v>
      </c>
      <c r="F107" s="8">
        <v>3.7400000000000003E-2</v>
      </c>
      <c r="G107" s="6" t="s">
        <v>180</v>
      </c>
      <c r="H107" s="6" t="s">
        <v>181</v>
      </c>
      <c r="O107" s="3" t="s">
        <v>177</v>
      </c>
    </row>
    <row r="108" spans="2:15" x14ac:dyDescent="0.25">
      <c r="E108" s="6" t="s">
        <v>183</v>
      </c>
      <c r="F108" s="6" t="s">
        <v>157</v>
      </c>
      <c r="G108" s="6" t="s">
        <v>184</v>
      </c>
      <c r="H108" s="6" t="s">
        <v>154</v>
      </c>
      <c r="O108" s="3" t="s">
        <v>185</v>
      </c>
    </row>
    <row r="109" spans="2:15" x14ac:dyDescent="0.25">
      <c r="E109" s="6" t="s">
        <v>186</v>
      </c>
      <c r="F109" s="6" t="s">
        <v>157</v>
      </c>
      <c r="G109" s="6" t="s">
        <v>184</v>
      </c>
      <c r="H109" s="6" t="s">
        <v>154</v>
      </c>
      <c r="O109" s="3" t="s">
        <v>185</v>
      </c>
    </row>
    <row r="110" spans="2:15" x14ac:dyDescent="0.25">
      <c r="E110" s="6" t="s">
        <v>187</v>
      </c>
      <c r="F110" s="6" t="s">
        <v>157</v>
      </c>
      <c r="G110" s="6" t="s">
        <v>153</v>
      </c>
      <c r="H110" s="6" t="s">
        <v>154</v>
      </c>
      <c r="O110" s="3" t="s">
        <v>185</v>
      </c>
    </row>
    <row r="112" spans="2:15" x14ac:dyDescent="0.25">
      <c r="B112" s="4" t="s">
        <v>188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</row>
    <row r="113" spans="5:15" x14ac:dyDescent="0.25">
      <c r="E113" s="10" t="s">
        <v>189</v>
      </c>
      <c r="F113" s="10" t="s">
        <v>190</v>
      </c>
      <c r="G113" s="10" t="s">
        <v>191</v>
      </c>
      <c r="H113" s="10" t="s">
        <v>192</v>
      </c>
      <c r="I113" s="10" t="s">
        <v>193</v>
      </c>
      <c r="J113" s="10" t="s">
        <v>194</v>
      </c>
      <c r="K113" s="10" t="s">
        <v>195</v>
      </c>
      <c r="L113" s="10" t="s">
        <v>196</v>
      </c>
      <c r="M113" s="10" t="s">
        <v>197</v>
      </c>
      <c r="N113" s="10" t="s">
        <v>198</v>
      </c>
      <c r="O113" s="10" t="s">
        <v>151</v>
      </c>
    </row>
    <row r="114" spans="5:15" x14ac:dyDescent="0.25">
      <c r="E114" s="6" t="s">
        <v>199</v>
      </c>
      <c r="F114" s="6" t="s">
        <v>200</v>
      </c>
      <c r="G114" s="12">
        <v>0.25</v>
      </c>
      <c r="H114" s="20">
        <v>0.43</v>
      </c>
      <c r="I114" s="21">
        <v>2007.8</v>
      </c>
      <c r="J114" s="21">
        <v>1295.7</v>
      </c>
      <c r="K114" s="22">
        <f t="shared" ref="K114:K120" si="1">IFERROR(I114/J114,0)</f>
        <v>1.5495870957783437</v>
      </c>
      <c r="L114" s="22">
        <f t="shared" ref="L114:L120" si="2">H114/(1+(1-G114)*K114)</f>
        <v>0.19887240991593941</v>
      </c>
      <c r="M114" s="15" t="s">
        <v>37</v>
      </c>
      <c r="N114" s="22">
        <f t="shared" ref="N114:N120" si="3">IF(M114="yes",L114,"excl.")</f>
        <v>0.19887240991593941</v>
      </c>
      <c r="O114" s="3" t="s">
        <v>201</v>
      </c>
    </row>
    <row r="115" spans="5:15" x14ac:dyDescent="0.25">
      <c r="E115" s="6" t="s">
        <v>202</v>
      </c>
      <c r="F115" s="6" t="s">
        <v>203</v>
      </c>
      <c r="G115" s="12">
        <v>0.1961</v>
      </c>
      <c r="H115" s="20">
        <v>0.38</v>
      </c>
      <c r="I115" s="21">
        <v>986.9</v>
      </c>
      <c r="J115" s="21">
        <v>1218.8</v>
      </c>
      <c r="K115" s="22">
        <f t="shared" si="1"/>
        <v>0.80973088283557604</v>
      </c>
      <c r="L115" s="22">
        <f t="shared" si="2"/>
        <v>0.23017153167325302</v>
      </c>
      <c r="M115" s="15" t="s">
        <v>37</v>
      </c>
      <c r="N115" s="22">
        <f t="shared" si="3"/>
        <v>0.23017153167325302</v>
      </c>
      <c r="O115" s="3" t="s">
        <v>204</v>
      </c>
    </row>
    <row r="116" spans="5:15" x14ac:dyDescent="0.25">
      <c r="E116" s="6" t="s">
        <v>205</v>
      </c>
      <c r="F116" s="6" t="s">
        <v>206</v>
      </c>
      <c r="G116" s="12">
        <v>0.25</v>
      </c>
      <c r="H116" s="20">
        <v>0.27</v>
      </c>
      <c r="I116" s="21">
        <v>6940.2</v>
      </c>
      <c r="J116" s="21">
        <v>13612.5</v>
      </c>
      <c r="K116" s="22">
        <f t="shared" si="1"/>
        <v>0.50984022038567489</v>
      </c>
      <c r="L116" s="22">
        <f t="shared" si="2"/>
        <v>0.19531530238898057</v>
      </c>
      <c r="M116" s="15" t="s">
        <v>37</v>
      </c>
      <c r="N116" s="22">
        <f t="shared" si="3"/>
        <v>0.19531530238898057</v>
      </c>
      <c r="O116" s="3" t="s">
        <v>207</v>
      </c>
    </row>
    <row r="117" spans="5:15" x14ac:dyDescent="0.25">
      <c r="E117" s="6" t="s">
        <v>208</v>
      </c>
      <c r="F117" s="6" t="s">
        <v>209</v>
      </c>
      <c r="G117" s="12">
        <v>0.25</v>
      </c>
      <c r="H117" s="20">
        <v>0.04</v>
      </c>
      <c r="I117" s="21">
        <v>7450</v>
      </c>
      <c r="J117" s="21">
        <v>5925.9</v>
      </c>
      <c r="K117" s="22">
        <f t="shared" si="1"/>
        <v>1.2571930002193761</v>
      </c>
      <c r="L117" s="22">
        <f t="shared" si="2"/>
        <v>2.0587836781489392E-2</v>
      </c>
      <c r="M117" s="15" t="s">
        <v>37</v>
      </c>
      <c r="N117" s="22">
        <f t="shared" si="3"/>
        <v>2.0587836781489392E-2</v>
      </c>
      <c r="O117" s="3" t="s">
        <v>210</v>
      </c>
    </row>
    <row r="118" spans="5:15" x14ac:dyDescent="0.25">
      <c r="E118" s="6" t="s">
        <v>211</v>
      </c>
      <c r="F118" s="6" t="s">
        <v>212</v>
      </c>
      <c r="G118" s="12">
        <v>0.25</v>
      </c>
      <c r="H118" s="20">
        <v>0.39</v>
      </c>
      <c r="I118" s="21">
        <v>22223</v>
      </c>
      <c r="J118" s="21">
        <v>81568.800000000003</v>
      </c>
      <c r="K118" s="22">
        <f t="shared" si="1"/>
        <v>0.27244485636665</v>
      </c>
      <c r="L118" s="22">
        <f t="shared" si="2"/>
        <v>0.32383052860940564</v>
      </c>
      <c r="M118" s="15" t="s">
        <v>37</v>
      </c>
      <c r="N118" s="22">
        <f t="shared" si="3"/>
        <v>0.32383052860940564</v>
      </c>
      <c r="O118" s="3" t="s">
        <v>213</v>
      </c>
    </row>
    <row r="119" spans="5:15" x14ac:dyDescent="0.25">
      <c r="E119" s="6" t="s">
        <v>214</v>
      </c>
      <c r="F119" s="6" t="s">
        <v>215</v>
      </c>
      <c r="G119" s="12">
        <v>0.25</v>
      </c>
      <c r="H119" s="20">
        <v>0.36</v>
      </c>
      <c r="I119" s="21">
        <v>55727</v>
      </c>
      <c r="J119" s="21">
        <v>179200.5</v>
      </c>
      <c r="K119" s="22">
        <f t="shared" si="1"/>
        <v>0.31097569482228005</v>
      </c>
      <c r="L119" s="22">
        <f t="shared" si="2"/>
        <v>0.29191593050997588</v>
      </c>
      <c r="M119" s="15" t="s">
        <v>37</v>
      </c>
      <c r="N119" s="22">
        <f t="shared" si="3"/>
        <v>0.29191593050997588</v>
      </c>
      <c r="O119" s="3" t="s">
        <v>216</v>
      </c>
    </row>
    <row r="120" spans="5:15" x14ac:dyDescent="0.25">
      <c r="E120" s="6" t="s">
        <v>217</v>
      </c>
      <c r="F120" s="6" t="s">
        <v>218</v>
      </c>
      <c r="G120" s="12">
        <v>0.3</v>
      </c>
      <c r="H120" s="20">
        <v>0.08</v>
      </c>
      <c r="I120" s="21">
        <v>3644</v>
      </c>
      <c r="J120" s="21">
        <v>18683.400000000001</v>
      </c>
      <c r="K120" s="22">
        <f t="shared" si="1"/>
        <v>0.19503944678163501</v>
      </c>
      <c r="L120" s="22">
        <f t="shared" si="2"/>
        <v>7.038984280076481E-2</v>
      </c>
      <c r="M120" s="15" t="s">
        <v>118</v>
      </c>
      <c r="N120" s="22" t="str">
        <f t="shared" si="3"/>
        <v>excl.</v>
      </c>
      <c r="O120" s="3" t="s">
        <v>219</v>
      </c>
    </row>
    <row r="121" spans="5:15" x14ac:dyDescent="0.25">
      <c r="E121" s="10" t="s">
        <v>220</v>
      </c>
      <c r="N121" s="23">
        <f>MEDIAN(N114:N120)</f>
        <v>0.21452197079459623</v>
      </c>
    </row>
    <row r="122" spans="5:15" x14ac:dyDescent="0.25">
      <c r="E122" s="10" t="s">
        <v>221</v>
      </c>
      <c r="N122" s="23">
        <f>AVERAGE(N114:N120)</f>
        <v>0.21011558997984067</v>
      </c>
    </row>
    <row r="123" spans="5:15" x14ac:dyDescent="0.25">
      <c r="E123" s="6" t="s">
        <v>222</v>
      </c>
      <c r="N123" s="20">
        <v>0.53</v>
      </c>
      <c r="O123" s="3" t="s">
        <v>223</v>
      </c>
    </row>
    <row r="124" spans="5:15" x14ac:dyDescent="0.25">
      <c r="E124" s="6" t="s">
        <v>224</v>
      </c>
      <c r="N124" s="20">
        <v>0.54160900000000001</v>
      </c>
      <c r="O124" s="3" t="s">
        <v>225</v>
      </c>
    </row>
    <row r="125" spans="5:15" x14ac:dyDescent="0.25">
      <c r="E125" s="10" t="s">
        <v>226</v>
      </c>
      <c r="N125" s="23">
        <f>CHOOSE($C$8,$N$121,$N$122,$N$123,$N$124)</f>
        <v>0.53</v>
      </c>
    </row>
    <row r="127" spans="5:15" x14ac:dyDescent="0.25">
      <c r="E127" s="10" t="s">
        <v>227</v>
      </c>
    </row>
    <row r="128" spans="5:15" x14ac:dyDescent="0.25">
      <c r="E128" s="10" t="s">
        <v>228</v>
      </c>
      <c r="F128" s="10" t="s">
        <v>229</v>
      </c>
      <c r="G128" s="10" t="s">
        <v>192</v>
      </c>
      <c r="H128" s="10" t="s">
        <v>230</v>
      </c>
      <c r="I128" s="10" t="s">
        <v>231</v>
      </c>
      <c r="J128" s="10" t="s">
        <v>232</v>
      </c>
      <c r="K128" s="10" t="s">
        <v>233</v>
      </c>
      <c r="L128" s="10" t="s">
        <v>234</v>
      </c>
      <c r="M128" s="10" t="s">
        <v>235</v>
      </c>
      <c r="N128" s="10" t="s">
        <v>236</v>
      </c>
    </row>
    <row r="129" spans="2:15" x14ac:dyDescent="0.25">
      <c r="E129" s="6" t="s">
        <v>237</v>
      </c>
      <c r="F129" s="17">
        <v>59</v>
      </c>
      <c r="G129" s="20">
        <v>0.82454164355398518</v>
      </c>
      <c r="H129" s="20">
        <v>0.29529861908116739</v>
      </c>
      <c r="I129" s="20">
        <v>0.1687124064266726</v>
      </c>
      <c r="J129" s="20">
        <v>0.48711683070063999</v>
      </c>
      <c r="K129" s="20">
        <v>1.16196645640733</v>
      </c>
      <c r="L129" s="20">
        <v>0.88244290118117008</v>
      </c>
      <c r="M129" s="20">
        <v>0.54240094433779462</v>
      </c>
      <c r="N129" s="20">
        <v>0.58048961706991331</v>
      </c>
    </row>
    <row r="130" spans="2:15" x14ac:dyDescent="0.25">
      <c r="E130" s="6" t="s">
        <v>238</v>
      </c>
      <c r="F130" s="17">
        <v>36</v>
      </c>
      <c r="G130" s="20">
        <v>1.2913758343502379</v>
      </c>
      <c r="H130" s="20">
        <v>0.43415020004972948</v>
      </c>
      <c r="I130" s="20">
        <v>0.25283883305575899</v>
      </c>
      <c r="J130" s="20">
        <v>0.78569816823871974</v>
      </c>
      <c r="K130" s="20">
        <v>1.797053500461756</v>
      </c>
      <c r="L130" s="20">
        <v>1.1952218090146589</v>
      </c>
      <c r="M130" s="20">
        <v>0.84949435546697927</v>
      </c>
      <c r="N130" s="20">
        <v>0.78624220252646715</v>
      </c>
    </row>
    <row r="131" spans="2:15" x14ac:dyDescent="0.25">
      <c r="E131" s="6" t="s">
        <v>239</v>
      </c>
      <c r="F131" s="17">
        <v>24</v>
      </c>
      <c r="G131" s="20">
        <v>1.1006672120255521</v>
      </c>
      <c r="H131" s="20">
        <v>0.37352438260547483</v>
      </c>
      <c r="I131" s="20">
        <v>0.30390461632877458</v>
      </c>
      <c r="J131" s="20">
        <v>0.4928579793680028</v>
      </c>
      <c r="K131" s="20">
        <v>1.7084764446831009</v>
      </c>
      <c r="L131" s="20">
        <v>1.0674470320571201</v>
      </c>
      <c r="M131" s="20">
        <v>0.72404218740374582</v>
      </c>
      <c r="N131" s="20">
        <v>0.70218924992410059</v>
      </c>
    </row>
    <row r="132" spans="2:15" x14ac:dyDescent="0.25">
      <c r="E132" s="6" t="s">
        <v>240</v>
      </c>
      <c r="F132" s="17">
        <v>59</v>
      </c>
      <c r="G132" s="20">
        <v>0.82333839300000689</v>
      </c>
      <c r="H132" s="20">
        <v>0.29797225103363778</v>
      </c>
      <c r="I132" s="20">
        <v>0.1673902538762948</v>
      </c>
      <c r="J132" s="20">
        <v>0.48855788524741728</v>
      </c>
      <c r="K132" s="20">
        <v>1.158118900752596</v>
      </c>
      <c r="L132" s="20">
        <v>0.88163672331000464</v>
      </c>
      <c r="M132" s="20">
        <v>0.54160942065690476</v>
      </c>
      <c r="N132" s="20">
        <v>0.57995929620371722</v>
      </c>
    </row>
    <row r="133" spans="2:15" x14ac:dyDescent="0.25">
      <c r="E133" s="6" t="s">
        <v>241</v>
      </c>
      <c r="F133" s="17">
        <v>36</v>
      </c>
      <c r="G133" s="20">
        <v>1.288346341515592</v>
      </c>
      <c r="H133" s="20">
        <v>0.44268833510160349</v>
      </c>
      <c r="I133" s="20">
        <v>0.2479095159757268</v>
      </c>
      <c r="J133" s="20">
        <v>0.7925273095641383</v>
      </c>
      <c r="K133" s="20">
        <v>1.784165373467046</v>
      </c>
      <c r="L133" s="20">
        <v>1.193192048815447</v>
      </c>
      <c r="M133" s="20">
        <v>0.84750149096192673</v>
      </c>
      <c r="N133" s="20">
        <v>0.78490698330808195</v>
      </c>
    </row>
    <row r="134" spans="2:15" x14ac:dyDescent="0.25">
      <c r="E134" s="6" t="s">
        <v>242</v>
      </c>
      <c r="F134" s="17">
        <v>24</v>
      </c>
      <c r="G134" s="20">
        <v>1.108357506185752</v>
      </c>
      <c r="H134" s="20">
        <v>0.38922149000427259</v>
      </c>
      <c r="I134" s="20">
        <v>0.29601382519126218</v>
      </c>
      <c r="J134" s="20">
        <v>0.51632985580322788</v>
      </c>
      <c r="K134" s="20">
        <v>1.700385156568277</v>
      </c>
      <c r="L134" s="20">
        <v>1.0725995291444539</v>
      </c>
      <c r="M134" s="20">
        <v>0.7291010256653877</v>
      </c>
      <c r="N134" s="20">
        <v>0.70557867155940079</v>
      </c>
    </row>
    <row r="135" spans="2:15" x14ac:dyDescent="0.25">
      <c r="E135" s="3" t="s">
        <v>243</v>
      </c>
    </row>
    <row r="137" spans="2:15" x14ac:dyDescent="0.25">
      <c r="B137" s="4" t="s">
        <v>244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</row>
    <row r="138" spans="2:15" x14ac:dyDescent="0.25">
      <c r="B138" s="6" t="s">
        <v>245</v>
      </c>
      <c r="C138" s="20">
        <v>0.74309999999999998</v>
      </c>
      <c r="E138" s="3" t="s">
        <v>246</v>
      </c>
    </row>
    <row r="139" spans="2:15" x14ac:dyDescent="0.25">
      <c r="B139" s="6" t="s">
        <v>247</v>
      </c>
      <c r="C139" s="20">
        <v>0.4793</v>
      </c>
      <c r="E139" s="3" t="s">
        <v>248</v>
      </c>
    </row>
    <row r="140" spans="2:15" x14ac:dyDescent="0.25">
      <c r="B140" s="6" t="s">
        <v>249</v>
      </c>
      <c r="C140" s="20">
        <v>0.68899999999999995</v>
      </c>
      <c r="E140" s="3" t="s">
        <v>250</v>
      </c>
    </row>
    <row r="141" spans="2:15" x14ac:dyDescent="0.25">
      <c r="B141" s="10" t="s">
        <v>251</v>
      </c>
      <c r="C141" s="20">
        <v>0.74309999999999998</v>
      </c>
      <c r="E141" s="3" t="s">
        <v>252</v>
      </c>
    </row>
    <row r="142" spans="2:15" x14ac:dyDescent="0.25">
      <c r="B142" s="6" t="s">
        <v>253</v>
      </c>
      <c r="C142" s="8">
        <v>9.2600000000000002E-2</v>
      </c>
      <c r="E142" s="3" t="s">
        <v>254</v>
      </c>
    </row>
    <row r="143" spans="2:15" x14ac:dyDescent="0.25">
      <c r="B143" s="6" t="s">
        <v>255</v>
      </c>
      <c r="C143" s="8">
        <v>9.7100000000000006E-2</v>
      </c>
      <c r="E143" s="3" t="s">
        <v>256</v>
      </c>
    </row>
    <row r="144" spans="2:15" x14ac:dyDescent="0.25">
      <c r="B144" s="6" t="s">
        <v>257</v>
      </c>
      <c r="C144" s="8">
        <v>0.1026</v>
      </c>
      <c r="E144" s="3" t="s">
        <v>258</v>
      </c>
    </row>
    <row r="145" spans="2:15" x14ac:dyDescent="0.25">
      <c r="B145" s="6" t="s">
        <v>259</v>
      </c>
      <c r="C145" s="8">
        <v>9.2200000000000004E-2</v>
      </c>
      <c r="E145" s="3" t="s">
        <v>260</v>
      </c>
    </row>
    <row r="146" spans="2:15" x14ac:dyDescent="0.25">
      <c r="B146" s="10" t="s">
        <v>261</v>
      </c>
      <c r="C146" s="8">
        <v>9.7100000000000006E-2</v>
      </c>
      <c r="E146" s="3" t="s">
        <v>252</v>
      </c>
    </row>
    <row r="148" spans="2:15" x14ac:dyDescent="0.25">
      <c r="B148" s="13" t="s">
        <v>262</v>
      </c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</row>
    <row r="149" spans="2:15" x14ac:dyDescent="0.25">
      <c r="B149" s="3" t="s">
        <v>263</v>
      </c>
    </row>
    <row r="150" spans="2:15" x14ac:dyDescent="0.25">
      <c r="B150" s="10" t="s">
        <v>264</v>
      </c>
      <c r="E150" s="10" t="s">
        <v>265</v>
      </c>
      <c r="F150" s="10" t="s">
        <v>266</v>
      </c>
      <c r="G150" s="10" t="s">
        <v>267</v>
      </c>
      <c r="H150" s="10" t="s">
        <v>268</v>
      </c>
      <c r="I150" s="10" t="s">
        <v>269</v>
      </c>
    </row>
    <row r="151" spans="2:15" x14ac:dyDescent="0.25">
      <c r="B151" s="6" t="s">
        <v>270</v>
      </c>
      <c r="E151" s="6" t="s">
        <v>271</v>
      </c>
      <c r="F151" s="6" t="s">
        <v>272</v>
      </c>
      <c r="G151" s="6" t="s">
        <v>273</v>
      </c>
      <c r="H151" s="21">
        <v>10000</v>
      </c>
      <c r="I151" s="3"/>
    </row>
    <row r="152" spans="2:15" x14ac:dyDescent="0.25">
      <c r="B152" s="6" t="s">
        <v>274</v>
      </c>
      <c r="E152" s="6" t="s">
        <v>271</v>
      </c>
      <c r="F152" s="6" t="s">
        <v>275</v>
      </c>
      <c r="G152" s="6" t="s">
        <v>273</v>
      </c>
      <c r="H152" s="21">
        <v>12000</v>
      </c>
      <c r="I152" s="3"/>
    </row>
    <row r="153" spans="2:15" x14ac:dyDescent="0.25">
      <c r="B153" s="6" t="s">
        <v>276</v>
      </c>
      <c r="E153" s="6" t="s">
        <v>271</v>
      </c>
      <c r="F153" s="6" t="s">
        <v>277</v>
      </c>
      <c r="G153" s="6" t="s">
        <v>273</v>
      </c>
      <c r="H153" s="21">
        <v>3000</v>
      </c>
      <c r="I153" s="3" t="s">
        <v>278</v>
      </c>
    </row>
    <row r="154" spans="2:15" x14ac:dyDescent="0.25">
      <c r="B154" s="6" t="s">
        <v>279</v>
      </c>
      <c r="E154" s="6" t="s">
        <v>271</v>
      </c>
      <c r="F154" s="8">
        <v>0.10059999999999999</v>
      </c>
      <c r="G154" s="6" t="s">
        <v>280</v>
      </c>
      <c r="H154" s="21">
        <v>12762</v>
      </c>
      <c r="I154" s="3" t="s">
        <v>281</v>
      </c>
    </row>
    <row r="155" spans="2:15" x14ac:dyDescent="0.25">
      <c r="B155" s="6" t="s">
        <v>282</v>
      </c>
      <c r="E155" s="6" t="s">
        <v>271</v>
      </c>
      <c r="F155" s="6" t="s">
        <v>283</v>
      </c>
      <c r="G155" s="6" t="s">
        <v>284</v>
      </c>
      <c r="H155" s="21">
        <v>2238</v>
      </c>
      <c r="I155" s="3" t="s">
        <v>285</v>
      </c>
    </row>
    <row r="156" spans="2:15" x14ac:dyDescent="0.25">
      <c r="B156" s="6" t="s">
        <v>286</v>
      </c>
      <c r="E156" s="6" t="s">
        <v>271</v>
      </c>
      <c r="F156" s="8">
        <v>9.2200000000000004E-2</v>
      </c>
      <c r="G156" s="6" t="s">
        <v>287</v>
      </c>
      <c r="H156" s="21">
        <v>7867</v>
      </c>
      <c r="I156" s="3" t="s">
        <v>288</v>
      </c>
    </row>
    <row r="157" spans="2:15" x14ac:dyDescent="0.25">
      <c r="B157" s="6" t="s">
        <v>289</v>
      </c>
      <c r="E157" s="6" t="s">
        <v>271</v>
      </c>
      <c r="F157" s="6" t="s">
        <v>290</v>
      </c>
      <c r="G157" s="6" t="s">
        <v>291</v>
      </c>
      <c r="H157" s="21">
        <v>4133</v>
      </c>
      <c r="I157" s="3" t="s">
        <v>292</v>
      </c>
    </row>
    <row r="158" spans="2:15" x14ac:dyDescent="0.25">
      <c r="B158" s="6" t="s">
        <v>293</v>
      </c>
      <c r="E158" s="6" t="s">
        <v>294</v>
      </c>
      <c r="F158" s="6" t="s">
        <v>273</v>
      </c>
      <c r="G158" s="6" t="s">
        <v>295</v>
      </c>
      <c r="H158" s="21">
        <v>500</v>
      </c>
      <c r="I158" s="3" t="s">
        <v>296</v>
      </c>
    </row>
    <row r="159" spans="2:15" x14ac:dyDescent="0.25">
      <c r="B159" s="6" t="s">
        <v>297</v>
      </c>
      <c r="E159" s="6" t="s">
        <v>294</v>
      </c>
      <c r="F159" s="6" t="s">
        <v>273</v>
      </c>
      <c r="G159" s="6" t="s">
        <v>298</v>
      </c>
      <c r="H159" s="21">
        <v>650</v>
      </c>
      <c r="I159" s="3" t="s">
        <v>296</v>
      </c>
    </row>
    <row r="160" spans="2:15" x14ac:dyDescent="0.25">
      <c r="B160" s="6" t="s">
        <v>299</v>
      </c>
      <c r="E160" s="6" t="s">
        <v>294</v>
      </c>
      <c r="F160" s="6" t="s">
        <v>273</v>
      </c>
      <c r="G160" s="6" t="s">
        <v>300</v>
      </c>
      <c r="H160" s="21">
        <v>600</v>
      </c>
      <c r="I160" s="3" t="s">
        <v>296</v>
      </c>
    </row>
    <row r="161" spans="2:15" x14ac:dyDescent="0.25">
      <c r="B161" s="6" t="s">
        <v>301</v>
      </c>
      <c r="E161" s="6" t="s">
        <v>294</v>
      </c>
      <c r="F161" s="6" t="s">
        <v>273</v>
      </c>
      <c r="G161" s="6" t="s">
        <v>302</v>
      </c>
      <c r="H161" s="21">
        <v>600</v>
      </c>
      <c r="I161" s="3" t="s">
        <v>296</v>
      </c>
    </row>
    <row r="162" spans="2:15" x14ac:dyDescent="0.25">
      <c r="B162" s="6" t="s">
        <v>303</v>
      </c>
      <c r="E162" s="6" t="s">
        <v>294</v>
      </c>
      <c r="F162" s="6" t="s">
        <v>273</v>
      </c>
      <c r="G162" s="6" t="s">
        <v>304</v>
      </c>
      <c r="H162" s="21">
        <v>550</v>
      </c>
      <c r="I162" s="3" t="s">
        <v>296</v>
      </c>
    </row>
    <row r="163" spans="2:15" x14ac:dyDescent="0.25">
      <c r="B163" s="6" t="s">
        <v>305</v>
      </c>
      <c r="E163" s="6" t="s">
        <v>294</v>
      </c>
      <c r="F163" s="6" t="s">
        <v>273</v>
      </c>
      <c r="G163" s="6" t="s">
        <v>306</v>
      </c>
      <c r="H163" s="21">
        <v>900</v>
      </c>
      <c r="I163" s="3" t="s">
        <v>307</v>
      </c>
    </row>
    <row r="164" spans="2:15" x14ac:dyDescent="0.25">
      <c r="B164" s="6" t="s">
        <v>308</v>
      </c>
      <c r="E164" s="6" t="s">
        <v>294</v>
      </c>
      <c r="F164" s="6" t="s">
        <v>273</v>
      </c>
      <c r="G164" s="6" t="s">
        <v>309</v>
      </c>
      <c r="H164" s="21">
        <v>800</v>
      </c>
      <c r="I164" s="3" t="s">
        <v>296</v>
      </c>
    </row>
    <row r="165" spans="2:15" x14ac:dyDescent="0.25">
      <c r="B165" s="3" t="s">
        <v>310</v>
      </c>
    </row>
    <row r="167" spans="2:15" x14ac:dyDescent="0.25">
      <c r="B167" s="4" t="s">
        <v>311</v>
      </c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</row>
    <row r="168" spans="2:15" x14ac:dyDescent="0.25">
      <c r="B168" s="6" t="s">
        <v>312</v>
      </c>
      <c r="C168" s="22">
        <f>$N$125*(1+(1-$C$20)*$C$141)</f>
        <v>0.80569009999999996</v>
      </c>
    </row>
    <row r="169" spans="2:15" x14ac:dyDescent="0.25">
      <c r="B169" s="6" t="s">
        <v>313</v>
      </c>
      <c r="C169" s="9">
        <f>$C$17+$C$168*$C$19+$C$18+$C$15</f>
        <v>0.12943651126550315</v>
      </c>
    </row>
    <row r="170" spans="2:15" x14ac:dyDescent="0.25">
      <c r="B170" s="6" t="s">
        <v>314</v>
      </c>
      <c r="C170" s="24">
        <f>1/(1+$C$141)</f>
        <v>0.57369055131661983</v>
      </c>
    </row>
    <row r="171" spans="2:15" x14ac:dyDescent="0.25">
      <c r="B171" s="6" t="s">
        <v>315</v>
      </c>
      <c r="C171" s="9">
        <f>$C$169*$C$170</f>
        <v>7.4256503508406374E-2</v>
      </c>
    </row>
    <row r="172" spans="2:15" x14ac:dyDescent="0.25">
      <c r="B172" s="6" t="s">
        <v>316</v>
      </c>
      <c r="C172" s="9">
        <f>$C$146*(1-$C$20)</f>
        <v>6.7970000000000003E-2</v>
      </c>
    </row>
    <row r="173" spans="2:15" x14ac:dyDescent="0.25">
      <c r="B173" s="6" t="s">
        <v>317</v>
      </c>
      <c r="C173" s="24">
        <f>$C$141/(1+$C$141)</f>
        <v>0.42630944868338017</v>
      </c>
    </row>
    <row r="174" spans="2:15" x14ac:dyDescent="0.25">
      <c r="B174" s="6" t="s">
        <v>318</v>
      </c>
      <c r="C174" s="9">
        <f>$C$172*$C$173</f>
        <v>2.8976253227009349E-2</v>
      </c>
    </row>
    <row r="175" spans="2:15" x14ac:dyDescent="0.25">
      <c r="B175" s="10" t="s">
        <v>319</v>
      </c>
      <c r="C175" s="11">
        <f>$C$171+$C$174</f>
        <v>0.10323275673541572</v>
      </c>
    </row>
    <row r="176" spans="2:15" x14ac:dyDescent="0.25">
      <c r="B176" s="6" t="s">
        <v>320</v>
      </c>
      <c r="C176" s="8">
        <v>0.1032327567354157</v>
      </c>
    </row>
    <row r="177" spans="2:15" x14ac:dyDescent="0.25">
      <c r="B177" s="10" t="s">
        <v>321</v>
      </c>
      <c r="C177" s="18" t="str">
        <f>IF(ABS($C$175-$C$176)&lt;0.000001,"OK","DIFFERENT SELECTION")</f>
        <v>OK</v>
      </c>
      <c r="E177" s="3" t="s">
        <v>322</v>
      </c>
    </row>
    <row r="178" spans="2:15" x14ac:dyDescent="0.25">
      <c r="B178" s="6" t="s">
        <v>323</v>
      </c>
      <c r="C178" s="9">
        <f>$C$17+$C$168*($C$19+$C$18)+$C$15</f>
        <v>0.12545386962501395</v>
      </c>
    </row>
    <row r="179" spans="2:15" x14ac:dyDescent="0.25">
      <c r="B179" s="6" t="s">
        <v>324</v>
      </c>
      <c r="C179" s="9">
        <f>$C$170*$C$178+$C$173*$C$172</f>
        <v>0.10094795285698695</v>
      </c>
      <c r="E179" s="3" t="s">
        <v>325</v>
      </c>
    </row>
    <row r="181" spans="2:15" x14ac:dyDescent="0.25">
      <c r="B181" s="4" t="s">
        <v>326</v>
      </c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</row>
    <row r="182" spans="2:15" x14ac:dyDescent="0.25">
      <c r="B182" s="13" t="s">
        <v>327</v>
      </c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</row>
    <row r="183" spans="2:15" x14ac:dyDescent="0.25">
      <c r="C183" s="9">
        <f>$C$146+(-0.01)</f>
        <v>8.7100000000000011E-2</v>
      </c>
      <c r="D183" s="9">
        <f>$C$146+(-0.005)</f>
        <v>9.2100000000000001E-2</v>
      </c>
      <c r="E183" s="9">
        <f>$C$146+(0)</f>
        <v>9.7100000000000006E-2</v>
      </c>
      <c r="F183" s="9">
        <f>$C$146+(0.005)</f>
        <v>0.10210000000000001</v>
      </c>
      <c r="G183" s="9">
        <f>$C$146+(0.01)</f>
        <v>0.1071</v>
      </c>
    </row>
    <row r="184" spans="2:15" x14ac:dyDescent="0.25">
      <c r="B184" s="12">
        <v>0.25</v>
      </c>
      <c r="C184" s="9">
        <f t="shared" ref="C184:G190" si="4">(1-$B184)*($C$17+$N$125*(1+(1-$C$20)*($B184/(1-$B184)))*$C$19+$C$18+$C$15)+$B184*C$183*(1-$C$20)</f>
        <v>0.10753114529912737</v>
      </c>
      <c r="D184" s="9">
        <f t="shared" si="4"/>
        <v>0.10840614529912737</v>
      </c>
      <c r="E184" s="9">
        <f t="shared" si="4"/>
        <v>0.10928114529912736</v>
      </c>
      <c r="F184" s="9">
        <f t="shared" si="4"/>
        <v>0.11015614529912737</v>
      </c>
      <c r="G184" s="9">
        <f t="shared" si="4"/>
        <v>0.11103114529912736</v>
      </c>
    </row>
    <row r="185" spans="2:15" x14ac:dyDescent="0.25">
      <c r="B185" s="12">
        <v>0.3</v>
      </c>
      <c r="C185" s="9">
        <f t="shared" si="4"/>
        <v>0.10546586894585221</v>
      </c>
      <c r="D185" s="9">
        <f t="shared" si="4"/>
        <v>0.1065158689458522</v>
      </c>
      <c r="E185" s="9">
        <f t="shared" si="4"/>
        <v>0.10756586894585221</v>
      </c>
      <c r="F185" s="9">
        <f t="shared" si="4"/>
        <v>0.10861586894585221</v>
      </c>
      <c r="G185" s="9">
        <f t="shared" si="4"/>
        <v>0.1096658689458522</v>
      </c>
    </row>
    <row r="186" spans="2:15" x14ac:dyDescent="0.25">
      <c r="B186" s="12">
        <v>0.35</v>
      </c>
      <c r="C186" s="9">
        <f t="shared" si="4"/>
        <v>0.10340059259257706</v>
      </c>
      <c r="D186" s="9">
        <f t="shared" si="4"/>
        <v>0.10462559259257706</v>
      </c>
      <c r="E186" s="9">
        <f t="shared" si="4"/>
        <v>0.10585059259257706</v>
      </c>
      <c r="F186" s="9">
        <f t="shared" si="4"/>
        <v>0.10707559259257707</v>
      </c>
      <c r="G186" s="9">
        <f t="shared" si="4"/>
        <v>0.10830059259257706</v>
      </c>
    </row>
    <row r="187" spans="2:15" x14ac:dyDescent="0.25">
      <c r="B187" s="12">
        <v>0.4</v>
      </c>
      <c r="C187" s="9">
        <f t="shared" si="4"/>
        <v>0.10133531623930189</v>
      </c>
      <c r="D187" s="9">
        <f t="shared" si="4"/>
        <v>0.10273531623930189</v>
      </c>
      <c r="E187" s="9">
        <f t="shared" si="4"/>
        <v>0.10413531623930189</v>
      </c>
      <c r="F187" s="9">
        <f t="shared" si="4"/>
        <v>0.10553531623930189</v>
      </c>
      <c r="G187" s="9">
        <f t="shared" si="4"/>
        <v>0.10693531623930189</v>
      </c>
    </row>
    <row r="188" spans="2:15" x14ac:dyDescent="0.25">
      <c r="B188" s="12">
        <v>0.45</v>
      </c>
      <c r="C188" s="9">
        <f t="shared" si="4"/>
        <v>9.9270039886026742E-2</v>
      </c>
      <c r="D188" s="9">
        <f t="shared" si="4"/>
        <v>0.10084503988602674</v>
      </c>
      <c r="E188" s="9">
        <f t="shared" si="4"/>
        <v>0.10242003988602674</v>
      </c>
      <c r="F188" s="9">
        <f t="shared" si="4"/>
        <v>0.10399503988602674</v>
      </c>
      <c r="G188" s="9">
        <f t="shared" si="4"/>
        <v>0.10557003988602673</v>
      </c>
    </row>
    <row r="189" spans="2:15" x14ac:dyDescent="0.25">
      <c r="B189" s="12">
        <v>0.5</v>
      </c>
      <c r="C189" s="9">
        <f t="shared" si="4"/>
        <v>9.7204763532751579E-2</v>
      </c>
      <c r="D189" s="9">
        <f t="shared" si="4"/>
        <v>9.895476353275158E-2</v>
      </c>
      <c r="E189" s="9">
        <f t="shared" si="4"/>
        <v>0.10070476353275158</v>
      </c>
      <c r="F189" s="9">
        <f t="shared" si="4"/>
        <v>0.10245476353275158</v>
      </c>
      <c r="G189" s="9">
        <f t="shared" si="4"/>
        <v>0.10420476353275157</v>
      </c>
    </row>
    <row r="190" spans="2:15" x14ac:dyDescent="0.25">
      <c r="B190" s="12">
        <v>0.55000000000000004</v>
      </c>
      <c r="C190" s="9">
        <f t="shared" si="4"/>
        <v>9.5139487179476429E-2</v>
      </c>
      <c r="D190" s="9">
        <f t="shared" si="4"/>
        <v>9.7064487179476425E-2</v>
      </c>
      <c r="E190" s="9">
        <f t="shared" si="4"/>
        <v>9.8989487179476421E-2</v>
      </c>
      <c r="F190" s="9">
        <f t="shared" si="4"/>
        <v>0.10091448717947643</v>
      </c>
      <c r="G190" s="9">
        <f t="shared" si="4"/>
        <v>0.10283948717947641</v>
      </c>
    </row>
    <row r="192" spans="2:15" x14ac:dyDescent="0.25">
      <c r="B192" s="13" t="s">
        <v>328</v>
      </c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</row>
    <row r="193" spans="2:7" x14ac:dyDescent="0.25">
      <c r="C193" s="9">
        <f>$C$19+(-0.01)</f>
        <v>3.2000000000000001E-2</v>
      </c>
      <c r="D193" s="9">
        <f>$C$19+(-0.005)</f>
        <v>3.7000000000000005E-2</v>
      </c>
      <c r="E193" s="9">
        <f>$C$19+(0)</f>
        <v>4.2000000000000003E-2</v>
      </c>
      <c r="F193" s="9">
        <f>$C$19+(0.005)</f>
        <v>4.7E-2</v>
      </c>
      <c r="G193" s="9">
        <f>$C$19+(0.01)</f>
        <v>5.2000000000000005E-2</v>
      </c>
    </row>
    <row r="194" spans="2:7" x14ac:dyDescent="0.25">
      <c r="B194" s="22">
        <f>$N$125+(-0.2)</f>
        <v>0.33</v>
      </c>
      <c r="C194" s="9">
        <f t="shared" ref="C194:G198" si="5">$C$170*($C$17+$B194*(1+(1-$C$20)*$C$141)*C$193+$C$18+$C$15)+$C$173*$C$172</f>
        <v>9.3029102900294383E-2</v>
      </c>
      <c r="D194" s="9">
        <f t="shared" si="5"/>
        <v>9.4468079723196111E-2</v>
      </c>
      <c r="E194" s="9">
        <f t="shared" si="5"/>
        <v>9.5907056546097838E-2</v>
      </c>
      <c r="F194" s="9">
        <f t="shared" si="5"/>
        <v>9.7346033368999565E-2</v>
      </c>
      <c r="G194" s="9">
        <f t="shared" si="5"/>
        <v>9.8785010191901293E-2</v>
      </c>
    </row>
    <row r="195" spans="2:7" x14ac:dyDescent="0.25">
      <c r="B195" s="22">
        <f>$N$125+(-0.1)</f>
        <v>0.43000000000000005</v>
      </c>
      <c r="C195" s="9">
        <f t="shared" si="5"/>
        <v>9.5819845829558339E-2</v>
      </c>
      <c r="D195" s="9">
        <f t="shared" si="5"/>
        <v>9.7694876235157574E-2</v>
      </c>
      <c r="E195" s="9">
        <f t="shared" si="5"/>
        <v>9.9569906640756781E-2</v>
      </c>
      <c r="F195" s="9">
        <f t="shared" si="5"/>
        <v>0.101444937046356</v>
      </c>
      <c r="G195" s="9">
        <f t="shared" si="5"/>
        <v>0.10331996745195522</v>
      </c>
    </row>
    <row r="196" spans="2:7" x14ac:dyDescent="0.25">
      <c r="B196" s="22">
        <f>$N$125+(0)</f>
        <v>0.53</v>
      </c>
      <c r="C196" s="9">
        <f t="shared" si="5"/>
        <v>9.8610588758822296E-2</v>
      </c>
      <c r="D196" s="9">
        <f t="shared" si="5"/>
        <v>0.10092167274711901</v>
      </c>
      <c r="E196" s="9">
        <f t="shared" si="5"/>
        <v>0.10323275673541572</v>
      </c>
      <c r="F196" s="9">
        <f t="shared" si="5"/>
        <v>0.10554384072371244</v>
      </c>
      <c r="G196" s="9">
        <f t="shared" si="5"/>
        <v>0.10785492471200915</v>
      </c>
    </row>
    <row r="197" spans="2:7" x14ac:dyDescent="0.25">
      <c r="B197" s="22">
        <f>$N$125+(0.1)</f>
        <v>0.63</v>
      </c>
      <c r="C197" s="9">
        <f t="shared" si="5"/>
        <v>0.10140133168808625</v>
      </c>
      <c r="D197" s="9">
        <f t="shared" si="5"/>
        <v>0.10414846925908046</v>
      </c>
      <c r="E197" s="9">
        <f t="shared" si="5"/>
        <v>0.10689560683007467</v>
      </c>
      <c r="F197" s="9">
        <f t="shared" si="5"/>
        <v>0.10964274440106886</v>
      </c>
      <c r="G197" s="9">
        <f t="shared" si="5"/>
        <v>0.11238988197206308</v>
      </c>
    </row>
    <row r="198" spans="2:7" x14ac:dyDescent="0.25">
      <c r="B198" s="22">
        <f>$N$125+(0.2)</f>
        <v>0.73</v>
      </c>
      <c r="C198" s="9">
        <f t="shared" si="5"/>
        <v>0.10419207461735021</v>
      </c>
      <c r="D198" s="9">
        <f t="shared" si="5"/>
        <v>0.10737526577104189</v>
      </c>
      <c r="E198" s="9">
        <f t="shared" si="5"/>
        <v>0.11055845692473361</v>
      </c>
      <c r="F198" s="9">
        <f t="shared" si="5"/>
        <v>0.11374164807842529</v>
      </c>
      <c r="G198" s="9">
        <f t="shared" si="5"/>
        <v>0.11692483923211699</v>
      </c>
    </row>
    <row r="200" spans="2:7" x14ac:dyDescent="0.25">
      <c r="B200" s="3" t="s">
        <v>329</v>
      </c>
    </row>
  </sheetData>
  <dataValidations count="2">
    <dataValidation type="list" sqref="C7" xr:uid="{00000000-0002-0000-0000-000000000000}">
      <formula1>"1,2"</formula1>
    </dataValidation>
    <dataValidation type="list" sqref="C8:C9" xr:uid="{00000000-0002-0000-0000-000001000000}">
      <formula1>"1,2,3,4"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36"/>
  <sheetViews>
    <sheetView workbookViewId="0"/>
  </sheetViews>
  <sheetFormatPr defaultRowHeight="15" x14ac:dyDescent="0.25"/>
  <cols>
    <col min="2" max="2" width="46" customWidth="1"/>
    <col min="3" max="3" width="14" customWidth="1"/>
    <col min="4" max="5" width="12" customWidth="1"/>
    <col min="6" max="6" width="80" customWidth="1"/>
    <col min="7" max="7" width="12" customWidth="1"/>
  </cols>
  <sheetData>
    <row r="2" spans="2:7" ht="18.75" x14ac:dyDescent="0.3">
      <c r="B2" s="1" t="s">
        <v>330</v>
      </c>
    </row>
    <row r="3" spans="2:7" x14ac:dyDescent="0.25">
      <c r="B3" s="3" t="s">
        <v>331</v>
      </c>
    </row>
    <row r="5" spans="2:7" x14ac:dyDescent="0.25">
      <c r="B5" s="4" t="s">
        <v>332</v>
      </c>
      <c r="C5" s="4" t="s">
        <v>148</v>
      </c>
      <c r="D5" s="4" t="s">
        <v>149</v>
      </c>
      <c r="E5" s="4" t="s">
        <v>333</v>
      </c>
      <c r="F5" s="4" t="s">
        <v>151</v>
      </c>
      <c r="G5" s="4" t="s">
        <v>334</v>
      </c>
    </row>
    <row r="6" spans="2:7" x14ac:dyDescent="0.25">
      <c r="B6" s="6" t="s">
        <v>335</v>
      </c>
      <c r="C6" s="25">
        <v>58.6</v>
      </c>
      <c r="D6" s="6" t="s">
        <v>271</v>
      </c>
      <c r="E6" s="6" t="s">
        <v>336</v>
      </c>
      <c r="F6" s="6" t="s">
        <v>337</v>
      </c>
      <c r="G6" s="6" t="s">
        <v>154</v>
      </c>
    </row>
    <row r="7" spans="2:7" x14ac:dyDescent="0.25">
      <c r="B7" s="6" t="s">
        <v>338</v>
      </c>
      <c r="C7" s="6" t="s">
        <v>339</v>
      </c>
      <c r="D7" s="6" t="s">
        <v>271</v>
      </c>
      <c r="E7" s="6" t="s">
        <v>336</v>
      </c>
      <c r="F7" s="6" t="s">
        <v>340</v>
      </c>
      <c r="G7" s="6" t="s">
        <v>341</v>
      </c>
    </row>
    <row r="8" spans="2:7" x14ac:dyDescent="0.25">
      <c r="B8" s="6" t="s">
        <v>342</v>
      </c>
      <c r="C8" s="25">
        <v>4294.9437150000003</v>
      </c>
      <c r="D8" s="6" t="s">
        <v>343</v>
      </c>
      <c r="E8" s="6" t="s">
        <v>336</v>
      </c>
      <c r="F8" s="6" t="s">
        <v>344</v>
      </c>
      <c r="G8" s="6" t="s">
        <v>345</v>
      </c>
    </row>
    <row r="9" spans="2:7" x14ac:dyDescent="0.25">
      <c r="B9" s="6" t="s">
        <v>346</v>
      </c>
      <c r="C9" s="25">
        <v>251683.7</v>
      </c>
      <c r="D9" s="6" t="s">
        <v>347</v>
      </c>
      <c r="E9" s="6" t="s">
        <v>348</v>
      </c>
      <c r="F9" s="6" t="s">
        <v>349</v>
      </c>
      <c r="G9" s="6" t="s">
        <v>154</v>
      </c>
    </row>
    <row r="10" spans="2:7" x14ac:dyDescent="0.25">
      <c r="B10" s="6" t="s">
        <v>350</v>
      </c>
      <c r="C10" s="26">
        <v>9.2600000000000002E-2</v>
      </c>
      <c r="D10" s="6" t="s">
        <v>351</v>
      </c>
      <c r="E10" s="6" t="s">
        <v>336</v>
      </c>
      <c r="F10" s="6" t="s">
        <v>352</v>
      </c>
      <c r="G10" s="6" t="s">
        <v>154</v>
      </c>
    </row>
    <row r="11" spans="2:7" x14ac:dyDescent="0.25">
      <c r="B11" s="6" t="s">
        <v>353</v>
      </c>
      <c r="C11" s="26">
        <v>5.0900000000000001E-2</v>
      </c>
      <c r="D11" s="6" t="s">
        <v>351</v>
      </c>
      <c r="E11" s="6" t="s">
        <v>336</v>
      </c>
      <c r="F11" s="6" t="s">
        <v>352</v>
      </c>
      <c r="G11" s="6" t="s">
        <v>154</v>
      </c>
    </row>
    <row r="12" spans="2:7" x14ac:dyDescent="0.25">
      <c r="B12" s="6" t="s">
        <v>354</v>
      </c>
      <c r="C12" s="26">
        <v>9.5300000000000003E-3</v>
      </c>
      <c r="D12" s="6" t="s">
        <v>351</v>
      </c>
      <c r="E12" s="6" t="s">
        <v>336</v>
      </c>
      <c r="F12" s="6" t="s">
        <v>355</v>
      </c>
      <c r="G12" s="6" t="s">
        <v>154</v>
      </c>
    </row>
    <row r="13" spans="2:7" x14ac:dyDescent="0.25">
      <c r="B13" s="6" t="s">
        <v>356</v>
      </c>
      <c r="C13" s="26">
        <v>4.2000000000000003E-2</v>
      </c>
      <c r="D13" s="6" t="s">
        <v>351</v>
      </c>
      <c r="E13" s="6" t="s">
        <v>336</v>
      </c>
      <c r="F13" s="6" t="s">
        <v>357</v>
      </c>
      <c r="G13" s="6" t="s">
        <v>358</v>
      </c>
    </row>
    <row r="14" spans="2:7" x14ac:dyDescent="0.25">
      <c r="B14" s="6" t="s">
        <v>359</v>
      </c>
      <c r="C14" s="6" t="s">
        <v>360</v>
      </c>
      <c r="D14" s="6" t="s">
        <v>351</v>
      </c>
      <c r="E14" s="6" t="s">
        <v>336</v>
      </c>
      <c r="F14" s="6" t="s">
        <v>361</v>
      </c>
      <c r="G14" s="6" t="s">
        <v>362</v>
      </c>
    </row>
    <row r="15" spans="2:7" x14ac:dyDescent="0.25">
      <c r="B15" s="6" t="s">
        <v>363</v>
      </c>
      <c r="C15" s="6" t="s">
        <v>364</v>
      </c>
      <c r="D15" s="6" t="s">
        <v>365</v>
      </c>
      <c r="E15" s="6" t="s">
        <v>336</v>
      </c>
      <c r="F15" s="6" t="s">
        <v>366</v>
      </c>
      <c r="G15" s="6" t="s">
        <v>367</v>
      </c>
    </row>
    <row r="16" spans="2:7" x14ac:dyDescent="0.25">
      <c r="B16" s="6" t="s">
        <v>368</v>
      </c>
      <c r="C16" s="6" t="s">
        <v>369</v>
      </c>
      <c r="D16" s="6" t="s">
        <v>351</v>
      </c>
      <c r="E16" s="6" t="s">
        <v>336</v>
      </c>
      <c r="F16" s="6" t="s">
        <v>370</v>
      </c>
      <c r="G16" s="6" t="s">
        <v>371</v>
      </c>
    </row>
    <row r="17" spans="2:7" x14ac:dyDescent="0.25">
      <c r="B17" s="6" t="s">
        <v>372</v>
      </c>
      <c r="C17" s="6" t="s">
        <v>373</v>
      </c>
      <c r="D17" s="6" t="s">
        <v>351</v>
      </c>
      <c r="E17" s="6" t="s">
        <v>336</v>
      </c>
      <c r="F17" s="6" t="s">
        <v>374</v>
      </c>
      <c r="G17" s="6" t="s">
        <v>358</v>
      </c>
    </row>
    <row r="18" spans="2:7" x14ac:dyDescent="0.25">
      <c r="B18" s="6" t="s">
        <v>375</v>
      </c>
      <c r="C18" s="25">
        <v>11029.4</v>
      </c>
      <c r="D18" s="6" t="s">
        <v>347</v>
      </c>
      <c r="E18" s="6" t="s">
        <v>336</v>
      </c>
      <c r="F18" s="6" t="s">
        <v>376</v>
      </c>
      <c r="G18" s="6" t="s">
        <v>377</v>
      </c>
    </row>
    <row r="19" spans="2:7" x14ac:dyDescent="0.25">
      <c r="B19" s="6" t="s">
        <v>378</v>
      </c>
      <c r="C19" s="25">
        <v>13011.5</v>
      </c>
      <c r="D19" s="6" t="s">
        <v>347</v>
      </c>
      <c r="E19" s="6" t="s">
        <v>336</v>
      </c>
      <c r="F19" s="6" t="s">
        <v>379</v>
      </c>
      <c r="G19" s="6" t="s">
        <v>377</v>
      </c>
    </row>
    <row r="20" spans="2:7" x14ac:dyDescent="0.25">
      <c r="B20" s="6" t="s">
        <v>380</v>
      </c>
      <c r="C20" s="25">
        <v>1864.2</v>
      </c>
      <c r="D20" s="6" t="s">
        <v>347</v>
      </c>
      <c r="E20" s="6" t="s">
        <v>348</v>
      </c>
      <c r="F20" s="6" t="s">
        <v>381</v>
      </c>
      <c r="G20" s="6" t="s">
        <v>377</v>
      </c>
    </row>
    <row r="21" spans="2:7" x14ac:dyDescent="0.25">
      <c r="B21" s="6" t="s">
        <v>382</v>
      </c>
      <c r="C21" s="6" t="s">
        <v>383</v>
      </c>
      <c r="D21" s="6" t="s">
        <v>347</v>
      </c>
      <c r="E21" s="6" t="s">
        <v>336</v>
      </c>
      <c r="F21" s="6" t="s">
        <v>384</v>
      </c>
      <c r="G21" s="6" t="s">
        <v>377</v>
      </c>
    </row>
    <row r="22" spans="2:7" x14ac:dyDescent="0.25">
      <c r="B22" s="6" t="s">
        <v>385</v>
      </c>
      <c r="C22" s="26">
        <v>0.32</v>
      </c>
      <c r="D22" s="6" t="s">
        <v>365</v>
      </c>
      <c r="E22" s="6" t="s">
        <v>386</v>
      </c>
      <c r="F22" s="6" t="s">
        <v>387</v>
      </c>
      <c r="G22" s="6" t="s">
        <v>154</v>
      </c>
    </row>
    <row r="23" spans="2:7" x14ac:dyDescent="0.25">
      <c r="B23" s="6" t="s">
        <v>388</v>
      </c>
      <c r="C23" s="26">
        <v>9.2600000000000002E-2</v>
      </c>
      <c r="D23" s="6" t="s">
        <v>351</v>
      </c>
      <c r="E23" s="6" t="s">
        <v>336</v>
      </c>
      <c r="F23" s="6" t="s">
        <v>389</v>
      </c>
      <c r="G23" s="6" t="s">
        <v>390</v>
      </c>
    </row>
    <row r="24" spans="2:7" x14ac:dyDescent="0.25">
      <c r="B24" s="6" t="s">
        <v>391</v>
      </c>
      <c r="C24" s="6" t="s">
        <v>392</v>
      </c>
      <c r="D24" s="6" t="s">
        <v>347</v>
      </c>
      <c r="E24" s="6" t="s">
        <v>336</v>
      </c>
      <c r="F24" s="6" t="s">
        <v>393</v>
      </c>
      <c r="G24" s="6" t="s">
        <v>394</v>
      </c>
    </row>
    <row r="25" spans="2:7" x14ac:dyDescent="0.25">
      <c r="B25" s="6" t="s">
        <v>395</v>
      </c>
      <c r="C25" s="6" t="s">
        <v>396</v>
      </c>
      <c r="D25" s="6" t="s">
        <v>347</v>
      </c>
      <c r="E25" s="6" t="s">
        <v>336</v>
      </c>
      <c r="F25" s="6" t="s">
        <v>397</v>
      </c>
      <c r="G25" s="6" t="s">
        <v>377</v>
      </c>
    </row>
    <row r="26" spans="2:7" x14ac:dyDescent="0.25">
      <c r="B26" s="6" t="s">
        <v>398</v>
      </c>
      <c r="C26" s="25">
        <v>6507</v>
      </c>
      <c r="D26" s="6" t="s">
        <v>347</v>
      </c>
      <c r="E26" s="6" t="s">
        <v>336</v>
      </c>
      <c r="F26" s="6" t="s">
        <v>399</v>
      </c>
      <c r="G26" s="6" t="s">
        <v>394</v>
      </c>
    </row>
    <row r="27" spans="2:7" x14ac:dyDescent="0.25">
      <c r="B27" s="6" t="s">
        <v>400</v>
      </c>
      <c r="C27" s="25">
        <v>12999</v>
      </c>
      <c r="D27" s="6" t="s">
        <v>347</v>
      </c>
      <c r="E27" s="6" t="s">
        <v>336</v>
      </c>
      <c r="F27" s="6" t="s">
        <v>401</v>
      </c>
      <c r="G27" s="6" t="s">
        <v>394</v>
      </c>
    </row>
    <row r="28" spans="2:7" x14ac:dyDescent="0.25">
      <c r="B28" s="6" t="s">
        <v>402</v>
      </c>
      <c r="C28" s="25">
        <v>3185</v>
      </c>
      <c r="D28" s="6" t="s">
        <v>347</v>
      </c>
      <c r="E28" s="6" t="s">
        <v>336</v>
      </c>
      <c r="F28" s="6" t="s">
        <v>403</v>
      </c>
      <c r="G28" s="6" t="s">
        <v>394</v>
      </c>
    </row>
    <row r="29" spans="2:7" x14ac:dyDescent="0.25">
      <c r="B29" s="6" t="s">
        <v>404</v>
      </c>
      <c r="C29" s="25">
        <v>4216</v>
      </c>
      <c r="D29" s="6" t="s">
        <v>347</v>
      </c>
      <c r="E29" s="6" t="s">
        <v>336</v>
      </c>
      <c r="F29" s="6" t="s">
        <v>405</v>
      </c>
      <c r="G29" s="6" t="s">
        <v>394</v>
      </c>
    </row>
    <row r="30" spans="2:7" x14ac:dyDescent="0.25">
      <c r="B30" s="6" t="s">
        <v>406</v>
      </c>
      <c r="C30" s="25">
        <v>7018</v>
      </c>
      <c r="D30" s="6" t="s">
        <v>347</v>
      </c>
      <c r="E30" s="6" t="s">
        <v>336</v>
      </c>
      <c r="F30" s="6" t="s">
        <v>407</v>
      </c>
      <c r="G30" s="6" t="s">
        <v>394</v>
      </c>
    </row>
    <row r="31" spans="2:7" x14ac:dyDescent="0.25">
      <c r="B31" s="6" t="s">
        <v>408</v>
      </c>
      <c r="C31" s="25">
        <v>907</v>
      </c>
      <c r="D31" s="6" t="s">
        <v>347</v>
      </c>
      <c r="E31" s="6" t="s">
        <v>336</v>
      </c>
      <c r="F31" s="6" t="s">
        <v>409</v>
      </c>
      <c r="G31" s="6" t="s">
        <v>377</v>
      </c>
    </row>
    <row r="32" spans="2:7" x14ac:dyDescent="0.25">
      <c r="B32" s="6" t="s">
        <v>410</v>
      </c>
      <c r="C32" s="6" t="s">
        <v>411</v>
      </c>
      <c r="D32" s="6" t="s">
        <v>347</v>
      </c>
      <c r="E32" s="6" t="s">
        <v>336</v>
      </c>
      <c r="F32" s="6" t="s">
        <v>412</v>
      </c>
      <c r="G32" s="6" t="s">
        <v>394</v>
      </c>
    </row>
    <row r="33" spans="2:7" x14ac:dyDescent="0.25">
      <c r="B33" s="6" t="s">
        <v>413</v>
      </c>
      <c r="C33" s="26">
        <v>1.075</v>
      </c>
      <c r="D33" s="6" t="s">
        <v>414</v>
      </c>
      <c r="E33" s="6" t="s">
        <v>336</v>
      </c>
      <c r="F33" s="6" t="s">
        <v>415</v>
      </c>
      <c r="G33" s="6" t="s">
        <v>416</v>
      </c>
    </row>
    <row r="34" spans="2:7" x14ac:dyDescent="0.25">
      <c r="B34" s="6" t="s">
        <v>417</v>
      </c>
      <c r="C34" s="26">
        <v>1.05</v>
      </c>
      <c r="D34" s="6" t="s">
        <v>414</v>
      </c>
      <c r="E34" s="6" t="s">
        <v>336</v>
      </c>
      <c r="F34" s="6" t="s">
        <v>418</v>
      </c>
      <c r="G34" s="6" t="s">
        <v>419</v>
      </c>
    </row>
    <row r="36" spans="2:7" x14ac:dyDescent="0.25">
      <c r="B36" s="3" t="s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WACC</vt:lpstr>
      <vt:lpstr>Inputs_Sources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Arturo Romo Alba</cp:lastModifiedBy>
  <dcterms:created xsi:type="dcterms:W3CDTF">2026-10-17T17:06:37Z</dcterms:created>
  <dcterms:modified xsi:type="dcterms:W3CDTF">2026-10-17T17:06:42Z</dcterms:modified>
</cp:coreProperties>
</file>