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EB1C12DD-F0D4-4626-9939-9DDB302A2A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DCF" sheetId="2" r:id="rId2"/>
    <sheet name="Reverse_DCF" sheetId="3" r:id="rId3"/>
    <sheet name="Levers" sheetId="4" r:id="rId4"/>
    <sheet name="Dated_Check" sheetId="5" r:id="rId5"/>
    <sheet name="Engine_Recon" sheetId="6" r:id="rId6"/>
    <sheet name="Inputs_Sources" sheetId="7" r:id="rId7"/>
    <sheet name="Check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8" l="1"/>
  <c r="C15" i="8"/>
  <c r="C14" i="8"/>
  <c r="C13" i="8"/>
  <c r="C12" i="8"/>
  <c r="C11" i="8"/>
  <c r="C6" i="8"/>
  <c r="C5" i="8"/>
  <c r="E52" i="6"/>
  <c r="J52" i="6" s="1"/>
  <c r="K52" i="6" s="1"/>
  <c r="E51" i="6"/>
  <c r="J51" i="6" s="1"/>
  <c r="K51" i="6" s="1"/>
  <c r="D18" i="5"/>
  <c r="D8" i="5"/>
  <c r="D13" i="5" s="1"/>
  <c r="D10" i="3"/>
  <c r="H214" i="2"/>
  <c r="G214" i="2"/>
  <c r="F214" i="2"/>
  <c r="E214" i="2"/>
  <c r="D214" i="2"/>
  <c r="H206" i="2"/>
  <c r="G206" i="2"/>
  <c r="F206" i="2"/>
  <c r="E206" i="2"/>
  <c r="D206" i="2"/>
  <c r="H198" i="2"/>
  <c r="G198" i="2"/>
  <c r="F198" i="2"/>
  <c r="E198" i="2"/>
  <c r="D198" i="2"/>
  <c r="H190" i="2"/>
  <c r="G190" i="2"/>
  <c r="F190" i="2"/>
  <c r="E190" i="2"/>
  <c r="D190" i="2"/>
  <c r="H182" i="2"/>
  <c r="G182" i="2"/>
  <c r="F182" i="2"/>
  <c r="E182" i="2"/>
  <c r="D182" i="2"/>
  <c r="D155" i="2"/>
  <c r="D127" i="2"/>
  <c r="D122" i="2"/>
  <c r="R102" i="2"/>
  <c r="Q102" i="2"/>
  <c r="P102" i="2"/>
  <c r="O102" i="2"/>
  <c r="N102" i="2"/>
  <c r="M102" i="2"/>
  <c r="L102" i="2"/>
  <c r="K102" i="2"/>
  <c r="J102" i="2"/>
  <c r="I102" i="2"/>
  <c r="H97" i="2"/>
  <c r="G97" i="2"/>
  <c r="F97" i="2"/>
  <c r="F98" i="2" s="1"/>
  <c r="F86" i="2" s="1"/>
  <c r="E97" i="2"/>
  <c r="D97" i="2"/>
  <c r="H83" i="2"/>
  <c r="G83" i="2"/>
  <c r="F83" i="2"/>
  <c r="E83" i="2"/>
  <c r="D83" i="2"/>
  <c r="R80" i="2"/>
  <c r="Q80" i="2"/>
  <c r="P80" i="2"/>
  <c r="O80" i="2"/>
  <c r="N80" i="2"/>
  <c r="M80" i="2"/>
  <c r="L80" i="2"/>
  <c r="K80" i="2"/>
  <c r="J80" i="2"/>
  <c r="I80" i="2"/>
  <c r="H72" i="2"/>
  <c r="G72" i="2"/>
  <c r="F72" i="2"/>
  <c r="E72" i="2"/>
  <c r="D72" i="2"/>
  <c r="H70" i="2"/>
  <c r="G70" i="2"/>
  <c r="F70" i="2"/>
  <c r="E70" i="2"/>
  <c r="I68" i="2"/>
  <c r="J68" i="2" s="1"/>
  <c r="K68" i="2" s="1"/>
  <c r="L68" i="2" s="1"/>
  <c r="M68" i="2" s="1"/>
  <c r="N68" i="2" s="1"/>
  <c r="O68" i="2" s="1"/>
  <c r="P68" i="2" s="1"/>
  <c r="Q68" i="2" s="1"/>
  <c r="R68" i="2" s="1"/>
  <c r="I67" i="2"/>
  <c r="J67" i="2" s="1"/>
  <c r="K67" i="2" s="1"/>
  <c r="L67" i="2" s="1"/>
  <c r="M67" i="2" s="1"/>
  <c r="N67" i="2" s="1"/>
  <c r="O67" i="2" s="1"/>
  <c r="P67" i="2" s="1"/>
  <c r="Q67" i="2" s="1"/>
  <c r="R67" i="2" s="1"/>
  <c r="I66" i="2"/>
  <c r="J66" i="2" s="1"/>
  <c r="K66" i="2" s="1"/>
  <c r="L66" i="2" s="1"/>
  <c r="M66" i="2" s="1"/>
  <c r="N66" i="2" s="1"/>
  <c r="O66" i="2" s="1"/>
  <c r="P66" i="2" s="1"/>
  <c r="Q66" i="2" s="1"/>
  <c r="R66" i="2" s="1"/>
  <c r="I65" i="2"/>
  <c r="J65" i="2" s="1"/>
  <c r="K65" i="2" s="1"/>
  <c r="L65" i="2" s="1"/>
  <c r="M65" i="2" s="1"/>
  <c r="N65" i="2" s="1"/>
  <c r="O65" i="2" s="1"/>
  <c r="P65" i="2" s="1"/>
  <c r="Q65" i="2" s="1"/>
  <c r="R65" i="2" s="1"/>
  <c r="I64" i="2"/>
  <c r="D31" i="2"/>
  <c r="D30" i="2"/>
  <c r="D29" i="2"/>
  <c r="D27" i="2"/>
  <c r="D28" i="2" s="1"/>
  <c r="E13" i="2"/>
  <c r="D13" i="2"/>
  <c r="D10" i="2"/>
  <c r="H98" i="2" l="1"/>
  <c r="H86" i="2" s="1"/>
  <c r="G98" i="2"/>
  <c r="G86" i="2" s="1"/>
  <c r="E98" i="2"/>
  <c r="E86" i="2" s="1"/>
  <c r="J64" i="2"/>
  <c r="I69" i="2"/>
  <c r="H75" i="2"/>
  <c r="H73" i="2"/>
  <c r="G75" i="2"/>
  <c r="G73" i="2"/>
  <c r="F75" i="2"/>
  <c r="F73" i="2"/>
  <c r="E75" i="2"/>
  <c r="E73" i="2"/>
  <c r="D75" i="2"/>
  <c r="D73" i="2"/>
  <c r="I84" i="2"/>
  <c r="I74" i="2"/>
  <c r="I71" i="2"/>
  <c r="I72" i="2" s="1"/>
  <c r="I70" i="2"/>
  <c r="K64" i="2"/>
  <c r="J69" i="2"/>
  <c r="D134" i="2"/>
  <c r="D44" i="5"/>
  <c r="E12" i="2"/>
  <c r="D32" i="2"/>
  <c r="I164" i="2" l="1"/>
  <c r="I163" i="2"/>
  <c r="I165" i="2" s="1"/>
  <c r="I96" i="2"/>
  <c r="I94" i="2"/>
  <c r="I92" i="2"/>
  <c r="I77" i="2"/>
  <c r="I83" i="2" s="1"/>
  <c r="I85" i="2"/>
  <c r="H76" i="2"/>
  <c r="H78" i="2"/>
  <c r="H79" i="2" s="1"/>
  <c r="H81" i="2"/>
  <c r="H82" i="2"/>
  <c r="H87" i="2" s="1"/>
  <c r="G76" i="2"/>
  <c r="G81" i="2"/>
  <c r="G82" i="2"/>
  <c r="G87" i="2" s="1"/>
  <c r="G78" i="2"/>
  <c r="G79" i="2" s="1"/>
  <c r="F78" i="2"/>
  <c r="F79" i="2" s="1"/>
  <c r="F81" i="2"/>
  <c r="F82" i="2"/>
  <c r="F87" i="2" s="1"/>
  <c r="F76" i="2"/>
  <c r="E76" i="2"/>
  <c r="E78" i="2"/>
  <c r="E79" i="2" s="1"/>
  <c r="E81" i="2"/>
  <c r="E82" i="2"/>
  <c r="E87" i="2" s="1"/>
  <c r="D76" i="2"/>
  <c r="D81" i="2"/>
  <c r="D82" i="2"/>
  <c r="D78" i="2"/>
  <c r="D79" i="2" s="1"/>
  <c r="I93" i="2"/>
  <c r="I95" i="2"/>
  <c r="I73" i="2"/>
  <c r="I75" i="2"/>
  <c r="L64" i="2"/>
  <c r="K69" i="2"/>
  <c r="J74" i="2"/>
  <c r="J77" i="2"/>
  <c r="J83" i="2" s="1"/>
  <c r="J84" i="2"/>
  <c r="J85" i="2"/>
  <c r="J92" i="2"/>
  <c r="J94" i="2"/>
  <c r="J70" i="2"/>
  <c r="J71" i="2"/>
  <c r="J72" i="2" s="1"/>
  <c r="J96" i="2"/>
  <c r="J163" i="2"/>
  <c r="J164" i="2"/>
  <c r="D6" i="3"/>
  <c r="E53" i="6"/>
  <c r="J53" i="6" s="1"/>
  <c r="K53" i="6" s="1"/>
  <c r="D12" i="2"/>
  <c r="E6" i="6"/>
  <c r="C219" i="2"/>
  <c r="C218" i="2"/>
  <c r="C217" i="2"/>
  <c r="C216" i="2"/>
  <c r="C187" i="2"/>
  <c r="C215" i="2"/>
  <c r="C211" i="2"/>
  <c r="C210" i="2"/>
  <c r="C209" i="2"/>
  <c r="C208" i="2"/>
  <c r="C207" i="2"/>
  <c r="C203" i="2"/>
  <c r="C202" i="2"/>
  <c r="C201" i="2"/>
  <c r="C200" i="2"/>
  <c r="C199" i="2"/>
  <c r="C195" i="2"/>
  <c r="C194" i="2"/>
  <c r="C193" i="2"/>
  <c r="C192" i="2"/>
  <c r="C191" i="2"/>
  <c r="C186" i="2"/>
  <c r="C185" i="2"/>
  <c r="C184" i="2"/>
  <c r="C183" i="2"/>
  <c r="D154" i="2"/>
  <c r="C4" i="8" s="1"/>
  <c r="R103" i="2"/>
  <c r="E45" i="6" s="1"/>
  <c r="J45" i="6" s="1"/>
  <c r="K45" i="6" s="1"/>
  <c r="Q103" i="2"/>
  <c r="E44" i="6" s="1"/>
  <c r="J44" i="6" s="1"/>
  <c r="K44" i="6" s="1"/>
  <c r="P103" i="2"/>
  <c r="E43" i="6" s="1"/>
  <c r="J43" i="6" s="1"/>
  <c r="K43" i="6" s="1"/>
  <c r="O103" i="2"/>
  <c r="E42" i="6" s="1"/>
  <c r="J42" i="6" s="1"/>
  <c r="K42" i="6" s="1"/>
  <c r="N103" i="2"/>
  <c r="E41" i="6" s="1"/>
  <c r="J41" i="6" s="1"/>
  <c r="K41" i="6" s="1"/>
  <c r="M103" i="2"/>
  <c r="E40" i="6" s="1"/>
  <c r="J40" i="6" s="1"/>
  <c r="K40" i="6" s="1"/>
  <c r="L103" i="2"/>
  <c r="E39" i="6" s="1"/>
  <c r="J39" i="6" s="1"/>
  <c r="K39" i="6" s="1"/>
  <c r="K103" i="2"/>
  <c r="E38" i="6" s="1"/>
  <c r="J38" i="6" s="1"/>
  <c r="K38" i="6" s="1"/>
  <c r="J103" i="2"/>
  <c r="E37" i="6" s="1"/>
  <c r="J37" i="6" s="1"/>
  <c r="K37" i="6" s="1"/>
  <c r="I103" i="2"/>
  <c r="E36" i="6" s="1"/>
  <c r="J36" i="6" s="1"/>
  <c r="K36" i="6" s="1"/>
  <c r="I81" i="2" l="1"/>
  <c r="I82" i="2"/>
  <c r="I87" i="2" s="1"/>
  <c r="I76" i="2"/>
  <c r="I78" i="2"/>
  <c r="M64" i="2"/>
  <c r="L69" i="2"/>
  <c r="K71" i="2"/>
  <c r="K72" i="2"/>
  <c r="K74" i="2"/>
  <c r="K77" i="2"/>
  <c r="K83" i="2" s="1"/>
  <c r="K84" i="2"/>
  <c r="K85" i="2"/>
  <c r="K70" i="2"/>
  <c r="K92" i="2"/>
  <c r="K94" i="2"/>
  <c r="K96" i="2"/>
  <c r="K163" i="2"/>
  <c r="K164" i="2"/>
  <c r="J73" i="2"/>
  <c r="J75" i="2"/>
  <c r="J93" i="2"/>
  <c r="J95" i="2"/>
  <c r="F6" i="6"/>
  <c r="G6" i="6"/>
  <c r="H6" i="6" s="1"/>
  <c r="J6" i="6"/>
  <c r="K6" i="6" s="1"/>
  <c r="I97" i="2"/>
  <c r="I98" i="2" s="1"/>
  <c r="I86" i="2" s="1"/>
  <c r="J165" i="2"/>
  <c r="J97" i="2" l="1"/>
  <c r="J98" i="2" s="1"/>
  <c r="J86" i="2" s="1"/>
  <c r="I89" i="2"/>
  <c r="I104" i="2"/>
  <c r="I166" i="2"/>
  <c r="I167" i="2" s="1"/>
  <c r="D14" i="5"/>
  <c r="D15" i="5" s="1"/>
  <c r="D19" i="5" s="1"/>
  <c r="E16" i="6"/>
  <c r="E26" i="6"/>
  <c r="I79" i="2"/>
  <c r="N64" i="2"/>
  <c r="M69" i="2"/>
  <c r="L77" i="2"/>
  <c r="L83" i="2" s="1"/>
  <c r="L70" i="2"/>
  <c r="L74" i="2"/>
  <c r="L84" i="2"/>
  <c r="L85" i="2"/>
  <c r="L71" i="2"/>
  <c r="L72" i="2" s="1"/>
  <c r="L92" i="2"/>
  <c r="L94" i="2"/>
  <c r="L96" i="2"/>
  <c r="L163" i="2"/>
  <c r="L164" i="2"/>
  <c r="K93" i="2"/>
  <c r="K95" i="2"/>
  <c r="K73" i="2"/>
  <c r="K75" i="2"/>
  <c r="J76" i="2"/>
  <c r="J81" i="2"/>
  <c r="J82" i="2"/>
  <c r="J78" i="2"/>
  <c r="K165" i="2"/>
  <c r="L165" i="2" s="1"/>
  <c r="J87" i="2" l="1"/>
  <c r="F16" i="6"/>
  <c r="G16" i="6"/>
  <c r="J16" i="6"/>
  <c r="K16" i="6" s="1"/>
  <c r="F26" i="6"/>
  <c r="G26" i="6"/>
  <c r="H26" i="6" s="1"/>
  <c r="J26" i="6"/>
  <c r="K26" i="6" s="1"/>
  <c r="O64" i="2"/>
  <c r="N69" i="2"/>
  <c r="M84" i="2"/>
  <c r="M85" i="2"/>
  <c r="M77" i="2"/>
  <c r="M83" i="2" s="1"/>
  <c r="M92" i="2"/>
  <c r="M94" i="2"/>
  <c r="M71" i="2"/>
  <c r="M96" i="2"/>
  <c r="M163" i="2"/>
  <c r="M164" i="2"/>
  <c r="M70" i="2"/>
  <c r="M72" i="2"/>
  <c r="M74" i="2"/>
  <c r="L73" i="2"/>
  <c r="L75" i="2"/>
  <c r="L93" i="2"/>
  <c r="L95" i="2"/>
  <c r="K78" i="2"/>
  <c r="K81" i="2"/>
  <c r="K82" i="2"/>
  <c r="K76" i="2"/>
  <c r="J88" i="2"/>
  <c r="J89" i="2"/>
  <c r="J104" i="2"/>
  <c r="J166" i="2"/>
  <c r="J167" i="2" s="1"/>
  <c r="D20" i="5"/>
  <c r="E17" i="6"/>
  <c r="J79" i="2"/>
  <c r="E27" i="6"/>
  <c r="K97" i="2"/>
  <c r="K98" i="2" s="1"/>
  <c r="K86" i="2" s="1"/>
  <c r="K87" i="2" l="1"/>
  <c r="P64" i="2"/>
  <c r="O69" i="2"/>
  <c r="N96" i="2"/>
  <c r="N163" i="2"/>
  <c r="N164" i="2"/>
  <c r="N70" i="2"/>
  <c r="N71" i="2"/>
  <c r="N72" i="2" s="1"/>
  <c r="N74" i="2"/>
  <c r="N77" i="2"/>
  <c r="N83" i="2" s="1"/>
  <c r="N84" i="2"/>
  <c r="N85" i="2"/>
  <c r="N92" i="2"/>
  <c r="N94" i="2"/>
  <c r="M93" i="2"/>
  <c r="M97" i="2" s="1"/>
  <c r="M95" i="2"/>
  <c r="M73" i="2"/>
  <c r="M75" i="2"/>
  <c r="L76" i="2"/>
  <c r="L78" i="2"/>
  <c r="L81" i="2"/>
  <c r="L82" i="2"/>
  <c r="K79" i="2"/>
  <c r="E28" i="6"/>
  <c r="F17" i="6"/>
  <c r="G17" i="6"/>
  <c r="H17" i="6" s="1"/>
  <c r="J17" i="6"/>
  <c r="K17" i="6" s="1"/>
  <c r="F27" i="6"/>
  <c r="G27" i="6"/>
  <c r="H27" i="6" s="1"/>
  <c r="J27" i="6"/>
  <c r="K27" i="6" s="1"/>
  <c r="M165" i="2"/>
  <c r="N165" i="2" s="1"/>
  <c r="L97" i="2"/>
  <c r="L98" i="2" s="1"/>
  <c r="L86" i="2" s="1"/>
  <c r="H16" i="6"/>
  <c r="M98" i="2" l="1"/>
  <c r="M86" i="2" s="1"/>
  <c r="L87" i="2"/>
  <c r="K88" i="2"/>
  <c r="K89" i="2"/>
  <c r="K104" i="2"/>
  <c r="K166" i="2"/>
  <c r="K167" i="2" s="1"/>
  <c r="D21" i="5"/>
  <c r="E18" i="6"/>
  <c r="Q64" i="2"/>
  <c r="P69" i="2"/>
  <c r="O71" i="2"/>
  <c r="O72" i="2" s="1"/>
  <c r="O74" i="2"/>
  <c r="O77" i="2"/>
  <c r="O83" i="2" s="1"/>
  <c r="O84" i="2"/>
  <c r="O85" i="2"/>
  <c r="O70" i="2"/>
  <c r="O92" i="2"/>
  <c r="O94" i="2"/>
  <c r="O96" i="2"/>
  <c r="O163" i="2"/>
  <c r="O164" i="2"/>
  <c r="N73" i="2"/>
  <c r="N75" i="2"/>
  <c r="N93" i="2"/>
  <c r="N95" i="2"/>
  <c r="M76" i="2"/>
  <c r="M81" i="2"/>
  <c r="M78" i="2"/>
  <c r="M82" i="2"/>
  <c r="M87" i="2" s="1"/>
  <c r="E29" i="6"/>
  <c r="L79" i="2"/>
  <c r="L88" i="2"/>
  <c r="L89" i="2"/>
  <c r="L166" i="2"/>
  <c r="L167" i="2" s="1"/>
  <c r="L104" i="2"/>
  <c r="D22" i="5"/>
  <c r="E19" i="6"/>
  <c r="F28" i="6"/>
  <c r="G28" i="6"/>
  <c r="H28" i="6" s="1"/>
  <c r="J28" i="6"/>
  <c r="K28" i="6" s="1"/>
  <c r="F18" i="6"/>
  <c r="G18" i="6"/>
  <c r="H18" i="6" s="1"/>
  <c r="J18" i="6"/>
  <c r="K18" i="6" s="1"/>
  <c r="N97" i="2" l="1"/>
  <c r="N98" i="2" s="1"/>
  <c r="N86" i="2" s="1"/>
  <c r="R64" i="2"/>
  <c r="R69" i="2" s="1"/>
  <c r="Q69" i="2"/>
  <c r="P71" i="2"/>
  <c r="P92" i="2"/>
  <c r="P94" i="2"/>
  <c r="P70" i="2"/>
  <c r="P96" i="2"/>
  <c r="P163" i="2"/>
  <c r="P164" i="2"/>
  <c r="P72" i="2"/>
  <c r="P74" i="2"/>
  <c r="P77" i="2"/>
  <c r="P83" i="2" s="1"/>
  <c r="P84" i="2"/>
  <c r="P85" i="2"/>
  <c r="O93" i="2"/>
  <c r="O95" i="2"/>
  <c r="O75" i="2"/>
  <c r="O73" i="2"/>
  <c r="N76" i="2"/>
  <c r="N78" i="2"/>
  <c r="N81" i="2"/>
  <c r="N82" i="2" s="1"/>
  <c r="E30" i="6"/>
  <c r="M79" i="2"/>
  <c r="M88" i="2"/>
  <c r="M89" i="2"/>
  <c r="M166" i="2"/>
  <c r="M167" i="2" s="1"/>
  <c r="M104" i="2"/>
  <c r="D23" i="5"/>
  <c r="E20" i="6"/>
  <c r="F29" i="6"/>
  <c r="G29" i="6"/>
  <c r="H29" i="6" s="1"/>
  <c r="J29" i="6"/>
  <c r="K29" i="6" s="1"/>
  <c r="F19" i="6"/>
  <c r="G19" i="6"/>
  <c r="H19" i="6" s="1"/>
  <c r="J19" i="6"/>
  <c r="K19" i="6" s="1"/>
  <c r="O165" i="2"/>
  <c r="N87" i="2" l="1"/>
  <c r="R77" i="2"/>
  <c r="R83" i="2" s="1"/>
  <c r="R74" i="2"/>
  <c r="R84" i="2"/>
  <c r="R85" i="2"/>
  <c r="R70" i="2"/>
  <c r="R92" i="2"/>
  <c r="R94" i="2"/>
  <c r="R71" i="2"/>
  <c r="R72" i="2" s="1"/>
  <c r="R96" i="2"/>
  <c r="R163" i="2"/>
  <c r="R164" i="2"/>
  <c r="Q70" i="2"/>
  <c r="Q74" i="2"/>
  <c r="Q71" i="2"/>
  <c r="Q72" i="2" s="1"/>
  <c r="Q84" i="2"/>
  <c r="Q85" i="2"/>
  <c r="Q77" i="2"/>
  <c r="Q83" i="2" s="1"/>
  <c r="Q92" i="2"/>
  <c r="Q94" i="2"/>
  <c r="Q96" i="2"/>
  <c r="Q163" i="2"/>
  <c r="Q164" i="2"/>
  <c r="P93" i="2"/>
  <c r="P97" i="2" s="1"/>
  <c r="P98" i="2" s="1"/>
  <c r="P86" i="2" s="1"/>
  <c r="P95" i="2"/>
  <c r="P73" i="2"/>
  <c r="P75" i="2"/>
  <c r="O76" i="2"/>
  <c r="O81" i="2"/>
  <c r="O82" i="2"/>
  <c r="O78" i="2"/>
  <c r="N79" i="2"/>
  <c r="E31" i="6"/>
  <c r="F30" i="6"/>
  <c r="G30" i="6"/>
  <c r="H30" i="6" s="1"/>
  <c r="J30" i="6"/>
  <c r="K30" i="6" s="1"/>
  <c r="F20" i="6"/>
  <c r="G20" i="6"/>
  <c r="H20" i="6" s="1"/>
  <c r="J20" i="6"/>
  <c r="K20" i="6" s="1"/>
  <c r="O97" i="2"/>
  <c r="O98" i="2" s="1"/>
  <c r="O86" i="2" s="1"/>
  <c r="P165" i="2"/>
  <c r="O87" i="2" l="1"/>
  <c r="N88" i="2"/>
  <c r="N89" i="2"/>
  <c r="N104" i="2"/>
  <c r="N166" i="2"/>
  <c r="N167" i="2" s="1"/>
  <c r="D24" i="5"/>
  <c r="E21" i="6"/>
  <c r="R73" i="2"/>
  <c r="R75" i="2"/>
  <c r="R95" i="2"/>
  <c r="R93" i="2"/>
  <c r="R97" i="2" s="1"/>
  <c r="Q75" i="2"/>
  <c r="Q73" i="2"/>
  <c r="Q93" i="2"/>
  <c r="Q95" i="2"/>
  <c r="P76" i="2"/>
  <c r="P78" i="2"/>
  <c r="P81" i="2"/>
  <c r="P82" i="2" s="1"/>
  <c r="P87" i="2" s="1"/>
  <c r="E32" i="6"/>
  <c r="O79" i="2"/>
  <c r="F31" i="6"/>
  <c r="G31" i="6"/>
  <c r="H31" i="6" s="1"/>
  <c r="J31" i="6"/>
  <c r="K31" i="6" s="1"/>
  <c r="Q165" i="2"/>
  <c r="R165" i="2" s="1"/>
  <c r="Q97" i="2" l="1"/>
  <c r="O88" i="2"/>
  <c r="O89" i="2"/>
  <c r="O166" i="2"/>
  <c r="O167" i="2" s="1"/>
  <c r="D25" i="5"/>
  <c r="O104" i="2"/>
  <c r="E22" i="6"/>
  <c r="F21" i="6"/>
  <c r="G21" i="6"/>
  <c r="H21" i="6" s="1"/>
  <c r="J21" i="6"/>
  <c r="K21" i="6" s="1"/>
  <c r="R76" i="2"/>
  <c r="R78" i="2"/>
  <c r="R81" i="2"/>
  <c r="R82" i="2" s="1"/>
  <c r="Q76" i="2"/>
  <c r="Q81" i="2"/>
  <c r="Q78" i="2"/>
  <c r="Q82" i="2"/>
  <c r="P88" i="2"/>
  <c r="P89" i="2"/>
  <c r="P166" i="2"/>
  <c r="P167" i="2" s="1"/>
  <c r="P104" i="2"/>
  <c r="D26" i="5"/>
  <c r="E23" i="6"/>
  <c r="P79" i="2"/>
  <c r="E33" i="6"/>
  <c r="F22" i="6"/>
  <c r="G22" i="6"/>
  <c r="H22" i="6" s="1"/>
  <c r="J22" i="6"/>
  <c r="K22" i="6" s="1"/>
  <c r="F32" i="6"/>
  <c r="G32" i="6"/>
  <c r="H32" i="6" s="1"/>
  <c r="J32" i="6"/>
  <c r="K32" i="6" s="1"/>
  <c r="Q98" i="2" l="1"/>
  <c r="Q86" i="2" s="1"/>
  <c r="Q87" i="2" s="1"/>
  <c r="R98" i="2"/>
  <c r="R86" i="2" s="1"/>
  <c r="D159" i="2" s="1"/>
  <c r="D160" i="2" s="1"/>
  <c r="R87" i="2"/>
  <c r="D158" i="2"/>
  <c r="D111" i="2"/>
  <c r="D207" i="2"/>
  <c r="D210" i="2"/>
  <c r="E35" i="6"/>
  <c r="R79" i="2"/>
  <c r="Q79" i="2"/>
  <c r="E34" i="6"/>
  <c r="Q88" i="2"/>
  <c r="Q89" i="2"/>
  <c r="Q104" i="2"/>
  <c r="Q166" i="2"/>
  <c r="Q167" i="2" s="1"/>
  <c r="D27" i="5"/>
  <c r="E24" i="6"/>
  <c r="F23" i="6"/>
  <c r="G23" i="6"/>
  <c r="H23" i="6" s="1"/>
  <c r="J23" i="6"/>
  <c r="K23" i="6" s="1"/>
  <c r="F33" i="6"/>
  <c r="G33" i="6"/>
  <c r="H33" i="6" s="1"/>
  <c r="J33" i="6"/>
  <c r="K33" i="6" s="1"/>
  <c r="E207" i="2" l="1"/>
  <c r="F207" i="2"/>
  <c r="G207" i="2"/>
  <c r="H207" i="2"/>
  <c r="D208" i="2"/>
  <c r="E208" i="2"/>
  <c r="F208" i="2"/>
  <c r="G208" i="2"/>
  <c r="H208" i="2"/>
  <c r="E209" i="2"/>
  <c r="G209" i="2"/>
  <c r="H209" i="2"/>
  <c r="F210" i="2"/>
  <c r="D209" i="2"/>
  <c r="F209" i="2"/>
  <c r="E210" i="2"/>
  <c r="G200" i="2"/>
  <c r="E200" i="2"/>
  <c r="E215" i="2"/>
  <c r="D203" i="2"/>
  <c r="H203" i="2"/>
  <c r="F201" i="2"/>
  <c r="E199" i="2"/>
  <c r="F199" i="2"/>
  <c r="H201" i="2"/>
  <c r="F202" i="2"/>
  <c r="H187" i="2"/>
  <c r="G195" i="2"/>
  <c r="E219" i="2"/>
  <c r="F217" i="2"/>
  <c r="G215" i="2"/>
  <c r="D202" i="2"/>
  <c r="D200" i="2"/>
  <c r="G199" i="2"/>
  <c r="D195" i="2"/>
  <c r="F195" i="2"/>
  <c r="G203" i="2"/>
  <c r="E203" i="2"/>
  <c r="F194" i="2"/>
  <c r="D193" i="2"/>
  <c r="H193" i="2"/>
  <c r="E218" i="2"/>
  <c r="D216" i="2"/>
  <c r="H202" i="2"/>
  <c r="F216" i="2"/>
  <c r="F187" i="2"/>
  <c r="G187" i="2"/>
  <c r="F215" i="2"/>
  <c r="H215" i="2"/>
  <c r="F203" i="2"/>
  <c r="E202" i="2"/>
  <c r="D201" i="2"/>
  <c r="E201" i="2"/>
  <c r="D194" i="2"/>
  <c r="G201" i="2"/>
  <c r="E193" i="2"/>
  <c r="E192" i="2"/>
  <c r="E217" i="2"/>
  <c r="D215" i="2"/>
  <c r="E195" i="2"/>
  <c r="D185" i="2"/>
  <c r="E184" i="2"/>
  <c r="H195" i="2"/>
  <c r="G202" i="2"/>
  <c r="G193" i="2"/>
  <c r="F192" i="2"/>
  <c r="G218" i="2"/>
  <c r="H200" i="2"/>
  <c r="D199" i="2"/>
  <c r="E185" i="2"/>
  <c r="G185" i="2"/>
  <c r="D184" i="2"/>
  <c r="F219" i="2"/>
  <c r="H219" i="2"/>
  <c r="F218" i="2"/>
  <c r="G217" i="2"/>
  <c r="G216" i="2"/>
  <c r="E187" i="2"/>
  <c r="E194" i="2"/>
  <c r="F200" i="2"/>
  <c r="F193" i="2"/>
  <c r="D192" i="2"/>
  <c r="H218" i="2"/>
  <c r="H216" i="2"/>
  <c r="H199" i="2"/>
  <c r="H217" i="2"/>
  <c r="F186" i="2"/>
  <c r="F185" i="2"/>
  <c r="H185" i="2"/>
  <c r="D219" i="2"/>
  <c r="G219" i="2"/>
  <c r="D218" i="2"/>
  <c r="D217" i="2"/>
  <c r="E216" i="2"/>
  <c r="D187" i="2"/>
  <c r="H186" i="2"/>
  <c r="F184" i="2"/>
  <c r="D183" i="2"/>
  <c r="F183" i="2"/>
  <c r="H184" i="2"/>
  <c r="G183" i="2"/>
  <c r="G186" i="2"/>
  <c r="D186" i="2"/>
  <c r="E186" i="2"/>
  <c r="G184" i="2"/>
  <c r="E183" i="2"/>
  <c r="H183" i="2"/>
  <c r="H191" i="2"/>
  <c r="G191" i="2"/>
  <c r="G194" i="2"/>
  <c r="D191" i="2"/>
  <c r="H194" i="2"/>
  <c r="E191" i="2"/>
  <c r="G192" i="2"/>
  <c r="F191" i="2"/>
  <c r="H192" i="2"/>
  <c r="R88" i="2"/>
  <c r="R89" i="2"/>
  <c r="D108" i="2"/>
  <c r="R166" i="2"/>
  <c r="R104" i="2"/>
  <c r="D107" i="2" s="1"/>
  <c r="D28" i="5"/>
  <c r="D32" i="5" s="1"/>
  <c r="D42" i="5" s="1"/>
  <c r="D48" i="5" s="1"/>
  <c r="E25" i="6"/>
  <c r="D112" i="2"/>
  <c r="D157" i="2"/>
  <c r="E13" i="6" s="1"/>
  <c r="D30" i="5"/>
  <c r="E49" i="6"/>
  <c r="J49" i="6" s="1"/>
  <c r="K49" i="6" s="1"/>
  <c r="F35" i="6"/>
  <c r="G35" i="6"/>
  <c r="H35" i="6" s="1"/>
  <c r="J35" i="6"/>
  <c r="K35" i="6" s="1"/>
  <c r="F34" i="6"/>
  <c r="G34" i="6"/>
  <c r="H34" i="6" s="1"/>
  <c r="J34" i="6"/>
  <c r="K34" i="6" s="1"/>
  <c r="F24" i="6"/>
  <c r="G24" i="6"/>
  <c r="H24" i="6" s="1"/>
  <c r="J24" i="6"/>
  <c r="K24" i="6" s="1"/>
  <c r="G210" i="2"/>
  <c r="H210" i="2"/>
  <c r="D211" i="2"/>
  <c r="E211" i="2"/>
  <c r="F211" i="2"/>
  <c r="G211" i="2"/>
  <c r="H211" i="2"/>
  <c r="D109" i="2" l="1"/>
  <c r="D110" i="2" s="1"/>
  <c r="D156" i="2"/>
  <c r="D29" i="5"/>
  <c r="D31" i="5" s="1"/>
  <c r="D41" i="5" s="1"/>
  <c r="D47" i="5" s="1"/>
  <c r="E47" i="6"/>
  <c r="J47" i="6" s="1"/>
  <c r="K47" i="6" s="1"/>
  <c r="R167" i="2"/>
  <c r="D168" i="2" s="1"/>
  <c r="D169" i="2"/>
  <c r="E46" i="6"/>
  <c r="J46" i="6" s="1"/>
  <c r="K46" i="6" s="1"/>
  <c r="D7" i="3"/>
  <c r="D113" i="2"/>
  <c r="D115" i="2" s="1"/>
  <c r="E15" i="2" s="1"/>
  <c r="F25" i="6"/>
  <c r="G25" i="6"/>
  <c r="H25" i="6" s="1"/>
  <c r="J25" i="6"/>
  <c r="K25" i="6" s="1"/>
  <c r="E50" i="6"/>
  <c r="J50" i="6" s="1"/>
  <c r="K50" i="6" s="1"/>
  <c r="F13" i="6"/>
  <c r="G13" i="6"/>
  <c r="H13" i="6" s="1"/>
  <c r="J13" i="6"/>
  <c r="K13" i="6" s="1"/>
  <c r="D56" i="5"/>
  <c r="D114" i="2" l="1"/>
  <c r="E48" i="6"/>
  <c r="J48" i="6" s="1"/>
  <c r="K48" i="6" s="1"/>
  <c r="C10" i="8"/>
  <c r="E12" i="6"/>
  <c r="D170" i="2"/>
  <c r="D171" i="2"/>
  <c r="D8" i="3"/>
  <c r="D9" i="3" s="1"/>
  <c r="E14" i="6" s="1"/>
  <c r="E14" i="2"/>
  <c r="E8" i="6"/>
  <c r="D143" i="2"/>
  <c r="D144" i="2" s="1"/>
  <c r="D145" i="2" s="1"/>
  <c r="D14" i="2"/>
  <c r="E7" i="6"/>
  <c r="D136" i="2"/>
  <c r="D137" i="2" s="1"/>
  <c r="D138" i="2" s="1"/>
  <c r="D52" i="5"/>
  <c r="E15" i="6" l="1"/>
  <c r="D15" i="2"/>
  <c r="C9" i="8"/>
  <c r="F12" i="6"/>
  <c r="G12" i="6"/>
  <c r="H12" i="6" s="1"/>
  <c r="J12" i="6"/>
  <c r="K12" i="6" s="1"/>
  <c r="D174" i="2"/>
  <c r="D172" i="2"/>
  <c r="D176" i="2" s="1"/>
  <c r="D16" i="2" s="1"/>
  <c r="D175" i="2"/>
  <c r="D173" i="2"/>
  <c r="D177" i="2" s="1"/>
  <c r="E16" i="2" s="1"/>
  <c r="J14" i="6"/>
  <c r="K14" i="6" s="1"/>
  <c r="G14" i="6"/>
  <c r="F14" i="6"/>
  <c r="F8" i="6"/>
  <c r="G8" i="6"/>
  <c r="J8" i="6"/>
  <c r="K8" i="6" s="1"/>
  <c r="D57" i="5"/>
  <c r="D146" i="2"/>
  <c r="E11" i="2" s="1"/>
  <c r="D149" i="2"/>
  <c r="D150" i="2" s="1"/>
  <c r="D55" i="5"/>
  <c r="E10" i="6"/>
  <c r="D8" i="2"/>
  <c r="F7" i="6"/>
  <c r="G7" i="6"/>
  <c r="J7" i="6"/>
  <c r="K7" i="6" s="1"/>
  <c r="D139" i="2"/>
  <c r="D11" i="2" s="1"/>
  <c r="D140" i="2"/>
  <c r="D148" i="2"/>
  <c r="D51" i="5"/>
  <c r="E9" i="6"/>
  <c r="D7" i="2"/>
  <c r="D54" i="5"/>
  <c r="D53" i="5"/>
  <c r="F15" i="6" l="1"/>
  <c r="G15" i="6"/>
  <c r="J15" i="6"/>
  <c r="K15" i="6" s="1"/>
  <c r="F10" i="6"/>
  <c r="G10" i="6"/>
  <c r="J10" i="6"/>
  <c r="K10" i="6" s="1"/>
  <c r="D141" i="2"/>
  <c r="E11" i="6"/>
  <c r="D9" i="2"/>
  <c r="F9" i="6"/>
  <c r="G9" i="6"/>
  <c r="H9" i="6" s="1"/>
  <c r="J9" i="6"/>
  <c r="K9" i="6" s="1"/>
  <c r="H8" i="6"/>
  <c r="H14" i="6"/>
  <c r="H7" i="6"/>
  <c r="F11" i="6" l="1"/>
  <c r="G11" i="6"/>
  <c r="H11" i="6" s="1"/>
  <c r="J11" i="6"/>
  <c r="K11" i="6" s="1"/>
  <c r="D58" i="6" s="1"/>
  <c r="C8" i="8" s="1"/>
  <c r="H10" i="6"/>
  <c r="D56" i="6" s="1"/>
  <c r="C7" i="8" s="1"/>
  <c r="H15" i="6"/>
</calcChain>
</file>

<file path=xl/sharedStrings.xml><?xml version="1.0" encoding="utf-8"?>
<sst xmlns="http://schemas.openxmlformats.org/spreadsheetml/2006/main" count="664" uniqueCount="504">
  <si>
    <t>Grupo Bimbo, S.A.B. de C.V. (BMV: BIMBO A) - DCF valuation workbook</t>
  </si>
  <si>
    <t>Valuation date 2026-10-16; MXN millions; IFRS. Generated 2026-10-17 by valuation/build/build_spg_workbooks.py from the canonical model inputs.</t>
  </si>
  <si>
    <t>'</t>
  </si>
  <si>
    <t>Sheets</t>
  </si>
  <si>
    <t>DCF - assumptions, drivers, projected free cash flow, working capital, discounting, terminal value, equity bridge, cross-checks, lease-schedule variant and sensitivity tables (layout after S&amp;P 'DCF Analysis').</t>
  </si>
  <si>
    <t>Reverse_DCF - terminal growth and revenue-growth shift implied by the market price.</t>
  </si>
  <si>
    <t>Dated_Check - independent valuation anchored at the 30-Jun-2026 balance sheet, rolled to the valuation date.</t>
  </si>
  <si>
    <t>Engine_Recon - line-by-line agreement with the project's model engine (model/model-summary.json).</t>
  </si>
  <si>
    <t>Inputs_Sources - every input with value, tag, source and date.  Checks - integrity checks.</t>
  </si>
  <si>
    <t>Conventions</t>
  </si>
  <si>
    <t>Cash flows discounted to 31-Dec-2025 (mid-year); Gordon TV discounted N - offset, exit TV discounted N; net debt incl. IFRS 16 leases at 31-Dec-2025; value per share rolled forward to today at the cost of equity.</t>
  </si>
  <si>
    <t>The terminal value, WACC inputs, story drivers, target price and rating are TEAM decisions; values here are tagged proposals until the team confirms them (AGENTS.md).</t>
  </si>
  <si>
    <t>Publication gate: report, deck and pitch read valuation/valuation-outputs.yaml, not this workbook or the engine summary directly.</t>
  </si>
  <si>
    <t>[sourced] from a filing or public source; [guidance] management statement; [assumption] team or assistant judgment (proposal until the team confirms); [calc] computed; [unverified] not yet tied to a source.</t>
  </si>
  <si>
    <t>Discounted Cash Flow Analysis</t>
  </si>
  <si>
    <t>Grupo Bimbo, S.A.B. de C.V. (BMV:BIMBO A) | valuation date 2026-10-16 | MXN millions, IFRS | layout after S&amp;P Capital IQ Pro 'DCF Analysis'</t>
  </si>
  <si>
    <t>Blue on yellow = input (change here); black = formula; green = link to another sheet. Every input carries a tag and source in 'Inputs_Sources'. [sourced] from a filing or public source; [guidance] management statement; [assumption] team or assistant judgment (proposal until the team confirms); [calc] computed; [unverified] not yet tied to a source.</t>
  </si>
  <si>
    <t>KEY OUTPUTS (engine conventions; see 'Checks' and 'Engine_Recon')</t>
  </si>
  <si>
    <t>Value per share today - Gordon (MXN)</t>
  </si>
  <si>
    <t>Value per share today - exit multiple (MXN)</t>
  </si>
  <si>
    <t>12-month target - Gordon, engine definition (MXN)</t>
  </si>
  <si>
    <t>Current share price (MXN)</t>
  </si>
  <si>
    <t>Premium / (discount) today - Gordon / exit</t>
  </si>
  <si>
    <t>WACC / cost of equity</t>
  </si>
  <si>
    <t>Terminal growth / exit multiple</t>
  </si>
  <si>
    <t>Enterprise value - Gordon / exit (MXN m)</t>
  </si>
  <si>
    <t>Terminal value share of EV - Gordon / exit</t>
  </si>
  <si>
    <t>Lease-schedule adjustment per share - Gordon / exit (MXN)</t>
  </si>
  <si>
    <t>Team target price</t>
  </si>
  <si>
    <t>null - team decision (CFA rules: the team sets the target and rating)</t>
  </si>
  <si>
    <t>ASSUMPTIONS - COST OF CAPITAL (from valuation/valuation.yaml; full build in BIMBOA_WACC_v1.xlsx)</t>
  </si>
  <si>
    <t>Risk-free rate</t>
  </si>
  <si>
    <t>[sourced] M-Bono 10y 9.26%, S&amp;P Capital IQ rates 2026-10-16 (wacc_inputs F1)</t>
  </si>
  <si>
    <t>Equity risk premium (mature market)</t>
  </si>
  <si>
    <t>[sourced] Damodaran implied ERP 4.20%, 1-Oct-2026 (wacc_inputs G1)</t>
  </si>
  <si>
    <t>Country risk premium</t>
  </si>
  <si>
    <t>[assumption] 0 on the local route (project guide wacc-latam.md); variant B in BIMBOA_WACC_v1.xlsx</t>
  </si>
  <si>
    <t>Unlevered beta</t>
  </si>
  <si>
    <t>[sourced] Damodaran Food Processing, Global, unlevered 0.53 (Jan-2026; wacc_inputs G6) - proposal; peer 5Y betas too low to use alone</t>
  </si>
  <si>
    <t>Target debt / equity (market values, debt incl. leases)</t>
  </si>
  <si>
    <t>[calc] Bimbo current market D/E incl. leases 0.743 = (153,660 + 33,361) / 251,684 (wacc_inputs D2) - proposal</t>
  </si>
  <si>
    <t>Pre-tax cost of debt (MXN)</t>
  </si>
  <si>
    <t>[calc] M-Bono 10y 9.26% + 0.45pp BIMBO 26 issue spread = 9.71% (wacc_inputs J2-B) - proposal</t>
  </si>
  <si>
    <t>Marginal tax rate (WACC)</t>
  </si>
  <si>
    <t>[sourced] Mexico statutory 30% (wacc_inputs D7)</t>
  </si>
  <si>
    <t>Relevered beta = unlevered x (1 + (1 - tax) x D/E)</t>
  </si>
  <si>
    <t>Cost of equity = rf + beta x ERP + CRP</t>
  </si>
  <si>
    <t>After-tax cost of debt</t>
  </si>
  <si>
    <t>Equity weight = 1 / (1 + D/E)</t>
  </si>
  <si>
    <t>Debt weight = D/E / (1 + D/E)</t>
  </si>
  <si>
    <t>WACC</t>
  </si>
  <si>
    <t>Same formula as the engine's WACC sheet; the reconciliation is in 'Engine_Recon'.</t>
  </si>
  <si>
    <t>ASSUMPTIONS - DISCOUNTING, TERMINAL VALUE AND SCENARIO SHIFTS</t>
  </si>
  <si>
    <t>Mid-year convention offset (0.5 = mid-year, 0 = end of year)</t>
  </si>
  <si>
    <t>Engine convention: cash flow t is discounted t - offset years from 31-Dec-2025.</t>
  </si>
  <si>
    <t>Years since last fiscal year-end (31-Dec-2025 to the valuation date)</t>
  </si>
  <si>
    <t>Roll-forward of equity value to today at the cost of equity (engine approximation).</t>
  </si>
  <si>
    <t>Terminal growth (g), nominal MXN</t>
  </si>
  <si>
    <t>[assumption] 4.25%: long-run mix of ~36% North America at ~3% in MXN and ~64% Mexico/LatAm/EAA at ~5% (team decision)</t>
  </si>
  <si>
    <t>Exit EV / EBITDA multiple (trailing, applied to final-year EBITDA)</t>
  </si>
  <si>
    <t>[calc] eligible-peer median LTM EV/EBITDA on the IFRS 16 basis (BIMBOA_PeerAnalysis_v1.xlsx) - team decision</t>
  </si>
  <si>
    <t>Long-term nominal GDP growth, MXN (cap for g)</t>
  </si>
  <si>
    <t>[assumption] 5.0% = ~2% real potential growth + 3% Banxico target (real growth source not yet retrieved)</t>
  </si>
  <si>
    <t>Scenario: revenue growth shift added to every forecast year (0 = base case)</t>
  </si>
  <si>
    <t>Used by the reverse DCF (Goal Seek this cell). Keep 0 for the base case.</t>
  </si>
  <si>
    <t>Scenario: gross margin shift, all forecast years (e.g. -0.01 = -100 bp wheat shock)</t>
  </si>
  <si>
    <t>Climate / input-cost scenario lever. Keep 0 for the base case.</t>
  </si>
  <si>
    <t>Scenario: capex / revenue shift, all forecast years (e.g. +0.005 = +50 bp)</t>
  </si>
  <si>
    <t>Reinvestment lever (debt / FCF pillar). Keep 0 for the base case.</t>
  </si>
  <si>
    <t>FORECAST DRIVERS (model/drivers.yaml; history = implied values)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</si>
  <si>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</si>
  <si>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</si>
  <si>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</si>
  <si>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</si>
  <si>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</si>
  <si>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</si>
  <si>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</si>
  <si>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</si>
  <si>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</si>
  <si>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</si>
  <si>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</si>
  <si>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</si>
  <si>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</si>
  <si>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</si>
  <si>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</si>
  <si>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Tag / source / note</t>
  </si>
  <si>
    <t>North America revenue growth</t>
  </si>
  <si>
    <t>[assumption] 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</si>
  <si>
    <t>Mexico revenue growth</t>
  </si>
  <si>
    <t>[assumption] STORY DRIVER (proposal). FY26 = 1H26 +4.6% and 2H26 +4.7% (1Q26 +4.5%, 2Q26 +4.7%) [calc]. FY27+: packaged bakery market ~3.5% value CAGR 2024-29E (RA25 p.111) plus price/mix with ~3.5-3.8% inflation; fades to 5.0% (long-run nominal) [assumption].</t>
  </si>
  <si>
    <t>Europe, Asia &amp; Africa revenue growth</t>
  </si>
  <si>
    <t>[assumption] Proposal. FY26 = 1H26 +1.3% in MXN (ex-FX +12.6%/+8.4% incl. 2025 bolt-ons) with flat 2H26 after FX [calc]. FY27+: organic ~4.5% (European market 3.4%, Eastern Europe 6.6% CAGR per RA25 p.108), no new M&amp;A [assumption].</t>
  </si>
  <si>
    <t>Latin America revenue growth</t>
  </si>
  <si>
    <t>[assumption] Proposal. FY26 = 1H26 +7.1% plus 2H26 ~+10% (Wickbold consolidated from Oct-2025) [calc]. FY27+: LatAm bakery 5.5% CAGR (RA25 p.108) plus Wickbold synergies, fading to 5.5% [assumption].</t>
  </si>
  <si>
    <t>Inter-regional eliminations revenue growth</t>
  </si>
  <si>
    <t>[assumption] Mechanical: inter-regional eliminations grow with regional sales (1H26 eliminations -8,545 vs -8,202 in 1H25, +4.2%) [calc].</t>
  </si>
  <si>
    <t>Gross margin</t>
  </si>
  <si>
    <t>[assumption] pillar 1: 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</si>
  <si>
    <t>Operating expenses / revenue</t>
  </si>
  <si>
    <t>[assumption] pillar 2: 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</si>
  <si>
    <t>D&amp;A / revenue</t>
  </si>
  <si>
    <t>[assumption] pillar -: Mechanical: FY24-FY25 5.65-5.82% incl. right-of-use depreciation (6,142 in FY25); held near 5.85-5.9% as capex normalises [calc] data/financials.csv.</t>
  </si>
  <si>
    <t>Capex / revenue</t>
  </si>
  <si>
    <t>[assumption] pillar 3: STORY DRIVER (proposal; debt/FCF pillar). FY26 = guidance US$1.0-1.2bn (cut on 2026-07-23 [guidance]) at ~Ps 17.6/US$ = ~Ps 19.4bn = 4.6% of revenue; FY27-28 ~5.0-5.2% (consensus capex US$1.21-1.24bn [sourced] CIQ 2026-10-17). Rises to 6.0% by FY35 so terminal reinvestment (capex + new leases - D&amp;A - NWC release ~1.4% of revenue) funds 4.25% nominal growth at a ~19% return on new capital (history 6.3/7.4/8.9/7.4/5.4%, FY21-25 average 7.0%) [assumption].</t>
  </si>
  <si>
    <t>Lease principal repaid / revenue (engine: = new leases)</t>
  </si>
  <si>
    <t>[assumption] pillar -: Mechanical: FY25 lease principal 5,923 / revenue 426,952 = 1.39% (FY23-25: 1.20/1.30/1.39%) [calc]. Principal is derived (payments 8,060 less lease interest 2,137) and tagged unverified in data/financials.csv. The engine also uses it as new leases; the right-of-use-addition variant is in valuation/BIMBOA_DCF_v1.xlsx.</t>
  </si>
  <si>
    <t>Receivable days (DSO, on revenue)</t>
  </si>
  <si>
    <t>[assumption] pillar -: Mechanical: FY25 20.3 days (FY21-25 range 19.4-21.1) on trade receivables only [calc].</t>
  </si>
  <si>
    <t>Inventory days (DIO, on cost of sales)</t>
  </si>
  <si>
    <t>[assumption] pillar -: Mechanical: FY25 30.8 days on cost of sales (FY21-25 range 30.3-35.5) [calc].</t>
  </si>
  <si>
    <t>Payable days (DPO, on cost of sales)</t>
  </si>
  <si>
    <t>[assumption] pillar -: Mechanical: FY25 70.1 days on cost of sales; held flat, not rebuilt to the 75-83 days of FY21-24 (rising payables would flatter cash flow) [calc].</t>
  </si>
  <si>
    <t>Other current assets / revenue</t>
  </si>
  <si>
    <t>[assumption] pillar -: Mechanical: FY25 3.56% (FY21-25 3.2-4.1%) [calc].</t>
  </si>
  <si>
    <t>Other current liabilities / revenue</t>
  </si>
  <si>
    <t>[assumption] pillar -: Mechanical: FY25 7.45% (FY21-25 7.0-8.4%); includes tax and interest accruals per the chart rule (data/adjustments.md #9) [calc].</t>
  </si>
  <si>
    <t>Effective tax rate (on EBIT in the DCF)</t>
  </si>
  <si>
    <t>[assumption] pillar -: Effective (not marginal) rate: FY23-25 33.1/32.6/35.7%, 1H26 ~37% [calc]; statutory 30% plus non-deductibles and loss-making units. The WACC uses the 30% marginal rate separately.</t>
  </si>
  <si>
    <t>Right-of-use additions / revenue (lease-schedule variant only)</t>
  </si>
  <si>
    <t>[calc] FY23-25 average (new leases + modifications) / revenue = 1.63% (data/adjustments.md lease table)</t>
  </si>
  <si>
    <t>PROJECTED CASH FLOWS (MXN millions)</t>
  </si>
  <si>
    <t xml:space="preserve">  North America</t>
  </si>
  <si>
    <t>[sourced] segment revenue, data/financials.csv (history)</t>
  </si>
  <si>
    <t xml:space="preserve">  Mexico</t>
  </si>
  <si>
    <t xml:space="preserve">  Europe, Asia &amp; Africa</t>
  </si>
  <si>
    <t xml:space="preserve">  Latin America</t>
  </si>
  <si>
    <t xml:space="preserve">  Inter-regional eliminations</t>
  </si>
  <si>
    <t>Total revenue</t>
  </si>
  <si>
    <t>[sourced] history data/financials.csv; forecast = sum of segments (or growth driver)</t>
  </si>
  <si>
    <t xml:space="preserve">  Annual growth</t>
  </si>
  <si>
    <t>Cost of sales</t>
  </si>
  <si>
    <t>Forecast = revenue x (1 - (gross margin + scenario shift))</t>
  </si>
  <si>
    <t>Gross profit</t>
  </si>
  <si>
    <t xml:space="preserve">  Gross margin</t>
  </si>
  <si>
    <t>Operating expenses (net, incl. PTU)</t>
  </si>
  <si>
    <t>EBIT</t>
  </si>
  <si>
    <t xml:space="preserve">  EBIT margin</t>
  </si>
  <si>
    <t>D&amp;A (incl. right-of-use depreciation)</t>
  </si>
  <si>
    <t>EBITDA (post-IFRS 16) = EBIT + D&amp;A</t>
  </si>
  <si>
    <t>Engine definition. Company Adjusted EBITDA adds back one-offs (bridge in data/adjustments.md).</t>
  </si>
  <si>
    <t xml:space="preserve">  EBITDA margin</t>
  </si>
  <si>
    <t xml:space="preserve">  Tax rate on EBIT</t>
  </si>
  <si>
    <t>History: effective rate = income tax / pre-tax income (display only); forecast: tax driver</t>
  </si>
  <si>
    <t>Less: taxes on EBIT</t>
  </si>
  <si>
    <t>NOPAT (unlevered net income)</t>
  </si>
  <si>
    <t>Plus: D&amp;A</t>
  </si>
  <si>
    <t>Less: capital expenditures (PP&amp;E + intangibles)</t>
  </si>
  <si>
    <t>Less: new leases (IFRS 16; engine proxy = lease principal repaid)</t>
  </si>
  <si>
    <t>Engine replacement approximation; the lease-schedule variant below uses right-of-use additions.</t>
  </si>
  <si>
    <t>Plus / (less): change in operating working capital</t>
  </si>
  <si>
    <t>From the working-capital schedule below</t>
  </si>
  <si>
    <t>Unlevered free cash flow (FCFF)</t>
  </si>
  <si>
    <t>Engine: FCFF = NOPAT + D&amp;A - capex - new leases + change in NWC. History: display only.</t>
  </si>
  <si>
    <t xml:space="preserve">  FCFF margin</t>
  </si>
  <si>
    <t>WORKING CAPITAL SCHEDULE (operating items only; financing balances excluded)</t>
  </si>
  <si>
    <t>Accounts receivable</t>
  </si>
  <si>
    <t>Inventories</t>
  </si>
  <si>
    <t>Other current assets</t>
  </si>
  <si>
    <t>Accounts payable</t>
  </si>
  <si>
    <t>Other current liabilities (non-debt)</t>
  </si>
  <si>
    <t>Net operating working capital</t>
  </si>
  <si>
    <t>(Increase) / decrease in working capital (cash-flow sign)</t>
  </si>
  <si>
    <t>Engine: change_nwc = -(dAR + dInv + dOCA - dAP - dOCL); an increase in NWC reduces FCFF.</t>
  </si>
  <si>
    <t>DISCOUNTING (to 31-Dec-2025; engine convention)</t>
  </si>
  <si>
    <t>Forecast year number</t>
  </si>
  <si>
    <t>Discount period = year number - mid-year offset</t>
  </si>
  <si>
    <t>Discount factor = 1 / (1 + WACC) ^ period</t>
  </si>
  <si>
    <t>Present value of FCFF</t>
  </si>
  <si>
    <t>PRESENT VALUE OF THE ENTERPRISE</t>
  </si>
  <si>
    <t>Sum of PV of FCFF, FY2026E-FY2035E</t>
  </si>
  <si>
    <t>Terminal value - Gordon growth = FCFF_N x (1 + g) / (WACC - g)</t>
  </si>
  <si>
    <t>PV of terminal value - Gordon (discounted N - offset: value as of the last cash flow's date)</t>
  </si>
  <si>
    <t>Enterprise value - Gordon</t>
  </si>
  <si>
    <t>Terminal value - exit multiple = final-year EBITDA x multiple</t>
  </si>
  <si>
    <t>PV of terminal value - exit (a year-end value, discounted N)</t>
  </si>
  <si>
    <t>Enterprise value - exit multiple</t>
  </si>
  <si>
    <t>Terminal value share of EV - Gordon</t>
  </si>
  <si>
    <t>Terminal value share of EV - exit</t>
  </si>
  <si>
    <t>EQUITY BRIDGE AND VALUE PER SHARE (engine basis: balances at 31-Dec-2025)</t>
  </si>
  <si>
    <t>Short-term debt</t>
  </si>
  <si>
    <t>[sourced] data/financials.csv FY2025</t>
  </si>
  <si>
    <t>Long-term debt</t>
  </si>
  <si>
    <t>Lease liabilities (IFRS 16)</t>
  </si>
  <si>
    <t>Cash and equivalents</t>
  </si>
  <si>
    <t>Net debt incl. leases</t>
  </si>
  <si>
    <t xml:space="preserve">  Debt-like component: Employee benefits, after tax (6,507 x (1 - 30%))</t>
  </si>
  <si>
    <t>[calc] Employee benefits 6,507, EEFF25 p.12 (data/adjustments.md); deductible when paid</t>
  </si>
  <si>
    <t xml:space="preserve">  Debt-like component: MEPP exit liabilities, after tax (985 x (1 - 30%))</t>
  </si>
  <si>
    <t>[calc] EEFF25 p.79, note 19 (data/adjustments.md)</t>
  </si>
  <si>
    <t xml:space="preserve">  Debt-like component: Net derivative liabilities (3,902 - 717; mostly debt cross-currency swaps)</t>
  </si>
  <si>
    <t>[calc] EEFF25 p.12 (data/adjustments.md); swaps offset the spot translation of USD debt</t>
  </si>
  <si>
    <t xml:space="preserve">  Debt-like component: NCI at market value less book: 1,814 / (ke 12.64% - 3.0%) - 743</t>
  </si>
  <si>
    <t>[calc] NCI income 1H26 907 x 2 (CIQ); EEFF25 p.13, p.15, p.37: NCI income (1,445 / 1,499 / 1,813) is extracted each year through the consolidation effect of BBU independent-operator structured entities (-1,851 / -3,120 / -2,240), so book NCI (743) understates the claim; growth 3% = US-linked [assumption]; recompute if ke changes</t>
  </si>
  <si>
    <t>Less: debt-like items (sum of components)</t>
  </si>
  <si>
    <t>[calc] sum of the four bridge components below (valuation.md, bridge section)</t>
  </si>
  <si>
    <t>Memo: debt-like items in valuation/valuation.yaml (engine input)</t>
  </si>
  <si>
    <t>Non-controlling interests (book)</t>
  </si>
  <si>
    <t>Plus: non-operating assets</t>
  </si>
  <si>
    <t>[sourced] investments in associates 7,018 at Dec-25 (EEFF25 p.12; results excluded from FCFF)</t>
  </si>
  <si>
    <t>Diluted shares, millions (engine: FY weighted average)</t>
  </si>
  <si>
    <t>[sourced] data/financials.csv FY2025; outstanding shares at the valuation date in 'Dated_Check'</t>
  </si>
  <si>
    <t>[sourced] BMV close 16-Oct-2026 MXN 58.60, investing.com / Yahoo delayed quotes (wacc_inputs A1); confirm vs BMV</t>
  </si>
  <si>
    <t>Next-year dividend per share (engine dps_next; see publication gate)</t>
  </si>
  <si>
    <t>[calc] engine output (first forecast year). The FY2026 dividend was already paid in 2026: valuation/valuation-outputs.yaml carries the corrected next-12-month dividend.</t>
  </si>
  <si>
    <t>Roll-forward factor = (1 + cost of equity) ^ years since FYE</t>
  </si>
  <si>
    <t>Gordon growth method</t>
  </si>
  <si>
    <t>Equity value at FYE = EV + non-op - net debt - NCI - debt-like</t>
  </si>
  <si>
    <t>Value per share at FYE</t>
  </si>
  <si>
    <t>Value per share today (rolled forward)</t>
  </si>
  <si>
    <t>Premium / (discount) to current price - value today</t>
  </si>
  <si>
    <t>12-month target - Gordon = value today x (1 + ke) - next dividend</t>
  </si>
  <si>
    <t>Upside to 12-month target - Gordon</t>
  </si>
  <si>
    <t>Exit multiple method</t>
  </si>
  <si>
    <t>Equity value at FYE</t>
  </si>
  <si>
    <t>Bridge sensitivities (shown explicitly, not buried in debt-like items)</t>
  </si>
  <si>
    <t>Value per share today - Gordon, WITHOUT the NCI market-value uplift (NCI at book only)</t>
  </si>
  <si>
    <t>Value per share today - exit, PEER-EV-CONSISTENT claims (peer EVs exclude pensions, MEPP and derivatives: added back; NCI uplift kept because Bimbo's EBITDA includes IO earnings)</t>
  </si>
  <si>
    <t>Value per share today - exit, peer-EV-consistent and without the NCI uplift</t>
  </si>
  <si>
    <t>The NCI uplift is a constant computed at the proposal's cost of equity and NCI growth; recompute it whenever the team changes WACC or g (valuation/valuation.md, bridge section).</t>
  </si>
  <si>
    <t>CROSS-CHECKS (terminal economics)</t>
  </si>
  <si>
    <t>WACC - g</t>
  </si>
  <si>
    <t>Engine warns below 2 points.</t>
  </si>
  <si>
    <t>g minus long-term nominal GDP growth (must be &lt;= 0)</t>
  </si>
  <si>
    <t>Exit multiple implied by the Gordon value (TV carried to year-end / final EBITDA)</t>
  </si>
  <si>
    <t>Growth implied by the exit multiple</t>
  </si>
  <si>
    <t>Return on new capital implied by the terminal value = g / (1 - FCFF_N / NOPAT_N)</t>
  </si>
  <si>
    <t>Domain guard: undefined when NOPAT &lt;= 0 or FCFF &gt;= NOPAT (no net reinvestment).</t>
  </si>
  <si>
    <t>Final-year net reinvestment rate = (capex + new leases - D&amp;A + increase in NWC) / NOPAT</t>
  </si>
  <si>
    <t>Steady state: reinvestment rate x RONIC should equal g.</t>
  </si>
  <si>
    <t>RONIC consistent with g and the final-year reinvestment = g / reinvestment rate</t>
  </si>
  <si>
    <t>Compare with WACC and with ROIC history.</t>
  </si>
  <si>
    <t>LEASE SCHEDULE VARIANT (independent of the engine: deduct right-of-use additions instead of principal)</t>
  </si>
  <si>
    <t>Right-of-use additions (new leases)</t>
  </si>
  <si>
    <t>Lease principal repaid</t>
  </si>
  <si>
    <t>Lease liability, closing (opening + additions - principal; FX held at zero)</t>
  </si>
  <si>
    <t>FCFF - lease-schedule variant = FCFF + principal - additions</t>
  </si>
  <si>
    <t>PV of FCFF - lease variant</t>
  </si>
  <si>
    <t>Sum of PV - lease variant</t>
  </si>
  <si>
    <t>Terminal value - Gordon, lease variant</t>
  </si>
  <si>
    <t>EV - Gordon, lease variant</t>
  </si>
  <si>
    <t>EV - exit, lease variant (exit TV unchanged: EBITDA is the same)</t>
  </si>
  <si>
    <t>Value per share today - Gordon, lease variant</t>
  </si>
  <si>
    <t>Value per share today - exit, lease variant</t>
  </si>
  <si>
    <t>Lease adjustment to EV - Gordon (incl. terminal-value effect)</t>
  </si>
  <si>
    <t>Lease adjustment to EV - exit (explicit period only)</t>
  </si>
  <si>
    <t>Lease adjustment per share today - Gordon</t>
  </si>
  <si>
    <t>Lease adjustment per share today - exit</t>
  </si>
  <si>
    <t>Equity adjustment = EV adjustment (the bridge is unchanged); per-share adjustment = equity adjustment / shares x roll-forward. Shown next to the engine value in 'Engine_Recon' and the publication gate.</t>
  </si>
  <si>
    <t>SENSITIVITY ANALYSIS (engine grid conventions: roll-forward factor held at the base cost of equity)</t>
  </si>
  <si>
    <t>Value per share today - Gordon: WACC (rows) x terminal growth (columns); n.m. where WACC - g &lt; 1%</t>
  </si>
  <si>
    <t>WACC  \  column variable</t>
  </si>
  <si>
    <t>Value per share today - exit multiple: WACC (rows) x exit EV/EBITDA (columns)</t>
  </si>
  <si>
    <t>Enterprise value - exit multiple: WACC (rows) x exit EV/EBITDA (columns)</t>
  </si>
  <si>
    <t>Implied perpetual growth of the exit value: WACC (rows) x exit EV/EBITDA (columns)</t>
  </si>
  <si>
    <t>Premium / (discount) to the current price - exit multiple: WACC (rows) x exit EV/EBITDA (columns)</t>
  </si>
  <si>
    <t>Reverse Discounted Cash Flow - what the market price implies</t>
  </si>
  <si>
    <t>Layout after the S&amp;P 'Reverse_DCF' tab. The template imputes growth with a VBA macro; here the procedure is Excel Goal Seek on a single input cell (no macros).</t>
  </si>
  <si>
    <t>1. Terminal growth implied by the market price (closed form, engine definition)</t>
  </si>
  <si>
    <t>Market EV at FYE = price / roll-forward x shares + net debt + NCI + debt-like - non-op</t>
  </si>
  <si>
    <t>PV of explicit FCFF (from the DCF)</t>
  </si>
  <si>
    <t>Terminal value implied by the market (at the Gordon discount date)</t>
  </si>
  <si>
    <t>Terminal growth implied by the market price</t>
  </si>
  <si>
    <t>Terminal growth used in the DCF</t>
  </si>
  <si>
    <t>Guard: defined only when the market EV exceeds the PV of the explicit cash flows.</t>
  </si>
  <si>
    <t>2. Revenue growth shift implied by the market price (all other drivers fixed)</t>
  </si>
  <si>
    <t>Procedure</t>
  </si>
  <si>
    <t>Data &gt; What-If Analysis &gt; Goal Seek: set 'DCF'!D138 (Gordon value today) to the current price by changing 'DCF'!D40. Reset the shift to 0 afterwards.</t>
  </si>
  <si>
    <t>Reference solution - Gordon (Python bisection, valuation/build/dcf_core.py)</t>
  </si>
  <si>
    <t>Uniform shift added to every forecast year's growth driver; n.a. if no solution in -10%..+10%.</t>
  </si>
  <si>
    <t>Reference solution - exit multiple</t>
  </si>
  <si>
    <t>Story levers - value per share today (Gordon and exit), MXN</t>
  </si>
  <si>
    <t>STATIC values computed by valuation/build/dcf_core.py from the same inputs (same engine conventions); rebuild to refresh. Live single-scenario levers: the shift inputs on the 'DCF' sheet.</t>
  </si>
  <si>
    <t>Value per share today - Gordon: capex/revenue shift (rows) x gross margin shift (columns)</t>
  </si>
  <si>
    <t>Capex shift (rows) / GM shift (columns)</t>
  </si>
  <si>
    <t>Value per share today - exit multiple: capex/revenue shift (rows) x gross margin shift (columns)</t>
  </si>
  <si>
    <t>Terminal economics by capex shift (Gordon)</t>
  </si>
  <si>
    <t>Capex shift</t>
  </si>
  <si>
    <t>Value / share</t>
  </si>
  <si>
    <t>tv_ronic</t>
  </si>
  <si>
    <t>FY2035 FCFF margin</t>
  </si>
  <si>
    <t>Revenue growth shift (all segments, all years) - value per share today</t>
  </si>
  <si>
    <t>Growth shift</t>
  </si>
  <si>
    <t>Gordon</t>
  </si>
  <si>
    <t>Exit</t>
  </si>
  <si>
    <t>Valuation-date cross-check (anchored at the latest balance sheet, 30-Jun-2026)</t>
  </si>
  <si>
    <t>Independent of the engine's FYE roll-forward. Still a roll-forward approximation from 30-Jun to the valuation date, not an observed October balance sheet.</t>
  </si>
  <si>
    <t>1H26 actual FCFF (same definition as the forecast FCFF)</t>
  </si>
  <si>
    <t>EBIT 1H26 (operating income)</t>
  </si>
  <si>
    <t>[sourced] Operating income 1Q26 10,030.8 + 2Q26 8,827.5, S&amp;P Capital IQ quarterly (data/capitaliq/income_statement.csv)</t>
  </si>
  <si>
    <t>Less: one-off gain in 1H26 EBIT (La Moderna stake sale, ~50 bp of 1Q26 sales)</t>
  </si>
  <si>
    <t>[unverified] Gain on the sale of a minority stake in Grupo La Moderna, ~50 bp of 1Q26 sales 100,319 (call 2026-04-29 p.7; amount not disclosed); cash already in Jun-26 cash</t>
  </si>
  <si>
    <t>Tax rate (FY2026 forecast driver)</t>
  </si>
  <si>
    <t>D&amp;A 1H26</t>
  </si>
  <si>
    <t>[sourced] D&amp;A total 1Q26 6,028.4 + 2Q26 6,096.7, CIQ quarterly cash flow (CIQ D&amp;A runs ~3% below the filing basis)</t>
  </si>
  <si>
    <t>Capex 1H26 (positive)</t>
  </si>
  <si>
    <t>[sourced] PP&amp;E 6,892 + intangibles 50, BMV Jun-26 p.17-18 (wiki bimbo-cash-flow-and-fcf)</t>
  </si>
  <si>
    <t>Lease principal paid 1H26 (positive)</t>
  </si>
  <si>
    <t>[unverified] Lease payments 3,948 (BMV Jun-26 p.17-18) less lease interest ~1,069 (half of FY25 2,137), same derivation as data/financials.csv</t>
  </si>
  <si>
    <t>Change in operating NWC 1H26, cash-flow sign (Dec-25 to Jun-26 balance sheets, model mapping)</t>
  </si>
  <si>
    <t>[calc] Model mapping, Dec-25 to Jun-26 balance sheets (CIQ quarterly): AR +772, inventory -44, other CA +2,047, trade payables -830 (related-party split assumed equal to Dec-25), other CL +6,134 incl. seasonal tax payable +4,538; cash-flow sign. CIQ cash-flow basis shows -2,528 (memo)</t>
  </si>
  <si>
    <t>FCFF 1H26 = (EBIT - one-off) x (1 - tax) + D&amp;A - capex - lease principal + change in NWC</t>
  </si>
  <si>
    <t>FY2026E FCFF (DCF)</t>
  </si>
  <si>
    <t>2H26E FCFF = FY2026E - 1H26 actual</t>
  </si>
  <si>
    <t>Present value at 30-Jun-2026 (mid-period convention, same WACC)</t>
  </si>
  <si>
    <t>Discount time of 2H26 = 0.5 x (1 - offset)</t>
  </si>
  <si>
    <t>PV of 2H26E FCFF</t>
  </si>
  <si>
    <t>PV of FY2027E FCFF (time = 1 + 0.5 - offset)</t>
  </si>
  <si>
    <t>PV of FY2028E FCFF (time = 2 + 0.5 - offset)</t>
  </si>
  <si>
    <t>PV of FY2029E FCFF (time = 3 + 0.5 - offset)</t>
  </si>
  <si>
    <t>PV of FY2030E FCFF (time = 4 + 0.5 - offset)</t>
  </si>
  <si>
    <t>PV of FY2031E FCFF (time = 5 + 0.5 - offset)</t>
  </si>
  <si>
    <t>PV of FY2032E FCFF (time = 6 + 0.5 - offset)</t>
  </si>
  <si>
    <t>PV of FY2033E FCFF (time = 7 + 0.5 - offset)</t>
  </si>
  <si>
    <t>PV of FY2034E FCFF (time = 8 + 0.5 - offset)</t>
  </si>
  <si>
    <t>PV of FY2035E FCFF (time = 9 + 0.5 - offset)</t>
  </si>
  <si>
    <t>PV of terminal value - Gordon (at the final cash flow's date)</t>
  </si>
  <si>
    <t>PV of terminal value - exit (year-end FY2035)</t>
  </si>
  <si>
    <t>EV at 30-Jun-2026 - Gordon</t>
  </si>
  <si>
    <t>EV at 30-Jun-2026 - exit</t>
  </si>
  <si>
    <t>Bridge at 30-Jun-2026 and roll to the valuation date</t>
  </si>
  <si>
    <t>Total debt ex-leases, 30-Jun-2026</t>
  </si>
  <si>
    <t>[sourced] Total financial debt 30-Jun-2026 (BMV Jun-26 debt note; 2Q26 release p.6)</t>
  </si>
  <si>
    <t>Lease liabilities, 30-Jun-2026</t>
  </si>
  <si>
    <t>[sourced] Lease liabilities 7,113 + 26,248, CIQ balance sheet 2026 FQ2</t>
  </si>
  <si>
    <t>Cash and equivalents, 30-Jun-2026</t>
  </si>
  <si>
    <t>[sourced] Cash and equivalents 30-Jun-2026 (CIQ; net debt 137,097 per 2Q26 release p.6)</t>
  </si>
  <si>
    <t>Non-controlling interests, 30-Jun-2026</t>
  </si>
  <si>
    <t>[sourced] Total minority interest 30-Jun-2026, CIQ balance sheet</t>
  </si>
  <si>
    <t>Debt-like items, 30-Jun-2026 (same policy as valuation.yaml)</t>
  </si>
  <si>
    <t>[calc] Employee benefits incl. MEPP 6,202 x 0.7 + net derivative liabilities 3,185 (Dec-25; Jun-26 not disclosed) + NCI market-value uplift 18,066.8 (same policy as valuation.yaml)</t>
  </si>
  <si>
    <t>Non-operating assets, 30-Jun-2026 (same policy as valuation.yaml)</t>
  </si>
  <si>
    <t>[sourced] Equity-method investments 30-Jun-2026, CIQ balance sheet</t>
  </si>
  <si>
    <t>Equity at 30-Jun-2026 - Gordon</t>
  </si>
  <si>
    <t>Equity at 30-Jun-2026 - exit</t>
  </si>
  <si>
    <t>Days from 30-Jun-2026 to the valuation date</t>
  </si>
  <si>
    <t>[calc] 30-Jun-2026 to 16-Oct-2026</t>
  </si>
  <si>
    <t>Roll factor = (1 + ke) ^ (days / 365)</t>
  </si>
  <si>
    <t>Distributions paid between 30-Jun and the valuation date (dividends + buybacks)</t>
  </si>
  <si>
    <t>[unverified] July 2026 buybacks of 1,340,500 shares at ~MXN 57 (no cash disclosed); dividend paid 13-May-2026, before 30-Jun</t>
  </si>
  <si>
    <t>Shares outstanding at the valuation date, millions</t>
  </si>
  <si>
    <t>[sourced] Shares outstanding 29-Jul-2026, BMV notice (wacc_inputs A8)</t>
  </si>
  <si>
    <t>Value per share at the valuation date - Gordon</t>
  </si>
  <si>
    <t>Value per share at the valuation date - exit</t>
  </si>
  <si>
    <t>Reconciliation with the engine's FYE roll-forward</t>
  </si>
  <si>
    <t>Engine-basis value today - Gordon ('DCF')</t>
  </si>
  <si>
    <t>Dated value - Gordon</t>
  </si>
  <si>
    <t>Difference - Gordon (dated - engine)</t>
  </si>
  <si>
    <t>Difference - Gordon, % of engine value</t>
  </si>
  <si>
    <t>Engine-basis value today - exit</t>
  </si>
  <si>
    <t>Dated value - exit</t>
  </si>
  <si>
    <t>Difference - exit, % of engine value</t>
  </si>
  <si>
    <t>What explains the gap (filled from the build; tagged)</t>
  </si>
  <si>
    <t>The engine rolls Dec-25 equity forward at the cost of equity; the dated check starts from the 30-Jun-2026 balance sheet, which already reflects the 13-May-2026 dividend (MXN 4,627m) and 1H26 buybacks (MXN 496m).</t>
  </si>
  <si>
    <t>Net debt ex-IFRS 16 fell from 145,128 (Dec-25) to 137,097 (Jun-26), helped by peso strength on USD debt and 1H26 cash generation.</t>
  </si>
  <si>
    <t>Still an approximation: the roll from 30-Jun to 16-Oct uses the cost of equity, not an observed October balance sheet.</t>
  </si>
  <si>
    <t>Reconciliation with the model engine (model/model-summary.json)</t>
  </si>
  <si>
    <t>Engine values are pasted from the engine's summary (constants); workbook values are live formulas. Tolerance: relative difference below 1e-6.</t>
  </si>
  <si>
    <t>Item</t>
  </si>
  <si>
    <t>Engine summary</t>
  </si>
  <si>
    <t>This workbook</t>
  </si>
  <si>
    <t>Difference</t>
  </si>
  <si>
    <t>Rel. diff.</t>
  </si>
  <si>
    <t>Status</t>
  </si>
  <si>
    <t>Python replica</t>
  </si>
  <si>
    <t>Rel. diff. vs replica</t>
  </si>
  <si>
    <t>Status vs replica</t>
  </si>
  <si>
    <t>EV - Gordon</t>
  </si>
  <si>
    <t>EV - exit</t>
  </si>
  <si>
    <t>Value per share today - Gordon</t>
  </si>
  <si>
    <t>Value per share today - exit</t>
  </si>
  <si>
    <t>12-month target - Gordon</t>
  </si>
  <si>
    <t>Implied exit multiple</t>
  </si>
  <si>
    <t>Growth implied by exit</t>
  </si>
  <si>
    <t>Terminal growth implied by the price</t>
  </si>
  <si>
    <t>TV share of EV - Gordon</t>
  </si>
  <si>
    <t>FCFF FY2026E</t>
  </si>
  <si>
    <t>FCFF FY2027E</t>
  </si>
  <si>
    <t>FCFF FY2028E</t>
  </si>
  <si>
    <t>FCFF FY2029E</t>
  </si>
  <si>
    <t>FCFF FY2030E</t>
  </si>
  <si>
    <t>FCFF FY2031E</t>
  </si>
  <si>
    <t>FCFF FY2032E</t>
  </si>
  <si>
    <t>FCFF FY2033E</t>
  </si>
  <si>
    <t>FCFF FY2034E</t>
  </si>
  <si>
    <t>FCFF FY2035E</t>
  </si>
  <si>
    <t>EBITDA FY2026E</t>
  </si>
  <si>
    <t>EBITDA FY2027E</t>
  </si>
  <si>
    <t>EBITDA FY2028E</t>
  </si>
  <si>
    <t>EBITDA FY2029E</t>
  </si>
  <si>
    <t>EBITDA FY2030E</t>
  </si>
  <si>
    <t>EBITDA FY2031E</t>
  </si>
  <si>
    <t>EBITDA FY2032E</t>
  </si>
  <si>
    <t>EBITDA FY2033E</t>
  </si>
  <si>
    <t>EBITDA FY2034E</t>
  </si>
  <si>
    <t>EBITDA FY2035E</t>
  </si>
  <si>
    <t>Discount factor FY2026E (replica only)</t>
  </si>
  <si>
    <t>not in summary</t>
  </si>
  <si>
    <t>replica only</t>
  </si>
  <si>
    <t>Discount factor FY2027E (replica only)</t>
  </si>
  <si>
    <t>Discount factor FY2028E (replica only)</t>
  </si>
  <si>
    <t>Discount factor FY2029E (replica only)</t>
  </si>
  <si>
    <t>Discount factor FY2030E (replica only)</t>
  </si>
  <si>
    <t>Discount factor FY2031E (replica only)</t>
  </si>
  <si>
    <t>Discount factor FY2032E (replica only)</t>
  </si>
  <si>
    <t>Discount factor FY2033E (replica only)</t>
  </si>
  <si>
    <t>Discount factor FY2034E (replica only)</t>
  </si>
  <si>
    <t>Discount factor FY2035E (replica only)</t>
  </si>
  <si>
    <t>Sum of PV of FCFF (replica only)</t>
  </si>
  <si>
    <t>Terminal value - Gordon (replica only)</t>
  </si>
  <si>
    <t>PV of terminal value - Gordon (replica only)</t>
  </si>
  <si>
    <t>Terminal value - exit (replica only)</t>
  </si>
  <si>
    <t>PV of terminal value - exit (replica only)</t>
  </si>
  <si>
    <t>Net debt incl. leases (replica only)</t>
  </si>
  <si>
    <t>Shares (replica only)</t>
  </si>
  <si>
    <t>Roll-forward factor (replica only)</t>
  </si>
  <si>
    <t>Rows checked against the engine summary</t>
  </si>
  <si>
    <t>Rows OK vs engine (must equal the count above)</t>
  </si>
  <si>
    <t>Rows checked against the Python replica</t>
  </si>
  <si>
    <t>Rows OK vs replica (must equal the count above)</t>
  </si>
  <si>
    <t>Inputs and sources</t>
  </si>
  <si>
    <t>Value</t>
  </si>
  <si>
    <t>Unit</t>
  </si>
  <si>
    <t>Tag</t>
  </si>
  <si>
    <t>Source</t>
  </si>
  <si>
    <t>As of</t>
  </si>
  <si>
    <t>Share price, BMV close</t>
  </si>
  <si>
    <t>MXN</t>
  </si>
  <si>
    <t>sourced</t>
  </si>
  <si>
    <t>investing.com / Yahoo (delayed); wacc_inputs A1</t>
  </si>
  <si>
    <t>2026-10-16</t>
  </si>
  <si>
    <t>52-week high / low</t>
  </si>
  <si>
    <t>68.67 / 53.03</t>
  </si>
  <si>
    <t>CIQ corporate_issuance.csv (wacc_inputs A4-A5)</t>
  </si>
  <si>
    <t>2026-10-06</t>
  </si>
  <si>
    <t>Shares outstanding</t>
  </si>
  <si>
    <t>m</t>
  </si>
  <si>
    <t>BMV notice (wacc_inputs A8)</t>
  </si>
  <si>
    <t>2026-07-29</t>
  </si>
  <si>
    <t>Market capitalisation</t>
  </si>
  <si>
    <t>MXN m</t>
  </si>
  <si>
    <t>calc</t>
  </si>
  <si>
    <t>price x shares (wacc_inputs A9)</t>
  </si>
  <si>
    <t>M-Bono 10y</t>
  </si>
  <si>
    <t>%</t>
  </si>
  <si>
    <t>S&amp;P Capital IQ rates</t>
  </si>
  <si>
    <t>UST 10y</t>
  </si>
  <si>
    <t>Mexico 5y CDS</t>
  </si>
  <si>
    <t>S&amp;P Capital IQ CDS</t>
  </si>
  <si>
    <t>Damodaran implied ERP</t>
  </si>
  <si>
    <t>Damodaran home page</t>
  </si>
  <si>
    <t>2026-10-01</t>
  </si>
  <si>
    <t>Damodaran Mexico default spread / CRP</t>
  </si>
  <si>
    <t>1.62% / 2.46%</t>
  </si>
  <si>
    <t>Damodaran ctryprem (Jan-2026 copy)</t>
  </si>
  <si>
    <t>2026-01-05</t>
  </si>
  <si>
    <t>Damodaran Food Processing unlevered beta, Global / US</t>
  </si>
  <si>
    <t>0.53 / 0.46</t>
  </si>
  <si>
    <t>x</t>
  </si>
  <si>
    <t>Damodaran betas (Jan-2026)</t>
  </si>
  <si>
    <t>2026-01</t>
  </si>
  <si>
    <t>Bimbo published beta</t>
  </si>
  <si>
    <t>unverified</t>
  </si>
  <si>
    <t>investing.com (window not stated)</t>
  </si>
  <si>
    <t>BIMBO 23L yield</t>
  </si>
  <si>
    <t>LSEG export (pricing ~10-Oct)</t>
  </si>
  <si>
    <t>2026-10-10</t>
  </si>
  <si>
    <t>Debt / leases / cash, 31-Dec-2025</t>
  </si>
  <si>
    <t>153,663 / 34,790 / 8,535</t>
  </si>
  <si>
    <t>EEFF25 p.12 via data/financials.csv</t>
  </si>
  <si>
    <t>2025-12-31</t>
  </si>
  <si>
    <t>Debt / leases / cash, 30-Jun-2026</t>
  </si>
  <si>
    <t>153,660 / 33,361 / 16,563</t>
  </si>
  <si>
    <t>BMV Jun-26; CIQ</t>
  </si>
  <si>
    <t>2026-06-30</t>
  </si>
  <si>
    <t>Employee benefits / MEPP / derivatives (net liab.)</t>
  </si>
  <si>
    <t>6,507 / 985 / 3,185</t>
  </si>
  <si>
    <t>EEFF25 p.12, p.79 (data/adjustments.md)</t>
  </si>
  <si>
    <t>Investments in associates</t>
  </si>
  <si>
    <t>EEFF25 p.12</t>
  </si>
  <si>
    <t>NCI income 1H26 (annualised 1,814)</t>
  </si>
  <si>
    <t>CIQ quarterly: 1Q26 436 + 2Q26 471</t>
  </si>
  <si>
    <t>2026 dividend paid (13-May)</t>
  </si>
  <si>
    <t>MXN/share</t>
  </si>
  <si>
    <t>wacc_inputs C1-C4</t>
  </si>
  <si>
    <t>2026-05-13</t>
  </si>
  <si>
    <t>Consensus DPS FY2027E (next 12 months)</t>
  </si>
  <si>
    <t>CIQ consensus (data/capitaliq/consensus.csv)</t>
  </si>
  <si>
    <t>2026-09-20</t>
  </si>
  <si>
    <t>Drivers: model/drivers.yaml (tag, rationale and pillar per driver). History: data/financials.csv (document and page per figure) and data/adjustments.md.</t>
  </si>
  <si>
    <t>Integrity checks</t>
  </si>
  <si>
    <t>WACC - g at least 2 points</t>
  </si>
  <si>
    <t>g not above long-term nominal GDP growth</t>
  </si>
  <si>
    <t>Weights add up to 100%</t>
  </si>
  <si>
    <t>Engine reconciliation: every row OK (count of OK = rows checked)</t>
  </si>
  <si>
    <t>Python replica reconciliation: every row OK</t>
  </si>
  <si>
    <t>Gordon TV share of EV below 85%</t>
  </si>
  <si>
    <t>Exit multiple implied by Gordon within 2x of the exit multiple</t>
  </si>
  <si>
    <t>Debt-like components add up to valuation.yaml debt_like_items</t>
  </si>
  <si>
    <t>Segments add up to revenue FY2021</t>
  </si>
  <si>
    <t>Segments add up to revenue FY2022</t>
  </si>
  <si>
    <t>Segments add up to revenue FY2023</t>
  </si>
  <si>
    <t>Segments add up to revenue FY2024</t>
  </si>
  <si>
    <t>Segments add up to revenue FY2025</t>
  </si>
  <si>
    <t>Formula errors are scanned after recalculation with valuation/build/scan_errors.py.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</si>
</sst>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%;\(0.00%\);&quot;-&quot;"/>
    <numFmt numFmtId="165" formatCode="0.000"/>
    <numFmt numFmtId="166" formatCode="0.0%;\(0.0%\);&quot;-&quot;"/>
    <numFmt numFmtId="167" formatCode="0.00&quot;x&quot;"/>
    <numFmt numFmtId="168" formatCode="0.0"/>
    <numFmt numFmtId="169" formatCode="#,##0;\(#,##0\);&quot;-&quot;"/>
    <numFmt numFmtId="170" formatCode="0.0000"/>
    <numFmt numFmtId="171" formatCode="#,##0.0"/>
    <numFmt numFmtId="172" formatCode="#,##0.00;\(#,##0.00\)"/>
    <numFmt numFmtId="173" formatCode="#,##0.000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0"/>
      <color rgb="FF59595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0000FF"/>
      <name val="Calibri"/>
    </font>
    <font>
      <b/>
      <sz val="10"/>
      <name val="Calibri"/>
    </font>
    <font>
      <b/>
      <sz val="10"/>
      <color rgb="FF0000FF"/>
      <name val="Calibri"/>
    </font>
    <font>
      <sz val="10"/>
      <color rgb="FF00803C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172" fontId="7" fillId="5" borderId="0" xfId="0" applyNumberFormat="1" applyFont="1" applyFill="1"/>
    <xf numFmtId="172" fontId="5" fillId="5" borderId="0" xfId="0" applyNumberFormat="1" applyFont="1" applyFill="1"/>
    <xf numFmtId="166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169" fontId="5" fillId="0" borderId="0" xfId="0" applyNumberFormat="1" applyFont="1"/>
    <xf numFmtId="172" fontId="5" fillId="0" borderId="0" xfId="0" applyNumberFormat="1" applyFont="1"/>
    <xf numFmtId="164" fontId="6" fillId="3" borderId="0" xfId="0" applyNumberFormat="1" applyFont="1" applyFill="1"/>
    <xf numFmtId="165" fontId="6" fillId="3" borderId="0" xfId="0" applyNumberFormat="1" applyFont="1" applyFill="1"/>
    <xf numFmtId="166" fontId="6" fillId="3" borderId="0" xfId="0" applyNumberFormat="1" applyFont="1" applyFill="1"/>
    <xf numFmtId="165" fontId="5" fillId="0" borderId="0" xfId="0" applyNumberFormat="1" applyFont="1"/>
    <xf numFmtId="164" fontId="7" fillId="0" borderId="0" xfId="0" applyNumberFormat="1" applyFont="1"/>
    <xf numFmtId="2" fontId="6" fillId="3" borderId="0" xfId="0" applyNumberFormat="1" applyFont="1" applyFill="1"/>
    <xf numFmtId="167" fontId="6" fillId="3" borderId="0" xfId="0" applyNumberFormat="1" applyFont="1" applyFill="1"/>
    <xf numFmtId="0" fontId="4" fillId="2" borderId="0" xfId="0" applyFont="1" applyFill="1" applyAlignment="1">
      <alignment horizontal="right"/>
    </xf>
    <xf numFmtId="168" fontId="6" fillId="3" borderId="0" xfId="0" applyNumberFormat="1" applyFont="1" applyFill="1"/>
    <xf numFmtId="169" fontId="6" fillId="3" borderId="0" xfId="0" applyNumberFormat="1" applyFont="1" applyFill="1"/>
    <xf numFmtId="169" fontId="8" fillId="3" borderId="0" xfId="0" applyNumberFormat="1" applyFont="1" applyFill="1"/>
    <xf numFmtId="169" fontId="7" fillId="0" borderId="0" xfId="0" applyNumberFormat="1" applyFont="1"/>
    <xf numFmtId="1" fontId="6" fillId="0" borderId="0" xfId="0" applyNumberFormat="1" applyFont="1"/>
    <xf numFmtId="2" fontId="5" fillId="0" borderId="0" xfId="0" applyNumberFormat="1" applyFont="1"/>
    <xf numFmtId="170" fontId="5" fillId="0" borderId="0" xfId="0" applyNumberFormat="1" applyFont="1"/>
    <xf numFmtId="171" fontId="6" fillId="3" borderId="0" xfId="0" applyNumberFormat="1" applyFont="1" applyFill="1"/>
    <xf numFmtId="172" fontId="6" fillId="3" borderId="0" xfId="0" applyNumberFormat="1" applyFont="1" applyFill="1"/>
    <xf numFmtId="0" fontId="7" fillId="4" borderId="0" xfId="0" applyFont="1" applyFill="1"/>
    <xf numFmtId="0" fontId="0" fillId="4" borderId="0" xfId="0" applyFill="1"/>
    <xf numFmtId="172" fontId="7" fillId="0" borderId="0" xfId="0" applyNumberFormat="1" applyFont="1"/>
    <xf numFmtId="169" fontId="9" fillId="0" borderId="0" xfId="0" applyNumberFormat="1" applyFont="1"/>
    <xf numFmtId="164" fontId="9" fillId="0" borderId="0" xfId="0" applyNumberFormat="1" applyFont="1"/>
    <xf numFmtId="166" fontId="9" fillId="0" borderId="0" xfId="0" applyNumberFormat="1" applyFont="1"/>
    <xf numFmtId="11" fontId="5" fillId="0" borderId="0" xfId="0" applyNumberFormat="1" applyFont="1"/>
    <xf numFmtId="49" fontId="5" fillId="0" borderId="0" xfId="0" applyNumberFormat="1" applyFont="1"/>
    <xf numFmtId="172" fontId="9" fillId="0" borderId="0" xfId="0" applyNumberFormat="1" applyFont="1"/>
    <xf numFmtId="167" fontId="9" fillId="0" borderId="0" xfId="0" applyNumberFormat="1" applyFont="1"/>
    <xf numFmtId="170" fontId="9" fillId="0" borderId="0" xfId="0" applyNumberFormat="1" applyFont="1"/>
    <xf numFmtId="170" fontId="6" fillId="3" borderId="0" xfId="0" applyNumberFormat="1" applyFont="1" applyFill="1"/>
    <xf numFmtId="171" fontId="9" fillId="0" borderId="0" xfId="0" applyNumberFormat="1" applyFont="1"/>
    <xf numFmtId="165" fontId="9" fillId="0" borderId="0" xfId="0" applyNumberFormat="1" applyFont="1"/>
    <xf numFmtId="1" fontId="5" fillId="0" borderId="0" xfId="0" applyNumberFormat="1" applyFont="1"/>
    <xf numFmtId="4" fontId="6" fillId="3" borderId="0" xfId="0" applyNumberFormat="1" applyFont="1" applyFill="1"/>
    <xf numFmtId="173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7"/>
  <sheetViews>
    <sheetView showGridLines="0" tabSelected="1" workbookViewId="0"/>
  </sheetViews>
  <sheetFormatPr defaultRowHeight="15" x14ac:dyDescent="0.25"/>
  <cols>
    <col min="2" max="2" width="120" customWidth="1"/>
  </cols>
  <sheetData>
    <row r="2" spans="2:2" ht="18.75" x14ac:dyDescent="0.3">
      <c r="B2" s="1" t="s">
        <v>0</v>
      </c>
    </row>
    <row r="3" spans="2:2" x14ac:dyDescent="0.25">
      <c r="B3" s="2" t="s">
        <v>1</v>
      </c>
    </row>
    <row r="4" spans="2:2" x14ac:dyDescent="0.25">
      <c r="B4" s="3" t="s">
        <v>2</v>
      </c>
    </row>
    <row r="5" spans="2:2" x14ac:dyDescent="0.25">
      <c r="B5" s="4" t="s">
        <v>3</v>
      </c>
    </row>
    <row r="6" spans="2:2" x14ac:dyDescent="0.25">
      <c r="B6" s="3" t="s">
        <v>4</v>
      </c>
    </row>
    <row r="7" spans="2:2" x14ac:dyDescent="0.25">
      <c r="B7" s="3" t="s">
        <v>5</v>
      </c>
    </row>
    <row r="8" spans="2:2" x14ac:dyDescent="0.25">
      <c r="B8" s="3" t="s">
        <v>6</v>
      </c>
    </row>
    <row r="9" spans="2:2" x14ac:dyDescent="0.25">
      <c r="B9" s="3" t="s">
        <v>7</v>
      </c>
    </row>
    <row r="10" spans="2:2" x14ac:dyDescent="0.25">
      <c r="B10" s="3" t="s">
        <v>8</v>
      </c>
    </row>
    <row r="11" spans="2:2" x14ac:dyDescent="0.25">
      <c r="B11" s="3" t="s">
        <v>2</v>
      </c>
    </row>
    <row r="12" spans="2:2" x14ac:dyDescent="0.25">
      <c r="B12" s="4" t="s">
        <v>9</v>
      </c>
    </row>
    <row r="13" spans="2:2" x14ac:dyDescent="0.25">
      <c r="B13" s="3" t="s">
        <v>10</v>
      </c>
    </row>
    <row r="14" spans="2:2" x14ac:dyDescent="0.25">
      <c r="B14" s="3" t="s">
        <v>11</v>
      </c>
    </row>
    <row r="15" spans="2:2" x14ac:dyDescent="0.25">
      <c r="B15" s="3" t="s">
        <v>12</v>
      </c>
    </row>
    <row r="16" spans="2:2" x14ac:dyDescent="0.25">
      <c r="B16" s="3" t="s">
        <v>2</v>
      </c>
    </row>
    <row r="17" spans="2:2" x14ac:dyDescent="0.25">
      <c r="B17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219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58" customWidth="1"/>
    <col min="3" max="3" width="9" customWidth="1"/>
    <col min="4" max="18" width="11" customWidth="1"/>
    <col min="19" max="19" width="70" customWidth="1"/>
  </cols>
  <sheetData>
    <row r="2" spans="2:20" ht="18.75" x14ac:dyDescent="0.3">
      <c r="B2" s="1" t="s">
        <v>14</v>
      </c>
    </row>
    <row r="3" spans="2:20" x14ac:dyDescent="0.25">
      <c r="B3" s="2" t="s">
        <v>15</v>
      </c>
    </row>
    <row r="4" spans="2:20" x14ac:dyDescent="0.25">
      <c r="B4" s="5" t="s">
        <v>16</v>
      </c>
    </row>
    <row r="6" spans="2:20" x14ac:dyDescent="0.25"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2:20" x14ac:dyDescent="0.25">
      <c r="B7" s="4" t="s">
        <v>18</v>
      </c>
      <c r="D7" s="8">
        <f>$D$138</f>
        <v>46.144021672337104</v>
      </c>
    </row>
    <row r="8" spans="2:20" x14ac:dyDescent="0.25">
      <c r="B8" s="4" t="s">
        <v>19</v>
      </c>
      <c r="D8" s="8">
        <f>$D$145</f>
        <v>47.421920601329589</v>
      </c>
    </row>
    <row r="9" spans="2:20" x14ac:dyDescent="0.25">
      <c r="B9" s="4" t="s">
        <v>20</v>
      </c>
      <c r="D9" s="8">
        <f>$D$140</f>
        <v>50.797085899490192</v>
      </c>
    </row>
    <row r="10" spans="2:20" x14ac:dyDescent="0.25">
      <c r="B10" s="3" t="s">
        <v>21</v>
      </c>
      <c r="D10" s="9">
        <f>$D$132</f>
        <v>58.6</v>
      </c>
    </row>
    <row r="11" spans="2:20" x14ac:dyDescent="0.25">
      <c r="B11" s="3" t="s">
        <v>22</v>
      </c>
      <c r="D11" s="10">
        <f>$D$139</f>
        <v>-0.21255935712735319</v>
      </c>
      <c r="E11" s="10">
        <f>$D$146</f>
        <v>-0.19075220816843708</v>
      </c>
    </row>
    <row r="12" spans="2:20" x14ac:dyDescent="0.25">
      <c r="B12" s="3" t="s">
        <v>23</v>
      </c>
      <c r="D12" s="11">
        <f>$D$32</f>
        <v>0.10151310378062073</v>
      </c>
      <c r="E12" s="11">
        <f>$D$28</f>
        <v>0.12643898419999999</v>
      </c>
    </row>
    <row r="13" spans="2:20" x14ac:dyDescent="0.25">
      <c r="B13" s="3" t="s">
        <v>24</v>
      </c>
      <c r="D13" s="11">
        <f>$D$37</f>
        <v>4.2500000000000003E-2</v>
      </c>
      <c r="E13" s="12">
        <f>$D$38</f>
        <v>6</v>
      </c>
    </row>
    <row r="14" spans="2:20" x14ac:dyDescent="0.25">
      <c r="B14" s="3" t="s">
        <v>25</v>
      </c>
      <c r="D14" s="13">
        <f>$D$110</f>
        <v>381149.83024901495</v>
      </c>
      <c r="E14" s="13">
        <f>$D$113</f>
        <v>386162.68526572757</v>
      </c>
    </row>
    <row r="15" spans="2:20" x14ac:dyDescent="0.25">
      <c r="B15" s="3" t="s">
        <v>26</v>
      </c>
      <c r="D15" s="10">
        <f>$D$114</f>
        <v>0.55688890329820706</v>
      </c>
      <c r="E15" s="10">
        <f>$D$115</f>
        <v>0.56264101702854874</v>
      </c>
    </row>
    <row r="16" spans="2:20" x14ac:dyDescent="0.25">
      <c r="B16" s="3" t="s">
        <v>27</v>
      </c>
      <c r="D16" s="14">
        <f>$D$176</f>
        <v>-4.6486550958373414</v>
      </c>
      <c r="E16" s="14">
        <f>$D$177</f>
        <v>-1.9639038124834158</v>
      </c>
    </row>
    <row r="17" spans="2:20" x14ac:dyDescent="0.25">
      <c r="B17" s="3" t="s">
        <v>28</v>
      </c>
      <c r="D17" s="5" t="s">
        <v>29</v>
      </c>
    </row>
    <row r="19" spans="2:20" x14ac:dyDescent="0.25">
      <c r="B19" s="6" t="s">
        <v>30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2:20" x14ac:dyDescent="0.25">
      <c r="B20" s="3" t="s">
        <v>31</v>
      </c>
      <c r="D20" s="15">
        <v>9.2600000000000002E-2</v>
      </c>
      <c r="E20" s="5" t="s">
        <v>32</v>
      </c>
    </row>
    <row r="21" spans="2:20" x14ac:dyDescent="0.25">
      <c r="B21" s="3" t="s">
        <v>33</v>
      </c>
      <c r="D21" s="15">
        <v>4.2000000000000003E-2</v>
      </c>
      <c r="E21" s="5" t="s">
        <v>34</v>
      </c>
    </row>
    <row r="22" spans="2:20" x14ac:dyDescent="0.25">
      <c r="B22" s="3" t="s">
        <v>35</v>
      </c>
      <c r="D22" s="15">
        <v>0</v>
      </c>
      <c r="E22" s="5" t="s">
        <v>36</v>
      </c>
    </row>
    <row r="23" spans="2:20" x14ac:dyDescent="0.25">
      <c r="B23" s="3" t="s">
        <v>37</v>
      </c>
      <c r="D23" s="16">
        <v>0.53</v>
      </c>
      <c r="E23" s="5" t="s">
        <v>38</v>
      </c>
    </row>
    <row r="24" spans="2:20" x14ac:dyDescent="0.25">
      <c r="B24" s="3" t="s">
        <v>39</v>
      </c>
      <c r="D24" s="16">
        <v>0.74309999999999998</v>
      </c>
      <c r="E24" s="5" t="s">
        <v>40</v>
      </c>
    </row>
    <row r="25" spans="2:20" x14ac:dyDescent="0.25">
      <c r="B25" s="3" t="s">
        <v>41</v>
      </c>
      <c r="D25" s="15">
        <v>9.7100000000000006E-2</v>
      </c>
      <c r="E25" s="5" t="s">
        <v>42</v>
      </c>
    </row>
    <row r="26" spans="2:20" x14ac:dyDescent="0.25">
      <c r="B26" s="3" t="s">
        <v>43</v>
      </c>
      <c r="D26" s="17">
        <v>0.3</v>
      </c>
      <c r="E26" s="5" t="s">
        <v>44</v>
      </c>
    </row>
    <row r="27" spans="2:20" x14ac:dyDescent="0.25">
      <c r="B27" s="3" t="s">
        <v>45</v>
      </c>
      <c r="D27" s="18">
        <f>$D$23*(1+(1-$D$26)*$D$24)</f>
        <v>0.80569009999999996</v>
      </c>
    </row>
    <row r="28" spans="2:20" x14ac:dyDescent="0.25">
      <c r="B28" s="3" t="s">
        <v>46</v>
      </c>
      <c r="D28" s="11">
        <f>$D$20+$D$27*$D$21+$D$22</f>
        <v>0.12643898419999999</v>
      </c>
    </row>
    <row r="29" spans="2:20" x14ac:dyDescent="0.25">
      <c r="B29" s="3" t="s">
        <v>47</v>
      </c>
      <c r="D29" s="11">
        <f>$D$25*(1-$D$26)</f>
        <v>6.7970000000000003E-2</v>
      </c>
    </row>
    <row r="30" spans="2:20" x14ac:dyDescent="0.25">
      <c r="B30" s="3" t="s">
        <v>48</v>
      </c>
      <c r="D30" s="10">
        <f>1/(1+$D$24)</f>
        <v>0.57369055131661983</v>
      </c>
    </row>
    <row r="31" spans="2:20" x14ac:dyDescent="0.25">
      <c r="B31" s="3" t="s">
        <v>49</v>
      </c>
      <c r="D31" s="10">
        <f>$D$24/(1+$D$24)</f>
        <v>0.42630944868338017</v>
      </c>
    </row>
    <row r="32" spans="2:20" x14ac:dyDescent="0.25">
      <c r="B32" s="4" t="s">
        <v>50</v>
      </c>
      <c r="D32" s="19">
        <f>$D$30*$D$28+$D$31*$D$29</f>
        <v>0.10151310378062073</v>
      </c>
      <c r="E32" s="5" t="s">
        <v>51</v>
      </c>
    </row>
    <row r="34" spans="2:20" x14ac:dyDescent="0.25">
      <c r="B34" s="6" t="s">
        <v>52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2:20" x14ac:dyDescent="0.25">
      <c r="B35" s="3" t="s">
        <v>53</v>
      </c>
      <c r="D35" s="20">
        <v>0.5</v>
      </c>
      <c r="E35" s="5" t="s">
        <v>54</v>
      </c>
    </row>
    <row r="36" spans="2:20" x14ac:dyDescent="0.25">
      <c r="B36" s="3" t="s">
        <v>55</v>
      </c>
      <c r="D36" s="16">
        <v>0.79179999999999995</v>
      </c>
      <c r="E36" s="5" t="s">
        <v>56</v>
      </c>
    </row>
    <row r="37" spans="2:20" x14ac:dyDescent="0.25">
      <c r="B37" s="3" t="s">
        <v>57</v>
      </c>
      <c r="D37" s="15">
        <v>4.2500000000000003E-2</v>
      </c>
      <c r="E37" s="5" t="s">
        <v>58</v>
      </c>
    </row>
    <row r="38" spans="2:20" x14ac:dyDescent="0.25">
      <c r="B38" s="3" t="s">
        <v>59</v>
      </c>
      <c r="D38" s="21">
        <v>6</v>
      </c>
      <c r="E38" s="5" t="s">
        <v>60</v>
      </c>
    </row>
    <row r="39" spans="2:20" x14ac:dyDescent="0.25">
      <c r="B39" s="3" t="s">
        <v>61</v>
      </c>
      <c r="D39" s="15">
        <v>0.05</v>
      </c>
      <c r="E39" s="5" t="s">
        <v>62</v>
      </c>
    </row>
    <row r="40" spans="2:20" x14ac:dyDescent="0.25">
      <c r="B40" s="3" t="s">
        <v>63</v>
      </c>
      <c r="D40" s="15">
        <v>0</v>
      </c>
      <c r="E40" s="5" t="s">
        <v>64</v>
      </c>
    </row>
    <row r="41" spans="2:20" x14ac:dyDescent="0.25">
      <c r="B41" s="3" t="s">
        <v>65</v>
      </c>
      <c r="D41" s="15">
        <v>0</v>
      </c>
      <c r="E41" s="5" t="s">
        <v>66</v>
      </c>
    </row>
    <row r="42" spans="2:20" x14ac:dyDescent="0.25">
      <c r="B42" s="3" t="s">
        <v>67</v>
      </c>
      <c r="D42" s="15">
        <v>0</v>
      </c>
      <c r="E42" s="5" t="s">
        <v>68</v>
      </c>
    </row>
    <row r="44" spans="2:20" x14ac:dyDescent="0.25">
      <c r="B44" s="6" t="s">
        <v>69</v>
      </c>
      <c r="C44" s="7"/>
      <c r="D44" s="22" t="s">
        <v>70</v>
      </c>
      <c r="E44" s="22" t="s">
        <v>71</v>
      </c>
      <c r="F44" s="22" t="s">
        <v>72</v>
      </c>
      <c r="G44" s="22" t="s">
        <v>73</v>
      </c>
      <c r="H44" s="22" t="s">
        <v>74</v>
      </c>
      <c r="I44" s="22" t="s">
        <v>75</v>
      </c>
      <c r="J44" s="22" t="s">
        <v>76</v>
      </c>
      <c r="K44" s="22" t="s">
        <v>77</v>
      </c>
      <c r="L44" s="22" t="s">
        <v>78</v>
      </c>
      <c r="M44" s="22" t="s">
        <v>79</v>
      </c>
      <c r="N44" s="22" t="s">
        <v>80</v>
      </c>
      <c r="O44" s="22" t="s">
        <v>81</v>
      </c>
      <c r="P44" s="22" t="s">
        <v>82</v>
      </c>
      <c r="Q44" s="22" t="s">
        <v>83</v>
      </c>
      <c r="R44" s="22" t="s">
        <v>84</v>
      </c>
      <c r="S44" s="6" t="s">
        <v>85</v>
      </c>
      <c r="T44" s="7"/>
    </row>
    <row r="45" spans="2:20" x14ac:dyDescent="0.25">
      <c r="B45" s="3" t="s">
        <v>86</v>
      </c>
      <c r="I45" s="17">
        <v>-7.3999999999999996E-2</v>
      </c>
      <c r="J45" s="17">
        <v>0.03</v>
      </c>
      <c r="K45" s="17">
        <v>0.03</v>
      </c>
      <c r="L45" s="17">
        <v>0.03</v>
      </c>
      <c r="M45" s="17">
        <v>0.03</v>
      </c>
      <c r="N45" s="17">
        <v>0.03</v>
      </c>
      <c r="O45" s="17">
        <v>0.03</v>
      </c>
      <c r="P45" s="17">
        <v>0.03</v>
      </c>
      <c r="Q45" s="17">
        <v>0.03</v>
      </c>
      <c r="R45" s="17">
        <v>0.03</v>
      </c>
      <c r="S45" s="5" t="s">
        <v>87</v>
      </c>
    </row>
    <row r="46" spans="2:20" x14ac:dyDescent="0.25">
      <c r="B46" s="3" t="s">
        <v>88</v>
      </c>
      <c r="I46" s="17">
        <v>4.5999999999999999E-2</v>
      </c>
      <c r="J46" s="17">
        <v>5.5E-2</v>
      </c>
      <c r="K46" s="17">
        <v>5.2499999999999998E-2</v>
      </c>
      <c r="L46" s="17">
        <v>5.2499999999999998E-2</v>
      </c>
      <c r="M46" s="17">
        <v>5.2499999999999998E-2</v>
      </c>
      <c r="N46" s="17">
        <v>5.1499999999999997E-2</v>
      </c>
      <c r="O46" s="17">
        <v>5.0999999999999997E-2</v>
      </c>
      <c r="P46" s="17">
        <v>5.0500000000000003E-2</v>
      </c>
      <c r="Q46" s="17">
        <v>0.05</v>
      </c>
      <c r="R46" s="17">
        <v>0.05</v>
      </c>
      <c r="S46" s="5" t="s">
        <v>89</v>
      </c>
    </row>
    <row r="47" spans="2:20" x14ac:dyDescent="0.25">
      <c r="B47" s="3" t="s">
        <v>90</v>
      </c>
      <c r="I47" s="17">
        <v>6.0000000000000001E-3</v>
      </c>
      <c r="J47" s="17">
        <v>4.4999999999999998E-2</v>
      </c>
      <c r="K47" s="17">
        <v>4.4999999999999998E-2</v>
      </c>
      <c r="L47" s="17">
        <v>4.4999999999999998E-2</v>
      </c>
      <c r="M47" s="17">
        <v>4.4999999999999998E-2</v>
      </c>
      <c r="N47" s="17">
        <v>4.4499999999999998E-2</v>
      </c>
      <c r="O47" s="17">
        <v>4.3999999999999997E-2</v>
      </c>
      <c r="P47" s="17">
        <v>4.3499999999999997E-2</v>
      </c>
      <c r="Q47" s="17">
        <v>4.2999999999999997E-2</v>
      </c>
      <c r="R47" s="17">
        <v>4.2500000000000003E-2</v>
      </c>
      <c r="S47" s="5" t="s">
        <v>91</v>
      </c>
    </row>
    <row r="48" spans="2:20" x14ac:dyDescent="0.25">
      <c r="B48" s="3" t="s">
        <v>92</v>
      </c>
      <c r="I48" s="17">
        <v>8.5000000000000006E-2</v>
      </c>
      <c r="J48" s="17">
        <v>7.0000000000000007E-2</v>
      </c>
      <c r="K48" s="17">
        <v>6.5000000000000002E-2</v>
      </c>
      <c r="L48" s="17">
        <v>6.5000000000000002E-2</v>
      </c>
      <c r="M48" s="17">
        <v>6.5000000000000002E-2</v>
      </c>
      <c r="N48" s="17">
        <v>6.3E-2</v>
      </c>
      <c r="O48" s="17">
        <v>6.0999999999999999E-2</v>
      </c>
      <c r="P48" s="17">
        <v>5.8999999999999997E-2</v>
      </c>
      <c r="Q48" s="17">
        <v>5.7000000000000002E-2</v>
      </c>
      <c r="R48" s="17">
        <v>5.5E-2</v>
      </c>
      <c r="S48" s="5" t="s">
        <v>93</v>
      </c>
    </row>
    <row r="49" spans="2:20" x14ac:dyDescent="0.25">
      <c r="B49" s="3" t="s">
        <v>94</v>
      </c>
      <c r="I49" s="17">
        <v>3.5999999999999997E-2</v>
      </c>
      <c r="J49" s="17">
        <v>4.4999999999999998E-2</v>
      </c>
      <c r="K49" s="17">
        <v>4.4999999999999998E-2</v>
      </c>
      <c r="L49" s="17">
        <v>4.4999999999999998E-2</v>
      </c>
      <c r="M49" s="17">
        <v>4.4999999999999998E-2</v>
      </c>
      <c r="N49" s="17">
        <v>4.4999999999999998E-2</v>
      </c>
      <c r="O49" s="17">
        <v>4.4999999999999998E-2</v>
      </c>
      <c r="P49" s="17">
        <v>4.4999999999999998E-2</v>
      </c>
      <c r="Q49" s="17">
        <v>4.4999999999999998E-2</v>
      </c>
      <c r="R49" s="17">
        <v>4.4999999999999998E-2</v>
      </c>
      <c r="S49" s="5" t="s">
        <v>95</v>
      </c>
    </row>
    <row r="50" spans="2:20" x14ac:dyDescent="0.25">
      <c r="B50" s="3" t="s">
        <v>96</v>
      </c>
      <c r="I50" s="17">
        <v>0.52400000000000002</v>
      </c>
      <c r="J50" s="17">
        <v>0.52</v>
      </c>
      <c r="K50" s="17">
        <v>0.52300000000000002</v>
      </c>
      <c r="L50" s="17">
        <v>0.52500000000000002</v>
      </c>
      <c r="M50" s="17">
        <v>0.52500000000000002</v>
      </c>
      <c r="N50" s="17">
        <v>0.52500000000000002</v>
      </c>
      <c r="O50" s="17">
        <v>0.52500000000000002</v>
      </c>
      <c r="P50" s="17">
        <v>0.52500000000000002</v>
      </c>
      <c r="Q50" s="17">
        <v>0.52500000000000002</v>
      </c>
      <c r="R50" s="17">
        <v>0.52500000000000002</v>
      </c>
      <c r="S50" s="5" t="s">
        <v>97</v>
      </c>
    </row>
    <row r="51" spans="2:20" x14ac:dyDescent="0.25">
      <c r="B51" s="3" t="s">
        <v>98</v>
      </c>
      <c r="I51" s="17">
        <v>0.436</v>
      </c>
      <c r="J51" s="17">
        <v>0.434</v>
      </c>
      <c r="K51" s="17">
        <v>0.433</v>
      </c>
      <c r="L51" s="17">
        <v>0.4325</v>
      </c>
      <c r="M51" s="17">
        <v>0.43049999999999999</v>
      </c>
      <c r="N51" s="17">
        <v>0.43049999999999999</v>
      </c>
      <c r="O51" s="17">
        <v>0.43049999999999999</v>
      </c>
      <c r="P51" s="17">
        <v>0.43049999999999999</v>
      </c>
      <c r="Q51" s="17">
        <v>0.43049999999999999</v>
      </c>
      <c r="R51" s="17">
        <v>0.43049999999999999</v>
      </c>
      <c r="S51" s="5" t="s">
        <v>99</v>
      </c>
    </row>
    <row r="52" spans="2:20" x14ac:dyDescent="0.25">
      <c r="B52" s="3" t="s">
        <v>100</v>
      </c>
      <c r="I52" s="17">
        <v>5.8999999999999997E-2</v>
      </c>
      <c r="J52" s="17">
        <v>5.8999999999999997E-2</v>
      </c>
      <c r="K52" s="17">
        <v>5.8999999999999997E-2</v>
      </c>
      <c r="L52" s="17">
        <v>5.8500000000000003E-2</v>
      </c>
      <c r="M52" s="17">
        <v>5.8500000000000003E-2</v>
      </c>
      <c r="N52" s="17">
        <v>5.8500000000000003E-2</v>
      </c>
      <c r="O52" s="17">
        <v>5.8500000000000003E-2</v>
      </c>
      <c r="P52" s="17">
        <v>5.8500000000000003E-2</v>
      </c>
      <c r="Q52" s="17">
        <v>5.8500000000000003E-2</v>
      </c>
      <c r="R52" s="17">
        <v>5.8500000000000003E-2</v>
      </c>
      <c r="S52" s="5" t="s">
        <v>101</v>
      </c>
    </row>
    <row r="53" spans="2:20" x14ac:dyDescent="0.25">
      <c r="B53" s="3" t="s">
        <v>102</v>
      </c>
      <c r="I53" s="17">
        <v>4.5999999999999999E-2</v>
      </c>
      <c r="J53" s="17">
        <v>0.05</v>
      </c>
      <c r="K53" s="17">
        <v>5.1999999999999998E-2</v>
      </c>
      <c r="L53" s="17">
        <v>5.3999999999999999E-2</v>
      </c>
      <c r="M53" s="17">
        <v>5.5E-2</v>
      </c>
      <c r="N53" s="17">
        <v>5.6000000000000001E-2</v>
      </c>
      <c r="O53" s="17">
        <v>5.7000000000000002E-2</v>
      </c>
      <c r="P53" s="17">
        <v>5.8000000000000003E-2</v>
      </c>
      <c r="Q53" s="17">
        <v>5.8999999999999997E-2</v>
      </c>
      <c r="R53" s="17">
        <v>0.06</v>
      </c>
      <c r="S53" s="5" t="s">
        <v>103</v>
      </c>
    </row>
    <row r="54" spans="2:20" x14ac:dyDescent="0.25">
      <c r="B54" s="3" t="s">
        <v>104</v>
      </c>
      <c r="I54" s="17">
        <v>1.3899999999999999E-2</v>
      </c>
      <c r="J54" s="17">
        <v>1.3899999999999999E-2</v>
      </c>
      <c r="K54" s="17">
        <v>1.3899999999999999E-2</v>
      </c>
      <c r="L54" s="17">
        <v>1.3899999999999999E-2</v>
      </c>
      <c r="M54" s="17">
        <v>1.3899999999999999E-2</v>
      </c>
      <c r="N54" s="17">
        <v>1.3899999999999999E-2</v>
      </c>
      <c r="O54" s="17">
        <v>1.3899999999999999E-2</v>
      </c>
      <c r="P54" s="17">
        <v>1.3899999999999999E-2</v>
      </c>
      <c r="Q54" s="17">
        <v>1.3899999999999999E-2</v>
      </c>
      <c r="R54" s="17">
        <v>1.3899999999999999E-2</v>
      </c>
      <c r="S54" s="5" t="s">
        <v>105</v>
      </c>
    </row>
    <row r="55" spans="2:20" x14ac:dyDescent="0.25">
      <c r="B55" s="3" t="s">
        <v>106</v>
      </c>
      <c r="I55" s="23">
        <v>20.3</v>
      </c>
      <c r="J55" s="23">
        <v>20.3</v>
      </c>
      <c r="K55" s="23">
        <v>20.3</v>
      </c>
      <c r="L55" s="23">
        <v>20.3</v>
      </c>
      <c r="M55" s="23">
        <v>20.3</v>
      </c>
      <c r="N55" s="23">
        <v>20.3</v>
      </c>
      <c r="O55" s="23">
        <v>20.3</v>
      </c>
      <c r="P55" s="23">
        <v>20.3</v>
      </c>
      <c r="Q55" s="23">
        <v>20.3</v>
      </c>
      <c r="R55" s="23">
        <v>20.3</v>
      </c>
      <c r="S55" s="5" t="s">
        <v>107</v>
      </c>
    </row>
    <row r="56" spans="2:20" x14ac:dyDescent="0.25">
      <c r="B56" s="3" t="s">
        <v>108</v>
      </c>
      <c r="I56" s="23">
        <v>30.8</v>
      </c>
      <c r="J56" s="23">
        <v>30.8</v>
      </c>
      <c r="K56" s="23">
        <v>30.8</v>
      </c>
      <c r="L56" s="23">
        <v>30.8</v>
      </c>
      <c r="M56" s="23">
        <v>30.8</v>
      </c>
      <c r="N56" s="23">
        <v>30.8</v>
      </c>
      <c r="O56" s="23">
        <v>30.8</v>
      </c>
      <c r="P56" s="23">
        <v>30.8</v>
      </c>
      <c r="Q56" s="23">
        <v>30.8</v>
      </c>
      <c r="R56" s="23">
        <v>30.8</v>
      </c>
      <c r="S56" s="5" t="s">
        <v>109</v>
      </c>
    </row>
    <row r="57" spans="2:20" x14ac:dyDescent="0.25">
      <c r="B57" s="3" t="s">
        <v>110</v>
      </c>
      <c r="I57" s="23">
        <v>70.099999999999994</v>
      </c>
      <c r="J57" s="23">
        <v>70.099999999999994</v>
      </c>
      <c r="K57" s="23">
        <v>70.099999999999994</v>
      </c>
      <c r="L57" s="23">
        <v>70.099999999999994</v>
      </c>
      <c r="M57" s="23">
        <v>70.099999999999994</v>
      </c>
      <c r="N57" s="23">
        <v>70.099999999999994</v>
      </c>
      <c r="O57" s="23">
        <v>70.099999999999994</v>
      </c>
      <c r="P57" s="23">
        <v>70.099999999999994</v>
      </c>
      <c r="Q57" s="23">
        <v>70.099999999999994</v>
      </c>
      <c r="R57" s="23">
        <v>70.099999999999994</v>
      </c>
      <c r="S57" s="5" t="s">
        <v>111</v>
      </c>
    </row>
    <row r="58" spans="2:20" x14ac:dyDescent="0.25">
      <c r="B58" s="3" t="s">
        <v>112</v>
      </c>
      <c r="I58" s="17">
        <v>3.56E-2</v>
      </c>
      <c r="J58" s="17">
        <v>3.56E-2</v>
      </c>
      <c r="K58" s="17">
        <v>3.56E-2</v>
      </c>
      <c r="L58" s="17">
        <v>3.56E-2</v>
      </c>
      <c r="M58" s="17">
        <v>3.56E-2</v>
      </c>
      <c r="N58" s="17">
        <v>3.56E-2</v>
      </c>
      <c r="O58" s="17">
        <v>3.56E-2</v>
      </c>
      <c r="P58" s="17">
        <v>3.56E-2</v>
      </c>
      <c r="Q58" s="17">
        <v>3.56E-2</v>
      </c>
      <c r="R58" s="17">
        <v>3.56E-2</v>
      </c>
      <c r="S58" s="5" t="s">
        <v>113</v>
      </c>
    </row>
    <row r="59" spans="2:20" x14ac:dyDescent="0.25">
      <c r="B59" s="3" t="s">
        <v>114</v>
      </c>
      <c r="I59" s="17">
        <v>7.4499999999999997E-2</v>
      </c>
      <c r="J59" s="17">
        <v>7.4499999999999997E-2</v>
      </c>
      <c r="K59" s="17">
        <v>7.4499999999999997E-2</v>
      </c>
      <c r="L59" s="17">
        <v>7.4499999999999997E-2</v>
      </c>
      <c r="M59" s="17">
        <v>7.4499999999999997E-2</v>
      </c>
      <c r="N59" s="17">
        <v>7.4499999999999997E-2</v>
      </c>
      <c r="O59" s="17">
        <v>7.4499999999999997E-2</v>
      </c>
      <c r="P59" s="17">
        <v>7.4499999999999997E-2</v>
      </c>
      <c r="Q59" s="17">
        <v>7.4499999999999997E-2</v>
      </c>
      <c r="R59" s="17">
        <v>7.4499999999999997E-2</v>
      </c>
      <c r="S59" s="5" t="s">
        <v>115</v>
      </c>
    </row>
    <row r="60" spans="2:20" x14ac:dyDescent="0.25">
      <c r="B60" s="3" t="s">
        <v>116</v>
      </c>
      <c r="I60" s="17">
        <v>0.34</v>
      </c>
      <c r="J60" s="17">
        <v>0.34</v>
      </c>
      <c r="K60" s="17">
        <v>0.34</v>
      </c>
      <c r="L60" s="17">
        <v>0.34</v>
      </c>
      <c r="M60" s="17">
        <v>0.34</v>
      </c>
      <c r="N60" s="17">
        <v>0.34</v>
      </c>
      <c r="O60" s="17">
        <v>0.34</v>
      </c>
      <c r="P60" s="17">
        <v>0.34</v>
      </c>
      <c r="Q60" s="17">
        <v>0.34</v>
      </c>
      <c r="R60" s="17">
        <v>0.34</v>
      </c>
      <c r="S60" s="5" t="s">
        <v>117</v>
      </c>
    </row>
    <row r="61" spans="2:20" x14ac:dyDescent="0.25">
      <c r="B61" s="3" t="s">
        <v>118</v>
      </c>
      <c r="I61" s="17">
        <v>1.6299999999999999E-2</v>
      </c>
      <c r="J61" s="17">
        <v>1.6299999999999999E-2</v>
      </c>
      <c r="K61" s="17">
        <v>1.6299999999999999E-2</v>
      </c>
      <c r="L61" s="17">
        <v>1.6299999999999999E-2</v>
      </c>
      <c r="M61" s="17">
        <v>1.6299999999999999E-2</v>
      </c>
      <c r="N61" s="17">
        <v>1.6299999999999999E-2</v>
      </c>
      <c r="O61" s="17">
        <v>1.6299999999999999E-2</v>
      </c>
      <c r="P61" s="17">
        <v>1.6299999999999999E-2</v>
      </c>
      <c r="Q61" s="17">
        <v>1.6299999999999999E-2</v>
      </c>
      <c r="R61" s="17">
        <v>1.6299999999999999E-2</v>
      </c>
      <c r="S61" s="5" t="s">
        <v>119</v>
      </c>
    </row>
    <row r="63" spans="2:20" x14ac:dyDescent="0.25">
      <c r="B63" s="6" t="s">
        <v>120</v>
      </c>
      <c r="C63" s="7"/>
      <c r="D63" s="22" t="s">
        <v>70</v>
      </c>
      <c r="E63" s="22" t="s">
        <v>71</v>
      </c>
      <c r="F63" s="22" t="s">
        <v>72</v>
      </c>
      <c r="G63" s="22" t="s">
        <v>73</v>
      </c>
      <c r="H63" s="22" t="s">
        <v>74</v>
      </c>
      <c r="I63" s="22" t="s">
        <v>75</v>
      </c>
      <c r="J63" s="22" t="s">
        <v>76</v>
      </c>
      <c r="K63" s="22" t="s">
        <v>77</v>
      </c>
      <c r="L63" s="22" t="s">
        <v>78</v>
      </c>
      <c r="M63" s="22" t="s">
        <v>79</v>
      </c>
      <c r="N63" s="22" t="s">
        <v>80</v>
      </c>
      <c r="O63" s="22" t="s">
        <v>81</v>
      </c>
      <c r="P63" s="22" t="s">
        <v>82</v>
      </c>
      <c r="Q63" s="22" t="s">
        <v>83</v>
      </c>
      <c r="R63" s="22" t="s">
        <v>84</v>
      </c>
      <c r="S63" s="6" t="s">
        <v>85</v>
      </c>
      <c r="T63" s="7"/>
    </row>
    <row r="64" spans="2:20" x14ac:dyDescent="0.25">
      <c r="B64" s="3" t="s">
        <v>121</v>
      </c>
      <c r="D64" s="24">
        <v>175369</v>
      </c>
      <c r="E64" s="24">
        <v>205674</v>
      </c>
      <c r="F64" s="24">
        <v>192534</v>
      </c>
      <c r="G64" s="24">
        <v>189330</v>
      </c>
      <c r="H64" s="24">
        <v>190211</v>
      </c>
      <c r="I64" s="13">
        <f t="shared" ref="I64:R64" si="0">H64*(1+I45+$D$40)</f>
        <v>176135.386</v>
      </c>
      <c r="J64" s="13">
        <f t="shared" si="0"/>
        <v>181419.44758000001</v>
      </c>
      <c r="K64" s="13">
        <f t="shared" si="0"/>
        <v>186862.03100740002</v>
      </c>
      <c r="L64" s="13">
        <f t="shared" si="0"/>
        <v>192467.89193762201</v>
      </c>
      <c r="M64" s="13">
        <f t="shared" si="0"/>
        <v>198241.92869575068</v>
      </c>
      <c r="N64" s="13">
        <f t="shared" si="0"/>
        <v>204189.1865566232</v>
      </c>
      <c r="O64" s="13">
        <f t="shared" si="0"/>
        <v>210314.86215332191</v>
      </c>
      <c r="P64" s="13">
        <f t="shared" si="0"/>
        <v>216624.30801792158</v>
      </c>
      <c r="Q64" s="13">
        <f t="shared" si="0"/>
        <v>223123.03725845923</v>
      </c>
      <c r="R64" s="13">
        <f t="shared" si="0"/>
        <v>229816.728376213</v>
      </c>
      <c r="S64" s="5" t="s">
        <v>122</v>
      </c>
    </row>
    <row r="65" spans="2:19" x14ac:dyDescent="0.25">
      <c r="B65" s="3" t="s">
        <v>123</v>
      </c>
      <c r="D65" s="24">
        <v>109089</v>
      </c>
      <c r="E65" s="24">
        <v>130401</v>
      </c>
      <c r="F65" s="24">
        <v>145387</v>
      </c>
      <c r="G65" s="24">
        <v>151164</v>
      </c>
      <c r="H65" s="24">
        <v>154809</v>
      </c>
      <c r="I65" s="13">
        <f t="shared" ref="I65:R65" si="1">H65*(1+I46+$D$40)</f>
        <v>161930.21400000001</v>
      </c>
      <c r="J65" s="13">
        <f t="shared" si="1"/>
        <v>170836.37576999998</v>
      </c>
      <c r="K65" s="13">
        <f t="shared" si="1"/>
        <v>179805.28549792498</v>
      </c>
      <c r="L65" s="13">
        <f t="shared" si="1"/>
        <v>189245.06298656604</v>
      </c>
      <c r="M65" s="13">
        <f t="shared" si="1"/>
        <v>199180.42879336077</v>
      </c>
      <c r="N65" s="13">
        <f t="shared" si="1"/>
        <v>209438.22087621887</v>
      </c>
      <c r="O65" s="13">
        <f t="shared" si="1"/>
        <v>220119.57014090603</v>
      </c>
      <c r="P65" s="13">
        <f t="shared" si="1"/>
        <v>231235.60843302179</v>
      </c>
      <c r="Q65" s="13">
        <f t="shared" si="1"/>
        <v>242797.3888546729</v>
      </c>
      <c r="R65" s="13">
        <f t="shared" si="1"/>
        <v>254937.25829740654</v>
      </c>
      <c r="S65" s="5" t="s">
        <v>122</v>
      </c>
    </row>
    <row r="66" spans="2:19" x14ac:dyDescent="0.25">
      <c r="B66" s="3" t="s">
        <v>124</v>
      </c>
      <c r="D66" s="24">
        <v>34195</v>
      </c>
      <c r="E66" s="24">
        <v>37536</v>
      </c>
      <c r="F66" s="24">
        <v>40545</v>
      </c>
      <c r="G66" s="24">
        <v>45044</v>
      </c>
      <c r="H66" s="24">
        <v>54214</v>
      </c>
      <c r="I66" s="13">
        <f t="shared" ref="I66:R66" si="2">H66*(1+I47+$D$40)</f>
        <v>54539.284</v>
      </c>
      <c r="J66" s="13">
        <f t="shared" si="2"/>
        <v>56993.551779999994</v>
      </c>
      <c r="K66" s="13">
        <f t="shared" si="2"/>
        <v>59558.261610099988</v>
      </c>
      <c r="L66" s="13">
        <f t="shared" si="2"/>
        <v>62238.383382554486</v>
      </c>
      <c r="M66" s="13">
        <f t="shared" si="2"/>
        <v>65039.110634769437</v>
      </c>
      <c r="N66" s="13">
        <f t="shared" si="2"/>
        <v>67933.351058016677</v>
      </c>
      <c r="O66" s="13">
        <f t="shared" si="2"/>
        <v>70922.418504569418</v>
      </c>
      <c r="P66" s="13">
        <f t="shared" si="2"/>
        <v>74007.543709518199</v>
      </c>
      <c r="Q66" s="13">
        <f t="shared" si="2"/>
        <v>77189.86808902747</v>
      </c>
      <c r="R66" s="13">
        <f t="shared" si="2"/>
        <v>80470.437482811132</v>
      </c>
      <c r="S66" s="5" t="s">
        <v>122</v>
      </c>
    </row>
    <row r="67" spans="2:19" x14ac:dyDescent="0.25">
      <c r="B67" s="3" t="s">
        <v>125</v>
      </c>
      <c r="D67" s="24">
        <v>31109</v>
      </c>
      <c r="E67" s="24">
        <v>38411</v>
      </c>
      <c r="F67" s="24">
        <v>36647</v>
      </c>
      <c r="G67" s="24">
        <v>39879</v>
      </c>
      <c r="H67" s="24">
        <v>44120</v>
      </c>
      <c r="I67" s="13">
        <f t="shared" ref="I67:R67" si="3">H67*(1+I48+$D$40)</f>
        <v>47870.2</v>
      </c>
      <c r="J67" s="13">
        <f t="shared" si="3"/>
        <v>51221.114000000001</v>
      </c>
      <c r="K67" s="13">
        <f t="shared" si="3"/>
        <v>54550.486409999998</v>
      </c>
      <c r="L67" s="13">
        <f t="shared" si="3"/>
        <v>58096.268026649996</v>
      </c>
      <c r="M67" s="13">
        <f t="shared" si="3"/>
        <v>61872.525448382243</v>
      </c>
      <c r="N67" s="13">
        <f t="shared" si="3"/>
        <v>65770.494551630327</v>
      </c>
      <c r="O67" s="13">
        <f t="shared" si="3"/>
        <v>69782.49471927977</v>
      </c>
      <c r="P67" s="13">
        <f t="shared" si="3"/>
        <v>73899.661907717265</v>
      </c>
      <c r="Q67" s="13">
        <f t="shared" si="3"/>
        <v>78111.942636457141</v>
      </c>
      <c r="R67" s="13">
        <f t="shared" si="3"/>
        <v>82408.099481462283</v>
      </c>
      <c r="S67" s="5" t="s">
        <v>122</v>
      </c>
    </row>
    <row r="68" spans="2:19" x14ac:dyDescent="0.25">
      <c r="B68" s="3" t="s">
        <v>126</v>
      </c>
      <c r="D68" s="24">
        <v>-10970</v>
      </c>
      <c r="E68" s="24">
        <v>-13316</v>
      </c>
      <c r="F68" s="24">
        <v>-15234</v>
      </c>
      <c r="G68" s="24">
        <v>-17082</v>
      </c>
      <c r="H68" s="24">
        <v>-16402</v>
      </c>
      <c r="I68" s="13">
        <f t="shared" ref="I68:R68" si="4">H68*(1+I49+$D$40)</f>
        <v>-16992.472000000002</v>
      </c>
      <c r="J68" s="13">
        <f t="shared" si="4"/>
        <v>-17757.133239999999</v>
      </c>
      <c r="K68" s="13">
        <f t="shared" si="4"/>
        <v>-18556.204235799996</v>
      </c>
      <c r="L68" s="13">
        <f t="shared" si="4"/>
        <v>-19391.233426410996</v>
      </c>
      <c r="M68" s="13">
        <f t="shared" si="4"/>
        <v>-20263.83893059949</v>
      </c>
      <c r="N68" s="13">
        <f t="shared" si="4"/>
        <v>-21175.711682476463</v>
      </c>
      <c r="O68" s="13">
        <f t="shared" si="4"/>
        <v>-22128.618708187903</v>
      </c>
      <c r="P68" s="13">
        <f t="shared" si="4"/>
        <v>-23124.406550056359</v>
      </c>
      <c r="Q68" s="13">
        <f t="shared" si="4"/>
        <v>-24165.004844808893</v>
      </c>
      <c r="R68" s="13">
        <f t="shared" si="4"/>
        <v>-25252.430062825289</v>
      </c>
      <c r="S68" s="5" t="s">
        <v>122</v>
      </c>
    </row>
    <row r="69" spans="2:19" x14ac:dyDescent="0.25">
      <c r="B69" s="4" t="s">
        <v>127</v>
      </c>
      <c r="D69" s="25">
        <v>338792</v>
      </c>
      <c r="E69" s="25">
        <v>398706</v>
      </c>
      <c r="F69" s="25">
        <v>399879</v>
      </c>
      <c r="G69" s="25">
        <v>408335</v>
      </c>
      <c r="H69" s="25">
        <v>426952</v>
      </c>
      <c r="I69" s="26">
        <f t="shared" ref="I69:R69" si="5">SUM(I64:I68)</f>
        <v>423482.61199999996</v>
      </c>
      <c r="J69" s="26">
        <f t="shared" si="5"/>
        <v>442713.35588999995</v>
      </c>
      <c r="K69" s="26">
        <f t="shared" si="5"/>
        <v>462219.86028962501</v>
      </c>
      <c r="L69" s="26">
        <f t="shared" si="5"/>
        <v>482656.37290698162</v>
      </c>
      <c r="M69" s="26">
        <f t="shared" si="5"/>
        <v>504070.15464166366</v>
      </c>
      <c r="N69" s="26">
        <f t="shared" si="5"/>
        <v>526155.5413600126</v>
      </c>
      <c r="O69" s="26">
        <f t="shared" si="5"/>
        <v>549010.72680988919</v>
      </c>
      <c r="P69" s="26">
        <f t="shared" si="5"/>
        <v>572642.71551812254</v>
      </c>
      <c r="Q69" s="26">
        <f t="shared" si="5"/>
        <v>597057.23199380795</v>
      </c>
      <c r="R69" s="26">
        <f t="shared" si="5"/>
        <v>622380.09357506759</v>
      </c>
      <c r="S69" s="5" t="s">
        <v>128</v>
      </c>
    </row>
    <row r="70" spans="2:19" x14ac:dyDescent="0.25">
      <c r="B70" s="3" t="s">
        <v>129</v>
      </c>
      <c r="E70" s="10">
        <f t="shared" ref="E70:R70" si="6">E69/D69-1</f>
        <v>0.17684597038891114</v>
      </c>
      <c r="F70" s="10">
        <f t="shared" si="6"/>
        <v>2.9420174263743437E-3</v>
      </c>
      <c r="G70" s="10">
        <f t="shared" si="6"/>
        <v>2.1146396785027388E-2</v>
      </c>
      <c r="H70" s="10">
        <f t="shared" si="6"/>
        <v>4.5592466969522683E-2</v>
      </c>
      <c r="I70" s="10">
        <f t="shared" si="6"/>
        <v>-8.1259439000169742E-3</v>
      </c>
      <c r="J70" s="10">
        <f t="shared" si="6"/>
        <v>4.5410940957358648E-2</v>
      </c>
      <c r="K70" s="10">
        <f t="shared" si="6"/>
        <v>4.4061251236503951E-2</v>
      </c>
      <c r="L70" s="10">
        <f t="shared" si="6"/>
        <v>4.4213834958435561E-2</v>
      </c>
      <c r="M70" s="10">
        <f t="shared" si="6"/>
        <v>4.4366516090338592E-2</v>
      </c>
      <c r="N70" s="10">
        <f t="shared" si="6"/>
        <v>4.3814113005855582E-2</v>
      </c>
      <c r="O70" s="10">
        <f t="shared" si="6"/>
        <v>4.3438078007883796E-2</v>
      </c>
      <c r="P70" s="10">
        <f t="shared" si="6"/>
        <v>4.3044675730746773E-2</v>
      </c>
      <c r="Q70" s="10">
        <f t="shared" si="6"/>
        <v>4.2634815416442207E-2</v>
      </c>
      <c r="R70" s="10">
        <f t="shared" si="6"/>
        <v>4.2412787626232573E-2</v>
      </c>
    </row>
    <row r="71" spans="2:19" x14ac:dyDescent="0.25">
      <c r="B71" s="3" t="s">
        <v>130</v>
      </c>
      <c r="D71" s="24">
        <v>157703</v>
      </c>
      <c r="E71" s="24">
        <v>193325</v>
      </c>
      <c r="F71" s="24">
        <v>194369</v>
      </c>
      <c r="G71" s="24">
        <v>193407</v>
      </c>
      <c r="H71" s="24">
        <v>203465</v>
      </c>
      <c r="I71" s="13">
        <f t="shared" ref="I71:R71" si="7">I69*(1-(I50+$D$41))</f>
        <v>201577.72331199999</v>
      </c>
      <c r="J71" s="13">
        <f t="shared" si="7"/>
        <v>212502.41082719996</v>
      </c>
      <c r="K71" s="13">
        <f t="shared" si="7"/>
        <v>220478.87335815112</v>
      </c>
      <c r="L71" s="13">
        <f t="shared" si="7"/>
        <v>229261.77713081625</v>
      </c>
      <c r="M71" s="13">
        <f t="shared" si="7"/>
        <v>239433.32345479022</v>
      </c>
      <c r="N71" s="13">
        <f t="shared" si="7"/>
        <v>249923.88214600598</v>
      </c>
      <c r="O71" s="13">
        <f t="shared" si="7"/>
        <v>260780.09523469736</v>
      </c>
      <c r="P71" s="13">
        <f t="shared" si="7"/>
        <v>272005.28987110819</v>
      </c>
      <c r="Q71" s="13">
        <f t="shared" si="7"/>
        <v>283602.18519705877</v>
      </c>
      <c r="R71" s="13">
        <f t="shared" si="7"/>
        <v>295630.54444815707</v>
      </c>
      <c r="S71" s="5" t="s">
        <v>131</v>
      </c>
    </row>
    <row r="72" spans="2:19" x14ac:dyDescent="0.25">
      <c r="B72" s="4" t="s">
        <v>132</v>
      </c>
      <c r="D72" s="26">
        <f t="shared" ref="D72:R72" si="8">D69-D71</f>
        <v>181089</v>
      </c>
      <c r="E72" s="26">
        <f t="shared" si="8"/>
        <v>205381</v>
      </c>
      <c r="F72" s="26">
        <f t="shared" si="8"/>
        <v>205510</v>
      </c>
      <c r="G72" s="26">
        <f t="shared" si="8"/>
        <v>214928</v>
      </c>
      <c r="H72" s="26">
        <f t="shared" si="8"/>
        <v>223487</v>
      </c>
      <c r="I72" s="26">
        <f t="shared" si="8"/>
        <v>221904.88868799998</v>
      </c>
      <c r="J72" s="26">
        <f t="shared" si="8"/>
        <v>230210.94506279999</v>
      </c>
      <c r="K72" s="26">
        <f t="shared" si="8"/>
        <v>241740.98693147389</v>
      </c>
      <c r="L72" s="26">
        <f t="shared" si="8"/>
        <v>253394.59577616537</v>
      </c>
      <c r="M72" s="26">
        <f t="shared" si="8"/>
        <v>264636.83118687343</v>
      </c>
      <c r="N72" s="26">
        <f t="shared" si="8"/>
        <v>276231.65921400662</v>
      </c>
      <c r="O72" s="26">
        <f t="shared" si="8"/>
        <v>288230.63157519186</v>
      </c>
      <c r="P72" s="26">
        <f t="shared" si="8"/>
        <v>300637.42564701434</v>
      </c>
      <c r="Q72" s="26">
        <f t="shared" si="8"/>
        <v>313455.04679674917</v>
      </c>
      <c r="R72" s="26">
        <f t="shared" si="8"/>
        <v>326749.54912691051</v>
      </c>
    </row>
    <row r="73" spans="2:19" x14ac:dyDescent="0.25">
      <c r="B73" s="3" t="s">
        <v>133</v>
      </c>
      <c r="D73" s="10">
        <f t="shared" ref="D73:R73" si="9">D72/D69</f>
        <v>0.53451380197879528</v>
      </c>
      <c r="E73" s="10">
        <f t="shared" si="9"/>
        <v>0.5151189096727915</v>
      </c>
      <c r="F73" s="10">
        <f t="shared" si="9"/>
        <v>0.51393046396534947</v>
      </c>
      <c r="G73" s="10">
        <f t="shared" si="9"/>
        <v>0.52635213733821495</v>
      </c>
      <c r="H73" s="10">
        <f t="shared" si="9"/>
        <v>0.52344760066705387</v>
      </c>
      <c r="I73" s="10">
        <f t="shared" si="9"/>
        <v>0.52400000000000002</v>
      </c>
      <c r="J73" s="10">
        <f t="shared" si="9"/>
        <v>0.52</v>
      </c>
      <c r="K73" s="10">
        <f t="shared" si="9"/>
        <v>0.52300000000000002</v>
      </c>
      <c r="L73" s="10">
        <f t="shared" si="9"/>
        <v>0.52500000000000002</v>
      </c>
      <c r="M73" s="10">
        <f t="shared" si="9"/>
        <v>0.52500000000000002</v>
      </c>
      <c r="N73" s="10">
        <f t="shared" si="9"/>
        <v>0.52500000000000002</v>
      </c>
      <c r="O73" s="10">
        <f t="shared" si="9"/>
        <v>0.52500000000000002</v>
      </c>
      <c r="P73" s="10">
        <f t="shared" si="9"/>
        <v>0.52500000000000002</v>
      </c>
      <c r="Q73" s="10">
        <f t="shared" si="9"/>
        <v>0.52500000000000002</v>
      </c>
      <c r="R73" s="10">
        <f t="shared" si="9"/>
        <v>0.52500000000000002</v>
      </c>
    </row>
    <row r="74" spans="2:19" x14ac:dyDescent="0.25">
      <c r="B74" s="3" t="s">
        <v>134</v>
      </c>
      <c r="D74" s="24">
        <v>148509</v>
      </c>
      <c r="E74" s="24">
        <v>151685</v>
      </c>
      <c r="F74" s="24">
        <v>170055</v>
      </c>
      <c r="G74" s="24">
        <v>181779</v>
      </c>
      <c r="H74" s="24">
        <v>189341</v>
      </c>
      <c r="I74" s="13">
        <f t="shared" ref="I74:R74" si="10">I69*I51</f>
        <v>184638.418832</v>
      </c>
      <c r="J74" s="13">
        <f t="shared" si="10"/>
        <v>192137.59645625998</v>
      </c>
      <c r="K74" s="13">
        <f t="shared" si="10"/>
        <v>200141.19950540763</v>
      </c>
      <c r="L74" s="13">
        <f t="shared" si="10"/>
        <v>208748.88128226955</v>
      </c>
      <c r="M74" s="13">
        <f t="shared" si="10"/>
        <v>217002.20157323621</v>
      </c>
      <c r="N74" s="13">
        <f t="shared" si="10"/>
        <v>226509.96055548542</v>
      </c>
      <c r="O74" s="13">
        <f t="shared" si="10"/>
        <v>236349.11789165728</v>
      </c>
      <c r="P74" s="13">
        <f t="shared" si="10"/>
        <v>246522.68903055176</v>
      </c>
      <c r="Q74" s="13">
        <f t="shared" si="10"/>
        <v>257033.13837333431</v>
      </c>
      <c r="R74" s="13">
        <f t="shared" si="10"/>
        <v>267934.6302840666</v>
      </c>
    </row>
    <row r="75" spans="2:19" x14ac:dyDescent="0.25">
      <c r="B75" s="4" t="s">
        <v>135</v>
      </c>
      <c r="D75" s="26">
        <f t="shared" ref="D75:R75" si="11">D72-D74</f>
        <v>32580</v>
      </c>
      <c r="E75" s="26">
        <f t="shared" si="11"/>
        <v>53696</v>
      </c>
      <c r="F75" s="26">
        <f t="shared" si="11"/>
        <v>35455</v>
      </c>
      <c r="G75" s="26">
        <f t="shared" si="11"/>
        <v>33149</v>
      </c>
      <c r="H75" s="26">
        <f t="shared" si="11"/>
        <v>34146</v>
      </c>
      <c r="I75" s="26">
        <f t="shared" si="11"/>
        <v>37266.469855999982</v>
      </c>
      <c r="J75" s="26">
        <f t="shared" si="11"/>
        <v>38073.348606540007</v>
      </c>
      <c r="K75" s="26">
        <f t="shared" si="11"/>
        <v>41599.787426066265</v>
      </c>
      <c r="L75" s="26">
        <f t="shared" si="11"/>
        <v>44645.714493895823</v>
      </c>
      <c r="M75" s="26">
        <f t="shared" si="11"/>
        <v>47634.629613637226</v>
      </c>
      <c r="N75" s="26">
        <f t="shared" si="11"/>
        <v>49721.6986585212</v>
      </c>
      <c r="O75" s="26">
        <f t="shared" si="11"/>
        <v>51881.513683534577</v>
      </c>
      <c r="P75" s="26">
        <f t="shared" si="11"/>
        <v>54114.736616462586</v>
      </c>
      <c r="Q75" s="26">
        <f t="shared" si="11"/>
        <v>56421.908423414861</v>
      </c>
      <c r="R75" s="26">
        <f t="shared" si="11"/>
        <v>58814.918842843908</v>
      </c>
    </row>
    <row r="76" spans="2:19" x14ac:dyDescent="0.25">
      <c r="B76" s="3" t="s">
        <v>136</v>
      </c>
      <c r="D76" s="10">
        <f t="shared" ref="D76:R76" si="12">D75/D69</f>
        <v>9.616519870599069E-2</v>
      </c>
      <c r="E76" s="10">
        <f t="shared" si="12"/>
        <v>0.1346756758112494</v>
      </c>
      <c r="F76" s="10">
        <f t="shared" si="12"/>
        <v>8.8664320957089524E-2</v>
      </c>
      <c r="G76" s="10">
        <f t="shared" si="12"/>
        <v>8.1180893139211674E-2</v>
      </c>
      <c r="H76" s="10">
        <f t="shared" si="12"/>
        <v>7.9976203413966912E-2</v>
      </c>
      <c r="I76" s="10">
        <f t="shared" si="12"/>
        <v>8.7999999999999967E-2</v>
      </c>
      <c r="J76" s="10">
        <f t="shared" si="12"/>
        <v>8.6000000000000021E-2</v>
      </c>
      <c r="K76" s="10">
        <f t="shared" si="12"/>
        <v>9.0000000000000024E-2</v>
      </c>
      <c r="L76" s="10">
        <f t="shared" si="12"/>
        <v>9.2500000000000054E-2</v>
      </c>
      <c r="M76" s="10">
        <f t="shared" si="12"/>
        <v>9.4500000000000015E-2</v>
      </c>
      <c r="N76" s="10">
        <f t="shared" si="12"/>
        <v>9.4500000000000015E-2</v>
      </c>
      <c r="O76" s="10">
        <f t="shared" si="12"/>
        <v>9.4500000000000084E-2</v>
      </c>
      <c r="P76" s="10">
        <f t="shared" si="12"/>
        <v>9.4500000000000015E-2</v>
      </c>
      <c r="Q76" s="10">
        <f t="shared" si="12"/>
        <v>9.4500000000000015E-2</v>
      </c>
      <c r="R76" s="10">
        <f t="shared" si="12"/>
        <v>9.4500000000000028E-2</v>
      </c>
    </row>
    <row r="77" spans="2:19" x14ac:dyDescent="0.25">
      <c r="B77" s="3" t="s">
        <v>137</v>
      </c>
      <c r="D77" s="24">
        <v>16126</v>
      </c>
      <c r="E77" s="24">
        <v>18038</v>
      </c>
      <c r="F77" s="24">
        <v>18929</v>
      </c>
      <c r="G77" s="24">
        <v>23051</v>
      </c>
      <c r="H77" s="24">
        <v>24838</v>
      </c>
      <c r="I77" s="13">
        <f t="shared" ref="I77:R77" si="13">I69*I52</f>
        <v>24985.474107999995</v>
      </c>
      <c r="J77" s="13">
        <f t="shared" si="13"/>
        <v>26120.087997509996</v>
      </c>
      <c r="K77" s="13">
        <f t="shared" si="13"/>
        <v>27270.971757087875</v>
      </c>
      <c r="L77" s="13">
        <f t="shared" si="13"/>
        <v>28235.397815058426</v>
      </c>
      <c r="M77" s="13">
        <f t="shared" si="13"/>
        <v>29488.104046537326</v>
      </c>
      <c r="N77" s="13">
        <f t="shared" si="13"/>
        <v>30780.099169560741</v>
      </c>
      <c r="O77" s="13">
        <f t="shared" si="13"/>
        <v>32117.127518378518</v>
      </c>
      <c r="P77" s="13">
        <f t="shared" si="13"/>
        <v>33499.598857810168</v>
      </c>
      <c r="Q77" s="13">
        <f t="shared" si="13"/>
        <v>34927.848071637767</v>
      </c>
      <c r="R77" s="13">
        <f t="shared" si="13"/>
        <v>36409.235474141453</v>
      </c>
    </row>
    <row r="78" spans="2:19" x14ac:dyDescent="0.25">
      <c r="B78" s="4" t="s">
        <v>138</v>
      </c>
      <c r="D78" s="26">
        <f t="shared" ref="D78:R78" si="14">D75+D77</f>
        <v>48706</v>
      </c>
      <c r="E78" s="26">
        <f t="shared" si="14"/>
        <v>71734</v>
      </c>
      <c r="F78" s="26">
        <f t="shared" si="14"/>
        <v>54384</v>
      </c>
      <c r="G78" s="26">
        <f t="shared" si="14"/>
        <v>56200</v>
      </c>
      <c r="H78" s="26">
        <f t="shared" si="14"/>
        <v>58984</v>
      </c>
      <c r="I78" s="26">
        <f t="shared" si="14"/>
        <v>62251.943963999976</v>
      </c>
      <c r="J78" s="26">
        <f t="shared" si="14"/>
        <v>64193.436604050003</v>
      </c>
      <c r="K78" s="26">
        <f t="shared" si="14"/>
        <v>68870.759183154136</v>
      </c>
      <c r="L78" s="26">
        <f t="shared" si="14"/>
        <v>72881.112308954253</v>
      </c>
      <c r="M78" s="26">
        <f t="shared" si="14"/>
        <v>77122.733660174548</v>
      </c>
      <c r="N78" s="26">
        <f t="shared" si="14"/>
        <v>80501.797828081937</v>
      </c>
      <c r="O78" s="26">
        <f t="shared" si="14"/>
        <v>83998.641201913095</v>
      </c>
      <c r="P78" s="26">
        <f t="shared" si="14"/>
        <v>87614.335474272753</v>
      </c>
      <c r="Q78" s="26">
        <f t="shared" si="14"/>
        <v>91349.756495052628</v>
      </c>
      <c r="R78" s="26">
        <f t="shared" si="14"/>
        <v>95224.154316985368</v>
      </c>
      <c r="S78" s="5" t="s">
        <v>139</v>
      </c>
    </row>
    <row r="79" spans="2:19" x14ac:dyDescent="0.25">
      <c r="B79" s="3" t="s">
        <v>140</v>
      </c>
      <c r="D79" s="10">
        <f t="shared" ref="D79:R79" si="15">D78/D69</f>
        <v>0.14376372523554276</v>
      </c>
      <c r="E79" s="10">
        <f t="shared" si="15"/>
        <v>0.179917031597217</v>
      </c>
      <c r="F79" s="10">
        <f t="shared" si="15"/>
        <v>0.13600114034495434</v>
      </c>
      <c r="G79" s="10">
        <f t="shared" si="15"/>
        <v>0.13763209129758655</v>
      </c>
      <c r="H79" s="10">
        <f t="shared" si="15"/>
        <v>0.13815136127714592</v>
      </c>
      <c r="I79" s="10">
        <f t="shared" si="15"/>
        <v>0.14699999999999996</v>
      </c>
      <c r="J79" s="10">
        <f t="shared" si="15"/>
        <v>0.14500000000000002</v>
      </c>
      <c r="K79" s="10">
        <f t="shared" si="15"/>
        <v>0.14900000000000002</v>
      </c>
      <c r="L79" s="10">
        <f t="shared" si="15"/>
        <v>0.15100000000000005</v>
      </c>
      <c r="M79" s="10">
        <f t="shared" si="15"/>
        <v>0.15300000000000002</v>
      </c>
      <c r="N79" s="10">
        <f t="shared" si="15"/>
        <v>0.15300000000000002</v>
      </c>
      <c r="O79" s="10">
        <f t="shared" si="15"/>
        <v>0.15300000000000008</v>
      </c>
      <c r="P79" s="10">
        <f t="shared" si="15"/>
        <v>0.153</v>
      </c>
      <c r="Q79" s="10">
        <f t="shared" si="15"/>
        <v>0.15300000000000002</v>
      </c>
      <c r="R79" s="10">
        <f t="shared" si="15"/>
        <v>0.15300000000000005</v>
      </c>
    </row>
    <row r="80" spans="2:19" x14ac:dyDescent="0.25">
      <c r="B80" s="3" t="s">
        <v>141</v>
      </c>
      <c r="D80" s="17">
        <v>0.33422705684081511</v>
      </c>
      <c r="E80" s="17">
        <v>0.2287564025069195</v>
      </c>
      <c r="F80" s="17">
        <v>0.3313576734629366</v>
      </c>
      <c r="G80" s="17">
        <v>0.32615163147792708</v>
      </c>
      <c r="H80" s="17">
        <v>0.3572953383309338</v>
      </c>
      <c r="I80" s="10">
        <f t="shared" ref="I80:R80" si="16">I60</f>
        <v>0.34</v>
      </c>
      <c r="J80" s="10">
        <f t="shared" si="16"/>
        <v>0.34</v>
      </c>
      <c r="K80" s="10">
        <f t="shared" si="16"/>
        <v>0.34</v>
      </c>
      <c r="L80" s="10">
        <f t="shared" si="16"/>
        <v>0.34</v>
      </c>
      <c r="M80" s="10">
        <f t="shared" si="16"/>
        <v>0.34</v>
      </c>
      <c r="N80" s="10">
        <f t="shared" si="16"/>
        <v>0.34</v>
      </c>
      <c r="O80" s="10">
        <f t="shared" si="16"/>
        <v>0.34</v>
      </c>
      <c r="P80" s="10">
        <f t="shared" si="16"/>
        <v>0.34</v>
      </c>
      <c r="Q80" s="10">
        <f t="shared" si="16"/>
        <v>0.34</v>
      </c>
      <c r="R80" s="10">
        <f t="shared" si="16"/>
        <v>0.34</v>
      </c>
      <c r="S80" s="5" t="s">
        <v>142</v>
      </c>
    </row>
    <row r="81" spans="2:20" x14ac:dyDescent="0.25">
      <c r="B81" s="3" t="s">
        <v>143</v>
      </c>
      <c r="D81" s="13">
        <f t="shared" ref="D81:R81" si="17">-D75*D80</f>
        <v>-10889.117511873756</v>
      </c>
      <c r="E81" s="13">
        <f t="shared" si="17"/>
        <v>-12283.30378901155</v>
      </c>
      <c r="F81" s="13">
        <f t="shared" si="17"/>
        <v>-11748.286312628417</v>
      </c>
      <c r="G81" s="13">
        <f t="shared" si="17"/>
        <v>-10811.600431861805</v>
      </c>
      <c r="H81" s="13">
        <f t="shared" si="17"/>
        <v>-12200.206622648066</v>
      </c>
      <c r="I81" s="13">
        <f t="shared" si="17"/>
        <v>-12670.599751039994</v>
      </c>
      <c r="J81" s="13">
        <f t="shared" si="17"/>
        <v>-12944.938526223603</v>
      </c>
      <c r="K81" s="13">
        <f t="shared" si="17"/>
        <v>-14143.927724862531</v>
      </c>
      <c r="L81" s="13">
        <f t="shared" si="17"/>
        <v>-15179.54292792458</v>
      </c>
      <c r="M81" s="13">
        <f t="shared" si="17"/>
        <v>-16195.774068636658</v>
      </c>
      <c r="N81" s="13">
        <f t="shared" si="17"/>
        <v>-16905.377543897208</v>
      </c>
      <c r="O81" s="13">
        <f t="shared" si="17"/>
        <v>-17639.714652401759</v>
      </c>
      <c r="P81" s="13">
        <f t="shared" si="17"/>
        <v>-18399.010449597281</v>
      </c>
      <c r="Q81" s="13">
        <f t="shared" si="17"/>
        <v>-19183.448863961054</v>
      </c>
      <c r="R81" s="13">
        <f t="shared" si="17"/>
        <v>-19997.072406566931</v>
      </c>
    </row>
    <row r="82" spans="2:20" x14ac:dyDescent="0.25">
      <c r="B82" s="4" t="s">
        <v>144</v>
      </c>
      <c r="D82" s="26">
        <f t="shared" ref="D82:R82" si="18">D75+D81</f>
        <v>21690.882488126244</v>
      </c>
      <c r="E82" s="26">
        <f t="shared" si="18"/>
        <v>41412.696210988448</v>
      </c>
      <c r="F82" s="26">
        <f t="shared" si="18"/>
        <v>23706.713687371583</v>
      </c>
      <c r="G82" s="26">
        <f t="shared" si="18"/>
        <v>22337.399568138193</v>
      </c>
      <c r="H82" s="26">
        <f t="shared" si="18"/>
        <v>21945.793377351933</v>
      </c>
      <c r="I82" s="26">
        <f t="shared" si="18"/>
        <v>24595.870104959988</v>
      </c>
      <c r="J82" s="26">
        <f t="shared" si="18"/>
        <v>25128.410080316404</v>
      </c>
      <c r="K82" s="26">
        <f t="shared" si="18"/>
        <v>27455.859701203735</v>
      </c>
      <c r="L82" s="26">
        <f t="shared" si="18"/>
        <v>29466.171565971243</v>
      </c>
      <c r="M82" s="26">
        <f t="shared" si="18"/>
        <v>31438.855545000566</v>
      </c>
      <c r="N82" s="26">
        <f t="shared" si="18"/>
        <v>32816.321114623992</v>
      </c>
      <c r="O82" s="26">
        <f t="shared" si="18"/>
        <v>34241.799031132818</v>
      </c>
      <c r="P82" s="26">
        <f t="shared" si="18"/>
        <v>35715.726166865308</v>
      </c>
      <c r="Q82" s="26">
        <f t="shared" si="18"/>
        <v>37238.459559453811</v>
      </c>
      <c r="R82" s="26">
        <f t="shared" si="18"/>
        <v>38817.846436276974</v>
      </c>
    </row>
    <row r="83" spans="2:20" x14ac:dyDescent="0.25">
      <c r="B83" s="3" t="s">
        <v>145</v>
      </c>
      <c r="D83" s="13">
        <f t="shared" ref="D83:R83" si="19">D77</f>
        <v>16126</v>
      </c>
      <c r="E83" s="13">
        <f t="shared" si="19"/>
        <v>18038</v>
      </c>
      <c r="F83" s="13">
        <f t="shared" si="19"/>
        <v>18929</v>
      </c>
      <c r="G83" s="13">
        <f t="shared" si="19"/>
        <v>23051</v>
      </c>
      <c r="H83" s="13">
        <f t="shared" si="19"/>
        <v>24838</v>
      </c>
      <c r="I83" s="13">
        <f t="shared" si="19"/>
        <v>24985.474107999995</v>
      </c>
      <c r="J83" s="13">
        <f t="shared" si="19"/>
        <v>26120.087997509996</v>
      </c>
      <c r="K83" s="13">
        <f t="shared" si="19"/>
        <v>27270.971757087875</v>
      </c>
      <c r="L83" s="13">
        <f t="shared" si="19"/>
        <v>28235.397815058426</v>
      </c>
      <c r="M83" s="13">
        <f t="shared" si="19"/>
        <v>29488.104046537326</v>
      </c>
      <c r="N83" s="13">
        <f t="shared" si="19"/>
        <v>30780.099169560741</v>
      </c>
      <c r="O83" s="13">
        <f t="shared" si="19"/>
        <v>32117.127518378518</v>
      </c>
      <c r="P83" s="13">
        <f t="shared" si="19"/>
        <v>33499.598857810168</v>
      </c>
      <c r="Q83" s="13">
        <f t="shared" si="19"/>
        <v>34927.848071637767</v>
      </c>
      <c r="R83" s="13">
        <f t="shared" si="19"/>
        <v>36409.235474141453</v>
      </c>
    </row>
    <row r="84" spans="2:20" x14ac:dyDescent="0.25">
      <c r="B84" s="3" t="s">
        <v>146</v>
      </c>
      <c r="D84" s="24">
        <v>-21293</v>
      </c>
      <c r="E84" s="24">
        <v>-29467</v>
      </c>
      <c r="F84" s="24">
        <v>-35672</v>
      </c>
      <c r="G84" s="24">
        <v>-30174</v>
      </c>
      <c r="H84" s="24">
        <v>-22841</v>
      </c>
      <c r="I84" s="13">
        <f t="shared" ref="I84:R84" si="20">-I69*(I53+$D$42)</f>
        <v>-19480.200151999998</v>
      </c>
      <c r="J84" s="13">
        <f t="shared" si="20"/>
        <v>-22135.667794499997</v>
      </c>
      <c r="K84" s="13">
        <f t="shared" si="20"/>
        <v>-24035.432735060498</v>
      </c>
      <c r="L84" s="13">
        <f t="shared" si="20"/>
        <v>-26063.444136977007</v>
      </c>
      <c r="M84" s="13">
        <f t="shared" si="20"/>
        <v>-27723.8585052915</v>
      </c>
      <c r="N84" s="13">
        <f t="shared" si="20"/>
        <v>-29464.710316160705</v>
      </c>
      <c r="O84" s="13">
        <f t="shared" si="20"/>
        <v>-31293.611428163684</v>
      </c>
      <c r="P84" s="13">
        <f t="shared" si="20"/>
        <v>-33213.27750005111</v>
      </c>
      <c r="Q84" s="13">
        <f t="shared" si="20"/>
        <v>-35226.376687634664</v>
      </c>
      <c r="R84" s="13">
        <f t="shared" si="20"/>
        <v>-37342.805614504054</v>
      </c>
    </row>
    <row r="85" spans="2:20" x14ac:dyDescent="0.25">
      <c r="B85" s="3" t="s">
        <v>147</v>
      </c>
      <c r="D85" s="24">
        <v>-4117</v>
      </c>
      <c r="E85" s="24">
        <v>-5056</v>
      </c>
      <c r="F85" s="24">
        <v>-4802</v>
      </c>
      <c r="G85" s="24">
        <v>-5321</v>
      </c>
      <c r="H85" s="24">
        <v>-5923</v>
      </c>
      <c r="I85" s="13">
        <f t="shared" ref="I85:R85" si="21">-I69*I54</f>
        <v>-5886.4083067999991</v>
      </c>
      <c r="J85" s="13">
        <f t="shared" si="21"/>
        <v>-6153.7156468709991</v>
      </c>
      <c r="K85" s="13">
        <f t="shared" si="21"/>
        <v>-6424.8560580257872</v>
      </c>
      <c r="L85" s="13">
        <f t="shared" si="21"/>
        <v>-6708.9235834070441</v>
      </c>
      <c r="M85" s="13">
        <f t="shared" si="21"/>
        <v>-7006.5751495191244</v>
      </c>
      <c r="N85" s="13">
        <f t="shared" si="21"/>
        <v>-7313.5620249041749</v>
      </c>
      <c r="O85" s="13">
        <f t="shared" si="21"/>
        <v>-7631.2491026574589</v>
      </c>
      <c r="P85" s="13">
        <f t="shared" si="21"/>
        <v>-7959.733745701903</v>
      </c>
      <c r="Q85" s="13">
        <f t="shared" si="21"/>
        <v>-8299.09552471393</v>
      </c>
      <c r="R85" s="13">
        <f t="shared" si="21"/>
        <v>-8651.083300693439</v>
      </c>
      <c r="S85" s="5" t="s">
        <v>148</v>
      </c>
    </row>
    <row r="86" spans="2:20" x14ac:dyDescent="0.25">
      <c r="B86" s="3" t="s">
        <v>149</v>
      </c>
      <c r="E86" s="13">
        <f t="shared" ref="E86:R86" si="22">E98</f>
        <v>6533</v>
      </c>
      <c r="F86" s="13">
        <f t="shared" si="22"/>
        <v>-10264</v>
      </c>
      <c r="G86" s="13">
        <f t="shared" si="22"/>
        <v>-1918</v>
      </c>
      <c r="H86" s="13">
        <f t="shared" si="22"/>
        <v>696</v>
      </c>
      <c r="I86" s="13">
        <f t="shared" si="22"/>
        <v>-100.9989889216522</v>
      </c>
      <c r="J86" s="13">
        <f t="shared" si="22"/>
        <v>854.80502877404069</v>
      </c>
      <c r="K86" s="13">
        <f t="shared" si="22"/>
        <v>532.75627636183344</v>
      </c>
      <c r="L86" s="13">
        <f t="shared" si="22"/>
        <v>604.04037405736744</v>
      </c>
      <c r="M86" s="13">
        <f t="shared" si="22"/>
        <v>737.22077062469907</v>
      </c>
      <c r="N86" s="13">
        <f t="shared" si="22"/>
        <v>760.34238219936378</v>
      </c>
      <c r="O86" s="13">
        <f t="shared" si="22"/>
        <v>786.84454894014198</v>
      </c>
      <c r="P86" s="13">
        <f t="shared" si="22"/>
        <v>813.58786330864677</v>
      </c>
      <c r="Q86" s="13">
        <f t="shared" si="22"/>
        <v>840.52825762592693</v>
      </c>
      <c r="R86" s="13">
        <f t="shared" si="22"/>
        <v>871.80021542494796</v>
      </c>
      <c r="S86" s="5" t="s">
        <v>150</v>
      </c>
    </row>
    <row r="87" spans="2:20" x14ac:dyDescent="0.25">
      <c r="B87" s="4" t="s">
        <v>151</v>
      </c>
      <c r="E87" s="26">
        <f t="shared" ref="E87:R87" si="23">E82+E83+E84+E85+E86</f>
        <v>31460.696210988448</v>
      </c>
      <c r="F87" s="26">
        <f t="shared" si="23"/>
        <v>-8102.286312628421</v>
      </c>
      <c r="G87" s="26">
        <f t="shared" si="23"/>
        <v>7975.399568138193</v>
      </c>
      <c r="H87" s="26">
        <f t="shared" si="23"/>
        <v>18715.793377351933</v>
      </c>
      <c r="I87" s="26">
        <f t="shared" si="23"/>
        <v>24113.736765238336</v>
      </c>
      <c r="J87" s="26">
        <f t="shared" si="23"/>
        <v>23813.919665229445</v>
      </c>
      <c r="K87" s="26">
        <f t="shared" si="23"/>
        <v>24799.298941567155</v>
      </c>
      <c r="L87" s="26">
        <f t="shared" si="23"/>
        <v>25533.242034702984</v>
      </c>
      <c r="M87" s="26">
        <f t="shared" si="23"/>
        <v>26933.746707351962</v>
      </c>
      <c r="N87" s="26">
        <f t="shared" si="23"/>
        <v>27578.49032531921</v>
      </c>
      <c r="O87" s="26">
        <f t="shared" si="23"/>
        <v>28220.910567630337</v>
      </c>
      <c r="P87" s="26">
        <f t="shared" si="23"/>
        <v>28855.901642231111</v>
      </c>
      <c r="Q87" s="26">
        <f t="shared" si="23"/>
        <v>29481.363676368914</v>
      </c>
      <c r="R87" s="26">
        <f t="shared" si="23"/>
        <v>30104.993210645887</v>
      </c>
      <c r="S87" s="5" t="s">
        <v>152</v>
      </c>
    </row>
    <row r="88" spans="2:20" x14ac:dyDescent="0.25">
      <c r="B88" s="3" t="s">
        <v>129</v>
      </c>
      <c r="J88" s="10">
        <f t="shared" ref="J88:R88" si="24">IFERROR(J87/I87-1,0)</f>
        <v>-1.2433456619676542E-2</v>
      </c>
      <c r="K88" s="10">
        <f t="shared" si="24"/>
        <v>4.1378290100493542E-2</v>
      </c>
      <c r="L88" s="10">
        <f t="shared" si="24"/>
        <v>2.959531617668576E-2</v>
      </c>
      <c r="M88" s="10">
        <f t="shared" si="24"/>
        <v>5.4850248579695116E-2</v>
      </c>
      <c r="N88" s="10">
        <f t="shared" si="24"/>
        <v>2.3938133263548433E-2</v>
      </c>
      <c r="O88" s="10">
        <f t="shared" si="24"/>
        <v>2.3294249784272525E-2</v>
      </c>
      <c r="P88" s="10">
        <f t="shared" si="24"/>
        <v>2.2500729488477811E-2</v>
      </c>
      <c r="Q88" s="10">
        <f t="shared" si="24"/>
        <v>2.1675359234744063E-2</v>
      </c>
      <c r="R88" s="10">
        <f t="shared" si="24"/>
        <v>2.1153347624039975E-2</v>
      </c>
    </row>
    <row r="89" spans="2:20" x14ac:dyDescent="0.25">
      <c r="B89" s="3" t="s">
        <v>153</v>
      </c>
      <c r="I89" s="10">
        <f t="shared" ref="I89:R89" si="25">I87/I69</f>
        <v>5.6941503811349728E-2</v>
      </c>
      <c r="J89" s="10">
        <f t="shared" si="25"/>
        <v>5.3790831806633903E-2</v>
      </c>
      <c r="K89" s="10">
        <f t="shared" si="25"/>
        <v>5.3652603603029994E-2</v>
      </c>
      <c r="L89" s="10">
        <f t="shared" si="25"/>
        <v>5.2901491553751422E-2</v>
      </c>
      <c r="M89" s="10">
        <f t="shared" si="25"/>
        <v>5.3432536045501008E-2</v>
      </c>
      <c r="N89" s="10">
        <f t="shared" si="25"/>
        <v>5.2415090514934093E-2</v>
      </c>
      <c r="O89" s="10">
        <f t="shared" si="25"/>
        <v>5.1403204326465994E-2</v>
      </c>
      <c r="P89" s="10">
        <f t="shared" si="25"/>
        <v>5.0390759997920385E-2</v>
      </c>
      <c r="Q89" s="10">
        <f t="shared" si="25"/>
        <v>4.937778507081992E-2</v>
      </c>
      <c r="R89" s="10">
        <f t="shared" si="25"/>
        <v>4.8370752087710869E-2</v>
      </c>
    </row>
    <row r="91" spans="2:20" x14ac:dyDescent="0.25">
      <c r="B91" s="6" t="s">
        <v>154</v>
      </c>
      <c r="C91" s="7"/>
      <c r="D91" s="22" t="s">
        <v>70</v>
      </c>
      <c r="E91" s="22" t="s">
        <v>71</v>
      </c>
      <c r="F91" s="22" t="s">
        <v>72</v>
      </c>
      <c r="G91" s="22" t="s">
        <v>73</v>
      </c>
      <c r="H91" s="22" t="s">
        <v>74</v>
      </c>
      <c r="I91" s="22" t="s">
        <v>75</v>
      </c>
      <c r="J91" s="22" t="s">
        <v>76</v>
      </c>
      <c r="K91" s="22" t="s">
        <v>77</v>
      </c>
      <c r="L91" s="22" t="s">
        <v>78</v>
      </c>
      <c r="M91" s="22" t="s">
        <v>79</v>
      </c>
      <c r="N91" s="22" t="s">
        <v>80</v>
      </c>
      <c r="O91" s="22" t="s">
        <v>81</v>
      </c>
      <c r="P91" s="22" t="s">
        <v>82</v>
      </c>
      <c r="Q91" s="22" t="s">
        <v>83</v>
      </c>
      <c r="R91" s="22" t="s">
        <v>84</v>
      </c>
      <c r="S91" s="6" t="s">
        <v>85</v>
      </c>
      <c r="T91" s="7"/>
    </row>
    <row r="92" spans="2:20" x14ac:dyDescent="0.25">
      <c r="B92" s="3" t="s">
        <v>155</v>
      </c>
      <c r="D92" s="24">
        <v>19184</v>
      </c>
      <c r="E92" s="24">
        <v>21600</v>
      </c>
      <c r="F92" s="24">
        <v>21268</v>
      </c>
      <c r="G92" s="24">
        <v>23555</v>
      </c>
      <c r="H92" s="24">
        <v>23784</v>
      </c>
      <c r="I92" s="13">
        <f t="shared" ref="I92:R92" si="26">I69*I55/365</f>
        <v>23552.594585205476</v>
      </c>
      <c r="J92" s="13">
        <f t="shared" si="26"/>
        <v>24622.140067306846</v>
      </c>
      <c r="K92" s="13">
        <f t="shared" si="26"/>
        <v>25707.02236679284</v>
      </c>
      <c r="L92" s="13">
        <f t="shared" si="26"/>
        <v>26843.62841099103</v>
      </c>
      <c r="M92" s="13">
        <f t="shared" si="26"/>
        <v>28034.586682810332</v>
      </c>
      <c r="N92" s="13">
        <f t="shared" si="26"/>
        <v>29262.897231803443</v>
      </c>
      <c r="O92" s="13">
        <f t="shared" si="26"/>
        <v>30534.021244495209</v>
      </c>
      <c r="P92" s="13">
        <f t="shared" si="26"/>
        <v>31848.348287720244</v>
      </c>
      <c r="Q92" s="13">
        <f t="shared" si="26"/>
        <v>33206.196738285762</v>
      </c>
      <c r="R92" s="13">
        <f t="shared" si="26"/>
        <v>34614.564108421568</v>
      </c>
    </row>
    <row r="93" spans="2:20" x14ac:dyDescent="0.25">
      <c r="B93" s="3" t="s">
        <v>156</v>
      </c>
      <c r="D93" s="24">
        <v>13710</v>
      </c>
      <c r="E93" s="24">
        <v>16989</v>
      </c>
      <c r="F93" s="24">
        <v>16120</v>
      </c>
      <c r="G93" s="24">
        <v>18832</v>
      </c>
      <c r="H93" s="24">
        <v>17151</v>
      </c>
      <c r="I93" s="13">
        <f t="shared" ref="I93:R93" si="27">I71*I56/365</f>
        <v>17009.846241122192</v>
      </c>
      <c r="J93" s="13">
        <f t="shared" si="27"/>
        <v>17931.71028350071</v>
      </c>
      <c r="K93" s="13">
        <f t="shared" si="27"/>
        <v>18604.792601180972</v>
      </c>
      <c r="L93" s="13">
        <f t="shared" si="27"/>
        <v>19345.925303093536</v>
      </c>
      <c r="M93" s="13">
        <f t="shared" si="27"/>
        <v>20204.236609335723</v>
      </c>
      <c r="N93" s="13">
        <f t="shared" si="27"/>
        <v>21089.467315334205</v>
      </c>
      <c r="O93" s="13">
        <f t="shared" si="27"/>
        <v>22005.553241722409</v>
      </c>
      <c r="P93" s="13">
        <f t="shared" si="27"/>
        <v>22952.775145288033</v>
      </c>
      <c r="Q93" s="13">
        <f t="shared" si="27"/>
        <v>23931.362476902497</v>
      </c>
      <c r="R93" s="13">
        <f t="shared" si="27"/>
        <v>24946.358271241748</v>
      </c>
    </row>
    <row r="94" spans="2:20" x14ac:dyDescent="0.25">
      <c r="B94" s="3" t="s">
        <v>157</v>
      </c>
      <c r="D94" s="24">
        <v>11769</v>
      </c>
      <c r="E94" s="24">
        <v>12568</v>
      </c>
      <c r="F94" s="24">
        <v>15173</v>
      </c>
      <c r="G94" s="24">
        <v>16736</v>
      </c>
      <c r="H94" s="24">
        <v>15201</v>
      </c>
      <c r="I94" s="13">
        <f t="shared" ref="I94:R94" si="28">I69*I58</f>
        <v>15075.980987199999</v>
      </c>
      <c r="J94" s="13">
        <f t="shared" si="28"/>
        <v>15760.595469683998</v>
      </c>
      <c r="K94" s="13">
        <f t="shared" si="28"/>
        <v>16455.02702631065</v>
      </c>
      <c r="L94" s="13">
        <f t="shared" si="28"/>
        <v>17182.566875488545</v>
      </c>
      <c r="M94" s="13">
        <f t="shared" si="28"/>
        <v>17944.897505243225</v>
      </c>
      <c r="N94" s="13">
        <f t="shared" si="28"/>
        <v>18731.13727241645</v>
      </c>
      <c r="O94" s="13">
        <f t="shared" si="28"/>
        <v>19544.781874432054</v>
      </c>
      <c r="P94" s="13">
        <f t="shared" si="28"/>
        <v>20386.080672445161</v>
      </c>
      <c r="Q94" s="13">
        <f t="shared" si="28"/>
        <v>21255.237458979562</v>
      </c>
      <c r="R94" s="13">
        <f t="shared" si="28"/>
        <v>22156.731331272407</v>
      </c>
    </row>
    <row r="95" spans="2:20" x14ac:dyDescent="0.25">
      <c r="B95" s="3" t="s">
        <v>158</v>
      </c>
      <c r="D95" s="24">
        <v>35752</v>
      </c>
      <c r="E95" s="24">
        <v>44058</v>
      </c>
      <c r="F95" s="24">
        <v>40409</v>
      </c>
      <c r="G95" s="24">
        <v>40815</v>
      </c>
      <c r="H95" s="24">
        <v>39074</v>
      </c>
      <c r="I95" s="13">
        <f t="shared" ref="I95:R95" si="29">I71*I57/365</f>
        <v>38713.96823060602</v>
      </c>
      <c r="J95" s="13">
        <f t="shared" si="29"/>
        <v>40812.106846538947</v>
      </c>
      <c r="K95" s="13">
        <f t="shared" si="29"/>
        <v>42344.024718921624</v>
      </c>
      <c r="L95" s="13">
        <f t="shared" si="29"/>
        <v>44030.823498274571</v>
      </c>
      <c r="M95" s="13">
        <f t="shared" si="29"/>
        <v>45984.31773748163</v>
      </c>
      <c r="N95" s="13">
        <f t="shared" si="29"/>
        <v>47999.079831328818</v>
      </c>
      <c r="O95" s="13">
        <f t="shared" si="29"/>
        <v>50084.067605348726</v>
      </c>
      <c r="P95" s="13">
        <f t="shared" si="29"/>
        <v>52239.920054697766</v>
      </c>
      <c r="Q95" s="13">
        <f t="shared" si="29"/>
        <v>54467.1594035995</v>
      </c>
      <c r="R95" s="13">
        <f t="shared" si="29"/>
        <v>56777.263467988516</v>
      </c>
    </row>
    <row r="96" spans="2:20" x14ac:dyDescent="0.25">
      <c r="B96" s="3" t="s">
        <v>159</v>
      </c>
      <c r="D96" s="24">
        <v>28590</v>
      </c>
      <c r="E96" s="24">
        <v>33311</v>
      </c>
      <c r="F96" s="24">
        <v>28100</v>
      </c>
      <c r="G96" s="24">
        <v>32338</v>
      </c>
      <c r="H96" s="24">
        <v>31788</v>
      </c>
      <c r="I96" s="13">
        <f t="shared" ref="I96:R96" si="30">I69*I59</f>
        <v>31549.454593999995</v>
      </c>
      <c r="J96" s="13">
        <f t="shared" si="30"/>
        <v>32982.145013804991</v>
      </c>
      <c r="K96" s="13">
        <f t="shared" si="30"/>
        <v>34435.379591577061</v>
      </c>
      <c r="L96" s="13">
        <f t="shared" si="30"/>
        <v>35957.89978157013</v>
      </c>
      <c r="M96" s="13">
        <f t="shared" si="30"/>
        <v>37553.226520803939</v>
      </c>
      <c r="N96" s="13">
        <f t="shared" si="30"/>
        <v>39198.58783132094</v>
      </c>
      <c r="O96" s="13">
        <f t="shared" si="30"/>
        <v>40901.299147336744</v>
      </c>
      <c r="P96" s="13">
        <f t="shared" si="30"/>
        <v>42661.882306100124</v>
      </c>
      <c r="Q96" s="13">
        <f t="shared" si="30"/>
        <v>44480.763783538692</v>
      </c>
      <c r="R96" s="13">
        <f t="shared" si="30"/>
        <v>46367.31697134253</v>
      </c>
    </row>
    <row r="97" spans="2:20" x14ac:dyDescent="0.25">
      <c r="B97" s="4" t="s">
        <v>160</v>
      </c>
      <c r="D97" s="26">
        <f t="shared" ref="D97:R97" si="31">D92+D93+D94-D95-D96</f>
        <v>-19679</v>
      </c>
      <c r="E97" s="26">
        <f t="shared" si="31"/>
        <v>-26212</v>
      </c>
      <c r="F97" s="26">
        <f t="shared" si="31"/>
        <v>-15948</v>
      </c>
      <c r="G97" s="26">
        <f t="shared" si="31"/>
        <v>-14030</v>
      </c>
      <c r="H97" s="26">
        <f t="shared" si="31"/>
        <v>-14726</v>
      </c>
      <c r="I97" s="26">
        <f t="shared" si="31"/>
        <v>-14625.001011078348</v>
      </c>
      <c r="J97" s="26">
        <f t="shared" si="31"/>
        <v>-15479.806039852388</v>
      </c>
      <c r="K97" s="26">
        <f t="shared" si="31"/>
        <v>-16012.562316214222</v>
      </c>
      <c r="L97" s="26">
        <f t="shared" si="31"/>
        <v>-16616.602690271589</v>
      </c>
      <c r="M97" s="26">
        <f t="shared" si="31"/>
        <v>-17353.823460896288</v>
      </c>
      <c r="N97" s="26">
        <f t="shared" si="31"/>
        <v>-18114.165843095652</v>
      </c>
      <c r="O97" s="26">
        <f t="shared" si="31"/>
        <v>-18901.010392035794</v>
      </c>
      <c r="P97" s="26">
        <f t="shared" si="31"/>
        <v>-19714.598255344441</v>
      </c>
      <c r="Q97" s="26">
        <f t="shared" si="31"/>
        <v>-20555.126512970368</v>
      </c>
      <c r="R97" s="26">
        <f t="shared" si="31"/>
        <v>-21426.926728395316</v>
      </c>
    </row>
    <row r="98" spans="2:20" x14ac:dyDescent="0.25">
      <c r="B98" s="3" t="s">
        <v>161</v>
      </c>
      <c r="E98" s="13">
        <f t="shared" ref="E98:R98" si="32">-(E97-D97)</f>
        <v>6533</v>
      </c>
      <c r="F98" s="13">
        <f t="shared" si="32"/>
        <v>-10264</v>
      </c>
      <c r="G98" s="13">
        <f t="shared" si="32"/>
        <v>-1918</v>
      </c>
      <c r="H98" s="13">
        <f t="shared" si="32"/>
        <v>696</v>
      </c>
      <c r="I98" s="13">
        <f t="shared" si="32"/>
        <v>-100.9989889216522</v>
      </c>
      <c r="J98" s="13">
        <f t="shared" si="32"/>
        <v>854.80502877404069</v>
      </c>
      <c r="K98" s="13">
        <f t="shared" si="32"/>
        <v>532.75627636183344</v>
      </c>
      <c r="L98" s="13">
        <f t="shared" si="32"/>
        <v>604.04037405736744</v>
      </c>
      <c r="M98" s="13">
        <f t="shared" si="32"/>
        <v>737.22077062469907</v>
      </c>
      <c r="N98" s="13">
        <f t="shared" si="32"/>
        <v>760.34238219936378</v>
      </c>
      <c r="O98" s="13">
        <f t="shared" si="32"/>
        <v>786.84454894014198</v>
      </c>
      <c r="P98" s="13">
        <f t="shared" si="32"/>
        <v>813.58786330864677</v>
      </c>
      <c r="Q98" s="13">
        <f t="shared" si="32"/>
        <v>840.52825762592693</v>
      </c>
      <c r="R98" s="13">
        <f t="shared" si="32"/>
        <v>871.80021542494796</v>
      </c>
      <c r="S98" s="5" t="s">
        <v>162</v>
      </c>
    </row>
    <row r="100" spans="2:20" x14ac:dyDescent="0.25">
      <c r="B100" s="6" t="s">
        <v>163</v>
      </c>
      <c r="C100" s="7"/>
      <c r="D100" s="22" t="s">
        <v>70</v>
      </c>
      <c r="E100" s="22" t="s">
        <v>71</v>
      </c>
      <c r="F100" s="22" t="s">
        <v>72</v>
      </c>
      <c r="G100" s="22" t="s">
        <v>73</v>
      </c>
      <c r="H100" s="22" t="s">
        <v>74</v>
      </c>
      <c r="I100" s="22" t="s">
        <v>75</v>
      </c>
      <c r="J100" s="22" t="s">
        <v>76</v>
      </c>
      <c r="K100" s="22" t="s">
        <v>77</v>
      </c>
      <c r="L100" s="22" t="s">
        <v>78</v>
      </c>
      <c r="M100" s="22" t="s">
        <v>79</v>
      </c>
      <c r="N100" s="22" t="s">
        <v>80</v>
      </c>
      <c r="O100" s="22" t="s">
        <v>81</v>
      </c>
      <c r="P100" s="22" t="s">
        <v>82</v>
      </c>
      <c r="Q100" s="22" t="s">
        <v>83</v>
      </c>
      <c r="R100" s="22" t="s">
        <v>84</v>
      </c>
      <c r="S100" s="6" t="s">
        <v>85</v>
      </c>
      <c r="T100" s="7"/>
    </row>
    <row r="101" spans="2:20" x14ac:dyDescent="0.25">
      <c r="B101" s="3" t="s">
        <v>164</v>
      </c>
      <c r="I101" s="27">
        <v>1</v>
      </c>
      <c r="J101" s="27">
        <v>2</v>
      </c>
      <c r="K101" s="27">
        <v>3</v>
      </c>
      <c r="L101" s="27">
        <v>4</v>
      </c>
      <c r="M101" s="27">
        <v>5</v>
      </c>
      <c r="N101" s="27">
        <v>6</v>
      </c>
      <c r="O101" s="27">
        <v>7</v>
      </c>
      <c r="P101" s="27">
        <v>8</v>
      </c>
      <c r="Q101" s="27">
        <v>9</v>
      </c>
      <c r="R101" s="27">
        <v>10</v>
      </c>
    </row>
    <row r="102" spans="2:20" x14ac:dyDescent="0.25">
      <c r="B102" s="3" t="s">
        <v>165</v>
      </c>
      <c r="I102" s="28">
        <f t="shared" ref="I102:R102" si="33">I101-$D$35</f>
        <v>0.5</v>
      </c>
      <c r="J102" s="28">
        <f t="shared" si="33"/>
        <v>1.5</v>
      </c>
      <c r="K102" s="28">
        <f t="shared" si="33"/>
        <v>2.5</v>
      </c>
      <c r="L102" s="28">
        <f t="shared" si="33"/>
        <v>3.5</v>
      </c>
      <c r="M102" s="28">
        <f t="shared" si="33"/>
        <v>4.5</v>
      </c>
      <c r="N102" s="28">
        <f t="shared" si="33"/>
        <v>5.5</v>
      </c>
      <c r="O102" s="28">
        <f t="shared" si="33"/>
        <v>6.5</v>
      </c>
      <c r="P102" s="28">
        <f t="shared" si="33"/>
        <v>7.5</v>
      </c>
      <c r="Q102" s="28">
        <f t="shared" si="33"/>
        <v>8.5</v>
      </c>
      <c r="R102" s="28">
        <f t="shared" si="33"/>
        <v>9.5</v>
      </c>
    </row>
    <row r="103" spans="2:20" x14ac:dyDescent="0.25">
      <c r="B103" s="3" t="s">
        <v>166</v>
      </c>
      <c r="I103" s="29">
        <f t="shared" ref="I103:R103" si="34">1/(1+$D$32)^I102</f>
        <v>0.95280749779706331</v>
      </c>
      <c r="J103" s="29">
        <f t="shared" si="34"/>
        <v>0.86499878623942905</v>
      </c>
      <c r="K103" s="29">
        <f t="shared" si="34"/>
        <v>0.78528233869445074</v>
      </c>
      <c r="L103" s="29">
        <f t="shared" si="34"/>
        <v>0.71291238932991308</v>
      </c>
      <c r="M103" s="29">
        <f t="shared" si="34"/>
        <v>0.64721190050581368</v>
      </c>
      <c r="N103" s="29">
        <f t="shared" si="34"/>
        <v>0.58756622893041266</v>
      </c>
      <c r="O103" s="29">
        <f t="shared" si="34"/>
        <v>0.53341737552986335</v>
      </c>
      <c r="P103" s="29">
        <f t="shared" si="34"/>
        <v>0.48425876523762135</v>
      </c>
      <c r="Q103" s="29">
        <f t="shared" si="34"/>
        <v>0.43963050786735558</v>
      </c>
      <c r="R103" s="29">
        <f t="shared" si="34"/>
        <v>0.3991150957337255</v>
      </c>
    </row>
    <row r="104" spans="2:20" x14ac:dyDescent="0.25">
      <c r="B104" s="4" t="s">
        <v>167</v>
      </c>
      <c r="I104" s="26">
        <f t="shared" ref="I104:R104" si="35">I87*I103</f>
        <v>22975.749189823789</v>
      </c>
      <c r="J104" s="26">
        <f t="shared" si="35"/>
        <v>20599.011606026739</v>
      </c>
      <c r="K104" s="26">
        <f t="shared" si="35"/>
        <v>19474.451470816672</v>
      </c>
      <c r="L104" s="26">
        <f t="shared" si="35"/>
        <v>18202.964586299076</v>
      </c>
      <c r="M104" s="26">
        <f t="shared" si="35"/>
        <v>17431.841394207466</v>
      </c>
      <c r="N104" s="26">
        <f t="shared" si="35"/>
        <v>16204.189560041677</v>
      </c>
      <c r="O104" s="26">
        <f t="shared" si="35"/>
        <v>15053.52405004836</v>
      </c>
      <c r="P104" s="26">
        <f t="shared" si="35"/>
        <v>13973.723299085088</v>
      </c>
      <c r="Q104" s="26">
        <f t="shared" si="35"/>
        <v>12960.906885664275</v>
      </c>
      <c r="R104" s="26">
        <f t="shared" si="35"/>
        <v>12015.35724733009</v>
      </c>
    </row>
    <row r="106" spans="2:20" x14ac:dyDescent="0.25">
      <c r="B106" s="6" t="s">
        <v>168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2:20" x14ac:dyDescent="0.25">
      <c r="B107" s="3" t="s">
        <v>169</v>
      </c>
      <c r="D107" s="13">
        <f>SUM(I104:R104)</f>
        <v>168891.71928934322</v>
      </c>
    </row>
    <row r="108" spans="2:20" x14ac:dyDescent="0.25">
      <c r="B108" s="3" t="s">
        <v>170</v>
      </c>
      <c r="D108" s="13">
        <f>R87*(1+$D$37)/($D$32-$D$37)</f>
        <v>531821.80586144084</v>
      </c>
    </row>
    <row r="109" spans="2:20" x14ac:dyDescent="0.25">
      <c r="B109" s="3" t="s">
        <v>171</v>
      </c>
      <c r="D109" s="13">
        <f>$D$108/(1+$D$32)^(10-$D$35)</f>
        <v>212258.11095967173</v>
      </c>
    </row>
    <row r="110" spans="2:20" x14ac:dyDescent="0.25">
      <c r="B110" s="4" t="s">
        <v>172</v>
      </c>
      <c r="D110" s="26">
        <f>$D$107+$D$109</f>
        <v>381149.83024901495</v>
      </c>
    </row>
    <row r="111" spans="2:20" x14ac:dyDescent="0.25">
      <c r="B111" s="3" t="s">
        <v>173</v>
      </c>
      <c r="D111" s="13">
        <f>R78*$D$38</f>
        <v>571344.92590191215</v>
      </c>
    </row>
    <row r="112" spans="2:20" x14ac:dyDescent="0.25">
      <c r="B112" s="3" t="s">
        <v>174</v>
      </c>
      <c r="D112" s="13">
        <f>$D$111/(1+$D$32)^10</f>
        <v>217270.96597638435</v>
      </c>
    </row>
    <row r="113" spans="2:20" x14ac:dyDescent="0.25">
      <c r="B113" s="4" t="s">
        <v>175</v>
      </c>
      <c r="D113" s="26">
        <f>$D$107+$D$112</f>
        <v>386162.68526572757</v>
      </c>
    </row>
    <row r="114" spans="2:20" x14ac:dyDescent="0.25">
      <c r="B114" s="3" t="s">
        <v>176</v>
      </c>
      <c r="D114" s="10">
        <f>$D$109/$D$110</f>
        <v>0.55688890329820706</v>
      </c>
    </row>
    <row r="115" spans="2:20" x14ac:dyDescent="0.25">
      <c r="B115" s="3" t="s">
        <v>177</v>
      </c>
      <c r="D115" s="10">
        <f>$D$112/$D$113</f>
        <v>0.56264101702854874</v>
      </c>
    </row>
    <row r="117" spans="2:20" x14ac:dyDescent="0.25">
      <c r="B117" s="6" t="s">
        <v>178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2:20" x14ac:dyDescent="0.25">
      <c r="B118" s="3" t="s">
        <v>179</v>
      </c>
      <c r="D118" s="24">
        <v>12635</v>
      </c>
      <c r="E118" s="5" t="s">
        <v>180</v>
      </c>
    </row>
    <row r="119" spans="2:20" x14ac:dyDescent="0.25">
      <c r="B119" s="3" t="s">
        <v>181</v>
      </c>
      <c r="D119" s="24">
        <v>141028</v>
      </c>
      <c r="E119" s="5" t="s">
        <v>180</v>
      </c>
    </row>
    <row r="120" spans="2:20" x14ac:dyDescent="0.25">
      <c r="B120" s="3" t="s">
        <v>182</v>
      </c>
      <c r="D120" s="24">
        <v>34790</v>
      </c>
      <c r="E120" s="5" t="s">
        <v>180</v>
      </c>
    </row>
    <row r="121" spans="2:20" x14ac:dyDescent="0.25">
      <c r="B121" s="3" t="s">
        <v>183</v>
      </c>
      <c r="D121" s="24">
        <v>8535</v>
      </c>
      <c r="E121" s="5" t="s">
        <v>180</v>
      </c>
    </row>
    <row r="122" spans="2:20" x14ac:dyDescent="0.25">
      <c r="B122" s="3" t="s">
        <v>184</v>
      </c>
      <c r="D122" s="13">
        <f>$D$118+$D$119+$D$120-$D$121</f>
        <v>179918</v>
      </c>
    </row>
    <row r="123" spans="2:20" x14ac:dyDescent="0.25">
      <c r="B123" s="3" t="s">
        <v>185</v>
      </c>
      <c r="D123" s="24">
        <v>4554.8999999999996</v>
      </c>
      <c r="E123" s="5" t="s">
        <v>186</v>
      </c>
    </row>
    <row r="124" spans="2:20" x14ac:dyDescent="0.25">
      <c r="B124" s="3" t="s">
        <v>187</v>
      </c>
      <c r="D124" s="24">
        <v>689.5</v>
      </c>
      <c r="E124" s="5" t="s">
        <v>188</v>
      </c>
    </row>
    <row r="125" spans="2:20" x14ac:dyDescent="0.25">
      <c r="B125" s="3" t="s">
        <v>189</v>
      </c>
      <c r="D125" s="24">
        <v>3185</v>
      </c>
      <c r="E125" s="5" t="s">
        <v>190</v>
      </c>
    </row>
    <row r="126" spans="2:20" x14ac:dyDescent="0.25">
      <c r="B126" s="3" t="s">
        <v>191</v>
      </c>
      <c r="D126" s="24">
        <v>18066.8</v>
      </c>
      <c r="E126" s="5" t="s">
        <v>192</v>
      </c>
    </row>
    <row r="127" spans="2:20" x14ac:dyDescent="0.25">
      <c r="B127" s="3" t="s">
        <v>193</v>
      </c>
      <c r="D127" s="13">
        <f>$D$123+$D$124+$D$125+$D$126</f>
        <v>26496.199999999997</v>
      </c>
      <c r="E127" s="5" t="s">
        <v>194</v>
      </c>
    </row>
    <row r="128" spans="2:20" x14ac:dyDescent="0.25">
      <c r="B128" s="3" t="s">
        <v>195</v>
      </c>
      <c r="D128" s="24">
        <v>26496.2</v>
      </c>
    </row>
    <row r="129" spans="2:20" x14ac:dyDescent="0.25">
      <c r="B129" s="3" t="s">
        <v>196</v>
      </c>
      <c r="D129" s="24">
        <v>743</v>
      </c>
      <c r="E129" s="5" t="s">
        <v>180</v>
      </c>
    </row>
    <row r="130" spans="2:20" x14ac:dyDescent="0.25">
      <c r="B130" s="3" t="s">
        <v>197</v>
      </c>
      <c r="D130" s="24">
        <v>7018</v>
      </c>
      <c r="E130" s="5" t="s">
        <v>198</v>
      </c>
    </row>
    <row r="131" spans="2:20" x14ac:dyDescent="0.25">
      <c r="B131" s="3" t="s">
        <v>199</v>
      </c>
      <c r="D131" s="30">
        <v>4310.5309999999999</v>
      </c>
      <c r="E131" s="5" t="s">
        <v>200</v>
      </c>
    </row>
    <row r="132" spans="2:20" x14ac:dyDescent="0.25">
      <c r="B132" s="3" t="s">
        <v>21</v>
      </c>
      <c r="D132" s="31">
        <v>58.6</v>
      </c>
      <c r="E132" s="5" t="s">
        <v>201</v>
      </c>
    </row>
    <row r="133" spans="2:20" x14ac:dyDescent="0.25">
      <c r="B133" s="3" t="s">
        <v>202</v>
      </c>
      <c r="D133" s="31">
        <v>1.1813389999999999</v>
      </c>
      <c r="E133" s="5" t="s">
        <v>203</v>
      </c>
    </row>
    <row r="134" spans="2:20" x14ac:dyDescent="0.25">
      <c r="B134" s="3" t="s">
        <v>204</v>
      </c>
      <c r="D134" s="18">
        <f>(1+$D$28)^$D$36</f>
        <v>1.0988594184200591</v>
      </c>
    </row>
    <row r="135" spans="2:20" x14ac:dyDescent="0.25">
      <c r="B135" s="32" t="s">
        <v>205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</row>
    <row r="136" spans="2:20" x14ac:dyDescent="0.25">
      <c r="B136" s="3" t="s">
        <v>206</v>
      </c>
      <c r="D136" s="13">
        <f>$D$110+$D$130-$D$122-$D$129-$D$127</f>
        <v>181010.63024901494</v>
      </c>
    </row>
    <row r="137" spans="2:20" x14ac:dyDescent="0.25">
      <c r="B137" s="3" t="s">
        <v>207</v>
      </c>
      <c r="D137" s="14">
        <f>$D$136/$D$131</f>
        <v>41.992652471125936</v>
      </c>
    </row>
    <row r="138" spans="2:20" x14ac:dyDescent="0.25">
      <c r="B138" s="4" t="s">
        <v>208</v>
      </c>
      <c r="D138" s="34">
        <f>$D$137*$D$134</f>
        <v>46.144021672337104</v>
      </c>
    </row>
    <row r="139" spans="2:20" x14ac:dyDescent="0.25">
      <c r="B139" s="3" t="s">
        <v>209</v>
      </c>
      <c r="D139" s="10">
        <f>$D$138/$D$132-1</f>
        <v>-0.21255935712735319</v>
      </c>
    </row>
    <row r="140" spans="2:20" x14ac:dyDescent="0.25">
      <c r="B140" s="4" t="s">
        <v>210</v>
      </c>
      <c r="D140" s="34">
        <f>$D$138*(1+$D$28)-$D$133</f>
        <v>50.797085899490192</v>
      </c>
    </row>
    <row r="141" spans="2:20" x14ac:dyDescent="0.25">
      <c r="B141" s="3" t="s">
        <v>211</v>
      </c>
      <c r="D141" s="10">
        <f>$D$140/$D$132-1</f>
        <v>-0.13315553072542341</v>
      </c>
    </row>
    <row r="142" spans="2:20" x14ac:dyDescent="0.25">
      <c r="B142" s="32" t="s">
        <v>212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</row>
    <row r="143" spans="2:20" x14ac:dyDescent="0.25">
      <c r="B143" s="3" t="s">
        <v>213</v>
      </c>
      <c r="D143" s="13">
        <f>$D$113+$D$130-$D$122-$D$129-$D$127</f>
        <v>186023.48526572756</v>
      </c>
    </row>
    <row r="144" spans="2:20" x14ac:dyDescent="0.25">
      <c r="B144" s="3" t="s">
        <v>207</v>
      </c>
      <c r="D144" s="14">
        <f>$D$143/$D$131</f>
        <v>43.155584605638509</v>
      </c>
    </row>
    <row r="145" spans="2:20" x14ac:dyDescent="0.25">
      <c r="B145" s="4" t="s">
        <v>208</v>
      </c>
      <c r="D145" s="34">
        <f>$D$144*$D$134</f>
        <v>47.421920601329589</v>
      </c>
    </row>
    <row r="146" spans="2:20" x14ac:dyDescent="0.25">
      <c r="B146" s="3" t="s">
        <v>209</v>
      </c>
      <c r="D146" s="10">
        <f>$D$145/$D$132-1</f>
        <v>-0.19075220816843708</v>
      </c>
    </row>
    <row r="147" spans="2:20" x14ac:dyDescent="0.25">
      <c r="B147" s="32" t="s">
        <v>214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</row>
    <row r="148" spans="2:20" x14ac:dyDescent="0.25">
      <c r="B148" s="3" t="s">
        <v>215</v>
      </c>
      <c r="D148" s="14">
        <f>$D$138+$D$126/$D$131*$D$134</f>
        <v>50.749689359383439</v>
      </c>
    </row>
    <row r="149" spans="2:20" x14ac:dyDescent="0.25">
      <c r="B149" s="3" t="s">
        <v>216</v>
      </c>
      <c r="D149" s="34">
        <f>$D$145+($D$123+$D$124+$D$125)/$D$131*$D$134</f>
        <v>49.570780122727314</v>
      </c>
    </row>
    <row r="150" spans="2:20" x14ac:dyDescent="0.25">
      <c r="B150" s="3" t="s">
        <v>217</v>
      </c>
      <c r="D150" s="14">
        <f>$D$149+$D$126/$D$131*$D$134</f>
        <v>54.176447809773649</v>
      </c>
    </row>
    <row r="151" spans="2:20" x14ac:dyDescent="0.25">
      <c r="B151" s="5" t="s">
        <v>218</v>
      </c>
    </row>
    <row r="153" spans="2:20" x14ac:dyDescent="0.25">
      <c r="B153" s="6" t="s">
        <v>219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2:20" x14ac:dyDescent="0.25">
      <c r="B154" s="3" t="s">
        <v>220</v>
      </c>
      <c r="D154" s="11">
        <f>$D$32-$D$37</f>
        <v>5.9013103780620725E-2</v>
      </c>
      <c r="E154" s="5" t="s">
        <v>221</v>
      </c>
    </row>
    <row r="155" spans="2:20" x14ac:dyDescent="0.25">
      <c r="B155" s="3" t="s">
        <v>222</v>
      </c>
      <c r="D155" s="11">
        <f>$D$37-$D$39</f>
        <v>-7.4999999999999997E-3</v>
      </c>
    </row>
    <row r="156" spans="2:20" x14ac:dyDescent="0.25">
      <c r="B156" s="3" t="s">
        <v>223</v>
      </c>
      <c r="D156" s="12">
        <f>$D$108*(1+$D$32)^$D$35/R78</f>
        <v>5.8615685719207198</v>
      </c>
    </row>
    <row r="157" spans="2:20" x14ac:dyDescent="0.25">
      <c r="B157" s="3" t="s">
        <v>224</v>
      </c>
      <c r="D157" s="11">
        <f>($D$111/(1+$D$32)^$D$35*$D$32-R87)/($D$111/(1+$D$32)^$D$35+R87)</f>
        <v>4.379019528587335E-2</v>
      </c>
    </row>
    <row r="158" spans="2:20" x14ac:dyDescent="0.25">
      <c r="B158" s="3" t="s">
        <v>225</v>
      </c>
      <c r="D158" s="10">
        <f>IF(AND(R82&gt;0,R87&lt;R82),$D$37/(1-R87/R82),"n.m.")</f>
        <v>0.18934767186122053</v>
      </c>
      <c r="E158" s="5" t="s">
        <v>226</v>
      </c>
    </row>
    <row r="159" spans="2:20" x14ac:dyDescent="0.25">
      <c r="B159" s="3" t="s">
        <v>227</v>
      </c>
      <c r="D159" s="10">
        <f>(-R84-R85-R83-R86)/R82</f>
        <v>0.22445483264853539</v>
      </c>
      <c r="E159" s="5" t="s">
        <v>228</v>
      </c>
    </row>
    <row r="160" spans="2:20" x14ac:dyDescent="0.25">
      <c r="B160" s="3" t="s">
        <v>229</v>
      </c>
      <c r="D160" s="10">
        <f>IF($D$159&gt;0,$D$37/$D$159,"n.m.")</f>
        <v>0.18934767186122034</v>
      </c>
      <c r="E160" s="5" t="s">
        <v>230</v>
      </c>
    </row>
    <row r="162" spans="2:20" x14ac:dyDescent="0.25">
      <c r="B162" s="6" t="s">
        <v>231</v>
      </c>
      <c r="C162" s="7"/>
      <c r="D162" s="22" t="s">
        <v>70</v>
      </c>
      <c r="E162" s="22" t="s">
        <v>71</v>
      </c>
      <c r="F162" s="22" t="s">
        <v>72</v>
      </c>
      <c r="G162" s="22" t="s">
        <v>73</v>
      </c>
      <c r="H162" s="22" t="s">
        <v>74</v>
      </c>
      <c r="I162" s="22" t="s">
        <v>75</v>
      </c>
      <c r="J162" s="22" t="s">
        <v>76</v>
      </c>
      <c r="K162" s="22" t="s">
        <v>77</v>
      </c>
      <c r="L162" s="22" t="s">
        <v>78</v>
      </c>
      <c r="M162" s="22" t="s">
        <v>79</v>
      </c>
      <c r="N162" s="22" t="s">
        <v>80</v>
      </c>
      <c r="O162" s="22" t="s">
        <v>81</v>
      </c>
      <c r="P162" s="22" t="s">
        <v>82</v>
      </c>
      <c r="Q162" s="22" t="s">
        <v>83</v>
      </c>
      <c r="R162" s="22" t="s">
        <v>84</v>
      </c>
      <c r="S162" s="6" t="s">
        <v>85</v>
      </c>
      <c r="T162" s="7"/>
    </row>
    <row r="163" spans="2:20" x14ac:dyDescent="0.25">
      <c r="B163" s="3" t="s">
        <v>232</v>
      </c>
      <c r="I163" s="13">
        <f t="shared" ref="I163:R163" si="36">I69*I61</f>
        <v>6902.7665755999988</v>
      </c>
      <c r="J163" s="13">
        <f t="shared" si="36"/>
        <v>7216.2277010069984</v>
      </c>
      <c r="K163" s="13">
        <f t="shared" si="36"/>
        <v>7534.1837227208871</v>
      </c>
      <c r="L163" s="13">
        <f t="shared" si="36"/>
        <v>7867.2988783838</v>
      </c>
      <c r="M163" s="13">
        <f t="shared" si="36"/>
        <v>8216.3435206591166</v>
      </c>
      <c r="N163" s="13">
        <f t="shared" si="36"/>
        <v>8576.3353241682053</v>
      </c>
      <c r="O163" s="13">
        <f t="shared" si="36"/>
        <v>8948.8748470011924</v>
      </c>
      <c r="P163" s="13">
        <f t="shared" si="36"/>
        <v>9334.0762629453966</v>
      </c>
      <c r="Q163" s="13">
        <f t="shared" si="36"/>
        <v>9732.032881499068</v>
      </c>
      <c r="R163" s="13">
        <f t="shared" si="36"/>
        <v>10144.795525273601</v>
      </c>
    </row>
    <row r="164" spans="2:20" x14ac:dyDescent="0.25">
      <c r="B164" s="3" t="s">
        <v>233</v>
      </c>
      <c r="D164" s="24">
        <v>4117</v>
      </c>
      <c r="E164" s="24">
        <v>5056</v>
      </c>
      <c r="F164" s="24">
        <v>4802</v>
      </c>
      <c r="G164" s="24">
        <v>5321</v>
      </c>
      <c r="H164" s="24">
        <v>5923</v>
      </c>
      <c r="I164" s="13">
        <f t="shared" ref="I164:R164" si="37">I69*I54</f>
        <v>5886.4083067999991</v>
      </c>
      <c r="J164" s="13">
        <f t="shared" si="37"/>
        <v>6153.7156468709991</v>
      </c>
      <c r="K164" s="13">
        <f t="shared" si="37"/>
        <v>6424.8560580257872</v>
      </c>
      <c r="L164" s="13">
        <f t="shared" si="37"/>
        <v>6708.9235834070441</v>
      </c>
      <c r="M164" s="13">
        <f t="shared" si="37"/>
        <v>7006.5751495191244</v>
      </c>
      <c r="N164" s="13">
        <f t="shared" si="37"/>
        <v>7313.5620249041749</v>
      </c>
      <c r="O164" s="13">
        <f t="shared" si="37"/>
        <v>7631.2491026574589</v>
      </c>
      <c r="P164" s="13">
        <f t="shared" si="37"/>
        <v>7959.733745701903</v>
      </c>
      <c r="Q164" s="13">
        <f t="shared" si="37"/>
        <v>8299.09552471393</v>
      </c>
      <c r="R164" s="13">
        <f t="shared" si="37"/>
        <v>8651.083300693439</v>
      </c>
    </row>
    <row r="165" spans="2:20" x14ac:dyDescent="0.25">
      <c r="B165" s="3" t="s">
        <v>234</v>
      </c>
      <c r="H165" s="24">
        <v>34790</v>
      </c>
      <c r="I165" s="13">
        <f t="shared" ref="I165:R165" si="38">H165+I163-I164</f>
        <v>35806.358268800002</v>
      </c>
      <c r="J165" s="13">
        <f t="shared" si="38"/>
        <v>36868.870322935996</v>
      </c>
      <c r="K165" s="13">
        <f t="shared" si="38"/>
        <v>37978.197987631094</v>
      </c>
      <c r="L165" s="13">
        <f t="shared" si="38"/>
        <v>39136.573282607853</v>
      </c>
      <c r="M165" s="13">
        <f t="shared" si="38"/>
        <v>40346.341653747848</v>
      </c>
      <c r="N165" s="13">
        <f t="shared" si="38"/>
        <v>41609.114953011878</v>
      </c>
      <c r="O165" s="13">
        <f t="shared" si="38"/>
        <v>42926.740697355614</v>
      </c>
      <c r="P165" s="13">
        <f t="shared" si="38"/>
        <v>44301.083214599108</v>
      </c>
      <c r="Q165" s="13">
        <f t="shared" si="38"/>
        <v>45734.020571384252</v>
      </c>
      <c r="R165" s="13">
        <f t="shared" si="38"/>
        <v>47227.73279596441</v>
      </c>
    </row>
    <row r="166" spans="2:20" x14ac:dyDescent="0.25">
      <c r="B166" s="4" t="s">
        <v>235</v>
      </c>
      <c r="I166" s="26">
        <f t="shared" ref="I166:R166" si="39">I87+I164-I163</f>
        <v>23097.378496438338</v>
      </c>
      <c r="J166" s="26">
        <f t="shared" si="39"/>
        <v>22751.407611093444</v>
      </c>
      <c r="K166" s="26">
        <f t="shared" si="39"/>
        <v>23689.971276872056</v>
      </c>
      <c r="L166" s="26">
        <f t="shared" si="39"/>
        <v>24374.866739726225</v>
      </c>
      <c r="M166" s="26">
        <f t="shared" si="39"/>
        <v>25723.978336211971</v>
      </c>
      <c r="N166" s="26">
        <f t="shared" si="39"/>
        <v>26315.717026055179</v>
      </c>
      <c r="O166" s="26">
        <f t="shared" si="39"/>
        <v>26903.284823286602</v>
      </c>
      <c r="P166" s="26">
        <f t="shared" si="39"/>
        <v>27481.559124987616</v>
      </c>
      <c r="Q166" s="26">
        <f t="shared" si="39"/>
        <v>28048.426319583774</v>
      </c>
      <c r="R166" s="26">
        <f t="shared" si="39"/>
        <v>28611.280986065729</v>
      </c>
    </row>
    <row r="167" spans="2:20" x14ac:dyDescent="0.25">
      <c r="B167" s="3" t="s">
        <v>236</v>
      </c>
      <c r="I167" s="13">
        <f t="shared" ref="I167:R167" si="40">I166*I103</f>
        <v>22007.355410863107</v>
      </c>
      <c r="J167" s="13">
        <f t="shared" si="40"/>
        <v>19679.939968834336</v>
      </c>
      <c r="K167" s="13">
        <f t="shared" si="40"/>
        <v>18603.316047906454</v>
      </c>
      <c r="L167" s="13">
        <f t="shared" si="40"/>
        <v>17377.144487016452</v>
      </c>
      <c r="M167" s="13">
        <f t="shared" si="40"/>
        <v>16648.864907550127</v>
      </c>
      <c r="N167" s="13">
        <f t="shared" si="40"/>
        <v>15462.226614599096</v>
      </c>
      <c r="O167" s="13">
        <f t="shared" si="40"/>
        <v>14350.679583569943</v>
      </c>
      <c r="P167" s="13">
        <f t="shared" si="40"/>
        <v>13308.185888671189</v>
      </c>
      <c r="Q167" s="13">
        <f t="shared" si="40"/>
        <v>12330.943907758718</v>
      </c>
      <c r="R167" s="13">
        <f t="shared" si="40"/>
        <v>11419.194149818144</v>
      </c>
    </row>
    <row r="168" spans="2:20" x14ac:dyDescent="0.25">
      <c r="B168" s="3" t="s">
        <v>237</v>
      </c>
      <c r="D168" s="13">
        <f>SUM(I167:R167)</f>
        <v>161187.8509665876</v>
      </c>
    </row>
    <row r="169" spans="2:20" x14ac:dyDescent="0.25">
      <c r="B169" s="3" t="s">
        <v>238</v>
      </c>
      <c r="D169" s="13">
        <f>R166*(1+$D$37)/($D$32-$D$37)</f>
        <v>505434.53092817118</v>
      </c>
    </row>
    <row r="170" spans="2:20" x14ac:dyDescent="0.25">
      <c r="B170" s="3" t="s">
        <v>239</v>
      </c>
      <c r="D170" s="13">
        <f>$D$168+$D$169/(1+$D$32)^(10-$D$35)</f>
        <v>362914.40216511529</v>
      </c>
    </row>
    <row r="171" spans="2:20" x14ac:dyDescent="0.25">
      <c r="B171" s="3" t="s">
        <v>240</v>
      </c>
      <c r="D171" s="13">
        <f>$D$168+$D$112</f>
        <v>378458.81694297196</v>
      </c>
    </row>
    <row r="172" spans="2:20" x14ac:dyDescent="0.25">
      <c r="B172" s="3" t="s">
        <v>241</v>
      </c>
      <c r="D172" s="14">
        <f>($D$170+$D$130-$D$122-$D$129-$D$127)/$D$131*$D$134</f>
        <v>41.495366576499762</v>
      </c>
    </row>
    <row r="173" spans="2:20" x14ac:dyDescent="0.25">
      <c r="B173" s="3" t="s">
        <v>242</v>
      </c>
      <c r="D173" s="14">
        <f>($D$171+$D$130-$D$122-$D$129-$D$127)/$D$131*$D$134</f>
        <v>45.458016788846173</v>
      </c>
    </row>
    <row r="174" spans="2:20" x14ac:dyDescent="0.25">
      <c r="B174" s="3" t="s">
        <v>243</v>
      </c>
      <c r="D174" s="13">
        <f>$D$170-$D$110</f>
        <v>-18235.428083899664</v>
      </c>
    </row>
    <row r="175" spans="2:20" x14ac:dyDescent="0.25">
      <c r="B175" s="3" t="s">
        <v>244</v>
      </c>
      <c r="D175" s="13">
        <f>$D$171-$D$113</f>
        <v>-7703.8683227556176</v>
      </c>
    </row>
    <row r="176" spans="2:20" x14ac:dyDescent="0.25">
      <c r="B176" s="3" t="s">
        <v>245</v>
      </c>
      <c r="D176" s="14">
        <f>$D$172-$D$138</f>
        <v>-4.6486550958373414</v>
      </c>
    </row>
    <row r="177" spans="2:20" x14ac:dyDescent="0.25">
      <c r="B177" s="3" t="s">
        <v>246</v>
      </c>
      <c r="D177" s="14">
        <f>$D$173-$D$145</f>
        <v>-1.9639038124834158</v>
      </c>
    </row>
    <row r="178" spans="2:20" x14ac:dyDescent="0.25">
      <c r="B178" s="5" t="s">
        <v>247</v>
      </c>
    </row>
    <row r="180" spans="2:20" x14ac:dyDescent="0.25">
      <c r="B180" s="6" t="s">
        <v>248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2:20" x14ac:dyDescent="0.25">
      <c r="B181" s="32" t="s">
        <v>249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</row>
    <row r="182" spans="2:20" x14ac:dyDescent="0.25">
      <c r="B182" s="3" t="s">
        <v>250</v>
      </c>
      <c r="D182" s="11">
        <f>$D$37+(-0.01)</f>
        <v>3.2500000000000001E-2</v>
      </c>
      <c r="E182" s="11">
        <f>$D$37+(-0.005)</f>
        <v>3.7500000000000006E-2</v>
      </c>
      <c r="F182" s="11">
        <f>$D$37+(0)</f>
        <v>4.2500000000000003E-2</v>
      </c>
      <c r="G182" s="11">
        <f>$D$37+(0.005)</f>
        <v>4.7500000000000001E-2</v>
      </c>
      <c r="H182" s="11">
        <f>$D$37+(0.01)</f>
        <v>5.2500000000000005E-2</v>
      </c>
    </row>
    <row r="183" spans="2:20" x14ac:dyDescent="0.25">
      <c r="C183" s="11">
        <f>$D$32+(-0.02)</f>
        <v>8.1513103780620724E-2</v>
      </c>
      <c r="D183" s="14">
        <f>IF($C183-D$182&gt;=0.01,(NPV($C183,I87:R87)*(1+$C183)^$D$35+R87*(1+D$182)/($C183-D$182)/(1+$C183)^(10-$D$35)+$D$130-$D$122-$D$129-$D$127)/$D$131*$D$134,"n.m.")</f>
        <v>72.537700779075607</v>
      </c>
      <c r="E183" s="14">
        <f>IF($C183-E$182&gt;=0.01,(NPV($C183,I87:R87)*(1+$C183)^$D$35+R87*(1+E$182)/($C183-E$182)/(1+$C183)^(10-$D$35)+$D$130-$D$122-$D$129-$D$127)/$D$131*$D$134,"n.m.")</f>
        <v>81.67579264507215</v>
      </c>
      <c r="F183" s="14">
        <f>IF($C183-F$182&gt;=0.01,(NPV($C183,I87:R87)*(1+$C183)^$D$35+R87*(1+F$182)/($C183-F$182)/(1+$C183)^(10-$D$35)+$D$130-$D$122-$D$129-$D$127)/$D$131*$D$134,"n.m.")</f>
        <v>93.156197985377702</v>
      </c>
      <c r="G183" s="14">
        <f>IF($C183-G$182&gt;=0.01,(NPV($C183,I87:R87)*(1+$C183)^$D$35+R87*(1+G$182)/($C183-G$182)/(1+$C183)^(10-$D$35)+$D$130-$D$122-$D$129-$D$127)/$D$131*$D$134,"n.m.")</f>
        <v>108.01189227736272</v>
      </c>
      <c r="H183" s="14">
        <f>IF($C183-H$182&gt;=0.01,(NPV($C183,I87:R87)*(1+$C183)^$D$35+R87*(1+H$182)/($C183-H$182)/(1+$C183)^(10-$D$35)+$D$130-$D$122-$D$129-$D$127)/$D$131*$D$134,"n.m.")</f>
        <v>127.98792612498944</v>
      </c>
    </row>
    <row r="184" spans="2:20" x14ac:dyDescent="0.25">
      <c r="C184" s="11">
        <f>$D$32+(-0.01)</f>
        <v>9.1513103780620733E-2</v>
      </c>
      <c r="D184" s="14">
        <f>IF($C184-D$182&gt;=0.01,(NPV($C184,I87:R87)*(1+$C184)^$D$35+R87*(1+D$182)/($C184-D$182)/(1+$C184)^(10-$D$35)+$D$130-$D$122-$D$129-$D$127)/$D$131*$D$134,"n.m.")</f>
        <v>52.267908875932307</v>
      </c>
      <c r="E184" s="14">
        <f>IF($C184-E$182&gt;=0.01,(NPV($C184,I87:R87)*(1+$C184)^$D$35+R87*(1+E$182)/($C184-E$182)/(1+$C184)^(10-$D$35)+$D$130-$D$122-$D$129-$D$127)/$D$131*$D$134,"n.m.")</f>
        <v>57.986989268964699</v>
      </c>
      <c r="F184" s="14">
        <f>IF($C184-F$182&gt;=0.01,(NPV($C184,I87:R87)*(1+$C184)^$D$35+R87*(1+F$182)/($C184-F$182)/(1+$C184)^(10-$D$35)+$D$130-$D$122-$D$129-$D$127)/$D$131*$D$134,"n.m.")</f>
        <v>64.872916882820007</v>
      </c>
      <c r="G184" s="14">
        <f>IF($C184-G$182&gt;=0.01,(NPV($C184,I87:R87)*(1+$C184)^$D$35+R87*(1+G$182)/($C184-G$182)/(1+$C184)^(10-$D$35)+$D$130-$D$122-$D$129-$D$127)/$D$131*$D$134,"n.m.")</f>
        <v>73.323362111287892</v>
      </c>
      <c r="H184" s="14">
        <f>IF($C184-H$182&gt;=0.01,(NPV($C184,I87:R87)*(1+$C184)^$D$35+R87*(1+H$182)/($C184-H$182)/(1+$C184)^(10-$D$35)+$D$130-$D$122-$D$129-$D$127)/$D$131*$D$134,"n.m.")</f>
        <v>83.939860385928881</v>
      </c>
    </row>
    <row r="185" spans="2:20" x14ac:dyDescent="0.25">
      <c r="C185" s="11">
        <f>$D$32+(0)</f>
        <v>0.10151310378062073</v>
      </c>
      <c r="D185" s="14">
        <f>IF($C185-D$182&gt;=0.01,(NPV($C185,I87:R87)*(1+$C185)^$D$35+R87*(1+D$182)/($C185-D$182)/(1+$C185)^(10-$D$35)+$D$130-$D$122-$D$129-$D$127)/$D$131*$D$134,"n.m.")</f>
        <v>37.859685736017546</v>
      </c>
      <c r="E185" s="14">
        <f>IF($C185-E$182&gt;=0.01,(NPV($C185,I87:R87)*(1+$C185)^$D$35+R87*(1+E$182)/($C185-E$182)/(1+$C185)^(10-$D$35)+$D$130-$D$122-$D$129-$D$127)/$D$131*$D$134,"n.m.")</f>
        <v>41.678313075499545</v>
      </c>
      <c r="F185" s="14">
        <f>IF($C185-F$182&gt;=0.01,(NPV($C185,I87:R87)*(1+$C185)^$D$35+R87*(1+F$182)/($C185-F$182)/(1+$C185)^(10-$D$35)+$D$130-$D$122-$D$129-$D$127)/$D$131*$D$134,"n.m.")</f>
        <v>46.144021672337118</v>
      </c>
      <c r="G185" s="14">
        <f>IF($C185-G$182&gt;=0.01,(NPV($C185,I87:R87)*(1+$C185)^$D$35+R87*(1+G$182)/($C185-G$182)/(1+$C185)^(10-$D$35)+$D$130-$D$122-$D$129-$D$127)/$D$131*$D$134,"n.m.")</f>
        <v>51.43651271348218</v>
      </c>
      <c r="H185" s="14">
        <f>IF($C185-H$182&gt;=0.01,(NPV($C185,I87:R87)*(1+$C185)^$D$35+R87*(1+H$182)/($C185-H$182)/(1+$C185)^(10-$D$35)+$D$130-$D$122-$D$129-$D$127)/$D$131*$D$134,"n.m.")</f>
        <v>57.808815199508189</v>
      </c>
    </row>
    <row r="186" spans="2:20" x14ac:dyDescent="0.25">
      <c r="C186" s="11">
        <f>$D$32+(0.01)</f>
        <v>0.11151310378062072</v>
      </c>
      <c r="D186" s="14">
        <f>IF($C186-D$182&gt;=0.01,(NPV($C186,I87:R87)*(1+$C186)^$D$35+R87*(1+D$182)/($C186-D$182)/(1+$C186)^(10-$D$35)+$D$130-$D$122-$D$129-$D$127)/$D$131*$D$134,"n.m.")</f>
        <v>27.088295919471495</v>
      </c>
      <c r="E186" s="14">
        <f>IF($C186-E$182&gt;=0.01,(NPV($C186,I87:R87)*(1+$C186)^$D$35+R87*(1+E$182)/($C186-E$182)/(1+$C186)^(10-$D$35)+$D$130-$D$122-$D$129-$D$127)/$D$131*$D$134,"n.m.")</f>
        <v>29.75969130473208</v>
      </c>
      <c r="F186" s="14">
        <f>IF($C186-F$182&gt;=0.01,(NPV($C186,I87:R87)*(1+$C186)^$D$35+R87*(1+F$182)/($C186-F$182)/(1+$C186)^(10-$D$35)+$D$130-$D$122-$D$129-$D$127)/$D$131*$D$134,"n.m.")</f>
        <v>32.818171930174337</v>
      </c>
      <c r="G186" s="14">
        <f>IF($C186-G$182&gt;=0.01,(NPV($C186,I87:R87)*(1+$C186)^$D$35+R87*(1+G$182)/($C186-G$182)/(1+$C186)^(10-$D$35)+$D$130-$D$122-$D$129-$D$127)/$D$131*$D$134,"n.m.")</f>
        <v>36.354442327523934</v>
      </c>
      <c r="H186" s="14">
        <f>IF($C186-H$182&gt;=0.01,(NPV($C186,I87:R87)*(1+$C186)^$D$35+R87*(1+H$182)/($C186-H$182)/(1+$C186)^(10-$D$35)+$D$130-$D$122-$D$129-$D$127)/$D$131*$D$134,"n.m.")</f>
        <v>40.489947500000028</v>
      </c>
    </row>
    <row r="187" spans="2:20" x14ac:dyDescent="0.25">
      <c r="C187" s="11">
        <f>$D$32+(0.02)</f>
        <v>0.12151310378062073</v>
      </c>
      <c r="D187" s="14">
        <f>IF($C187-D$182&gt;=0.01,(NPV($C187,I87:R87)*(1+$C187)^$D$35+R87*(1+D$182)/($C187-D$182)/(1+$C187)^(10-$D$35)+$D$130-$D$122-$D$129-$D$127)/$D$131*$D$134,"n.m.")</f>
        <v>18.7286733421695</v>
      </c>
      <c r="E187" s="14">
        <f>IF($C187-E$182&gt;=0.01,(NPV($C187,I87:R87)*(1+$C187)^$D$35+R87*(1+E$182)/($C187-E$182)/(1+$C187)^(10-$D$35)+$D$130-$D$122-$D$129-$D$127)/$D$131*$D$134,"n.m.")</f>
        <v>20.66456893762707</v>
      </c>
      <c r="F187" s="14">
        <f>IF($C187-F$182&gt;=0.01,(NPV($C187,I87:R87)*(1+$C187)^$D$35+R87*(1+F$182)/($C187-F$182)/(1+$C187)^(10-$D$35)+$D$130-$D$122-$D$129-$D$127)/$D$131*$D$134,"n.m.")</f>
        <v>22.845473968586937</v>
      </c>
      <c r="G187" s="14">
        <f>IF($C187-G$182&gt;=0.01,(NPV($C187,I87:R87)*(1+$C187)^$D$35+R87*(1+G$182)/($C187-G$182)/(1+$C187)^(10-$D$35)+$D$130-$D$122-$D$129-$D$127)/$D$131*$D$134,"n.m.")</f>
        <v>25.321043716949333</v>
      </c>
      <c r="H187" s="14">
        <f>IF($C187-H$182&gt;=0.01,(NPV($C187,I87:R87)*(1+$C187)^$D$35+R87*(1+H$182)/($C187-H$182)/(1+$C187)^(10-$D$35)+$D$130-$D$122-$D$129-$D$127)/$D$131*$D$134,"n.m.")</f>
        <v>28.155323567125393</v>
      </c>
    </row>
    <row r="189" spans="2:20" x14ac:dyDescent="0.25">
      <c r="B189" s="32" t="s">
        <v>251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</row>
    <row r="190" spans="2:20" x14ac:dyDescent="0.25">
      <c r="B190" s="3" t="s">
        <v>250</v>
      </c>
      <c r="D190" s="12">
        <f>$D$38+(-2)</f>
        <v>4</v>
      </c>
      <c r="E190" s="12">
        <f>$D$38+(-1)</f>
        <v>5</v>
      </c>
      <c r="F190" s="12">
        <f>$D$38+(0)</f>
        <v>6</v>
      </c>
      <c r="G190" s="12">
        <f>$D$38+(1)</f>
        <v>7</v>
      </c>
      <c r="H190" s="12">
        <f>$D$38+(2)</f>
        <v>8</v>
      </c>
    </row>
    <row r="191" spans="2:20" x14ac:dyDescent="0.25">
      <c r="C191" s="11">
        <f>$D$32+(-0.02)</f>
        <v>8.1513103780620724E-2</v>
      </c>
      <c r="D191" s="14">
        <f>(NPV($C191,I87:R87)*(1+$C191)^$D$35+R78*D$190/(1+$C191)^10+$D$130-$D$122-$D$129-$D$127)/$D$131*$D$134</f>
        <v>40.094681079406364</v>
      </c>
      <c r="E191" s="14">
        <f>(NPV($C191,I87:R87)*(1+$C191)^$D$35+R78*E$190/(1+$C191)^10+$D$130-$D$122-$D$129-$D$127)/$D$131*$D$134</f>
        <v>51.18235968419372</v>
      </c>
      <c r="F191" s="14">
        <f>(NPV($C191,I87:R87)*(1+$C191)^$D$35+R78*F$190/(1+$C191)^10+$D$130-$D$122-$D$129-$D$127)/$D$131*$D$134</f>
        <v>62.270038288981048</v>
      </c>
      <c r="G191" s="14">
        <f>(NPV($C191,I87:R87)*(1+$C191)^$D$35+R78*G$190/(1+$C191)^10+$D$130-$D$122-$D$129-$D$127)/$D$131*$D$134</f>
        <v>73.357716893768412</v>
      </c>
      <c r="H191" s="14">
        <f>(NPV($C191,I87:R87)*(1+$C191)^$D$35+R78*H$190/(1+$C191)^10+$D$130-$D$122-$D$129-$D$127)/$D$131*$D$134</f>
        <v>84.445395498555754</v>
      </c>
    </row>
    <row r="192" spans="2:20" x14ac:dyDescent="0.25">
      <c r="C192" s="11">
        <f>$D$32+(-0.01)</f>
        <v>9.1513103780620733E-2</v>
      </c>
      <c r="D192" s="14">
        <f>(NPV($C192,I87:R87)*(1+$C192)^$D$35+R78*D$190/(1+$C192)^10+$D$130-$D$122-$D$129-$D$127)/$D$131*$D$134</f>
        <v>34.278040402668665</v>
      </c>
      <c r="E192" s="14">
        <f>(NPV($C192,I87:R87)*(1+$C192)^$D$35+R78*E$190/(1+$C192)^10+$D$130-$D$122-$D$129-$D$127)/$D$131*$D$134</f>
        <v>44.390782881691116</v>
      </c>
      <c r="F192" s="14">
        <f>(NPV($C192,I87:R87)*(1+$C192)^$D$35+R78*F$190/(1+$C192)^10+$D$130-$D$122-$D$129-$D$127)/$D$131*$D$134</f>
        <v>54.50352536071356</v>
      </c>
      <c r="G192" s="14">
        <f>(NPV($C192,I87:R87)*(1+$C192)^$D$35+R78*G$190/(1+$C192)^10+$D$130-$D$122-$D$129-$D$127)/$D$131*$D$134</f>
        <v>64.616267839735997</v>
      </c>
      <c r="H192" s="14">
        <f>(NPV($C192,I87:R87)*(1+$C192)^$D$35+R78*H$190/(1+$C192)^10+$D$130-$D$122-$D$129-$D$127)/$D$131*$D$134</f>
        <v>74.729010318758455</v>
      </c>
    </row>
    <row r="193" spans="2:20" x14ac:dyDescent="0.25">
      <c r="C193" s="11">
        <f>$D$32+(0)</f>
        <v>0.10151310378062073</v>
      </c>
      <c r="D193" s="14">
        <f>(NPV($C193,I87:R87)*(1+$C193)^$D$35+R78*D$190/(1+$C193)^10+$D$130-$D$122-$D$129-$D$127)/$D$131*$D$134</f>
        <v>28.959365577182602</v>
      </c>
      <c r="E193" s="14">
        <f>(NPV($C193,I87:R87)*(1+$C193)^$D$35+R78*E$190/(1+$C193)^10+$D$130-$D$122-$D$129-$D$127)/$D$131*$D$134</f>
        <v>38.19064308925612</v>
      </c>
      <c r="F193" s="14">
        <f>(NPV($C193,I87:R87)*(1+$C193)^$D$35+R78*F$190/(1+$C193)^10+$D$130-$D$122-$D$129-$D$127)/$D$131*$D$134</f>
        <v>47.421920601329603</v>
      </c>
      <c r="G193" s="14">
        <f>(NPV($C193,I87:R87)*(1+$C193)^$D$35+R78*G$190/(1+$C193)^10+$D$130-$D$122-$D$129-$D$127)/$D$131*$D$134</f>
        <v>56.653198113403114</v>
      </c>
      <c r="H193" s="14">
        <f>(NPV($C193,I87:R87)*(1+$C193)^$D$35+R78*H$190/(1+$C193)^10+$D$130-$D$122-$D$129-$D$127)/$D$131*$D$134</f>
        <v>65.884475625476597</v>
      </c>
    </row>
    <row r="194" spans="2:20" x14ac:dyDescent="0.25">
      <c r="C194" s="11">
        <f>$D$32+(0.01)</f>
        <v>0.11151310378062072</v>
      </c>
      <c r="D194" s="14">
        <f>(NPV($C194,I87:R87)*(1+$C194)^$D$35+R78*D$190/(1+$C194)^10+$D$130-$D$122-$D$129-$D$127)/$D$131*$D$134</f>
        <v>24.090016491393197</v>
      </c>
      <c r="E194" s="14">
        <f>(NPV($C194,I87:R87)*(1+$C194)^$D$35+R78*E$190/(1+$C194)^10+$D$130-$D$122-$D$129-$D$127)/$D$131*$D$134</f>
        <v>32.523609062705461</v>
      </c>
      <c r="F194" s="14">
        <f>(NPV($C194,I87:R87)*(1+$C194)^$D$35+R78*F$190/(1+$C194)^10+$D$130-$D$122-$D$129-$D$127)/$D$131*$D$134</f>
        <v>40.957201634017729</v>
      </c>
      <c r="G194" s="14">
        <f>(NPV($C194,I87:R87)*(1+$C194)^$D$35+R78*G$190/(1+$C194)^10+$D$130-$D$122-$D$129-$D$127)/$D$131*$D$134</f>
        <v>49.390794205330003</v>
      </c>
      <c r="H194" s="14">
        <f>(NPV($C194,I87:R87)*(1+$C194)^$D$35+R78*H$190/(1+$C194)^10+$D$130-$D$122-$D$129-$D$127)/$D$131*$D$134</f>
        <v>57.824386776642271</v>
      </c>
    </row>
    <row r="195" spans="2:20" x14ac:dyDescent="0.25">
      <c r="C195" s="11">
        <f>$D$32+(0.02)</f>
        <v>0.12151310378062073</v>
      </c>
      <c r="D195" s="14">
        <f>(NPV($C195,I87:R87)*(1+$C195)^$D$35+R78*D$190/(1+$C195)^10+$D$130-$D$122-$D$129-$D$127)/$D$131*$D$134</f>
        <v>19.62657293580607</v>
      </c>
      <c r="E195" s="14">
        <f>(NPV($C195,I87:R87)*(1+$C195)^$D$35+R78*E$190/(1+$C195)^10+$D$130-$D$122-$D$129-$D$127)/$D$131*$D$134</f>
        <v>27.337648589237883</v>
      </c>
      <c r="F195" s="14">
        <f>(NPV($C195,I87:R87)*(1+$C195)^$D$35+R78*F$190/(1+$C195)^10+$D$130-$D$122-$D$129-$D$127)/$D$131*$D$134</f>
        <v>35.048724242669657</v>
      </c>
      <c r="G195" s="14">
        <f>(NPV($C195,I87:R87)*(1+$C195)^$D$35+R78*G$190/(1+$C195)^10+$D$130-$D$122-$D$129-$D$127)/$D$131*$D$134</f>
        <v>42.75979989610147</v>
      </c>
      <c r="H195" s="14">
        <f>(NPV($C195,I87:R87)*(1+$C195)^$D$35+R78*H$190/(1+$C195)^10+$D$130-$D$122-$D$129-$D$127)/$D$131*$D$134</f>
        <v>50.470875549533275</v>
      </c>
    </row>
    <row r="197" spans="2:20" x14ac:dyDescent="0.25">
      <c r="B197" s="32" t="s">
        <v>252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</row>
    <row r="198" spans="2:20" x14ac:dyDescent="0.25">
      <c r="B198" s="3" t="s">
        <v>250</v>
      </c>
      <c r="D198" s="12">
        <f>$D$38+(-2)</f>
        <v>4</v>
      </c>
      <c r="E198" s="12">
        <f>$D$38+(-1)</f>
        <v>5</v>
      </c>
      <c r="F198" s="12">
        <f>$D$38+(0)</f>
        <v>6</v>
      </c>
      <c r="G198" s="12">
        <f>$D$38+(1)</f>
        <v>7</v>
      </c>
      <c r="H198" s="12">
        <f>$D$38+(2)</f>
        <v>8</v>
      </c>
    </row>
    <row r="199" spans="2:20" x14ac:dyDescent="0.25">
      <c r="C199" s="11">
        <f>$D$32+(-0.02)</f>
        <v>8.1513103780620724E-2</v>
      </c>
      <c r="D199" s="13">
        <f>NPV($C199,I87:R87)*(1+$C199)^$D$35+R78*D$198/(1+$C199)^10</f>
        <v>357419.88834900537</v>
      </c>
      <c r="E199" s="13">
        <f>NPV($C199,I87:R87)*(1+$C199)^$D$35+R78*E$198/(1+$C199)^10</f>
        <v>400913.87997596944</v>
      </c>
      <c r="F199" s="13">
        <f>NPV($C199,I87:R87)*(1+$C199)^$D$35+R78*F$198/(1+$C199)^10</f>
        <v>444407.87160293339</v>
      </c>
      <c r="G199" s="13">
        <f>NPV($C199,I87:R87)*(1+$C199)^$D$35+R78*G$198/(1+$C199)^10</f>
        <v>487901.86322989751</v>
      </c>
      <c r="H199" s="13">
        <f>NPV($C199,I87:R87)*(1+$C199)^$D$35+R78*H$198/(1+$C199)^10</f>
        <v>531395.85485686152</v>
      </c>
    </row>
    <row r="200" spans="2:20" x14ac:dyDescent="0.25">
      <c r="C200" s="11">
        <f>$D$32+(-0.01)</f>
        <v>9.1513103780620733E-2</v>
      </c>
      <c r="D200" s="13">
        <f>NPV($C200,I87:R87)*(1+$C200)^$D$35+R78*D$198/(1+$C200)^10</f>
        <v>334602.7658557673</v>
      </c>
      <c r="E200" s="13">
        <f>NPV($C200,I87:R87)*(1+$C200)^$D$35+R78*E$198/(1+$C200)^10</f>
        <v>374272.34434790845</v>
      </c>
      <c r="F200" s="13">
        <f>NPV($C200,I87:R87)*(1+$C200)^$D$35+R78*F$198/(1+$C200)^10</f>
        <v>413941.92284004961</v>
      </c>
      <c r="G200" s="13">
        <f>NPV($C200,I87:R87)*(1+$C200)^$D$35+R78*G$198/(1+$C200)^10</f>
        <v>453611.5013321907</v>
      </c>
      <c r="H200" s="13">
        <f>NPV($C200,I87:R87)*(1+$C200)^$D$35+R78*H$198/(1+$C200)^10</f>
        <v>493281.07982433192</v>
      </c>
    </row>
    <row r="201" spans="2:20" x14ac:dyDescent="0.25">
      <c r="C201" s="11">
        <f>$D$32+(0)</f>
        <v>0.10151310378062073</v>
      </c>
      <c r="D201" s="13">
        <f>NPV($C201,I87:R87)*(1+$C201)^$D$35+R78*D$198/(1+$C201)^10</f>
        <v>313739.02994026616</v>
      </c>
      <c r="E201" s="13">
        <f>NPV($C201,I87:R87)*(1+$C201)^$D$35+R78*E$198/(1+$C201)^10</f>
        <v>349950.85760299698</v>
      </c>
      <c r="F201" s="13">
        <f>NPV($C201,I87:R87)*(1+$C201)^$D$35+R78*F$198/(1+$C201)^10</f>
        <v>386162.68526572763</v>
      </c>
      <c r="G201" s="13">
        <f>NPV($C201,I87:R87)*(1+$C201)^$D$35+R78*G$198/(1+$C201)^10</f>
        <v>422374.5129284584</v>
      </c>
      <c r="H201" s="13">
        <f>NPV($C201,I87:R87)*(1+$C201)^$D$35+R78*H$198/(1+$C201)^10</f>
        <v>458586.3405911891</v>
      </c>
    </row>
    <row r="202" spans="2:20" x14ac:dyDescent="0.25">
      <c r="C202" s="11">
        <f>$D$32+(0.01)</f>
        <v>0.11151310378062072</v>
      </c>
      <c r="D202" s="13">
        <f>NPV($C202,I87:R87)*(1+$C202)^$D$35+R78*D$198/(1+$C202)^10</f>
        <v>294637.87848060485</v>
      </c>
      <c r="E202" s="13">
        <f>NPV($C202,I87:R87)*(1+$C202)^$D$35+R78*E$198/(1+$C202)^10</f>
        <v>327720.60190329707</v>
      </c>
      <c r="F202" s="13">
        <f>NPV($C202,I87:R87)*(1+$C202)^$D$35+R78*F$198/(1+$C202)^10</f>
        <v>360803.32532598928</v>
      </c>
      <c r="G202" s="13">
        <f>NPV($C202,I87:R87)*(1+$C202)^$D$35+R78*G$198/(1+$C202)^10</f>
        <v>393886.04874868155</v>
      </c>
      <c r="H202" s="13">
        <f>NPV($C202,I87:R87)*(1+$C202)^$D$35+R78*H$198/(1+$C202)^10</f>
        <v>426968.77217137377</v>
      </c>
    </row>
    <row r="203" spans="2:20" x14ac:dyDescent="0.25">
      <c r="C203" s="11">
        <f>$D$32+(0.02)</f>
        <v>0.12151310378062073</v>
      </c>
      <c r="D203" s="13">
        <f>NPV($C203,I87:R87)*(1+$C203)^$D$35+R78*D$198/(1+$C203)^10</f>
        <v>277128.98563171655</v>
      </c>
      <c r="E203" s="13">
        <f>NPV($C203,I87:R87)*(1+$C203)^$D$35+R78*E$198/(1+$C203)^10</f>
        <v>307377.46882281837</v>
      </c>
      <c r="F203" s="13">
        <f>NPV($C203,I87:R87)*(1+$C203)^$D$35+R78*F$198/(1+$C203)^10</f>
        <v>337625.95201392006</v>
      </c>
      <c r="G203" s="13">
        <f>NPV($C203,I87:R87)*(1+$C203)^$D$35+R78*G$198/(1+$C203)^10</f>
        <v>367874.43520502187</v>
      </c>
      <c r="H203" s="13">
        <f>NPV($C203,I87:R87)*(1+$C203)^$D$35+R78*H$198/(1+$C203)^10</f>
        <v>398122.91839612368</v>
      </c>
    </row>
    <row r="205" spans="2:20" x14ac:dyDescent="0.25">
      <c r="B205" s="32" t="s">
        <v>253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</row>
    <row r="206" spans="2:20" x14ac:dyDescent="0.25">
      <c r="B206" s="3" t="s">
        <v>250</v>
      </c>
      <c r="D206" s="12">
        <f>$D$38+(-2)</f>
        <v>4</v>
      </c>
      <c r="E206" s="12">
        <f>$D$38+(-1)</f>
        <v>5</v>
      </c>
      <c r="F206" s="12">
        <f>$D$38+(0)</f>
        <v>6</v>
      </c>
      <c r="G206" s="12">
        <f>$D$38+(1)</f>
        <v>7</v>
      </c>
      <c r="H206" s="12">
        <f>$D$38+(2)</f>
        <v>8</v>
      </c>
    </row>
    <row r="207" spans="2:20" x14ac:dyDescent="0.25">
      <c r="C207" s="11">
        <f>$D$32+(-0.02)</f>
        <v>8.1513103780620724E-2</v>
      </c>
      <c r="D207" s="11">
        <f>(R78*D$206/(1+$C207)^$D$35*$C207-R87)/(R78*D$206/(1+$C207)^$D$35+R87)</f>
        <v>-6.3043875190960553E-4</v>
      </c>
      <c r="E207" s="11">
        <f>(R78*E$206/(1+$C207)^$D$35*$C207-R87)/(R78*E$206/(1+$C207)^$D$35+R87)</f>
        <v>1.478463190809593E-2</v>
      </c>
      <c r="F207" s="11">
        <f>(R78*F$206/(1+$C207)^$D$35*$C207-R87)/(R78*F$206/(1+$C207)^$D$35+R87)</f>
        <v>2.5328284337011963E-2</v>
      </c>
      <c r="G207" s="11">
        <f>(R78*G$206/(1+$C207)^$D$35*$C207-R87)/(R78*G$206/(1+$C207)^$D$35+R87)</f>
        <v>3.2994609203193602E-2</v>
      </c>
      <c r="H207" s="11">
        <f>(R78*H$206/(1+$C207)^$D$35*$C207-R87)/(R78*H$206/(1+$C207)^$D$35+R87)</f>
        <v>3.8820010540466049E-2</v>
      </c>
    </row>
    <row r="208" spans="2:20" x14ac:dyDescent="0.25">
      <c r="C208" s="11">
        <f>$D$32+(-0.01)</f>
        <v>9.1513103780620733E-2</v>
      </c>
      <c r="D208" s="11">
        <f>(R78*D$206/(1+$C208)^$D$35*$C208-R87)/(R78*D$206/(1+$C208)^$D$35+R87)</f>
        <v>8.2568126921656153E-3</v>
      </c>
      <c r="E208" s="11">
        <f>(R78*E$206/(1+$C208)^$D$35*$C208-R87)/(R78*E$206/(1+$C208)^$D$35+R87)</f>
        <v>2.3876256816252783E-2</v>
      </c>
      <c r="F208" s="11">
        <f>(R78*F$206/(1+$C208)^$D$35*$C208-R87)/(R78*F$206/(1+$C208)^$D$35+R87)</f>
        <v>3.456087978890067E-2</v>
      </c>
      <c r="G208" s="11">
        <f>(R78*G$206/(1+$C208)^$D$35*$C208-R87)/(R78*G$206/(1+$C208)^$D$35+R87)</f>
        <v>4.2330308035008306E-2</v>
      </c>
      <c r="H208" s="11">
        <f>(R78*H$206/(1+$C208)^$D$35*$C208-R87)/(R78*H$206/(1+$C208)^$D$35+R87)</f>
        <v>4.8234394059950128E-2</v>
      </c>
    </row>
    <row r="209" spans="2:20" x14ac:dyDescent="0.25">
      <c r="C209" s="11">
        <f>$D$32+(0)</f>
        <v>0.10151310378062073</v>
      </c>
      <c r="D209" s="11">
        <f>(R78*D$206/(1+$C209)^$D$35*$C209-R87)/(R78*D$206/(1+$C209)^$D$35+R87)</f>
        <v>1.7139468983561765E-2</v>
      </c>
      <c r="E209" s="11">
        <f>(R78*E$206/(1+$C209)^$D$35*$C209-R87)/(R78*E$206/(1+$C209)^$D$35+R87)</f>
        <v>3.2964052720900798E-2</v>
      </c>
      <c r="F209" s="11">
        <f>(R78*F$206/(1+$C209)^$D$35*$C209-R87)/(R78*F$206/(1+$C209)^$D$35+R87)</f>
        <v>4.379019528587335E-2</v>
      </c>
      <c r="G209" s="11">
        <f>(R78*G$206/(1+$C209)^$D$35*$C209-R87)/(R78*G$206/(1+$C209)^$D$35+R87)</f>
        <v>5.1663139062033119E-2</v>
      </c>
      <c r="H209" s="11">
        <f>(R78*H$206/(1+$C209)^$D$35*$C209-R87)/(R78*H$206/(1+$C209)^$D$35+R87)</f>
        <v>5.7646230307682705E-2</v>
      </c>
    </row>
    <row r="210" spans="2:20" x14ac:dyDescent="0.25">
      <c r="C210" s="11">
        <f>$D$32+(0.01)</f>
        <v>0.11151310378062072</v>
      </c>
      <c r="D210" s="11">
        <f>(R78*D$206/(1+$C210)^$D$35*$C210-R87)/(R78*D$206/(1+$C210)^$D$35+R87)</f>
        <v>2.6017555249803429E-2</v>
      </c>
      <c r="E210" s="11">
        <f>(R78*E$206/(1+$C210)^$D$35*$C210-R87)/(R78*E$206/(1+$C210)^$D$35+R87)</f>
        <v>4.2048039904290076E-2</v>
      </c>
      <c r="F210" s="11">
        <f>(R78*F$206/(1+$C210)^$D$35*$C210-R87)/(R78*F$206/(1+$C210)^$D$35+R87)</f>
        <v>5.3016247816639009E-2</v>
      </c>
      <c r="G210" s="11">
        <f>(R78*G$206/(1+$C210)^$D$35*$C210-R87)/(R78*G$206/(1+$C210)^$D$35+R87)</f>
        <v>6.0993116892875975E-2</v>
      </c>
      <c r="H210" s="11">
        <f>(R78*H$206/(1+$C210)^$D$35*$C210-R87)/(R78*H$206/(1+$C210)^$D$35+R87)</f>
        <v>6.7055532093662842E-2</v>
      </c>
    </row>
    <row r="211" spans="2:20" x14ac:dyDescent="0.25">
      <c r="C211" s="11">
        <f>$D$32+(0.02)</f>
        <v>0.12151310378062073</v>
      </c>
      <c r="D211" s="11">
        <f>(R78*D$206/(1+$C211)^$D$35*$C211-R87)/(R78*D$206/(1+$C211)^$D$35+R87)</f>
        <v>3.4891096273108713E-2</v>
      </c>
      <c r="E211" s="11">
        <f>(R78*E$206/(1+$C211)^$D$35*$C211-R87)/(R78*E$206/(1+$C211)^$D$35+R87)</f>
        <v>5.1128238371337884E-2</v>
      </c>
      <c r="F211" s="11">
        <f>(R78*F$206/(1+$C211)^$D$35*$C211-R87)/(R78*F$206/(1+$C211)^$D$35+R87)</f>
        <v>6.2239054138294905E-2</v>
      </c>
      <c r="G211" s="11">
        <f>(R78*G$206/(1+$C211)^$D$35*$C211-R87)/(R78*G$206/(1+$C211)^$D$35+R87)</f>
        <v>7.0320255937358564E-2</v>
      </c>
      <c r="H211" s="11">
        <f>(R78*H$206/(1+$C211)^$D$35*$C211-R87)/(R78*H$206/(1+$C211)^$D$35+R87)</f>
        <v>7.6462312053801856E-2</v>
      </c>
    </row>
    <row r="213" spans="2:20" x14ac:dyDescent="0.25">
      <c r="B213" s="32" t="s">
        <v>254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</row>
    <row r="214" spans="2:20" x14ac:dyDescent="0.25">
      <c r="B214" s="3" t="s">
        <v>250</v>
      </c>
      <c r="D214" s="12">
        <f>$D$38+(-2)</f>
        <v>4</v>
      </c>
      <c r="E214" s="12">
        <f>$D$38+(-1)</f>
        <v>5</v>
      </c>
      <c r="F214" s="12">
        <f>$D$38+(0)</f>
        <v>6</v>
      </c>
      <c r="G214" s="12">
        <f>$D$38+(1)</f>
        <v>7</v>
      </c>
      <c r="H214" s="12">
        <f>$D$38+(2)</f>
        <v>8</v>
      </c>
    </row>
    <row r="215" spans="2:20" x14ac:dyDescent="0.25">
      <c r="C215" s="11">
        <f>$D$32+(-0.02)</f>
        <v>8.1513103780620724E-2</v>
      </c>
      <c r="D215" s="10">
        <f>(NPV($C215,I87:R87)*(1+$C215)^$D$35+R78*D$214/(1+$C215)^10+$D$130-$D$122-$D$129-$D$127)/$D$131*$D$134/$D$132-1</f>
        <v>-0.31579042526610301</v>
      </c>
      <c r="E215" s="10">
        <f>(NPV($C215,I87:R87)*(1+$C215)^$D$35+R78*E$214/(1+$C215)^10+$D$130-$D$122-$D$129-$D$127)/$D$131*$D$134/$D$132-1</f>
        <v>-0.12658089276119933</v>
      </c>
      <c r="F215" s="10">
        <f>(NPV($C215,I87:R87)*(1+$C215)^$D$35+R78*F$214/(1+$C215)^10+$D$130-$D$122-$D$129-$D$127)/$D$131*$D$134/$D$132-1</f>
        <v>6.2628639743703918E-2</v>
      </c>
      <c r="G215" s="10">
        <f>(NPV($C215,I87:R87)*(1+$C215)^$D$35+R78*G$214/(1+$C215)^10+$D$130-$D$122-$D$129-$D$127)/$D$131*$D$134/$D$132-1</f>
        <v>0.25183817224860761</v>
      </c>
      <c r="H215" s="10">
        <f>(NPV($C215,I87:R87)*(1+$C215)^$D$35+R78*H$214/(1+$C215)^10+$D$130-$D$122-$D$129-$D$127)/$D$131*$D$134/$D$132-1</f>
        <v>0.44104770475351107</v>
      </c>
    </row>
    <row r="216" spans="2:20" x14ac:dyDescent="0.25">
      <c r="C216" s="11">
        <f>$D$32+(-0.01)</f>
        <v>9.1513103780620733E-2</v>
      </c>
      <c r="D216" s="10">
        <f>(NPV($C216,I87:R87)*(1+$C216)^$D$35+R78*D$214/(1+$C216)^10+$D$130-$D$122-$D$129-$D$127)/$D$131*$D$134/$D$132-1</f>
        <v>-0.41505050507391361</v>
      </c>
      <c r="E216" s="10">
        <f>(NPV($C216,I87:R87)*(1+$C216)^$D$35+R78*E$214/(1+$C216)^10+$D$130-$D$122-$D$129-$D$127)/$D$131*$D$134/$D$132-1</f>
        <v>-0.24247810782097068</v>
      </c>
      <c r="F216" s="10">
        <f>(NPV($C216,I87:R87)*(1+$C216)^$D$35+R78*F$214/(1+$C216)^10+$D$130-$D$122-$D$129-$D$127)/$D$131*$D$134/$D$132-1</f>
        <v>-6.9905710568027968E-2</v>
      </c>
      <c r="G216" s="10">
        <f>(NPV($C216,I87:R87)*(1+$C216)^$D$35+R78*G$214/(1+$C216)^10+$D$130-$D$122-$D$129-$D$127)/$D$131*$D$134/$D$132-1</f>
        <v>0.10266668668491463</v>
      </c>
      <c r="H216" s="10">
        <f>(NPV($C216,I87:R87)*(1+$C216)^$D$35+R78*H$214/(1+$C216)^10+$D$130-$D$122-$D$129-$D$127)/$D$131*$D$134/$D$132-1</f>
        <v>0.27523908393785756</v>
      </c>
    </row>
    <row r="217" spans="2:20" x14ac:dyDescent="0.25">
      <c r="C217" s="11">
        <f>$D$32+(0)</f>
        <v>0.10151310378062073</v>
      </c>
      <c r="D217" s="10">
        <f>(NPV($C217,I87:R87)*(1+$C217)^$D$35+R78*D$214/(1+$C217)^10+$D$130-$D$122-$D$129-$D$127)/$D$131*$D$134/$D$132-1</f>
        <v>-0.50581287410951192</v>
      </c>
      <c r="E217" s="10">
        <f>(NPV($C217,I87:R87)*(1+$C217)^$D$35+R78*E$214/(1+$C217)^10+$D$130-$D$122-$D$129-$D$127)/$D$131*$D$134/$D$132-1</f>
        <v>-0.34828254113897406</v>
      </c>
      <c r="F217" s="10">
        <f>(NPV($C217,I87:R87)*(1+$C217)^$D$35+R78*F$214/(1+$C217)^10+$D$130-$D$122-$D$129-$D$127)/$D$131*$D$134/$D$132-1</f>
        <v>-0.19075220816843685</v>
      </c>
      <c r="G217" s="10">
        <f>(NPV($C217,I87:R87)*(1+$C217)^$D$35+R78*G$214/(1+$C217)^10+$D$130-$D$122-$D$129-$D$127)/$D$131*$D$134/$D$132-1</f>
        <v>-3.3221875197899098E-2</v>
      </c>
      <c r="H217" s="10">
        <f>(NPV($C217,I87:R87)*(1+$C217)^$D$35+R78*H$214/(1+$C217)^10+$D$130-$D$122-$D$129-$D$127)/$D$131*$D$134/$D$132-1</f>
        <v>0.1243084577726381</v>
      </c>
    </row>
    <row r="218" spans="2:20" x14ac:dyDescent="0.25">
      <c r="C218" s="11">
        <f>$D$32+(0.01)</f>
        <v>0.11151310378062072</v>
      </c>
      <c r="D218" s="10">
        <f>(NPV($C218,I87:R87)*(1+$C218)^$D$35+R78*D$214/(1+$C218)^10+$D$130-$D$122-$D$129-$D$127)/$D$131*$D$134/$D$132-1</f>
        <v>-0.58890756840625946</v>
      </c>
      <c r="E218" s="10">
        <f>(NPV($C218,I87:R87)*(1+$C218)^$D$35+R78*E$214/(1+$C218)^10+$D$130-$D$122-$D$129-$D$127)/$D$131*$D$134/$D$132-1</f>
        <v>-0.44498960643847341</v>
      </c>
      <c r="F218" s="10">
        <f>(NPV($C218,I87:R87)*(1+$C218)^$D$35+R78*F$214/(1+$C218)^10+$D$130-$D$122-$D$129-$D$127)/$D$131*$D$134/$D$132-1</f>
        <v>-0.30107164447068724</v>
      </c>
      <c r="G218" s="10">
        <f>(NPV($C218,I87:R87)*(1+$C218)^$D$35+R78*G$214/(1+$C218)^10+$D$130-$D$122-$D$129-$D$127)/$D$131*$D$134/$D$132-1</f>
        <v>-0.15715368250290096</v>
      </c>
      <c r="H218" s="10">
        <f>(NPV($C218,I87:R87)*(1+$C218)^$D$35+R78*H$214/(1+$C218)^10+$D$130-$D$122-$D$129-$D$127)/$D$131*$D$134/$D$132-1</f>
        <v>-1.3235720535114903E-2</v>
      </c>
    </row>
    <row r="219" spans="2:20" x14ac:dyDescent="0.25">
      <c r="C219" s="11">
        <f>$D$32+(0.02)</f>
        <v>0.12151310378062073</v>
      </c>
      <c r="D219" s="10">
        <f>(NPV($C219,I87:R87)*(1+$C219)^$D$35+R78*D$214/(1+$C219)^10+$D$130-$D$122-$D$129-$D$127)/$D$131*$D$134/$D$132-1</f>
        <v>-0.66507554717054496</v>
      </c>
      <c r="E219" s="10">
        <f>(NPV($C219,I87:R87)*(1+$C219)^$D$35+R78*E$214/(1+$C219)^10+$D$130-$D$122-$D$129-$D$127)/$D$131*$D$134/$D$132-1</f>
        <v>-0.53348722543962657</v>
      </c>
      <c r="F219" s="10">
        <f>(NPV($C219,I87:R87)*(1+$C219)^$D$35+R78*F$214/(1+$C219)^10+$D$130-$D$122-$D$129-$D$127)/$D$131*$D$134/$D$132-1</f>
        <v>-0.40189890370870895</v>
      </c>
      <c r="G219" s="10">
        <f>(NPV($C219,I87:R87)*(1+$C219)^$D$35+R78*G$214/(1+$C219)^10+$D$130-$D$122-$D$129-$D$127)/$D$131*$D$134/$D$132-1</f>
        <v>-0.27031058197779068</v>
      </c>
      <c r="H219" s="10">
        <f>(NPV($C219,I87:R87)*(1+$C219)^$D$35+R78*H$214/(1+$C219)^10+$D$130-$D$122-$D$129-$D$127)/$D$131*$D$134/$D$132-1</f>
        <v>-0.13872226024687251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6"/>
  <sheetViews>
    <sheetView showGridLines="0" workbookViewId="0"/>
  </sheetViews>
  <sheetFormatPr defaultRowHeight="15" x14ac:dyDescent="0.25"/>
  <cols>
    <col min="2" max="2" width="70" customWidth="1"/>
    <col min="4" max="4" width="14" customWidth="1"/>
    <col min="5" max="5" width="80" customWidth="1"/>
  </cols>
  <sheetData>
    <row r="2" spans="2:5" ht="18.75" x14ac:dyDescent="0.3">
      <c r="B2" s="1" t="s">
        <v>255</v>
      </c>
    </row>
    <row r="3" spans="2:5" x14ac:dyDescent="0.25">
      <c r="B3" s="2" t="s">
        <v>256</v>
      </c>
    </row>
    <row r="5" spans="2:5" x14ac:dyDescent="0.25">
      <c r="B5" s="6" t="s">
        <v>257</v>
      </c>
      <c r="C5" s="7"/>
      <c r="D5" s="7"/>
      <c r="E5" s="7"/>
    </row>
    <row r="6" spans="2:5" x14ac:dyDescent="0.25">
      <c r="B6" s="3" t="s">
        <v>258</v>
      </c>
      <c r="D6" s="35">
        <f>DCF!$D$132/DCF!$D$134*DCF!$D$131+DCF!$D$122+DCF!$D$129+DCF!$D$127-DCF!$D$130</f>
        <v>430011.29497934174</v>
      </c>
    </row>
    <row r="7" spans="2:5" x14ac:dyDescent="0.25">
      <c r="B7" s="3" t="s">
        <v>259</v>
      </c>
      <c r="D7" s="35">
        <f>DCF!$D$107</f>
        <v>168891.71928934322</v>
      </c>
    </row>
    <row r="8" spans="2:5" x14ac:dyDescent="0.25">
      <c r="B8" s="3" t="s">
        <v>260</v>
      </c>
      <c r="D8" s="13">
        <f>($D$6-$D$7)*(1+DCF!$D$32)^(10-DCF!$D$35)</f>
        <v>654246.30258587771</v>
      </c>
    </row>
    <row r="9" spans="2:5" x14ac:dyDescent="0.25">
      <c r="B9" s="3" t="s">
        <v>261</v>
      </c>
      <c r="D9" s="11">
        <f>IF($D$6&gt;$D$7,($D$8*DCF!$D$32-DCF!R87)/($D$8+DCF!R87),"n.m.")</f>
        <v>5.3056931176817028E-2</v>
      </c>
    </row>
    <row r="10" spans="2:5" x14ac:dyDescent="0.25">
      <c r="B10" s="3" t="s">
        <v>262</v>
      </c>
      <c r="D10" s="36">
        <f>DCF!$D$37</f>
        <v>4.2500000000000003E-2</v>
      </c>
    </row>
    <row r="11" spans="2:5" x14ac:dyDescent="0.25">
      <c r="B11" s="5" t="s">
        <v>263</v>
      </c>
    </row>
    <row r="13" spans="2:5" x14ac:dyDescent="0.25">
      <c r="B13" s="6" t="s">
        <v>264</v>
      </c>
      <c r="C13" s="7"/>
      <c r="D13" s="7"/>
      <c r="E13" s="7"/>
    </row>
    <row r="14" spans="2:5" x14ac:dyDescent="0.25">
      <c r="B14" s="3" t="s">
        <v>265</v>
      </c>
      <c r="E14" s="5" t="s">
        <v>266</v>
      </c>
    </row>
    <row r="15" spans="2:5" x14ac:dyDescent="0.25">
      <c r="B15" s="3" t="s">
        <v>267</v>
      </c>
      <c r="D15" s="15">
        <v>1.487477850168943E-2</v>
      </c>
      <c r="E15" s="5" t="s">
        <v>268</v>
      </c>
    </row>
    <row r="16" spans="2:5" x14ac:dyDescent="0.25">
      <c r="B16" s="3" t="s">
        <v>269</v>
      </c>
      <c r="D16" s="15">
        <v>1.3850743882358071E-2</v>
      </c>
      <c r="E16" s="5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5"/>
  <sheetViews>
    <sheetView showGridLines="0" workbookViewId="0"/>
  </sheetViews>
  <sheetFormatPr defaultRowHeight="15" x14ac:dyDescent="0.25"/>
  <cols>
    <col min="2" max="2" width="44" customWidth="1"/>
    <col min="3" max="8" width="13" customWidth="1"/>
  </cols>
  <sheetData>
    <row r="2" spans="2:8" ht="18.75" x14ac:dyDescent="0.3">
      <c r="B2" s="1" t="s">
        <v>270</v>
      </c>
    </row>
    <row r="3" spans="2:8" x14ac:dyDescent="0.25">
      <c r="B3" s="2" t="s">
        <v>271</v>
      </c>
    </row>
    <row r="5" spans="2:8" x14ac:dyDescent="0.25">
      <c r="B5" s="6" t="s">
        <v>272</v>
      </c>
      <c r="C5" s="7"/>
      <c r="D5" s="7"/>
      <c r="E5" s="7"/>
      <c r="F5" s="7"/>
      <c r="G5" s="7"/>
      <c r="H5" s="7"/>
    </row>
    <row r="6" spans="2:8" x14ac:dyDescent="0.25">
      <c r="B6" s="3" t="s">
        <v>273</v>
      </c>
      <c r="C6" s="15">
        <v>-0.01</v>
      </c>
      <c r="D6" s="15">
        <v>-5.0000000000000001E-3</v>
      </c>
      <c r="E6" s="15">
        <v>0</v>
      </c>
      <c r="F6" s="15">
        <v>5.0000000000000001E-3</v>
      </c>
      <c r="G6" s="15">
        <v>0.01</v>
      </c>
    </row>
    <row r="7" spans="2:8" x14ac:dyDescent="0.25">
      <c r="B7" s="15">
        <v>-0.01</v>
      </c>
      <c r="C7" s="14">
        <v>52.921717439297097</v>
      </c>
      <c r="D7" s="14">
        <v>59.217567672144902</v>
      </c>
      <c r="E7" s="14">
        <v>65.513417904992778</v>
      </c>
      <c r="F7" s="14">
        <v>71.809268137840519</v>
      </c>
      <c r="G7" s="14">
        <v>78.105118370688402</v>
      </c>
    </row>
    <row r="8" spans="2:8" x14ac:dyDescent="0.25">
      <c r="B8" s="15">
        <v>-5.0000000000000001E-3</v>
      </c>
      <c r="C8" s="14">
        <v>43.237019322969253</v>
      </c>
      <c r="D8" s="14">
        <v>49.532869555817058</v>
      </c>
      <c r="E8" s="14">
        <v>55.828719788664948</v>
      </c>
      <c r="F8" s="14">
        <v>62.124570021512689</v>
      </c>
      <c r="G8" s="14">
        <v>68.42042025436055</v>
      </c>
    </row>
    <row r="9" spans="2:8" x14ac:dyDescent="0.25">
      <c r="B9" s="15">
        <v>0</v>
      </c>
      <c r="C9" s="14">
        <v>33.552321206641437</v>
      </c>
      <c r="D9" s="14">
        <v>39.848171439489249</v>
      </c>
      <c r="E9" s="14">
        <v>46.144021672337118</v>
      </c>
      <c r="F9" s="14">
        <v>52.439871905184859</v>
      </c>
      <c r="G9" s="14">
        <v>58.735722138032749</v>
      </c>
    </row>
    <row r="10" spans="2:8" x14ac:dyDescent="0.25">
      <c r="B10" s="15">
        <v>5.0000000000000001E-3</v>
      </c>
      <c r="C10" s="14">
        <v>23.867623090313622</v>
      </c>
      <c r="D10" s="14">
        <v>30.163473323161419</v>
      </c>
      <c r="E10" s="14">
        <v>36.459323556009281</v>
      </c>
      <c r="F10" s="14">
        <v>42.755173788857043</v>
      </c>
      <c r="G10" s="14">
        <v>49.051024021704919</v>
      </c>
    </row>
    <row r="11" spans="2:8" x14ac:dyDescent="0.25">
      <c r="B11" s="15">
        <v>0.01</v>
      </c>
      <c r="C11" s="14">
        <v>14.18292497398579</v>
      </c>
      <c r="D11" s="14">
        <v>20.478775206833589</v>
      </c>
      <c r="E11" s="14">
        <v>26.774625439681468</v>
      </c>
      <c r="F11" s="14">
        <v>33.070475672529227</v>
      </c>
      <c r="G11" s="14">
        <v>39.366325905377082</v>
      </c>
    </row>
    <row r="13" spans="2:8" x14ac:dyDescent="0.25">
      <c r="B13" s="6" t="s">
        <v>274</v>
      </c>
      <c r="C13" s="7"/>
      <c r="D13" s="7"/>
      <c r="E13" s="7"/>
      <c r="F13" s="7"/>
      <c r="G13" s="7"/>
      <c r="H13" s="7"/>
    </row>
    <row r="14" spans="2:8" x14ac:dyDescent="0.25">
      <c r="B14" s="3" t="s">
        <v>273</v>
      </c>
      <c r="C14" s="15">
        <v>-0.01</v>
      </c>
      <c r="D14" s="15">
        <v>-5.0000000000000001E-3</v>
      </c>
      <c r="E14" s="15">
        <v>0</v>
      </c>
      <c r="F14" s="15">
        <v>5.0000000000000001E-3</v>
      </c>
      <c r="G14" s="15">
        <v>0.01</v>
      </c>
    </row>
    <row r="15" spans="2:8" x14ac:dyDescent="0.25">
      <c r="B15" s="15">
        <v>-0.01</v>
      </c>
      <c r="C15" s="14">
        <v>46.727103850843442</v>
      </c>
      <c r="D15" s="14">
        <v>51.165978502093658</v>
      </c>
      <c r="E15" s="14">
        <v>55.604853153343882</v>
      </c>
      <c r="F15" s="14">
        <v>60.043727804594077</v>
      </c>
      <c r="G15" s="14">
        <v>64.482602455844315</v>
      </c>
    </row>
    <row r="16" spans="2:8" x14ac:dyDescent="0.25">
      <c r="B16" s="15">
        <v>-5.0000000000000001E-3</v>
      </c>
      <c r="C16" s="14">
        <v>42.635637574836288</v>
      </c>
      <c r="D16" s="14">
        <v>47.074512226086512</v>
      </c>
      <c r="E16" s="14">
        <v>51.513386877336742</v>
      </c>
      <c r="F16" s="14">
        <v>55.952261528586931</v>
      </c>
      <c r="G16" s="14">
        <v>60.391136179837162</v>
      </c>
    </row>
    <row r="17" spans="2:8" x14ac:dyDescent="0.25">
      <c r="B17" s="15">
        <v>0</v>
      </c>
      <c r="C17" s="14">
        <v>38.544171298829141</v>
      </c>
      <c r="D17" s="14">
        <v>42.983045950079379</v>
      </c>
      <c r="E17" s="14">
        <v>47.421920601329589</v>
      </c>
      <c r="F17" s="14">
        <v>51.860795252579777</v>
      </c>
      <c r="G17" s="14">
        <v>56.299669903830029</v>
      </c>
    </row>
    <row r="18" spans="2:8" x14ac:dyDescent="0.25">
      <c r="B18" s="15">
        <v>5.0000000000000001E-3</v>
      </c>
      <c r="C18" s="14">
        <v>34.452705022822009</v>
      </c>
      <c r="D18" s="14">
        <v>38.891579674072247</v>
      </c>
      <c r="E18" s="14">
        <v>43.330454325322442</v>
      </c>
      <c r="F18" s="14">
        <v>47.769328976572631</v>
      </c>
      <c r="G18" s="14">
        <v>52.208203627822883</v>
      </c>
    </row>
    <row r="19" spans="2:8" x14ac:dyDescent="0.25">
      <c r="B19" s="15">
        <v>0.01</v>
      </c>
      <c r="C19" s="14">
        <v>30.36123874681487</v>
      </c>
      <c r="D19" s="14">
        <v>34.800113398065093</v>
      </c>
      <c r="E19" s="14">
        <v>39.238988049315289</v>
      </c>
      <c r="F19" s="14">
        <v>43.677862700565477</v>
      </c>
      <c r="G19" s="14">
        <v>48.116737351815729</v>
      </c>
    </row>
    <row r="21" spans="2:8" x14ac:dyDescent="0.25">
      <c r="B21" s="6" t="s">
        <v>275</v>
      </c>
      <c r="C21" s="7"/>
      <c r="D21" s="7"/>
      <c r="E21" s="7"/>
      <c r="F21" s="7"/>
      <c r="G21" s="7"/>
      <c r="H21" s="7"/>
    </row>
    <row r="22" spans="2:8" x14ac:dyDescent="0.25">
      <c r="B22" s="4" t="s">
        <v>276</v>
      </c>
      <c r="C22" s="4" t="s">
        <v>277</v>
      </c>
      <c r="D22" s="4" t="s">
        <v>278</v>
      </c>
      <c r="E22" s="4" t="s">
        <v>279</v>
      </c>
    </row>
    <row r="23" spans="2:8" x14ac:dyDescent="0.25">
      <c r="B23" s="15">
        <v>-0.01</v>
      </c>
      <c r="C23" s="14">
        <v>65.513417904992778</v>
      </c>
      <c r="D23" s="10">
        <v>0.66280587203776209</v>
      </c>
      <c r="E23" s="10">
        <v>5.8370752087710878E-2</v>
      </c>
    </row>
    <row r="24" spans="2:8" x14ac:dyDescent="0.25">
      <c r="B24" s="15">
        <v>-5.0000000000000001E-3</v>
      </c>
      <c r="C24" s="14">
        <v>55.828719788664948</v>
      </c>
      <c r="D24" s="10">
        <v>0.29454961412722502</v>
      </c>
      <c r="E24" s="10">
        <v>5.3370752087710867E-2</v>
      </c>
    </row>
    <row r="25" spans="2:8" x14ac:dyDescent="0.25">
      <c r="B25" s="15">
        <v>0</v>
      </c>
      <c r="C25" s="14">
        <v>46.144021672337118</v>
      </c>
      <c r="D25" s="10">
        <v>0.18934767186122059</v>
      </c>
      <c r="E25" s="10">
        <v>4.8370752087710883E-2</v>
      </c>
    </row>
    <row r="26" spans="2:8" x14ac:dyDescent="0.25">
      <c r="B26" s="15">
        <v>5.0000000000000001E-3</v>
      </c>
      <c r="C26" s="14">
        <v>36.459323556009281</v>
      </c>
      <c r="D26" s="10">
        <v>0.13951736469976009</v>
      </c>
      <c r="E26" s="10">
        <v>4.3370752087710872E-2</v>
      </c>
    </row>
    <row r="27" spans="2:8" x14ac:dyDescent="0.25">
      <c r="B27" s="15">
        <v>0.01</v>
      </c>
      <c r="C27" s="14">
        <v>26.774625439681468</v>
      </c>
      <c r="D27" s="10">
        <v>0.1104503361808543</v>
      </c>
      <c r="E27" s="10">
        <v>3.8370752087710881E-2</v>
      </c>
    </row>
    <row r="29" spans="2:8" x14ac:dyDescent="0.25">
      <c r="B29" s="6" t="s">
        <v>280</v>
      </c>
      <c r="C29" s="7"/>
      <c r="D29" s="7"/>
      <c r="E29" s="7"/>
      <c r="F29" s="7"/>
      <c r="G29" s="7"/>
      <c r="H29" s="7"/>
    </row>
    <row r="30" spans="2:8" x14ac:dyDescent="0.25">
      <c r="B30" s="4" t="s">
        <v>281</v>
      </c>
      <c r="C30" s="4" t="s">
        <v>282</v>
      </c>
      <c r="D30" s="4" t="s">
        <v>283</v>
      </c>
    </row>
    <row r="31" spans="2:8" x14ac:dyDescent="0.25">
      <c r="B31" s="15">
        <v>-0.01</v>
      </c>
      <c r="C31" s="14">
        <v>38.579753044680388</v>
      </c>
      <c r="D31" s="14">
        <v>40.064277603918242</v>
      </c>
    </row>
    <row r="32" spans="2:8" x14ac:dyDescent="0.25">
      <c r="B32" s="15">
        <v>-5.0000000000000001E-3</v>
      </c>
      <c r="C32" s="14">
        <v>42.284604053922102</v>
      </c>
      <c r="D32" s="14">
        <v>43.671768832118708</v>
      </c>
    </row>
    <row r="33" spans="2:4" x14ac:dyDescent="0.25">
      <c r="B33" s="15">
        <v>0</v>
      </c>
      <c r="C33" s="14">
        <v>46.144021672337118</v>
      </c>
      <c r="D33" s="14">
        <v>47.421920601329589</v>
      </c>
    </row>
    <row r="34" spans="2:4" x14ac:dyDescent="0.25">
      <c r="B34" s="15">
        <v>5.0000000000000001E-3</v>
      </c>
      <c r="C34" s="14">
        <v>50.164069149149363</v>
      </c>
      <c r="D34" s="14">
        <v>51.320030797253771</v>
      </c>
    </row>
    <row r="35" spans="2:4" x14ac:dyDescent="0.25">
      <c r="B35" s="15">
        <v>0.01</v>
      </c>
      <c r="C35" s="14">
        <v>54.35102158999981</v>
      </c>
      <c r="D35" s="14">
        <v>55.371572800116212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61"/>
  <sheetViews>
    <sheetView showGridLines="0" workbookViewId="0"/>
  </sheetViews>
  <sheetFormatPr defaultRowHeight="15" x14ac:dyDescent="0.25"/>
  <cols>
    <col min="2" max="2" width="72" customWidth="1"/>
    <col min="4" max="4" width="14" customWidth="1"/>
    <col min="5" max="5" width="90" customWidth="1"/>
  </cols>
  <sheetData>
    <row r="2" spans="2:5" ht="18.75" x14ac:dyDescent="0.3">
      <c r="B2" s="1" t="s">
        <v>284</v>
      </c>
    </row>
    <row r="3" spans="2:5" x14ac:dyDescent="0.25">
      <c r="B3" s="2" t="s">
        <v>285</v>
      </c>
    </row>
    <row r="5" spans="2:5" x14ac:dyDescent="0.25">
      <c r="B5" s="6" t="s">
        <v>286</v>
      </c>
      <c r="C5" s="7"/>
      <c r="D5" s="7"/>
      <c r="E5" s="7"/>
    </row>
    <row r="6" spans="2:5" x14ac:dyDescent="0.25">
      <c r="B6" s="3" t="s">
        <v>287</v>
      </c>
      <c r="D6" s="24">
        <v>18858.3</v>
      </c>
      <c r="E6" s="5" t="s">
        <v>288</v>
      </c>
    </row>
    <row r="7" spans="2:5" x14ac:dyDescent="0.25">
      <c r="B7" s="3" t="s">
        <v>289</v>
      </c>
      <c r="D7" s="24">
        <v>501.6</v>
      </c>
      <c r="E7" s="5" t="s">
        <v>290</v>
      </c>
    </row>
    <row r="8" spans="2:5" x14ac:dyDescent="0.25">
      <c r="B8" s="3" t="s">
        <v>291</v>
      </c>
      <c r="D8" s="37">
        <f>DCF!I60</f>
        <v>0.34</v>
      </c>
    </row>
    <row r="9" spans="2:5" x14ac:dyDescent="0.25">
      <c r="B9" s="3" t="s">
        <v>292</v>
      </c>
      <c r="D9" s="24">
        <v>12125.1</v>
      </c>
      <c r="E9" s="5" t="s">
        <v>293</v>
      </c>
    </row>
    <row r="10" spans="2:5" x14ac:dyDescent="0.25">
      <c r="B10" s="3" t="s">
        <v>294</v>
      </c>
      <c r="D10" s="24">
        <v>6942</v>
      </c>
      <c r="E10" s="5" t="s">
        <v>295</v>
      </c>
    </row>
    <row r="11" spans="2:5" x14ac:dyDescent="0.25">
      <c r="B11" s="3" t="s">
        <v>296</v>
      </c>
      <c r="D11" s="24">
        <v>2879</v>
      </c>
      <c r="E11" s="5" t="s">
        <v>297</v>
      </c>
    </row>
    <row r="12" spans="2:5" x14ac:dyDescent="0.25">
      <c r="B12" s="3" t="s">
        <v>298</v>
      </c>
      <c r="D12" s="24">
        <v>2529</v>
      </c>
      <c r="E12" s="5" t="s">
        <v>299</v>
      </c>
    </row>
    <row r="13" spans="2:5" x14ac:dyDescent="0.25">
      <c r="B13" s="4" t="s">
        <v>300</v>
      </c>
      <c r="D13" s="26">
        <f>($D$6-$D$7)*(1-$D$8)+$D$9-$D$10-$D$11+$D$12</f>
        <v>16948.521999999997</v>
      </c>
    </row>
    <row r="14" spans="2:5" x14ac:dyDescent="0.25">
      <c r="B14" s="3" t="s">
        <v>301</v>
      </c>
      <c r="D14" s="35">
        <f>DCF!I87</f>
        <v>24113.736765238336</v>
      </c>
    </row>
    <row r="15" spans="2:5" x14ac:dyDescent="0.25">
      <c r="B15" s="4" t="s">
        <v>302</v>
      </c>
      <c r="D15" s="26">
        <f>$D$14-$D$13</f>
        <v>7165.2147652383392</v>
      </c>
    </row>
    <row r="17" spans="2:5" x14ac:dyDescent="0.25">
      <c r="B17" s="6" t="s">
        <v>303</v>
      </c>
      <c r="C17" s="7"/>
      <c r="D17" s="7"/>
      <c r="E17" s="7"/>
    </row>
    <row r="18" spans="2:5" x14ac:dyDescent="0.25">
      <c r="B18" s="3" t="s">
        <v>304</v>
      </c>
      <c r="D18" s="18">
        <f>0.5*(1-DCF!$D$35)</f>
        <v>0.25</v>
      </c>
    </row>
    <row r="19" spans="2:5" x14ac:dyDescent="0.25">
      <c r="B19" s="3" t="s">
        <v>305</v>
      </c>
      <c r="D19" s="13">
        <f>$D$15/(1+DCF!$D$32)^$D$18</f>
        <v>6994.0993192068627</v>
      </c>
    </row>
    <row r="20" spans="2:5" x14ac:dyDescent="0.25">
      <c r="B20" s="3" t="s">
        <v>306</v>
      </c>
      <c r="D20" s="13">
        <f>DCF!J87/(1+DCF!$D$32)^(1+0.5-DCF!$D$35)</f>
        <v>21619.279501528534</v>
      </c>
    </row>
    <row r="21" spans="2:5" x14ac:dyDescent="0.25">
      <c r="B21" s="3" t="s">
        <v>307</v>
      </c>
      <c r="D21" s="13">
        <f>DCF!K87/(1+DCF!$D$32)^(2+0.5-DCF!$D$35)</f>
        <v>20439.01996556759</v>
      </c>
    </row>
    <row r="22" spans="2:5" x14ac:dyDescent="0.25">
      <c r="B22" s="3" t="s">
        <v>308</v>
      </c>
      <c r="D22" s="13">
        <f>DCF!L87/(1+DCF!$D$32)^(3+0.5-DCF!$D$35)</f>
        <v>19104.556406603857</v>
      </c>
    </row>
    <row r="23" spans="2:5" x14ac:dyDescent="0.25">
      <c r="B23" s="3" t="s">
        <v>309</v>
      </c>
      <c r="D23" s="13">
        <f>DCF!M87/(1+DCF!$D$32)^(4+0.5-DCF!$D$35)</f>
        <v>18295.239525833622</v>
      </c>
    </row>
    <row r="24" spans="2:5" x14ac:dyDescent="0.25">
      <c r="B24" s="3" t="s">
        <v>310</v>
      </c>
      <c r="D24" s="13">
        <f>DCF!N87/(1+DCF!$D$32)^(5+0.5-DCF!$D$35)</f>
        <v>17006.782164819804</v>
      </c>
    </row>
    <row r="25" spans="2:5" x14ac:dyDescent="0.25">
      <c r="B25" s="3" t="s">
        <v>311</v>
      </c>
      <c r="D25" s="13">
        <f>DCF!O87/(1+DCF!$D$32)^(6+0.5-DCF!$D$35)</f>
        <v>15799.124256319175</v>
      </c>
    </row>
    <row r="26" spans="2:5" x14ac:dyDescent="0.25">
      <c r="B26" s="3" t="s">
        <v>312</v>
      </c>
      <c r="D26" s="13">
        <f>DCF!P87/(1+DCF!$D$32)^(7+0.5-DCF!$D$35)</f>
        <v>14665.841034409375</v>
      </c>
    </row>
    <row r="27" spans="2:5" x14ac:dyDescent="0.25">
      <c r="B27" s="3" t="s">
        <v>313</v>
      </c>
      <c r="D27" s="13">
        <f>DCF!Q87/(1+DCF!$D$32)^(8+0.5-DCF!$D$35)</f>
        <v>13602.859880543041</v>
      </c>
    </row>
    <row r="28" spans="2:5" x14ac:dyDescent="0.25">
      <c r="B28" s="3" t="s">
        <v>314</v>
      </c>
      <c r="D28" s="13">
        <f>DCF!R87/(1+DCF!$D$32)^(9+0.5-DCF!$D$35)</f>
        <v>12610.477221380155</v>
      </c>
    </row>
    <row r="29" spans="2:5" x14ac:dyDescent="0.25">
      <c r="B29" s="3" t="s">
        <v>315</v>
      </c>
      <c r="D29" s="13">
        <f>DCF!$D$108/(1+DCF!$D$32)^(9+0.5-DCF!$D$35)</f>
        <v>222771.24335232741</v>
      </c>
    </row>
    <row r="30" spans="2:5" x14ac:dyDescent="0.25">
      <c r="B30" s="3" t="s">
        <v>316</v>
      </c>
      <c r="D30" s="13">
        <f>DCF!$D$111/(1+DCF!$D$32)^(9+0.5)</f>
        <v>228032.38479831998</v>
      </c>
    </row>
    <row r="31" spans="2:5" x14ac:dyDescent="0.25">
      <c r="B31" s="4" t="s">
        <v>317</v>
      </c>
      <c r="D31" s="26">
        <f>$D$19+$D$20+$D$21+$D$22+$D$23+$D$24+$D$25+$D$26+$D$27+$D$28+$D$29</f>
        <v>382908.52262853947</v>
      </c>
    </row>
    <row r="32" spans="2:5" x14ac:dyDescent="0.25">
      <c r="B32" s="4" t="s">
        <v>318</v>
      </c>
      <c r="D32" s="26">
        <f>$D$19+$D$20+$D$21+$D$22+$D$23+$D$24+$D$25+$D$26+$D$27+$D$28+$D$30</f>
        <v>388169.66407453199</v>
      </c>
    </row>
    <row r="34" spans="2:5" x14ac:dyDescent="0.25">
      <c r="B34" s="6" t="s">
        <v>319</v>
      </c>
      <c r="C34" s="7"/>
      <c r="D34" s="7"/>
      <c r="E34" s="7"/>
    </row>
    <row r="35" spans="2:5" x14ac:dyDescent="0.25">
      <c r="B35" s="3" t="s">
        <v>320</v>
      </c>
      <c r="D35" s="24">
        <v>153660</v>
      </c>
      <c r="E35" s="5" t="s">
        <v>321</v>
      </c>
    </row>
    <row r="36" spans="2:5" x14ac:dyDescent="0.25">
      <c r="B36" s="3" t="s">
        <v>322</v>
      </c>
      <c r="D36" s="24">
        <v>33361</v>
      </c>
      <c r="E36" s="5" t="s">
        <v>323</v>
      </c>
    </row>
    <row r="37" spans="2:5" x14ac:dyDescent="0.25">
      <c r="B37" s="3" t="s">
        <v>324</v>
      </c>
      <c r="D37" s="24">
        <v>16563</v>
      </c>
      <c r="E37" s="5" t="s">
        <v>325</v>
      </c>
    </row>
    <row r="38" spans="2:5" x14ac:dyDescent="0.25">
      <c r="B38" s="3" t="s">
        <v>326</v>
      </c>
      <c r="D38" s="24">
        <v>721.7</v>
      </c>
      <c r="E38" s="5" t="s">
        <v>327</v>
      </c>
    </row>
    <row r="39" spans="2:5" x14ac:dyDescent="0.25">
      <c r="B39" s="3" t="s">
        <v>328</v>
      </c>
      <c r="D39" s="24">
        <v>25593.200000000001</v>
      </c>
      <c r="E39" s="5" t="s">
        <v>329</v>
      </c>
    </row>
    <row r="40" spans="2:5" x14ac:dyDescent="0.25">
      <c r="B40" s="3" t="s">
        <v>330</v>
      </c>
      <c r="D40" s="24">
        <v>6497.5</v>
      </c>
      <c r="E40" s="5" t="s">
        <v>331</v>
      </c>
    </row>
    <row r="41" spans="2:5" x14ac:dyDescent="0.25">
      <c r="B41" s="3" t="s">
        <v>332</v>
      </c>
      <c r="D41" s="13">
        <f>$D$31-($D$35+$D$36-$D$37)-$D$38-$D$39+$D$40</f>
        <v>192633.12262853945</v>
      </c>
    </row>
    <row r="42" spans="2:5" x14ac:dyDescent="0.25">
      <c r="B42" s="3" t="s">
        <v>333</v>
      </c>
      <c r="D42" s="13">
        <f>$D$32-($D$35+$D$36-$D$37)-$D$38-$D$39+$D$40</f>
        <v>197894.26407453197</v>
      </c>
    </row>
    <row r="43" spans="2:5" x14ac:dyDescent="0.25">
      <c r="B43" s="3" t="s">
        <v>334</v>
      </c>
      <c r="D43" s="20">
        <v>108</v>
      </c>
      <c r="E43" s="5" t="s">
        <v>335</v>
      </c>
    </row>
    <row r="44" spans="2:5" x14ac:dyDescent="0.25">
      <c r="B44" s="3" t="s">
        <v>336</v>
      </c>
      <c r="D44" s="18">
        <f>(1+DCF!$D$28)^($D$43/365)</f>
        <v>1.0358569980459436</v>
      </c>
    </row>
    <row r="45" spans="2:5" x14ac:dyDescent="0.25">
      <c r="B45" s="3" t="s">
        <v>337</v>
      </c>
      <c r="D45" s="24">
        <v>76</v>
      </c>
      <c r="E45" s="5" t="s">
        <v>338</v>
      </c>
    </row>
    <row r="46" spans="2:5" x14ac:dyDescent="0.25">
      <c r="B46" s="3" t="s">
        <v>339</v>
      </c>
      <c r="D46" s="30">
        <v>4294.9437150000003</v>
      </c>
      <c r="E46" s="5" t="s">
        <v>340</v>
      </c>
    </row>
    <row r="47" spans="2:5" x14ac:dyDescent="0.25">
      <c r="B47" s="4" t="s">
        <v>341</v>
      </c>
      <c r="D47" s="34">
        <f>($D$41*$D$44-$D$45)/$D$46</f>
        <v>46.441672200171077</v>
      </c>
    </row>
    <row r="48" spans="2:5" x14ac:dyDescent="0.25">
      <c r="B48" s="4" t="s">
        <v>342</v>
      </c>
      <c r="D48" s="34">
        <f>($D$42*$D$44-$D$45)/$D$46</f>
        <v>47.710557323277023</v>
      </c>
    </row>
    <row r="50" spans="2:5" x14ac:dyDescent="0.25">
      <c r="B50" s="6" t="s">
        <v>343</v>
      </c>
      <c r="C50" s="7"/>
      <c r="D50" s="7"/>
      <c r="E50" s="7"/>
    </row>
    <row r="51" spans="2:5" x14ac:dyDescent="0.25">
      <c r="B51" s="3" t="s">
        <v>344</v>
      </c>
      <c r="D51" s="14">
        <f>DCF!$D$138</f>
        <v>46.144021672337104</v>
      </c>
    </row>
    <row r="52" spans="2:5" x14ac:dyDescent="0.25">
      <c r="B52" s="3" t="s">
        <v>345</v>
      </c>
      <c r="D52" s="14">
        <f>$D$47</f>
        <v>46.441672200171077</v>
      </c>
    </row>
    <row r="53" spans="2:5" x14ac:dyDescent="0.25">
      <c r="B53" s="3" t="s">
        <v>346</v>
      </c>
      <c r="D53" s="14">
        <f>$D$47-DCF!$D$138</f>
        <v>0.29765052783397294</v>
      </c>
    </row>
    <row r="54" spans="2:5" x14ac:dyDescent="0.25">
      <c r="B54" s="3" t="s">
        <v>347</v>
      </c>
      <c r="D54" s="10">
        <f>$D$47/DCF!$D$138-1</f>
        <v>6.4504678406132054E-3</v>
      </c>
    </row>
    <row r="55" spans="2:5" x14ac:dyDescent="0.25">
      <c r="B55" s="3" t="s">
        <v>348</v>
      </c>
      <c r="D55" s="14">
        <f>DCF!$D$145</f>
        <v>47.421920601329589</v>
      </c>
    </row>
    <row r="56" spans="2:5" x14ac:dyDescent="0.25">
      <c r="B56" s="3" t="s">
        <v>349</v>
      </c>
      <c r="D56" s="14">
        <f>$D$48</f>
        <v>47.710557323277023</v>
      </c>
    </row>
    <row r="57" spans="2:5" x14ac:dyDescent="0.25">
      <c r="B57" s="3" t="s">
        <v>350</v>
      </c>
      <c r="D57" s="10">
        <f>$D$48/DCF!$D$145-1</f>
        <v>6.0865675258909846E-3</v>
      </c>
    </row>
    <row r="58" spans="2:5" x14ac:dyDescent="0.25">
      <c r="B58" s="32" t="s">
        <v>351</v>
      </c>
      <c r="C58" s="33"/>
      <c r="D58" s="33"/>
      <c r="E58" s="33"/>
    </row>
    <row r="59" spans="2:5" x14ac:dyDescent="0.25">
      <c r="B59" s="5" t="s">
        <v>352</v>
      </c>
    </row>
    <row r="60" spans="2:5" x14ac:dyDescent="0.25">
      <c r="B60" s="5" t="s">
        <v>353</v>
      </c>
    </row>
    <row r="61" spans="2:5" x14ac:dyDescent="0.25">
      <c r="B61" s="5" t="s">
        <v>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58"/>
  <sheetViews>
    <sheetView showGridLines="0" workbookViewId="0"/>
  </sheetViews>
  <sheetFormatPr defaultRowHeight="15" x14ac:dyDescent="0.25"/>
  <cols>
    <col min="2" max="2" width="52" customWidth="1"/>
    <col min="3" max="6" width="16" customWidth="1"/>
    <col min="7" max="7" width="10" customWidth="1"/>
  </cols>
  <sheetData>
    <row r="2" spans="2:11" ht="18.75" x14ac:dyDescent="0.3">
      <c r="B2" s="1" t="s">
        <v>355</v>
      </c>
    </row>
    <row r="3" spans="2:11" x14ac:dyDescent="0.25">
      <c r="B3" s="2" t="s">
        <v>356</v>
      </c>
    </row>
    <row r="5" spans="2:11" x14ac:dyDescent="0.25">
      <c r="B5" s="6" t="s">
        <v>357</v>
      </c>
      <c r="C5" s="6"/>
      <c r="D5" s="6" t="s">
        <v>358</v>
      </c>
      <c r="E5" s="6" t="s">
        <v>359</v>
      </c>
      <c r="F5" s="6" t="s">
        <v>360</v>
      </c>
      <c r="G5" s="6" t="s">
        <v>361</v>
      </c>
      <c r="H5" s="6" t="s">
        <v>362</v>
      </c>
      <c r="I5" s="6" t="s">
        <v>363</v>
      </c>
      <c r="J5" s="6" t="s">
        <v>364</v>
      </c>
      <c r="K5" s="6" t="s">
        <v>365</v>
      </c>
    </row>
    <row r="6" spans="2:11" x14ac:dyDescent="0.25">
      <c r="B6" s="3" t="s">
        <v>50</v>
      </c>
      <c r="D6" s="15">
        <v>0.10151300000000001</v>
      </c>
      <c r="E6" s="36">
        <f>DCF!$D$32</f>
        <v>0.10151310378062073</v>
      </c>
      <c r="F6" s="11">
        <f t="shared" ref="F6:F35" si="0">IFERROR(E6-D6,"n.a.")</f>
        <v>1.0378062072213812E-7</v>
      </c>
      <c r="G6" s="38">
        <f t="shared" ref="G6:G35" si="1">IFERROR(IF(D6=0,E6-D6,E6/D6-1),"n.a.")</f>
        <v>1.0223382298502059E-6</v>
      </c>
      <c r="H6" s="39" t="str">
        <f t="shared" ref="H6:H35" si="2">IFERROR(IF(OR(ABS(G6)&lt;0.000001,ABS(F6)&lt;=0.0000005),"OK","CHECK"),"CHECK")</f>
        <v>OK</v>
      </c>
      <c r="I6" s="15">
        <v>0.1015131037806207</v>
      </c>
      <c r="J6" s="38">
        <f t="shared" ref="J6:J53" si="3">IFERROR(IF(I6=0,E6-I6,E6/I6-1),"n.a.")</f>
        <v>2.2204460492503131E-16</v>
      </c>
      <c r="K6" s="39" t="str">
        <f t="shared" ref="K6:K53" si="4">IFERROR(IF(ABS(J6)&lt;0.000001,"OK","CHECK"),"CHECK")</f>
        <v>OK</v>
      </c>
    </row>
    <row r="7" spans="2:11" x14ac:dyDescent="0.25">
      <c r="B7" s="3" t="s">
        <v>366</v>
      </c>
      <c r="D7" s="24">
        <v>381149.83024899999</v>
      </c>
      <c r="E7" s="35">
        <f>DCF!$D$110</f>
        <v>381149.83024901495</v>
      </c>
      <c r="F7" s="13">
        <f t="shared" si="0"/>
        <v>1.4959368854761124E-8</v>
      </c>
      <c r="G7" s="38">
        <f t="shared" si="1"/>
        <v>3.9301895071730542E-14</v>
      </c>
      <c r="H7" s="39" t="str">
        <f t="shared" si="2"/>
        <v>OK</v>
      </c>
      <c r="I7" s="24">
        <v>381149.83024901501</v>
      </c>
      <c r="J7" s="38">
        <f t="shared" si="3"/>
        <v>-1.1102230246251565E-16</v>
      </c>
      <c r="K7" s="39" t="str">
        <f t="shared" si="4"/>
        <v>OK</v>
      </c>
    </row>
    <row r="8" spans="2:11" x14ac:dyDescent="0.25">
      <c r="B8" s="3" t="s">
        <v>367</v>
      </c>
      <c r="D8" s="24">
        <v>386162.68526599999</v>
      </c>
      <c r="E8" s="35">
        <f>DCF!$D$113</f>
        <v>386162.68526572757</v>
      </c>
      <c r="F8" s="13">
        <f t="shared" si="0"/>
        <v>-2.7241185307502747E-7</v>
      </c>
      <c r="G8" s="38">
        <f t="shared" si="1"/>
        <v>-7.0543570984682447E-13</v>
      </c>
      <c r="H8" s="39" t="str">
        <f t="shared" si="2"/>
        <v>OK</v>
      </c>
      <c r="I8" s="24">
        <v>386162.68526572757</v>
      </c>
      <c r="J8" s="38">
        <f t="shared" si="3"/>
        <v>0</v>
      </c>
      <c r="K8" s="39" t="str">
        <f t="shared" si="4"/>
        <v>OK</v>
      </c>
    </row>
    <row r="9" spans="2:11" x14ac:dyDescent="0.25">
      <c r="B9" s="3" t="s">
        <v>368</v>
      </c>
      <c r="D9" s="31">
        <v>46.144022</v>
      </c>
      <c r="E9" s="40">
        <f>DCF!$D$138</f>
        <v>46.144021672337104</v>
      </c>
      <c r="F9" s="14">
        <f t="shared" si="0"/>
        <v>-3.2766289592700559E-7</v>
      </c>
      <c r="G9" s="38">
        <f t="shared" si="1"/>
        <v>-7.1008742219547116E-9</v>
      </c>
      <c r="H9" s="39" t="str">
        <f t="shared" si="2"/>
        <v>OK</v>
      </c>
      <c r="I9" s="31">
        <v>46.144021672337118</v>
      </c>
      <c r="J9" s="38">
        <f t="shared" si="3"/>
        <v>-3.3306690738754696E-16</v>
      </c>
      <c r="K9" s="39" t="str">
        <f t="shared" si="4"/>
        <v>OK</v>
      </c>
    </row>
    <row r="10" spans="2:11" x14ac:dyDescent="0.25">
      <c r="B10" s="3" t="s">
        <v>369</v>
      </c>
      <c r="D10" s="31">
        <v>47.421920999999998</v>
      </c>
      <c r="E10" s="40">
        <f>DCF!$D$145</f>
        <v>47.421920601329589</v>
      </c>
      <c r="F10" s="14">
        <f t="shared" si="0"/>
        <v>-3.9867040868557524E-7</v>
      </c>
      <c r="G10" s="38">
        <f t="shared" si="1"/>
        <v>-8.4068801919912062E-9</v>
      </c>
      <c r="H10" s="39" t="str">
        <f t="shared" si="2"/>
        <v>OK</v>
      </c>
      <c r="I10" s="31">
        <v>47.421920601329589</v>
      </c>
      <c r="J10" s="38">
        <f t="shared" si="3"/>
        <v>0</v>
      </c>
      <c r="K10" s="39" t="str">
        <f t="shared" si="4"/>
        <v>OK</v>
      </c>
    </row>
    <row r="11" spans="2:11" x14ac:dyDescent="0.25">
      <c r="B11" s="3" t="s">
        <v>370</v>
      </c>
      <c r="D11" s="31">
        <v>50.797086</v>
      </c>
      <c r="E11" s="40">
        <f>DCF!$D$140</f>
        <v>50.797085899490192</v>
      </c>
      <c r="F11" s="14">
        <f t="shared" si="0"/>
        <v>-1.0050980847609026E-7</v>
      </c>
      <c r="G11" s="38">
        <f t="shared" si="1"/>
        <v>-1.9786530192078544E-9</v>
      </c>
      <c r="H11" s="39" t="str">
        <f t="shared" si="2"/>
        <v>OK</v>
      </c>
      <c r="I11" s="31">
        <v>50.797085899490213</v>
      </c>
      <c r="J11" s="38">
        <f t="shared" si="3"/>
        <v>-4.4408920985006262E-16</v>
      </c>
      <c r="K11" s="39" t="str">
        <f t="shared" si="4"/>
        <v>OK</v>
      </c>
    </row>
    <row r="12" spans="2:11" x14ac:dyDescent="0.25">
      <c r="B12" s="3" t="s">
        <v>371</v>
      </c>
      <c r="D12" s="21">
        <v>5.8615690000000003</v>
      </c>
      <c r="E12" s="41">
        <f>DCF!$D$156</f>
        <v>5.8615685719207198</v>
      </c>
      <c r="F12" s="12">
        <f t="shared" si="0"/>
        <v>-4.2807928046784127E-7</v>
      </c>
      <c r="G12" s="38">
        <f t="shared" si="1"/>
        <v>-7.3031517722199624E-8</v>
      </c>
      <c r="H12" s="39" t="str">
        <f t="shared" si="2"/>
        <v>OK</v>
      </c>
      <c r="I12" s="21">
        <v>5.8615685719207207</v>
      </c>
      <c r="J12" s="38">
        <f t="shared" si="3"/>
        <v>-1.1102230246251565E-16</v>
      </c>
      <c r="K12" s="39" t="str">
        <f t="shared" si="4"/>
        <v>OK</v>
      </c>
    </row>
    <row r="13" spans="2:11" x14ac:dyDescent="0.25">
      <c r="B13" s="3" t="s">
        <v>372</v>
      </c>
      <c r="D13" s="15">
        <v>4.3790000000000003E-2</v>
      </c>
      <c r="E13" s="36">
        <f>DCF!$D$157</f>
        <v>4.379019528587335E-2</v>
      </c>
      <c r="F13" s="11">
        <f t="shared" si="0"/>
        <v>1.9528587334727288E-7</v>
      </c>
      <c r="G13" s="38">
        <f t="shared" si="1"/>
        <v>4.4595997568119827E-6</v>
      </c>
      <c r="H13" s="39" t="str">
        <f t="shared" si="2"/>
        <v>OK</v>
      </c>
      <c r="I13" s="15">
        <v>4.3790195285873343E-2</v>
      </c>
      <c r="J13" s="38">
        <f t="shared" si="3"/>
        <v>2.2204460492503131E-16</v>
      </c>
      <c r="K13" s="39" t="str">
        <f t="shared" si="4"/>
        <v>OK</v>
      </c>
    </row>
    <row r="14" spans="2:11" x14ac:dyDescent="0.25">
      <c r="B14" s="3" t="s">
        <v>373</v>
      </c>
      <c r="D14" s="15">
        <v>5.3057E-2</v>
      </c>
      <c r="E14" s="36">
        <f>Reverse_DCF!$D$9</f>
        <v>5.3056931176817028E-2</v>
      </c>
      <c r="F14" s="11">
        <f t="shared" si="0"/>
        <v>-6.8823182972077568E-8</v>
      </c>
      <c r="G14" s="38">
        <f t="shared" si="1"/>
        <v>-1.2971555679586189E-6</v>
      </c>
      <c r="H14" s="39" t="str">
        <f t="shared" si="2"/>
        <v>OK</v>
      </c>
      <c r="I14" s="15">
        <v>5.3056931176817028E-2</v>
      </c>
      <c r="J14" s="38">
        <f t="shared" si="3"/>
        <v>0</v>
      </c>
      <c r="K14" s="39" t="str">
        <f t="shared" si="4"/>
        <v>OK</v>
      </c>
    </row>
    <row r="15" spans="2:11" x14ac:dyDescent="0.25">
      <c r="B15" s="3" t="s">
        <v>374</v>
      </c>
      <c r="D15" s="17">
        <v>0.55688899999999997</v>
      </c>
      <c r="E15" s="37">
        <f>DCF!$D$114</f>
        <v>0.55688890329820706</v>
      </c>
      <c r="F15" s="10">
        <f t="shared" si="0"/>
        <v>-9.6701792906550565E-8</v>
      </c>
      <c r="G15" s="38">
        <f t="shared" si="1"/>
        <v>-1.7364644100403837E-7</v>
      </c>
      <c r="H15" s="39" t="str">
        <f t="shared" si="2"/>
        <v>OK</v>
      </c>
      <c r="I15" s="17">
        <v>0.55688890329820717</v>
      </c>
      <c r="J15" s="38">
        <f t="shared" si="3"/>
        <v>-2.2204460492503131E-16</v>
      </c>
      <c r="K15" s="39" t="str">
        <f t="shared" si="4"/>
        <v>OK</v>
      </c>
    </row>
    <row r="16" spans="2:11" x14ac:dyDescent="0.25">
      <c r="B16" s="3" t="s">
        <v>375</v>
      </c>
      <c r="D16" s="24">
        <v>24113.736765000001</v>
      </c>
      <c r="E16" s="35">
        <f>DCF!I87</f>
        <v>24113.736765238336</v>
      </c>
      <c r="F16" s="13">
        <f t="shared" si="0"/>
        <v>2.3833490558899939E-7</v>
      </c>
      <c r="G16" s="38">
        <f t="shared" si="1"/>
        <v>9.8838714990279186E-12</v>
      </c>
      <c r="H16" s="39" t="str">
        <f t="shared" si="2"/>
        <v>OK</v>
      </c>
      <c r="I16" s="24">
        <v>24113.73676523834</v>
      </c>
      <c r="J16" s="38">
        <f t="shared" si="3"/>
        <v>-1.1102230246251565E-16</v>
      </c>
      <c r="K16" s="39" t="str">
        <f t="shared" si="4"/>
        <v>OK</v>
      </c>
    </row>
    <row r="17" spans="2:11" x14ac:dyDescent="0.25">
      <c r="B17" s="3" t="s">
        <v>376</v>
      </c>
      <c r="D17" s="24">
        <v>23813.919665000001</v>
      </c>
      <c r="E17" s="35">
        <f>DCF!J87</f>
        <v>23813.919665229445</v>
      </c>
      <c r="F17" s="13">
        <f t="shared" si="0"/>
        <v>2.2944368538446724E-7</v>
      </c>
      <c r="G17" s="38">
        <f t="shared" si="1"/>
        <v>9.6349594969069585E-12</v>
      </c>
      <c r="H17" s="39" t="str">
        <f t="shared" si="2"/>
        <v>OK</v>
      </c>
      <c r="I17" s="24">
        <v>23813.919665229441</v>
      </c>
      <c r="J17" s="38">
        <f t="shared" si="3"/>
        <v>2.2204460492503131E-16</v>
      </c>
      <c r="K17" s="39" t="str">
        <f t="shared" si="4"/>
        <v>OK</v>
      </c>
    </row>
    <row r="18" spans="2:11" x14ac:dyDescent="0.25">
      <c r="B18" s="3" t="s">
        <v>377</v>
      </c>
      <c r="D18" s="24">
        <v>24799.298942000001</v>
      </c>
      <c r="E18" s="35">
        <f>DCF!K87</f>
        <v>24799.298941567155</v>
      </c>
      <c r="F18" s="13">
        <f t="shared" si="0"/>
        <v>-4.3284671846777201E-7</v>
      </c>
      <c r="G18" s="38">
        <f t="shared" si="1"/>
        <v>-1.7454038214737011E-11</v>
      </c>
      <c r="H18" s="39" t="str">
        <f t="shared" si="2"/>
        <v>OK</v>
      </c>
      <c r="I18" s="24">
        <v>24799.298941567162</v>
      </c>
      <c r="J18" s="38">
        <f t="shared" si="3"/>
        <v>-3.3306690738754696E-16</v>
      </c>
      <c r="K18" s="39" t="str">
        <f t="shared" si="4"/>
        <v>OK</v>
      </c>
    </row>
    <row r="19" spans="2:11" x14ac:dyDescent="0.25">
      <c r="B19" s="3" t="s">
        <v>378</v>
      </c>
      <c r="D19" s="24">
        <v>25533.242034999999</v>
      </c>
      <c r="E19" s="35">
        <f>DCF!L87</f>
        <v>25533.242034702984</v>
      </c>
      <c r="F19" s="13">
        <f t="shared" si="0"/>
        <v>-2.9701550374738872E-7</v>
      </c>
      <c r="G19" s="38">
        <f t="shared" si="1"/>
        <v>-1.163247276281254E-11</v>
      </c>
      <c r="H19" s="39" t="str">
        <f t="shared" si="2"/>
        <v>OK</v>
      </c>
      <c r="I19" s="24">
        <v>25533.24203470298</v>
      </c>
      <c r="J19" s="38">
        <f t="shared" si="3"/>
        <v>2.2204460492503131E-16</v>
      </c>
      <c r="K19" s="39" t="str">
        <f t="shared" si="4"/>
        <v>OK</v>
      </c>
    </row>
    <row r="20" spans="2:11" x14ac:dyDescent="0.25">
      <c r="B20" s="3" t="s">
        <v>379</v>
      </c>
      <c r="D20" s="24">
        <v>26933.746706999998</v>
      </c>
      <c r="E20" s="35">
        <f>DCF!M87</f>
        <v>26933.746707351962</v>
      </c>
      <c r="F20" s="13">
        <f t="shared" si="0"/>
        <v>3.5196353564970195E-7</v>
      </c>
      <c r="G20" s="38">
        <f t="shared" si="1"/>
        <v>1.3067769089047943E-11</v>
      </c>
      <c r="H20" s="39" t="str">
        <f t="shared" si="2"/>
        <v>OK</v>
      </c>
      <c r="I20" s="24">
        <v>26933.746707351958</v>
      </c>
      <c r="J20" s="38">
        <f t="shared" si="3"/>
        <v>2.2204460492503131E-16</v>
      </c>
      <c r="K20" s="39" t="str">
        <f t="shared" si="4"/>
        <v>OK</v>
      </c>
    </row>
    <row r="21" spans="2:11" x14ac:dyDescent="0.25">
      <c r="B21" s="3" t="s">
        <v>380</v>
      </c>
      <c r="D21" s="24">
        <v>27578.490324999999</v>
      </c>
      <c r="E21" s="35">
        <f>DCF!N87</f>
        <v>27578.49032531921</v>
      </c>
      <c r="F21" s="13">
        <f t="shared" si="0"/>
        <v>3.1921081244945526E-7</v>
      </c>
      <c r="G21" s="38">
        <f t="shared" si="1"/>
        <v>1.1574519120927107E-11</v>
      </c>
      <c r="H21" s="39" t="str">
        <f t="shared" si="2"/>
        <v>OK</v>
      </c>
      <c r="I21" s="24">
        <v>27578.490325319221</v>
      </c>
      <c r="J21" s="38">
        <f t="shared" si="3"/>
        <v>-4.4408920985006262E-16</v>
      </c>
      <c r="K21" s="39" t="str">
        <f t="shared" si="4"/>
        <v>OK</v>
      </c>
    </row>
    <row r="22" spans="2:11" x14ac:dyDescent="0.25">
      <c r="B22" s="3" t="s">
        <v>381</v>
      </c>
      <c r="D22" s="24">
        <v>28220.910567999999</v>
      </c>
      <c r="E22" s="35">
        <f>DCF!O87</f>
        <v>28220.910567630337</v>
      </c>
      <c r="F22" s="13">
        <f t="shared" si="0"/>
        <v>-3.6966230254620314E-7</v>
      </c>
      <c r="G22" s="38">
        <f t="shared" si="1"/>
        <v>-1.3098855333737447E-11</v>
      </c>
      <c r="H22" s="39" t="str">
        <f t="shared" si="2"/>
        <v>OK</v>
      </c>
      <c r="I22" s="24">
        <v>28220.91056763033</v>
      </c>
      <c r="J22" s="38">
        <f t="shared" si="3"/>
        <v>2.2204460492503131E-16</v>
      </c>
      <c r="K22" s="39" t="str">
        <f t="shared" si="4"/>
        <v>OK</v>
      </c>
    </row>
    <row r="23" spans="2:11" x14ac:dyDescent="0.25">
      <c r="B23" s="3" t="s">
        <v>382</v>
      </c>
      <c r="D23" s="24">
        <v>28855.901642000001</v>
      </c>
      <c r="E23" s="35">
        <f>DCF!P87</f>
        <v>28855.901642231111</v>
      </c>
      <c r="F23" s="13">
        <f t="shared" si="0"/>
        <v>2.3110987967811525E-7</v>
      </c>
      <c r="G23" s="38">
        <f t="shared" si="1"/>
        <v>8.0091488996458793E-12</v>
      </c>
      <c r="H23" s="39" t="str">
        <f t="shared" si="2"/>
        <v>OK</v>
      </c>
      <c r="I23" s="24">
        <v>28855.901642231122</v>
      </c>
      <c r="J23" s="38">
        <f t="shared" si="3"/>
        <v>-3.3306690738754696E-16</v>
      </c>
      <c r="K23" s="39" t="str">
        <f t="shared" si="4"/>
        <v>OK</v>
      </c>
    </row>
    <row r="24" spans="2:11" x14ac:dyDescent="0.25">
      <c r="B24" s="3" t="s">
        <v>383</v>
      </c>
      <c r="D24" s="24">
        <v>29481.363676000001</v>
      </c>
      <c r="E24" s="35">
        <f>DCF!Q87</f>
        <v>29481.363676368914</v>
      </c>
      <c r="F24" s="13">
        <f t="shared" si="0"/>
        <v>3.6891287891194224E-7</v>
      </c>
      <c r="G24" s="38">
        <f t="shared" si="1"/>
        <v>1.2513323710550139E-11</v>
      </c>
      <c r="H24" s="39" t="str">
        <f t="shared" si="2"/>
        <v>OK</v>
      </c>
      <c r="I24" s="24">
        <v>29481.36367636891</v>
      </c>
      <c r="J24" s="38">
        <f t="shared" si="3"/>
        <v>2.2204460492503131E-16</v>
      </c>
      <c r="K24" s="39" t="str">
        <f t="shared" si="4"/>
        <v>OK</v>
      </c>
    </row>
    <row r="25" spans="2:11" x14ac:dyDescent="0.25">
      <c r="B25" s="3" t="s">
        <v>384</v>
      </c>
      <c r="D25" s="24">
        <v>30104.993211000001</v>
      </c>
      <c r="E25" s="35">
        <f>DCF!R87</f>
        <v>30104.993210645887</v>
      </c>
      <c r="F25" s="13">
        <f t="shared" si="0"/>
        <v>-3.5411358112469316E-7</v>
      </c>
      <c r="G25" s="38">
        <f t="shared" si="1"/>
        <v>-1.1762590901298609E-11</v>
      </c>
      <c r="H25" s="39" t="str">
        <f t="shared" si="2"/>
        <v>OK</v>
      </c>
      <c r="I25" s="24">
        <v>30104.993210645891</v>
      </c>
      <c r="J25" s="38">
        <f t="shared" si="3"/>
        <v>-1.1102230246251565E-16</v>
      </c>
      <c r="K25" s="39" t="str">
        <f t="shared" si="4"/>
        <v>OK</v>
      </c>
    </row>
    <row r="26" spans="2:11" x14ac:dyDescent="0.25">
      <c r="B26" s="3" t="s">
        <v>385</v>
      </c>
      <c r="D26" s="24">
        <v>62251.943963999998</v>
      </c>
      <c r="E26" s="35">
        <f>DCF!I78</f>
        <v>62251.943963999976</v>
      </c>
      <c r="F26" s="13">
        <f t="shared" si="0"/>
        <v>-2.1827872842550278E-11</v>
      </c>
      <c r="G26" s="38">
        <f t="shared" si="1"/>
        <v>-3.3306690738754696E-16</v>
      </c>
      <c r="H26" s="39" t="str">
        <f t="shared" si="2"/>
        <v>OK</v>
      </c>
      <c r="I26" s="24">
        <v>62251.943963999976</v>
      </c>
      <c r="J26" s="38">
        <f t="shared" si="3"/>
        <v>0</v>
      </c>
      <c r="K26" s="39" t="str">
        <f t="shared" si="4"/>
        <v>OK</v>
      </c>
    </row>
    <row r="27" spans="2:11" x14ac:dyDescent="0.25">
      <c r="B27" s="3" t="s">
        <v>386</v>
      </c>
      <c r="D27" s="24">
        <v>64193.436604000002</v>
      </c>
      <c r="E27" s="35">
        <f>DCF!J78</f>
        <v>64193.436604050003</v>
      </c>
      <c r="F27" s="13">
        <f t="shared" si="0"/>
        <v>5.0000380724668503E-8</v>
      </c>
      <c r="G27" s="38">
        <f t="shared" si="1"/>
        <v>7.7893247407700983E-13</v>
      </c>
      <c r="H27" s="39" t="str">
        <f t="shared" si="2"/>
        <v>OK</v>
      </c>
      <c r="I27" s="24">
        <v>64193.436604050003</v>
      </c>
      <c r="J27" s="38">
        <f t="shared" si="3"/>
        <v>0</v>
      </c>
      <c r="K27" s="39" t="str">
        <f t="shared" si="4"/>
        <v>OK</v>
      </c>
    </row>
    <row r="28" spans="2:11" x14ac:dyDescent="0.25">
      <c r="B28" s="3" t="s">
        <v>387</v>
      </c>
      <c r="D28" s="24">
        <v>68870.759183000002</v>
      </c>
      <c r="E28" s="35">
        <f>DCF!K78</f>
        <v>68870.759183154136</v>
      </c>
      <c r="F28" s="13">
        <f t="shared" si="0"/>
        <v>1.5413388609886169E-7</v>
      </c>
      <c r="G28" s="38">
        <f t="shared" si="1"/>
        <v>2.2379875730393906E-12</v>
      </c>
      <c r="H28" s="39" t="str">
        <f t="shared" si="2"/>
        <v>OK</v>
      </c>
      <c r="I28" s="24">
        <v>68870.759183154136</v>
      </c>
      <c r="J28" s="38">
        <f t="shared" si="3"/>
        <v>0</v>
      </c>
      <c r="K28" s="39" t="str">
        <f t="shared" si="4"/>
        <v>OK</v>
      </c>
    </row>
    <row r="29" spans="2:11" x14ac:dyDescent="0.25">
      <c r="B29" s="3" t="s">
        <v>388</v>
      </c>
      <c r="D29" s="24">
        <v>72881.112309000004</v>
      </c>
      <c r="E29" s="35">
        <f>DCF!L78</f>
        <v>72881.112308954253</v>
      </c>
      <c r="F29" s="13">
        <f t="shared" si="0"/>
        <v>-4.5751221477985382E-8</v>
      </c>
      <c r="G29" s="38">
        <f t="shared" si="1"/>
        <v>-6.2772009812306351E-13</v>
      </c>
      <c r="H29" s="39" t="str">
        <f t="shared" si="2"/>
        <v>OK</v>
      </c>
      <c r="I29" s="24">
        <v>72881.112308954253</v>
      </c>
      <c r="J29" s="38">
        <f t="shared" si="3"/>
        <v>0</v>
      </c>
      <c r="K29" s="39" t="str">
        <f t="shared" si="4"/>
        <v>OK</v>
      </c>
    </row>
    <row r="30" spans="2:11" x14ac:dyDescent="0.25">
      <c r="B30" s="3" t="s">
        <v>389</v>
      </c>
      <c r="D30" s="24">
        <v>77122.733659999998</v>
      </c>
      <c r="E30" s="35">
        <f>DCF!M78</f>
        <v>77122.733660174548</v>
      </c>
      <c r="F30" s="13">
        <f t="shared" si="0"/>
        <v>1.7455022316426039E-7</v>
      </c>
      <c r="G30" s="38">
        <f t="shared" si="1"/>
        <v>2.2633006580008441E-12</v>
      </c>
      <c r="H30" s="39" t="str">
        <f t="shared" si="2"/>
        <v>OK</v>
      </c>
      <c r="I30" s="24">
        <v>77122.733660174548</v>
      </c>
      <c r="J30" s="38">
        <f t="shared" si="3"/>
        <v>0</v>
      </c>
      <c r="K30" s="39" t="str">
        <f t="shared" si="4"/>
        <v>OK</v>
      </c>
    </row>
    <row r="31" spans="2:11" x14ac:dyDescent="0.25">
      <c r="B31" s="3" t="s">
        <v>390</v>
      </c>
      <c r="D31" s="24">
        <v>80501.797827999995</v>
      </c>
      <c r="E31" s="35">
        <f>DCF!N78</f>
        <v>80501.797828081937</v>
      </c>
      <c r="F31" s="13">
        <f t="shared" si="0"/>
        <v>8.1941834650933743E-8</v>
      </c>
      <c r="G31" s="38">
        <f t="shared" si="1"/>
        <v>1.0178524689763435E-12</v>
      </c>
      <c r="H31" s="39" t="str">
        <f t="shared" si="2"/>
        <v>OK</v>
      </c>
      <c r="I31" s="24">
        <v>80501.797828081937</v>
      </c>
      <c r="J31" s="38">
        <f t="shared" si="3"/>
        <v>0</v>
      </c>
      <c r="K31" s="39" t="str">
        <f t="shared" si="4"/>
        <v>OK</v>
      </c>
    </row>
    <row r="32" spans="2:11" x14ac:dyDescent="0.25">
      <c r="B32" s="3" t="s">
        <v>391</v>
      </c>
      <c r="D32" s="24">
        <v>83998.641201999999</v>
      </c>
      <c r="E32" s="35">
        <f>DCF!O78</f>
        <v>83998.641201913095</v>
      </c>
      <c r="F32" s="13">
        <f t="shared" si="0"/>
        <v>-8.6904037743806839E-8</v>
      </c>
      <c r="G32" s="38">
        <f t="shared" si="1"/>
        <v>-1.0346168366481834E-12</v>
      </c>
      <c r="H32" s="39" t="str">
        <f t="shared" si="2"/>
        <v>OK</v>
      </c>
      <c r="I32" s="24">
        <v>83998.641201913095</v>
      </c>
      <c r="J32" s="38">
        <f t="shared" si="3"/>
        <v>0</v>
      </c>
      <c r="K32" s="39" t="str">
        <f t="shared" si="4"/>
        <v>OK</v>
      </c>
    </row>
    <row r="33" spans="2:11" x14ac:dyDescent="0.25">
      <c r="B33" s="3" t="s">
        <v>392</v>
      </c>
      <c r="D33" s="24">
        <v>87614.335474000007</v>
      </c>
      <c r="E33" s="35">
        <f>DCF!P78</f>
        <v>87614.335474272753</v>
      </c>
      <c r="F33" s="13">
        <f t="shared" si="0"/>
        <v>2.727465471252799E-7</v>
      </c>
      <c r="G33" s="38">
        <f t="shared" si="1"/>
        <v>3.1130653610489389E-12</v>
      </c>
      <c r="H33" s="39" t="str">
        <f t="shared" si="2"/>
        <v>OK</v>
      </c>
      <c r="I33" s="24">
        <v>87614.335474272753</v>
      </c>
      <c r="J33" s="38">
        <f t="shared" si="3"/>
        <v>0</v>
      </c>
      <c r="K33" s="39" t="str">
        <f t="shared" si="4"/>
        <v>OK</v>
      </c>
    </row>
    <row r="34" spans="2:11" x14ac:dyDescent="0.25">
      <c r="B34" s="3" t="s">
        <v>393</v>
      </c>
      <c r="D34" s="24">
        <v>91349.756494999994</v>
      </c>
      <c r="E34" s="35">
        <f>DCF!Q78</f>
        <v>91349.756495052628</v>
      </c>
      <c r="F34" s="13">
        <f t="shared" si="0"/>
        <v>5.2634277381002903E-8</v>
      </c>
      <c r="G34" s="38">
        <f t="shared" si="1"/>
        <v>5.7620574978045624E-13</v>
      </c>
      <c r="H34" s="39" t="str">
        <f t="shared" si="2"/>
        <v>OK</v>
      </c>
      <c r="I34" s="24">
        <v>91349.756495052628</v>
      </c>
      <c r="J34" s="38">
        <f t="shared" si="3"/>
        <v>0</v>
      </c>
      <c r="K34" s="39" t="str">
        <f t="shared" si="4"/>
        <v>OK</v>
      </c>
    </row>
    <row r="35" spans="2:11" x14ac:dyDescent="0.25">
      <c r="B35" s="3" t="s">
        <v>394</v>
      </c>
      <c r="D35" s="24">
        <v>95224.154316999993</v>
      </c>
      <c r="E35" s="35">
        <f>DCF!R78</f>
        <v>95224.154316985368</v>
      </c>
      <c r="F35" s="13">
        <f t="shared" si="0"/>
        <v>-1.4624674804508686E-8</v>
      </c>
      <c r="G35" s="38">
        <f t="shared" si="1"/>
        <v>-1.5354384430565915E-13</v>
      </c>
      <c r="H35" s="39" t="str">
        <f t="shared" si="2"/>
        <v>OK</v>
      </c>
      <c r="I35" s="24">
        <v>95224.154316985368</v>
      </c>
      <c r="J35" s="38">
        <f t="shared" si="3"/>
        <v>0</v>
      </c>
      <c r="K35" s="39" t="str">
        <f t="shared" si="4"/>
        <v>OK</v>
      </c>
    </row>
    <row r="36" spans="2:11" x14ac:dyDescent="0.25">
      <c r="B36" s="3" t="s">
        <v>395</v>
      </c>
      <c r="D36" s="3" t="s">
        <v>396</v>
      </c>
      <c r="E36" s="42">
        <f>DCF!I103</f>
        <v>0.95280749779706331</v>
      </c>
      <c r="H36" s="3" t="s">
        <v>397</v>
      </c>
      <c r="I36" s="43">
        <v>0.95280749779706331</v>
      </c>
      <c r="J36" s="38">
        <f t="shared" si="3"/>
        <v>0</v>
      </c>
      <c r="K36" s="39" t="str">
        <f t="shared" si="4"/>
        <v>OK</v>
      </c>
    </row>
    <row r="37" spans="2:11" x14ac:dyDescent="0.25">
      <c r="B37" s="3" t="s">
        <v>398</v>
      </c>
      <c r="D37" s="3" t="s">
        <v>396</v>
      </c>
      <c r="E37" s="42">
        <f>DCF!J103</f>
        <v>0.86499878623942905</v>
      </c>
      <c r="H37" s="3" t="s">
        <v>397</v>
      </c>
      <c r="I37" s="43">
        <v>0.86499878623942905</v>
      </c>
      <c r="J37" s="38">
        <f t="shared" si="3"/>
        <v>0</v>
      </c>
      <c r="K37" s="39" t="str">
        <f t="shared" si="4"/>
        <v>OK</v>
      </c>
    </row>
    <row r="38" spans="2:11" x14ac:dyDescent="0.25">
      <c r="B38" s="3" t="s">
        <v>399</v>
      </c>
      <c r="D38" s="3" t="s">
        <v>396</v>
      </c>
      <c r="E38" s="42">
        <f>DCF!K103</f>
        <v>0.78528233869445074</v>
      </c>
      <c r="H38" s="3" t="s">
        <v>397</v>
      </c>
      <c r="I38" s="43">
        <v>0.78528233869445074</v>
      </c>
      <c r="J38" s="38">
        <f t="shared" si="3"/>
        <v>0</v>
      </c>
      <c r="K38" s="39" t="str">
        <f t="shared" si="4"/>
        <v>OK</v>
      </c>
    </row>
    <row r="39" spans="2:11" x14ac:dyDescent="0.25">
      <c r="B39" s="3" t="s">
        <v>400</v>
      </c>
      <c r="D39" s="3" t="s">
        <v>396</v>
      </c>
      <c r="E39" s="42">
        <f>DCF!L103</f>
        <v>0.71291238932991308</v>
      </c>
      <c r="H39" s="3" t="s">
        <v>397</v>
      </c>
      <c r="I39" s="43">
        <v>0.71291238932991308</v>
      </c>
      <c r="J39" s="38">
        <f t="shared" si="3"/>
        <v>0</v>
      </c>
      <c r="K39" s="39" t="str">
        <f t="shared" si="4"/>
        <v>OK</v>
      </c>
    </row>
    <row r="40" spans="2:11" x14ac:dyDescent="0.25">
      <c r="B40" s="3" t="s">
        <v>401</v>
      </c>
      <c r="D40" s="3" t="s">
        <v>396</v>
      </c>
      <c r="E40" s="42">
        <f>DCF!M103</f>
        <v>0.64721190050581368</v>
      </c>
      <c r="H40" s="3" t="s">
        <v>397</v>
      </c>
      <c r="I40" s="43">
        <v>0.64721190050581368</v>
      </c>
      <c r="J40" s="38">
        <f t="shared" si="3"/>
        <v>0</v>
      </c>
      <c r="K40" s="39" t="str">
        <f t="shared" si="4"/>
        <v>OK</v>
      </c>
    </row>
    <row r="41" spans="2:11" x14ac:dyDescent="0.25">
      <c r="B41" s="3" t="s">
        <v>402</v>
      </c>
      <c r="D41" s="3" t="s">
        <v>396</v>
      </c>
      <c r="E41" s="42">
        <f>DCF!N103</f>
        <v>0.58756622893041266</v>
      </c>
      <c r="H41" s="3" t="s">
        <v>397</v>
      </c>
      <c r="I41" s="43">
        <v>0.58756622893041266</v>
      </c>
      <c r="J41" s="38">
        <f t="shared" si="3"/>
        <v>0</v>
      </c>
      <c r="K41" s="39" t="str">
        <f t="shared" si="4"/>
        <v>OK</v>
      </c>
    </row>
    <row r="42" spans="2:11" x14ac:dyDescent="0.25">
      <c r="B42" s="3" t="s">
        <v>403</v>
      </c>
      <c r="D42" s="3" t="s">
        <v>396</v>
      </c>
      <c r="E42" s="42">
        <f>DCF!O103</f>
        <v>0.53341737552986335</v>
      </c>
      <c r="H42" s="3" t="s">
        <v>397</v>
      </c>
      <c r="I42" s="43">
        <v>0.53341737552986335</v>
      </c>
      <c r="J42" s="38">
        <f t="shared" si="3"/>
        <v>0</v>
      </c>
      <c r="K42" s="39" t="str">
        <f t="shared" si="4"/>
        <v>OK</v>
      </c>
    </row>
    <row r="43" spans="2:11" x14ac:dyDescent="0.25">
      <c r="B43" s="3" t="s">
        <v>404</v>
      </c>
      <c r="D43" s="3" t="s">
        <v>396</v>
      </c>
      <c r="E43" s="42">
        <f>DCF!P103</f>
        <v>0.48425876523762135</v>
      </c>
      <c r="H43" s="3" t="s">
        <v>397</v>
      </c>
      <c r="I43" s="43">
        <v>0.48425876523762151</v>
      </c>
      <c r="J43" s="38">
        <f t="shared" si="3"/>
        <v>-3.3306690738754696E-16</v>
      </c>
      <c r="K43" s="39" t="str">
        <f t="shared" si="4"/>
        <v>OK</v>
      </c>
    </row>
    <row r="44" spans="2:11" x14ac:dyDescent="0.25">
      <c r="B44" s="3" t="s">
        <v>405</v>
      </c>
      <c r="D44" s="3" t="s">
        <v>396</v>
      </c>
      <c r="E44" s="42">
        <f>DCF!Q103</f>
        <v>0.43963050786735558</v>
      </c>
      <c r="H44" s="3" t="s">
        <v>397</v>
      </c>
      <c r="I44" s="43">
        <v>0.43963050786735558</v>
      </c>
      <c r="J44" s="38">
        <f t="shared" si="3"/>
        <v>0</v>
      </c>
      <c r="K44" s="39" t="str">
        <f t="shared" si="4"/>
        <v>OK</v>
      </c>
    </row>
    <row r="45" spans="2:11" x14ac:dyDescent="0.25">
      <c r="B45" s="3" t="s">
        <v>406</v>
      </c>
      <c r="D45" s="3" t="s">
        <v>396</v>
      </c>
      <c r="E45" s="42">
        <f>DCF!R103</f>
        <v>0.3991150957337255</v>
      </c>
      <c r="H45" s="3" t="s">
        <v>397</v>
      </c>
      <c r="I45" s="43">
        <v>0.3991150957337255</v>
      </c>
      <c r="J45" s="38">
        <f t="shared" si="3"/>
        <v>0</v>
      </c>
      <c r="K45" s="39" t="str">
        <f t="shared" si="4"/>
        <v>OK</v>
      </c>
    </row>
    <row r="46" spans="2:11" x14ac:dyDescent="0.25">
      <c r="B46" s="3" t="s">
        <v>407</v>
      </c>
      <c r="D46" s="3" t="s">
        <v>396</v>
      </c>
      <c r="E46" s="35">
        <f>DCF!$D$107</f>
        <v>168891.71928934322</v>
      </c>
      <c r="H46" s="3" t="s">
        <v>397</v>
      </c>
      <c r="I46" s="24">
        <v>168891.71928934331</v>
      </c>
      <c r="J46" s="38">
        <f t="shared" si="3"/>
        <v>-5.5511151231257827E-16</v>
      </c>
      <c r="K46" s="39" t="str">
        <f t="shared" si="4"/>
        <v>OK</v>
      </c>
    </row>
    <row r="47" spans="2:11" x14ac:dyDescent="0.25">
      <c r="B47" s="3" t="s">
        <v>408</v>
      </c>
      <c r="D47" s="3" t="s">
        <v>396</v>
      </c>
      <c r="E47" s="35">
        <f>DCF!$D$108</f>
        <v>531821.80586144084</v>
      </c>
      <c r="H47" s="3" t="s">
        <v>397</v>
      </c>
      <c r="I47" s="24">
        <v>531821.80586144095</v>
      </c>
      <c r="J47" s="38">
        <f t="shared" si="3"/>
        <v>-2.2204460492503131E-16</v>
      </c>
      <c r="K47" s="39" t="str">
        <f t="shared" si="4"/>
        <v>OK</v>
      </c>
    </row>
    <row r="48" spans="2:11" x14ac:dyDescent="0.25">
      <c r="B48" s="3" t="s">
        <v>409</v>
      </c>
      <c r="D48" s="3" t="s">
        <v>396</v>
      </c>
      <c r="E48" s="35">
        <f>DCF!$D$109</f>
        <v>212258.11095967173</v>
      </c>
      <c r="H48" s="3" t="s">
        <v>397</v>
      </c>
      <c r="I48" s="24">
        <v>212258.11095967179</v>
      </c>
      <c r="J48" s="38">
        <f t="shared" si="3"/>
        <v>-2.2204460492503131E-16</v>
      </c>
      <c r="K48" s="39" t="str">
        <f t="shared" si="4"/>
        <v>OK</v>
      </c>
    </row>
    <row r="49" spans="2:11" x14ac:dyDescent="0.25">
      <c r="B49" s="3" t="s">
        <v>410</v>
      </c>
      <c r="D49" s="3" t="s">
        <v>396</v>
      </c>
      <c r="E49" s="35">
        <f>DCF!$D$111</f>
        <v>571344.92590191215</v>
      </c>
      <c r="H49" s="3" t="s">
        <v>397</v>
      </c>
      <c r="I49" s="24">
        <v>571344.92590191215</v>
      </c>
      <c r="J49" s="38">
        <f t="shared" si="3"/>
        <v>0</v>
      </c>
      <c r="K49" s="39" t="str">
        <f t="shared" si="4"/>
        <v>OK</v>
      </c>
    </row>
    <row r="50" spans="2:11" x14ac:dyDescent="0.25">
      <c r="B50" s="3" t="s">
        <v>411</v>
      </c>
      <c r="D50" s="3" t="s">
        <v>396</v>
      </c>
      <c r="E50" s="35">
        <f>DCF!$D$112</f>
        <v>217270.96597638435</v>
      </c>
      <c r="H50" s="3" t="s">
        <v>397</v>
      </c>
      <c r="I50" s="24">
        <v>217270.96597638441</v>
      </c>
      <c r="J50" s="38">
        <f t="shared" si="3"/>
        <v>-2.2204460492503131E-16</v>
      </c>
      <c r="K50" s="39" t="str">
        <f t="shared" si="4"/>
        <v>OK</v>
      </c>
    </row>
    <row r="51" spans="2:11" x14ac:dyDescent="0.25">
      <c r="B51" s="3" t="s">
        <v>412</v>
      </c>
      <c r="D51" s="3" t="s">
        <v>396</v>
      </c>
      <c r="E51" s="35">
        <f>DCF!$D$122</f>
        <v>179918</v>
      </c>
      <c r="H51" s="3" t="s">
        <v>397</v>
      </c>
      <c r="I51" s="24">
        <v>179918</v>
      </c>
      <c r="J51" s="38">
        <f t="shared" si="3"/>
        <v>0</v>
      </c>
      <c r="K51" s="39" t="str">
        <f t="shared" si="4"/>
        <v>OK</v>
      </c>
    </row>
    <row r="52" spans="2:11" x14ac:dyDescent="0.25">
      <c r="B52" s="3" t="s">
        <v>413</v>
      </c>
      <c r="D52" s="3" t="s">
        <v>396</v>
      </c>
      <c r="E52" s="44">
        <f>DCF!$D$131</f>
        <v>4310.5309999999999</v>
      </c>
      <c r="H52" s="3" t="s">
        <v>397</v>
      </c>
      <c r="I52" s="30">
        <v>4310.5309999999999</v>
      </c>
      <c r="J52" s="38">
        <f t="shared" si="3"/>
        <v>0</v>
      </c>
      <c r="K52" s="39" t="str">
        <f t="shared" si="4"/>
        <v>OK</v>
      </c>
    </row>
    <row r="53" spans="2:11" x14ac:dyDescent="0.25">
      <c r="B53" s="3" t="s">
        <v>414</v>
      </c>
      <c r="D53" s="3" t="s">
        <v>396</v>
      </c>
      <c r="E53" s="45">
        <f>DCF!$D$134</f>
        <v>1.0988594184200591</v>
      </c>
      <c r="H53" s="3" t="s">
        <v>397</v>
      </c>
      <c r="I53" s="16">
        <v>1.0988594184200591</v>
      </c>
      <c r="J53" s="38">
        <f t="shared" si="3"/>
        <v>0</v>
      </c>
      <c r="K53" s="39" t="str">
        <f t="shared" si="4"/>
        <v>OK</v>
      </c>
    </row>
    <row r="55" spans="2:11" x14ac:dyDescent="0.25">
      <c r="B55" s="3" t="s">
        <v>415</v>
      </c>
      <c r="D55" s="46">
        <v>30</v>
      </c>
    </row>
    <row r="56" spans="2:11" x14ac:dyDescent="0.25">
      <c r="B56" s="3" t="s">
        <v>416</v>
      </c>
      <c r="D56" s="46">
        <f>COUNTIF(H6:H35,"OK")</f>
        <v>30</v>
      </c>
    </row>
    <row r="57" spans="2:11" x14ac:dyDescent="0.25">
      <c r="B57" s="3" t="s">
        <v>417</v>
      </c>
      <c r="D57" s="46">
        <v>48</v>
      </c>
    </row>
    <row r="58" spans="2:11" x14ac:dyDescent="0.25">
      <c r="B58" s="3" t="s">
        <v>418</v>
      </c>
      <c r="D58" s="46">
        <f>COUNTIF(K6:K53,"OK")</f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6"/>
  <sheetViews>
    <sheetView workbookViewId="0"/>
  </sheetViews>
  <sheetFormatPr defaultRowHeight="15" x14ac:dyDescent="0.25"/>
  <cols>
    <col min="2" max="2" width="46" customWidth="1"/>
    <col min="3" max="3" width="14" customWidth="1"/>
    <col min="4" max="5" width="12" customWidth="1"/>
    <col min="6" max="6" width="80" customWidth="1"/>
    <col min="7" max="7" width="12" customWidth="1"/>
  </cols>
  <sheetData>
    <row r="2" spans="2:7" ht="18.75" x14ac:dyDescent="0.3">
      <c r="B2" s="1" t="s">
        <v>419</v>
      </c>
    </row>
    <row r="3" spans="2:7" x14ac:dyDescent="0.25">
      <c r="B3" s="5" t="s">
        <v>13</v>
      </c>
    </row>
    <row r="5" spans="2:7" x14ac:dyDescent="0.25">
      <c r="B5" s="6" t="s">
        <v>357</v>
      </c>
      <c r="C5" s="6" t="s">
        <v>420</v>
      </c>
      <c r="D5" s="6" t="s">
        <v>421</v>
      </c>
      <c r="E5" s="6" t="s">
        <v>422</v>
      </c>
      <c r="F5" s="6" t="s">
        <v>423</v>
      </c>
      <c r="G5" s="6" t="s">
        <v>424</v>
      </c>
    </row>
    <row r="6" spans="2:7" x14ac:dyDescent="0.25">
      <c r="B6" s="3" t="s">
        <v>425</v>
      </c>
      <c r="C6" s="47">
        <v>58.6</v>
      </c>
      <c r="D6" s="3" t="s">
        <v>426</v>
      </c>
      <c r="E6" s="3" t="s">
        <v>427</v>
      </c>
      <c r="F6" s="3" t="s">
        <v>428</v>
      </c>
      <c r="G6" s="3" t="s">
        <v>429</v>
      </c>
    </row>
    <row r="7" spans="2:7" x14ac:dyDescent="0.25">
      <c r="B7" s="3" t="s">
        <v>430</v>
      </c>
      <c r="C7" s="3" t="s">
        <v>431</v>
      </c>
      <c r="D7" s="3" t="s">
        <v>426</v>
      </c>
      <c r="E7" s="3" t="s">
        <v>427</v>
      </c>
      <c r="F7" s="3" t="s">
        <v>432</v>
      </c>
      <c r="G7" s="3" t="s">
        <v>433</v>
      </c>
    </row>
    <row r="8" spans="2:7" x14ac:dyDescent="0.25">
      <c r="B8" s="3" t="s">
        <v>434</v>
      </c>
      <c r="C8" s="47">
        <v>4294.9437150000003</v>
      </c>
      <c r="D8" s="3" t="s">
        <v>435</v>
      </c>
      <c r="E8" s="3" t="s">
        <v>427</v>
      </c>
      <c r="F8" s="3" t="s">
        <v>436</v>
      </c>
      <c r="G8" s="3" t="s">
        <v>437</v>
      </c>
    </row>
    <row r="9" spans="2:7" x14ac:dyDescent="0.25">
      <c r="B9" s="3" t="s">
        <v>438</v>
      </c>
      <c r="C9" s="47">
        <v>251683.7</v>
      </c>
      <c r="D9" s="3" t="s">
        <v>439</v>
      </c>
      <c r="E9" s="3" t="s">
        <v>440</v>
      </c>
      <c r="F9" s="3" t="s">
        <v>441</v>
      </c>
      <c r="G9" s="3" t="s">
        <v>429</v>
      </c>
    </row>
    <row r="10" spans="2:7" x14ac:dyDescent="0.25">
      <c r="B10" s="3" t="s">
        <v>442</v>
      </c>
      <c r="C10" s="48">
        <v>9.2600000000000002E-2</v>
      </c>
      <c r="D10" s="3" t="s">
        <v>443</v>
      </c>
      <c r="E10" s="3" t="s">
        <v>427</v>
      </c>
      <c r="F10" s="3" t="s">
        <v>444</v>
      </c>
      <c r="G10" s="3" t="s">
        <v>429</v>
      </c>
    </row>
    <row r="11" spans="2:7" x14ac:dyDescent="0.25">
      <c r="B11" s="3" t="s">
        <v>445</v>
      </c>
      <c r="C11" s="48">
        <v>5.0900000000000001E-2</v>
      </c>
      <c r="D11" s="3" t="s">
        <v>443</v>
      </c>
      <c r="E11" s="3" t="s">
        <v>427</v>
      </c>
      <c r="F11" s="3" t="s">
        <v>444</v>
      </c>
      <c r="G11" s="3" t="s">
        <v>429</v>
      </c>
    </row>
    <row r="12" spans="2:7" x14ac:dyDescent="0.25">
      <c r="B12" s="3" t="s">
        <v>446</v>
      </c>
      <c r="C12" s="48">
        <v>9.5300000000000003E-3</v>
      </c>
      <c r="D12" s="3" t="s">
        <v>443</v>
      </c>
      <c r="E12" s="3" t="s">
        <v>427</v>
      </c>
      <c r="F12" s="3" t="s">
        <v>447</v>
      </c>
      <c r="G12" s="3" t="s">
        <v>429</v>
      </c>
    </row>
    <row r="13" spans="2:7" x14ac:dyDescent="0.25">
      <c r="B13" s="3" t="s">
        <v>448</v>
      </c>
      <c r="C13" s="48">
        <v>4.2000000000000003E-2</v>
      </c>
      <c r="D13" s="3" t="s">
        <v>443</v>
      </c>
      <c r="E13" s="3" t="s">
        <v>427</v>
      </c>
      <c r="F13" s="3" t="s">
        <v>449</v>
      </c>
      <c r="G13" s="3" t="s">
        <v>450</v>
      </c>
    </row>
    <row r="14" spans="2:7" x14ac:dyDescent="0.25">
      <c r="B14" s="3" t="s">
        <v>451</v>
      </c>
      <c r="C14" s="3" t="s">
        <v>452</v>
      </c>
      <c r="D14" s="3" t="s">
        <v>443</v>
      </c>
      <c r="E14" s="3" t="s">
        <v>427</v>
      </c>
      <c r="F14" s="3" t="s">
        <v>453</v>
      </c>
      <c r="G14" s="3" t="s">
        <v>454</v>
      </c>
    </row>
    <row r="15" spans="2:7" x14ac:dyDescent="0.25">
      <c r="B15" s="3" t="s">
        <v>455</v>
      </c>
      <c r="C15" s="3" t="s">
        <v>456</v>
      </c>
      <c r="D15" s="3" t="s">
        <v>457</v>
      </c>
      <c r="E15" s="3" t="s">
        <v>427</v>
      </c>
      <c r="F15" s="3" t="s">
        <v>458</v>
      </c>
      <c r="G15" s="3" t="s">
        <v>459</v>
      </c>
    </row>
    <row r="16" spans="2:7" x14ac:dyDescent="0.25">
      <c r="B16" s="3" t="s">
        <v>460</v>
      </c>
      <c r="C16" s="48">
        <v>0.32</v>
      </c>
      <c r="D16" s="3" t="s">
        <v>457</v>
      </c>
      <c r="E16" s="3" t="s">
        <v>461</v>
      </c>
      <c r="F16" s="3" t="s">
        <v>462</v>
      </c>
      <c r="G16" s="3" t="s">
        <v>429</v>
      </c>
    </row>
    <row r="17" spans="2:7" x14ac:dyDescent="0.25">
      <c r="B17" s="3" t="s">
        <v>463</v>
      </c>
      <c r="C17" s="48">
        <v>9.2600000000000002E-2</v>
      </c>
      <c r="D17" s="3" t="s">
        <v>443</v>
      </c>
      <c r="E17" s="3" t="s">
        <v>427</v>
      </c>
      <c r="F17" s="3" t="s">
        <v>464</v>
      </c>
      <c r="G17" s="3" t="s">
        <v>465</v>
      </c>
    </row>
    <row r="18" spans="2:7" x14ac:dyDescent="0.25">
      <c r="B18" s="3" t="s">
        <v>466</v>
      </c>
      <c r="C18" s="3" t="s">
        <v>467</v>
      </c>
      <c r="D18" s="3" t="s">
        <v>439</v>
      </c>
      <c r="E18" s="3" t="s">
        <v>427</v>
      </c>
      <c r="F18" s="3" t="s">
        <v>468</v>
      </c>
      <c r="G18" s="3" t="s">
        <v>469</v>
      </c>
    </row>
    <row r="19" spans="2:7" x14ac:dyDescent="0.25">
      <c r="B19" s="3" t="s">
        <v>470</v>
      </c>
      <c r="C19" s="3" t="s">
        <v>471</v>
      </c>
      <c r="D19" s="3" t="s">
        <v>439</v>
      </c>
      <c r="E19" s="3" t="s">
        <v>427</v>
      </c>
      <c r="F19" s="3" t="s">
        <v>472</v>
      </c>
      <c r="G19" s="3" t="s">
        <v>473</v>
      </c>
    </row>
    <row r="20" spans="2:7" x14ac:dyDescent="0.25">
      <c r="B20" s="3" t="s">
        <v>474</v>
      </c>
      <c r="C20" s="3" t="s">
        <v>475</v>
      </c>
      <c r="D20" s="3" t="s">
        <v>439</v>
      </c>
      <c r="E20" s="3" t="s">
        <v>427</v>
      </c>
      <c r="F20" s="3" t="s">
        <v>476</v>
      </c>
      <c r="G20" s="3" t="s">
        <v>469</v>
      </c>
    </row>
    <row r="21" spans="2:7" x14ac:dyDescent="0.25">
      <c r="B21" s="3" t="s">
        <v>477</v>
      </c>
      <c r="C21" s="47">
        <v>7018</v>
      </c>
      <c r="D21" s="3" t="s">
        <v>439</v>
      </c>
      <c r="E21" s="3" t="s">
        <v>427</v>
      </c>
      <c r="F21" s="3" t="s">
        <v>478</v>
      </c>
      <c r="G21" s="3" t="s">
        <v>469</v>
      </c>
    </row>
    <row r="22" spans="2:7" x14ac:dyDescent="0.25">
      <c r="B22" s="3" t="s">
        <v>479</v>
      </c>
      <c r="C22" s="47">
        <v>907</v>
      </c>
      <c r="D22" s="3" t="s">
        <v>439</v>
      </c>
      <c r="E22" s="3" t="s">
        <v>427</v>
      </c>
      <c r="F22" s="3" t="s">
        <v>480</v>
      </c>
      <c r="G22" s="3" t="s">
        <v>473</v>
      </c>
    </row>
    <row r="23" spans="2:7" x14ac:dyDescent="0.25">
      <c r="B23" s="3" t="s">
        <v>481</v>
      </c>
      <c r="C23" s="48">
        <v>1.075</v>
      </c>
      <c r="D23" s="3" t="s">
        <v>482</v>
      </c>
      <c r="E23" s="3" t="s">
        <v>427</v>
      </c>
      <c r="F23" s="3" t="s">
        <v>483</v>
      </c>
      <c r="G23" s="3" t="s">
        <v>484</v>
      </c>
    </row>
    <row r="24" spans="2:7" x14ac:dyDescent="0.25">
      <c r="B24" s="3" t="s">
        <v>485</v>
      </c>
      <c r="C24" s="48">
        <v>1.05</v>
      </c>
      <c r="D24" s="3" t="s">
        <v>482</v>
      </c>
      <c r="E24" s="3" t="s">
        <v>427</v>
      </c>
      <c r="F24" s="3" t="s">
        <v>486</v>
      </c>
      <c r="G24" s="3" t="s">
        <v>487</v>
      </c>
    </row>
    <row r="26" spans="2:7" x14ac:dyDescent="0.25">
      <c r="B26" s="5" t="s">
        <v>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18"/>
  <sheetViews>
    <sheetView workbookViewId="0"/>
  </sheetViews>
  <sheetFormatPr defaultRowHeight="15" x14ac:dyDescent="0.25"/>
  <cols>
    <col min="2" max="2" width="80" customWidth="1"/>
    <col min="3" max="3" width="16" customWidth="1"/>
    <col min="4" max="4" width="12" customWidth="1"/>
  </cols>
  <sheetData>
    <row r="2" spans="2:3" ht="18.75" x14ac:dyDescent="0.3">
      <c r="B2" s="1" t="s">
        <v>489</v>
      </c>
    </row>
    <row r="4" spans="2:3" x14ac:dyDescent="0.25">
      <c r="B4" s="3" t="s">
        <v>490</v>
      </c>
      <c r="C4" s="39" t="str">
        <f>IF(DCF!$D$154&gt;=0.02,"OK","WARN")</f>
        <v>OK</v>
      </c>
    </row>
    <row r="5" spans="2:3" x14ac:dyDescent="0.25">
      <c r="B5" s="3" t="s">
        <v>491</v>
      </c>
      <c r="C5" s="39" t="str">
        <f>IF(DCF!$D$155&lt;=0,"OK","FAIL")</f>
        <v>OK</v>
      </c>
    </row>
    <row r="6" spans="2:3" x14ac:dyDescent="0.25">
      <c r="B6" s="3" t="s">
        <v>492</v>
      </c>
      <c r="C6" s="39" t="str">
        <f>IF(ABS(DCF!$D$30+DCF!$D$31-1)&lt;0.000001,"OK","FAIL")</f>
        <v>OK</v>
      </c>
    </row>
    <row r="7" spans="2:3" x14ac:dyDescent="0.25">
      <c r="B7" s="3" t="s">
        <v>493</v>
      </c>
      <c r="C7" s="39" t="str">
        <f>IF(Engine_Recon!$D$56=Engine_Recon!$D$55,"OK","CHECK")</f>
        <v>OK</v>
      </c>
    </row>
    <row r="8" spans="2:3" x14ac:dyDescent="0.25">
      <c r="B8" s="3" t="s">
        <v>494</v>
      </c>
      <c r="C8" s="39" t="str">
        <f>IF(Engine_Recon!$D$58=Engine_Recon!$D$57,"OK","CHECK")</f>
        <v>OK</v>
      </c>
    </row>
    <row r="9" spans="2:3" x14ac:dyDescent="0.25">
      <c r="B9" s="3" t="s">
        <v>495</v>
      </c>
      <c r="C9" s="39" t="str">
        <f>IF(DCF!$D$114&lt;0.85,"OK","WARN")</f>
        <v>OK</v>
      </c>
    </row>
    <row r="10" spans="2:3" x14ac:dyDescent="0.25">
      <c r="B10" s="3" t="s">
        <v>496</v>
      </c>
      <c r="C10" s="39" t="str">
        <f>IF(ABS(DCF!$D$156-DCF!$D$38)&lt;=2,"OK","WARN")</f>
        <v>OK</v>
      </c>
    </row>
    <row r="11" spans="2:3" x14ac:dyDescent="0.25">
      <c r="B11" s="3" t="s">
        <v>497</v>
      </c>
      <c r="C11" s="39" t="str">
        <f>IF(ABS(DCF!$D$127-DCF!$D$128)&lt;0.5,"OK","FAIL")</f>
        <v>OK</v>
      </c>
    </row>
    <row r="12" spans="2:3" x14ac:dyDescent="0.25">
      <c r="B12" s="3" t="s">
        <v>498</v>
      </c>
      <c r="C12" s="39" t="str">
        <f>IF(ABS(SUM(DCF!D64:D68)-DCF!D69)&lt;0.5,"OK","FAIL")</f>
        <v>OK</v>
      </c>
    </row>
    <row r="13" spans="2:3" x14ac:dyDescent="0.25">
      <c r="B13" s="3" t="s">
        <v>499</v>
      </c>
      <c r="C13" s="39" t="str">
        <f>IF(ABS(SUM(DCF!E64:E68)-DCF!E69)&lt;0.5,"OK","FAIL")</f>
        <v>OK</v>
      </c>
    </row>
    <row r="14" spans="2:3" x14ac:dyDescent="0.25">
      <c r="B14" s="3" t="s">
        <v>500</v>
      </c>
      <c r="C14" s="39" t="str">
        <f>IF(ABS(SUM(DCF!F64:F68)-DCF!F69)&lt;0.5,"OK","FAIL")</f>
        <v>OK</v>
      </c>
    </row>
    <row r="15" spans="2:3" x14ac:dyDescent="0.25">
      <c r="B15" s="3" t="s">
        <v>501</v>
      </c>
      <c r="C15" s="39" t="str">
        <f>IF(ABS(SUM(DCF!G64:G68)-DCF!G69)&lt;0.5,"OK","FAIL")</f>
        <v>OK</v>
      </c>
    </row>
    <row r="16" spans="2:3" x14ac:dyDescent="0.25">
      <c r="B16" s="3" t="s">
        <v>502</v>
      </c>
      <c r="C16" s="39" t="str">
        <f>IF(ABS(SUM(DCF!H64:H68)-DCF!H69)&lt;0.5,"OK","FAIL")</f>
        <v>OK</v>
      </c>
    </row>
    <row r="18" spans="2:2" x14ac:dyDescent="0.25">
      <c r="B18" s="5" t="s">
        <v>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DCF</vt:lpstr>
      <vt:lpstr>Reverse_DCF</vt:lpstr>
      <vt:lpstr>Levers</vt:lpstr>
      <vt:lpstr>Dated_Check</vt:lpstr>
      <vt:lpstr>Engine_Recon</vt:lpstr>
      <vt:lpstr>Inputs_Sources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2026-10-17T07:51:49Z</dcterms:created>
  <dcterms:modified xsi:type="dcterms:W3CDTF">2026-10-17T07:51:55Z</dcterms:modified>
</cp:coreProperties>
</file>