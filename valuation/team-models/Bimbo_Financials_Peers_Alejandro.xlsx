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tecmx-my.sharepoint.com/personal/a01403564_tec_mx/Documents/Escritorio/CFA-Research/raw/"/>
    </mc:Choice>
  </mc:AlternateContent>
  <xr:revisionPtr revIDLastSave="1" documentId="13_ncr:1_{1A73533E-9534-4A80-94D0-E8F031DDE6BE}" xr6:coauthVersionLast="47" xr6:coauthVersionMax="47" xr10:uidLastSave="{CF848F96-F4C1-4E5D-9712-424310B934DE}"/>
  <bookViews>
    <workbookView xWindow="-110" yWindow="-110" windowWidth="19420" windowHeight="10300" firstSheet="1" activeTab="4" xr2:uid="{00000000-000D-0000-FFFF-FFFF00000000}"/>
  </bookViews>
  <sheets>
    <sheet name="__snloffice" sheetId="5" state="veryHidden" r:id="rId1"/>
    <sheet name="TearSheet" sheetId="4" r:id="rId2"/>
    <sheet name="PeerAnalysis" sheetId="7" r:id="rId3"/>
    <sheet name="Datos_Peers" sheetId="8" r:id="rId4"/>
    <sheet name="Multiplos_y_Seleccion" sheetId="9" r:id="rId5"/>
  </sheets>
  <definedNames>
    <definedName name="_xlnm._FilterDatabase" localSheetId="2" hidden="1">PeerAnalysis!#REF!</definedName>
    <definedName name="_xlnm._FilterDatabase" localSheetId="1" hidden="1">TearSheet!#REF!</definedName>
    <definedName name="_xlnm.Print_Area" localSheetId="2">PeerAnalysis!$B$10:$W$64</definedName>
    <definedName name="_xlnm.Print_Area" localSheetId="1">TearSheet!$B$25:$T$63</definedName>
    <definedName name="Data">TearSheet!$AC$3:$AI$3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46002.4281828704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snl__7173D697_5E2D_497C_BBC3_897A26060050_" localSheetId="1" hidden="1">PeerAnalysis!$E$10:$E$22</definedName>
    <definedName name="snl__72A59A49_BB67_44CC_A6C3_9D28E590D1F9_" localSheetId="1" hidden="1">PeerAnalysis!$E$10:$E$21</definedName>
    <definedName name="snl__77F99CD8_EB64_4426_836C_63BCA3D12FEA_" localSheetId="1" hidden="1">PeerAnalysis!$E$12:$E$24</definedName>
    <definedName name="snl__BA5C0AD7_E3FE_4191_BEDB_0CD4D37E80A6_" localSheetId="2" hidden="1">PeerAnalysis!$AA$12:$AA$24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11" i="4" l="1"/>
  <c r="AA12" i="7"/>
  <c r="B2" i="7"/>
  <c r="K54" i="4"/>
  <c r="J54" i="4"/>
  <c r="I54" i="4"/>
  <c r="H54" i="4"/>
  <c r="G54" i="4"/>
  <c r="F54" i="4"/>
  <c r="E54" i="4"/>
  <c r="K53" i="4"/>
  <c r="J53" i="4"/>
  <c r="I53" i="4"/>
  <c r="H53" i="4"/>
  <c r="G53" i="4"/>
  <c r="F53" i="4"/>
  <c r="E53" i="4"/>
  <c r="K52" i="4"/>
  <c r="J52" i="4"/>
  <c r="I52" i="4"/>
  <c r="H52" i="4"/>
  <c r="G52" i="4"/>
  <c r="F52" i="4"/>
  <c r="E52" i="4"/>
  <c r="K51" i="4"/>
  <c r="J51" i="4"/>
  <c r="I51" i="4"/>
  <c r="H51" i="4"/>
  <c r="G51" i="4"/>
  <c r="F51" i="4"/>
  <c r="E51" i="4"/>
  <c r="K50" i="4"/>
  <c r="J50" i="4"/>
  <c r="I50" i="4"/>
  <c r="H50" i="4"/>
  <c r="G50" i="4"/>
  <c r="F50" i="4"/>
  <c r="E50" i="4"/>
  <c r="K47" i="4"/>
  <c r="J47" i="4"/>
  <c r="I47" i="4"/>
  <c r="H47" i="4"/>
  <c r="G47" i="4"/>
  <c r="F47" i="4"/>
  <c r="E47" i="4"/>
  <c r="K46" i="4"/>
  <c r="J46" i="4"/>
  <c r="I46" i="4"/>
  <c r="H46" i="4"/>
  <c r="G46" i="4"/>
  <c r="F46" i="4"/>
  <c r="E46" i="4"/>
  <c r="K45" i="4"/>
  <c r="J45" i="4"/>
  <c r="I45" i="4"/>
  <c r="H45" i="4"/>
  <c r="G45" i="4"/>
  <c r="F45" i="4"/>
  <c r="E45" i="4"/>
  <c r="K44" i="4"/>
  <c r="J44" i="4"/>
  <c r="I44" i="4"/>
  <c r="H44" i="4"/>
  <c r="G44" i="4"/>
  <c r="F44" i="4"/>
  <c r="E44" i="4"/>
  <c r="K43" i="4"/>
  <c r="J43" i="4"/>
  <c r="I43" i="4"/>
  <c r="H43" i="4"/>
  <c r="G43" i="4"/>
  <c r="F43" i="4"/>
  <c r="E43" i="4"/>
  <c r="K42" i="4"/>
  <c r="J42" i="4"/>
  <c r="I42" i="4"/>
  <c r="H42" i="4"/>
  <c r="G42" i="4"/>
  <c r="F42" i="4"/>
  <c r="E42" i="4"/>
  <c r="K39" i="4"/>
  <c r="J39" i="4"/>
  <c r="I39" i="4"/>
  <c r="H39" i="4"/>
  <c r="G39" i="4"/>
  <c r="F39" i="4"/>
  <c r="E39" i="4"/>
  <c r="K37" i="4"/>
  <c r="J37" i="4"/>
  <c r="I37" i="4"/>
  <c r="H37" i="4"/>
  <c r="H38" i="4" s="1"/>
  <c r="G37" i="4"/>
  <c r="F37" i="4"/>
  <c r="E37" i="4"/>
  <c r="F38" i="4" s="1"/>
  <c r="K36" i="4"/>
  <c r="J36" i="4"/>
  <c r="I36" i="4"/>
  <c r="H36" i="4"/>
  <c r="G36" i="4"/>
  <c r="F36" i="4"/>
  <c r="E36" i="4"/>
  <c r="K35" i="4"/>
  <c r="J35" i="4"/>
  <c r="I35" i="4"/>
  <c r="H35" i="4"/>
  <c r="G35" i="4"/>
  <c r="F35" i="4"/>
  <c r="E35" i="4"/>
  <c r="K34" i="4"/>
  <c r="J34" i="4"/>
  <c r="I34" i="4"/>
  <c r="H34" i="4"/>
  <c r="G34" i="4"/>
  <c r="F34" i="4"/>
  <c r="E34" i="4"/>
  <c r="K33" i="4"/>
  <c r="J33" i="4"/>
  <c r="I33" i="4"/>
  <c r="H33" i="4"/>
  <c r="G33" i="4"/>
  <c r="F33" i="4"/>
  <c r="E33" i="4"/>
  <c r="K32" i="4"/>
  <c r="J32" i="4"/>
  <c r="I32" i="4"/>
  <c r="H32" i="4"/>
  <c r="G32" i="4"/>
  <c r="F32" i="4"/>
  <c r="E32" i="4"/>
  <c r="K31" i="4"/>
  <c r="J31" i="4"/>
  <c r="I31" i="4"/>
  <c r="H31" i="4"/>
  <c r="G31" i="4"/>
  <c r="F31" i="4"/>
  <c r="E31" i="4"/>
  <c r="K30" i="4"/>
  <c r="J30" i="4"/>
  <c r="I30" i="4"/>
  <c r="H30" i="4"/>
  <c r="G30" i="4"/>
  <c r="F30" i="4"/>
  <c r="E30" i="4"/>
  <c r="K28" i="4"/>
  <c r="K29" i="4" s="1"/>
  <c r="J28" i="4"/>
  <c r="J29" i="4" s="1"/>
  <c r="I28" i="4"/>
  <c r="I29" i="4" s="1"/>
  <c r="H28" i="4"/>
  <c r="H29" i="4" s="1"/>
  <c r="G28" i="4"/>
  <c r="F28" i="4"/>
  <c r="F29" i="4" s="1"/>
  <c r="E28" i="4"/>
  <c r="K26" i="4"/>
  <c r="J26" i="4"/>
  <c r="I26" i="4"/>
  <c r="H26" i="4"/>
  <c r="G26" i="4"/>
  <c r="F26" i="4"/>
  <c r="E26" i="4"/>
  <c r="B25" i="4"/>
  <c r="H20" i="4"/>
  <c r="C49" i="9"/>
  <c r="D49" i="9" s="1"/>
  <c r="E49" i="9" s="1"/>
  <c r="B42" i="9"/>
  <c r="AJ27" i="9"/>
  <c r="AJ26" i="9"/>
  <c r="AJ25" i="9"/>
  <c r="AJ24" i="9"/>
  <c r="AJ23" i="9"/>
  <c r="AJ22" i="9"/>
  <c r="AJ21" i="9"/>
  <c r="AJ20" i="9"/>
  <c r="AJ19" i="9"/>
  <c r="AI27" i="9"/>
  <c r="AI26" i="9"/>
  <c r="AI25" i="9"/>
  <c r="AI24" i="9"/>
  <c r="AI23" i="9"/>
  <c r="AI22" i="9"/>
  <c r="AI21" i="9"/>
  <c r="AI20" i="9"/>
  <c r="AI19" i="9"/>
  <c r="AH26" i="9"/>
  <c r="AH22" i="9"/>
  <c r="AH21" i="9"/>
  <c r="AG26" i="9"/>
  <c r="AG22" i="9"/>
  <c r="AG21" i="9"/>
  <c r="AF26" i="9"/>
  <c r="AF22" i="9"/>
  <c r="AF21" i="9"/>
  <c r="AE26" i="9"/>
  <c r="AE22" i="9"/>
  <c r="AE21" i="9"/>
  <c r="AD26" i="9"/>
  <c r="AD22" i="9"/>
  <c r="AD21" i="9"/>
  <c r="Z28" i="9"/>
  <c r="Y28" i="9"/>
  <c r="X28" i="9"/>
  <c r="H28" i="9"/>
  <c r="Z27" i="9"/>
  <c r="Y27" i="9"/>
  <c r="X27" i="9"/>
  <c r="AH27" i="9" s="1"/>
  <c r="H27" i="9"/>
  <c r="Z26" i="9"/>
  <c r="Y26" i="9"/>
  <c r="X26" i="9"/>
  <c r="W26" i="9"/>
  <c r="V26" i="9"/>
  <c r="U26" i="9"/>
  <c r="T26" i="9"/>
  <c r="AA26" i="9" s="1"/>
  <c r="Z25" i="9"/>
  <c r="Y25" i="9"/>
  <c r="X25" i="9"/>
  <c r="AH25" i="9" s="1"/>
  <c r="H25" i="9"/>
  <c r="Z24" i="9"/>
  <c r="Y24" i="9"/>
  <c r="X24" i="9"/>
  <c r="AH24" i="9" s="1"/>
  <c r="H24" i="9"/>
  <c r="Z23" i="9"/>
  <c r="Y23" i="9"/>
  <c r="X23" i="9"/>
  <c r="AH23" i="9" s="1"/>
  <c r="H23" i="9"/>
  <c r="Z22" i="9"/>
  <c r="Y22" i="9"/>
  <c r="X22" i="9"/>
  <c r="H22" i="9"/>
  <c r="Z21" i="9"/>
  <c r="Y21" i="9"/>
  <c r="X21" i="9"/>
  <c r="W21" i="9"/>
  <c r="V21" i="9"/>
  <c r="U21" i="9"/>
  <c r="T21" i="9"/>
  <c r="AA21" i="9" s="1"/>
  <c r="Z20" i="9"/>
  <c r="Y20" i="9"/>
  <c r="X20" i="9"/>
  <c r="AH20" i="9" s="1"/>
  <c r="H20" i="9"/>
  <c r="Z19" i="9"/>
  <c r="Y19" i="9"/>
  <c r="X19" i="9"/>
  <c r="AH19" i="9" s="1"/>
  <c r="H19" i="9"/>
  <c r="R8" i="7"/>
  <c r="S12" i="7"/>
  <c r="E13" i="7"/>
  <c r="E14" i="7"/>
  <c r="E15" i="7"/>
  <c r="E16" i="7"/>
  <c r="E17" i="7"/>
  <c r="E18" i="7"/>
  <c r="E19" i="7"/>
  <c r="E20" i="7"/>
  <c r="E21" i="7"/>
  <c r="E22" i="7"/>
  <c r="E23" i="7"/>
  <c r="E24" i="7"/>
  <c r="E25" i="7"/>
  <c r="R27" i="7"/>
  <c r="G29" i="7"/>
  <c r="M29" i="7"/>
  <c r="S29" i="7"/>
  <c r="D31" i="7"/>
  <c r="E31" i="7" s="1"/>
  <c r="D32" i="7"/>
  <c r="E32" i="7" s="1"/>
  <c r="D33" i="7"/>
  <c r="E33" i="7" s="1"/>
  <c r="D34" i="7"/>
  <c r="E34" i="7" s="1"/>
  <c r="D35" i="7"/>
  <c r="E35" i="7"/>
  <c r="D36" i="7"/>
  <c r="E36" i="7" s="1"/>
  <c r="D37" i="7"/>
  <c r="E37" i="7" s="1"/>
  <c r="D38" i="7"/>
  <c r="E38" i="7" s="1"/>
  <c r="D39" i="7"/>
  <c r="E39" i="7" s="1"/>
  <c r="D40" i="7"/>
  <c r="E40" i="7" s="1"/>
  <c r="D41" i="7"/>
  <c r="E41" i="7" s="1"/>
  <c r="D42" i="7"/>
  <c r="E42" i="7" s="1"/>
  <c r="E43" i="7"/>
  <c r="F45" i="7"/>
  <c r="L45" i="7"/>
  <c r="R45" i="7"/>
  <c r="F46" i="7"/>
  <c r="L46" i="7"/>
  <c r="R46" i="7"/>
  <c r="G48" i="7"/>
  <c r="M48" i="7"/>
  <c r="S48" i="7"/>
  <c r="D50" i="7"/>
  <c r="E50" i="7" s="1"/>
  <c r="D51" i="7"/>
  <c r="E51" i="7" s="1"/>
  <c r="D52" i="7"/>
  <c r="E52" i="7" s="1"/>
  <c r="D53" i="7"/>
  <c r="E53" i="7" s="1"/>
  <c r="D54" i="7"/>
  <c r="E54" i="7" s="1"/>
  <c r="D55" i="7"/>
  <c r="E55" i="7" s="1"/>
  <c r="D56" i="7"/>
  <c r="E56" i="7" s="1"/>
  <c r="D57" i="7"/>
  <c r="E57" i="7" s="1"/>
  <c r="D58" i="7"/>
  <c r="E58" i="7" s="1"/>
  <c r="D59" i="7"/>
  <c r="E59" i="7" s="1"/>
  <c r="D60" i="7"/>
  <c r="E60" i="7" s="1"/>
  <c r="D61" i="7"/>
  <c r="E61" i="7" s="1"/>
  <c r="E62" i="7"/>
  <c r="AC1" i="4"/>
  <c r="AD1" i="4" s="1"/>
  <c r="AE1" i="4" s="1"/>
  <c r="AK1" i="4"/>
  <c r="AF33" i="4"/>
  <c r="AG33" i="4" s="1"/>
  <c r="G27" i="4"/>
  <c r="AB3" i="4"/>
  <c r="AD5" i="4"/>
  <c r="AI40" i="4"/>
  <c r="AC5" i="4"/>
  <c r="R48" i="7"/>
  <c r="T48" i="7"/>
  <c r="R12" i="7"/>
  <c r="T12" i="7"/>
  <c r="AC10" i="4"/>
  <c r="AC12" i="4"/>
  <c r="AC14" i="4"/>
  <c r="AC16" i="4"/>
  <c r="AC18" i="4"/>
  <c r="AC15" i="4"/>
  <c r="AC23" i="4"/>
  <c r="AC9" i="4"/>
  <c r="AC8" i="4"/>
  <c r="AC7" i="4"/>
  <c r="AC25" i="4"/>
  <c r="AC24" i="4"/>
  <c r="AC19" i="4"/>
  <c r="AC11" i="4"/>
  <c r="F9" i="7"/>
  <c r="AD14" i="4"/>
  <c r="AD3" i="4"/>
  <c r="AD6" i="4"/>
  <c r="AE14" i="4"/>
  <c r="J9" i="7"/>
  <c r="I9" i="7"/>
  <c r="G9" i="7"/>
  <c r="AC3" i="4"/>
  <c r="AE3" i="4"/>
  <c r="AE6" i="4"/>
  <c r="K9" i="7"/>
  <c r="H9" i="7"/>
  <c r="M9" i="7"/>
  <c r="N9" i="7"/>
  <c r="Q9" i="7"/>
  <c r="L9" i="7"/>
  <c r="O9" i="7"/>
  <c r="P9" i="7"/>
  <c r="I57" i="4" l="1"/>
  <c r="K38" i="4"/>
  <c r="J38" i="4"/>
  <c r="I38" i="4"/>
  <c r="G38" i="4"/>
  <c r="J57" i="4"/>
  <c r="G57" i="4"/>
  <c r="E57" i="4"/>
  <c r="AC27" i="4" s="1"/>
  <c r="G29" i="4"/>
  <c r="K61" i="4"/>
  <c r="J61" i="4"/>
  <c r="I61" i="4"/>
  <c r="H61" i="4"/>
  <c r="G61" i="4"/>
  <c r="AE31" i="4" s="1"/>
  <c r="F61" i="4"/>
  <c r="E61" i="4"/>
  <c r="K60" i="4"/>
  <c r="J60" i="4"/>
  <c r="I60" i="4"/>
  <c r="H60" i="4"/>
  <c r="G60" i="4"/>
  <c r="F60" i="4"/>
  <c r="E60" i="4"/>
  <c r="AC30" i="4" s="1"/>
  <c r="AE26" i="4" s="1"/>
  <c r="AD25" i="4" s="1"/>
  <c r="AE19" i="4" s="1"/>
  <c r="AD18" i="4" s="1"/>
  <c r="AC17" i="4" s="1"/>
  <c r="AE15" i="4" s="1"/>
  <c r="AE13" i="4" s="1"/>
  <c r="AE12" i="4" s="1"/>
  <c r="AE11" i="4" s="1"/>
  <c r="AE10" i="4" s="1"/>
  <c r="AE9" i="4" s="1"/>
  <c r="AE8" i="4" s="1"/>
  <c r="AE7" i="4" s="1"/>
  <c r="AE2" i="4" s="1"/>
  <c r="AD31" i="4" s="1"/>
  <c r="AE27" i="4" s="1"/>
  <c r="AC20" i="4" s="1"/>
  <c r="AD17" i="4" s="1"/>
  <c r="K59" i="4"/>
  <c r="J59" i="4"/>
  <c r="I59" i="4"/>
  <c r="H59" i="4"/>
  <c r="G59" i="4"/>
  <c r="F59" i="4"/>
  <c r="E59" i="4"/>
  <c r="AC29" i="4" s="1"/>
  <c r="K58" i="4"/>
  <c r="J58" i="4"/>
  <c r="I58" i="4"/>
  <c r="H58" i="4"/>
  <c r="G58" i="4"/>
  <c r="F58" i="4"/>
  <c r="E58" i="4"/>
  <c r="K57" i="4"/>
  <c r="H57" i="4"/>
  <c r="F57" i="4"/>
  <c r="AE5" i="4"/>
  <c r="AF1" i="4"/>
  <c r="F27" i="4"/>
  <c r="E27" i="4" s="1"/>
  <c r="H27" i="4"/>
  <c r="I27" i="4" s="1"/>
  <c r="Q32" i="9"/>
  <c r="Q31" i="9"/>
  <c r="Q30" i="9"/>
  <c r="B53" i="9" s="1"/>
  <c r="Q29" i="9"/>
  <c r="P32" i="9"/>
  <c r="P29" i="9"/>
  <c r="P31" i="9"/>
  <c r="P30" i="9"/>
  <c r="B52" i="9" s="1"/>
  <c r="V28" i="9"/>
  <c r="T28" i="9"/>
  <c r="W28" i="9"/>
  <c r="U28" i="9"/>
  <c r="T27" i="9"/>
  <c r="U27" i="9"/>
  <c r="AE27" i="9" s="1"/>
  <c r="V27" i="9"/>
  <c r="AF27" i="9" s="1"/>
  <c r="W27" i="9"/>
  <c r="AG27" i="9" s="1"/>
  <c r="W25" i="9"/>
  <c r="AG25" i="9" s="1"/>
  <c r="V25" i="9"/>
  <c r="AF25" i="9" s="1"/>
  <c r="T25" i="9"/>
  <c r="U25" i="9"/>
  <c r="AE25" i="9" s="1"/>
  <c r="V24" i="9"/>
  <c r="AF24" i="9" s="1"/>
  <c r="T24" i="9"/>
  <c r="W24" i="9"/>
  <c r="AG24" i="9" s="1"/>
  <c r="U24" i="9"/>
  <c r="AE24" i="9" s="1"/>
  <c r="T23" i="9"/>
  <c r="U23" i="9"/>
  <c r="AE23" i="9" s="1"/>
  <c r="V23" i="9"/>
  <c r="AF23" i="9" s="1"/>
  <c r="W23" i="9"/>
  <c r="AG23" i="9" s="1"/>
  <c r="U22" i="9"/>
  <c r="T22" i="9"/>
  <c r="AA22" i="9" s="1"/>
  <c r="V22" i="9"/>
  <c r="W22" i="9"/>
  <c r="V20" i="9"/>
  <c r="AF20" i="9" s="1"/>
  <c r="U20" i="9"/>
  <c r="AE20" i="9" s="1"/>
  <c r="W20" i="9"/>
  <c r="AG20" i="9" s="1"/>
  <c r="T20" i="9"/>
  <c r="X32" i="9"/>
  <c r="X29" i="9"/>
  <c r="X30" i="9"/>
  <c r="X31" i="9"/>
  <c r="U19" i="9"/>
  <c r="AE19" i="9" s="1"/>
  <c r="V19" i="9"/>
  <c r="AF19" i="9" s="1"/>
  <c r="W19" i="9"/>
  <c r="AG19" i="9" s="1"/>
  <c r="T19" i="9"/>
  <c r="P13" i="7"/>
  <c r="AD34" i="4"/>
  <c r="R13" i="7"/>
  <c r="F13" i="7"/>
  <c r="J13" i="7"/>
  <c r="S13" i="7"/>
  <c r="N13" i="7"/>
  <c r="I13" i="7"/>
  <c r="B13" i="7"/>
  <c r="U13" i="7"/>
  <c r="W13" i="7"/>
  <c r="G13" i="7"/>
  <c r="H13" i="7"/>
  <c r="O13" i="7"/>
  <c r="K13" i="7"/>
  <c r="T13" i="7"/>
  <c r="Q13" i="7"/>
  <c r="M13" i="7"/>
  <c r="V13" i="7"/>
  <c r="L13" i="7"/>
  <c r="I14" i="7"/>
  <c r="M14" i="7"/>
  <c r="S14" i="7"/>
  <c r="Q14" i="7"/>
  <c r="N14" i="7"/>
  <c r="P14" i="7"/>
  <c r="AD35" i="4"/>
  <c r="T14" i="7"/>
  <c r="W14" i="7"/>
  <c r="V14" i="7"/>
  <c r="U14" i="7"/>
  <c r="O14" i="7"/>
  <c r="L14" i="7"/>
  <c r="G14" i="7"/>
  <c r="H14" i="7"/>
  <c r="B14" i="7"/>
  <c r="R14" i="7"/>
  <c r="J14" i="7"/>
  <c r="F14" i="7"/>
  <c r="K14" i="7"/>
  <c r="AD36" i="4"/>
  <c r="B15" i="7" s="1"/>
  <c r="Q15" i="7"/>
  <c r="O15" i="7"/>
  <c r="L15" i="7"/>
  <c r="I15" i="7"/>
  <c r="F15" i="7"/>
  <c r="G15" i="7"/>
  <c r="W15" i="7"/>
  <c r="U15" i="7"/>
  <c r="S15" i="7"/>
  <c r="V15" i="7"/>
  <c r="T15" i="7"/>
  <c r="R15" i="7"/>
  <c r="N15" i="7"/>
  <c r="K15" i="7"/>
  <c r="H15" i="7"/>
  <c r="J15" i="7"/>
  <c r="M15" i="7"/>
  <c r="P15" i="7"/>
  <c r="H16" i="7"/>
  <c r="W16" i="7"/>
  <c r="T16" i="7"/>
  <c r="Q16" i="7"/>
  <c r="M16" i="7"/>
  <c r="J16" i="7"/>
  <c r="F16" i="7"/>
  <c r="V16" i="7"/>
  <c r="S16" i="7"/>
  <c r="L16" i="7"/>
  <c r="I16" i="7"/>
  <c r="G16" i="7"/>
  <c r="R16" i="7"/>
  <c r="P16" i="7"/>
  <c r="N16" i="7"/>
  <c r="O16" i="7"/>
  <c r="K16" i="7"/>
  <c r="U16" i="7"/>
  <c r="AD37" i="4"/>
  <c r="B16" i="7" s="1"/>
  <c r="J17" i="7"/>
  <c r="G17" i="7"/>
  <c r="Q17" i="7"/>
  <c r="F17" i="7"/>
  <c r="I17" i="7"/>
  <c r="L17" i="7"/>
  <c r="P17" i="7"/>
  <c r="T17" i="7"/>
  <c r="U17" i="7"/>
  <c r="M17" i="7"/>
  <c r="AD38" i="4"/>
  <c r="B17" i="7" s="1"/>
  <c r="B35" i="7" s="1"/>
  <c r="B54" i="7" s="1"/>
  <c r="H17" i="7"/>
  <c r="K17" i="7"/>
  <c r="O17" i="7"/>
  <c r="S17" i="7"/>
  <c r="V17" i="7"/>
  <c r="W17" i="7"/>
  <c r="R17" i="7"/>
  <c r="N17" i="7"/>
  <c r="O18" i="7"/>
  <c r="Q18" i="7"/>
  <c r="U18" i="7"/>
  <c r="K18" i="7"/>
  <c r="I18" i="7"/>
  <c r="M18" i="7"/>
  <c r="H18" i="7"/>
  <c r="P18" i="7"/>
  <c r="AD39" i="4"/>
  <c r="S18" i="7"/>
  <c r="F18" i="7"/>
  <c r="J18" i="7"/>
  <c r="N18" i="7"/>
  <c r="R18" i="7"/>
  <c r="V18" i="7"/>
  <c r="W18" i="7"/>
  <c r="L18" i="7"/>
  <c r="B18" i="7"/>
  <c r="G18" i="7"/>
  <c r="T18" i="7"/>
  <c r="J19" i="7"/>
  <c r="I19" i="7"/>
  <c r="V19" i="7"/>
  <c r="M19" i="7"/>
  <c r="F19" i="7"/>
  <c r="R19" i="7"/>
  <c r="K19" i="7"/>
  <c r="P19" i="7"/>
  <c r="U19" i="7"/>
  <c r="G19" i="7"/>
  <c r="L19" i="7"/>
  <c r="O19" i="7"/>
  <c r="Q19" i="7"/>
  <c r="S19" i="7"/>
  <c r="W19" i="7"/>
  <c r="T19" i="7"/>
  <c r="N19" i="7"/>
  <c r="AD40" i="4"/>
  <c r="B19" i="7" s="1"/>
  <c r="B37" i="7" s="1"/>
  <c r="B56" i="7" s="1"/>
  <c r="H19" i="7"/>
  <c r="P20" i="7"/>
  <c r="L20" i="7"/>
  <c r="V20" i="7"/>
  <c r="T20" i="7"/>
  <c r="O20" i="7"/>
  <c r="AD41" i="4"/>
  <c r="B20" i="7" s="1"/>
  <c r="I20" i="7"/>
  <c r="R20" i="7"/>
  <c r="H20" i="7"/>
  <c r="K20" i="7"/>
  <c r="G20" i="7"/>
  <c r="N20" i="7"/>
  <c r="Q20" i="7"/>
  <c r="W20" i="7"/>
  <c r="F20" i="7"/>
  <c r="J20" i="7"/>
  <c r="M20" i="7"/>
  <c r="S20" i="7"/>
  <c r="U20" i="7"/>
  <c r="U21" i="7"/>
  <c r="AD42" i="4"/>
  <c r="B21" i="7" s="1"/>
  <c r="V21" i="7"/>
  <c r="O21" i="7"/>
  <c r="L21" i="7"/>
  <c r="H21" i="7"/>
  <c r="F21" i="7"/>
  <c r="G21" i="7"/>
  <c r="Q21" i="7"/>
  <c r="T21" i="7"/>
  <c r="I21" i="7"/>
  <c r="M21" i="7"/>
  <c r="K21" i="7"/>
  <c r="J21" i="7"/>
  <c r="P21" i="7"/>
  <c r="S21" i="7"/>
  <c r="W21" i="7"/>
  <c r="N21" i="7"/>
  <c r="R21" i="7"/>
  <c r="AD43" i="4"/>
  <c r="N22" i="7"/>
  <c r="B22" i="7"/>
  <c r="H22" i="7"/>
  <c r="K22" i="7"/>
  <c r="Q22" i="7"/>
  <c r="T22" i="7"/>
  <c r="W22" i="7"/>
  <c r="V22" i="7"/>
  <c r="F22" i="7"/>
  <c r="P22" i="7"/>
  <c r="M22" i="7"/>
  <c r="J22" i="7"/>
  <c r="G22" i="7"/>
  <c r="S22" i="7"/>
  <c r="U22" i="7"/>
  <c r="O22" i="7"/>
  <c r="R22" i="7"/>
  <c r="L22" i="7"/>
  <c r="I22" i="7"/>
  <c r="I23" i="7"/>
  <c r="L23" i="7"/>
  <c r="J23" i="7"/>
  <c r="G23" i="7"/>
  <c r="V23" i="7"/>
  <c r="AD44" i="4"/>
  <c r="K23" i="7"/>
  <c r="M23" i="7"/>
  <c r="P23" i="7"/>
  <c r="S23" i="7"/>
  <c r="U23" i="7"/>
  <c r="H23" i="7"/>
  <c r="F23" i="7"/>
  <c r="Q23" i="7"/>
  <c r="N23" i="7"/>
  <c r="T23" i="7"/>
  <c r="W23" i="7"/>
  <c r="R23" i="7"/>
  <c r="O23" i="7"/>
  <c r="B23" i="7"/>
  <c r="S24" i="7"/>
  <c r="U24" i="7"/>
  <c r="R24" i="7"/>
  <c r="O24" i="7"/>
  <c r="L24" i="7"/>
  <c r="I24" i="7"/>
  <c r="F24" i="7"/>
  <c r="V24" i="7"/>
  <c r="W24" i="7"/>
  <c r="T24" i="7"/>
  <c r="Q24" i="7"/>
  <c r="AD45" i="4"/>
  <c r="K24" i="7"/>
  <c r="H24" i="7"/>
  <c r="B24" i="7"/>
  <c r="N24" i="7"/>
  <c r="G24" i="7"/>
  <c r="J24" i="7"/>
  <c r="M24" i="7"/>
  <c r="P24" i="7"/>
  <c r="L25" i="7"/>
  <c r="O25" i="7"/>
  <c r="R25" i="7"/>
  <c r="W25" i="7"/>
  <c r="K25" i="7"/>
  <c r="H25" i="7"/>
  <c r="M25" i="7"/>
  <c r="T25" i="7"/>
  <c r="U25" i="7"/>
  <c r="S25" i="7"/>
  <c r="P25" i="7"/>
  <c r="V25" i="7"/>
  <c r="I25" i="7"/>
  <c r="F25" i="7"/>
  <c r="Q25" i="7"/>
  <c r="N25" i="7"/>
  <c r="J25" i="7"/>
  <c r="AD46" i="4"/>
  <c r="B25" i="7" s="1"/>
  <c r="G25" i="7"/>
  <c r="F29" i="7"/>
  <c r="H29" i="7"/>
  <c r="N29" i="7"/>
  <c r="L29" i="7"/>
  <c r="R29" i="7"/>
  <c r="T29" i="7"/>
  <c r="F31" i="7"/>
  <c r="P31" i="7"/>
  <c r="R31" i="7"/>
  <c r="L31" i="7"/>
  <c r="I31" i="7"/>
  <c r="V31" i="7"/>
  <c r="U31" i="7"/>
  <c r="G31" i="7"/>
  <c r="J31" i="7"/>
  <c r="M31" i="7"/>
  <c r="S31" i="7"/>
  <c r="W31" i="7"/>
  <c r="T31" i="7"/>
  <c r="Q31" i="7"/>
  <c r="N31" i="7"/>
  <c r="K31" i="7"/>
  <c r="H31" i="7"/>
  <c r="O31" i="7"/>
  <c r="R32" i="7"/>
  <c r="O32" i="7"/>
  <c r="L32" i="7"/>
  <c r="P32" i="7"/>
  <c r="J32" i="7"/>
  <c r="G32" i="7"/>
  <c r="H32" i="7"/>
  <c r="S32" i="7"/>
  <c r="V32" i="7"/>
  <c r="F32" i="7"/>
  <c r="I32" i="7"/>
  <c r="W32" i="7"/>
  <c r="T32" i="7"/>
  <c r="M32" i="7"/>
  <c r="Q32" i="7"/>
  <c r="N32" i="7"/>
  <c r="K32" i="7"/>
  <c r="U32" i="7"/>
  <c r="T33" i="7"/>
  <c r="V33" i="7"/>
  <c r="S33" i="7"/>
  <c r="N33" i="7"/>
  <c r="K33" i="7"/>
  <c r="H33" i="7"/>
  <c r="I33" i="7"/>
  <c r="W33" i="7"/>
  <c r="R33" i="7"/>
  <c r="P33" i="7"/>
  <c r="M33" i="7"/>
  <c r="J33" i="7"/>
  <c r="G33" i="7"/>
  <c r="U33" i="7"/>
  <c r="Q33" i="7"/>
  <c r="O33" i="7"/>
  <c r="L33" i="7"/>
  <c r="F33" i="7"/>
  <c r="Q34" i="7"/>
  <c r="H34" i="7"/>
  <c r="I34" i="7"/>
  <c r="L34" i="7"/>
  <c r="V34" i="7"/>
  <c r="U34" i="7"/>
  <c r="S34" i="7"/>
  <c r="P34" i="7"/>
  <c r="M34" i="7"/>
  <c r="J34" i="7"/>
  <c r="F34" i="7"/>
  <c r="O34" i="7"/>
  <c r="W34" i="7"/>
  <c r="R34" i="7"/>
  <c r="T34" i="7"/>
  <c r="G34" i="7"/>
  <c r="N34" i="7"/>
  <c r="K34" i="7"/>
  <c r="R35" i="7"/>
  <c r="Q35" i="7"/>
  <c r="M35" i="7"/>
  <c r="L35" i="7"/>
  <c r="J35" i="7"/>
  <c r="H35" i="7"/>
  <c r="G35" i="7"/>
  <c r="I35" i="7"/>
  <c r="F35" i="7"/>
  <c r="O35" i="7"/>
  <c r="S35" i="7"/>
  <c r="V35" i="7"/>
  <c r="N35" i="7"/>
  <c r="P35" i="7"/>
  <c r="K35" i="7"/>
  <c r="W35" i="7"/>
  <c r="U35" i="7"/>
  <c r="T35" i="7"/>
  <c r="K36" i="7"/>
  <c r="R36" i="7"/>
  <c r="T36" i="7"/>
  <c r="O36" i="7"/>
  <c r="Q36" i="7"/>
  <c r="S36" i="7"/>
  <c r="V36" i="7"/>
  <c r="U36" i="7"/>
  <c r="W36" i="7"/>
  <c r="J36" i="7"/>
  <c r="H36" i="7"/>
  <c r="F36" i="7"/>
  <c r="M36" i="7"/>
  <c r="I36" i="7"/>
  <c r="G36" i="7"/>
  <c r="L36" i="7"/>
  <c r="N36" i="7"/>
  <c r="P36" i="7"/>
  <c r="K37" i="7"/>
  <c r="I37" i="7"/>
  <c r="O37" i="7"/>
  <c r="F37" i="7"/>
  <c r="H37" i="7"/>
  <c r="J37" i="7"/>
  <c r="L37" i="7"/>
  <c r="M37" i="7"/>
  <c r="N37" i="7"/>
  <c r="T37" i="7"/>
  <c r="P37" i="7"/>
  <c r="R37" i="7"/>
  <c r="S37" i="7"/>
  <c r="U37" i="7"/>
  <c r="V37" i="7"/>
  <c r="W37" i="7"/>
  <c r="Q37" i="7"/>
  <c r="G37" i="7"/>
  <c r="L38" i="7"/>
  <c r="M38" i="7"/>
  <c r="I38" i="7"/>
  <c r="J38" i="7"/>
  <c r="Q38" i="7"/>
  <c r="F38" i="7"/>
  <c r="W38" i="7"/>
  <c r="V38" i="7"/>
  <c r="T38" i="7"/>
  <c r="G38" i="7"/>
  <c r="H38" i="7"/>
  <c r="K38" i="7"/>
  <c r="S38" i="7"/>
  <c r="R38" i="7"/>
  <c r="P38" i="7"/>
  <c r="O38" i="7"/>
  <c r="N38" i="7"/>
  <c r="U38" i="7"/>
  <c r="F39" i="7"/>
  <c r="G39" i="7"/>
  <c r="I39" i="7"/>
  <c r="J39" i="7"/>
  <c r="N39" i="7"/>
  <c r="O39" i="7"/>
  <c r="P39" i="7"/>
  <c r="R39" i="7"/>
  <c r="S39" i="7"/>
  <c r="T39" i="7"/>
  <c r="U39" i="7"/>
  <c r="V39" i="7"/>
  <c r="W39" i="7"/>
  <c r="K39" i="7"/>
  <c r="Q39" i="7"/>
  <c r="L39" i="7"/>
  <c r="M39" i="7"/>
  <c r="H39" i="7"/>
  <c r="U40" i="7"/>
  <c r="V40" i="7"/>
  <c r="W40" i="7"/>
  <c r="P40" i="7"/>
  <c r="M40" i="7"/>
  <c r="S40" i="7"/>
  <c r="T40" i="7"/>
  <c r="R40" i="7"/>
  <c r="Q40" i="7"/>
  <c r="I40" i="7"/>
  <c r="G40" i="7"/>
  <c r="H40" i="7"/>
  <c r="J40" i="7"/>
  <c r="K40" i="7"/>
  <c r="F40" i="7"/>
  <c r="L40" i="7"/>
  <c r="N40" i="7"/>
  <c r="O40" i="7"/>
  <c r="F41" i="7"/>
  <c r="P41" i="7"/>
  <c r="M41" i="7"/>
  <c r="G41" i="7"/>
  <c r="H41" i="7"/>
  <c r="I41" i="7"/>
  <c r="J41" i="7"/>
  <c r="K41" i="7"/>
  <c r="L41" i="7"/>
  <c r="S41" i="7"/>
  <c r="W41" i="7"/>
  <c r="V41" i="7"/>
  <c r="U41" i="7"/>
  <c r="T41" i="7"/>
  <c r="N41" i="7"/>
  <c r="O41" i="7"/>
  <c r="Q41" i="7"/>
  <c r="R41" i="7"/>
  <c r="W42" i="7"/>
  <c r="K42" i="7"/>
  <c r="F42" i="7"/>
  <c r="R42" i="7"/>
  <c r="G42" i="7"/>
  <c r="L42" i="7"/>
  <c r="H42" i="7"/>
  <c r="M42" i="7"/>
  <c r="N42" i="7"/>
  <c r="O42" i="7"/>
  <c r="P42" i="7"/>
  <c r="U42" i="7"/>
  <c r="Q42" i="7"/>
  <c r="S42" i="7"/>
  <c r="T42" i="7"/>
  <c r="V42" i="7"/>
  <c r="I42" i="7"/>
  <c r="J42" i="7"/>
  <c r="W43" i="7"/>
  <c r="N43" i="7"/>
  <c r="O43" i="7"/>
  <c r="P43" i="7"/>
  <c r="V43" i="7"/>
  <c r="U43" i="7"/>
  <c r="T43" i="7"/>
  <c r="S43" i="7"/>
  <c r="R43" i="7"/>
  <c r="Q43" i="7"/>
  <c r="F43" i="7"/>
  <c r="G43" i="7"/>
  <c r="H43" i="7"/>
  <c r="I43" i="7"/>
  <c r="J43" i="7"/>
  <c r="K43" i="7"/>
  <c r="L43" i="7"/>
  <c r="M43" i="7"/>
  <c r="H48" i="7"/>
  <c r="F48" i="7"/>
  <c r="N48" i="7"/>
  <c r="L48" i="7"/>
  <c r="U50" i="7"/>
  <c r="T50" i="7"/>
  <c r="S50" i="7"/>
  <c r="P50" i="7"/>
  <c r="Q50" i="7"/>
  <c r="G50" i="7"/>
  <c r="R50" i="7"/>
  <c r="V50" i="7"/>
  <c r="W50" i="7"/>
  <c r="F50" i="7"/>
  <c r="N50" i="7"/>
  <c r="H50" i="7"/>
  <c r="I50" i="7"/>
  <c r="J50" i="7"/>
  <c r="L50" i="7"/>
  <c r="M50" i="7"/>
  <c r="K50" i="7"/>
  <c r="O50" i="7"/>
  <c r="P51" i="7"/>
  <c r="T51" i="7"/>
  <c r="M51" i="7"/>
  <c r="L51" i="7"/>
  <c r="K51" i="7"/>
  <c r="J51" i="7"/>
  <c r="Q51" i="7"/>
  <c r="R51" i="7"/>
  <c r="O51" i="7"/>
  <c r="V51" i="7"/>
  <c r="W51" i="7"/>
  <c r="U51" i="7"/>
  <c r="N51" i="7"/>
  <c r="I51" i="7"/>
  <c r="H51" i="7"/>
  <c r="G51" i="7"/>
  <c r="F51" i="7"/>
  <c r="S51" i="7"/>
  <c r="P52" i="7"/>
  <c r="O52" i="7"/>
  <c r="M52" i="7"/>
  <c r="N52" i="7"/>
  <c r="K52" i="7"/>
  <c r="L52" i="7"/>
  <c r="F52" i="7"/>
  <c r="V52" i="7"/>
  <c r="G52" i="7"/>
  <c r="H52" i="7"/>
  <c r="U52" i="7"/>
  <c r="J52" i="7"/>
  <c r="W52" i="7"/>
  <c r="S52" i="7"/>
  <c r="R52" i="7"/>
  <c r="T52" i="7"/>
  <c r="Q52" i="7"/>
  <c r="I52" i="7"/>
  <c r="L53" i="7"/>
  <c r="M53" i="7"/>
  <c r="N53" i="7"/>
  <c r="O53" i="7"/>
  <c r="P53" i="7"/>
  <c r="Q53" i="7"/>
  <c r="R53" i="7"/>
  <c r="S53" i="7"/>
  <c r="T53" i="7"/>
  <c r="U53" i="7"/>
  <c r="V53" i="7"/>
  <c r="W53" i="7"/>
  <c r="I53" i="7"/>
  <c r="F53" i="7"/>
  <c r="G53" i="7"/>
  <c r="H53" i="7"/>
  <c r="J53" i="7"/>
  <c r="K53" i="7"/>
  <c r="K54" i="7"/>
  <c r="J54" i="7"/>
  <c r="I54" i="7"/>
  <c r="H54" i="7"/>
  <c r="G54" i="7"/>
  <c r="F54" i="7"/>
  <c r="T54" i="7"/>
  <c r="N54" i="7"/>
  <c r="W54" i="7"/>
  <c r="V54" i="7"/>
  <c r="U54" i="7"/>
  <c r="L54" i="7"/>
  <c r="M54" i="7"/>
  <c r="S54" i="7"/>
  <c r="R54" i="7"/>
  <c r="Q54" i="7"/>
  <c r="P54" i="7"/>
  <c r="O54" i="7"/>
  <c r="F55" i="7"/>
  <c r="M55" i="7"/>
  <c r="G55" i="7"/>
  <c r="L55" i="7"/>
  <c r="S55" i="7"/>
  <c r="K55" i="7"/>
  <c r="J55" i="7"/>
  <c r="I55" i="7"/>
  <c r="H55" i="7"/>
  <c r="N55" i="7"/>
  <c r="W55" i="7"/>
  <c r="V55" i="7"/>
  <c r="U55" i="7"/>
  <c r="T55" i="7"/>
  <c r="R55" i="7"/>
  <c r="Q55" i="7"/>
  <c r="P55" i="7"/>
  <c r="O55" i="7"/>
  <c r="H56" i="7"/>
  <c r="G56" i="7"/>
  <c r="N56" i="7"/>
  <c r="O56" i="7"/>
  <c r="P56" i="7"/>
  <c r="Q56" i="7"/>
  <c r="R56" i="7"/>
  <c r="L56" i="7"/>
  <c r="M56" i="7"/>
  <c r="U56" i="7"/>
  <c r="F56" i="7"/>
  <c r="I56" i="7"/>
  <c r="V56" i="7"/>
  <c r="W56" i="7"/>
  <c r="J56" i="7"/>
  <c r="K56" i="7"/>
  <c r="S56" i="7"/>
  <c r="T56" i="7"/>
  <c r="R57" i="7"/>
  <c r="S57" i="7"/>
  <c r="T57" i="7"/>
  <c r="U57" i="7"/>
  <c r="V57" i="7"/>
  <c r="W57" i="7"/>
  <c r="F57" i="7"/>
  <c r="G57" i="7"/>
  <c r="H57" i="7"/>
  <c r="I57" i="7"/>
  <c r="J57" i="7"/>
  <c r="K57" i="7"/>
  <c r="L57" i="7"/>
  <c r="M57" i="7"/>
  <c r="N57" i="7"/>
  <c r="O57" i="7"/>
  <c r="P57" i="7"/>
  <c r="Q57" i="7"/>
  <c r="G58" i="7"/>
  <c r="T58" i="7"/>
  <c r="S58" i="7"/>
  <c r="F58" i="7"/>
  <c r="R58" i="7"/>
  <c r="Q58" i="7"/>
  <c r="M58" i="7"/>
  <c r="P58" i="7"/>
  <c r="O58" i="7"/>
  <c r="N58" i="7"/>
  <c r="L58" i="7"/>
  <c r="K58" i="7"/>
  <c r="J58" i="7"/>
  <c r="I58" i="7"/>
  <c r="H58" i="7"/>
  <c r="U58" i="7"/>
  <c r="V58" i="7"/>
  <c r="W58" i="7"/>
  <c r="V59" i="7"/>
  <c r="U59" i="7"/>
  <c r="T59" i="7"/>
  <c r="S59" i="7"/>
  <c r="R59" i="7"/>
  <c r="P59" i="7"/>
  <c r="O59" i="7"/>
  <c r="N59" i="7"/>
  <c r="M59" i="7"/>
  <c r="I59" i="7"/>
  <c r="Q59" i="7"/>
  <c r="L59" i="7"/>
  <c r="K59" i="7"/>
  <c r="W59" i="7"/>
  <c r="F59" i="7"/>
  <c r="G59" i="7"/>
  <c r="H59" i="7"/>
  <c r="J59" i="7"/>
  <c r="L60" i="7"/>
  <c r="N60" i="7"/>
  <c r="O60" i="7"/>
  <c r="P60" i="7"/>
  <c r="Q60" i="7"/>
  <c r="G60" i="7"/>
  <c r="M60" i="7"/>
  <c r="H60" i="7"/>
  <c r="I60" i="7"/>
  <c r="F60" i="7"/>
  <c r="J60" i="7"/>
  <c r="R60" i="7"/>
  <c r="K60" i="7"/>
  <c r="S60" i="7"/>
  <c r="T60" i="7"/>
  <c r="U60" i="7"/>
  <c r="V60" i="7"/>
  <c r="W60" i="7"/>
  <c r="M61" i="7"/>
  <c r="W61" i="7"/>
  <c r="F61" i="7"/>
  <c r="G61" i="7"/>
  <c r="H61" i="7"/>
  <c r="I61" i="7"/>
  <c r="J61" i="7"/>
  <c r="K61" i="7"/>
  <c r="L61" i="7"/>
  <c r="N61" i="7"/>
  <c r="O61" i="7"/>
  <c r="P61" i="7"/>
  <c r="Q61" i="7"/>
  <c r="R61" i="7"/>
  <c r="S61" i="7"/>
  <c r="T61" i="7"/>
  <c r="U61" i="7"/>
  <c r="V61" i="7"/>
  <c r="V62" i="7"/>
  <c r="N62" i="7"/>
  <c r="W62" i="7"/>
  <c r="U62" i="7"/>
  <c r="T62" i="7"/>
  <c r="S62" i="7"/>
  <c r="R62" i="7"/>
  <c r="Q62" i="7"/>
  <c r="P62" i="7"/>
  <c r="O62" i="7"/>
  <c r="M62" i="7"/>
  <c r="L62" i="7"/>
  <c r="K62" i="7"/>
  <c r="J62" i="7"/>
  <c r="I62" i="7"/>
  <c r="H62" i="7"/>
  <c r="G62" i="7"/>
  <c r="F62" i="7"/>
  <c r="AM1" i="4"/>
  <c r="AN1" i="4"/>
  <c r="AL1" i="4"/>
  <c r="AG1" i="4" l="1"/>
  <c r="AF5" i="4"/>
  <c r="B36" i="7"/>
  <c r="B55" i="7" s="1"/>
  <c r="B41" i="7"/>
  <c r="B60" i="7" s="1"/>
  <c r="B39" i="7" s="1"/>
  <c r="B58" i="7" s="1"/>
  <c r="B33" i="7" s="1"/>
  <c r="B52" i="7" s="1"/>
  <c r="B43" i="7" s="1"/>
  <c r="B62" i="7" s="1"/>
  <c r="B34" i="7" s="1"/>
  <c r="B53" i="7" s="1"/>
  <c r="AG2" i="4"/>
  <c r="J27" i="4"/>
  <c r="C53" i="9"/>
  <c r="D53" i="9"/>
  <c r="E53" i="9" s="1"/>
  <c r="C52" i="9"/>
  <c r="D52" i="9"/>
  <c r="E52" i="9" s="1"/>
  <c r="B50" i="9"/>
  <c r="C50" i="9" s="1"/>
  <c r="D50" i="9" s="1"/>
  <c r="E50" i="9" s="1"/>
  <c r="AA28" i="9"/>
  <c r="AD27" i="9"/>
  <c r="AA27" i="9"/>
  <c r="AA25" i="9"/>
  <c r="AD25" i="9"/>
  <c r="AA24" i="9"/>
  <c r="AD24" i="9"/>
  <c r="AD23" i="9"/>
  <c r="AA23" i="9"/>
  <c r="AA20" i="9"/>
  <c r="AD20" i="9"/>
  <c r="U29" i="9"/>
  <c r="U31" i="9"/>
  <c r="U30" i="9"/>
  <c r="U32" i="9"/>
  <c r="V31" i="9"/>
  <c r="V29" i="9"/>
  <c r="V32" i="9"/>
  <c r="V30" i="9"/>
  <c r="W29" i="9"/>
  <c r="W31" i="9"/>
  <c r="W30" i="9"/>
  <c r="W32" i="9"/>
  <c r="AD19" i="9"/>
  <c r="AA19" i="9"/>
  <c r="K25" i="4"/>
  <c r="H11" i="7"/>
  <c r="B7" i="7"/>
  <c r="I11" i="7"/>
  <c r="G11" i="7"/>
  <c r="F11" i="7"/>
  <c r="J11" i="7"/>
  <c r="F28" i="7"/>
  <c r="AA3" i="4"/>
  <c r="AA2" i="4"/>
  <c r="AA4" i="4" s="1"/>
  <c r="AG5" i="4" l="1"/>
  <c r="AH1" i="4"/>
  <c r="AF30" i="4"/>
  <c r="AE21" i="4" s="1"/>
  <c r="AE29" i="4" s="1"/>
  <c r="AD26" i="4" s="1"/>
  <c r="AE23" i="4" s="1"/>
  <c r="AD12" i="4" s="1"/>
  <c r="AE16" i="4" s="1"/>
  <c r="AD13" i="4" s="1"/>
  <c r="AD10" i="4" s="1"/>
  <c r="AF29" i="4" s="1"/>
  <c r="AC22" i="4" s="1"/>
  <c r="AC13" i="4" s="1"/>
  <c r="AD7" i="4" s="1"/>
  <c r="AF31" i="4" s="1"/>
  <c r="AD27" i="4" s="1"/>
  <c r="AF25" i="4" s="1"/>
  <c r="AD16" i="4" s="1"/>
  <c r="AE28" i="4" s="1"/>
  <c r="AE30" i="4" s="1"/>
  <c r="AD30" i="4" s="1"/>
  <c r="AE22" i="4" s="1"/>
  <c r="AD29" i="4" s="1"/>
  <c r="AD9" i="4" s="1"/>
  <c r="AF16" i="4" s="1"/>
  <c r="AD11" i="4" s="1"/>
  <c r="AC2" i="4" s="1"/>
  <c r="AC28" i="4" s="1"/>
  <c r="AE25" i="4" s="1"/>
  <c r="AD19" i="4" s="1"/>
  <c r="AD15" i="4" s="1"/>
  <c r="AD22" i="4" s="1"/>
  <c r="AD28" i="4" s="1"/>
  <c r="AE24" i="4" s="1"/>
  <c r="AD21" i="4" s="1"/>
  <c r="AF8" i="4" s="1"/>
  <c r="AC31" i="4" s="1"/>
  <c r="AD24" i="4" s="1"/>
  <c r="AE18" i="4" s="1"/>
  <c r="AF14" i="4" s="1"/>
  <c r="AD8" i="4" s="1"/>
  <c r="AF12" i="4" s="1"/>
  <c r="AE20" i="4" s="1"/>
  <c r="AF10" i="4" s="1"/>
  <c r="AD20" i="4" s="1"/>
  <c r="AC6" i="4" s="1"/>
  <c r="AC26" i="4" s="1"/>
  <c r="AD2" i="4" s="1"/>
  <c r="AC21" i="4" s="1"/>
  <c r="AF2" i="4" s="1"/>
  <c r="AE17" i="4" s="1"/>
  <c r="AD23" i="4" s="1"/>
  <c r="B31" i="7" s="1"/>
  <c r="B50" i="7" s="1"/>
  <c r="AF27" i="4"/>
  <c r="AF28" i="4"/>
  <c r="AF13" i="4"/>
  <c r="AF15" i="4"/>
  <c r="AF20" i="4"/>
  <c r="AF26" i="4"/>
  <c r="AF9" i="4"/>
  <c r="AF19" i="4"/>
  <c r="AF22" i="4"/>
  <c r="AF3" i="4"/>
  <c r="AF21" i="4"/>
  <c r="AF17" i="4"/>
  <c r="AF7" i="4"/>
  <c r="AF6" i="4"/>
  <c r="AF23" i="4"/>
  <c r="AF11" i="4"/>
  <c r="AF18" i="4"/>
  <c r="AF24" i="4"/>
  <c r="K27" i="4"/>
  <c r="AI2" i="4" s="1"/>
  <c r="AH2" i="4"/>
  <c r="B40" i="7" s="1"/>
  <c r="B59" i="7" s="1"/>
  <c r="B42" i="7" s="1"/>
  <c r="B61" i="7" s="1"/>
  <c r="B38" i="7" s="1"/>
  <c r="B57" i="7" s="1"/>
  <c r="B32" i="7" s="1"/>
  <c r="B51" i="7" s="1"/>
  <c r="T29" i="9"/>
  <c r="B48" i="9" s="1"/>
  <c r="C48" i="9" s="1"/>
  <c r="D48" i="9" s="1"/>
  <c r="E48" i="9" s="1"/>
  <c r="T32" i="9"/>
  <c r="T31" i="9"/>
  <c r="T30" i="9"/>
  <c r="B51" i="9" s="1"/>
  <c r="C51" i="9" s="1"/>
  <c r="D51" i="9" s="1"/>
  <c r="E51" i="9" s="1"/>
  <c r="AG27" i="4" l="1"/>
  <c r="AG29" i="4"/>
  <c r="AG30" i="4"/>
  <c r="AG31" i="4"/>
  <c r="AG28" i="4"/>
  <c r="AG3" i="4"/>
  <c r="AG19" i="4"/>
  <c r="AG23" i="4"/>
  <c r="AG14" i="4"/>
  <c r="AG11" i="4"/>
  <c r="AG21" i="4"/>
  <c r="AG16" i="4"/>
  <c r="AG17" i="4"/>
  <c r="AG9" i="4"/>
  <c r="AG8" i="4"/>
  <c r="AG6" i="4"/>
  <c r="AG18" i="4"/>
  <c r="AG22" i="4"/>
  <c r="AG12" i="4"/>
  <c r="AG26" i="4"/>
  <c r="AG25" i="4"/>
  <c r="AG10" i="4"/>
  <c r="AG13" i="4"/>
  <c r="AG7" i="4"/>
  <c r="AG15" i="4"/>
  <c r="AG20" i="4"/>
  <c r="AG24" i="4"/>
  <c r="AH5" i="4"/>
  <c r="AI1" i="4"/>
  <c r="AI5" i="4" s="1"/>
  <c r="AH31" i="4" l="1"/>
  <c r="AH27" i="4"/>
  <c r="AH28" i="4"/>
  <c r="AH30" i="4"/>
  <c r="AH29" i="4"/>
  <c r="AH3" i="4"/>
  <c r="AH15" i="4"/>
  <c r="AH7" i="4"/>
  <c r="AH24" i="4"/>
  <c r="AH20" i="4"/>
  <c r="AH8" i="4"/>
  <c r="AH21" i="4"/>
  <c r="AH22" i="4"/>
  <c r="AH25" i="4"/>
  <c r="AH6" i="4"/>
  <c r="AH18" i="4"/>
  <c r="AH14" i="4"/>
  <c r="AH9" i="4"/>
  <c r="AH13" i="4"/>
  <c r="AH19" i="4"/>
  <c r="AH12" i="4"/>
  <c r="AH17" i="4"/>
  <c r="AH23" i="4"/>
  <c r="AH16" i="4"/>
  <c r="AH26" i="4"/>
  <c r="AH10" i="4"/>
  <c r="AH11" i="4"/>
  <c r="AI17" i="4"/>
  <c r="AI20" i="4" s="1"/>
  <c r="AI13" i="4" s="1"/>
  <c r="AI18" i="4" s="1"/>
  <c r="AI31" i="4"/>
  <c r="AI29" i="4"/>
  <c r="AI28" i="4"/>
  <c r="AI27" i="4"/>
  <c r="AI30" i="4"/>
  <c r="AI22" i="4" s="1"/>
  <c r="AI25" i="4" s="1"/>
  <c r="AI19" i="4" s="1"/>
  <c r="AI15" i="4" s="1"/>
  <c r="AI21" i="4" s="1"/>
  <c r="AI3" i="4"/>
  <c r="AI9" i="4"/>
  <c r="AI8" i="4"/>
  <c r="AI7" i="4"/>
  <c r="AI24" i="4"/>
  <c r="AI26" i="4"/>
  <c r="AI11" i="4"/>
  <c r="AI16" i="4"/>
  <c r="AI23" i="4"/>
  <c r="AI12" i="4"/>
  <c r="AI10" i="4"/>
  <c r="AI14" i="4"/>
  <c r="AI6" i="4"/>
</calcChain>
</file>

<file path=xl/sharedStrings.xml><?xml version="1.0" encoding="utf-8"?>
<sst xmlns="http://schemas.openxmlformats.org/spreadsheetml/2006/main" count="1101" uniqueCount="753">
  <si>
    <t>Net margin</t>
  </si>
  <si>
    <t>EBITDA margin</t>
  </si>
  <si>
    <t>Operating margin</t>
  </si>
  <si>
    <t>SG&amp;A / Sales</t>
  </si>
  <si>
    <t>Gross margin</t>
  </si>
  <si>
    <t>Net cash flows provided by / (used in) operating activities</t>
  </si>
  <si>
    <t>Net cash flow from operations</t>
  </si>
  <si>
    <t>(Increase) / decrease in working capital</t>
  </si>
  <si>
    <t>Change in working capital</t>
  </si>
  <si>
    <t>Capital expenditures</t>
  </si>
  <si>
    <t>Capex</t>
  </si>
  <si>
    <t>Net Debt</t>
  </si>
  <si>
    <t>Total non-current liabilities</t>
  </si>
  <si>
    <t>Non-Current Liabilities</t>
  </si>
  <si>
    <t>Total current liabilities</t>
  </si>
  <si>
    <t>Current Liabilities</t>
  </si>
  <si>
    <t>Total non-Current Assets</t>
  </si>
  <si>
    <t>Non-Current Assets</t>
  </si>
  <si>
    <t>Total Current Assets</t>
  </si>
  <si>
    <t>Current Assets</t>
  </si>
  <si>
    <t>Cash, short-term investments and marketable securities</t>
  </si>
  <si>
    <t>Cash and Equivalents</t>
  </si>
  <si>
    <t>Dividend per share</t>
  </si>
  <si>
    <t>DPS</t>
  </si>
  <si>
    <t>EPS-Diluted-Applicable to Common Stockholders, Primary</t>
  </si>
  <si>
    <t>EPS</t>
  </si>
  <si>
    <t>Net income / (loss), Primary</t>
  </si>
  <si>
    <t>NPAT</t>
  </si>
  <si>
    <t>Income / (loss) from continuing operations before income taxes</t>
  </si>
  <si>
    <t>Pre tax profit</t>
  </si>
  <si>
    <t>EBITDA, Primary</t>
  </si>
  <si>
    <t>EBITDA</t>
  </si>
  <si>
    <t>Operating income/(loss), Primary</t>
  </si>
  <si>
    <t>EBIT</t>
  </si>
  <si>
    <t>Total operating expenses</t>
  </si>
  <si>
    <t>Operating Expenses</t>
  </si>
  <si>
    <t>Selling, general and administrative expenses</t>
  </si>
  <si>
    <t>SG&amp;A</t>
  </si>
  <si>
    <t>Gross Profit / (loss)</t>
  </si>
  <si>
    <t>Gross Profit</t>
  </si>
  <si>
    <t>Sales</t>
  </si>
  <si>
    <t>SD</t>
  </si>
  <si>
    <t>Magnitude</t>
  </si>
  <si>
    <t>USD</t>
  </si>
  <si>
    <t>Millions</t>
  </si>
  <si>
    <t>M</t>
  </si>
  <si>
    <t>Actuals</t>
  </si>
  <si>
    <t>Abs</t>
  </si>
  <si>
    <t>Thousands</t>
  </si>
  <si>
    <t>K</t>
  </si>
  <si>
    <t>Billions</t>
  </si>
  <si>
    <t>B</t>
  </si>
  <si>
    <t>Trillions</t>
  </si>
  <si>
    <t>T</t>
  </si>
  <si>
    <t>support.CapIQPro@spglobal.com</t>
  </si>
  <si>
    <t>AED</t>
  </si>
  <si>
    <t>ARS</t>
  </si>
  <si>
    <t>AR$</t>
  </si>
  <si>
    <t>AUD</t>
  </si>
  <si>
    <t>BGN</t>
  </si>
  <si>
    <t>лв</t>
  </si>
  <si>
    <t>BHD</t>
  </si>
  <si>
    <t>BRL</t>
  </si>
  <si>
    <t>R$</t>
  </si>
  <si>
    <t>BSD</t>
  </si>
  <si>
    <t>CAD</t>
  </si>
  <si>
    <t>C$</t>
  </si>
  <si>
    <t>CHF</t>
  </si>
  <si>
    <t>CNY</t>
  </si>
  <si>
    <t>CRC</t>
  </si>
  <si>
    <t>EGP</t>
  </si>
  <si>
    <t>EUR</t>
  </si>
  <si>
    <t>€</t>
  </si>
  <si>
    <t>GBP</t>
  </si>
  <si>
    <t>£</t>
  </si>
  <si>
    <t>HKD</t>
  </si>
  <si>
    <t>HK$</t>
  </si>
  <si>
    <t>HUF</t>
  </si>
  <si>
    <t>IDR</t>
  </si>
  <si>
    <t>ILS</t>
  </si>
  <si>
    <t>INR</t>
  </si>
  <si>
    <t>JOD</t>
  </si>
  <si>
    <t>JPY</t>
  </si>
  <si>
    <t>¥</t>
  </si>
  <si>
    <t>KRW</t>
  </si>
  <si>
    <t>KWD</t>
  </si>
  <si>
    <t>LKR</t>
  </si>
  <si>
    <t>MXN</t>
  </si>
  <si>
    <t>MYR</t>
  </si>
  <si>
    <t>RM</t>
  </si>
  <si>
    <t>NOK</t>
  </si>
  <si>
    <t>NZD</t>
  </si>
  <si>
    <t>NZ$</t>
  </si>
  <si>
    <t>OMR</t>
  </si>
  <si>
    <t>PAB</t>
  </si>
  <si>
    <t>PHP</t>
  </si>
  <si>
    <t>PKR</t>
  </si>
  <si>
    <t>PLN</t>
  </si>
  <si>
    <t>QAR</t>
  </si>
  <si>
    <t>RUB</t>
  </si>
  <si>
    <t>SAR</t>
  </si>
  <si>
    <t>SEK</t>
  </si>
  <si>
    <t>SGD</t>
  </si>
  <si>
    <t>S$</t>
  </si>
  <si>
    <t>THB</t>
  </si>
  <si>
    <t>฿</t>
  </si>
  <si>
    <t>TWD</t>
  </si>
  <si>
    <t>NT$</t>
  </si>
  <si>
    <t>$</t>
  </si>
  <si>
    <t>ZAR</t>
  </si>
  <si>
    <t>R</t>
  </si>
  <si>
    <t>CLP</t>
  </si>
  <si>
    <t>PEN</t>
  </si>
  <si>
    <t>COP</t>
  </si>
  <si>
    <t>HNL</t>
  </si>
  <si>
    <t>L</t>
  </si>
  <si>
    <t>GTQ</t>
  </si>
  <si>
    <t>ALL</t>
  </si>
  <si>
    <t>TRY</t>
  </si>
  <si>
    <t>VND</t>
  </si>
  <si>
    <t>HRK</t>
  </si>
  <si>
    <t>ISK</t>
  </si>
  <si>
    <t>MAD</t>
  </si>
  <si>
    <t>RON</t>
  </si>
  <si>
    <t>RSD</t>
  </si>
  <si>
    <t>TND</t>
  </si>
  <si>
    <t>BDT</t>
  </si>
  <si>
    <t>AFN</t>
  </si>
  <si>
    <t>AMD</t>
  </si>
  <si>
    <t>AZN</t>
  </si>
  <si>
    <t>BAM</t>
  </si>
  <si>
    <t>KHR</t>
  </si>
  <si>
    <t>DOP</t>
  </si>
  <si>
    <t>GEL</t>
  </si>
  <si>
    <t>KES</t>
  </si>
  <si>
    <t>KGS</t>
  </si>
  <si>
    <t>MDL</t>
  </si>
  <si>
    <t>MNT</t>
  </si>
  <si>
    <t>WST</t>
  </si>
  <si>
    <t>TJS</t>
  </si>
  <si>
    <t>TMT</t>
  </si>
  <si>
    <t>UAH</t>
  </si>
  <si>
    <t>UZS</t>
  </si>
  <si>
    <t>BYN</t>
  </si>
  <si>
    <t>VES</t>
  </si>
  <si>
    <t>Symbol</t>
  </si>
  <si>
    <t>Code</t>
  </si>
  <si>
    <t>Please contact S&amp;P Capital IQ Pro Support with any questions or comments:</t>
  </si>
  <si>
    <t>Email:</t>
  </si>
  <si>
    <t>Total revenue</t>
  </si>
  <si>
    <t xml:space="preserve"> - growth YoY</t>
  </si>
  <si>
    <t>Select Metric ---&gt;</t>
  </si>
  <si>
    <t>Data</t>
  </si>
  <si>
    <t>Selected Metric</t>
  </si>
  <si>
    <t>Instructions:</t>
  </si>
  <si>
    <t>Chart 1 :</t>
  </si>
  <si>
    <t>Contact:</t>
  </si>
  <si>
    <t>Notes:</t>
  </si>
  <si>
    <t>Argentine Peso</t>
  </si>
  <si>
    <t>Armenian Dram</t>
  </si>
  <si>
    <t>Australian Dollar</t>
  </si>
  <si>
    <t>Bahamian Dollar</t>
  </si>
  <si>
    <t>Bahraini Dinar</t>
  </si>
  <si>
    <t>Belarusian Ruble</t>
  </si>
  <si>
    <t>Brazilian Real</t>
  </si>
  <si>
    <t>Bulgarian Lev</t>
  </si>
  <si>
    <t>Canadian Dollar</t>
  </si>
  <si>
    <t>Chilean Peso</t>
  </si>
  <si>
    <t>Colombian Peso</t>
  </si>
  <si>
    <t>Costa Rican Colon</t>
  </si>
  <si>
    <t>Croatian Kuna</t>
  </si>
  <si>
    <t>Dominican Peso</t>
  </si>
  <si>
    <t>Egyptian Pound</t>
  </si>
  <si>
    <t>Euro</t>
  </si>
  <si>
    <t>Hong Kong Dollar</t>
  </si>
  <si>
    <t>Indian Rupee</t>
  </si>
  <si>
    <t>Jordanian Dinar</t>
  </si>
  <si>
    <t>Kenyan Shilling</t>
  </si>
  <si>
    <t>Kuwaiti Dinar</t>
  </si>
  <si>
    <t>Malaysian Ringgit</t>
  </si>
  <si>
    <t>Mexican Peso</t>
  </si>
  <si>
    <t>Moldovan Leu</t>
  </si>
  <si>
    <t>New Israeli Shekel</t>
  </si>
  <si>
    <t>New Taiwan Dollar</t>
  </si>
  <si>
    <t>New Zealand Dollar</t>
  </si>
  <si>
    <t>Norwegian Krone</t>
  </si>
  <si>
    <t>Philippine Peso</t>
  </si>
  <si>
    <t>Qatari Rial</t>
  </si>
  <si>
    <t>Russian Ruble</t>
  </si>
  <si>
    <t>Saudi Riyal</t>
  </si>
  <si>
    <t>Serbian Dinar</t>
  </si>
  <si>
    <t>Singapore Dollar</t>
  </si>
  <si>
    <t>South African Rand</t>
  </si>
  <si>
    <t>South Korean Won</t>
  </si>
  <si>
    <t>Sri Lanka Rupee</t>
  </si>
  <si>
    <t>Swedish Krona</t>
  </si>
  <si>
    <t>Swiss Franc</t>
  </si>
  <si>
    <t>Tunisian Dinar</t>
  </si>
  <si>
    <t>(Ticker, Entity ID or Exchange:Ticker)</t>
  </si>
  <si>
    <r>
      <rPr>
        <b/>
        <sz val="8"/>
        <rFont val="Arial"/>
        <family val="2"/>
      </rPr>
      <t>Step 2</t>
    </r>
    <r>
      <rPr>
        <sz val="8"/>
        <rFont val="Arial"/>
        <family val="2"/>
      </rPr>
      <t>: Enter Latest Completed Year.</t>
    </r>
  </si>
  <si>
    <r>
      <rPr>
        <b/>
        <sz val="8"/>
        <rFont val="Arial"/>
        <family val="2"/>
      </rPr>
      <t>Step 1</t>
    </r>
    <r>
      <rPr>
        <sz val="8"/>
        <rFont val="Arial"/>
        <family val="2"/>
      </rPr>
      <t>: Enter Company Identifier.</t>
    </r>
  </si>
  <si>
    <t>Income Statement</t>
  </si>
  <si>
    <t>Balance Sheet</t>
  </si>
  <si>
    <t>Cash Flow</t>
  </si>
  <si>
    <t>Margins/ Ratios</t>
  </si>
  <si>
    <r>
      <t xml:space="preserve">This template includes </t>
    </r>
    <r>
      <rPr>
        <b/>
        <sz val="8"/>
        <rFont val="Arial"/>
        <family val="2"/>
      </rPr>
      <t>Visible Alpha data</t>
    </r>
    <r>
      <rPr>
        <sz val="8"/>
        <rFont val="Arial"/>
        <family val="2"/>
      </rPr>
      <t xml:space="preserve">, which requires a </t>
    </r>
    <r>
      <rPr>
        <b/>
        <sz val="8"/>
        <rFont val="Arial"/>
        <family val="2"/>
      </rPr>
      <t>separate subscription</t>
    </r>
    <r>
      <rPr>
        <sz val="8"/>
        <rFont val="Arial"/>
        <family val="2"/>
      </rPr>
      <t>. Contact S&amp;P Capital IQ Pro Support or your Account Manager for access.</t>
    </r>
  </si>
  <si>
    <t>Company Name</t>
  </si>
  <si>
    <t>Exchange:Ticker</t>
  </si>
  <si>
    <t>Market Data</t>
  </si>
  <si>
    <t>Price Performance (%)</t>
  </si>
  <si>
    <t>52W</t>
  </si>
  <si>
    <t>MTD</t>
  </si>
  <si>
    <t>YTD</t>
  </si>
  <si>
    <t>1Y</t>
  </si>
  <si>
    <t>3Y</t>
  </si>
  <si>
    <t>5Y</t>
  </si>
  <si>
    <t>LTM</t>
  </si>
  <si>
    <t>NTM</t>
  </si>
  <si>
    <t>STM</t>
  </si>
  <si>
    <t>1D</t>
  </si>
  <si>
    <t>1W</t>
  </si>
  <si>
    <t>1M</t>
  </si>
  <si>
    <t>3M</t>
  </si>
  <si>
    <t>2Y</t>
  </si>
  <si>
    <t>QTD</t>
  </si>
  <si>
    <t>Periods</t>
  </si>
  <si>
    <t>SP_PRICE_CLOSE</t>
  </si>
  <si>
    <t>SP_PRICE_HIGH</t>
  </si>
  <si>
    <t>SP_PRICE_LOW</t>
  </si>
  <si>
    <t>SP_MARKETCAP</t>
  </si>
  <si>
    <t>IQ_TEV</t>
  </si>
  <si>
    <t>SP_PRICE_CHANGE</t>
  </si>
  <si>
    <t>EPS Diluted, Applicable to common stockholders</t>
  </si>
  <si>
    <t>Dividends per share</t>
  </si>
  <si>
    <t>Total stockholders' equity</t>
  </si>
  <si>
    <t>Free cash flow</t>
  </si>
  <si>
    <t>Total assets</t>
  </si>
  <si>
    <t>Financials</t>
  </si>
  <si>
    <t>Ratios</t>
  </si>
  <si>
    <t>Valuation</t>
  </si>
  <si>
    <t>Total revenue, YoY (%)</t>
  </si>
  <si>
    <t>Price / Earnings (x)</t>
  </si>
  <si>
    <t>Gross profit/(loss), YoY (%)</t>
  </si>
  <si>
    <t>Price / Sales (x)</t>
  </si>
  <si>
    <t>EBITDA, YoY (%)</t>
  </si>
  <si>
    <t>Price / Book Value (x)</t>
  </si>
  <si>
    <t>Operating income/(loss), YoY (%)</t>
  </si>
  <si>
    <t>Price / Free Cash Flow (x)</t>
  </si>
  <si>
    <t>Net income/(loss), YoY (%)</t>
  </si>
  <si>
    <t>Enterprise Value / EBITDA (x)</t>
  </si>
  <si>
    <t>EPS Diluted, YoY (%)</t>
  </si>
  <si>
    <t>Enterprise Value / Operating Income (x)</t>
  </si>
  <si>
    <t>Capital expenditures, YoY (%)</t>
  </si>
  <si>
    <t>Enterprise Value / Sales (x)</t>
  </si>
  <si>
    <t>Free cash flow (FCF), YoY (%)</t>
  </si>
  <si>
    <t>Enterprise Value / Free Cash Flow (x)</t>
  </si>
  <si>
    <t>Gross margin (%)</t>
  </si>
  <si>
    <t>Free Cash Flow Yield (%)</t>
  </si>
  <si>
    <t>Operating margin (%)</t>
  </si>
  <si>
    <t>Earnings Yield (%)</t>
  </si>
  <si>
    <t>Net margin (%)</t>
  </si>
  <si>
    <t>Dividend Yield (%)</t>
  </si>
  <si>
    <t>Return on average equity (%)</t>
  </si>
  <si>
    <t>Price / Earnings, GAAP (x)</t>
  </si>
  <si>
    <t>Return on average equity, TTM (%)</t>
  </si>
  <si>
    <t>Price / Earnings, Operating (x)</t>
  </si>
  <si>
    <t>Return on average assets, TTM (%)</t>
  </si>
  <si>
    <t>Price / Earnings, Blended (x)</t>
  </si>
  <si>
    <t>Return on average capital employed (ROACE) (%)</t>
  </si>
  <si>
    <t>Price / Sales, GAAP (x)</t>
  </si>
  <si>
    <t>Post-tax return on invested capital (ROIC) (%)</t>
  </si>
  <si>
    <t>Price / Sales, Operating (x)</t>
  </si>
  <si>
    <t>EPS Diluted, Applicable to common stockholders, YoY (%)</t>
  </si>
  <si>
    <t>Price / Sales, Blended (x)</t>
  </si>
  <si>
    <t>Enterprise Value / EBITDA, GAAP (x)</t>
  </si>
  <si>
    <t>Enterprise Value / EBITDA, Operating (x)</t>
  </si>
  <si>
    <t>Enterprise Value / EBITDA, Blended (x)</t>
  </si>
  <si>
    <t>Enterprise Value / Operating Income, GAAP (x)</t>
  </si>
  <si>
    <t>Enterprise Value / Operating Income, Operating (x)</t>
  </si>
  <si>
    <t>Enterprise Value / Operating Income, Blended (x)</t>
  </si>
  <si>
    <t>Enterprise Value / Sales, GAAP (x)</t>
  </si>
  <si>
    <t>Enterprise Value / Sales, Operating (x)</t>
  </si>
  <si>
    <t>Enterprise Value / Sales, Blended (x)</t>
  </si>
  <si>
    <t>Earnings Yield, GAAP (%)</t>
  </si>
  <si>
    <t>Earnings Yield, Operating (%)</t>
  </si>
  <si>
    <t>Earnings Yield, Blended (%)</t>
  </si>
  <si>
    <t>Price / Tangible Book Value (x)</t>
  </si>
  <si>
    <t>Enterprise Value / Liscenced Beds (x)</t>
  </si>
  <si>
    <t>Price / Funds from Operations (FFO) (x)</t>
  </si>
  <si>
    <t>Price / Adjusted Funds from Operations (AFFO) (x)</t>
  </si>
  <si>
    <t>FFO Yield (%)</t>
  </si>
  <si>
    <t>AFFO Yield (%)</t>
  </si>
  <si>
    <t>Price / Embedded Value (x)</t>
  </si>
  <si>
    <t>Enterprise Value / Number of Restaurants (x)</t>
  </si>
  <si>
    <t>Enterprise Value / EBITDAaL (x)</t>
  </si>
  <si>
    <t>Price / Pre Provision Net Revenue (PPNR), Blended (x)</t>
  </si>
  <si>
    <t>PEG Ratio 1-year (x)</t>
  </si>
  <si>
    <t>PEG Ratio 1-year, GAAP (x)</t>
  </si>
  <si>
    <t>PEG Ratio 1-year, Operating (x)</t>
  </si>
  <si>
    <t>PEG Ratio 1-year, Blended (x)</t>
  </si>
  <si>
    <t>PEG Ratio 3-year (x)</t>
  </si>
  <si>
    <t>PEG Ratio 3-year, GAAP (x)</t>
  </si>
  <si>
    <t>PEG Ratio 3-year, Operating (x)</t>
  </si>
  <si>
    <t>PEG Ratio 3-year, Blended (x)</t>
  </si>
  <si>
    <t>PEG Ratio 5-year (x)</t>
  </si>
  <si>
    <t>PEG Ratio 5-year, GAAP (x)</t>
  </si>
  <si>
    <t>PEG Ratio 5-year, Blended (x)</t>
  </si>
  <si>
    <t>Price / Fee-related Earnings (x)</t>
  </si>
  <si>
    <t>Price / Distributable Earnings (x)</t>
  </si>
  <si>
    <t>Enterprise Value / Gross Profit (x)</t>
  </si>
  <si>
    <t>Price / Operating capital generation (OCG) - Own funds (x)</t>
  </si>
  <si>
    <t>Price / Book value, Adjusted for net NPA (x)</t>
  </si>
  <si>
    <t>Enterprise value excl. lease / Sales (x)</t>
  </si>
  <si>
    <t>Enterprise value excl. lease / Sales, GAAP (x)</t>
  </si>
  <si>
    <t>Enterprise value excl. lease / Sales, Operating (x)</t>
  </si>
  <si>
    <t>Enterprise value excl. lease / Sales, Blended (x)</t>
  </si>
  <si>
    <t>Enterprise value excl. lease / Gross profit (x)</t>
  </si>
  <si>
    <t>Enterprise value excl. lease / EBITDA (x)</t>
  </si>
  <si>
    <t>Enterprise value excl. lease / EBITDA, GAAP (x)</t>
  </si>
  <si>
    <t>Enterprise value excl. lease / EBITDA, Operating (x)</t>
  </si>
  <si>
    <t>Enterprise value excl. lease / EBITDA, Blended (x)</t>
  </si>
  <si>
    <t>Enterprise value excl. lease / Operating income (x)</t>
  </si>
  <si>
    <t>Enterprise value excl. lease / Operating income, GAAP (x)</t>
  </si>
  <si>
    <t>Enterprise value excl. lease / Operating income, Operating (x)</t>
  </si>
  <si>
    <t>Enterprise value excl. lease / Operating income, Blended (x)</t>
  </si>
  <si>
    <t>Enterprise value excl. lease / Free cash flow (x)</t>
  </si>
  <si>
    <t>Performance Valuations</t>
  </si>
  <si>
    <t>MI Keys</t>
  </si>
  <si>
    <t>Ratios &amp; Margins</t>
  </si>
  <si>
    <t>Chart 2 :</t>
  </si>
  <si>
    <t>Currency Name</t>
  </si>
  <si>
    <t>ISO Code</t>
  </si>
  <si>
    <t>Mag.</t>
  </si>
  <si>
    <t>Reported Currency</t>
  </si>
  <si>
    <t>Reported</t>
  </si>
  <si>
    <t>000</t>
  </si>
  <si>
    <t>British Pound Sterling</t>
  </si>
  <si>
    <t>Japanese Yen</t>
  </si>
  <si>
    <t>U.S. Dollar</t>
  </si>
  <si>
    <t>Afghan Afghani</t>
  </si>
  <si>
    <t>Albanian Lek</t>
  </si>
  <si>
    <t>dr</t>
  </si>
  <si>
    <t>AU$</t>
  </si>
  <si>
    <t>Azerbaijani Manat</t>
  </si>
  <si>
    <t>m</t>
  </si>
  <si>
    <t>B$</t>
  </si>
  <si>
    <t>BD</t>
  </si>
  <si>
    <t>Bangladeshi Taka</t>
  </si>
  <si>
    <t>Bt.</t>
  </si>
  <si>
    <t>Br</t>
  </si>
  <si>
    <t>Bosnian Convertible Marks</t>
  </si>
  <si>
    <t>KM</t>
  </si>
  <si>
    <t>Cambodian Riel</t>
  </si>
  <si>
    <t>៛</t>
  </si>
  <si>
    <t>CL$</t>
  </si>
  <si>
    <t>Chinese Yuan Renminbi</t>
  </si>
  <si>
    <t>CN¥</t>
  </si>
  <si>
    <t>Col$</t>
  </si>
  <si>
    <t>¢</t>
  </si>
  <si>
    <t>kn</t>
  </si>
  <si>
    <t>Czech Koruna</t>
  </si>
  <si>
    <t>CZK</t>
  </si>
  <si>
    <t>Kc</t>
  </si>
  <si>
    <t>Danish Krone</t>
  </si>
  <si>
    <t>DKK</t>
  </si>
  <si>
    <t>Dkr</t>
  </si>
  <si>
    <t>RD$</t>
  </si>
  <si>
    <t>£E.</t>
  </si>
  <si>
    <t>Georgian Lari</t>
  </si>
  <si>
    <t>ლ</t>
  </si>
  <si>
    <t>Guatemalan Quetzal</t>
  </si>
  <si>
    <t>Q.</t>
  </si>
  <si>
    <t>Honduran Lempira</t>
  </si>
  <si>
    <t>L.</t>
  </si>
  <si>
    <t>Hungarian Forint</t>
  </si>
  <si>
    <t>Ft.</t>
  </si>
  <si>
    <t>Icelandic Krona</t>
  </si>
  <si>
    <t>kr</t>
  </si>
  <si>
    <t>Rs.</t>
  </si>
  <si>
    <t>Indonesian Rupiah</t>
  </si>
  <si>
    <t>Rp.</t>
  </si>
  <si>
    <t>JD</t>
  </si>
  <si>
    <t>Kazakhstan Tenge</t>
  </si>
  <si>
    <t>KZT</t>
  </si>
  <si>
    <t>Kshs.</t>
  </si>
  <si>
    <t>KD</t>
  </si>
  <si>
    <t>Kyrgyzstani Som</t>
  </si>
  <si>
    <t>Macedonian Denar</t>
  </si>
  <si>
    <t>MKD</t>
  </si>
  <si>
    <t>Mex$</t>
  </si>
  <si>
    <t>Mongolian Tugrik</t>
  </si>
  <si>
    <t>₮</t>
  </si>
  <si>
    <t>Moroccan Dirham</t>
  </si>
  <si>
    <t>د.م.</t>
  </si>
  <si>
    <t>₪</t>
  </si>
  <si>
    <t>NKr</t>
  </si>
  <si>
    <t>Omani Rial</t>
  </si>
  <si>
    <t>RO</t>
  </si>
  <si>
    <t>Pakistani Rupee</t>
  </si>
  <si>
    <t>Rs</t>
  </si>
  <si>
    <t>Panamanian Balboa</t>
  </si>
  <si>
    <t>Peruvian Sol</t>
  </si>
  <si>
    <t>S/.</t>
  </si>
  <si>
    <t>Polish Zloty</t>
  </si>
  <si>
    <t>zl</t>
  </si>
  <si>
    <t>ر.ق</t>
  </si>
  <si>
    <t>Romanian Leu</t>
  </si>
  <si>
    <t>Samoan Tala</t>
  </si>
  <si>
    <t>WS$</t>
  </si>
  <si>
    <t>SR</t>
  </si>
  <si>
    <t>₩</t>
  </si>
  <si>
    <t>₨</t>
  </si>
  <si>
    <t>SFr.</t>
  </si>
  <si>
    <t>Tajik Somoni</t>
  </si>
  <si>
    <t>TJR</t>
  </si>
  <si>
    <t>Thai Baht</t>
  </si>
  <si>
    <t>د.ت</t>
  </si>
  <si>
    <t>Turkish Lira</t>
  </si>
  <si>
    <t>TL</t>
  </si>
  <si>
    <t>Turkmenistan Manat</t>
  </si>
  <si>
    <t>Uae Dirham</t>
  </si>
  <si>
    <t>Dhs.</t>
  </si>
  <si>
    <t>Ukraine Hryvnia</t>
  </si>
  <si>
    <t>Uzbekistani Som</t>
  </si>
  <si>
    <t>Venezuelan Bolívar</t>
  </si>
  <si>
    <t>Bs. S</t>
  </si>
  <si>
    <t>Vietnam Dong</t>
  </si>
  <si>
    <t>₫</t>
  </si>
  <si>
    <t>Data Type &gt;&gt;</t>
  </si>
  <si>
    <t>Diluted EPS</t>
  </si>
  <si>
    <t>(Format: FY2026, CY2026, FQ12026, CQ12026)</t>
  </si>
  <si>
    <t>Margin / Ratio Analysis</t>
  </si>
  <si>
    <t>Changing the Input for Period or Metrics dropdown requires refreshing the entire sheet. Refer to Step 7.</t>
  </si>
  <si>
    <t>Source</t>
  </si>
  <si>
    <t>Consensus.VAActuals</t>
  </si>
  <si>
    <t>Consensus.Median</t>
  </si>
  <si>
    <t>VAActuals.Median</t>
  </si>
  <si>
    <t>Broker Code</t>
  </si>
  <si>
    <t>Enter Broker Code&gt;&gt;</t>
  </si>
  <si>
    <r>
      <rPr>
        <b/>
        <sz val="8"/>
        <rFont val="Arial"/>
        <family val="2"/>
      </rPr>
      <t>Step 6</t>
    </r>
    <r>
      <rPr>
        <sz val="8"/>
        <rFont val="Arial"/>
        <family val="2"/>
      </rPr>
      <t>: Select the Source.</t>
    </r>
  </si>
  <si>
    <t>Disclaimer:</t>
  </si>
  <si>
    <t>This template provides an overview of a company and its peers, combining historical financials, consensus estimates, and key performance metrics. It supports peer company analysis across market data, valuation, profitability, earnings, ratios, and growth metrics. The model utilizes Visible Alpha data from the S&amp;P Capital IQ Pro Plug-In.</t>
  </si>
  <si>
    <r>
      <t xml:space="preserve">Step 7: </t>
    </r>
    <r>
      <rPr>
        <sz val="8"/>
        <rFont val="Arial"/>
        <family val="2"/>
      </rPr>
      <t>To</t>
    </r>
    <r>
      <rPr>
        <b/>
        <sz val="8"/>
        <rFont val="Arial"/>
        <family val="2"/>
      </rPr>
      <t xml:space="preserve"> REFRESH</t>
    </r>
    <r>
      <rPr>
        <sz val="8"/>
        <rFont val="Arial"/>
        <family val="2"/>
      </rPr>
      <t>, Go to S&amp;P Cap IQ Pro in the Ribbon &gt; Refresh Data &gt; All Sheets.</t>
    </r>
  </si>
  <si>
    <r>
      <rPr>
        <b/>
        <sz val="8"/>
        <rFont val="Arial"/>
        <family val="2"/>
      </rPr>
      <t>Step 3</t>
    </r>
    <r>
      <rPr>
        <sz val="8"/>
        <rFont val="Arial"/>
        <family val="2"/>
      </rPr>
      <t>: Enter As of Date.</t>
    </r>
  </si>
  <si>
    <r>
      <rPr>
        <b/>
        <sz val="8"/>
        <rFont val="Arial"/>
        <family val="2"/>
      </rPr>
      <t>Step 4</t>
    </r>
    <r>
      <rPr>
        <sz val="8"/>
        <rFont val="Arial"/>
        <family val="2"/>
      </rPr>
      <t>: Select the Currency.</t>
    </r>
  </si>
  <si>
    <r>
      <rPr>
        <b/>
        <sz val="8"/>
        <rFont val="Arial"/>
        <family val="2"/>
      </rPr>
      <t>Step 5</t>
    </r>
    <r>
      <rPr>
        <sz val="8"/>
        <rFont val="Arial"/>
        <family val="2"/>
      </rPr>
      <t>: Select the Magnitude.</t>
    </r>
  </si>
  <si>
    <t>Source: S&amp;P Capital IQ Pro</t>
  </si>
  <si>
    <t>Financials &amp; Peer Analysis</t>
  </si>
  <si>
    <t>Net cash flows provided by/(used in) investing activities</t>
  </si>
  <si>
    <t>Net cash flows provided by/(used in) financing activities</t>
  </si>
  <si>
    <t>FY2025</t>
  </si>
  <si>
    <t>Override Peers</t>
  </si>
  <si>
    <r>
      <t xml:space="preserve">To </t>
    </r>
    <r>
      <rPr>
        <b/>
        <sz val="8"/>
        <rFont val="Arial"/>
        <family val="2"/>
      </rPr>
      <t>REFRESH</t>
    </r>
    <r>
      <rPr>
        <sz val="8"/>
        <rFont val="Arial"/>
        <family val="2"/>
      </rPr>
      <t>, Go to S&amp;P Cap IQ Pro in the Ribbon &gt; Refresh Data &gt; Entire Sheet.</t>
    </r>
  </si>
  <si>
    <t>To include data for a peer not already listed in E13:E24, you can manually add the peer in the range D13:E24.</t>
  </si>
  <si>
    <t>Net cash flow from investing activities</t>
  </si>
  <si>
    <t>Net cash flow from financing activities</t>
  </si>
  <si>
    <t>Subject Company &gt;&gt;</t>
  </si>
  <si>
    <t>允䅁䡁䉑䅁允䅁䅁杒婂䍁䄰杍睁䑁䅉杍䅁䅁䅉䅁䍁䅁䅁䅁啁䅁䅁䅈䅁䙁䅍䅕時䙁䅁杕䩂䕁䅍兒時䕁䅧兓䡂䕁䅧䅁㝃䅁䅁杣䅁䍁䅣睗呂䙁䅁睒時䙁䅙兙獂䡁䅕兙あ䝁䅫睢畂䕁䄰兤獂䡁䅑兡睂䝁䅷党穂䙁䄸杖䉂䕁䅍睢瑂䝁䅉睢時䡁䅙免杁䍁䅧免灁䍁䄴䅥獂䡁䅍䅥摂䕁䅑兙あ䝁䅅睊桁䍁䅑睑歁䑁䅉䅏䅁䑁䅣䅁千䅁䅁睔睂䡁䅑兡療䝁䄴督㙁䕁䅑兙あ䝁䅅䅖㕂䡁䅁党㥁䙁䅍䅒獁䙁䅍睢ㅂ䡁䅉睙求䑁䄰睙療䝁䄴督求䝁䄴督ㅂ䡁䅍杌㉂䝁䅅兙橂䡁䅑兤桂䝁䅷督獁䕁䄰兙湂䝁䅫䅤ㅂ䝁䅑党㥁䕁䅅杙穂䍁䅷睑ㅂ䡁䅉杣求䝁䄴睙㕂䑁䄰兖呂䕁䅑䅁卂䅁䅁杇䅁䝁䅍兤祂䡁䅉党畂䝁䅍入㥁䙁䅕睕䕂䅁䅁児䅁䡁䅁䅁偂䡁䅁䅤灂䝁䄸杢穂䑁䅯䅒桂䡁䅑兙啂䡁䅫䅣求䑁䄰睕䕂䍁䅷睕祂䝁䅍児橂䝁䄸杢穂䝁䅕杢穂䡁䅕督畁䡁䅙兙桂䝁䅍䅤ㅂ䝁䅅䅢穂䍁䅷兔桂䝁䅣児䉂䝁䅉督獁䕁䄴兑㥁䅁䅁朶䅁䝁䅯䅁偂䡁䅁䅤灂䝁䄸杢穂䑁䅯䅒桂䡁䅑兙啂䡁䅫䅣求䑁䄰睕䕂䍁䅷睕祂䝁䅍児䑂䝁䄸杢穂䝁䅕杢穂䡁䅕督畁䕁䄰党歂䝁䅫兙畂䍁䅷兔桂䝁䅣児䉂䝁䅉督獁䕁䄴兑㥁䅁䅁兊䅅䉁䅉䅁佂䙁䅫睕䙂䑁䅯䅒奂䕁䅍䅁佁允䅁杄䅁䍁䅉杒婂䍁䄰杉流䅁䅁兎䅁䙁䄴䅁䙂䙁䅁睕杁䕁䅑兡獂䡁䅕䅤求䝁䅑䅌杁䕁䅅䅣睂䝁䅷兡橂䝁䅅杙獂䝁䅕䅉あ䝁䄸䅉橂䝁䄸兢瑂䝁䄸杢杁䡁䅍䅤療䝁䅍睡潂䝁䄸䅢歂䝁䅕杣穂䅁䅁杶䅁䝁䅯䅁湁䙁䅳睕兂䕁䅣睘䝂䝁䅫杢桂䝁䄴睙灂䝁䅅䅢䥂䝁䅫睚潂䝁䅷兡湂䝁䅧䅤穂䙁䄸杖䉂䙁䄸杤硁䍁䅁䅋硁䍁䅫杌㑂䝁䅷督㑂䙁䄰兔桂䝁䅫杢湁䍁䅅䅊䕂䍁䅑李ㅁ䅁䅁兴䅁䅁䄴䅁橁䕁䅕杕卂䕁䄸杕䅁䕁䅫䅁楁䅁䅁睔睂䝁䅕杣桂䡁䅑兡畂䝁䅣䅉瑂䝁䅅杣湂䝁䅫杢䅁䑁䅉䅁楁䅁䅁睉䩂䕁䄴杖䉂䕁䅷兓䕂䙁䅉兒坂䕁䅫睕䩂䕁䄸杔䅁䅁䅧䅁慁䅁䅁䅖療䡁䅑兙獂䍁䅁兙穂䡁䅍党あ䡁䅍䅁呄䅁䅁杋䅁䍁䅍兓佂䙁䅙兑䵂䕁䅫䅒杁䕁䄰兒啂䙁䅉兓䑂䍁䅁杔䉂䕁䄰兒䅁䅁䅕䅁捁䅁䅁兒䍂䕁䅫䅖䕂䕁䅅䅉瑂䝁䅅杣湂䝁䅫杢䅁䑁䅁䅁獁䅁䅁睔睂䡁䅑兡療䝁䄴督㙁䕁䅍兤祂䡁䅉児噂䙁䅍䅒獁䕁䄴兑㥁䑁䅁䅁㉃䅁䅁䅫䅁䙁䅳杓求䝁䅙杚求䡁䅉兡求䡁䅍䅔䵂䕁䅍睘祁䑁䅁李睁䑁䅙李硁䑁䅉睘䑂䡁䅕督あ䝁䄸兢䩂䝁䄴䅚求䡁䅧睘䑂䕁䅫兕兂䡁䅉睢畁䡁䅧䅢穂䝁䄰兘䩂䝁䄴督あ䡁䅉兤橂䡁䅑兡療䝁䄴督桁䍁䅑䅕歁䑁䅅睍㙁䍁䅑䅕歁䑁䅉䅍䅁䡁䄴䅁楁䅁䅁睉䩂䕁䄴杖䉂䕁䅷兓䕂䕁䅍兖卂䙁䅉兒佂䕁䅍兗䅁䥁䅕䅁⭂䅁䅁睊扂䙁䅍䅕䡂䙁䄸杖桂䝁䅷兤桂䡁䅑兡療䝁䄴兔ㅂ䝁䅷䅤灂䡁䅁䅢求䡁䅍睘坂䕁䅅睑療䝁䄰杙療䙁䄸杤硁䍁䅁䅋硁䍁䅫杌㑂䝁䅷督㑂䙁䄰䅒桂䡁䅑兙湁䍁䅅䅊䑂䍁䅑睍祁䑁䅯䅊䑂䍁䅑䅎穁䅁䅁䅏䅁䉁䅁䅁䝂䙁䅅䅎祁䑁䅁杍ぁ䅁䅁党䅅䉁䅁䅁䑂䙁䅅睍祁䑁䅁杍㉁䅁䅁䅎䅅䝁䅑䅁扂䙁䅍䅕䡂䙁䄸杒灂䝁䄴兙畂䝁䅍兡桂䝁䅷䅓灂䝁䅣䅡獂䝁䅫睚潂䡁䅑督時䙁䅙兑時䙁䅣兓兂䍁䄴䅥獂䡁䅍䅥摂䙁䅉党睂䝁䄸杣あ䍁䅅䅊䕂䍁䅑李ㅁ䅁䅁眴䅁䡁䅯䅁偂䡁䅁䅤灂䝁䄸杢穂䑁䅯䅒桂䡁䅑兙啂䡁䅫䅣求䑁䄰睕䕂䍁䅷睕橂䡁䅉児橂䝁䄸杢穂䝁䅕杢穂䡁䅕督畁䡁䅙兙桂䝁䅍䅤ㅂ䝁䅅䅢穂䍁䅷兔桂䝁䅣児䉂䝁䅉督獁䕁䅍兤祂䡁䅉児噂䙁䅍䅒䅁䕁䅑䅁敁䅁䅁睉䩂䕁䄴杖䉂䕁䅷兓䕂䙁䅁兒卂䕁䅫睔䕂䅁䅁李䅁䅁䄴䅁䑂䙁䅫杍睁䑁䅉兎䅁䵁䄰䅁杁䅁䅁䅒桂䡁䅫䅉䑂䝁䅷睢穂䝁䅕䅉兂䡁䅉兡橂䝁䅕䅁祂䅁䅁杈䅁䕁䅙杣求䝁䅕䅉橂䝁䅅督潂䍁䅁杚獂䝁䄸睤䅁乁䄸䅁䅃䅁䅁睊扂䙁䅍䅕䡂䙁䄸杖桂䝁䅷兤桂䡁䅑兡療䝁䄴兔ㅂ䝁䅷䅤灂䡁䅁䅢求䡁䅍睘坂䕁䅅睑療䝁䄰杙療䙁䄸杤硁䍁䅁䅋硁䍁䅫杌㑂䝁䅷督㑂䙁䄰䅒桂䡁䅑兙湁䍁䅅䅊䙂䍁䅑杍㕁䑁䅯䅊䩂䕁䅧䅊祁䑁䅫䅁㕁䅁䅁杍䅁䙁䅁兙獂䝁䄸䅉䉂䝁䅷䅤療䍁䅁杔求䡁䅑睤療䡁䅉睡穂䍁䅷䅉䩂䝁䄴睙畁䅁䅁杅䅅䍁䄴䅁啂䝁䄸䅤桂䝁䅷䅉祂䝁䅕杤求䝁䄴兤求䍁䅷䅉婂䝁䄸兗杁䍁䅧兊灁䅁䅁䅄䅅䥁䅁䅁湁䙁䅳睕兂䕁䅣睘坂䝁䅅䅢ㅂ䝁䅅䅤灂䝁䄸杢乂䡁䅕䅢あ䝁䅫䅣獂䝁䅕督時䙁䅙兑䑂䝁䄸兢楂䝁䄸睘㉂䑁䅅䅉潁䑁䅅克畁䡁䅧䅢穂䡁䅧兘䕂䝁䅅䅤桂䍁䅣光歁䕁䅕䅊穁䑁䅁杏歁䕁䅫䅓歁䑁䅍䅍䅁䑁䅯䅁捁䅁䅁睕兂䙁䄸兕噂䕁䅫睑䱂䙁䄸睑偂䕁䄰䅕䅁䩁䅑䅁佁䅁䅁杒婂䑁䅉䅍祁䑁䅧䅁浂䅁䅁杕䅁䍁䅧兓畂䝁䅍杣求䝁䅅督求䍁䅫䅉癁䍁䅁䅚求䝁䅍杣求䝁䅅督求䍁䅁兡畂䍁䅁睤療䡁䅉睡灂䝁䄴睚杁䝁䅍兙睂䝁䅫䅤桂䝁䅷䅁湁䅁䅁䅥䅁䕁䄸䅣あ䝁䅫睢畂䡁䅍杏䑂䡁䅕杣祂䑁䄰兖呂䕁䅑䅌乂䝁䅅睚㥁䕁䄰䅌䕂䝁䅅䅤桂䙁䅑入睂䝁䅕児呂䕁䅑䅌呂䡁䅉睙㥁䕁䅍睢畂䡁䅍党畂䡁䅍兤穂䍁䄴兔求䝁䅑兡桂䝁䄴䅌佂䕁䅅児䅁䍁䉍䅁煁䅁䅁睑桂䡁䅁兡あ䝁䅅䅢杁䝁䅕䅥睂䝁䅕杢歂䝁䅫䅤ㅂ䡁䅉党穂䅁䅁䅋䅁䉁䅁䅁䝂䙁䅫兌祁䑁䅁杍㉁䅁䅁充䅁䙁䅧䅁䩂䝁䄴䅤求䡁䅉杢桂䡁䅑兡療䝁䄴兙獂䍁䅁村ㅂ䡁䅍兡畂䝁䅕督穂䍁䅁兔桂䝁䅍䅡灂䝁䄴党穂䍁䅁睑療䡁䅉䅣療䡁䅉兙あ䝁䅫睢畂䅁䅁兕䅁䝁䄴䅁䑂䝁䅅督潂䍁䅷䅉穂䝁䅧睢祂䡁䅑兌あ䝁䅕杣瑂䍁䅁兡畂䡁䅙党穂䡁䅑兢求䝁䄴䅤穂䍁䅁兙畂䝁䅑䅉瑂䝁䅅杣牂䝁䅕䅤桂䝁䅉䅢求䍁䅁督求䝁䅍兤祂䝁䅫䅤灂䝁䅕督䅁䍁䅁䅁あ䅁䅁杔求䡁䅑䅉橂䝁䅅督潂䍁䅁杚獂䝁䄸睤穂䍁䅁䅣祂䝁䄸杤灂䝁䅑党歂䍁䅁杙㕂䍁䄸䅋ㅂ䡁䅍党歂䍁䅁兡畂䍁䅫䅉浂䝁䅫杢桂䝁䄴睙灂䝁䄴睚杁䝁䅅睙あ䝁䅫杤灂䡁䅑兡求䡁䅍䅁歂允䅁䅓䅁䕁䄸䅣あ䝁䅫睢畂䡁䅍杏䑂䡁䅕杣祂䑁䄰兖呂䕁䅑䅌乂䝁䅅睚㥁䙁䅑杣灂䝁䅷䅢灂䝁䄸杢穂䍁䅷杔䉂䑁䄰䅍䅁䱁䅯䅁䍂䅁䅁睔睂䝁䅕杣桂䡁䅑兡畂䝁䅣䅉灂䝁䄴睙療䝁䄰党癁䍁䅧䅢療䡁䅍督灁䍁䅷䅉兂䡁䅉兡瑂䝁䅅杣㕂䅁䅁䅇䅁䙁䅯䅁偂䡁䅁䅤灂䝁䄸杢穂䑁䅯䅒桂䡁䅑兙啂䡁䅫䅣求䑁䄰睕䕂䍁䅷睕療䡁䅕杣橂䝁䅕児獁䕁䄰兙湂䑁䄰兑楂䡁䅍䅌䑂䡁䅕杣祂䑁䄰兖呂䕁䅑䅁乂䅁䅁䅖䅁䕁䄸䅣あ䝁䅫睢畂䡁䅍杏䉂䝁䅣睚祂䝁䅕睚桂䡁䅑党㥁䡁䅣兑坂䕁䅣䅌佂䕁䅅児橁䕁䄴睌䉂䍁䅷杒灂䝁䅷䅢㥁䕁䅑兙灂䝁䅷入䅁䡁䅷䅁允䅁䅁睑剂䑁䅉杍睁䑁䅉李䅁䑁䉕䅁啃䅁䅁睔睂䡁䅑兡療䝁䄴督㙁䕁䅑兙あ䝁䅅䅖㕂䡁䅁党㥁䙁䅍䅒獁䙁䅍睢ㅂ䡁䅉睙求䑁䄰睙療䝁䄴督求䝁䄴督ㅂ䡁䅍杌㉂䝁䅅兙橂䡁䅑兤桂䝁䅷督獁䕁䄰兙湂䝁䄴兡あ䡁䅕䅚求䑁䄰兑楂䡁䅍䅌䑂䡁䅕杣祂䝁䅕杢橂䡁䅫児噂䙁䅍䅒䅁䙁䅕䅁㡁䅁䅁䅒灂䡁䅙兡歂䝁䅕杢歂䍁䅁兑歂䝁䅯兤穂䡁䅑党歂䍁䅁睑獂䝁䄸督求䍁䅁䅕祂䝁䅫睙求䅁䅁睤䅁䥁䅁䅁偂䡁䅁䅤灂䝁䄸杢穂䑁䅯睑ㅂ䡁䅉杣㥁䙁䅕睕䕂䍁䅷兔桂䝁䅣児乂䍁䅷䅒桂䡁䅑兙啂䡁䅫䅣求䑁䄰睕䕂䍁䅷睕祂䝁䅍児橂䝁䄸杢穂䝁䅕杢穂䡁䅕督畁䡁䅙兙桂䝁䅍䅤ㅂ䝁䅅䅢穂䍁䅷杔䉂䑁䄰䅍䅁乁䅉䅁捁䅁䅁杔䉂䙁䅍䅒䉂䙁䅅睒呂䑁䅯兑䕂䕁䅉兒䅁䥁䅯䅁敁䅁䅁䅒灂䡁䅙兡歂䝁䅕杢歂䍁䅁兗灂䝁䅕䅢歂䅁䅁睋䅁䅁䄴䅁䝂䙁䅫杍睁䑁䅉睍䅁䝁䅯䅁畂䅁䅁睔睂䡁䅑兡療䝁䄴督㙁䕁䅅睚湂䡁䅉党湂䝁䅅䅤求䑁䄰睤䉂䙁䅙睒獁䕁䅑兙あ䝁䅕督㥁䕁䅉党浂䝁䄸杣求䍁䅷杔䉂䑁䄰睉佂䍁䄸兑獁䕁䅙兡獂䝁䅷児䕂䝁䅅兡獂䡁䅫䅁䑃䅁䅁李䅁䙁䅍睢ㅂ䡁䅉睙求䑁䄰睙療䝁䄴督求䝁䄴督ㅂ䡁䅍杌㉂䝁䅅兙橂䡁䅑兤桂䝁䅷督䅁䅁䅷䅁流䅁䅁䅒灂䡁䅙兡歂䝁䅕杢歂䍁䅁䅣求䡁䅉䅉穂䝁䅧兙祂䝁䅕䅁敁䅁䅁䅅䅁䑁䅑䅍睁䑁䅑杍硁䑁䅑䅁牃䅁䅁䅉䅁䕁䅕村䩂䙁䅑䅒䉂䍁䅷䅉兂䡁䅉兡瑂䝁䅅杣㕂䅁䅁杆䅁䝁䄴䅁䙂䙁䅁睕瑁䕁䅑兡獂䡁䅕䅤求䝁䅑兌䉂䡁䅁䅣獂䝁䅫睙桂䝁䅉䅢求䍁䅁䅤療䍁䅁睑療䝁䄰兢療䝁䄴䅉呂䡁䅑睢橂䝁䅳䅡療䝁䅷䅚求䡁䅉督獁䍁䅁䅕祂䝁䅫兢桂䡁䅉入䅁䉁䄰䅁杂䅁䅁睔睂䡁䅑兡療䝁䄴督㙁䕁䅑兙あ䝁䅅䅖㕂䡁䅁党㥁䙁䅍䅒獁䙁䅍杣橂䑁䄰睑療䝁䄴督求䝁䄴督ㅂ䡁䅍杌坂䕁䅅兑橂䡁䅑兤桂䝁䅷督獁䕁䄴兑㥁䅁䅁先䅅䉁䄴䅁䙂䝁䅅杣畂䝁䅫杢湂䡁䅍䅉婂䝁䅫党獂䝁䅑䅁灁䅁䅁䅬䅁䕁䄸䅣あ䝁䅫睢畂䡁䅍杏䕂䝁䅅䅤桂䙁䅑入睂䝁䅕児䑂䕁䅑䅌呂䝁䄸兤祂䝁䅍党㥁䝁䅍睢畂䡁䅍党畂䡁䅍兤穂䍁䄴杤桂䝁䅅睙あ䡁䅕兙獂䡁䅍䅌乂䝁䅅睚畂䝁䅫䅤ㅂ䝁䅑党㥁䕁䅅杙穂䍁䅷睑ㅂ䡁䅉杣求䝁䄴睙㕂䑁䄰兖呂䕁䅑䅁扂䅁䅁䅎䅁䕁䅕杢あ䝁䅕杣睂䡁䅉兡穂䝁䅕䅉坂䝁䅅䅢ㅂ䝁䅕䅉癁䍁䅁兒䍂䕁䅫䅖䕂䕁䅅䅁獁䅁䅁䅃䅁䕁䅫村乂䅁䅁䅕䅁䑁䅯䅁佂䝁䅕䅤杁䝁䅫杢橂䝁䄸兢求䍁䅁睌杁䍁䅧䅢療䡁䅍督灁䍁䅷䅉兂䡁䅉兡瑂䝁䅅杣㕂䅁䅁睆䅁䉁䅧䅁䩂䝁䄴䅤ㅂ䝁䅫䅤杁䕁䅫杢橂䍁䄴䅁㥄䅁䅁䅢䅁䙁䅳睕兂䕁䅣睘䝂䝁䅫杢桂䝁䄴睙灂䝁䅅䅢穂䕁䅅杢歂䙁䅁党求䡁䅉兑畂䝁䅅䅢㕂䡁䅍兡穂䙁䄸杖䉂䍁䄴䅥獂䡁䅍䅥摂䙁䅑党桂䡁䅉睕潂䝁䅕党あ䍁䅅䅊䙂䍁䅑兎䅁䝁䉉䅁允䅁䅁杒婂䍁䄰杍睁䑁䅉睍䅁䉁䅁䅁允䅁䅁杒婂䍁䄰杍睁䑁䅉䅎䅁䅁䄴䅁あ䅁䅁睔睂䡁䅑兡療䝁䄴督㙁䕁䅑兙あ䝁䅅䅖㕂䡁䅁党㥁䙁䅍䅒獁䙁䅍杣橂䑁䄰睙療䝁䄴督求䝁䄴督ㅂ䡁䅍杌㉂䝁䅅兙橂䡁䅑兤桂䝁䅷督獁䕁䄰兙湂䑁䄰䅌䑂䡁䅕杣祂䑁䄰兖呂䕁䅑䅁橂䅁䅁䅄䅁䕁䄰兙湂䑁䄰克䅁䑁䅑䅁䕂䅁䅁睔睂䡁䅑兡療䝁䄴督㙁䕁䅍兤祂䡁䅉児噂䙁䅍䅒獁䕁䄰兙湂䑁䄰村灂䝁䅷䅢灂䝁䄸杢穂䍁䅷杔䉂䑁䄰䅁䵂允䅁䅅䅁䕁䅙兗瑁䑁䅉䅍祁䑁䅕䅁呁䅁䅁䅅䅁䕁䅙兗瑁䑁䅉䅍祁䑁䅣䅁十䅁䅁䅡䅁䕁䄸䅣あ䝁䅫睢畂䡁䅍杏䉂䝁䅣睚祂䝁䅕睚桂䡁䅑党㥁䕁䄰睡あ䕁䅍兙睂䙁䅣党灂䝁䅣䅡あ䝁䅕䅚獁䕁䄴兑㥁䍁䅍杔癁䕁䅅䅌䝂䝁䅫䅢獂䑁䄰䅒桂䝁䅫䅢㕂䅁䅁杤䅁䉁䅷䅁兂䡁䅉兡橂䝁䅕䅉癁䍁䅁睕桂䝁䅷党穂䅁䅁䄴䅁䑁䅑䅁啂䝁䄸䅤桂䝁䅷䅉橂䡁䅕杣祂䝁䅕杢あ䍁䅁䅢灂䝁䅅杙灂䝁䅷兡あ䝁䅫党穂䅁䅁杉䅁䉁䅁䅁䝂䙁䅫兌祁䑁䅁杍㑁䅁䅁睄䅁䅁䄴䅁䝂䙁䅫杍睁䑁䅉杍䅁䝁䅣䅁佁䅁䅁杒婂䑁䅉䅍祁䑁䅑䅁牂䅁䅁杄䅁䕁䅙兗祁䑁䅁杍ㅁ䅁䅁党䅁䝁䅧䅁佂䝁䅕䅤杁䝁䅫杢橂䝁䄸兢求䍁䅁睌杁䍁䅧䅢療䡁䅍督灁䍁䅁杚祂䝁䄸兢杁䝁䅍睢畂䡁䅑兡畂䡁䅕兡畂䝁䅣䅉療䡁䅁党祂䝁䅅䅤灂䝁䄸杢穂䍁䅁䅋䑂䕁䅙克䅁䍁䅙䅁佁䅁䅁杒婂䑁䅉䅍祁䑁䅙䅁灂䅁䅁䅌䅁䕁䅣杣療䡁䅍督杁䙁䅁杣療䝁䅙兡あ䍁䅁睌杁䍁䅧䅢療䡁䅍督灁䅁䅁䅈䅁䥁䅉䅁偂䡁䅁䅤灂䝁䄸杢穂䑁䅯䅒桂䡁䅑兙啂䡁䅫䅣求䑁䄰睕䕂䍁䅷睕祂䝁䅍児䑂䝁䄸杢穂䝁䅕杢穂䡁䅕督畁䙁䅙兑䉂䝁䅍䅤ㅂ䝁䅅䅢穂䍁䅷兔桂䝁䅣児桂䝁䅉督獁䕁䅍兤祂䡁䅉児噂䙁䅍䅒獁䕁䄴兑㥁䅁䅁睈䅅䅁䄴䅁䝂䙁䅫杍睁䑁䅉睎䅁䝁䅧䅁慁䅁䅁睒祂䝁䄸督穂䍁䅁兢桂䡁䅉睚灂䝁䄴䅁畁䅁䅁䅉䅁䕁䅫兕時䕁䅍睔乂䙁䅁兑佂䙁䅫睘佂䕁䅅兔䙂䅁䅁兒䅁䡁䄴䅁䩂䝁䄴睙療䝁䄰党杁䍁䄸䅉潁䝁䅷睢穂䡁䅍克杁䝁䅙杣療䝁䄰䅉橂䝁䄸杢あ䝁䅫杢ㅂ䝁䅫杢湂䍁䅁睢睂䝁䅕杣桂䡁䅑兡療䝁䄴督杁䝁䅉党浂䝁䄸杣求䍁䅁兡畂䝁䅍睢瑂䝁䅕䅉あ䝁䅅䅥求䡁䅍䅁慁䅁䅁权䅁䕁䄰睕䝂䙁䅑䅁䅁䅁䅁䅅䅁䕁䄰兙湂䑁䄰兑楂䡁䅍䅁⽁䅁䅁杅䅁䕁䄴兗呂䕁䅕杏䥂䙁䅁兒䅁䩁䅙䅁佁䅁䅁兔桂䝁䅣児瑂䍁䅫䅁穁䅁䅁杍䅁䙁䅑睢あ䝁䅅䅢杁䝁䄴睢畂䍁䄰睑ㅂ䡁䅉杣求䝁䄴䅤杁䕁䅅督穂䝁䅕䅤穂䅁䅁睉䅁䉁䅷䅁乂䝁䅅睚畂䝁䅫䅤ㅂ䝁䅑党㥁䕁䅅杙穂䅁䅁材䅁䍁䅷䅁乂䝁䅫睙祂䝁䄸督療䝁䅙䅤杁䕁䅍睢祂䡁䅁睢祂䝁䅅䅤灂䝁䄸杢䅁䕁䅣䅁䝁䅁䅁杔䉂䅁䅁兆䅁䡁䅙䅁扂䙁䅍䅕䡂䙁䄸杒灂䝁䄴兙畂䝁䅍兡桂䝁䅷督䉂䝁䄴䅚兂䝁䅕党祂䕁䅅杢桂䝁䅷入穂䝁䅫督時䙁䅙兑畁䡁䅧䅢穂䡁䅧兘兂䝁䅕党祂䕁䅅杢桂䝁䅷入穂䝁䅫督桁䍁䅑兑䉂䍁䅑免祁䅁䅁兢䅅䉁䅉䅁佂䝁䅕䅤杁䕁䅑党楂䡁䅑䅁晁䅁䅁䅫䅁䕁䄸䅣あ䝁䅫睢畂䡁䅍杏䕂䝁䅅䅤桂䙁䅑入睂䝁䅕児䑂䕁䅑䅌呂䝁䄸兤祂䝁䅍党㥁䝁䅍睢畂䡁䅍党畂䡁䅍兤穂䍁䄴杤桂䝁䅅睙あ䡁䅕兙獂䡁䅍䅌乂䝁䅅睚畂䝁䅫䅤ㅂ䝁䅑党㥁䕁䄰䅌䑂䡁䅕杣祂䝁䅕杢橂䡁䅫児噂䙁䅍䅒䅁䙁䅯䅁㑂䅁䅁杔求䡁䅑䅉橂䝁䅅督潂䍁䅁杚獂䝁䄸睤穂䍁䅁䅣祂䝁䄸杤灂䝁䅑党歂䍁䅁杙㕂䍁䅁睌杁䍁䅧兤穂䝁䅕䅚杁䝁䅫杢灁䍁䅁睢睂䝁䅕杣桂䡁䅑兡畂䝁䅣䅉桂䝁䅍䅤灂䡁䅙兡あ䝁䅫党穂䅁䅁兊䅁䉁䅁䅁䝂䙁䅅杍祁䑁䅁杍㉁䅁䅁睌䅅䉁䅙䅁佂䝁䅕䅤杁䝁䄰兙祂䝁䅣兡畂䅁䅁睌䅁䥁䅉䅁偂䡁䅁䅤灂䝁䄸杢穂䑁䅯兑湂䝁䅣杣求䝁䅣兙あ䝁䅕児乂䝁䅳䅤䑂䝁䅅䅣塂䝁䅕兡湂䝁䅧䅤求䝁䅑䅌䕂䝁䅅䅤求䡁䅍児䍂䝁䅕杚療䡁䅉党獁䕁䄴兑㥁䍁䅍杔癁䕁䅅䅌䝂䝁䅫䅢獂䑁䄰䅒桂䝁䅫䅢㕂䅁䅁兣䅁䍁䅧䅁偂䡁䅁䅤灂䝁䄸杢穂䑁䅯䅒桂䡁䅑兙啂䡁䅫䅣求䑁䄰睕䕂䅁䅁睂䅁䝁䄴䅁偂䡁䅁䅤灂䝁䄸杢穂䑁䅯䅒桂䡁䅑兙啂䡁䅫䅣求䑁䄰睕䕂䍁䅷睕橂䡁䅉児獁䕁䅅䅚煂䑁䄰䅌䡂䡁䅉睢㍂䡁䅑䅡㥁䍁䅷兔桂䝁䅣児䉂䝁䅉督獁䕁䅍兤祂䡁䅉児噂䙁䅍䅒䅁䕁䅁䅁煂䅁䅁睔睂䡁䅑兡療䝁䄴督㙁䕁䅑兙あ䝁䅅䅖㕂䡁䅁党㥁䙁䅍䅒獁䙁䅍睙祂䑁䄰䅌䉂䝁䅑条㥁䍁䅷睒祂䝁䄸睤あ䝁䅧児獁䕁䄰兙湂䑁䄰兔獁䕁䅍兤祂䡁䅉児噂䙁䅍䅒䅁䕁䅅䅁允䅁䅁䅎硁䑁䅑䅎硁䑁䅕李䅁䅁䉧䅁啂䅁䅁睔睂䡁䅑兡療䝁䄴督㙁䕁䅑兙あ䝁䅅䅖㕂䡁䅁党㥁䙁䅍䅒獁䙁䅍睙祂䑁䄰䅌乂䝁䅅睚㥁䕁䅅杙穂䍁䅷睑ㅂ䡁䅉杣㥁䙁䅕睕䕂䅁䅁杓䅁䝁䅙䅁扂䙁䅍䅕䡂䙁䄸杒灂䝁䄴兙畂䝁䅍兡桂䝁䅷䅓灂䝁䅣䅡獂䝁䅫睚潂䡁䅑督時䙁䅙兑時䙁䅣兓兂䍁䄴䅥獂䡁䅍䅥摂䙁䅉党睂䝁䄸杣あ䍁䅅䅊䉂䕁䅕䅊㉁䑁䅙䅁䙁允䅁䅕䅁䕁䄸䅣あ䝁䅫睢畂䡁䅍杏䕂䝁䅅䅤桂䙁䅑入睂䝁䅕児呂䕁䅑䅌呂䝁䅍杣㥁䍁䅷兔桂䝁䅣児乂䍁䅷睑ㅂ䡁䅉杣㥁䙁䅕睕䕂䅁䅁睓䅁䩁䅁䅁偂䡁䅁䅤灂䝁䄸杢穂䑁䅯䅒桂䡁䅑兙啂䡁䅫䅣求䑁䄰睕䕂䍁䅷睕橂䡁䅉児橂䝁䄸杢穂䝁䅕杢穂䡁䅕督畁䡁䅙兙桂䝁䅍䅤ㅂ䝁䅅䅢穂䍁䅷兑歂䝁䅯児獁䕁䅣杣療䡁䅣䅤潂䑁䄰䅌乂䝁䅅睚㥁䕁䄰䅌䑂䡁䅕杣祂䑁䄰兖呂䕁䅑䅁䍂䅁䅁条䅁䕁䄸䅣あ䝁䅫睢畂䡁䅍杏䕂䝁䅅䅤桂䙁䅑入睂䝁䅕児呂䕁䅑䅌呂䝁䅍杣㥁䝁䅍睢畂䡁䅍党畂䡁䅍兤穂䍁䄴杤桂䝁䅅睙あ䡁䅕兙獂䡁䅍䅌䑂䡁䅕杣祂䑁䄰兖呂䕁䅑䅁䥂䅁䅁杤䅁䕁䄸䅣あ䝁䅫睢畂䡁䅍杏䕂䝁䅅䅤桂䙁䅑入睂䝁䅕児呂䕁䅑䅌呂䝁䅍杣㥁䝁䅍睢畂䡁䅍党畂䡁䅍兤穂䍁䄴杤桂䝁䅅睙あ䡁䅕兙獂䡁䅍䅌乂䝁䅅睚㥁䕁䄰䅌䑂䡁䅕杣祂䑁䄰兖呂䕁䅑䅁䑂䅁䅁杖䅁䕁䄸䅣あ䝁䅫睢畂䡁䅍杏䕂䝁䅅䅤桂䙁䅑入睂䝁䅕児呂䕁䅑䅌呂䝁䄸兤祂䝁䅍党㥁䍁䅷兔桂䝁䅣児乂䍁䅷睑ㅂ䡁䅉杣㥁䙁䅕睕䕂䅁䅁䅔䅁䅁䄴䅁䝂䙁䅫杍睁䑁䅍䅍䅁䥁䅫䅁䅃䅁䅁睔睂䡁䅑兡療䝁䄴督㙁䕁䅑兙あ䝁䅅䅖㕂䡁䅁党㥁䙁䅍䅒獁䙁䅍睢ㅂ䡁䅉睙求䑁䄰睙療䝁䄴督求䝁䄴督ㅂ䡁䅍杌㉂䝁䅅兙橂䡁䅑兤桂䝁䅷督獁䕁䄰兙湂䑁䄰兑楂䡁䅍䅌䑂䡁䅕杣祂䑁䄰兖呂䕁䅑䅁佂䅁䅁䅨䅁䙁䅳杓求䝁䅙杚求䡁䅉兡求䡁䅍䅔䵂䕁䅍睘祁䑁䅁李睁䑁䅙李硁䑁䅉睘䑂䡁䅕督あ䝁䄸兢䩂䝁䄴䅚求䡁䅧睘䑂䕁䅫兕兂䡁䅉睢畁䡁䅧䅢穂䝁䄰兘䩂䝁䄴督あ䡁䅉兤橂䡁䅑兡療䝁䄴督桁䍁䅑睒歁䑁䅅兏䅁䝁䄸䅁䥃䅁䅁睔睂䡁䅑兡療䝁䄴督㙁䕁䅑兙あ䝁䅅䅖㕂䡁䅁党㥁䙁䅍䅒獁䙁䅍睢ㅂ䡁䅉睙求䑁䄰睙療䝁䄴督求䝁䄴督ㅂ䡁䅍杌㉂䝁䅅兙橂䡁䅑兤桂䝁䅷督獁䕁䄰兙湂䑁䄰兑楂䡁䅍䅌䑂䡁䅕杣祂䝁䅕杢橂䡁䅫児噂䙁䅍䅒䅁䙁䅍䅁㡂䅁䅁睔睂䡁䅑兡療䝁䄴督㙁䕁䅑兙あ䝁䅅䅖㕂䡁䅁党㥁䙁䅍䅒獁䙁䅍睢ㅂ䡁䅉睙求䑁䄰睙療䝁䄴督求䝁䄴督ㅂ䡁䅍杌㉂䝁䅅兙橂䡁䅑兤桂䝁䅷督獁䕁䄰兙湂䑁䄰兔獁䕁䅍兤祂䡁䅉児噂䙁䅍䅒䅁䕁䄸䅁啃䅁䅁睔睂䡁䅑兡療䝁䄴督㙁䕁䅑兙あ䝁䅅䅖㕂䡁䅁党㥁䙁䅍䅒獁䙁䅍睢ㅂ䡁䅉睙求䑁䄰睙療䝁䄴督求䝁䄴督ㅂ䡁䅍杌㉂䝁䅅兙橂䡁䅑兤桂䝁䅷督獁䕁䄰兙湂䝁䄴兡あ䡁䅕䅚求䝁䄴兡あ䡁䅕䅚求䑁䄰兔獁䕁䅍兤祂䡁䅉児噂䙁䅍䅒䅁䙁䅣䅁㙂䅁䅁睔睂䡁䅑兡療䝁䄴督㙁䕁䅑兙あ䝁䅅䅖㕂䡁䅁党㥁䙁䅍䅒獁䙁䅍睢ㅂ䡁䅉睙求䑁䄰睙療䝁䄴督求䝁䄴督ㅂ䡁䅍杌㉂䝁䅅兙橂䡁䅑兤桂䝁䅷督獁䕁䄰兙湂䝁䄴兡あ䡁䅕䅚求䑁䄰兑楂䡁䅍䅁捂䅁䅁䅪䅁䕁䄸䅣あ䝁䅫睢畂䡁䅍杏䕂䝁䅅䅤桂䙁䅑入睂䝁䅕児呂䕁䅑䅌呂䝁䄸兤祂䝁䅍党㥁䝁䅍睢畂䡁䅍党畂䡁䅍兤穂䍁䄴杤桂䝁䅅睙あ䡁䅕兙獂䡁䅍䅌乂䝁䅅睚畂䝁䅫䅤ㅂ䝁䅑党㥁䕁䅅杙穂䍁䅷睑ㅂ䡁䅉杣㥁䙁䅕睕䕂䅁䅁杖䅁䥁䅧䅁偂䡁䅁䅤灂䝁䄸杢穂䑁䅯䅒桂䡁䅑兙啂䡁䅫䅣求䑁䄰睕䕂䍁䅷睕療䡁䅕杣橂䝁䅕児橂䝁䄸杢穂䝁䅕杢穂䡁䅕督畁䡁䅙兙桂䝁䅍䅤ㅂ䝁䅅䅢穂䍁䅷兔桂䝁䅣杢灂䡁䅑兤歂䝁䅕児乂䍁䅷睑ㅂ䡁䅉杣㥁䙁䅕睕䕂䅁䅁䅖䅁䙁䅁䅁偂䡁䅁䅤灂䝁䄸杢穂䑁䅯䅒桂䡁䅑兙啂䡁䅫䅣求䑁䄰睕䕂䍁䅷睕祂䝁䅍児噂䕁䅉睕獁䕁䄰兙湂䑁䄰兑楂䡁䅍䅌佂䕁䅅児䅁䕁䉕䅁元䅁䅁睔睂䡁䅑兡療䝁䄴督㙁䕁䅑兙あ䝁䅅䅖㕂䡁䅁党㥁䙁䅍䅒獁䙁䅍睢ㅂ䡁䅉睙求䑁䄰睙療䝁䄴督求䝁䄴督ㅂ䡁䅍杌㉂䝁䅅兙橂䡁䅑兤桂䝁䅷督獁䕁䄰兙湂䝁䄴兡あ䡁䅕䅚求䑁䄰兔獁䕁䅍兤祂䡁䅉党畂䝁䅍入㥁䙁䅕睕䕂䅁䅁䅗䅁䉁䅷䅁佂䕁䅅睕䕂䕁䅅兕䡂䙁䅍杏乂䕁䅕䅖䉂䅁䅁杂䅅䝁䅯䅁偂䡁䅁䅤灂䝁䄸杢穂䑁䅯䅒桂䡁䅑兙啂䡁䅫䅣求䑁䄰睕䕂䍁䅷睕祂䝁䅍児橂䝁䄸杢穂䝁䅕杢穂䡁䅕督畁䡁䅙兙桂䝁䅍䅤ㅂ䝁䅅䅢穂䍁䅷睑ㅂ䡁䅉杣㥁䙁䅕睕䕂䅁䅁兙䅁䝁䅧䅁偂䡁䅁䅤灂䝁䄸杢穂䑁䅯䅒桂䡁䅑兙啂䡁䅫䅣求䑁䄰睕䕂䍁䅷睕祂䝁䅍児橂䝁䄸杢穂䝁䅕杢穂䡁䅕督畁䡁䅙兙桂䝁䅍䅤ㅂ䝁䅅䅢穂䍁䅷兔桂䝁䅣児䉂䝁䅉督䅁䝁䅑䅁㉂䅁䅁睔睂䡁䅑兡療䝁䄴督㙁䕁䅑兙あ䝁䅅䅖㕂䡁䅁党㥁䙁䅍䅒獁䙁䅍杣橂䑁䄰睙療䝁䄴督求䝁䄴督ㅂ䡁䅍杌㉂䝁䅅兙橂䡁䅑兤桂䝁䅷督獁䕁䄰兙湂䑁䄰兔獁䕁䅍兤祂䡁䅉児䉂䕁䅕䅒䅁䥁䅣䅁䍃䅁䅁睔睂䡁䅑兡療䝁䄴督㙁䕁䅑兙あ䝁䅅䅖㕂䡁䅁党㥁䙁䅍䅒獁䙁䅍杣橂䑁䄰睙療䝁䄴督求䝁䄴督ㅂ䡁䅍杌㉂䝁䅅兙橂䡁䅑兤桂䝁䅷督獁䕁䄰兙湂䑁䄰兔獁䕁䅍兤祂䡁䅉児噂䙁䅍䅉䕂䝁䄸䅢獂䝁䅅杣䅁䥁䅑䅁㉂䅁䅁睔睂䡁䅑兡療䝁䄴督㙁䕁䅑兙あ䝁䅅䅖㕂䡁䅁党㥁䙁䅍䅒獁䙁䅍杣橂䑁䄰睙療䝁䄴督求䝁䄴督ㅂ䡁䅍杌㉂䝁䅅兙橂䡁䅑兤桂䝁䅷督獁䕁䄰兙湂䑁䄰兔獁䕁䅍兤祂䡁䅉児噂䙁䅍䅒䅁䝁䅁䅁㙂䅁䅁睔睂䡁䅑兡療䝁䄴督㙁䕁䅑兙あ䝁䅅䅖㕂䡁䅁党㥁䙁䅍䅒獁䙁䅍杣橂䑁䄰睙療䝁䄴督求䝁䄴督ㅂ䡁䅍杌㉂䝁䅅兙橂䡁䅑兤桂䝁䅷督獁䕁䄰兙湂䑁䄰兙楂䡁䅍䅌䑂䡁䅕杣祂䑁䄰兑䙂䕁䅑䅁䥃䅁䅁杨䅁䕁䄸䅣あ䝁䅫睢畂䡁䅍杏䕂䝁䅅䅤桂䙁䅑入睂䝁䅕児呂䕁䅑䅌呂䡁䅉睙㥁䝁䅍睢畂䡁䅍党畂䡁䅍兤穂䍁䄴杤桂䝁䅅睙あ䡁䅕兙獂䡁䅍䅌乂䝁䅅睚㥁䝁䅅杙穂䍁䅷睑ㅂ䡁䅉杣㥁䙁䅕睕杁䕁䅑睢獂䝁䅷兙祂䅁䅁杨䅁䡁䅯䅁偂䡁䅁䅤灂䝁䄸杢穂䑁䅯䅒桂䡁䅑兙啂䡁䅫䅣求䑁䄰睕䕂䍁䅷睕祂䝁䅍児橂䝁䄸杢穂䝁䅕杢穂䡁䅕督畁䡁䅙兙桂䝁䅍䅤ㅂ䝁䅅䅢穂䍁䅷兔桂䝁䅣児桂䝁䅉督獁䕁䅍兤祂䡁䅉児噂䙁䅍䅒䅁䝁䅉䅁䝁䅁䅁免䕂䅁䅁睃䅅䉁䅙䅁偂䡁䅁䅤灂䝁䄸杢穂䑁䅯睕䕂䅁䅁䅂䅁䉁䅁䅁ぁ䑁䅙杍ㅁ䑁䅁兏㕁䅁䅁杰䅁䍁䅉䅁兂䡁䅉兡橂䝁䅕䅉癁䍁䅁兒桂䡁䅉杢灂䝁䄴睚穂䅁䅁兌䅁䙁䄴䅁偂䡁䅁䅤灂䝁䄸杢穂䑁䅯䅒桂䡁䅑兙啂䡁䅫䅣求䑁䄰睕䕂䍁䅷睕祂䝁䅍児噂䕁䅉睕獁䕁䄰兙湂䑁䄰睓獁䕁䅍兤祂䡁䅉児噂䙁䅍䅒獁䕁䄴兑㥁䅁䅁兔䅅䍁䄴䅁兂䡁䅉兡橂䝁䅕䅉癁䍁䅁杒祂䝁䅕党杁䕁䅍兙穂䝁䅧䅉䝂䝁䅷睢㍂䅁䅁杋䅁䅁䅧䅁䵂䙁䅑兔䅁䵁䅕䅁慁䅁䅁睕䡂䍁䅙兑杁䍁䄸䅉呂䝁䅅䅢求䡁䅍䅁硁䅁䅁䅧䅁䙁䅍䅕䡂䕁䄸䅣あ䝁䅫睢畂䡁䅍杏䕂䝁䅅䅤桂䙁䅑入睂䝁䅕児呂䕁䅑䅌呂䝁䄸兤祂䝁䅍党㥁䝁䅍睢畂䡁䅍党畂䡁䅍兤穂䍁䄴杤桂䝁䅅睙あ䡁䅕兙獂䡁䅍䅌乂䝁䅅睚畂䝁䅫䅤ㅂ䝁䅑党㥁䕁䅅杙穂䅁䅁杘䅁䩁䅯䅁呂䙁䅁睒偂䡁䅁䅤灂䝁䄸杢穂䑁䅯䅒桂䡁䅑兙啂䡁䅫䅣求䑁䄰睕䕂䍁䅷睕療䡁䅕杣橂䝁䅕児橂䝁䄸杢穂䝁䅕杢穂䡁䅕督畁䡁䅙兙桂䝁䅍䅤ㅂ䝁䅅䅢穂䍁䅷兔桂䝁䅣杢灂䡁䅑兤歂䝁䅕児䉂䝁䅉督獁䕁䅍兤祂䡁䅉党畂䝁䅍入㥁䙁䅕睕䕂䅁䅁睘䅁䑁䅉䅁䡂䡁䅉睢穂䡁䅍䅉睂䡁䅉睢浂䝁䅫䅤癁䍁䅧䅢療䡁䅍督灁䍁䅷䅉婂䝁䄸兗䅁䅁䈰䅁坃䅁䅁睕兂䕁䅣睔睂䡁䅑兡療䝁䄴督㙁䕁䅑兙あ䝁䅅䅖㕂䡁䅁党㥁䙁䅍䅒獁䙁䅍睢ㅂ䡁䅉睙求䑁䄰睙療䝁䄴督求䝁䄴督ㅂ䡁䅍杌㉂䝁䅅兙橂䡁䅑兤桂䝁䅷督獁䕁䄰兙湂䝁䄴兡あ䡁䅕䅚求䑁䄰兔獁䕁䅍兤祂䡁䅉党畂䝁䅍入㥁䙁䅕睕䕂䅁䅁兘䅁䉁䅉䅁呂䙁䅁睒啂䝁䅅杙獂䝁䅕䅁㝁䅁䅁䅣䅁䙁䅳睕兂䕁䅣睘坂䝁䅅䅢ㅂ䝁䅅䅤灂䝁䄸杢䉂䝁䄴䅚兂䝁䅕党祂䕁䅅杢桂䝁䅷入穂䝁䅫督時䙁䅙兑時䡁䅙杍畁䡁䅧䅢穂䡁䅧兘啂䝁䅕兙祂䙁䅍䅡求䝁䅕䅤桁䍁䅑兒歁䑁䅕䅁捂允䅁䅉䅁䙁䅍䅕時䕁䅍睔乂䙁䅁兑佂䙁䅫睘佂䕁䅅兔䙂䅁䅁杒䅁䡁䅉䅁偂䡁䅁䅤灂䝁䄸杢穂䑁䅯睑ㅂ䡁䅉杣㥁䙁䅕睕䕂䍁䅷䅒桂䡁䅑兙啂䡁䅫䅣求䑁䄰睕䕂䍁䅷睕祂䝁䅍児䑂䝁䄸杢穂䝁䅕杢穂䡁䅕督畁䙁䅙兑䉂䝁䅍䅤ㅂ䝁䅅䅢穂䍁䅷杔䉂䑁䄰䅁杁允䅁杈䅁䙁䅍䅕時䙁䅁杕䩂䕁䅍兒時䕁䅍䅔偂䙁䅍兒䅁䝁䄴䅁流䅁䅁睕兂䙁䄸䅕卂䕁䅫睑䙂䙁䄸睑䵂䕁䄸睕䙂䙁䄸兑䕂䕁䅯䅁ㅂ䅁䅁䅂䅁䑁䅁䅁䵄䅁䅁杄䅁䙁䅍睘ㅁ䑁䅙兎祁䅁䅁杂䅁䉁䅁䅁䝂䙁䅅免祁䑁䅁杍㉁䅁䅁杌䅅䉁䅁䅁䑂䙁䅅䅎祁䑁䅁杍㉁䅁䅁睎䅅䙁䅯䅁呂䝁䅕䅢獂䝁䅫杢湂䍁䅷䅉湂䝁䅕杢求䡁䅉兙獂䍁䅁兙畂䝁䅑䅉桂䝁䅑兢灂䝁䄴兡穂䡁䅑杣桂䡁䅑兡㉂䝁䅕䅉求䡁䅧䅣求䝁䄴督求䡁䅍䅁婁䅁䅁李䅁䙁䅍睢ㅂ䡁䅉睙求䑁䅯睙療䝁䄴督求䝁䄴督ㅂ䡁䅍杌㉂䝁䅅兙橂䡁䅑兤桂䝁䅷督䅁䅁䅳䅁䝃䅁䅁睗䭂䝁䅕杚浂䝁䅕杣灂䝁䅕督䵂䕁䅷睑時䑁䅉䅍㉁䑁䅁李㉁䑁䅅杍時䕁䅍兤穂䡁䅑睢瑂䕁䅫杢歂䝁䅕䅥時䕁䅍兓剂䙁䅁杣療䍁䄴䅥獂䡁䅍兢摂䕁䅑兙あ䝁䅅睘乂䡁䅕䅢あ䝁䅫䅣獂䝁䅕督桁䍁䅑睑歁䑁䅣䅁䍃䅁䅁䅊䅁䙁䅍睢ㅂ䡁䅉睙求䑁䄰杖䉂䍁䅁兑橂䡁䅑兤桂䝁䅷督䅁䅁䄰䅁允䅁䅁䅎祁䑁䅉杍祁䑁䅧李䅁䭁䅷䅁煁䅁䅁杒祂䝁䅕党杁䕁䅍兙穂䝁䅧䅉䝂䝁䅷睢㍂䍁䅁兗灂䝁䅕䅢歂䅁䅁杗䅅䉁䅷䅁䉂䝁䅷䅣潂䝁䅅杙求䡁䅑䅉䩂䝁䄴睙畁䅁䅁朹䅁䉁䄴䅁呂䡁䅉睙㥁䙁䅙兑杁䕁䅅睙あ䡁䅕兙獂䡁䅍䅁䭁䅁䅁杒䅁䕁䄸䅣あ䝁䅫睢畂䡁䅍杏䑂䡁䅕杣祂䑁䄰兖呂䕁䅑䅌乂䝁䅅睚㥁䕁䄰兡獂䝁䅷兡療䝁䄴督獁䕁䄴兑㥁䍁䄰䅁奄䅁䅁䅍䅁䙁䅍杣橂䑁䄰睙療䝁䄴督求䝁䄴督ㅂ䡁䅍杌㉂䝁䅅兙橂䡁䅑兤桂䝁䅷督䅁䅁䅫䅁煁䅁䅁䅖療䡁䅑兙獂䍁䅁睑ㅂ䡁䅉杣求䝁䄴䅤杁䕁䅅督穂䝁䅕䅤穂䅁䅁䅊䅁䉁䅯䅁佂䝁䅕䅤䉂䡁䅁䅣獁䍁䅁兓畂䝁䅍杌䅁䩁䅅䅁䥁䅁䅁兎祁䙁䅣䅁㡃䅁䅁䅐䅁䙁䅑睢あ䝁䅅䅢杁䝁䄴睢畂䍁䄰睙ㅂ䡁䅉杣求䝁䄴䅤杁䝁䅷兡桂䝁䅉兡獂䝁䅫䅤灂䝁䅕督䅁䍁䅅䅁祁䅁䅁䅖療䡁䅑兙獂䍁䅁睢睂䝁䅕杣桂䡁䅑兡畂䝁䅣䅉求䡁䅧䅣求䝁䄴督求䡁䅍䅁扁䅁䅁䅈䅁䙁䅑睢あ䝁䅅䅢杁䡁䅉党㉂䝁䅕杢ㅂ䝁䅕䅁婂䅁䅁杌䅁䙁䅑睢あ䝁䅅䅢杁䡁䅉党㉂䝁䅕杢ㅂ䝁䅕䅌杁䙁䅁杣灂䝁䄰兙祂䡁䅫䅁䉁䅁䅁杨䅁䙁䅳杓求䝁䅙杚求䡁䅉兡求䡁䅍䅔䵂䕁䅍睘祁䑁䅁李睁䑁䅙李硁䑁䅉睘䑂䡁䅕督あ䝁䄸兢䩂䝁䄴䅚求䡁䅧睘䑂䕁䅫兕兂䡁䅉睢畁䡁䅧䅢穂䝁䄰兘䕂䝁䅅䅤桂䙁䄸兔ㅂ䝁䅷䅤灂䡁䅁䅢求䡁䅍光歁䕁䅑䅊㍁䅁䅁入䅁䥁䅙䅁扂䕁䅯党浂䝁䅙党祂䝁䅫党穂䕁䅷䅔䑂䙁䄸杍睁䑁䅙䅍㉁䑁䅙免祁䙁䄸睑ㅂ䡁䅍䅤療䝁䄰兓畂䝁䅑党㑂䙁䄸睑䩂䙁䅅䅕祂䝁䄸杌㑂䝁䅷督瑂䙁䄰䅒桂䡁䅑兙時䕁䄰兤獂䡁䅑兡睂䝁䅷党穂䍁䅅䅊䙂䍁䅑睎䅁䥁䅁䅁䍃䅁䅁睗䭂䝁䅕杚浂䝁䅕杣灂䝁䅕督䵂䕁䅷睑時䑁䅉䅍㉁䑁䅁李㉁䑁䅅杍時䕁䅍兤穂䡁䅑睢瑂䕁䅫杢歂䝁䅕䅥時䕁䅍兓剂䙁䅁杣療䍁䄴䅥獂䡁䅍兢摂䕁䅑兙あ䝁䅅睘卂䝁䅕䅤ㅂ䡁䅉杢穂䍁䅅䅊䑂䍁䅑睎䅁䝁䅷䅁捁䅁䅁杔䉂䙁䅍䅒䉂䙁䅅睒呂䑁䅯兓佂䙁䅑睑䅁䥁䄴䅁䍃䅁䅁睗䭂䝁䅕杚浂䝁䅕杣灂䝁䅕督䵂䕁䅷睑時䑁䅉䅍㉁䑁䅁李㉁䑁䅅杍時䕁䅍兤穂䡁䅑睢瑂䕁䅫杢歂䝁䅕䅥時䕁䅍兓剂䙁䅁杣療䍁䄴䅥獂䡁䅍兢摂䕁䅑兙あ䝁䅅睘卂䝁䅕䅤ㅂ䡁䅉杢穂䍁䅅䅊䕂䍁䅑睎䅁䡁䅧䅁䍃䅁䅁睗䭂䝁䅕杚浂䝁䅕杣灂䝁䅕督䵂䕁䅷睑時䑁䅉䅍㉁䑁䅁李㉁䑁䅅杍時䕁䅍兤穂䡁䅑睢瑂䕁䅫杢歂䝁䅕䅥時䕁䅍兓剂䙁䅁杣療䍁䄴䅥獂䡁䅍兢摂䕁䅑兙あ䝁䅅睘卂䝁䅕䅤ㅂ䡁䅉杢穂䍁䅅䅊䙂䍁䅑睎䅁䡁䄸䅁䍃䅁䅁睗䭂䝁䅕杚浂䝁䅕杣灂䝁䅕督䵂䕁䅷睑時䑁䅉䅍㉁䑁䅁李㉁䑁䅅杍時䕁䅍兤穂䡁䅑睢瑂䕁䅫杢歂䝁䅕䅥時䕁䅍兓剂䙁䅁杣療䍁䄴䅥獂䡁䅍兢摂䕁䅑兙あ䝁䅅睘卂䝁䅕䅤ㅂ䡁䅉杢穂䍁䅅䅊䭂䍁䅑睎䅁䥁䅅䅁䍃䅁䅁睗䭂䝁䅕杚浂䝁䅕杣灂䝁䅕督䵂䕁䅷睑時䑁䅉䅍㉁䑁䅁李㉁䑁䅅杍時䕁䅍兤穂䡁䅑睢瑂䕁䅫杢歂䝁䅕䅥時䕁䅍兓剂䙁䅁杣療䍁䄴䅥獂䡁䅍兢摂䕁䅑兙あ䝁䅅睘卂䝁䅕䅤ㅂ䡁䅉杢穂䍁䅅䅊䱂䍁䅑睎䅁䡁䅍䅁䍃䅁䅁睗䭂䝁䅕杚浂䝁䅕杣灂䝁䅕督䵂䕁䅷睑時䑁䅉䅍㉁䑁䅁李㉁䑁䅅杍時䕁䅍兤穂䡁䅑睢瑂䕁䅫杢歂䝁䅕䅥時䕁䅍兓剂䙁䅁杣療䍁䄴䅥獂䡁䅍兢摂䕁䅑兙あ䝁䅅睘卂䝁䅕䅤ㅂ䡁䅉杢穂䍁䅅䅊䵂䍁䅑睎䅁䡁䄰䅁䕃䅁䅁睗䭂䝁䅕杚浂䝁䅕杣灂䝁䅕督䵂䕁䅷睑時䑁䅉䅍㉁䑁䅁李㉁䑁䅅杍時䕁䅍兤穂䡁䅑睢瑂䕁䅫杢歂䝁䅕䅥時䕁䅍兓剂䙁䅁杣療䍁䄴䅥獂䡁䅍兢摂䕁䅫杢穂䡁䅑杣ㅂ䝁䅍䅤灂䝁䄸杢穂䍁䅅䅊䡂䍁䅑杍睁䅁䅁䅣䅁䡁䄴䅁偂䡁䅁䅤灂䝁䄸杢穂䑁䅯䅒桂䡁䅑兙啂䡁䅫䅣求䑁䄰睕䕂䍁䅷睕祂䝁䅍児䑂䝁䄸杢穂䝁䅕杢穂䡁䅕督畁䙁䅙兑䉂䝁䅍䅤ㅂ䝁䅅䅢穂䍁䅷兔桂䝁䅣児䍂䍁䅷睑ㅂ䡁䅉杣㥁䙁䅕睕䕂䍁䅷杔䉂䑁䄰䅁䭂允䅁䅫䅁䙁䅳杓求䝁䅙杚求䡁䅉兡求䡁䅍䅔䵂䕁䅍睘祁䑁䅁李睁䑁䅙李硁䑁䅉睘䑂䡁䅕督あ䝁䄸兢䩂䝁䄴䅚求䡁䅧睘䑂䕁䅫兕兂䡁䅉睢畁䡁䅧䅢穂䝁䄰兘䩂䝁䄴督あ䡁䅉兤橂䡁䅑兡療䝁䄴督桁䍁䅑䅔歁䑁䅅睍㙁䍁䅑䅔歁䑁䅅兎䅁䝁䄰䅁元䅁䅁睗䭂䝁䅕杚浂䝁䅕杣灂䝁䅕督䵂䕁䅷睑時䑁䅉䅍㉁䑁䅁李㉁䑁䅅杍時䕁䅍兤穂䡁䅑睢瑂䕁䅫杢歂䝁䅕䅥時䕁䅍兓剂䙁䅁杣療䍁䄴䅥獂䡁䅍兢摂䕁䅫杢穂䡁䅑杣ㅂ䝁䅍䅤灂䝁䄸杢穂䍁䅅䅊佂䍁䅑免穁䑁䅯䅊佂䍁䅑杍祁䅁䅁䅤䅁䉁䅧䅁剂䡁䅕兡橂䝁䅳䅉䑂䝁䄸兢睂䡁䅍䅁歃䅁䅁䅨䅁䙁䅳杓求䝁䅙杚求䡁䅉兡求䡁䅍䅔䵂䕁䅍睘祁䑁䅁李睁䑁䅙李硁䑁䅉睘䑂䡁䅕督あ䝁䄸兢䩂䝁䄴䅚求䡁䅧睘䑂䕁䅫兕兂䡁䅉睢畁䡁䅧䅢穂䝁䄰兘䩂䝁䄴䅤求䡁䅉兢求䝁䅑兡桂䡁䅑党桁䍁䅑䅔歁䑁䅑䅎䅁䡁䅯䅁䕃䅁䅁睗䭂䝁䅕杚浂䝁䅕杣灂䝁䅕督䵂䕁䅷睑時䑁䅉䅍㉁䑁䅁李㉁䑁䅅杍時䕁䅍兤穂䡁䅑睢瑂䕁䅫杢歂䝁䅕䅥時䕁䅍兓剂䙁䅁杣療䍁䄴䅥獂䡁䅍兢摂䕁䅫杢あ䝁䅕杣瑂䝁䅕䅚灂䝁䅅䅤求䍁䅅䅊乂䍁䅑䅎ぁ䅁䅁睥䅁䍁䅧䅁橂䝁䄸杢穂䝁䅕杢穂䡁䅕督畁䡁䅙兙桂䝁䅍䅤ㅂ䝁䅅䅢穂䅁䅁睁䅁䉁䅉䅁橂䡁䅕杣祂䑁䄰兖呂䕁䅑䅁㡁䅁䅁䅅䅁䕁䅙兕穁䑁䅉䅍祁䑁䅕䅁㙁允䅁杆䅁䕁䅅䅚療䝁䅉党杁䕁䅫杢橂䍁䄴䅁䱃䅁䅁杄䅁䕁䅙兗祁䑁䅁杍㕁䅁䅁䅪䅁䉁䅷䅁佂䕁䅅睕䕂䕁䅅兕䡂䙁䅍杏乂䙁䅍杒啂䅁䅁兪䅁䉁䅁䅁ぁ䑁䅍免㑁䑁䅙兎硁䅁䅁睅䅅䍁䅑䅁䩂䝁䄴䅤求䝁䅷䅉䑂䝁䄸杣睂䝁䄸杣桂䡁䅑兡療䝁䄴䅁偃䅁䅁䅈䅁䕁䄴兑呂䕁䅑兑剂䕁䅣睕㙁䕁䄴䅖䉂䙁䅁䅁元䅁䅁䅢䅁䍁䅣睗呂䙁䅁睒時䕁䅙兡畂䝁䅅杢橂䝁䅫兙獂䕁䅧兡湂䝁䅧䅢灂䝁䅣䅡あ䡁䅍睘坂䕁䅅睘㉂䑁䅅䅉潁䑁䅅克畁䡁䅧䅢穂䡁䅧兘乂䝁䅅兡畂䍁䅣光歁䕁䅅兓歁䑁䅑䅏䅁䩁䅉䅁潂䅁䅁睊扂䙁䅍䅕䡂䙁䄸杒灂䝁䄴兙畂䝁䅍兡桂䝁䅷䅓灂䝁䅣䅡獂䝁䅫睚潂䡁䅑督時䙁䅙兑時䡁䅙免杁䍁䅧免灁䍁䄴䅥獂䡁䅍䅥摂䕁䄰兙灂䝁䄴睊桁䍁䅑杒歁䑁䅫䅁呃䅁䅁杄䅁䕁䅍兗祁䑁䅁睍睁䅁䅁杕䅅䍁䅧䅁橁䕁䅫杔坂䕁䅅䅔䩂䕁䅑䅉䑂䕁䄸兔兂䕁䅅杔婂䍁䅁兓䕂䅁䅁公䅁䕁䅙䅁䥂䝁䅕睤獂䝁䅕䅤あ䍁䅁䅕桂䝁䅍睡桂䡁䅉䅚杁䕁䅕杢あ䝁䅕杣睂䡁䅉兡穂䝁䅕䅉䑂䝁䄸兢睂䝁䅅杢㕂䅁䅁睬䅁䉁䅑䅁佂䙁䅫睕䙂䑁䅯睔卂䕁䅍䅔䅁䩁䅧䅁流䅁䅁睔祂䝁䅅睙獂䝁䅕䅉䑂䝁䄸杣睂䝁䄸杣桂䡁䅑兡療䝁䄴䅁婃䅁䅁条䅁䍁䅣睗呂䙁䅁睒時䕁䅙兡畂䝁䅅杢橂䝁䅫兙獂䕁䅧兡湂䝁䅧䅢灂䝁䅣䅡あ䡁䅍睘坂䕁䅅睘㉂䑁䅅䅉潁䑁䅅克畁䡁䅧䅢穂䡁䅧兘乂䝁䅅兡畂䍁䅣光歁䕁䅑䅊㉁䑁䅙䅁楃䅁䅁杅䅁䕁䄴兗呂䕁䅕杏䉂䕁䅍杔䅁䩁䅯䅁捁䅁䅁兑橂䝁䅍党畂䡁䅑兤祂䝁䅕䅉睂䝁䅷睙䅁䩁䅳䅁獂䅁䅁睔睂䡁䅑兡療䝁䄴督㙁䕁䅍兤祂䡁䅉児噂䙁䅍䅒獁䕁䅑兙あ䝁䅅䅖㕂䡁䅁党㥁䙁䅍䅒獁䙁䅍杣橂䑁䄰睑療䝁䄴督求䝁䄴督ㅂ䡁䅍杌乂䝁䅕䅚灂䝁䅅杢獁䕁䄴兑㥁䅁䅁杊䅅䉁䅷䅁佂䕁䅅睕䕂䕁䅅兕䡂䙁䅍杏䑂䙁䅍睑偂䅁䅁䅮䅁䍁䅧䅁䑂䝁䅫督橂䝁䄸䅉呂䡁䅫督あ䝁䅕兢穂䍁䅷䅉䩂䝁䄴睙畁䅁䅁兮䅁䉁䅷䅁佂䕁䅅睕䕂䕁䅅兕䡂䙁䅍杏䑂䙁䅑睕䥂䅁䅁杮䅁䙁䅙䅁䑂䝁䄸睚畂䝁䅫来桂䝁䄴䅤杁䙁䅑党橂䝁䅧杢療䝁䅷睢湂䡁䅫䅉呂䝁䄸䅢ㅂ䡁䅑兡療䝁䄴督杁䕁䅍睢祂䡁䅁睢祂䝁䅅䅤灂䝁䄸杢䅁䩁䄸䅁允䅁䅁䅎㕁䑁䅣䅍ぁ䑁䅣睍䅁偁䅯䅁啁䅁䅁杔婂䙁䅍兒㙁䕁䅑兒䵂䕁䅷䅁权䅁䅁杌䅁䕁䅑党獂䝁䅷䅉啂䝁䅕睙潂䝁䄴睢獂䝁䄸睚灂䝁䅕督杁䕁䅫杢橂䍁䄴䅁桃䅁䅁䅚䅁䙁䅳睕兂䕁䅣睘䝂䝁䅫杢桂䝁䄴睙灂䝁䅅䅢䥂䝁䅫睚潂䝁䅷兡湂䝁䅧䅤穂䙁䄸杖䉂䙁䄸睖䩂䙁䅁杌㑂䝁䅷督㑂䙁䄰杕求䡁䅁睢祂䡁䅑光歁䕁䅑䅊㉁䑁䅣䅁䕁允䅁杅䅁䕁䄴兗呂䕁䅕杏䩂䕁䅉兔䅁偁䅣䅁潂䅁䅁睊扂䙁䅍䅕䡂䙁䄸杒灂䝁䄴兙畂䝁䅍兡桂䝁䅷䅓灂䝁䅣䅡獂䝁䅫睚潂䡁䅑督時䙁䅙兑時䡁䅙免杁䍁䅧免灁䍁䄴䅥獂䡁䅍䅥摂䕁䄰兙灂䝁䄴睊桁䍁䅑䅒歁䑁䅕䅁橃䅁䅁䅅䅁䕁䅙兕ぁ䑁䅉䅍祁䑁䅙䅁睁允䅁䅅䅁䕁䅍兕硁䑁䅉䅍祁䑁䅙䅁穁允䅁杇䅁䙁䅍䅕時䕁䅕杔啂䕁䅫䅖婂䙁䄸兓䕂䅁䅁兰䅁䉁䅁䅁ぁ䑁䅅䅎祁䑁䅣李睁䅁䅁睰䅁䉁䅯䅁呂䙁䅁睘兂䙁䅉兓䑂䕁䅕睘䵂䕁䄸睖䅁䱁䄰䅁允䅁䅁䅎㉁䑁䅑免穁䑁䅧睍䅁䭁䅧䅁允䅁䅁䅎睁䑁䅑睎㑁䑁䅕睎䅁䭁䅫䅁允䅁䅁䅎睁䑁䅑免穁䑁䅙睍䅁䭁䅯䅁允䅁䅁䅎穁䑁䅁兎ㅁ䑁䅙杍䅁䭁䄰䅁允䅁䅁䅎睁䑁䅑睎㑁䑁䅑睎䅁䭁䄴䅁捁䅁䅁杔䉂䙁䅍䅒䉂䙁䅅睒呂䑁䅯兕䑂䕁䄸兔䅁䭁䄸䅁允䅁䅁䅎睁䑁䅙杍ぁ䑁䅫李䅁䱁䅁䅁煂䅁䅁睊扂䙁䅍䅕䡂䙁䄸杒灂䝁䄴兙畂䝁䅍兡桂䝁䅷䅓灂䝁䅣䅡獂䝁䅫睚潂䡁䅑督時䙁䅙兑時䡁䅙免杁䍁䅧免灁䍁䄴䅥獂䡁䅍䅥摂䕁䄰兙灂䝁䄴睊桁䍁䅑䅒歁䑁䅙䅏䅁䱁䅅䅁歁䅁䅁睉䩂䕁䄴杖䉂䕁䅷兓䕂䕁䄰兑䡂䕁䄴兓啂䙁䅕䅒䙂䅁䅁睺䅁䕁䅁䅁偂䡁䅁䅤灂䝁䄸杢穂䑁䅯睑䉂䙁䅁䅖䩂䕁䄸杔㥁䕁䅕䅥橂䝁䅧兙畂䝁䅣党㙁䙁䅑兡橂䝁䅳党祂䅁䅁杳䅁䍁䅁䅁䙂䡁䅧睙潂䝁䅅杢湂䝁䅕杏啂䝁䅫睙牂䝁䅕杣䅁䱁䅍䅁獁䅁䅁兕噂䕁䅅䅔䑂䕁䄸兔乂䍁䅁兓畂䝁䅍睢祂䡁䅁睢祂䝁䅅䅤求䝁䅑䅁ぃ䅁䅁杇䅁䙁䅍䅕時䕁䄰兑卂䕁䅳兒啂䕁䅍兑兂䅁䅁睴䅁䉁䅁䅁䝂䙁䅅睍祁䑁䅁杍㉁䅁䅁兌䅅䅁䄴䅁䩂䙁䅅睘啂䕁䅕杖䅁䱁䅧䅁䝂䅁䅁睔睂䡁䅑兡療䝁䄴督㙁䕁䅍兤祂䡁䅉児噂䙁䅍䅒獁䕁䄰兙湂䑁䄰兔灂䝁䅷䅢灂䝁䄸杢穂䍁䅷杔䉂䑁䄰䅍䅁䱁䅫䅁佁䅁䅁睑婂䑁䅉䅍祁䑁䅑䅁⽃䅁䅁杣䅁䕁䄸䅣あ䝁䅫睢畂䡁䅍杏䑂䡁䅕杣祂䑁䄰兖呂䕁䅑䅌䕂䝁䅅䅤桂䙁䅑入睂䝁䅕児呂䕁䅑䅌呂䡁䅉睙㥁䝁䅍睢畂䡁䅍党畂䡁䅍兤穂䍁䄴杤桂䝁䅅睙あ䡁䅕兙獂䡁䅍䅌佂䕁䅅児䅁佁䅷䅁あ䅁䅁睔睂䡁䅑兡療䝁䄴督㙁䕁䅍兤祂䡁䅉児噂䙁䅍䅒獁䕁䅑兙あ䝁䅅䅖㕂䡁䅁党㥁䙁䅍䅒獁䙁䅍杣橂䑁䄰睙療䝁䄴督求䝁䄴督ㅂ䡁䅍杌㉂䝁䅅兙橂䡁䅑兤桂䝁䅷督獁䕁䄴兑㥁䑁䅁䅁䅄䅁䅁䅋䅁䕁䅑兡㉂䝁䅫䅚求䝁䄴䅚穂䍁䅁䅣求䡁䅉䅉穂䝁䅧兙祂䝁䅕䅁䉄䅁䅁杄䅁䕁䅍兗祁䑁䅁杍㉁䅁䅁杷䅁䅁䄴䅁䑂䙁䅫杍睁䑁䅉睎䅁䵁䅍䅁䥁䅁䅁杔啂䕁䄰䅁䕄䅁䅁䅉䅁䙁䅍䅕時䙁䅁杕䩂䕁䅍兒時䕁䅍䅓䉂䕁䄴睒䙂䅁䅁杸䅁䅁䅧䅁婂䙁䅑䅒䅁䵁䅣䅁䥁䅁䅁兔啂䕁䅑䅁䥄䅁䅁杂䅁䑁䅅兗䅁䵁䅫䅁䝁䅁䅁睍婂䅁䅁杹䅁䅁䅙䅁ㅁ䙁䅫䅁䱄䅁䅁杪䅁䕁䄸䅣あ䝁䅫睢畂䡁䅍杏䑂䡁䅕杣祂䑁䄰兖呂䕁䅑䅌乂䝁䅅睚㥁䕁䄰兡獂䝁䅷兡療䝁䄴督獁䕁䅑兙あ䝁䅅䅖㕂䡁䅁党㥁䙁䅍䅒獁䙁䅍杣橂䑁䄰睙療䝁䄴督求䝁䄴督ㅂ䡁䅍杌㉂䝁䅅兙橂䡁䅑兤桂䝁䅷督獁䕁䄴兑㥁䑁䅁䅁佄䅁䅁䅏䅁䕁䄸䅣あ䝁䅫睢畂䡁䅍杏䑂䡁䅕杣祂䑁䄰兖呂䕁䅑䅌乂䝁䅅睚㥁䕁䄰䅌佂䕁䅅児睁䅁䅁䄰䅁䉁䅷䅁佂䕁䅅睕䕂䕁䅅兕䡂䙁䅍杏兂䕁䅅杔塂䅁䅁充䅅䍁䅙䅁橁䕁䅫杔坂䕁䅅䅔䩂䕁䅑䅉乂䕁䅅睒佂䕁䅫䅖噂䕁䅑兒䅁乁䅅䅁㉁䅁䅁䅖療䡁䅑兙獂䍁䅁督あ䝁䄸睙牂䝁䅧睢獂䝁䅑党祂䡁䅍睊杁䝁䅕兣ㅂ䝁䅫䅤㕂䅁䅁䄱䅁䥁䅁䅁偂䡁䅁䅤灂䝁䄸杢穂䑁䅯睑ㅂ䡁䅉杣㥁䙁䅕睕䕂䍁䅷兔桂䝁䅣児乂䍁䅷䅒桂䡁䅑兙啂䡁䅫䅣求䑁䄰睕䕂䍁䅷睕祂䝁䅍児橂䝁䄸杢穂䝁䅕杢穂䡁䅕督畁䡁䅙兙桂䝁䅍䅤ㅂ䝁䅅䅢穂䍁䅷杔䉂䑁䄰兌䅁乁䅕䅁䕁䅁䅁兌䅁乁䅙䅁十䅁䅁睑剂䍁䄰免祁䑁䅁杍㉁䅁䅁睔䅅䍁䅷䅁偂䡁䅁䅤灂䝁䄸杢穂䑁䅯睑ㅂ䡁䅉杣㥁䙁䅕睕䕂䍁䅷杔䉂䑁䄰兌䅁乁䅣䅁あ䅁䅁睔睂䡁䅑兡療䝁䄴督㙁䕁䅍兤祂䡁䅉児噂䙁䅍䅒獁䕁䅑兙あ䝁䅅䅖㕂䡁䅁党㥁䙁䅍䅒獁䙁䅍杣橂䑁䄰睙療䝁䄴督求䝁䄴督ㅂ䡁䅍杌㉂䝁䅅兙橂䡁䅑兤桂䝁䅷督獁䕁䄴兑㥁䍁䄰䅁婄䅁䅁䅧䅁䕁䄸䅣あ䝁䅫睢畂䡁䅍杏䕂䝁䅅䅤桂䙁䅑入睂䝁䅕児呂䕁䅑䅌呂䡁䅉睙㥁䝁䅍睢畂䡁䅍党畂䡁䅍兤穂䍁䄴杤桂䝁䅅睙あ䡁䅕兙獂䡁䅍䅌乂䝁䅅睚㥁䕁䄰䅌䑂䡁䅕杣祂䑁䄰兖呂䕁䅑䅌佂䕁䅅児瑁䅁䅁朲䅁䥁䅑䅁偂䡁䅁䅤灂䝁䄸杢穂䑁䅯䅒桂䡁䅑兙啂䡁䅫䅣求䑁䄰睕䕂䍁䅷睕祂䝁䅍児橂䝁䄸杢穂䝁䅕杢穂䡁䅕督畁䡁䅙兙桂䝁䅍䅤ㅂ䝁䅅䅢穂䍁䅷兔桂䝁䅣児桂䝁䅉督獁䕁䅍兤祂䡁䅉児噂䙁䅍䅒獁䕁䄴兑㥁䍁䄰䅁扄䅁䅁杣䅁䕁䄸䅣あ䝁䅫睢畂䡁䅍杏䕂䝁䅅䅤桂䙁䅑入睂䝁䅕児呂䕁䅑䅌呂䡁䅉睙㥁䝁䅍睢畂䡁䅍党畂䡁䅍兤穂䍁䄴杤桂䝁䅅睙あ䡁䅕兙獂䡁䅍䅌乂䝁䅅睚㥁䕁䅅杙穂䍁䅷杔䉂䑁䄰兌䅁乁䅷䅁楂䅁䅁睔睂䡁䅑兡療䝁䄴督㙁䕁䅑兙あ䝁䅅䅖㕂䡁䅁党㥁䙁䅍䅒獁䙁䅍杣橂䑁䄰睙療䝁䄴督求䝁䄴督ㅂ䡁䅍杌㉂䝁䅅兙橂䡁䅑兤桂䝁䅷督獁䕁䄴兑㥁䑁䅁䅁摄䅁䅁杌䅁䕁䄸䅣あ䝁䅫睢畂䡁䅍杏䕂䝁䅅䅤桂䙁䅑入睂䝁䅕児歁䕁䅕䅊祁䑁䅍䅁祂允䅁杙䅁䕁䄸䅣あ䝁䅫睢畂䡁䅍杏䕂䝁䅅䅤桂䙁䅑入睂䝁䅕児呂䕁䅑䅌呂䡁䅉睙㥁䝁䅍睢畂䡁䅍党畂䡁䅍兤穂䍁䄴杤桂䝁䅅睙あ䡁䅕兙獂䡁䅍䅌佂䕁䅅児瑁䅁䅁朳䅁䍁䅙䅁兂䡁䅉兡橂䝁䅕䅉癁䍁䅁村療䝁䄸睡杁䙁䅙兙獂䡁䅕党䅁佁䅅䅁敂䅁䅁睔睂䡁䅑兡療䝁䄴督㙁䕁䅑兙あ䝁䅅䅖㕂䡁䅁党㥁䙁䅍䅒獁䙁䅍杣橂䑁䄰兖䍂䙁䅍䅌乂䝁䅅睚㥁䕁䄰䅌䑂䡁䅕杣祂䑁䄰兖呂䕁䅑䅌佂䕁䅅児䅁䕁䉅䅁允䅁䅁䅎睁䑁䅑䅏硁䑁䅕睎䅁偁䅷䅁流䅁䅁䅖療䡁䅑兙獂䍁䅁杣求䡁䅙党畂䡁䅕党獁䍁䅁兗療䙁䅫䅁楄䅁䅁杙䅁䙁䅳睕兂䕁䅣睘䝂䝁䅫杢桂䝁䄴睙灂䝁䅅䅢䥂䝁䅫睚潂䝁䅷兡湂䝁䅧䅤穂䙁䄸杖䉂䙁䄸睖䩂䙁䅁杌㑂䝁䅷督㑂䙁䄰杕求䡁䅁睢祂䡁䅑光歁䕁䅑䅊ㅁ䅁䅁䄵䅁䉁䅧䅁䙂䕁䅉兓啂䕁䅑兑獁䍁䅁兗療䙁䅫䅁汄䅁䅁杒䅁䕁䄸䅣あ䝁䅫睢畂䡁䅍杏䕂䝁䅅䅤桂䙁䅑入睂䝁䅕児呂䕁䅑䅌杁䙁䅍杣橂䑁䄰睑療䝁䄴督求䝁䄴督ㅂ䡁䅍䅁浄䅁䅁杦䅁䕁䄸䅣あ䝁䅫睢畂䡁䅍杏䕂䝁䅅䅤桂䙁䅑入睂䝁䅕児呂䕁䅑䅌呂䡁䅉睙㥁䝁䅍睢畂䡁䅍党畂䡁䅍兤穂䍁䄴杤桂䝁䅅睙あ䡁䅕兙獂䡁䅍䅌乂䝁䅅睚㥁䕁䄰䅌䑂䡁䅕杣祂䑁䄰兖呂䕁䅑䅌佂䕁䅅児䅁佁䅣䅁㑂䅁䅁睔睂䡁䅑兡療䝁䄴督㙁䕁䅑兙あ䝁䅅䅖㕂䡁䅁党㥁䙁䅍䅒獁䙁䅍杣橂䑁䄰睑療䝁䄴督求䝁䄴督ㅂ䡁䅍杌乂䝁䅕䅚灂䝁䅅杢獁䕁䄰兙湂䑁䄰兔獁䕁䅍兤祂䡁䅉児噂䙁䅍䅒獁䕁䄴兑㥁䅁䅁光䅅䝁䅁䅁偂䡁䅁䅤灂䝁䄸杢穂䑁䅯䅒桂䡁䅑兙啂䡁䅫䅣求䑁䄰睕䕂䍁䅷睕祂䝁䅍児橂䝁䄸杢穂䝁䅕杢穂䡁䅕督畁䡁䅙兙桂䝁䅍䅤ㅂ䝁䅅䅢穂䍁䅷杔䉂䑁䄰䅁潄䅁䅁杗䅁䕁䄸䅣あ䝁䅫睢畂䡁䅍杏䕂䝁䅅䅤桂䙁䅑入睂䝁䅕児呂䕁䅑䅌呂䡁䅉睙㥁䕁䅍睢畂䡁䅍党畂䡁䅍兤穂䍁䄴兔求䝁䅑兡桂䝁䄴䅌佂䕁䅅児䅁䍁䉉䅁⭂䅁䅁睔睂䡁䅑兡療䝁䄴督㙁䕁䅍兤祂䡁䅉児噂䙁䅍䅒獁䕁䄰兙湂䑁䄰兔獁䕁䅑兙あ䝁䅅䅖㕂䡁䅁党㥁䙁䅍䅒獁䙁䅍杣橂䑁䄰睙療䝁䄴督求䝁䄴督ㅂ䡁䅍杌㉂䝁䅅兙橂䡁䅑兤桂䝁䅷督獁䕁䄴兑㥁䅁䅁儶䅁䡁䄴䅁偂䡁䅁䅤灂䝁䄸杢穂䑁䅯睑ㅂ䡁䅉杣㥁䙁䅕睕䕂䍁䅷兔桂䝁䅣児乂䍁䅷䅒桂䡁䅑兙啂䡁䅫䅣求䑁䄰睕䕂䍁䅷睕祂䝁䅍児䑂䝁䄸杢穂䝁䅕杢穂䡁䅕督畁䙁䅙兙桂䝁䅍䅤ㅂ䝁䅅䅢穂䍁䅷杔䉂䑁䄰䅁㥁允䅁杧䅁䕁䄸䅣あ䝁䅫睢畂䡁䅍杏䕂䝁䅅䅤桂䙁䅑入睂䝁䅕児呂䕁䅑䅌呂䡁䅉睙㥁䝁䅍睢畂䡁䅍党畂䡁䅍兤穂䍁䄴杤桂䝁䅅睙あ䡁䅕兙獂䡁䅍䅌乂䝁䅅睚㥁䝁䅅杙穂䍁䅷睑ㅂ䡁䅉杣㥁䙁䅕睕䕂䍁䅷杔䉂䑁䄰䅁牄䅁䅁䅦䅁䕁䄸䅣あ䝁䅫睢畂䡁䅍杏䕂䝁䅅䅤桂䙁䅑入睂䝁䅕児呂䕁䅑䅌呂䡁䅉睙㥁䕁䅍睢畂䡁䅍党畂䡁䅍兤穂䍁䄴兔求䝁䅑兡桂䝁䄴䅌乂䝁䅅睚㥁䝁䅅杙穂䍁䅷睑ㅂ䡁䅉杣㥁䙁䅕睕䕂䍁䅷杔䉂䑁䄰䅁歁允䅁杋䅁䕁䄸䅣あ䝁䅫睢畂䡁䅍杏䑂䡁䅕杣祂䑁䄰兖呂䕁䅑䅌佂䕁䅅児䅁佁䄰䅁䕂䅁䅁睔睂䡁䅑兡療䝁䄴督㙁䕁䅍兤祂䡁䅉児噂䙁䅍䅒獁䕁䄰兙湂䑁䄰兔灂䝁䅷䅢灂䝁䄸杢穂䍁䅷杔䉂䑁䄰䅁畄䅁䅁杆䅁䕁䅅䅣睂䝁䅷党杁䕁䅫杢橂䍁䄴䅁㑄䅁䅁䅈䅁䕁䄴兑呂䕁䅑兑剂䕁䅣睕㙁䕁䅅兑兂䕁䅷䅁癄䅁䅁䅅䅁䑁䅑䅍祁䑁䅑䅎睁䑁䅅䅁偁允䅁䅅䅁䑁䅑䅍睁䑁䅑杍睁䑁䅕䅁睄䅁䅁䅈䅁䕁䄴兑呂䕁䅑兑剂䕁䅣睕㙁䕁䅅杖䡂䕁䄸䅁硄䅁䅁杈䅁䕁䄴兑呂䕁䅑兑剂䕁䅣睕㙁䕁䅣睔偂䕁䅣䅔䅁偁䅉䅁䝂䅁䅁睔睂䡁䅑兡療䝁䄴督㙁䕁䅍兤祂䡁䅉児噂䙁䅍䅒獁䕁䄰兙湂䑁䄰䅖潂䝁䄸兤穂䝁䅅杢歂䡁䅍䅌佂䕁䅅児䅁䍁䉫䅁十䅁䅁杔婂䙁䅍兒㙁䕁䅍杕乂䅁䅁眸䅁䉁䅁䅁ぁ䑁䅙睍穁䑁䅙免㑁䅁䅁䄹䅁䉁䅷䅁佂䕁䅅睕䕂䕁䅅兕䡂䙁䅍杏䩂䕁䄴䅖噂䅁䅁儹䅁䉁䅷䅁佂䕁䅅睕䕂䕁䅅兕䡂䙁䅍杏佂䙁䅙䅒䉂䅁䅁儫䅁䉁䅁䅁ぁ䑁䅁䅍睁䑁䅅兏穁䅁䅁眫䅁䍁䅯䅁乂䝁䅕䅤桂䍁䅁䅕獂䝁䅅䅤浂䝁䄸杣瑂䡁䅍䅌杁䕁䅫杢橂䍁䄴䅁䡁允䅁䅅䅁䑁䅑杍睁䑁䅕䅏ぁ䑁䅧䅁⭄䅁䅁杉䅁䙁䅍兙獂䝁䅕督浂䝁䄸杣橂䝁䅕䅌杁䕁䅫杢橂䍁䄴䅁⽄䅁䅁䅈䅁䕁䅉杣療䝁䅅䅚橂䝁䄸兢杁䕁䅫杢橂䍁䄴䅁䅁允䅁杘䅁䕁䄸䅣あ䝁䅫睢畂䡁䅍杏䑂䡁䅕杣祂䑁䄰兖呂䕁䅑䅌乂䝁䅅睚㥁䕁䅳䅌䕂䝁䅅䅤桂䙁䅑入睂䝁䅕児呂䕁䅑䅌呂䡁䅉睙㥁䙁䅕村呂䍁䅷杔䉂䑁䄰䅁佂允䅁䅅䅁䑁䅑䅍㕁䑁䅑杍㑁䑁䅙䅁䉁允䅁杊䅁䕁䄴杖䩂䕁䅑兓䉂䍁䅁睑療䡁䅉䅣療䡁䅉兙あ䝁䅫睢畂䅁䅁杁䅅䝁䅙䅁扂䙁䅍䅕䡂䙁䄸杒灂䝁䄴兙畂䝁䅍兡桂䝁䅷䅓灂䝁䅣䅡獂䝁䅫睚潂䡁䅑督時䙁䅙兑時䙁䅣兓兂䍁䄴䅥獂䡁䅍䅥摂䙁䅉党睂䝁䄸杣あ䍁䅅䅊䉂䕁䅕䅊㉁䑁䅣䅁䑁允䅁䅅䅁䑁䅑䅍祁䑁䅕睎ぁ䑁䅙䅁䩁允䅁杚䅁䙁䅳睕兂䕁䅣睘䝂䝁䅫杢桂䝁䄴睙灂䝁䅅䅢䥂䝁䅫睚潂䝁䅷兡湂䝁䅧䅤穂䙁䄸杖䉂䙁䄸睖䩂䙁䅁杌㑂䝁䅷督㑂䙁䄰杕求䡁䅁睢祂䡁䅑光歁䕁䅅䅓歁䑁䅙李䅁䅁䉯䅁畁䅁䅁䅒奂䕁䅍䅉啂䝁䅕睙潂䝁䄴睢獂䝁䄸睚㕂䍁䅁睑療䝁䄰䅣桂䝁䄴入䅁䉁䉁䅁畂䅁䅁睊扂䙁䅍䅕䡂䙁䄸杒灂䝁䄴兙畂䝁䅍兡桂䝁䅷督流䙁䅁党求䡁䅉睑療䝁䄰䅣桂䡁䅉兡穂䝁䅫睢畂䙁䄸杖䉂䍁䄴䅥獂䡁䅍䅥摂䙁䅉党睂䝁䄸杣あ䍁䅣光歁䕁䅑䅊㉁䑁䅣䅁啁允䅁䅢䅁䍁䅣睗呂䙁䅁睒時䕁䅙兡畂䝁䅅杢橂䝁䅫兙獂䡁䅍杊兂䝁䅕党祂䕁䅍睢瑂䡁䅁兙祂䝁䅫督灂䝁䄸杢時䙁䅙兑畁䡁䅧䅢穂䡁䅧兘卂䝁䅕䅣療䡁䅉䅤湁䍁䅅䅊䕂䍁䅑兎䅁䉁䉕䅁潂䅁䅁睊扂䙁䅍䅕䡂䙁䄸杒灂䝁䄴兙畂䝁䅍兡桂䝁䅷督流䙁䅁党求䡁䅉兑畂䝁䅅䅢㕂䡁䅍兡穂䙁䄸杖䉂䍁䄴䅥獂䡁䅍䅥摂䙁䅉党睂䝁䄸杣あ䍁䅣光歁䕁䅑䅊㉁䑁䅣䅁坁允䅁杚䅁䍁䅣睗呂䙁䅁睒時䕁䅙兡畂䝁䅅杢橂䝁䅫兙獂䡁䅍杊兂䝁䅕党祂䕁䅅杢桂䝁䅷入穂䝁䅫督時䙁䅙兑畁䡁䅧䅢穂䡁䅧兘卂䝁䅕䅣療䡁䅉䅤湁䍁䅅䅊䕂䍁䅑兎䅁䉁䉣䅁捁䅁䅁杔䉂䙁䅍䅒䉂䙁䅅睒呂䑁䅯兑乂䙁䅯杔䅁䉁䉧䅁允䅁䅁睍睁䑁䅁免㍁䑁䅫杍䅁䉁䉫䅁楁䅁䅁兑瑂䝁䅅来療䝁䄴杌橂䝁䄸兢獁䍁䅁兓畂䝁䅍杌䅁䉁䉯䅁⭂䅁䅁睔睂䡁䅑兡療䝁䄴督㙁䕁䅑兙あ䝁䅅䅖㕂䡁䅁党㥁䙁䅍䅒獁䙁䅍杣橂䑁䄰睑療䝁䄴督求䝁䄴督ㅂ䡁䅍杌坂䕁䅅兑橂䡁䅑兤桂䝁䅷督獁䕁䄰兙湂䑁䄰兔獁䕁䅍兤祂䡁䅉児噂䙁䅍䅒獁䕁䄴兑㥁䅁䅁睇䅅䡁䅁䅁偂䡁䅁䅤灂䝁䄸杢穂䑁䅯䅒桂䡁䅑兙啂䡁䅫䅣求䑁䄰睕䕂䍁䅷睕祂䝁䅍児䑂䝁䄸杢穂䝁䅕杢穂䡁䅕督畁䙁䅙兑䉂䝁䅍䅤ㅂ䝁䅅䅢穂䍁䅷兔桂䝁䅣児䉂䝁䅉督獁䕁䄴兑㥁䅁䅁䅈䅅䡁䄴䅁偂䡁䅁䅤灂䝁䄸杢穂䑁䅯睑ㅂ䡁䅉杣㥁䙁䅕睕䕂䍁䅷兔桂䝁䅣児乂䍁䅷䅒桂䡁䅑兙啂䡁䅫䅣求䑁䄰睕䕂䍁䅷睕祂䝁䅍児䑂䝁䄸杢穂䝁䅕杢穂䡁䅕督畁䙁䅙兑䉂䝁䅍䅤ㅂ䝁䅅䅢穂䍁䅷杔䉂䑁䄰䅁敁允䅁杦䅁䕁䄸䅣あ䝁䅫睢畂䡁䅍杏䕂䝁䅅䅤桂䙁䅑入睂䝁䅕児呂䕁䅑䅌呂䡁䅉睙㥁䕁䅍睢畂䡁䅍党畂䡁䅍兤穂䍁䄴杖䉂䕁䅅睙あ䡁䅕兙獂䡁䅍䅌乂䝁䅅睚㥁䕁䅳䅌䑂䡁䅕杣祂䑁䄰兖呂䕁䅑䅌佂䕁䅅児䅁䍁䉣䅁⭂䅁䅁睔睂䡁䅑兡療䝁䄴督㙁䕁䅍兤祂䡁䅉児噂䙁䅍䅒獁䕁䄰兙湂䑁䄰睓獁䕁䅑兙あ䝁䅅䅖㕂䡁䅁党㥁䙁䅍䅒獁䙁䅍杣橂䑁䄰睑療䝁䄴督求䝁䄴督ㅂ䡁䅍杌坂䕁䅅兑橂䡁䅑兤桂䝁䅷督獁䕁䄴兑㥁䅁䅁䅋䅅䉁䅁䅁䝂䙁䅅免祁䑁䅁杍㍁䅁䅁杋䅅䉁䅉䅁啂䝁䄸䅤桂䝁䅷䅉桂䡁䅍䅁牁允䅁䅅䅁䕁䅙兕祁䑁䅉䅍祁䑁䅑䅁灂允䅁䅅䅁䕁䅙兕睁䑁䅉䅍祁䑁䅙䅁獁允䅁䅅䅁䕁䅙兕硁䑁䅉䅍祁䑁䅕䅁浂允䅁䅅䅁䕁䅍兕ぁ䑁䅉䅍祁䑁䅕䅁硁允䅁䅅䅁䕁䅍兕硁䑁䅉䅍祁䑁䅣䅁祁允䅁䅅䅁䕁䅍兕穁䑁䅉䅍祁䑁䅕䅁剂允䅁䅅䅁䕁䅍兕祁䑁䅉䅍祁䑁䅣䅁㉁允䅁杕䅁䕁䄸䅣あ䝁䅫睢畂䡁䅍杏䑂䡁䅕杣祂䑁䄰兖呂䕁䅑䅌䕂䝁䅅䅤桂䙁䅑入睂䝁䅕児呂䕁䅑䅌呂䡁䅉睙㥁䙁䅕村呂䍁䅷杔䉂䑁䄰䅁䝂允䅁杦䅁䕁䄸䅣あ䝁䅫睢畂䡁䅍杏䕂䝁䅅䅤桂䙁䅑入睂䝁䅕児呂䕁䅑䅌呂䡁䅉睙㥁䕁䅍睢畂䡁䅍党畂䡁䅍兤穂䍁䄴杖桂䝁䅅睙あ䡁䅕兙獂䡁䅍䅌乂䝁䅅睚㥁䕁䄰䅌䑂䡁䅕杣祂䑁䄰兖呂䕁䅑䅌佂䕁䅅児䅁䑁䉧䅁允䅁䅁杒剂䑁䅑杍睁䑁䅉兎䅁䑁䉫䅁杂䅁䅁睔睂䡁䅑兡療䝁䄴督㙁䕁䅑兙あ䝁䅅䅖㕂䡁䅁党㥁䙁䅍䅒獁䙁䅍杣橂䑁䄰睑療䝁䄴督求䝁䄴督ㅂ䡁䅍杌坂䝁䅅兙橂䡁䅑兤桂䝁䅷督獁䕁䄴兑㥁䅁䅁睏䅅䥁䅉䅁偂䡁䅁䅤灂䝁䄸杢穂䑁䅯䅒桂䡁䅑兙啂䡁䅫䅣求䑁䄰睕䕂䍁䅷睕祂䝁䅍児䑂䝁䄸杢穂䝁䅕杢穂䡁䅕督畁䙁䅙兙桂䝁䅍䅤ㅂ䝁䅅䅢穂䍁䅷兔桂䝁䅣児桂䝁䅉督獁䕁䅍兤祂䡁䅉児噂䙁䅍䅒獁䕁䄴兑㥁䅁䅁䅐䅅䑁䅯䅁䉂䝁䅑杤桂䝁䄴睙求䝁䅑䅉乂䝁䅫睙祂䝁䄸䅉䕂䝁䅕杤灂䝁䅍党穂䍁䅷䅉䩂䝁䄴睙畁䅁䅁䅙䅅䡁䅁䅁偂䡁䅁䅤灂䝁䄸杢穂䑁䅯䅒桂䡁䅑兙啂䡁䅫䅣求䑁䄰睕䕂䍁䅷睕祂䝁䅍児䑂䝁䄸杢穂䝁䅕杢穂䡁䅕督畁䙁䅙兙桂䝁䅍䅤ㅂ䝁䅅䅢穂䍁䅷兔桂䝁䅣児䉂䝁䅉督獁䕁䄴兑㥁䅁䅁材䅅䝁䅙䅁湁䙁䅳睕兂䕁䅣睘䝂䝁䅫杢桂䝁䄴睙灂䝁䅅䅢穂䍁䅙䅕求䝁䅕杣䉂䝁䄴兙獂䡁䅫督灂䡁䅍睘坂䕁䅅杌㑂䝁䅷督㑂䙁䄰杕求䡁䅁睢祂䡁䅑睊桁䍁䅑兒歁䑁䅕䅁⽁允䅁杣䅁䕁䄸䅣あ䝁䅫睢畂䡁䅍杏䑂䡁䅕杣祂䑁䄰兖呂䕁䅑䅌䕂䝁䅅䅤桂䙁䅑入睂䝁䅕児呂䕁䅑䅌呂䡁䅉睙㥁䕁䅍睢畂䡁䅍党畂䡁䅍兤穂䍁䄴杖桂䝁䅅睙あ䡁䅕兙獂䡁䅍䅌佂䕁䅅児䅁䕁䉁䅁歂䅁䅁睗呂䙁䅁睒時䙁䅙兙獂䡁䅕兙あ䝁䅫睢畂䕁䅅杢歂䙁䅁党求䡁䅉兑畂䝁䅅䅢㕂䡁䅍兡穂䙁䄸杖䉂䍁䄴䅥獂䡁䅍䅥摂䙁䅉党睂䝁䄸杣あ䍁䅅䅊䙂䍁䅑兎䅁䙁䉧䅁䅂䅁䅁睔睂䡁䅑兡療䝁䄴督㙁䕁䅑兙あ䝁䅅䅖㕂䡁䅁党㥁䙁䅍䅒獁䙁䅍杣橂䑁䄰兖䍂䙁䅍䅌佂䕁䅅児䅁䕁䉉䅁敂䅁䅁睔睂䡁䅑兡療䝁䄴督㙁䕁䅍兤祂䡁䅉児噂䙁䅍䅒獁䕁䄰兙湂䑁䄰兔獁䕁䅑兙あ䝁䅅䅖㕂䡁䅁党㥁䙁䅍䅒獁䙁䅍杣橂䑁䄰兖䍂䙁䅍䅌佂䕁䅅児䅁䕁䉍䅁楂䅁䅁睔睂䡁䅑兡療䝁䄴督㙁䕁䅑兙あ䝁䅅䅖㕂䡁䅁党㥁䙁䅍䅒獁䙁䅍杣橂䑁䄰兖䍂䙁䅍䅌乂䝁䅅睚㥁䝁䅅杙穂䍁䅷睑ㅂ䡁䅉杣㥁䙁䅕睕䕂䍁䅷杔䉂䑁䄰䅁䕂允䅁䅤䅁䙁䅳睕兂䕁䅣睘䝂䝁䅫杢桂䝁䄴睙灂䝁䅅䅢穂䕁䅅杢歂䙁䅁党求䡁䅉兑畂䝁䅅䅢㕂䡁䅍兡穂䙁䄸杖䉂䍁䄴䅥獂䡁䅍䅥摂䙁䅁党求䡁䅉兑畂䝁䅅䅢㕂䡁䅍兡穂䍁䅅䅊䉂䕁䅑䅊㍁䅁䅁睡䅅䉁䅁䅁䝂䙁䅅免祁䑁䅁杍ぁ䅁䅁䅡䅅䅁䅧䅁呂䙁䅑兔䅁䕁䉣䅁⭂䅁䅁睔睂䡁䅑兡療䝁䄴督㙁䕁䅍兤祂䡁䅉児噂䙁䅍䅒獁䕁䄰兙湂䑁䄰村獁䕁䅑兙あ䝁䅅䅖㕂䡁䅁党㥁䙁䅍䅒獁䙁䅍杣橂䑁䄰睑療䝁䄴督求䝁䄴督ㅂ䡁䅍杌坂䕁䅅兑橂䡁䅑兤桂䝁䅷督獁䕁䄴兑㥁䅁䅁睓䅅䅁䅙䅁祁䙁䅫䅁䥂允䅁䅃䅁䙁䅅䅖䕂䅁䅁兓䅅䉁䅁䅁䑂䙁䅅䅍祁䑁䅁杍㉁䅁䅁䅕䅅䅁䄴䅁䑂䙁䅫杍睁䑁䅉䅏䅁䙁䉍䅁佁䅁䅁睑婂䑁䅉䅍祁䑁䅫䅁啂允䅁䅙䅁䙁䅳睕兂䕁䅣睘坂䝁䅅䅢ㅂ䝁䅅䅤灂䝁䄸杢兂䝁䅕党祂䕁䅅杢桂䝁䅷入穂䝁䅫督時䙁䅙兑畁䡁䅧䅢穂䡁䅧兘卂䝁䅕䅣療䡁䅉䅤桁䍁䅑䅒歁䑁䅙睎䅁䙁䉕䅁敂䅁䅁睗呂䙁䅁睒時䙁䅙兙獂䡁䅕兙あ䝁䅫睢畂䙁䅁党求䡁䅉兑畂䝁䅅䅢㕂䡁䅍兡穂䙁䄸杖䉂䍁䄴䅥獂䡁䅍䅥摂䙁䅉党睂䝁䄸杣あ䍁䅅䅊䙂䍁䅑兎䅁䙁䉙䅁獂䅁䅁睗呂䙁䅁睒時䙁䅙兙獂䡁䅕兙あ䝁䅫睢畂䕁䅅杢歂䙁䅁党求䡁䅉兑畂䝁䅅䅢㕂䡁䅍兡穂䙁䄸杖䉂䍁䄴䅥獂䡁䅍䅥摂䙁䅙兙獂䡁䅕兙あ䝁䅫睢畂䍁䅅䅊䕂䍁䅑睍硁䅁䅁睖䅅䝁䅯䅁扂䙁䅍䅕䡂䙁䄸杖桂䝁䅷兤桂䡁䅑兡療䝁䄴兑畂䝁䅑䅕求䝁䅕杣䉂䝁䄴兙獂䡁䅫督灂䡁䅍睘坂䕁䅅杌㑂䝁䅷督㑂䙁䄰杖桂䝁䅷兤桂䡁䅑兡療䝁䄴光歁䕁䅑䅊㕁䅁䅁兗䅅䡁䅁䅁扂䙁䅍䅕䡂䙁䄸杖桂䝁䅷兤桂䡁䅑兡療䝁䄴兑畂䝁䅑䅕求䝁䅕杣䉂䝁䄴兙獂䡁䅫督灂䡁䅍睘坂䕁䅅睘㉂䑁䅉杌㑂䝁䅷督㑂䙁䄰杖桂䝁䅷兤桂䡁䅑兡療䝁䄴光歁䕁䅑䅊㕁䅁䅁睗䅅䝁䅯䅁扂䙁䅍䅕䡂䙁䄸杖桂䝁䅷兤桂䡁䅑兡療䝁䄴兑畂䝁䅑䅕求䝁䅕杣䉂䝁䄴兙獂䡁䅫督灂䡁䅍睘坂䕁䅅杌㑂䝁䅷督㑂䙁䄰䅖求䝁䅅杣呂䝁䅧党求䡁䅑光歁䕁䅕䅊ㅁ䅁䅁兘䅅䉁䅯䅁佂䕁䅅睕䕂䕁䅅兕䡂䙁䅍杏䉂䕁䄰䅒䅁䙁䈴䅁允䅁䅁䅎睁䑁䅙李㍁䑁䅑睍䅁䙁䈸䅁祂䅁䅁睗呂䙁䅁睒時䕁䅙兡畂䝁䅅杢橂䝁䅫兙獂䡁䅍兑畂䝁䅑䅕求䝁䅕杣䉂䝁䄴兙獂䡁䅫督灂䡁䅍睘坂䕁䅅杌㑂䝁䅷督㑂䙁䄰䅕求䝁䅕杣䉂䝁䄴兙獂䡁䅫督灂䡁䅍光歁䕁䅑䅊㕁䅁䅁兙䅅䡁䅑䅁佂䝁䅕䅤杁䝁䅍兙穂䝁䅧䅉浂䝁䅷睢㍂䡁䅍䅉睂䡁䅉睢㉂䝁䅫䅚求䝁䅑䅉楂䡁䅫睌潁䡁䅕督求䝁䅑䅉灂䝁䄴克杁䝁䅫杢㉂䝁䅕督あ䝁䅫杢湂䍁䅁兙橂䡁䅑兡㉂䝁䅫䅤灂䝁䅕督䅁䝁䉍䅁允䅁䅁杒剂䑁䅉杍睁䑁䅉兎䅁䝁䉣䅁允䅁䅁杒剂䑁䅍杍睁䑁䅉䅎䅁䝁䉯䅁あ䅁䅁睗呂䙁䅁睒時䕁䅙兡畂䝁䅅杢橂䝁䅫兙獂䡁䅍兑畂䝁䅑䅕求䝁䅕杣䉂䝁䄴兙獂䡁䅫督灂䡁䅍睘坂䕁䅅杌㑂䝁䅷督㑂䙁䄰䅕求䝁䅕杣䉂䝁䄴兙獂䡁䅫督灂䡁䅍光歁䕁䅅兑歁䑁䅫䅁獂允䅁杉䅁䕁䅅睙あ䡁䅕兙獂䝁䄸杣䙂䡁䅍䅤灂䝁䄰兙あ䝁䅕䅁畂允䅁䅋䅁䕁䅍睢畂䡁䅍党畂䡁䅍兤穂䍁䄴杖䉂䕁䅅睙あ䡁䅕兙獂䡁䅍䅁療允䅁䅂䅁䕁䅅䅁睂允䅁䅂䅁䕁䅕䅁硂允䅁䅗䅁䕁䄸䅣あ䝁䅫睢畂䡁䅍杏䕂䝁䅅䅤桂䙁䅑入睂䝁䅕児呂䕁䅑䅌呂䡁䅉睙㥁䕁䅍睢畂䡁䅍党畂䡁䅍兤穂䍁䄴杖䉂䕁䅅睙あ䡁䅕兙獂䡁䅍䅁穂允䅁䅁䅁䅁㴽</t>
  </si>
  <si>
    <t>Datos de entrada con fuente - comparables (Peers) y Grupo Bimbo</t>
  </si>
  <si>
    <t>Cada celda de la plantilla que descargaba Capital IQ (SPG) apunta a esta hoja. Valores tomados de la v3 verificada del equipo (valuation/BIMBOA_PeerAnalysis_v3.xlsx: Capital IQ prompts 1-7 y reportes; 102/102 controles). Vacío = no disponible (la plantilla muestra '-').</t>
  </si>
  <si>
    <t>Moneda: USD (la plantilla usa una sola moneda para todas las empresas). Bimbo se convierte de MXN a tipo de cambio constante del 16-oct-2026 (18.479 MXN/USD): conserva crecimientos y márgenes en pesos. Porcentajes en unidades de % (44.9 = 44.9%).</t>
  </si>
  <si>
    <t>Tipo de cambio MXN por USD (16-oct-2026)</t>
  </si>
  <si>
    <t>[sourced] Yahoo Finance MXN=X cierre 16-oct-2026 (data/market/usdmxn_daily_2026-09-15_2026-10-16.csv)</t>
  </si>
  <si>
    <t>1. Mercado (plantilla PeerAnalysis filas 13-25)</t>
  </si>
  <si>
    <t>Empresa</t>
  </si>
  <si>
    <t>Ticker</t>
  </si>
  <si>
    <t>Precio (USD)</t>
  </si>
  <si>
    <t>Máx. 52 sem.</t>
  </si>
  <si>
    <t>Mín. 52 sem.</t>
  </si>
  <si>
    <t>Cap. mercado (USD m)</t>
  </si>
  <si>
    <t>EV base de derechos (USD m)</t>
  </si>
  <si>
    <t>1D (%)</t>
  </si>
  <si>
    <t>1Y (%)</t>
  </si>
  <si>
    <t>2Y (%)</t>
  </si>
  <si>
    <t>3Y (%)</t>
  </si>
  <si>
    <t>5Y (%)</t>
  </si>
  <si>
    <t>QTD (%)</t>
  </si>
  <si>
    <t>YTD (%)</t>
  </si>
  <si>
    <t>DPS FY2024</t>
  </si>
  <si>
    <t>DPS FY2025</t>
  </si>
  <si>
    <t>DPS FY2026E</t>
  </si>
  <si>
    <t>DPS LTM</t>
  </si>
  <si>
    <t>DPS NTM</t>
  </si>
  <si>
    <t>DPS STM</t>
  </si>
  <si>
    <t>Fuente</t>
  </si>
  <si>
    <t>Flowers Foods, Inc.</t>
  </si>
  <si>
    <t>NYSE:FLO</t>
  </si>
  <si>
    <t>[sourced]/[calc] v3 PeerAnalysis fila 13 (Capital IQ: precio y rendimiento al 16-oct-2026); cap. y EV: Detail_PeerAnalysis fila 12 (EV = cap. + deuda + arrendamientos + NCI - efectivo); DPS: Inputs_Sources FLO.dps_*</t>
  </si>
  <si>
    <t>Gruma, S.A.B. de C.V.</t>
  </si>
  <si>
    <t>BMV:GRUMA B</t>
  </si>
  <si>
    <t>[sourced]/[calc] v3 PeerAnalysis fila 14 (Capital IQ: precio y rendimiento al 16-oct-2026); cap. y EV: Detail_PeerAnalysis fila 13 (EV = cap. + deuda + arrendamientos + NCI - efectivo); DPS: Inputs_Sources GRUMA.dps_*</t>
  </si>
  <si>
    <t>Yamazaki Baking Co., Ltd.</t>
  </si>
  <si>
    <t>TSE:2212</t>
  </si>
  <si>
    <t>[sourced]/[calc] v3 PeerAnalysis fila 15 (Capital IQ: precio y rendimiento al 16-oct-2026); cap. y EV: Detail_PeerAnalysis fila 14 (EV = cap. + deuda + arrendamientos + NCI - efectivo); DPS: Inputs_Sources YMZ.dps_*</t>
  </si>
  <si>
    <t>ARYZTA AG</t>
  </si>
  <si>
    <t>SWX:ARYN</t>
  </si>
  <si>
    <t>[sourced]/[calc] v3 PeerAnalysis fila 16 (Capital IQ: precio y rendimiento al 16-oct-2026); cap. y EV: Detail_PeerAnalysis fila 15 (EV = cap. + deuda + arrendamientos + NCI - efectivo); DPS: Inputs_Sources ARYN.dps_*</t>
  </si>
  <si>
    <t>The J. M. Smucker Company</t>
  </si>
  <si>
    <t>NYSE:SJM</t>
  </si>
  <si>
    <t>[sourced]/[calc] v3 PeerAnalysis fila 17 (Capital IQ: precio y rendimiento al 16-oct-2026); cap. y EV: Detail_PeerAnalysis fila 16 (EV = cap. + deuda + arrendamientos + NCI - efectivo); DPS: Inputs_Sources SJM.dps_*</t>
  </si>
  <si>
    <t>The Campbell's Company</t>
  </si>
  <si>
    <t>NasdaqGS:CPB</t>
  </si>
  <si>
    <t>[sourced]/[calc] v3 PeerAnalysis fila 18 (Capital IQ: precio y rendimiento al 16-oct-2026); cap. y EV: Detail_PeerAnalysis fila 17 (EV = cap. + deuda + arrendamientos + NCI - efectivo); DPS: Inputs_Sources CPB.dps_*</t>
  </si>
  <si>
    <t>Mondelez International, Inc.</t>
  </si>
  <si>
    <t>NasdaqGS:MDLZ</t>
  </si>
  <si>
    <t>[sourced]/[calc] v3 PeerAnalysis fila 19 (Capital IQ: precio y rendimiento al 16-oct-2026); cap. y EV: Detail_PeerAnalysis fila 18 (EV = cap. + deuda + arrendamientos + NCI - efectivo); DPS: Inputs_Sources MDLZ.dps_*</t>
  </si>
  <si>
    <t>Arca Continental, S.A.B. de C.V.</t>
  </si>
  <si>
    <t>BMV:AC</t>
  </si>
  <si>
    <t>[sourced]/[calc] v3 PeerAnalysis fila 20 (Capital IQ: precio y rendimiento al 16-oct-2026); cap. y EV: Detail_PeerAnalysis fila 19 (EV = cap. + deuda + arrendamientos + NCI - efectivo); DPS: Inputs_Sources AC.dps_*</t>
  </si>
  <si>
    <t>PepsiCo, Inc.</t>
  </si>
  <si>
    <t>NasdaqGS:PEP</t>
  </si>
  <si>
    <t>[sourced]/[calc] v3 PeerAnalysis fila 21 (Capital IQ: precio y rendimiento al 16-oct-2026); cap. y EV: Detail_PeerAnalysis fila 20 (EV = cap. + deuda + arrendamientos + NCI - efectivo); DPS: Inputs_Sources PEP.dps_*</t>
  </si>
  <si>
    <t>Grupo Bimbo, S.A.B. de C.V. (sujeto)</t>
  </si>
  <si>
    <t>BMV:BIMBO A</t>
  </si>
  <si>
    <t>[sourced] BMV cierre 58.60 MXN; máx./mín. 52 sem. 68.67/53.03 (CIQ al 06-oct-2026); dividendos MXN 0.94 (FY24), 1.00 (FY25), 1.075 pagado 13-may-2026 (LTM), 1.01 consenso FY26E; todo / 18.479</t>
  </si>
  <si>
    <t>2. Financieros (USD m; plantilla PeerAnalysis filas 31-43)</t>
  </si>
  <si>
    <t>Ventas FY2024</t>
  </si>
  <si>
    <t>Ventas FY2025</t>
  </si>
  <si>
    <t>Ventas FY2026E</t>
  </si>
  <si>
    <t>Ventas LTM</t>
  </si>
  <si>
    <t>Ventas NTM</t>
  </si>
  <si>
    <t>Ventas STM</t>
  </si>
  <si>
    <t>Utilidad bruta FY2024</t>
  </si>
  <si>
    <t>Utilidad bruta FY2025</t>
  </si>
  <si>
    <t>Utilidad bruta FY2026E</t>
  </si>
  <si>
    <t>Utilidad bruta LTM</t>
  </si>
  <si>
    <t>Utilidad bruta NTM</t>
  </si>
  <si>
    <t>Utilidad bruta STM</t>
  </si>
  <si>
    <t>EBITDA crec. % FY2024</t>
  </si>
  <si>
    <t>EBITDA crec. % FY2025</t>
  </si>
  <si>
    <t>EBITDA crec. % FY2026E</t>
  </si>
  <si>
    <t>EBITDA crec. % LTM</t>
  </si>
  <si>
    <t>EBITDA crec. % NTM</t>
  </si>
  <si>
    <t>EBITDA crec. % STM</t>
  </si>
  <si>
    <t>[sourced]/[calc] v3 PeerAnalysis fila 31: reportes y consenso Capital IQ (NTM/STM calendarizados); USD m</t>
  </si>
  <si>
    <t>[sourced]/[calc] v3 PeerAnalysis fila 32: reportes y consenso Capital IQ (NTM/STM calendarizados); USD m</t>
  </si>
  <si>
    <t>[sourced]/[calc] v3 PeerAnalysis fila 33: reportes y consenso Capital IQ (NTM/STM calendarizados); USD m</t>
  </si>
  <si>
    <t>[sourced]/[calc] v3 PeerAnalysis fila 34: reportes y consenso Capital IQ (NTM/STM calendarizados); USD m</t>
  </si>
  <si>
    <t>[sourced]/[calc] v3 PeerAnalysis fila 35: reportes y consenso Capital IQ (NTM/STM calendarizados); USD m</t>
  </si>
  <si>
    <t>[sourced]/[calc] v3 PeerAnalysis fila 36: reportes y consenso Capital IQ (NTM/STM calendarizados); USD m</t>
  </si>
  <si>
    <t>[sourced]/[calc] v3 PeerAnalysis fila 37: reportes y consenso Capital IQ (NTM/STM calendarizados); USD m</t>
  </si>
  <si>
    <t>[sourced]/[calc] v3 PeerAnalysis fila 38: reportes y consenso Capital IQ (NTM/STM calendarizados); USD m</t>
  </si>
  <si>
    <t>[sourced]/[calc] v3 PeerAnalysis fila 39: reportes y consenso Capital IQ (NTM/STM calendarizados); USD m</t>
  </si>
  <si>
    <t>[sourced]/[calc] v3 PeerAnalysis fila 40: reportes y consenso Capital IQ (NTM/STM calendarizados); Bimbo MXN / 18.479</t>
  </si>
  <si>
    <t>3. Valoraciones de la plantilla (plantilla PeerAnalysis filas 50-62)</t>
  </si>
  <si>
    <t>FCF yield % FY2024</t>
  </si>
  <si>
    <t>FCF yield % FY2025</t>
  </si>
  <si>
    <t>FCF yield % FY2026E</t>
  </si>
  <si>
    <t>FCF yield % LTM</t>
  </si>
  <si>
    <t>FCF yield % NTM</t>
  </si>
  <si>
    <t>FCF yield % STM</t>
  </si>
  <si>
    <t>P/Ventas FY2024</t>
  </si>
  <si>
    <t>P/Ventas FY2025</t>
  </si>
  <si>
    <t>P/Ventas FY2026E</t>
  </si>
  <si>
    <t>P/Ventas LTM</t>
  </si>
  <si>
    <t>P/Ventas NTM</t>
  </si>
  <si>
    <t>P/Ventas STM</t>
  </si>
  <si>
    <t>P/FCF FY2024</t>
  </si>
  <si>
    <t>P/FCF FY2025</t>
  </si>
  <si>
    <t>P/FCF FY2026E</t>
  </si>
  <si>
    <t>P/FCF LTM</t>
  </si>
  <si>
    <t>P/FCF NTM</t>
  </si>
  <si>
    <t>P/FCF STM</t>
  </si>
  <si>
    <t>[calc] v3 PeerAnalysis fila 50 (FCF apalancado de Capital IQ / capitalización; precio / ventas)</t>
  </si>
  <si>
    <t>[calc] v3 PeerAnalysis fila 51 (FCF apalancado de Capital IQ / capitalización; precio / ventas)</t>
  </si>
  <si>
    <t>[calc] v3 PeerAnalysis fila 52 (FCF apalancado de Capital IQ / capitalización; precio / ventas)</t>
  </si>
  <si>
    <t>[calc] v3 PeerAnalysis fila 53 (FCF apalancado de Capital IQ / capitalización; precio / ventas)</t>
  </si>
  <si>
    <t>[calc] v3 PeerAnalysis fila 54 (FCF apalancado de Capital IQ / capitalización; precio / ventas)</t>
  </si>
  <si>
    <t>[calc] v3 PeerAnalysis fila 55 (FCF apalancado de Capital IQ / capitalización; precio / ventas)</t>
  </si>
  <si>
    <t>[calc] v3 PeerAnalysis fila 56 (FCF apalancado de Capital IQ / capitalización; precio / ventas)</t>
  </si>
  <si>
    <t>[calc] v3 PeerAnalysis fila 57 (FCF apalancado de Capital IQ / capitalización; precio / ventas)</t>
  </si>
  <si>
    <t>[calc] v3 PeerAnalysis fila 58 (FCF apalancado de Capital IQ / capitalización; precio / ventas)</t>
  </si>
  <si>
    <t>[calc] v3 PeerAnalysis fila 59 (FCF apalancado de Capital IQ / capitalización; precio / ventas)</t>
  </si>
  <si>
    <t>4. Grupo Bimbo - estados financieros (MXN m; E = estimado de consenso; la plantilla los muestra en USD = MXN / 18.479)</t>
  </si>
  <si>
    <t>Concepto</t>
  </si>
  <si>
    <t>FY2023</t>
  </si>
  <si>
    <t>FY2024</t>
  </si>
  <si>
    <t>FY2026E</t>
  </si>
  <si>
    <t>FY2027E</t>
  </si>
  <si>
    <t>FY2028E</t>
  </si>
  <si>
    <t>FY2029E</t>
  </si>
  <si>
    <t>[sourced] A: Detail_TearSheet (CIQ / filings); E: CIQ consensus mean</t>
  </si>
  <si>
    <t>[sourced] A: Detail_TearSheet (CIQ / filings); E: CIQ consensus mean; E = revenue x consensus gross margin [calc]</t>
  </si>
  <si>
    <t>[sourced] A: Detail_TearSheet (CIQ / filings); E: CIQ consensus mean; E = gross profit - EBIT [calc]</t>
  </si>
  <si>
    <t>Operating income/(loss), company basis</t>
  </si>
  <si>
    <t>Adjusted EBITDA, company (IFRS 16)</t>
  </si>
  <si>
    <t>Income from continuing operations before taxes</t>
  </si>
  <si>
    <t>[sourced] A: Detail_TearSheet (CIQ / filings); E: CIQ consensus mean; E: not in CIQ consensus</t>
  </si>
  <si>
    <t>Net income to majority</t>
  </si>
  <si>
    <t>EPS, basic, total (E: normalised)</t>
  </si>
  <si>
    <t>Cash and short-term investments</t>
  </si>
  <si>
    <t>Total current assets</t>
  </si>
  <si>
    <t>Total non-current assets</t>
  </si>
  <si>
    <t>Net debt (A: CIQ incl. IFRS 16 leases; E: consensus)</t>
  </si>
  <si>
    <t>[sourced] A: Detail_TearSheet (CIQ / filings); E: CIQ consensus mean; E = consensus net debt (broker definition; FY25A 149,031 vs 182,232 incl. leases)</t>
  </si>
  <si>
    <t>(Increase)/decrease in working capital</t>
  </si>
  <si>
    <t>Net cash flows from operating activities</t>
  </si>
  <si>
    <t>Net cash flows from investing activities</t>
  </si>
  <si>
    <t>Net cash flows from financing activities</t>
  </si>
  <si>
    <t>Industria, selección de comparables y múltiplos - Grupo Bimbo</t>
  </si>
  <si>
    <t>Hechos y cálculos llevan etiqueta ([sourced], [calc]); las lecturas interpretativas están marcadas como [assumption] y son propuestas para el equipo.</t>
  </si>
  <si>
    <t>A. Selección de comparables: por qué y en qué se parecen a Bimbo</t>
  </si>
  <si>
    <t>Grupo</t>
  </si>
  <si>
    <t>Por qué es comparable</t>
  </si>
  <si>
    <t>Diferencias principales</t>
  </si>
  <si>
    <t>Marco contable</t>
  </si>
  <si>
    <t>En medianas EV / P/E</t>
  </si>
  <si>
    <t>Comparabilidad [assumption]</t>
  </si>
  <si>
    <t>Núcleo panificación</t>
  </si>
  <si>
    <t>Panificadora pura de EE.UU. con entrega directa a tienda (DSD): el espejo de Bimbo Norteamérica.</t>
  </si>
  <si>
    <t>Sin México ni LatAm; en problemas (guía y dividendo recortados; S&amp;P BB+ negativa); margen bruto 48.6% vs 52.6%.</t>
  </si>
  <si>
    <t>US GAAP (se suma el costo de arrendamiento operativo al EBITDA)</t>
  </si>
  <si>
    <t>yes / yes</t>
  </si>
  <si>
    <t>Alta</t>
  </si>
  <si>
    <t>Emisora de la BMV, IFRS, México + EE.UU., harina y tortilla; consumo básico con rutas propias.</t>
  </si>
  <si>
    <t>Maíz y tortilla, no pan; margen bruto 38.8%; estados en USD.</t>
  </si>
  <si>
    <t>IFRS 16</t>
  </si>
  <si>
    <t>Media-alta</t>
  </si>
  <si>
    <t>Mayor panificadora pura fuera de América.</t>
  </si>
  <si>
    <t>Japón; arrendamientos operativos fuera de balance (J-GAAP); NCI no disponible.</t>
  </si>
  <si>
    <t>J-GAAP</t>
  </si>
  <si>
    <t>no / no</t>
  </si>
  <si>
    <t>Media (excluida)</t>
  </si>
  <si>
    <t>Panadería europea congelada y para restaurantes (B2B): similar a Bimbo QSR y EAA.</t>
  </si>
  <si>
    <t>Sin DSD ni marcas de consumo; NCI no verificado.</t>
  </si>
  <si>
    <t>Secundario consumo</t>
  </si>
  <si>
    <t>Hostess compite con Bimbo en pan dulce en EE.UU.</t>
  </si>
  <si>
    <t>Café, mascotas y snacks; utilidades deprimidas (P/E 58.6x).</t>
  </si>
  <si>
    <t>US GAAP</t>
  </si>
  <si>
    <t>yes / no</t>
  </si>
  <si>
    <t>Media</t>
  </si>
  <si>
    <t>Pepperidge Farm (pan y galletas) en EE.UU.</t>
  </si>
  <si>
    <t>Mayormente sopas y snacks.</t>
  </si>
  <si>
    <t>Galletas en México y EE.UU.; #2 panadero global (3.0% vs 3.7% de Bimbo).</t>
  </si>
  <si>
    <t>Snacks globales de alto margen; múltiplo de calidad (16.1x); no es par operativo.</t>
  </si>
  <si>
    <t>Baja-media</t>
  </si>
  <si>
    <t>Consumo básico mexicano con rutas propias; Bokados compite con Barcel.</t>
  </si>
  <si>
    <t>Mayormente bebidas (embotellador Coca-Cola); NCI no verificado.</t>
  </si>
  <si>
    <t>Baja (excluida)</t>
  </si>
  <si>
    <t>Sabritas compite con Barcel y Gamesa con galletas Bimbo en México.</t>
  </si>
  <si>
    <t>Mega-cap global de bebidas y snacks.</t>
  </si>
  <si>
    <t>Fuente: research/industry.md §6 (análisis de industria del equipo, con fuentes: RA25, 10-K de Flowers, Capital IQ); elegibilidad: valuation/inputs/peer_extras_v3.yaml. Regla: una empresa entra a las medianas solo si su EV incluye arrendamientos y su NCI está verificado (misma base que Bimbo).</t>
  </si>
  <si>
    <t>B y C. Comparación operativa y de valuación en una sola base (USD m; EV incluye arrendamientos y NCI; EBITDA equivalente IFRS 16; LTM a jun-2026)</t>
  </si>
  <si>
    <t>Cap. mercado</t>
  </si>
  <si>
    <t>Deuda financiera</t>
  </si>
  <si>
    <t>Arrendamientos</t>
  </si>
  <si>
    <t>NCI</t>
  </si>
  <si>
    <t>Efectivo</t>
  </si>
  <si>
    <t>EV = C+D+E+F-G</t>
  </si>
  <si>
    <t>Ventas FY24</t>
  </si>
  <si>
    <t>Ventas FY25</t>
  </si>
  <si>
    <t>EBITDA LTM (IFRS16-eq.)</t>
  </si>
  <si>
    <t>EBITDA NTM (IFRS16-eq.)</t>
  </si>
  <si>
    <t>Capex/ventas consenso FY1</t>
  </si>
  <si>
    <t>P/E LTM</t>
  </si>
  <si>
    <t>P/E NTM</t>
  </si>
  <si>
    <t>En mediana EV</t>
  </si>
  <si>
    <t>En mediana P/E</t>
  </si>
  <si>
    <t>EV/EBITDA LTM</t>
  </si>
  <si>
    <t>EV/EBITDA NTM</t>
  </si>
  <si>
    <t>EV/Ventas LTM</t>
  </si>
  <si>
    <t>Deuda neta (incl. NCI)/EBITDA</t>
  </si>
  <si>
    <t>Margen EBITDA LTM</t>
  </si>
  <si>
    <t>Margen bruto LTM</t>
  </si>
  <si>
    <t>Crec. ventas FY25</t>
  </si>
  <si>
    <t>Control vs v3 (EV/EBITDA LTM)</t>
  </si>
  <si>
    <t>Núcleo</t>
  </si>
  <si>
    <t>yes</t>
  </si>
  <si>
    <t>n/d</t>
  </si>
  <si>
    <t>no</t>
  </si>
  <si>
    <t>Secundario</t>
  </si>
  <si>
    <t>Grupo Bimbo (sujeto)</t>
  </si>
  <si>
    <t>Sujeto</t>
  </si>
  <si>
    <t>sujeto</t>
  </si>
  <si>
    <t>Mediana núcleo (Flowers, Gruma)</t>
  </si>
  <si>
    <t>Mediana todos los elegibles</t>
  </si>
  <si>
    <t>Promedio todos los elegibles</t>
  </si>
  <si>
    <t>Número de elegibles</t>
  </si>
  <si>
    <t>elegible EV/EBITDA LTM</t>
  </si>
  <si>
    <t>elegible EV/EBITDA NTM</t>
  </si>
  <si>
    <t>elegible EV/Ventas LTM</t>
  </si>
  <si>
    <t>elegible Deuda neta (incl. NCI)/EBITDA</t>
  </si>
  <si>
    <t>elegible Margen EBITDA LTM</t>
  </si>
  <si>
    <t>elegible P/E LTM</t>
  </si>
  <si>
    <t>elegible P/E NTM</t>
  </si>
  <si>
    <t>Fuentes: componentes de EV, EBITDA y P/E de la v3 verificada (Detail_PeerAnalysis secciones A-C: Capital IQ prompts 1-7, 10-K/10-Q SEC para arrendamientos de EE.UU., reportes IFRS). EV/EBIT de los peers no está disponible: la utilidad de operación de los peers no se descargó de Capital IQ (dato faltante; no se estima). Yamazaki y Arca: EV descriptivo sin desglose conciliado.</t>
  </si>
  <si>
    <t>D. Valor implícito de Bimbo con los múltiplos de los peers (puente al 30-jun-2026, mismo que el DCF)</t>
  </si>
  <si>
    <t>EBITDA LTM de Bimbo, MXN m (Adj. EBITDA IFRS 16 de la empresa)</t>
  </si>
  <si>
    <t>[sourced] v3 Detail_PeerAnalysis fila 76 (reportes 3T25-2T26)</t>
  </si>
  <si>
    <t>UPA LTM de Bimbo (MXN)</t>
  </si>
  <si>
    <t>[sourced] v3 Detail_PeerAnalysis fila 25</t>
  </si>
  <si>
    <t>UPA NTM de Bimbo (MXN, consenso calendarizado)</t>
  </si>
  <si>
    <t>[calc] consenso Capital IQ FY26E-FY27E</t>
  </si>
  <si>
    <t>Deuda financiera + arrendamientos - efectivo (MXN m)</t>
  </si>
  <si>
    <t>[sourced] 2T26: 153,660 + 33,361 - 16,563</t>
  </si>
  <si>
    <t>NCI a valor de mercado (MXN m) = 1,814 / (ke - 3%)</t>
  </si>
  <si>
    <t>[calc] ke 12.94% de Bimbo_WACC.xlsm; igual que Bimbo_DCF.xlsm</t>
  </si>
  <si>
    <t>Asociadas - ISR estacional (MXN m)</t>
  </si>
  <si>
    <t>[calc] 6,497.5 - 4,538.05 (igual que el puente del DCF)</t>
  </si>
  <si>
    <t>Acciones (millones)</t>
  </si>
  <si>
    <t>[sourced] aviso BMV 29-jul-2026</t>
  </si>
  <si>
    <t>Precio (MXN, 16-oct-2026)</t>
  </si>
  <si>
    <t>[sourced] BMV</t>
  </si>
  <si>
    <t>Método</t>
  </si>
  <si>
    <t>Múltiplo</t>
  </si>
  <si>
    <t>Valor de empresa / capital (MXN m)</t>
  </si>
  <si>
    <t>Valor por acción (MXN)</t>
  </si>
  <si>
    <t>vs precio</t>
  </si>
  <si>
    <t>Lectura [assumption]</t>
  </si>
  <si>
    <t>EV/EBITDA LTM: mediana núcleo</t>
  </si>
  <si>
    <t>Panificadoras puras: castiga a Bimbo por la debilidad de EE.UU.</t>
  </si>
  <si>
    <t>EV/EBITDA LTM: 6.0x (supuesto de salida del DCF)</t>
  </si>
  <si>
    <t>Punto medio de juicio: núcleo + premio por México.</t>
  </si>
  <si>
    <t>EV/EBITDA LTM: Bimbo hoy (NCI en libros)</t>
  </si>
  <si>
    <t>Control: debe regresar ~el precio de mercado (diferencias por NCI a mercado y ajustes).</t>
  </si>
  <si>
    <t>EV/EBITDA LTM: mediana de todos los elegibles</t>
  </si>
  <si>
    <t>Incluye Mondelez/PepsiCo: negocios de mayor margen y crecimiento; techo, no referencia central.</t>
  </si>
  <si>
    <t>P/E LTM: mediana de elegibles</t>
  </si>
  <si>
    <t>P/E mezcla estructura de capital y efectos fiscales; menos confiable para Bimbo.</t>
  </si>
  <si>
    <t>P/E NTM: mediana de elegibles</t>
  </si>
  <si>
    <t>Usa utilidades esperadas (consenso).</t>
  </si>
  <si>
    <t>Los valores por múltiplos no se ajustan al 16-oct (los múltiplos ya son de hoy). El EV/EBITDA es la referencia principal porque es neutral a la deuda y a los impuestos; con NCI a mercado, Bimbo cotiza a ~7.1x.</t>
  </si>
  <si>
    <t>E. Industria: factores que mueven crecimiento, márgenes, riesgo y valuación de Bimbo</t>
  </si>
  <si>
    <t>Factor</t>
  </si>
  <si>
    <t>Evidencia (fuente)</t>
  </si>
  <si>
    <t>Implicación para el modelo</t>
  </si>
  <si>
    <t>Mercado maduro: crece por precio, no volumen</t>
  </si>
  <si>
    <t>Panificación global US$638.9 mil millones, CAGR 2024-29E 4.7% (Norteamérica 4.3%, LatAm 5.5%, México 3.5%) [sourced] RA25 p.107-111; mezcla de Bimbo ~4.2% anual en valor [calc].</t>
  </si>
  <si>
    <t>DCF: ventas 4.2-4.4% anual después de 2026 y g terminal 4.25% (por debajo del PIB nominal ~5%).</t>
  </si>
  <si>
    <t>Dos industrias en una</t>
  </si>
  <si>
    <t>México/LatAm: comprador fragmentado y rutas propias, margen EBITDA México 20.9% LTM. EE.UU./Europa: compradores concentrados (Walmart ~15%), marca propia ~35% de unidades de pan en EE.UU.; Norteamérica 9.6% vs Flowers 11.1% [calc]/[sourced] research/industry.md §2, §4.</t>
  </si>
  <si>
    <t>DCF: el margen consolidado depende de la mezcla; la expansión a 15.3% en 2030 requiere evidencia de productividad en EE.UU. Comparables: por eso Bimbo merece más que Flowers pero menos que los snacks globales.</t>
  </si>
  <si>
    <t>Insumos en dólares (trigo) con rezago de ~1 año</t>
  </si>
  <si>
    <t>Materias primas ~30% de ventas y ~64% del costo de ventas [sourced] EEFF25 p.82; correlación margen bruto-trigo -0.74 (2017-2025) [calc]; CBOT dic-26 +35% a/a [sourced].</t>
  </si>
  <si>
    <t>DCF: margen bruto baja a 52.0% en 2027 y regresa a 52.5% (pilar 1).</t>
  </si>
  <si>
    <t>Riesgo país y tipo de cambio</t>
  </si>
  <si>
    <t>~44% de ventas en regiones USD/CAD/EUR; 42-44% de la deuda en USD; 55% del EBITDA en México [sourced]/[calc] research/industry.md (LatAm lens).</t>
  </si>
  <si>
    <t>WACC: prima país ponderada por EBITDA (2.05%), no 100% México; ventas de EE.UU. en pesos incluyen depreciación del peso.</t>
  </si>
  <si>
    <t>Intensidad de capital</t>
  </si>
  <si>
    <t>Capex consenso: peers 3.7-3.8% de ventas vs Bimbo ~5.0% [calc] Capital IQ (bloque B, columna O).</t>
  </si>
  <si>
    <t>DCF: capex de 4.6% a 5.5%; es la palanca de valor más grande del valor terminal (±50 pb ≈ ∓MXN 9 por acción en la v3).</t>
  </si>
  <si>
    <t>Apalancamiento</t>
  </si>
  <si>
    <t>Deuda neta/EBITDA 2.81x vs mediana de peers ~2.98x [calc] (columna W).</t>
  </si>
  <si>
    <t>WACC: D/E de mercado 0.74 usado como estructura objetivo; calificación S&amp;P BBB+ sostiene Kd ~9.7%.</t>
  </si>
  <si>
    <t>Regulación y salud</t>
  </si>
  <si>
    <t>NOM-051 fase 3 en 2028, IEPS 8% en alimentos ≥275 kcal/100 g, reglas escolares; GLP-1 reduce gasto en súper 5.3% (estudio observacional) [sourced] RA25 p.23-31; research/industry.md.</t>
  </si>
  <si>
    <t>Riesgo a la baja de volumen en categorías dulces/botanas; no se modela por separado (incluido en el crecimiento moderado).</t>
  </si>
  <si>
    <t>F. Diferencias operativas vs diferencias de valuación [assumption]</t>
  </si>
  <si>
    <t>• Operativo: Bimbo tiene el margen bruto más alto de los panaderos (52.6%) pero un margen EBITDA intermedio (14.5%) porque su ventaja de compra se gasta en distribución (DSD).</t>
  </si>
  <si>
    <t>• Operativo: Bimbo invierte más (capex ~5% vs 3.7% de los peers) y su apalancamiento está en la mediana; crece más que Flowers y Campbell's, menos que Arca.</t>
  </si>
  <si>
    <t>• Valuación: cotiza a 6.9x EV/EBITDA, por arriba de las panificadoras núcleo (5.5x) y por debajo de los elegibles (8.3x). Esa posición intermedia es coherente con su mezcla: México/LatAm (margen alto) + EE.UU. (margen bajo y presión de marca propia).</t>
  </si>
  <si>
    <t>• Que Mondelez valga 16x no significa que Bimbo esté 'barata': Mondelez tiene márgenes y retornos más altos, marcas globales y menor intensidad de capital. Un múltiplo más bajo puede reflejar diferencias reales, no un error del mercado.</t>
  </si>
  <si>
    <t>• Conclusión para el equipo: con el derecho de los minoritarios a valor de mercado, el rango 5.5x (núcleo) a 6.0x da MXN ~35-42 por acción, y aun el múltiplo actual de Bimbo (6.9x) da ~MXN 55, debajo de MXN 58.60. Es consistente con el DCF; el rango y el múltiplo central los decide 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</si>
</sst>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_(* \(#,##0.00\);_(* &quot;-&quot;??_);_(@_)"/>
    <numFmt numFmtId="165" formatCode="0.0%"/>
    <numFmt numFmtId="166" formatCode="#,##0.0_);[Red]\(#,##0.0\)"/>
    <numFmt numFmtId="167" formatCode="0.0\x_);\(0.0\x\)"/>
    <numFmt numFmtId="168" formatCode="mmm"/>
    <numFmt numFmtId="169" formatCode="_(* #,##0_);_(* \(#,##0\);_(* &quot;-&quot;??_);_(@_)"/>
    <numFmt numFmtId="170" formatCode="_(* #,##0.0_);_(* \(#,##0.0\);_(* &quot;-&quot;??_);_(@_)"/>
    <numFmt numFmtId="171" formatCode="#,##0.00;[Red]\(#,##0.00\)"/>
    <numFmt numFmtId="172" formatCode="#,##0.00;\(#,##0.00\);\-;\-"/>
    <numFmt numFmtId="173" formatCode="#,##0.00\x;\(#,##0.00\)\x;\-;\-"/>
    <numFmt numFmtId="174" formatCode="#,##0.0;\(#,##0.0\);\-;\-"/>
    <numFmt numFmtId="175" formatCode="#,##0;\(#,##0\);\-;\-"/>
    <numFmt numFmtId="176" formatCode="[&gt;0]0.0&quot;%&quot;;[&lt;0]\(0.0&quot;%&quot;\);\-;\-"/>
    <numFmt numFmtId="177" formatCode="0.000"/>
    <numFmt numFmtId="178" formatCode="0.0"/>
    <numFmt numFmtId="179" formatCode="0.00\x"/>
    <numFmt numFmtId="180" formatCode="#,##0.0"/>
  </numFmts>
  <fonts count="37" x14ac:knownFonts="1">
    <font>
      <sz val="8"/>
      <color theme="1"/>
      <name val="Arial"/>
      <family val="2"/>
    </font>
    <font>
      <sz val="10"/>
      <name val="Arial"/>
      <family val="2"/>
    </font>
    <font>
      <sz val="11"/>
      <color theme="1"/>
      <name val="Calibri"/>
      <family val="2"/>
      <scheme val="minor"/>
    </font>
    <font>
      <u/>
      <sz val="11"/>
      <color theme="10"/>
      <name val="Calibri"/>
      <family val="2"/>
      <scheme val="minor"/>
    </font>
    <font>
      <sz val="8"/>
      <name val="Arial"/>
      <family val="2"/>
    </font>
    <font>
      <sz val="8"/>
      <color theme="2" tint="-0.749961851863155"/>
      <name val="Arial"/>
      <family val="2"/>
    </font>
    <font>
      <sz val="8"/>
      <color rgb="FFFF0000"/>
      <name val="Arial"/>
      <family val="2"/>
    </font>
    <font>
      <b/>
      <sz val="8"/>
      <color theme="0"/>
      <name val="Arial"/>
      <family val="2"/>
    </font>
    <font>
      <sz val="8"/>
      <color theme="1"/>
      <name val="Arial"/>
      <family val="2"/>
    </font>
    <font>
      <b/>
      <sz val="18"/>
      <name val="Arial"/>
      <family val="2"/>
    </font>
    <font>
      <sz val="8"/>
      <color rgb="FF0000CC"/>
      <name val="Arial"/>
      <family val="2"/>
    </font>
    <font>
      <i/>
      <sz val="8"/>
      <name val="Arial"/>
      <family val="2"/>
    </font>
    <font>
      <b/>
      <u/>
      <sz val="9"/>
      <color rgb="FF000000"/>
      <name val="Arial"/>
      <family val="2"/>
    </font>
    <font>
      <b/>
      <sz val="12"/>
      <name val="Arial"/>
      <family val="2"/>
    </font>
    <font>
      <b/>
      <sz val="8"/>
      <color rgb="FF525252"/>
      <name val="Arial"/>
      <family val="2"/>
    </font>
    <font>
      <sz val="8"/>
      <color rgb="FF525252"/>
      <name val="Arial"/>
      <family val="2"/>
    </font>
    <font>
      <i/>
      <sz val="8"/>
      <color rgb="FF525252"/>
      <name val="Arial"/>
      <family val="2"/>
    </font>
    <font>
      <b/>
      <sz val="8"/>
      <name val="Arial"/>
      <family val="2"/>
    </font>
    <font>
      <u/>
      <sz val="8"/>
      <color rgb="FF223D92"/>
      <name val="Arial"/>
      <family val="2"/>
    </font>
    <font>
      <b/>
      <sz val="9"/>
      <name val="Arial"/>
      <family val="2"/>
    </font>
    <font>
      <b/>
      <u/>
      <sz val="8"/>
      <name val="Arial"/>
      <family val="2"/>
    </font>
    <font>
      <sz val="8"/>
      <color theme="0"/>
      <name val="Arial"/>
      <family val="2"/>
    </font>
    <font>
      <sz val="11"/>
      <name val="Calibri"/>
      <family val="2"/>
      <scheme val="minor"/>
    </font>
    <font>
      <b/>
      <u/>
      <sz val="9"/>
      <name val="Arial"/>
      <family val="2"/>
    </font>
    <font>
      <b/>
      <sz val="9"/>
      <color theme="0"/>
      <name val="Arial"/>
      <family val="2"/>
    </font>
    <font>
      <sz val="8"/>
      <color rgb="FF0000FF"/>
      <name val="Arial"/>
      <family val="2"/>
    </font>
    <font>
      <sz val="8"/>
      <color rgb="FF008000"/>
      <name val="Arial"/>
      <family val="2"/>
    </font>
    <font>
      <sz val="10"/>
      <color theme="1"/>
      <name val="Calibri"/>
      <family val="2"/>
      <scheme val="minor"/>
    </font>
    <font>
      <sz val="11"/>
      <color rgb="FF008000"/>
      <name val="Calibri"/>
      <family val="2"/>
      <scheme val="minor"/>
    </font>
    <font>
      <b/>
      <sz val="18"/>
      <color theme="1"/>
      <name val="Arial"/>
      <family val="2"/>
    </font>
    <font>
      <b/>
      <u/>
      <sz val="9"/>
      <color theme="1"/>
      <name val="Arial"/>
      <family val="2"/>
    </font>
    <font>
      <b/>
      <sz val="12"/>
      <color theme="1"/>
      <name val="Arial"/>
      <family val="2"/>
    </font>
    <font>
      <b/>
      <sz val="8"/>
      <color theme="1"/>
      <name val="Arial"/>
      <family val="2"/>
    </font>
    <font>
      <b/>
      <sz val="14"/>
      <color rgb="FF1F3864"/>
      <name val="Arial"/>
      <family val="2"/>
    </font>
    <font>
      <i/>
      <sz val="8"/>
      <color theme="1"/>
      <name val="Arial"/>
      <family val="2"/>
    </font>
    <font>
      <i/>
      <sz val="8"/>
      <color rgb="FF595959"/>
      <name val="Arial"/>
      <family val="2"/>
    </font>
    <font>
      <b/>
      <sz val="8"/>
      <color rgb="FFFFFFFF"/>
      <name val="Arial"/>
      <family val="2"/>
    </font>
  </fonts>
  <fills count="11">
    <fill>
      <patternFill patternType="none"/>
    </fill>
    <fill>
      <patternFill patternType="gray125"/>
    </fill>
    <fill>
      <patternFill patternType="solid">
        <fgColor rgb="FFFFFFCC"/>
        <bgColor indexed="64"/>
      </patternFill>
    </fill>
    <fill>
      <patternFill patternType="solid">
        <fgColor rgb="FFD9D9D9"/>
        <bgColor indexed="64"/>
      </patternFill>
    </fill>
    <fill>
      <patternFill patternType="solid">
        <fgColor indexed="9"/>
        <bgColor indexed="64"/>
      </patternFill>
    </fill>
    <fill>
      <patternFill patternType="solid">
        <fgColor rgb="FF525252"/>
        <bgColor indexed="64"/>
      </patternFill>
    </fill>
    <fill>
      <patternFill patternType="solid">
        <fgColor theme="0"/>
        <bgColor indexed="64"/>
      </patternFill>
    </fill>
    <fill>
      <patternFill patternType="solid">
        <fgColor rgb="FF525252"/>
        <bgColor rgb="FF000000"/>
      </patternFill>
    </fill>
    <fill>
      <patternFill patternType="solid">
        <fgColor rgb="FFFFF2CC"/>
        <bgColor indexed="64"/>
      </patternFill>
    </fill>
    <fill>
      <patternFill patternType="solid">
        <fgColor rgb="FFD9E1F2"/>
        <bgColor indexed="64"/>
      </patternFill>
    </fill>
    <fill>
      <patternFill patternType="solid">
        <fgColor rgb="FF1F3864"/>
        <bgColor indexed="64"/>
      </patternFill>
    </fill>
  </fills>
  <borders count="90">
    <border>
      <left/>
      <right/>
      <top/>
      <bottom/>
      <diagonal/>
    </border>
    <border>
      <left style="hair">
        <color auto="1"/>
      </left>
      <right style="hair">
        <color auto="1"/>
      </right>
      <top/>
      <bottom/>
      <diagonal/>
    </border>
    <border>
      <left/>
      <right style="hair">
        <color auto="1"/>
      </right>
      <top/>
      <bottom/>
      <diagonal/>
    </border>
    <border>
      <left style="thin">
        <color rgb="FF525252"/>
      </left>
      <right style="thin">
        <color rgb="FF525252"/>
      </right>
      <top style="thin">
        <color rgb="FF525252"/>
      </top>
      <bottom style="thin">
        <color rgb="FF525252"/>
      </bottom>
      <diagonal/>
    </border>
    <border>
      <left/>
      <right style="thin">
        <color rgb="FF525252"/>
      </right>
      <top/>
      <bottom/>
      <diagonal/>
    </border>
    <border>
      <left style="thin">
        <color auto="1"/>
      </left>
      <right style="thin">
        <color auto="1"/>
      </right>
      <top style="thin">
        <color auto="1"/>
      </top>
      <bottom style="thin">
        <color auto="1"/>
      </bottom>
      <diagonal/>
    </border>
    <border>
      <left style="thin">
        <color rgb="FF525252"/>
      </left>
      <right/>
      <top style="thin">
        <color rgb="FF525252"/>
      </top>
      <bottom/>
      <diagonal/>
    </border>
    <border>
      <left/>
      <right/>
      <top style="thin">
        <color rgb="FF525252"/>
      </top>
      <bottom/>
      <diagonal/>
    </border>
    <border>
      <left/>
      <right style="thin">
        <color rgb="FF525252"/>
      </right>
      <top style="thin">
        <color rgb="FF525252"/>
      </top>
      <bottom/>
      <diagonal/>
    </border>
    <border>
      <left/>
      <right/>
      <top/>
      <bottom style="thin">
        <color rgb="FF525252"/>
      </bottom>
      <diagonal/>
    </border>
    <border>
      <left style="thin">
        <color rgb="FF525252"/>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style="thin">
        <color theme="0"/>
      </left>
      <right style="thin">
        <color theme="0"/>
      </right>
      <top style="thin">
        <color rgb="FF525252"/>
      </top>
      <bottom/>
      <diagonal/>
    </border>
    <border>
      <left style="thin">
        <color theme="0"/>
      </left>
      <right style="thin">
        <color theme="0"/>
      </right>
      <top/>
      <bottom style="thin">
        <color rgb="FF525252"/>
      </bottom>
      <diagonal/>
    </border>
    <border>
      <left/>
      <right style="thin">
        <color theme="0"/>
      </right>
      <top/>
      <bottom/>
      <diagonal/>
    </border>
    <border>
      <left style="thin">
        <color theme="0"/>
      </left>
      <right style="hair">
        <color theme="0"/>
      </right>
      <top style="thin">
        <color theme="0"/>
      </top>
      <bottom/>
      <diagonal/>
    </border>
    <border>
      <left/>
      <right/>
      <top style="thin">
        <color rgb="FF525252"/>
      </top>
      <bottom style="thin">
        <color rgb="FF525252"/>
      </bottom>
      <diagonal/>
    </border>
    <border>
      <left style="thin">
        <color rgb="FF525252"/>
      </left>
      <right style="thin">
        <color rgb="FF525252"/>
      </right>
      <top/>
      <bottom/>
      <diagonal/>
    </border>
    <border>
      <left style="thin">
        <color rgb="FF525252"/>
      </left>
      <right style="hair">
        <color rgb="FF525252"/>
      </right>
      <top style="thin">
        <color rgb="FF525252"/>
      </top>
      <bottom/>
      <diagonal/>
    </border>
    <border>
      <left style="hair">
        <color rgb="FF525252"/>
      </left>
      <right style="hair">
        <color rgb="FF525252"/>
      </right>
      <top/>
      <bottom/>
      <diagonal/>
    </border>
    <border>
      <left style="hair">
        <color rgb="FF525252"/>
      </left>
      <right style="thin">
        <color rgb="FF525252"/>
      </right>
      <top style="thin">
        <color rgb="FF525252"/>
      </top>
      <bottom/>
      <diagonal/>
    </border>
    <border>
      <left style="thin">
        <color rgb="FF525252"/>
      </left>
      <right style="hair">
        <color rgb="FF525252"/>
      </right>
      <top/>
      <bottom/>
      <diagonal/>
    </border>
    <border>
      <left style="hair">
        <color rgb="FF525252"/>
      </left>
      <right style="thin">
        <color rgb="FF525252"/>
      </right>
      <top/>
      <bottom/>
      <diagonal/>
    </border>
    <border>
      <left style="hair">
        <color rgb="FF525252"/>
      </left>
      <right style="hair">
        <color rgb="FF525252"/>
      </right>
      <top style="thin">
        <color rgb="FF525252"/>
      </top>
      <bottom/>
      <diagonal/>
    </border>
    <border>
      <left/>
      <right style="hair">
        <color rgb="FF525252"/>
      </right>
      <top style="thin">
        <color rgb="FF525252"/>
      </top>
      <bottom/>
      <diagonal/>
    </border>
    <border>
      <left/>
      <right style="hair">
        <color rgb="FF525252"/>
      </right>
      <top/>
      <bottom/>
      <diagonal/>
    </border>
    <border>
      <left style="thin">
        <color theme="0"/>
      </left>
      <right/>
      <top/>
      <bottom/>
      <diagonal/>
    </border>
    <border>
      <left style="thin">
        <color rgb="FF525252"/>
      </left>
      <right/>
      <top style="thin">
        <color rgb="FF525252"/>
      </top>
      <bottom style="thin">
        <color rgb="FF525252"/>
      </bottom>
      <diagonal/>
    </border>
    <border>
      <left style="hair">
        <color theme="0"/>
      </left>
      <right/>
      <top style="hair">
        <color theme="0"/>
      </top>
      <bottom/>
      <diagonal/>
    </border>
    <border>
      <left/>
      <right/>
      <top style="hair">
        <color theme="0"/>
      </top>
      <bottom/>
      <diagonal/>
    </border>
    <border>
      <left style="thin">
        <color rgb="FF525252"/>
      </left>
      <right style="thin">
        <color rgb="FF525252"/>
      </right>
      <top style="thin">
        <color rgb="FF525252"/>
      </top>
      <bottom/>
      <diagonal/>
    </border>
    <border>
      <left/>
      <right style="thin">
        <color theme="0"/>
      </right>
      <top style="thin">
        <color rgb="FF525252"/>
      </top>
      <bottom/>
      <diagonal/>
    </border>
    <border>
      <left style="thin">
        <color rgb="FF525252"/>
      </left>
      <right style="hair">
        <color theme="0"/>
      </right>
      <top style="thin">
        <color rgb="FF525252"/>
      </top>
      <bottom style="thin">
        <color rgb="FF525252"/>
      </bottom>
      <diagonal/>
    </border>
    <border>
      <left style="hair">
        <color theme="0"/>
      </left>
      <right style="hair">
        <color theme="0"/>
      </right>
      <top style="thin">
        <color rgb="FF525252"/>
      </top>
      <bottom style="thin">
        <color rgb="FF525252"/>
      </bottom>
      <diagonal/>
    </border>
    <border>
      <left style="hair">
        <color theme="0"/>
      </left>
      <right style="thin">
        <color rgb="FF525252"/>
      </right>
      <top style="thin">
        <color rgb="FF525252"/>
      </top>
      <bottom style="thin">
        <color rgb="FF525252"/>
      </bottom>
      <diagonal/>
    </border>
    <border>
      <left style="thin">
        <color rgb="FF525252"/>
      </left>
      <right style="hair">
        <color rgb="FF525252"/>
      </right>
      <top style="hair">
        <color rgb="FF525252"/>
      </top>
      <bottom style="hair">
        <color rgb="FF525252"/>
      </bottom>
      <diagonal/>
    </border>
    <border>
      <left style="hair">
        <color rgb="FF525252"/>
      </left>
      <right style="hair">
        <color rgb="FF525252"/>
      </right>
      <top style="hair">
        <color rgb="FF525252"/>
      </top>
      <bottom style="hair">
        <color rgb="FF525252"/>
      </bottom>
      <diagonal/>
    </border>
    <border>
      <left style="hair">
        <color rgb="FF525252"/>
      </left>
      <right style="thin">
        <color rgb="FF525252"/>
      </right>
      <top style="hair">
        <color rgb="FF525252"/>
      </top>
      <bottom style="hair">
        <color rgb="FF525252"/>
      </bottom>
      <diagonal/>
    </border>
    <border>
      <left style="thin">
        <color rgb="FF525252"/>
      </left>
      <right style="hair">
        <color rgb="FF525252"/>
      </right>
      <top style="hair">
        <color rgb="FF525252"/>
      </top>
      <bottom style="thin">
        <color rgb="FF525252"/>
      </bottom>
      <diagonal/>
    </border>
    <border>
      <left style="hair">
        <color rgb="FF525252"/>
      </left>
      <right style="hair">
        <color rgb="FF525252"/>
      </right>
      <top style="hair">
        <color rgb="FF525252"/>
      </top>
      <bottom style="thin">
        <color rgb="FF525252"/>
      </bottom>
      <diagonal/>
    </border>
    <border>
      <left style="hair">
        <color rgb="FF525252"/>
      </left>
      <right style="thin">
        <color rgb="FF525252"/>
      </right>
      <top style="hair">
        <color rgb="FF525252"/>
      </top>
      <bottom style="thin">
        <color rgb="FF525252"/>
      </bottom>
      <diagonal/>
    </border>
    <border>
      <left style="thin">
        <color indexed="64"/>
      </left>
      <right style="thin">
        <color indexed="64"/>
      </right>
      <top style="thin">
        <color indexed="64"/>
      </top>
      <bottom/>
      <diagonal/>
    </border>
    <border>
      <left style="thin">
        <color rgb="FF525252"/>
      </left>
      <right/>
      <top style="thin">
        <color rgb="FF525252"/>
      </top>
      <bottom style="thin">
        <color auto="1"/>
      </bottom>
      <diagonal/>
    </border>
    <border>
      <left/>
      <right style="thin">
        <color rgb="FF525252"/>
      </right>
      <top style="thin">
        <color rgb="FF525252"/>
      </top>
      <bottom style="thin">
        <color rgb="FF525252"/>
      </bottom>
      <diagonal/>
    </border>
    <border>
      <left/>
      <right style="thin">
        <color indexed="64"/>
      </right>
      <top style="thin">
        <color indexed="64"/>
      </top>
      <bottom/>
      <diagonal/>
    </border>
    <border>
      <left style="thin">
        <color rgb="FF525252"/>
      </left>
      <right style="hair">
        <color rgb="FF525252"/>
      </right>
      <top style="thin">
        <color rgb="FF525252"/>
      </top>
      <bottom style="hair">
        <color rgb="FF525252"/>
      </bottom>
      <diagonal/>
    </border>
    <border>
      <left style="hair">
        <color rgb="FF525252"/>
      </left>
      <right style="hair">
        <color rgb="FF525252"/>
      </right>
      <top style="thin">
        <color rgb="FF525252"/>
      </top>
      <bottom style="hair">
        <color rgb="FF525252"/>
      </bottom>
      <diagonal/>
    </border>
    <border>
      <left style="hair">
        <color rgb="FF525252"/>
      </left>
      <right style="thin">
        <color rgb="FF525252"/>
      </right>
      <top style="thin">
        <color rgb="FF525252"/>
      </top>
      <bottom style="hair">
        <color rgb="FF525252"/>
      </bottom>
      <diagonal/>
    </border>
    <border>
      <left style="thin">
        <color rgb="FF525252"/>
      </left>
      <right style="thin">
        <color rgb="FF525252"/>
      </right>
      <top/>
      <bottom style="hair">
        <color rgb="FF525252"/>
      </bottom>
      <diagonal/>
    </border>
    <border>
      <left style="thin">
        <color rgb="FF525252"/>
      </left>
      <right style="thin">
        <color rgb="FF525252"/>
      </right>
      <top style="hair">
        <color rgb="FF525252"/>
      </top>
      <bottom style="hair">
        <color rgb="FF525252"/>
      </bottom>
      <diagonal/>
    </border>
    <border>
      <left style="thin">
        <color rgb="FF525252"/>
      </left>
      <right style="thin">
        <color rgb="FF525252"/>
      </right>
      <top style="hair">
        <color rgb="FF525252"/>
      </top>
      <bottom style="thin">
        <color rgb="FF525252"/>
      </bottom>
      <diagonal/>
    </border>
    <border>
      <left style="thin">
        <color rgb="FF5B5E5E"/>
      </left>
      <right style="hair">
        <color auto="1"/>
      </right>
      <top style="thin">
        <color rgb="FF5B5E5E"/>
      </top>
      <bottom style="hair">
        <color auto="1"/>
      </bottom>
      <diagonal/>
    </border>
    <border>
      <left style="hair">
        <color auto="1"/>
      </left>
      <right style="thin">
        <color rgb="FF525252"/>
      </right>
      <top style="thin">
        <color rgb="FF525252"/>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rgb="FF5B5E5E"/>
      </left>
      <right style="hair">
        <color auto="1"/>
      </right>
      <top style="hair">
        <color auto="1"/>
      </top>
      <bottom style="hair">
        <color auto="1"/>
      </bottom>
      <diagonal/>
    </border>
    <border>
      <left style="hair">
        <color auto="1"/>
      </left>
      <right style="thin">
        <color rgb="FF525252"/>
      </right>
      <top style="hair">
        <color auto="1"/>
      </top>
      <bottom style="hair">
        <color auto="1"/>
      </bottom>
      <diagonal/>
    </border>
    <border>
      <left style="thin">
        <color rgb="FF5B5E5E"/>
      </left>
      <right style="hair">
        <color auto="1"/>
      </right>
      <top style="hair">
        <color auto="1"/>
      </top>
      <bottom style="thin">
        <color rgb="FF5B5E5E"/>
      </bottom>
      <diagonal/>
    </border>
    <border>
      <left style="hair">
        <color auto="1"/>
      </left>
      <right style="thin">
        <color rgb="FF525252"/>
      </right>
      <top style="hair">
        <color auto="1"/>
      </top>
      <bottom style="thin">
        <color rgb="FF525252"/>
      </bottom>
      <diagonal/>
    </border>
    <border>
      <left style="hair">
        <color rgb="FF525252"/>
      </left>
      <right/>
      <top style="hair">
        <color rgb="FF525252"/>
      </top>
      <bottom style="thin">
        <color rgb="FF525252"/>
      </bottom>
      <diagonal/>
    </border>
    <border>
      <left/>
      <right/>
      <top style="hair">
        <color rgb="FF525252"/>
      </top>
      <bottom style="thin">
        <color rgb="FF525252"/>
      </bottom>
      <diagonal/>
    </border>
    <border>
      <left/>
      <right style="thin">
        <color rgb="FF525252"/>
      </right>
      <top style="hair">
        <color rgb="FF525252"/>
      </top>
      <bottom style="thin">
        <color rgb="FF525252"/>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hair">
        <color rgb="FF525252"/>
      </left>
      <right style="hair">
        <color rgb="FF525252"/>
      </right>
      <top style="thin">
        <color rgb="FF525252"/>
      </top>
      <bottom style="thin">
        <color rgb="FF525252"/>
      </bottom>
      <diagonal/>
    </border>
    <border>
      <left style="thin">
        <color theme="0"/>
      </left>
      <right/>
      <top style="thin">
        <color rgb="FF525252"/>
      </top>
      <bottom style="thin">
        <color theme="0"/>
      </bottom>
      <diagonal/>
    </border>
    <border>
      <left/>
      <right/>
      <top style="thin">
        <color rgb="FF525252"/>
      </top>
      <bottom style="thin">
        <color theme="0"/>
      </bottom>
      <diagonal/>
    </border>
    <border>
      <left/>
      <right style="thin">
        <color theme="0"/>
      </right>
      <top style="thin">
        <color rgb="FF525252"/>
      </top>
      <bottom style="thin">
        <color theme="0"/>
      </bottom>
      <diagonal/>
    </border>
    <border>
      <left/>
      <right style="thin">
        <color indexed="64"/>
      </right>
      <top/>
      <bottom/>
      <diagonal/>
    </border>
    <border>
      <left style="hair">
        <color rgb="FF525252"/>
      </left>
      <right style="hair">
        <color rgb="FF525252"/>
      </right>
      <top style="thin">
        <color theme="0"/>
      </top>
      <bottom/>
      <diagonal/>
    </border>
    <border>
      <left/>
      <right style="thin">
        <color rgb="FF525252"/>
      </right>
      <top/>
      <bottom style="thin">
        <color theme="0"/>
      </bottom>
      <diagonal/>
    </border>
    <border>
      <left style="hair">
        <color rgb="FF525252"/>
      </left>
      <right style="hair">
        <color rgb="FF525252"/>
      </right>
      <top style="hair">
        <color theme="0"/>
      </top>
      <bottom/>
      <diagonal/>
    </border>
    <border>
      <left style="hair">
        <color rgb="FF525252"/>
      </left>
      <right style="hair">
        <color rgb="FF525252"/>
      </right>
      <top style="hair">
        <color rgb="FF525252"/>
      </top>
      <bottom/>
      <diagonal/>
    </border>
    <border>
      <left style="thin">
        <color rgb="FF525252"/>
      </left>
      <right style="thin">
        <color rgb="FF525252"/>
      </right>
      <top style="thin">
        <color auto="1"/>
      </top>
      <bottom style="hair">
        <color rgb="FF525252"/>
      </bottom>
      <diagonal/>
    </border>
    <border>
      <left/>
      <right style="hair">
        <color rgb="FF525252"/>
      </right>
      <top style="thin">
        <color rgb="FF525252"/>
      </top>
      <bottom style="thin">
        <color rgb="FF525252"/>
      </bottom>
      <diagonal/>
    </border>
    <border>
      <left style="hair">
        <color rgb="FF525252"/>
      </left>
      <right/>
      <top style="thin">
        <color rgb="FF525252"/>
      </top>
      <bottom style="thin">
        <color rgb="FF525252"/>
      </bottom>
      <diagonal/>
    </border>
    <border>
      <left style="hair">
        <color theme="1"/>
      </left>
      <right style="hair">
        <color theme="1"/>
      </right>
      <top style="thin">
        <color rgb="FF525252"/>
      </top>
      <bottom style="thin">
        <color rgb="FF525252"/>
      </bottom>
      <diagonal/>
    </border>
    <border>
      <left style="hair">
        <color theme="1"/>
      </left>
      <right style="thin">
        <color rgb="FF525252"/>
      </right>
      <top style="thin">
        <color rgb="FF525252"/>
      </top>
      <bottom style="thin">
        <color rgb="FF525252"/>
      </bottom>
      <diagonal/>
    </border>
    <border>
      <left style="hair">
        <color rgb="FF525252"/>
      </left>
      <right style="thin">
        <color rgb="FF525252"/>
      </right>
      <top style="thin">
        <color rgb="FF525252"/>
      </top>
      <bottom style="thin">
        <color rgb="FF525252"/>
      </bottom>
      <diagonal/>
    </border>
    <border>
      <left style="thin">
        <color rgb="FF525252"/>
      </left>
      <right style="hair">
        <color rgb="FF525252"/>
      </right>
      <top style="thin">
        <color rgb="FF525252"/>
      </top>
      <bottom style="thin">
        <color rgb="FF525252"/>
      </bottom>
      <diagonal/>
    </border>
    <border>
      <left/>
      <right style="thin">
        <color indexed="64"/>
      </right>
      <top style="thin">
        <color rgb="FF525252"/>
      </top>
      <bottom style="thin">
        <color rgb="FF525252"/>
      </bottom>
      <diagonal/>
    </border>
    <border>
      <left/>
      <right style="thin">
        <color rgb="FF525252"/>
      </right>
      <top/>
      <bottom style="thin">
        <color rgb="FF525252"/>
      </bottom>
      <diagonal/>
    </border>
    <border>
      <left style="hair">
        <color auto="1"/>
      </left>
      <right style="thin">
        <color rgb="FF525252"/>
      </right>
      <top style="thin">
        <color rgb="FF525252"/>
      </top>
      <bottom/>
      <diagonal/>
    </border>
    <border>
      <left style="hair">
        <color auto="1"/>
      </left>
      <right style="thin">
        <color rgb="FF525252"/>
      </right>
      <top/>
      <bottom/>
      <diagonal/>
    </border>
    <border>
      <left/>
      <right style="hair">
        <color auto="1"/>
      </right>
      <top/>
      <bottom style="thin">
        <color rgb="FF525252"/>
      </bottom>
      <diagonal/>
    </border>
    <border>
      <left style="hair">
        <color auto="1"/>
      </left>
      <right style="thin">
        <color rgb="FF525252"/>
      </right>
      <top/>
      <bottom style="thin">
        <color rgb="FF525252"/>
      </bottom>
      <diagonal/>
    </border>
  </borders>
  <cellStyleXfs count="7">
    <xf numFmtId="0" fontId="0" fillId="0" borderId="0"/>
    <xf numFmtId="9" fontId="2" fillId="0" borderId="0" applyFont="0" applyFill="0" applyBorder="0" applyAlignment="0" applyProtection="0"/>
    <xf numFmtId="0" fontId="1" fillId="0" borderId="0"/>
    <xf numFmtId="164" fontId="2" fillId="0" borderId="0" applyFont="0" applyFill="0" applyBorder="0" applyAlignment="0" applyProtection="0"/>
    <xf numFmtId="0" fontId="3" fillId="0" borderId="0" applyNumberFormat="0" applyFill="0" applyBorder="0" applyAlignment="0" applyProtection="0"/>
    <xf numFmtId="0" fontId="8" fillId="0" borderId="0"/>
    <xf numFmtId="0" fontId="1" fillId="0" borderId="0"/>
  </cellStyleXfs>
  <cellXfs count="332">
    <xf numFmtId="0" fontId="0" fillId="0" borderId="0" xfId="0"/>
    <xf numFmtId="0" fontId="4" fillId="0" borderId="0" xfId="0" applyFont="1"/>
    <xf numFmtId="0" fontId="5" fillId="0" borderId="0" xfId="0" applyFont="1" applyAlignment="1">
      <alignment wrapText="1"/>
    </xf>
    <xf numFmtId="168" fontId="4" fillId="0" borderId="0" xfId="0" applyNumberFormat="1" applyFont="1"/>
    <xf numFmtId="0" fontId="5" fillId="0" borderId="0" xfId="0" applyFont="1" applyAlignment="1">
      <alignment vertical="center" wrapText="1"/>
    </xf>
    <xf numFmtId="0" fontId="4" fillId="0" borderId="0" xfId="2" applyFont="1" applyAlignment="1">
      <alignment vertical="center"/>
    </xf>
    <xf numFmtId="166" fontId="8" fillId="0" borderId="0" xfId="0" applyNumberFormat="1" applyFont="1"/>
    <xf numFmtId="165" fontId="4" fillId="0" borderId="2" xfId="1" applyNumberFormat="1" applyFont="1" applyFill="1" applyBorder="1" applyAlignment="1">
      <alignment horizontal="right"/>
    </xf>
    <xf numFmtId="165" fontId="4" fillId="0" borderId="0" xfId="1" applyNumberFormat="1" applyFont="1" applyFill="1" applyBorder="1" applyAlignment="1">
      <alignment horizontal="right"/>
    </xf>
    <xf numFmtId="167" fontId="4" fillId="0" borderId="0" xfId="2" applyNumberFormat="1" applyFont="1" applyAlignment="1">
      <alignment horizontal="right"/>
    </xf>
    <xf numFmtId="9" fontId="4" fillId="0" borderId="0" xfId="1" applyFont="1" applyFill="1" applyBorder="1"/>
    <xf numFmtId="165" fontId="4" fillId="0" borderId="0" xfId="1" applyNumberFormat="1" applyFont="1" applyFill="1" applyBorder="1"/>
    <xf numFmtId="0" fontId="6" fillId="0" borderId="0" xfId="0" applyFont="1" applyAlignment="1">
      <alignment vertical="center" wrapText="1"/>
    </xf>
    <xf numFmtId="0" fontId="4" fillId="0" borderId="0" xfId="0" applyFont="1" applyAlignment="1">
      <alignment horizontal="left" indent="1"/>
    </xf>
    <xf numFmtId="0" fontId="4" fillId="0" borderId="0" xfId="0" applyFont="1" applyAlignment="1">
      <alignment horizontal="left" indent="6"/>
    </xf>
    <xf numFmtId="0" fontId="4" fillId="0" borderId="0" xfId="0" applyFont="1" applyAlignment="1">
      <alignment horizontal="left"/>
    </xf>
    <xf numFmtId="0" fontId="11" fillId="0" borderId="0" xfId="0" applyFont="1" applyAlignment="1">
      <alignment horizontal="right"/>
    </xf>
    <xf numFmtId="0" fontId="12" fillId="0" borderId="0" xfId="0" applyFont="1" applyAlignment="1">
      <alignment horizontal="left"/>
    </xf>
    <xf numFmtId="0" fontId="15" fillId="0" borderId="0" xfId="0" applyFont="1"/>
    <xf numFmtId="0" fontId="16" fillId="4" borderId="0" xfId="0" applyFont="1" applyFill="1" applyAlignment="1">
      <alignment horizontal="left" vertical="top" indent="1"/>
    </xf>
    <xf numFmtId="0" fontId="18" fillId="0" borderId="0" xfId="4" applyFont="1" applyFill="1" applyBorder="1" applyAlignment="1" applyProtection="1"/>
    <xf numFmtId="0" fontId="19" fillId="0" borderId="0" xfId="0" applyFont="1"/>
    <xf numFmtId="38" fontId="8" fillId="0" borderId="2" xfId="0" applyNumberFormat="1" applyFont="1" applyBorder="1"/>
    <xf numFmtId="40" fontId="8" fillId="0" borderId="2" xfId="0" applyNumberFormat="1" applyFont="1" applyBorder="1"/>
    <xf numFmtId="165" fontId="8" fillId="0" borderId="2" xfId="1" applyNumberFormat="1" applyFont="1" applyFill="1" applyBorder="1"/>
    <xf numFmtId="0" fontId="21" fillId="0" borderId="0" xfId="0" applyFont="1"/>
    <xf numFmtId="0" fontId="22" fillId="0" borderId="0" xfId="0" applyFont="1"/>
    <xf numFmtId="0" fontId="14" fillId="0" borderId="5" xfId="0" applyFont="1" applyBorder="1" applyAlignment="1">
      <alignment horizontal="center" vertical="center"/>
    </xf>
    <xf numFmtId="0" fontId="23" fillId="0" borderId="0" xfId="0" applyFont="1"/>
    <xf numFmtId="0" fontId="7" fillId="5" borderId="11" xfId="0" applyFont="1" applyFill="1" applyBorder="1" applyAlignment="1">
      <alignment horizontal="right" vertical="center"/>
    </xf>
    <xf numFmtId="0" fontId="8" fillId="0" borderId="0" xfId="0" applyFont="1"/>
    <xf numFmtId="0" fontId="16" fillId="0" borderId="0" xfId="0" applyFont="1" applyAlignment="1">
      <alignment horizontal="left" indent="1"/>
    </xf>
    <xf numFmtId="0" fontId="26" fillId="0" borderId="0" xfId="0" applyFont="1"/>
    <xf numFmtId="0" fontId="26" fillId="0" borderId="0" xfId="0" applyFont="1" applyAlignment="1">
      <alignment horizontal="right"/>
    </xf>
    <xf numFmtId="40" fontId="26" fillId="0" borderId="0" xfId="0" applyNumberFormat="1" applyFont="1"/>
    <xf numFmtId="171" fontId="26" fillId="0" borderId="0" xfId="0" applyNumberFormat="1" applyFont="1"/>
    <xf numFmtId="14" fontId="26" fillId="0" borderId="0" xfId="0" applyNumberFormat="1" applyFont="1"/>
    <xf numFmtId="0" fontId="7" fillId="5" borderId="12" xfId="0" applyFont="1" applyFill="1" applyBorder="1" applyAlignment="1">
      <alignment vertical="center"/>
    </xf>
    <xf numFmtId="0" fontId="5" fillId="0" borderId="7" xfId="0" applyFont="1" applyBorder="1" applyAlignment="1">
      <alignment vertical="center" wrapText="1"/>
    </xf>
    <xf numFmtId="0" fontId="5" fillId="0" borderId="7" xfId="0" applyFont="1" applyBorder="1" applyAlignment="1">
      <alignment wrapText="1"/>
    </xf>
    <xf numFmtId="0" fontId="4" fillId="0" borderId="7" xfId="0" applyFont="1" applyBorder="1"/>
    <xf numFmtId="4" fontId="4" fillId="0" borderId="0" xfId="0" applyNumberFormat="1" applyFont="1" applyAlignment="1">
      <alignment horizontal="right"/>
    </xf>
    <xf numFmtId="0" fontId="7" fillId="5" borderId="9" xfId="0" applyFont="1" applyFill="1" applyBorder="1"/>
    <xf numFmtId="0" fontId="27" fillId="0" borderId="0" xfId="0" applyFont="1" applyAlignment="1">
      <alignment horizontal="left"/>
    </xf>
    <xf numFmtId="0" fontId="28" fillId="0" borderId="0" xfId="0" applyFont="1"/>
    <xf numFmtId="172" fontId="8" fillId="0" borderId="24" xfId="0" applyNumberFormat="1" applyFont="1" applyBorder="1" applyAlignment="1">
      <alignment horizontal="right" vertical="center"/>
    </xf>
    <xf numFmtId="172" fontId="8" fillId="0" borderId="22" xfId="0" applyNumberFormat="1" applyFont="1" applyBorder="1" applyAlignment="1">
      <alignment horizontal="right" vertical="center"/>
    </xf>
    <xf numFmtId="173" fontId="8" fillId="0" borderId="21" xfId="0" applyNumberFormat="1" applyFont="1" applyBorder="1" applyAlignment="1">
      <alignment horizontal="right" vertical="center"/>
    </xf>
    <xf numFmtId="173" fontId="8" fillId="0" borderId="26" xfId="0" applyNumberFormat="1" applyFont="1" applyBorder="1" applyAlignment="1">
      <alignment horizontal="right" vertical="center"/>
    </xf>
    <xf numFmtId="173" fontId="8" fillId="0" borderId="23" xfId="0" applyNumberFormat="1" applyFont="1" applyBorder="1" applyAlignment="1">
      <alignment horizontal="right" vertical="center"/>
    </xf>
    <xf numFmtId="173" fontId="8" fillId="0" borderId="24" xfId="0" applyNumberFormat="1" applyFont="1" applyBorder="1" applyAlignment="1">
      <alignment horizontal="right" vertical="center"/>
    </xf>
    <xf numFmtId="173" fontId="8" fillId="0" borderId="22" xfId="0" applyNumberFormat="1" applyFont="1" applyBorder="1" applyAlignment="1">
      <alignment horizontal="right" vertical="center"/>
    </xf>
    <xf numFmtId="173" fontId="8" fillId="0" borderId="25" xfId="0" applyNumberFormat="1" applyFont="1" applyBorder="1" applyAlignment="1">
      <alignment horizontal="right" vertical="center"/>
    </xf>
    <xf numFmtId="173" fontId="8" fillId="0" borderId="0" xfId="0" applyNumberFormat="1" applyFont="1" applyAlignment="1">
      <alignment horizontal="right" vertical="center"/>
    </xf>
    <xf numFmtId="0" fontId="4" fillId="0" borderId="0" xfId="0" applyFont="1" applyAlignment="1">
      <alignment vertical="center"/>
    </xf>
    <xf numFmtId="0" fontId="24" fillId="0" borderId="0" xfId="0" applyFont="1" applyAlignment="1">
      <alignment wrapText="1"/>
    </xf>
    <xf numFmtId="172" fontId="8" fillId="0" borderId="0" xfId="0" applyNumberFormat="1" applyFont="1" applyAlignment="1">
      <alignment horizontal="right" vertical="center"/>
    </xf>
    <xf numFmtId="0" fontId="10" fillId="0" borderId="0" xfId="0" applyFont="1" applyAlignment="1">
      <alignment vertical="center"/>
    </xf>
    <xf numFmtId="0" fontId="20" fillId="0" borderId="0" xfId="0" applyFont="1" applyAlignment="1">
      <alignment horizontal="right"/>
    </xf>
    <xf numFmtId="0" fontId="7" fillId="5" borderId="15" xfId="0" applyFont="1" applyFill="1" applyBorder="1" applyAlignment="1">
      <alignment vertical="center" wrapText="1"/>
    </xf>
    <xf numFmtId="0" fontId="7" fillId="5" borderId="15" xfId="0" applyFont="1" applyFill="1" applyBorder="1" applyAlignment="1">
      <alignment wrapText="1"/>
    </xf>
    <xf numFmtId="4" fontId="4" fillId="0" borderId="0" xfId="0" applyNumberFormat="1" applyFont="1"/>
    <xf numFmtId="0" fontId="4" fillId="0" borderId="2" xfId="0" applyFont="1" applyBorder="1"/>
    <xf numFmtId="0" fontId="7" fillId="5" borderId="15" xfId="0" applyFont="1" applyFill="1" applyBorder="1" applyAlignment="1">
      <alignment horizontal="centerContinuous" wrapText="1"/>
    </xf>
    <xf numFmtId="0" fontId="7" fillId="5" borderId="14" xfId="0" applyFont="1" applyFill="1" applyBorder="1" applyAlignment="1">
      <alignment horizontal="centerContinuous" wrapText="1"/>
    </xf>
    <xf numFmtId="0" fontId="7" fillId="5" borderId="16" xfId="0" applyFont="1" applyFill="1" applyBorder="1" applyAlignment="1">
      <alignment wrapText="1"/>
    </xf>
    <xf numFmtId="0" fontId="7" fillId="5" borderId="6" xfId="0" applyFont="1" applyFill="1" applyBorder="1" applyAlignment="1">
      <alignment vertical="center" wrapText="1"/>
    </xf>
    <xf numFmtId="0" fontId="7" fillId="5" borderId="34" xfId="0" applyFont="1" applyFill="1" applyBorder="1" applyAlignment="1">
      <alignment vertical="center" wrapText="1"/>
    </xf>
    <xf numFmtId="0" fontId="7" fillId="5" borderId="10" xfId="0" applyFont="1" applyFill="1" applyBorder="1" applyAlignment="1">
      <alignment vertical="center" wrapText="1"/>
    </xf>
    <xf numFmtId="0" fontId="7" fillId="5" borderId="17" xfId="0" applyFont="1" applyFill="1" applyBorder="1" applyAlignment="1">
      <alignment vertical="center" wrapText="1"/>
    </xf>
    <xf numFmtId="0" fontId="4" fillId="0" borderId="4" xfId="0" applyFont="1" applyBorder="1" applyAlignment="1">
      <alignment horizontal="left"/>
    </xf>
    <xf numFmtId="0" fontId="8" fillId="0" borderId="0" xfId="0" applyFont="1" applyAlignment="1">
      <alignment horizontal="left" vertical="top" wrapText="1"/>
    </xf>
    <xf numFmtId="0" fontId="7" fillId="5" borderId="35" xfId="0" applyFont="1" applyFill="1" applyBorder="1"/>
    <xf numFmtId="0" fontId="7" fillId="5" borderId="36" xfId="0" applyFont="1" applyFill="1" applyBorder="1"/>
    <xf numFmtId="0" fontId="7" fillId="5" borderId="37" xfId="0" applyFont="1" applyFill="1" applyBorder="1"/>
    <xf numFmtId="0" fontId="8" fillId="0" borderId="38" xfId="5" applyBorder="1"/>
    <xf numFmtId="0" fontId="8" fillId="0" borderId="39" xfId="5" applyBorder="1"/>
    <xf numFmtId="0" fontId="8" fillId="0" borderId="39" xfId="5" applyBorder="1" applyAlignment="1">
      <alignment horizontal="left"/>
    </xf>
    <xf numFmtId="0" fontId="8" fillId="0" borderId="40" xfId="5" quotePrefix="1" applyBorder="1"/>
    <xf numFmtId="0" fontId="8" fillId="0" borderId="40" xfId="5" applyBorder="1"/>
    <xf numFmtId="0" fontId="8" fillId="0" borderId="41" xfId="5" applyBorder="1"/>
    <xf numFmtId="0" fontId="8" fillId="0" borderId="42" xfId="5" applyBorder="1"/>
    <xf numFmtId="0" fontId="8" fillId="0" borderId="42" xfId="5" applyBorder="1" applyAlignment="1">
      <alignment horizontal="left"/>
    </xf>
    <xf numFmtId="0" fontId="8" fillId="0" borderId="43" xfId="5" applyBorder="1"/>
    <xf numFmtId="0" fontId="9" fillId="0" borderId="0" xfId="0" applyFont="1" applyAlignment="1">
      <alignment vertical="center"/>
    </xf>
    <xf numFmtId="0" fontId="9" fillId="0" borderId="0" xfId="0" applyFont="1" applyAlignment="1">
      <alignment horizontal="left" vertical="center"/>
    </xf>
    <xf numFmtId="0" fontId="9" fillId="0" borderId="0" xfId="0" applyFont="1" applyAlignment="1">
      <alignment horizontal="left" vertical="center" indent="2"/>
    </xf>
    <xf numFmtId="0" fontId="4" fillId="0" borderId="0" xfId="2" applyFont="1" applyAlignment="1">
      <alignment horizontal="left" vertical="center"/>
    </xf>
    <xf numFmtId="0" fontId="4" fillId="6" borderId="0" xfId="2" applyFont="1" applyFill="1" applyAlignment="1">
      <alignment vertical="center"/>
    </xf>
    <xf numFmtId="0" fontId="16" fillId="0" borderId="0" xfId="0" applyFont="1" applyAlignment="1">
      <alignment horizontal="right" vertical="center"/>
    </xf>
    <xf numFmtId="0" fontId="16" fillId="4" borderId="0" xfId="0" applyFont="1" applyFill="1" applyAlignment="1">
      <alignment horizontal="left" vertical="top"/>
    </xf>
    <xf numFmtId="0" fontId="17" fillId="0" borderId="0" xfId="0" applyFont="1" applyAlignment="1">
      <alignment horizontal="left" indent="2"/>
    </xf>
    <xf numFmtId="0" fontId="4" fillId="0" borderId="10" xfId="0" applyFont="1" applyBorder="1" applyAlignment="1">
      <alignment horizontal="left" vertical="center"/>
    </xf>
    <xf numFmtId="0" fontId="4" fillId="0" borderId="4" xfId="0" applyFont="1" applyBorder="1" applyAlignment="1">
      <alignment horizontal="left" vertical="center"/>
    </xf>
    <xf numFmtId="0" fontId="4" fillId="0" borderId="20" xfId="0" applyFont="1" applyBorder="1" applyAlignment="1">
      <alignment vertical="center"/>
    </xf>
    <xf numFmtId="0" fontId="4" fillId="0" borderId="33" xfId="0" applyFont="1" applyBorder="1" applyAlignment="1">
      <alignment vertical="center"/>
    </xf>
    <xf numFmtId="165" fontId="4" fillId="0" borderId="2" xfId="1" applyNumberFormat="1" applyFont="1" applyFill="1" applyBorder="1" applyAlignment="1">
      <alignment horizontal="right" vertical="center"/>
    </xf>
    <xf numFmtId="165" fontId="4" fillId="0" borderId="1" xfId="1" applyNumberFormat="1" applyFont="1" applyFill="1" applyBorder="1" applyAlignment="1">
      <alignment horizontal="right" vertical="center"/>
    </xf>
    <xf numFmtId="0" fontId="4" fillId="0" borderId="0" xfId="0" applyFont="1" applyAlignment="1">
      <alignment horizontal="right"/>
    </xf>
    <xf numFmtId="0" fontId="8" fillId="0" borderId="0" xfId="0" applyFont="1" applyAlignment="1">
      <alignment vertical="top" wrapText="1"/>
    </xf>
    <xf numFmtId="2" fontId="4" fillId="0" borderId="0" xfId="0" applyNumberFormat="1" applyFont="1"/>
    <xf numFmtId="0" fontId="15" fillId="0" borderId="0" xfId="0" applyFont="1" applyAlignment="1">
      <alignment horizontal="center" vertical="center"/>
    </xf>
    <xf numFmtId="0" fontId="0" fillId="0" borderId="0" xfId="0" applyAlignment="1">
      <alignment horizontal="left"/>
    </xf>
    <xf numFmtId="38" fontId="8" fillId="0" borderId="2" xfId="0" applyNumberFormat="1" applyFont="1" applyBorder="1" applyAlignment="1">
      <alignment horizontal="right" vertical="center"/>
    </xf>
    <xf numFmtId="40" fontId="8" fillId="0" borderId="2" xfId="0" applyNumberFormat="1" applyFont="1" applyBorder="1" applyAlignment="1">
      <alignment horizontal="right" vertical="center"/>
    </xf>
    <xf numFmtId="165" fontId="8" fillId="0" borderId="2" xfId="1" applyNumberFormat="1" applyFont="1" applyFill="1" applyBorder="1" applyAlignment="1">
      <alignment horizontal="right" vertical="center"/>
    </xf>
    <xf numFmtId="175" fontId="8" fillId="0" borderId="21" xfId="0" applyNumberFormat="1" applyFont="1" applyBorder="1" applyAlignment="1">
      <alignment horizontal="right" vertical="center"/>
    </xf>
    <xf numFmtId="175" fontId="8" fillId="0" borderId="26" xfId="0" applyNumberFormat="1" applyFont="1" applyBorder="1" applyAlignment="1">
      <alignment horizontal="right" vertical="center"/>
    </xf>
    <xf numFmtId="175" fontId="8" fillId="0" borderId="24" xfId="0" applyNumberFormat="1" applyFont="1" applyBorder="1" applyAlignment="1">
      <alignment horizontal="right" vertical="center"/>
    </xf>
    <xf numFmtId="175" fontId="8" fillId="0" borderId="22" xfId="0" applyNumberFormat="1" applyFont="1" applyBorder="1" applyAlignment="1">
      <alignment horizontal="right" vertical="center"/>
    </xf>
    <xf numFmtId="176" fontId="8" fillId="0" borderId="24" xfId="0" applyNumberFormat="1" applyFont="1" applyBorder="1" applyAlignment="1">
      <alignment horizontal="right" vertical="center"/>
    </xf>
    <xf numFmtId="176" fontId="8" fillId="0" borderId="28" xfId="0" applyNumberFormat="1" applyFont="1" applyBorder="1" applyAlignment="1">
      <alignment horizontal="right" vertical="center"/>
    </xf>
    <xf numFmtId="176" fontId="8" fillId="0" borderId="26" xfId="0" applyNumberFormat="1" applyFont="1" applyBorder="1" applyAlignment="1">
      <alignment horizontal="right" vertical="center"/>
    </xf>
    <xf numFmtId="176" fontId="8" fillId="0" borderId="23" xfId="0" applyNumberFormat="1" applyFont="1" applyBorder="1" applyAlignment="1">
      <alignment horizontal="right" vertical="center"/>
    </xf>
    <xf numFmtId="176" fontId="8" fillId="0" borderId="22" xfId="0" applyNumberFormat="1" applyFont="1" applyBorder="1" applyAlignment="1">
      <alignment horizontal="right" vertical="center"/>
    </xf>
    <xf numFmtId="176" fontId="8" fillId="0" borderId="25" xfId="0" applyNumberFormat="1" applyFont="1" applyBorder="1" applyAlignment="1">
      <alignment horizontal="right" vertical="center"/>
    </xf>
    <xf numFmtId="0" fontId="7" fillId="5" borderId="33" xfId="0" applyFont="1" applyFill="1" applyBorder="1"/>
    <xf numFmtId="0" fontId="7" fillId="7" borderId="47" xfId="0" applyFont="1" applyFill="1" applyBorder="1" applyAlignment="1">
      <alignment horizontal="left"/>
    </xf>
    <xf numFmtId="0" fontId="7" fillId="7" borderId="44" xfId="0" applyFont="1" applyFill="1" applyBorder="1" applyAlignment="1">
      <alignment horizontal="right"/>
    </xf>
    <xf numFmtId="170" fontId="4" fillId="0" borderId="39" xfId="3" applyNumberFormat="1" applyFont="1" applyFill="1" applyBorder="1"/>
    <xf numFmtId="0" fontId="14" fillId="0" borderId="39" xfId="0" applyFont="1" applyBorder="1" applyAlignment="1">
      <alignment horizontal="center" vertical="center"/>
    </xf>
    <xf numFmtId="169" fontId="4" fillId="0" borderId="39" xfId="3" applyNumberFormat="1" applyFont="1" applyFill="1" applyBorder="1" applyAlignment="1">
      <alignment horizontal="right"/>
    </xf>
    <xf numFmtId="164" fontId="4" fillId="0" borderId="39" xfId="3" applyFont="1" applyFill="1" applyBorder="1"/>
    <xf numFmtId="0" fontId="4" fillId="0" borderId="48" xfId="0" applyFont="1" applyBorder="1"/>
    <xf numFmtId="0" fontId="4" fillId="0" borderId="38" xfId="0" applyFont="1" applyBorder="1"/>
    <xf numFmtId="170" fontId="4" fillId="0" borderId="40" xfId="3" applyNumberFormat="1" applyFont="1" applyFill="1" applyBorder="1"/>
    <xf numFmtId="0" fontId="17" fillId="0" borderId="38" xfId="0" applyFont="1" applyBorder="1" applyAlignment="1">
      <alignment horizontal="left" vertical="center"/>
    </xf>
    <xf numFmtId="0" fontId="14" fillId="0" borderId="40" xfId="0" applyFont="1" applyBorder="1" applyAlignment="1">
      <alignment horizontal="center" vertical="center"/>
    </xf>
    <xf numFmtId="169" fontId="4" fillId="0" borderId="40" xfId="3" applyNumberFormat="1" applyFont="1" applyFill="1" applyBorder="1" applyAlignment="1">
      <alignment horizontal="right"/>
    </xf>
    <xf numFmtId="164" fontId="4" fillId="0" borderId="40" xfId="3" applyFont="1" applyFill="1" applyBorder="1"/>
    <xf numFmtId="0" fontId="4" fillId="0" borderId="41" xfId="0" applyFont="1" applyBorder="1"/>
    <xf numFmtId="164" fontId="4" fillId="0" borderId="42" xfId="3" applyFont="1" applyFill="1" applyBorder="1"/>
    <xf numFmtId="164" fontId="4" fillId="0" borderId="43" xfId="3" applyFont="1" applyFill="1" applyBorder="1"/>
    <xf numFmtId="0" fontId="8" fillId="6" borderId="3" xfId="0" applyFont="1" applyFill="1" applyBorder="1"/>
    <xf numFmtId="0" fontId="4" fillId="0" borderId="51" xfId="0" applyFont="1" applyBorder="1"/>
    <xf numFmtId="0" fontId="4" fillId="0" borderId="52" xfId="0" applyFont="1" applyBorder="1"/>
    <xf numFmtId="0" fontId="4" fillId="0" borderId="53" xfId="0" applyFont="1" applyBorder="1"/>
    <xf numFmtId="0" fontId="15" fillId="0" borderId="54" xfId="0" applyFont="1" applyBorder="1"/>
    <xf numFmtId="0" fontId="15" fillId="0" borderId="55" xfId="0" applyFont="1" applyBorder="1"/>
    <xf numFmtId="0" fontId="7" fillId="7" borderId="56" xfId="0" applyFont="1" applyFill="1" applyBorder="1" applyAlignment="1">
      <alignment horizontal="left"/>
    </xf>
    <xf numFmtId="0" fontId="7" fillId="7" borderId="57" xfId="0" applyFont="1" applyFill="1" applyBorder="1" applyAlignment="1">
      <alignment horizontal="left"/>
    </xf>
    <xf numFmtId="0" fontId="4" fillId="0" borderId="58" xfId="0" applyFont="1" applyBorder="1"/>
    <xf numFmtId="0" fontId="4" fillId="0" borderId="57" xfId="0" applyFont="1" applyBorder="1"/>
    <xf numFmtId="49" fontId="4" fillId="0" borderId="59" xfId="0" applyNumberFormat="1" applyFont="1" applyBorder="1"/>
    <xf numFmtId="0" fontId="4" fillId="0" borderId="59" xfId="0" quotePrefix="1" applyFont="1" applyBorder="1"/>
    <xf numFmtId="0" fontId="4" fillId="0" borderId="59" xfId="0" applyFont="1" applyBorder="1"/>
    <xf numFmtId="0" fontId="4" fillId="0" borderId="60" xfId="0" applyFont="1" applyBorder="1"/>
    <xf numFmtId="0" fontId="4" fillId="0" borderId="61" xfId="0" applyFont="1" applyBorder="1"/>
    <xf numFmtId="0" fontId="8" fillId="0" borderId="52" xfId="2" applyFont="1" applyBorder="1" applyAlignment="1">
      <alignment horizontal="left"/>
    </xf>
    <xf numFmtId="0" fontId="4" fillId="0" borderId="0" xfId="0" applyFont="1" applyAlignment="1">
      <alignment horizontal="center"/>
    </xf>
    <xf numFmtId="0" fontId="15" fillId="0" borderId="0" xfId="0" applyFont="1" applyAlignment="1">
      <alignment horizontal="left" vertical="top"/>
    </xf>
    <xf numFmtId="0" fontId="7" fillId="5" borderId="29" xfId="0" applyFont="1" applyFill="1" applyBorder="1" applyAlignment="1">
      <alignment wrapText="1"/>
    </xf>
    <xf numFmtId="0" fontId="24" fillId="0" borderId="7" xfId="0" applyFont="1" applyBorder="1" applyAlignment="1">
      <alignment wrapText="1"/>
    </xf>
    <xf numFmtId="175" fontId="8" fillId="0" borderId="8" xfId="0" applyNumberFormat="1" applyFont="1" applyBorder="1" applyAlignment="1">
      <alignment horizontal="right" vertical="center"/>
    </xf>
    <xf numFmtId="175" fontId="8" fillId="0" borderId="4" xfId="0" applyNumberFormat="1" applyFont="1" applyBorder="1" applyAlignment="1">
      <alignment horizontal="right" vertical="center"/>
    </xf>
    <xf numFmtId="172" fontId="8" fillId="0" borderId="72" xfId="0" applyNumberFormat="1" applyFont="1" applyBorder="1" applyAlignment="1">
      <alignment horizontal="right" vertical="center"/>
    </xf>
    <xf numFmtId="170" fontId="7" fillId="5" borderId="39" xfId="0" applyNumberFormat="1" applyFont="1" applyFill="1" applyBorder="1" applyAlignment="1">
      <alignment horizontal="right" vertical="center"/>
    </xf>
    <xf numFmtId="170" fontId="7" fillId="5" borderId="0" xfId="0" applyNumberFormat="1" applyFont="1" applyFill="1" applyAlignment="1">
      <alignment horizontal="right" vertical="center"/>
    </xf>
    <xf numFmtId="170" fontId="7" fillId="5" borderId="22" xfId="0" applyNumberFormat="1" applyFont="1" applyFill="1" applyBorder="1" applyAlignment="1">
      <alignment horizontal="right" vertical="center"/>
    </xf>
    <xf numFmtId="170" fontId="7" fillId="5" borderId="73" xfId="0" applyNumberFormat="1" applyFont="1" applyFill="1" applyBorder="1" applyAlignment="1">
      <alignment horizontal="right" vertical="center"/>
    </xf>
    <xf numFmtId="0" fontId="7" fillId="5" borderId="29" xfId="0" applyFont="1" applyFill="1" applyBorder="1" applyAlignment="1">
      <alignment vertical="center" wrapText="1"/>
    </xf>
    <xf numFmtId="170" fontId="7" fillId="5" borderId="75" xfId="0" applyNumberFormat="1" applyFont="1" applyFill="1" applyBorder="1" applyAlignment="1">
      <alignment horizontal="right" vertical="center"/>
    </xf>
    <xf numFmtId="170" fontId="7" fillId="5" borderId="76" xfId="0" applyNumberFormat="1" applyFont="1" applyFill="1" applyBorder="1" applyAlignment="1">
      <alignment horizontal="right" vertical="center"/>
    </xf>
    <xf numFmtId="0" fontId="8" fillId="0" borderId="0" xfId="0" applyFont="1" applyAlignment="1">
      <alignment horizontal="left"/>
    </xf>
    <xf numFmtId="0" fontId="8" fillId="0" borderId="77" xfId="0" applyFont="1" applyBorder="1"/>
    <xf numFmtId="0" fontId="8" fillId="0" borderId="52" xfId="0" applyFont="1" applyBorder="1"/>
    <xf numFmtId="0" fontId="8" fillId="0" borderId="53" xfId="0" applyFont="1" applyBorder="1"/>
    <xf numFmtId="0" fontId="7" fillId="7" borderId="45" xfId="0" applyFont="1" applyFill="1" applyBorder="1"/>
    <xf numFmtId="171" fontId="25" fillId="2" borderId="33" xfId="0" applyNumberFormat="1" applyFont="1" applyFill="1" applyBorder="1" applyAlignment="1">
      <alignment horizontal="center" vertical="center" wrapText="1"/>
    </xf>
    <xf numFmtId="0" fontId="4" fillId="3" borderId="3" xfId="2" applyFont="1" applyFill="1" applyBorder="1" applyAlignment="1">
      <alignment horizontal="left" vertical="center"/>
    </xf>
    <xf numFmtId="14" fontId="10" fillId="2" borderId="3" xfId="0" applyNumberFormat="1" applyFont="1" applyFill="1" applyBorder="1" applyAlignment="1">
      <alignment horizontal="center" vertical="center"/>
    </xf>
    <xf numFmtId="0" fontId="10" fillId="2" borderId="3" xfId="0" applyFont="1" applyFill="1" applyBorder="1" applyAlignment="1">
      <alignment horizontal="center" vertical="center"/>
    </xf>
    <xf numFmtId="0" fontId="13" fillId="0" borderId="0" xfId="0" applyFont="1"/>
    <xf numFmtId="0" fontId="4" fillId="0" borderId="19" xfId="0" applyFont="1" applyBorder="1"/>
    <xf numFmtId="0" fontId="4" fillId="0" borderId="19" xfId="2" applyFont="1" applyBorder="1" applyAlignment="1">
      <alignment horizontal="center" vertical="center"/>
    </xf>
    <xf numFmtId="0" fontId="4" fillId="0" borderId="68" xfId="2" applyFont="1" applyBorder="1" applyAlignment="1">
      <alignment horizontal="center" vertical="center"/>
    </xf>
    <xf numFmtId="0" fontId="4" fillId="0" borderId="79" xfId="2" applyFont="1" applyBorder="1" applyAlignment="1">
      <alignment horizontal="center" vertical="center"/>
    </xf>
    <xf numFmtId="174" fontId="8" fillId="0" borderId="27" xfId="0" applyNumberFormat="1" applyFont="1" applyBorder="1" applyAlignment="1">
      <alignment horizontal="right" vertical="center"/>
    </xf>
    <xf numFmtId="174" fontId="8" fillId="0" borderId="28" xfId="0" applyNumberFormat="1" applyFont="1" applyBorder="1" applyAlignment="1">
      <alignment horizontal="right" vertical="center"/>
    </xf>
    <xf numFmtId="174" fontId="8" fillId="0" borderId="33" xfId="0" applyNumberFormat="1" applyFont="1" applyBorder="1" applyAlignment="1">
      <alignment horizontal="right" vertical="center"/>
    </xf>
    <xf numFmtId="174" fontId="8" fillId="0" borderId="20" xfId="0" applyNumberFormat="1" applyFont="1" applyBorder="1" applyAlignment="1">
      <alignment horizontal="right" vertical="center"/>
    </xf>
    <xf numFmtId="174" fontId="8" fillId="0" borderId="23" xfId="0" applyNumberFormat="1" applyFont="1" applyBorder="1" applyAlignment="1">
      <alignment horizontal="right" vertical="center"/>
    </xf>
    <xf numFmtId="174" fontId="8" fillId="0" borderId="25" xfId="0" applyNumberFormat="1" applyFont="1" applyBorder="1" applyAlignment="1">
      <alignment horizontal="right" vertical="center"/>
    </xf>
    <xf numFmtId="170" fontId="7" fillId="5" borderId="30" xfId="0" applyNumberFormat="1" applyFont="1" applyFill="1" applyBorder="1" applyAlignment="1">
      <alignment horizontal="left" vertical="center"/>
    </xf>
    <xf numFmtId="170" fontId="7" fillId="5" borderId="19" xfId="0" applyNumberFormat="1" applyFont="1" applyFill="1" applyBorder="1" applyAlignment="1">
      <alignment horizontal="left"/>
    </xf>
    <xf numFmtId="170" fontId="7" fillId="5" borderId="19" xfId="0" applyNumberFormat="1" applyFont="1" applyFill="1" applyBorder="1" applyAlignment="1">
      <alignment horizontal="right"/>
    </xf>
    <xf numFmtId="170" fontId="7" fillId="5" borderId="19" xfId="0" applyNumberFormat="1" applyFont="1" applyFill="1" applyBorder="1" applyAlignment="1">
      <alignment horizontal="right" vertical="center"/>
    </xf>
    <xf numFmtId="170" fontId="7" fillId="5" borderId="46" xfId="0" applyNumberFormat="1" applyFont="1" applyFill="1" applyBorder="1" applyAlignment="1">
      <alignment horizontal="right" vertical="center"/>
    </xf>
    <xf numFmtId="170" fontId="7" fillId="5" borderId="19" xfId="0" applyNumberFormat="1" applyFont="1" applyFill="1" applyBorder="1" applyAlignment="1">
      <alignment horizontal="left" vertical="center"/>
    </xf>
    <xf numFmtId="170" fontId="7" fillId="5" borderId="80" xfId="0" applyNumberFormat="1" applyFont="1" applyFill="1" applyBorder="1" applyAlignment="1">
      <alignment horizontal="right" vertical="center"/>
    </xf>
    <xf numFmtId="170" fontId="7" fillId="5" borderId="46" xfId="0" applyNumberFormat="1" applyFont="1" applyFill="1" applyBorder="1" applyAlignment="1">
      <alignment horizontal="right"/>
    </xf>
    <xf numFmtId="0" fontId="30" fillId="0" borderId="0" xfId="0" applyFont="1" applyAlignment="1">
      <alignment vertical="center"/>
    </xf>
    <xf numFmtId="170" fontId="7" fillId="5" borderId="81" xfId="0" applyNumberFormat="1" applyFont="1" applyFill="1" applyBorder="1" applyAlignment="1">
      <alignment horizontal="right" vertical="center"/>
    </xf>
    <xf numFmtId="38" fontId="8" fillId="0" borderId="4" xfId="0" applyNumberFormat="1" applyFont="1" applyBorder="1" applyAlignment="1">
      <alignment horizontal="right" vertical="center"/>
    </xf>
    <xf numFmtId="165" fontId="8" fillId="0" borderId="4" xfId="1" applyNumberFormat="1" applyFont="1" applyFill="1" applyBorder="1" applyAlignment="1">
      <alignment horizontal="right" vertical="center"/>
    </xf>
    <xf numFmtId="0" fontId="29" fillId="0" borderId="9" xfId="6" applyFont="1" applyBorder="1" applyAlignment="1">
      <alignment horizontal="left" vertical="center" indent="54"/>
    </xf>
    <xf numFmtId="0" fontId="17" fillId="0" borderId="0" xfId="0" applyFont="1" applyAlignment="1">
      <alignment vertical="center"/>
    </xf>
    <xf numFmtId="174" fontId="8" fillId="0" borderId="0" xfId="0" applyNumberFormat="1" applyFont="1" applyAlignment="1">
      <alignment horizontal="right" vertical="center"/>
    </xf>
    <xf numFmtId="175" fontId="8" fillId="0" borderId="0" xfId="0" applyNumberFormat="1" applyFont="1" applyAlignment="1">
      <alignment horizontal="right" vertical="center"/>
    </xf>
    <xf numFmtId="176" fontId="8" fillId="0" borderId="0" xfId="0" applyNumberFormat="1" applyFont="1" applyAlignment="1">
      <alignment horizontal="right" vertical="center"/>
    </xf>
    <xf numFmtId="0" fontId="4" fillId="0" borderId="0" xfId="0" applyFont="1" applyAlignment="1">
      <alignment horizontal="left" vertical="center"/>
    </xf>
    <xf numFmtId="170" fontId="7" fillId="0" borderId="0" xfId="0" applyNumberFormat="1" applyFont="1" applyAlignment="1">
      <alignment horizontal="right" vertical="center"/>
    </xf>
    <xf numFmtId="0" fontId="7" fillId="0" borderId="0" xfId="0" applyFont="1" applyAlignment="1">
      <alignment vertical="center" wrapText="1"/>
    </xf>
    <xf numFmtId="0" fontId="7" fillId="0" borderId="0" xfId="0" applyFont="1" applyAlignment="1">
      <alignment wrapText="1"/>
    </xf>
    <xf numFmtId="174" fontId="8" fillId="0" borderId="3" xfId="0" applyNumberFormat="1" applyFont="1" applyBorder="1" applyAlignment="1">
      <alignment horizontal="right" vertical="center"/>
    </xf>
    <xf numFmtId="174" fontId="8" fillId="0" borderId="78" xfId="0" applyNumberFormat="1" applyFont="1" applyBorder="1" applyAlignment="1">
      <alignment horizontal="right" vertical="center"/>
    </xf>
    <xf numFmtId="174" fontId="8" fillId="0" borderId="82" xfId="0" applyNumberFormat="1" applyFont="1" applyBorder="1" applyAlignment="1">
      <alignment horizontal="right" vertical="center"/>
    </xf>
    <xf numFmtId="175" fontId="8" fillId="0" borderId="46" xfId="0" applyNumberFormat="1" applyFont="1" applyBorder="1" applyAlignment="1">
      <alignment horizontal="right" vertical="center"/>
    </xf>
    <xf numFmtId="176" fontId="8" fillId="0" borderId="68" xfId="0" applyNumberFormat="1" applyFont="1" applyBorder="1" applyAlignment="1">
      <alignment horizontal="right" vertical="center"/>
    </xf>
    <xf numFmtId="172" fontId="8" fillId="0" borderId="83" xfId="0" applyNumberFormat="1" applyFont="1" applyBorder="1" applyAlignment="1">
      <alignment horizontal="right" vertical="center"/>
    </xf>
    <xf numFmtId="172" fontId="8" fillId="0" borderId="68" xfId="0" applyNumberFormat="1" applyFont="1" applyBorder="1" applyAlignment="1">
      <alignment horizontal="right" vertical="center"/>
    </xf>
    <xf numFmtId="172" fontId="8" fillId="0" borderId="84" xfId="0" applyNumberFormat="1" applyFont="1" applyBorder="1" applyAlignment="1">
      <alignment horizontal="right" vertical="center"/>
    </xf>
    <xf numFmtId="0" fontId="7" fillId="5" borderId="16" xfId="0" applyFont="1" applyFill="1" applyBorder="1" applyAlignment="1">
      <alignment horizontal="left" vertical="center" wrapText="1"/>
    </xf>
    <xf numFmtId="0" fontId="4" fillId="0" borderId="30" xfId="0" applyFont="1" applyBorder="1" applyAlignment="1">
      <alignment horizontal="left" vertical="center"/>
    </xf>
    <xf numFmtId="0" fontId="4" fillId="0" borderId="3" xfId="0" applyFont="1" applyBorder="1" applyAlignment="1">
      <alignment vertical="center"/>
    </xf>
    <xf numFmtId="175" fontId="8" fillId="0" borderId="83" xfId="0" applyNumberFormat="1" applyFont="1" applyBorder="1" applyAlignment="1">
      <alignment horizontal="right" vertical="center"/>
    </xf>
    <xf numFmtId="175" fontId="8" fillId="0" borderId="68" xfId="0" applyNumberFormat="1" applyFont="1" applyBorder="1" applyAlignment="1">
      <alignment horizontal="right" vertical="center"/>
    </xf>
    <xf numFmtId="176" fontId="8" fillId="0" borderId="83" xfId="0" applyNumberFormat="1" applyFont="1" applyBorder="1" applyAlignment="1">
      <alignment horizontal="right" vertical="center"/>
    </xf>
    <xf numFmtId="176" fontId="8" fillId="0" borderId="78" xfId="0" applyNumberFormat="1" applyFont="1" applyBorder="1" applyAlignment="1">
      <alignment horizontal="right" vertical="center"/>
    </xf>
    <xf numFmtId="176" fontId="8" fillId="0" borderId="82" xfId="0" applyNumberFormat="1" applyFont="1" applyBorder="1" applyAlignment="1">
      <alignment horizontal="right" vertical="center"/>
    </xf>
    <xf numFmtId="0" fontId="4" fillId="0" borderId="19" xfId="0" applyFont="1" applyBorder="1" applyAlignment="1">
      <alignment horizontal="left" vertical="center"/>
    </xf>
    <xf numFmtId="173" fontId="8" fillId="0" borderId="83" xfId="0" applyNumberFormat="1" applyFont="1" applyBorder="1" applyAlignment="1">
      <alignment horizontal="right" vertical="center"/>
    </xf>
    <xf numFmtId="173" fontId="8" fillId="0" borderId="68" xfId="0" applyNumberFormat="1" applyFont="1" applyBorder="1" applyAlignment="1">
      <alignment horizontal="right" vertical="center"/>
    </xf>
    <xf numFmtId="173" fontId="8" fillId="0" borderId="82" xfId="0" applyNumberFormat="1" applyFont="1" applyBorder="1" applyAlignment="1">
      <alignment horizontal="right" vertical="center"/>
    </xf>
    <xf numFmtId="0" fontId="18" fillId="0" borderId="0" xfId="0" applyFont="1" applyAlignment="1">
      <alignment horizontal="left" vertical="center"/>
    </xf>
    <xf numFmtId="0" fontId="16" fillId="0" borderId="0" xfId="0" applyFont="1"/>
    <xf numFmtId="0" fontId="4" fillId="0" borderId="0" xfId="2" applyFont="1" applyAlignment="1">
      <alignment horizontal="center" vertical="center"/>
    </xf>
    <xf numFmtId="0" fontId="16" fillId="0" borderId="7" xfId="2" applyFont="1" applyBorder="1" applyAlignment="1">
      <alignment vertical="center"/>
    </xf>
    <xf numFmtId="0" fontId="10" fillId="2" borderId="3" xfId="0" applyFont="1" applyFill="1" applyBorder="1" applyAlignment="1">
      <alignment horizontal="left"/>
    </xf>
    <xf numFmtId="0" fontId="10" fillId="2" borderId="3" xfId="0" applyFont="1" applyFill="1" applyBorder="1" applyAlignment="1">
      <alignment horizontal="left" vertical="center"/>
    </xf>
    <xf numFmtId="170" fontId="4" fillId="0" borderId="49" xfId="3" applyNumberFormat="1" applyFont="1" applyFill="1" applyBorder="1"/>
    <xf numFmtId="170" fontId="4" fillId="0" borderId="50" xfId="3" applyNumberFormat="1" applyFont="1" applyFill="1" applyBorder="1"/>
    <xf numFmtId="0" fontId="4" fillId="0" borderId="3" xfId="0" applyFont="1" applyBorder="1"/>
    <xf numFmtId="171" fontId="4" fillId="0" borderId="0" xfId="2" applyNumberFormat="1" applyFont="1" applyAlignment="1">
      <alignment horizontal="left" vertical="center"/>
    </xf>
    <xf numFmtId="0" fontId="7" fillId="5" borderId="0" xfId="0" applyFont="1" applyFill="1" applyAlignment="1">
      <alignment vertical="center" wrapText="1"/>
    </xf>
    <xf numFmtId="0" fontId="7" fillId="5" borderId="17" xfId="0" applyFont="1" applyFill="1" applyBorder="1" applyAlignment="1">
      <alignment horizontal="center" vertical="center" wrapText="1"/>
    </xf>
    <xf numFmtId="0" fontId="31" fillId="0" borderId="0" xfId="0" applyFont="1"/>
    <xf numFmtId="0" fontId="4" fillId="0" borderId="4" xfId="0" applyFont="1" applyBorder="1"/>
    <xf numFmtId="0" fontId="4" fillId="0" borderId="85" xfId="0" applyFont="1" applyBorder="1"/>
    <xf numFmtId="0" fontId="31" fillId="0" borderId="7" xfId="0" applyFont="1" applyBorder="1"/>
    <xf numFmtId="0" fontId="9" fillId="0" borderId="7" xfId="0" applyFont="1" applyBorder="1" applyAlignment="1">
      <alignment vertical="center"/>
    </xf>
    <xf numFmtId="0" fontId="9" fillId="0" borderId="7" xfId="0" applyFont="1" applyBorder="1" applyAlignment="1">
      <alignment horizontal="left" vertical="center"/>
    </xf>
    <xf numFmtId="0" fontId="9" fillId="0" borderId="7" xfId="0" applyFont="1" applyBorder="1" applyAlignment="1">
      <alignment horizontal="left" vertical="center" indent="2"/>
    </xf>
    <xf numFmtId="38" fontId="8" fillId="0" borderId="86" xfId="0" applyNumberFormat="1" applyFont="1" applyBorder="1" applyAlignment="1">
      <alignment horizontal="right" vertical="center"/>
    </xf>
    <xf numFmtId="165" fontId="4" fillId="0" borderId="87" xfId="1" applyNumberFormat="1" applyFont="1" applyFill="1" applyBorder="1" applyAlignment="1">
      <alignment horizontal="right" vertical="center"/>
    </xf>
    <xf numFmtId="38" fontId="8" fillId="0" borderId="87" xfId="0" applyNumberFormat="1" applyFont="1" applyBorder="1" applyAlignment="1">
      <alignment horizontal="right" vertical="center"/>
    </xf>
    <xf numFmtId="40" fontId="8" fillId="0" borderId="87" xfId="0" applyNumberFormat="1" applyFont="1" applyBorder="1" applyAlignment="1">
      <alignment horizontal="right" vertical="center"/>
    </xf>
    <xf numFmtId="0" fontId="4" fillId="0" borderId="9" xfId="2" applyFont="1" applyBorder="1" applyAlignment="1">
      <alignment vertical="center"/>
    </xf>
    <xf numFmtId="40" fontId="8" fillId="0" borderId="88" xfId="0" applyNumberFormat="1" applyFont="1" applyBorder="1"/>
    <xf numFmtId="40" fontId="8" fillId="0" borderId="88" xfId="0" applyNumberFormat="1" applyFont="1" applyBorder="1" applyAlignment="1">
      <alignment horizontal="right" vertical="center"/>
    </xf>
    <xf numFmtId="40" fontId="8" fillId="0" borderId="89" xfId="0" applyNumberFormat="1" applyFont="1" applyBorder="1" applyAlignment="1">
      <alignment horizontal="right" vertical="center"/>
    </xf>
    <xf numFmtId="38" fontId="8" fillId="0" borderId="88" xfId="0" applyNumberFormat="1" applyFont="1" applyBorder="1"/>
    <xf numFmtId="38" fontId="8" fillId="0" borderId="88" xfId="0" applyNumberFormat="1" applyFont="1" applyBorder="1" applyAlignment="1">
      <alignment horizontal="right" vertical="center"/>
    </xf>
    <xf numFmtId="38" fontId="8" fillId="0" borderId="85" xfId="0" applyNumberFormat="1" applyFont="1" applyBorder="1" applyAlignment="1">
      <alignment horizontal="right" vertical="center"/>
    </xf>
    <xf numFmtId="0" fontId="4" fillId="0" borderId="9" xfId="2" applyFont="1" applyBorder="1" applyAlignment="1">
      <alignment horizontal="left" vertical="center"/>
    </xf>
    <xf numFmtId="171" fontId="4" fillId="0" borderId="9" xfId="2" applyNumberFormat="1" applyFont="1" applyBorder="1" applyAlignment="1">
      <alignment horizontal="left" vertical="center"/>
    </xf>
    <xf numFmtId="0" fontId="4" fillId="0" borderId="88" xfId="0" applyFont="1" applyBorder="1"/>
    <xf numFmtId="0" fontId="4" fillId="0" borderId="9" xfId="0" applyFont="1" applyBorder="1" applyAlignment="1">
      <alignment vertical="center"/>
    </xf>
    <xf numFmtId="165" fontId="8" fillId="0" borderId="88" xfId="1" applyNumberFormat="1" applyFont="1" applyFill="1" applyBorder="1"/>
    <xf numFmtId="165" fontId="8" fillId="0" borderId="88" xfId="1" applyNumberFormat="1" applyFont="1" applyFill="1" applyBorder="1" applyAlignment="1">
      <alignment horizontal="right" vertical="center"/>
    </xf>
    <xf numFmtId="165" fontId="8" fillId="0" borderId="85" xfId="1" applyNumberFormat="1" applyFont="1" applyFill="1" applyBorder="1" applyAlignment="1">
      <alignment horizontal="right" vertical="center"/>
    </xf>
    <xf numFmtId="0" fontId="16" fillId="0" borderId="0" xfId="2" applyFont="1" applyAlignment="1">
      <alignment vertical="center"/>
    </xf>
    <xf numFmtId="0" fontId="4" fillId="0" borderId="49" xfId="0" applyFont="1" applyBorder="1" applyAlignment="1">
      <alignment horizontal="left"/>
    </xf>
    <xf numFmtId="0" fontId="4" fillId="0" borderId="50" xfId="0" applyFont="1" applyBorder="1" applyAlignment="1">
      <alignment horizontal="left"/>
    </xf>
    <xf numFmtId="0" fontId="4" fillId="0" borderId="62" xfId="0" applyFont="1" applyBorder="1" applyAlignment="1">
      <alignment horizontal="left"/>
    </xf>
    <xf numFmtId="0" fontId="4" fillId="0" borderId="63" xfId="0" applyFont="1" applyBorder="1" applyAlignment="1">
      <alignment horizontal="left"/>
    </xf>
    <xf numFmtId="0" fontId="4" fillId="0" borderId="64" xfId="0" applyFont="1" applyBorder="1" applyAlignment="1">
      <alignment horizontal="left"/>
    </xf>
    <xf numFmtId="171" fontId="4" fillId="0" borderId="78" xfId="2" applyNumberFormat="1" applyFont="1" applyBorder="1" applyAlignment="1">
      <alignment horizontal="center" vertical="center"/>
    </xf>
    <xf numFmtId="0" fontId="16" fillId="0" borderId="3" xfId="0" applyFont="1" applyBorder="1"/>
    <xf numFmtId="0" fontId="33" fillId="0" borderId="0" xfId="0" applyFont="1" applyAlignment="1">
      <alignment vertical="top"/>
    </xf>
    <xf numFmtId="0" fontId="0" fillId="0" borderId="0" xfId="0" applyAlignment="1">
      <alignment vertical="top"/>
    </xf>
    <xf numFmtId="0" fontId="35" fillId="0" borderId="0" xfId="0" applyFont="1" applyAlignment="1">
      <alignment vertical="top"/>
    </xf>
    <xf numFmtId="177" fontId="25" fillId="8" borderId="0" xfId="0" applyNumberFormat="1" applyFont="1" applyFill="1" applyAlignment="1">
      <alignment vertical="top"/>
    </xf>
    <xf numFmtId="49" fontId="32" fillId="9" borderId="0" xfId="0" applyNumberFormat="1" applyFont="1" applyFill="1" applyAlignment="1">
      <alignment vertical="top"/>
    </xf>
    <xf numFmtId="0" fontId="36" fillId="10" borderId="0" xfId="0" applyFont="1" applyFill="1" applyAlignment="1">
      <alignment vertical="top" wrapText="1"/>
    </xf>
    <xf numFmtId="49" fontId="36" fillId="10" borderId="0" xfId="0" applyNumberFormat="1" applyFont="1" applyFill="1" applyAlignment="1">
      <alignment vertical="top" wrapText="1"/>
    </xf>
    <xf numFmtId="2" fontId="25" fillId="8" borderId="0" xfId="0" applyNumberFormat="1" applyFont="1" applyFill="1" applyAlignment="1">
      <alignment vertical="top"/>
    </xf>
    <xf numFmtId="3" fontId="25" fillId="8" borderId="0" xfId="0" applyNumberFormat="1" applyFont="1" applyFill="1" applyAlignment="1">
      <alignment vertical="top"/>
    </xf>
    <xf numFmtId="178" fontId="25" fillId="8" borderId="0" xfId="0" applyNumberFormat="1" applyFont="1" applyFill="1" applyAlignment="1">
      <alignment vertical="top"/>
    </xf>
    <xf numFmtId="0" fontId="32" fillId="9" borderId="0" xfId="0" applyFont="1" applyFill="1" applyAlignment="1">
      <alignment vertical="top"/>
    </xf>
    <xf numFmtId="0" fontId="0" fillId="0" borderId="0" xfId="0" applyAlignment="1">
      <alignment vertical="top" wrapText="1"/>
    </xf>
    <xf numFmtId="3" fontId="0" fillId="0" borderId="0" xfId="0" applyNumberFormat="1" applyAlignment="1">
      <alignment vertical="top"/>
    </xf>
    <xf numFmtId="165" fontId="25" fillId="8" borderId="0" xfId="0" applyNumberFormat="1" applyFont="1" applyFill="1" applyAlignment="1">
      <alignment vertical="top"/>
    </xf>
    <xf numFmtId="179" fontId="25" fillId="8" borderId="0" xfId="0" applyNumberFormat="1" applyFont="1" applyFill="1" applyAlignment="1">
      <alignment vertical="top"/>
    </xf>
    <xf numFmtId="0" fontId="25" fillId="8" borderId="0" xfId="0" applyFont="1" applyFill="1" applyAlignment="1">
      <alignment vertical="top"/>
    </xf>
    <xf numFmtId="179" fontId="32" fillId="0" borderId="0" xfId="0" applyNumberFormat="1" applyFont="1" applyAlignment="1">
      <alignment vertical="top"/>
    </xf>
    <xf numFmtId="179" fontId="0" fillId="0" borderId="0" xfId="0" applyNumberFormat="1" applyAlignment="1">
      <alignment vertical="top"/>
    </xf>
    <xf numFmtId="165" fontId="0" fillId="0" borderId="0" xfId="0" applyNumberFormat="1" applyAlignment="1">
      <alignment vertical="top"/>
    </xf>
    <xf numFmtId="2" fontId="0" fillId="0" borderId="0" xfId="0" applyNumberFormat="1" applyAlignment="1">
      <alignment vertical="top"/>
    </xf>
    <xf numFmtId="0" fontId="32" fillId="0" borderId="0" xfId="0" applyFont="1" applyAlignment="1">
      <alignment vertical="top"/>
    </xf>
    <xf numFmtId="165" fontId="32" fillId="0" borderId="0" xfId="0" applyNumberFormat="1" applyFont="1" applyAlignment="1">
      <alignment vertical="top"/>
    </xf>
    <xf numFmtId="1" fontId="0" fillId="0" borderId="0" xfId="0" applyNumberFormat="1" applyAlignment="1">
      <alignment vertical="top"/>
    </xf>
    <xf numFmtId="180" fontId="25" fillId="8" borderId="0" xfId="0" applyNumberFormat="1" applyFont="1" applyFill="1" applyAlignment="1">
      <alignment vertical="top"/>
    </xf>
    <xf numFmtId="2" fontId="32" fillId="0" borderId="0" xfId="0" applyNumberFormat="1" applyFont="1" applyAlignment="1">
      <alignment vertical="top"/>
    </xf>
    <xf numFmtId="0" fontId="32" fillId="0" borderId="0" xfId="0" applyFont="1" applyAlignment="1">
      <alignment vertical="top" wrapText="1"/>
    </xf>
    <xf numFmtId="0" fontId="20" fillId="0" borderId="0" xfId="0" applyFont="1" applyAlignment="1">
      <alignment horizontal="center" vertical="center"/>
    </xf>
    <xf numFmtId="0" fontId="17" fillId="0" borderId="0" xfId="0" applyFont="1" applyAlignment="1">
      <alignment horizontal="left" vertical="center"/>
    </xf>
    <xf numFmtId="0" fontId="10" fillId="2" borderId="30"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46" xfId="0" applyFont="1" applyFill="1" applyBorder="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top" wrapText="1"/>
    </xf>
    <xf numFmtId="0" fontId="8" fillId="0" borderId="0" xfId="0" applyFont="1" applyAlignment="1">
      <alignment horizontal="left" vertical="top" wrapText="1"/>
    </xf>
    <xf numFmtId="0" fontId="18" fillId="0" borderId="10" xfId="0" applyFont="1" applyBorder="1" applyAlignment="1">
      <alignment horizontal="left" vertical="center"/>
    </xf>
    <xf numFmtId="0" fontId="18" fillId="0" borderId="4" xfId="0" applyFont="1" applyBorder="1" applyAlignment="1">
      <alignment horizontal="left" vertical="center"/>
    </xf>
    <xf numFmtId="0" fontId="7" fillId="5" borderId="18" xfId="0" applyFont="1" applyFill="1" applyBorder="1" applyAlignment="1">
      <alignment horizontal="right" vertical="center" wrapText="1"/>
    </xf>
    <xf numFmtId="0" fontId="7" fillId="5" borderId="29" xfId="0" applyFont="1" applyFill="1" applyBorder="1" applyAlignment="1">
      <alignment horizontal="right" vertical="center" wrapText="1"/>
    </xf>
    <xf numFmtId="0" fontId="7" fillId="5" borderId="11" xfId="0" applyFont="1" applyFill="1" applyBorder="1" applyAlignment="1">
      <alignment horizontal="right" vertical="center" wrapText="1"/>
    </xf>
    <xf numFmtId="0" fontId="24" fillId="5" borderId="29" xfId="0" applyFont="1" applyFill="1" applyBorder="1" applyAlignment="1">
      <alignment horizontal="center" wrapText="1"/>
    </xf>
    <xf numFmtId="0" fontId="24" fillId="5" borderId="0" xfId="0" applyFont="1" applyFill="1" applyAlignment="1">
      <alignment horizontal="center" wrapText="1"/>
    </xf>
    <xf numFmtId="0" fontId="18" fillId="0" borderId="30" xfId="0" applyFont="1" applyBorder="1" applyAlignment="1">
      <alignment horizontal="left" vertical="center"/>
    </xf>
    <xf numFmtId="0" fontId="18" fillId="0" borderId="46" xfId="0" applyFont="1" applyBorder="1" applyAlignment="1">
      <alignment horizontal="left" vertical="center"/>
    </xf>
    <xf numFmtId="171" fontId="25" fillId="2" borderId="30" xfId="0" applyNumberFormat="1" applyFont="1" applyFill="1" applyBorder="1" applyAlignment="1">
      <alignment horizontal="center" vertical="center" wrapText="1"/>
    </xf>
    <xf numFmtId="171" fontId="25" fillId="2" borderId="19" xfId="0" applyNumberFormat="1" applyFont="1" applyFill="1" applyBorder="1" applyAlignment="1">
      <alignment horizontal="center" vertical="center" wrapText="1"/>
    </xf>
    <xf numFmtId="171" fontId="25" fillId="2" borderId="46" xfId="0" applyNumberFormat="1" applyFont="1" applyFill="1" applyBorder="1" applyAlignment="1">
      <alignment horizontal="center" vertical="center" wrapText="1"/>
    </xf>
    <xf numFmtId="0" fontId="24" fillId="5" borderId="13" xfId="0" applyFont="1" applyFill="1" applyBorder="1" applyAlignment="1">
      <alignment horizontal="center" wrapText="1"/>
    </xf>
    <xf numFmtId="0" fontId="24" fillId="5" borderId="74" xfId="0" applyFont="1" applyFill="1" applyBorder="1" applyAlignment="1">
      <alignment horizontal="center" wrapText="1"/>
    </xf>
    <xf numFmtId="0" fontId="7" fillId="5" borderId="31" xfId="0" applyFont="1" applyFill="1" applyBorder="1" applyAlignment="1">
      <alignment horizontal="center" vertical="center" wrapText="1"/>
    </xf>
    <xf numFmtId="0" fontId="7" fillId="5" borderId="32" xfId="0" applyFont="1" applyFill="1" applyBorder="1" applyAlignment="1">
      <alignment horizontal="center" vertical="center" wrapText="1"/>
    </xf>
    <xf numFmtId="171" fontId="25" fillId="2" borderId="6" xfId="0" applyNumberFormat="1" applyFont="1" applyFill="1" applyBorder="1" applyAlignment="1">
      <alignment horizontal="center" vertical="center" wrapText="1"/>
    </xf>
    <xf numFmtId="171" fontId="25" fillId="2" borderId="7" xfId="0" applyNumberFormat="1" applyFont="1" applyFill="1" applyBorder="1" applyAlignment="1">
      <alignment horizontal="center" vertical="center" wrapText="1"/>
    </xf>
    <xf numFmtId="171" fontId="25" fillId="2" borderId="8" xfId="0" applyNumberFormat="1" applyFont="1" applyFill="1" applyBorder="1" applyAlignment="1">
      <alignment horizontal="center" vertical="center" wrapText="1"/>
    </xf>
    <xf numFmtId="0" fontId="7" fillId="5" borderId="17" xfId="0" applyFont="1" applyFill="1" applyBorder="1" applyAlignment="1">
      <alignment horizontal="right" vertical="center" wrapText="1"/>
    </xf>
    <xf numFmtId="0" fontId="24" fillId="5" borderId="69" xfId="0" applyFont="1" applyFill="1" applyBorder="1" applyAlignment="1">
      <alignment horizontal="center" wrapText="1"/>
    </xf>
    <xf numFmtId="0" fontId="24" fillId="5" borderId="70" xfId="0" applyFont="1" applyFill="1" applyBorder="1" applyAlignment="1">
      <alignment horizontal="center" wrapText="1"/>
    </xf>
    <xf numFmtId="0" fontId="24" fillId="5" borderId="71" xfId="0" applyFont="1" applyFill="1" applyBorder="1" applyAlignment="1">
      <alignment horizontal="center" wrapText="1"/>
    </xf>
    <xf numFmtId="0" fontId="24" fillId="5" borderId="65" xfId="0" applyFont="1" applyFill="1" applyBorder="1" applyAlignment="1">
      <alignment horizontal="center" wrapText="1"/>
    </xf>
    <xf numFmtId="0" fontId="24" fillId="5" borderId="66" xfId="0" applyFont="1" applyFill="1" applyBorder="1" applyAlignment="1">
      <alignment horizontal="center" wrapText="1"/>
    </xf>
    <xf numFmtId="0" fontId="24" fillId="5" borderId="67" xfId="0" applyFont="1" applyFill="1" applyBorder="1" applyAlignment="1">
      <alignment horizontal="center" wrapText="1"/>
    </xf>
    <xf numFmtId="0" fontId="0" fillId="0" borderId="0" xfId="0" applyAlignment="1">
      <alignment vertical="top" wrapText="1"/>
    </xf>
    <xf numFmtId="0" fontId="34" fillId="0" borderId="0" xfId="0" applyFont="1" applyAlignment="1">
      <alignment vertical="top" wrapText="1"/>
    </xf>
    <xf numFmtId="0" fontId="36" fillId="10" borderId="0" xfId="0" applyFont="1" applyFill="1" applyAlignment="1">
      <alignment vertical="top" wrapText="1"/>
    </xf>
  </cellXfs>
  <cellStyles count="7">
    <cellStyle name="Hipervínculo" xfId="4" builtinId="8"/>
    <cellStyle name="Millares" xfId="3" builtinId="3"/>
    <cellStyle name="Normal" xfId="0" builtinId="0" customBuiltin="1"/>
    <cellStyle name="Normal 2" xfId="2" xr:uid="{00000000-0005-0000-0000-000006000000}"/>
    <cellStyle name="Normal 3" xfId="6" xr:uid="{1B98A66D-282C-4E11-AAAA-22CA39843D94}"/>
    <cellStyle name="Normal 4" xfId="5" xr:uid="{FA6D26C4-3E23-425C-9E1C-D1D5ECC260BC}"/>
    <cellStyle name="Porcentaje" xfId="1" builtinId="5"/>
  </cellStyles>
  <dxfs count="15">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numFmt numFmtId="181" formatCode="[&gt;0]0.00&quot;%&quot;;[&lt;0]\(0.00&quot;%&quot;\);\-;\-"/>
    </dxf>
    <dxf>
      <font>
        <color rgb="FF0000CC"/>
      </font>
      <fill>
        <patternFill>
          <bgColor rgb="FFFFFFCC"/>
        </patternFill>
      </fill>
      <border>
        <left style="thin">
          <color rgb="FF525252"/>
        </left>
        <right style="thin">
          <color rgb="FF525252"/>
        </right>
        <top style="thin">
          <color rgb="FF525252"/>
        </top>
        <bottom style="thin">
          <color rgb="FF525252"/>
        </bottom>
      </border>
    </dxf>
    <dxf>
      <font>
        <color theme="0"/>
      </font>
      <fill>
        <patternFill patternType="none">
          <bgColor auto="1"/>
        </patternFill>
      </fill>
    </dxf>
    <dxf>
      <font>
        <color theme="0"/>
      </font>
    </dxf>
  </dxfs>
  <tableStyles count="0" defaultTableStyle="TableStyleMedium2" defaultPivotStyle="PivotStyleLight16"/>
  <colors>
    <mruColors>
      <color rgb="FF72ADCD"/>
      <color rgb="FFFFAC17"/>
      <color rgb="FF525252"/>
      <color rgb="FF005E92"/>
      <color rgb="FFD17925"/>
      <color rgb="FFFFFFCC"/>
      <color rgb="FF0000CC"/>
      <color rgb="FFF36C35"/>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12531468385712"/>
          <c:y val="6.5069506063294882E-2"/>
          <c:w val="0.82912625849117194"/>
          <c:h val="0.8411023156266958"/>
        </c:manualLayout>
      </c:layout>
      <c:barChart>
        <c:barDir val="col"/>
        <c:grouping val="clustered"/>
        <c:varyColors val="0"/>
        <c:ser>
          <c:idx val="0"/>
          <c:order val="0"/>
          <c:tx>
            <c:strRef>
              <c:f>TearSheet!$AB$3</c:f>
              <c:strCache>
                <c:ptCount val="1"/>
                <c:pt idx="0">
                  <c:v>Total revenue</c:v>
                </c:pt>
              </c:strCache>
            </c:strRef>
          </c:tx>
          <c:spPr>
            <a:solidFill>
              <a:srgbClr val="72ADCD">
                <a:alpha val="99000"/>
              </a:srgbClr>
            </a:solidFill>
            <a:ln>
              <a:noFill/>
            </a:ln>
            <a:effectLst/>
          </c:spPr>
          <c:invertIfNegative val="0"/>
          <c:cat>
            <c:strRef>
              <c:f>TearSheet!$AC$2:$AI$2</c:f>
              <c:strCache>
                <c:ptCount val="7"/>
                <c:pt idx="0">
                  <c:v>FY2023 (A)</c:v>
                </c:pt>
                <c:pt idx="1">
                  <c:v>FY2024 (A)</c:v>
                </c:pt>
                <c:pt idx="2">
                  <c:v>FY2025 (A)</c:v>
                </c:pt>
                <c:pt idx="3">
                  <c:v>FY2026 (E)</c:v>
                </c:pt>
                <c:pt idx="4">
                  <c:v>FY2027 (E)</c:v>
                </c:pt>
                <c:pt idx="5">
                  <c:v>FY2028 (E)</c:v>
                </c:pt>
                <c:pt idx="6">
                  <c:v>FY2029 (E)</c:v>
                </c:pt>
              </c:strCache>
            </c:strRef>
          </c:cat>
          <c:val>
            <c:numRef>
              <c:f>[0]!Data</c:f>
              <c:numCache>
                <c:formatCode>_(* #,##0.0_);_(* \(#,##0.0\);_(* "-"??_);_(@_)</c:formatCode>
                <c:ptCount val="7"/>
                <c:pt idx="0">
                  <c:v>21639.645002435198</c:v>
                </c:pt>
                <c:pt idx="1">
                  <c:v>22097.245521943831</c:v>
                </c:pt>
                <c:pt idx="2">
                  <c:v>23105.30872882732</c:v>
                </c:pt>
                <c:pt idx="3">
                  <c:v>23068.061042264195</c:v>
                </c:pt>
                <c:pt idx="4">
                  <c:v>24096.97494453163</c:v>
                </c:pt>
                <c:pt idx="5">
                  <c:v>25349.364143081337</c:v>
                </c:pt>
                <c:pt idx="6">
                  <c:v>25814.05920233779</c:v>
                </c:pt>
              </c:numCache>
            </c:numRef>
          </c:val>
          <c:extLst>
            <c:ext xmlns:c16="http://schemas.microsoft.com/office/drawing/2014/chart" uri="{C3380CC4-5D6E-409C-BE32-E72D297353CC}">
              <c16:uniqueId val="{00000000-3DE8-4029-B93C-B047959F559F}"/>
            </c:ext>
          </c:extLst>
        </c:ser>
        <c:dLbls>
          <c:showLegendKey val="0"/>
          <c:showVal val="0"/>
          <c:showCatName val="0"/>
          <c:showSerName val="0"/>
          <c:showPercent val="0"/>
          <c:showBubbleSize val="0"/>
        </c:dLbls>
        <c:gapWidth val="100"/>
        <c:axId val="1645829320"/>
        <c:axId val="1645829680"/>
      </c:barChart>
      <c:catAx>
        <c:axId val="1645829320"/>
        <c:scaling>
          <c:orientation val="minMax"/>
        </c:scaling>
        <c:delete val="0"/>
        <c:axPos val="b"/>
        <c:numFmt formatCode="#,##0.00" sourceLinked="0"/>
        <c:majorTickMark val="none"/>
        <c:minorTickMark val="none"/>
        <c:tickLblPos val="nextTo"/>
        <c:spPr>
          <a:noFill/>
          <a:ln w="0" cap="flat" cmpd="sng" algn="ctr">
            <a:solidFill>
              <a:srgbClr val="C0C0C0"/>
            </a:solidFill>
            <a:round/>
          </a:ln>
          <a:effectLst/>
        </c:spPr>
        <c:txPr>
          <a:bodyPr rot="-60000000" spcFirstLastPara="1" vertOverflow="ellipsis" vert="horz" wrap="square" anchor="ctr" anchorCtr="1"/>
          <a:lstStyle/>
          <a:p>
            <a:pPr>
              <a:defRPr sz="8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45829680"/>
        <c:crosses val="autoZero"/>
        <c:auto val="1"/>
        <c:lblAlgn val="ctr"/>
        <c:lblOffset val="20"/>
        <c:tickMarkSkip val="1"/>
        <c:noMultiLvlLbl val="0"/>
      </c:catAx>
      <c:valAx>
        <c:axId val="1645829680"/>
        <c:scaling>
          <c:orientation val="minMax"/>
        </c:scaling>
        <c:delete val="0"/>
        <c:axPos val="l"/>
        <c:majorGridlines>
          <c:spPr>
            <a:ln w="0" cap="flat" cmpd="sng" algn="ctr">
              <a:solidFill>
                <a:srgbClr val="C0C0C0"/>
              </a:solidFill>
              <a:round/>
            </a:ln>
            <a:effectLst/>
          </c:spPr>
        </c:majorGridlines>
        <c:title>
          <c:tx>
            <c:strRef>
              <c:f>TearSheet!$AA$4</c:f>
              <c:strCache>
                <c:ptCount val="1"/>
                <c:pt idx="0">
                  <c:v>(in USD, M)</c:v>
                </c:pt>
              </c:strCache>
            </c:strRef>
          </c:tx>
          <c:overlay val="0"/>
          <c:spPr>
            <a:noFill/>
            <a:ln>
              <a:noFill/>
            </a:ln>
            <a:effectLst/>
          </c:spPr>
          <c:txPr>
            <a:bodyPr rot="-5400000" spcFirstLastPara="1" vertOverflow="ellipsis" vert="horz" wrap="square" anchor="ctr" anchorCtr="1"/>
            <a:lstStyle/>
            <a:p>
              <a:pPr>
                <a:defRPr sz="800" b="0" i="0" u="none" strike="noStrike"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0_);_(* \(#,##0.0\);_(* &quot;-&quot;??_);_(@_)" sourceLinked="1"/>
        <c:majorTickMark val="none"/>
        <c:minorTickMark val="none"/>
        <c:tickLblPos val="nextTo"/>
        <c:spPr>
          <a:noFill/>
          <a:ln>
            <a:solidFill>
              <a:srgbClr val="C0C0C0"/>
            </a:solidFill>
          </a:ln>
          <a:effectLst/>
        </c:spPr>
        <c:txPr>
          <a:bodyPr rot="-60000000" spcFirstLastPara="1" vertOverflow="ellipsis" vert="horz" wrap="square" anchor="ctr" anchorCtr="1"/>
          <a:lstStyle/>
          <a:p>
            <a:pPr>
              <a:defRPr sz="8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4582932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TearSheet!$AB$27</c:f>
              <c:strCache>
                <c:ptCount val="1"/>
                <c:pt idx="0">
                  <c:v>Gross margin</c:v>
                </c:pt>
              </c:strCache>
            </c:strRef>
          </c:tx>
          <c:spPr>
            <a:ln w="28575" cap="rnd">
              <a:solidFill>
                <a:srgbClr val="72ADCD"/>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TearSheet!$AC$27:$AI$27</c:f>
              <c:numCache>
                <c:formatCode>_(* #,##0.00_);_(* \(#,##0.00\);_(* "-"??_);_(@_)</c:formatCode>
                <c:ptCount val="7"/>
                <c:pt idx="0">
                  <c:v>0.51555470529835268</c:v>
                </c:pt>
                <c:pt idx="1">
                  <c:v>0.52635213733821495</c:v>
                </c:pt>
                <c:pt idx="2">
                  <c:v>0.52520171537112115</c:v>
                </c:pt>
                <c:pt idx="3">
                  <c:v>0.52300000000000002</c:v>
                </c:pt>
                <c:pt idx="4">
                  <c:v>0.52</c:v>
                </c:pt>
                <c:pt idx="5">
                  <c:v>0.52049999999999996</c:v>
                </c:pt>
                <c:pt idx="6">
                  <c:v>0.52100000000000002</c:v>
                </c:pt>
              </c:numCache>
            </c:numRef>
          </c:val>
          <c:smooth val="0"/>
          <c:extLst>
            <c:ext xmlns:c16="http://schemas.microsoft.com/office/drawing/2014/chart" uri="{C3380CC4-5D6E-409C-BE32-E72D297353CC}">
              <c16:uniqueId val="{00000000-CF91-4DDF-8228-738AD01E3CD7}"/>
            </c:ext>
          </c:extLst>
        </c:ser>
        <c:ser>
          <c:idx val="1"/>
          <c:order val="1"/>
          <c:tx>
            <c:strRef>
              <c:f>TearSheet!$AB$28</c:f>
              <c:strCache>
                <c:ptCount val="1"/>
                <c:pt idx="0">
                  <c:v>SG&amp;A / Sales</c:v>
                </c:pt>
              </c:strCache>
            </c:strRef>
          </c:tx>
          <c:spPr>
            <a:ln w="28575" cap="rnd">
              <a:solidFill>
                <a:schemeClr val="accent2"/>
              </a:solidFill>
              <a:round/>
            </a:ln>
            <a:effectLst/>
          </c:spPr>
          <c:marker>
            <c:symbol val="none"/>
          </c:marker>
          <c:dPt>
            <c:idx val="5"/>
            <c:marker>
              <c:symbol val="none"/>
            </c:marker>
            <c:bubble3D val="0"/>
            <c:spPr>
              <a:ln w="28575" cap="rnd">
                <a:solidFill>
                  <a:srgbClr val="D17925"/>
                </a:solidFill>
                <a:round/>
              </a:ln>
              <a:effectLst/>
            </c:spPr>
            <c:extLst>
              <c:ext xmlns:c16="http://schemas.microsoft.com/office/drawing/2014/chart" uri="{C3380CC4-5D6E-409C-BE32-E72D297353CC}">
                <c16:uniqueId val="{00000000-31A8-43C8-BE63-745EB2E9EE66}"/>
              </c:ext>
            </c:extLst>
          </c:dPt>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TearSheet!$AC$28:$AI$28</c:f>
              <c:numCache>
                <c:formatCode>_(* #,##0.00_);_(* \(#,##0.00\);_(* "-"??_);_(@_)</c:formatCode>
                <c:ptCount val="7"/>
                <c:pt idx="0">
                  <c:v>0.41449538485391829</c:v>
                </c:pt>
                <c:pt idx="1">
                  <c:v>0.4289713103211823</c:v>
                </c:pt>
                <c:pt idx="2">
                  <c:v>0.43138632621562051</c:v>
                </c:pt>
                <c:pt idx="3">
                  <c:v>0.41583983285895215</c:v>
                </c:pt>
                <c:pt idx="4">
                  <c:v>0.4265509063796914</c:v>
                </c:pt>
                <c:pt idx="5">
                  <c:v>0.42061700028755583</c:v>
                </c:pt>
                <c:pt idx="6">
                  <c:v>0.45420088969388994</c:v>
                </c:pt>
              </c:numCache>
            </c:numRef>
          </c:val>
          <c:smooth val="0"/>
          <c:extLst>
            <c:ext xmlns:c16="http://schemas.microsoft.com/office/drawing/2014/chart" uri="{C3380CC4-5D6E-409C-BE32-E72D297353CC}">
              <c16:uniqueId val="{00000001-CF91-4DDF-8228-738AD01E3CD7}"/>
            </c:ext>
          </c:extLst>
        </c:ser>
        <c:ser>
          <c:idx val="2"/>
          <c:order val="2"/>
          <c:tx>
            <c:strRef>
              <c:f>TearSheet!$AB$29</c:f>
              <c:strCache>
                <c:ptCount val="1"/>
                <c:pt idx="0">
                  <c:v>Operating margin</c:v>
                </c:pt>
              </c:strCache>
            </c:strRef>
          </c:tx>
          <c:spPr>
            <a:ln w="28575" cap="rnd">
              <a:solidFill>
                <a:srgbClr val="525252"/>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TearSheet!$AC$29:$AI$29</c:f>
              <c:numCache>
                <c:formatCode>_(* #,##0.00_);_(* \(#,##0.00\);_(* "-"??_);_(@_)</c:formatCode>
                <c:ptCount val="7"/>
                <c:pt idx="0">
                  <c:v>8.866432095708951E-2</c:v>
                </c:pt>
                <c:pt idx="1">
                  <c:v>8.118089313921166E-2</c:v>
                </c:pt>
                <c:pt idx="2">
                  <c:v>7.9974142958523342E-2</c:v>
                </c:pt>
                <c:pt idx="3">
                  <c:v>8.7844763013146213E-2</c:v>
                </c:pt>
                <c:pt idx="4">
                  <c:v>8.7087458004707075E-2</c:v>
                </c:pt>
                <c:pt idx="5">
                  <c:v>8.9503062244612824E-2</c:v>
                </c:pt>
                <c:pt idx="6">
                  <c:v>8.3900397888549277E-2</c:v>
                </c:pt>
              </c:numCache>
            </c:numRef>
          </c:val>
          <c:smooth val="0"/>
          <c:extLst>
            <c:ext xmlns:c16="http://schemas.microsoft.com/office/drawing/2014/chart" uri="{C3380CC4-5D6E-409C-BE32-E72D297353CC}">
              <c16:uniqueId val="{00000002-CF91-4DDF-8228-738AD01E3CD7}"/>
            </c:ext>
          </c:extLst>
        </c:ser>
        <c:ser>
          <c:idx val="3"/>
          <c:order val="3"/>
          <c:tx>
            <c:strRef>
              <c:f>TearSheet!$AB$30</c:f>
              <c:strCache>
                <c:ptCount val="1"/>
                <c:pt idx="0">
                  <c:v>EBITDA margin</c:v>
                </c:pt>
              </c:strCache>
            </c:strRef>
          </c:tx>
          <c:spPr>
            <a:ln w="28575" cap="rnd">
              <a:solidFill>
                <a:srgbClr val="FFAC17"/>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TearSheet!$AC$30:$AI$30</c:f>
              <c:numCache>
                <c:formatCode>_(* #,##0.00_);_(* \(#,##0.00\);_(* "-"??_);_(@_)</c:formatCode>
                <c:ptCount val="7"/>
                <c:pt idx="0">
                  <c:v>0.1373965624601442</c:v>
                </c:pt>
                <c:pt idx="1">
                  <c:v>0.13585169040126366</c:v>
                </c:pt>
                <c:pt idx="2">
                  <c:v>0.1392532842424285</c:v>
                </c:pt>
                <c:pt idx="3">
                  <c:v>0.14572058815594732</c:v>
                </c:pt>
                <c:pt idx="4">
                  <c:v>0.14572815795619914</c:v>
                </c:pt>
                <c:pt idx="5">
                  <c:v>0.14729813938405859</c:v>
                </c:pt>
                <c:pt idx="6">
                  <c:v>0.14814430482707153</c:v>
                </c:pt>
              </c:numCache>
            </c:numRef>
          </c:val>
          <c:smooth val="0"/>
          <c:extLst>
            <c:ext xmlns:c16="http://schemas.microsoft.com/office/drawing/2014/chart" uri="{C3380CC4-5D6E-409C-BE32-E72D297353CC}">
              <c16:uniqueId val="{00000003-CF91-4DDF-8228-738AD01E3CD7}"/>
            </c:ext>
          </c:extLst>
        </c:ser>
        <c:ser>
          <c:idx val="4"/>
          <c:order val="4"/>
          <c:tx>
            <c:strRef>
              <c:f>TearSheet!$AB$31</c:f>
              <c:strCache>
                <c:ptCount val="1"/>
                <c:pt idx="0">
                  <c:v>Net margin</c:v>
                </c:pt>
              </c:strCache>
            </c:strRef>
          </c:tx>
          <c:spPr>
            <a:ln w="28575" cap="rnd">
              <a:solidFill>
                <a:srgbClr val="005E92"/>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TearSheet!$AC$31:$AI$31</c:f>
              <c:numCache>
                <c:formatCode>_(* #,##0.00_);_(* \(#,##0.00\);_(* "-"??_);_(@_)</c:formatCode>
                <c:ptCount val="7"/>
                <c:pt idx="0">
                  <c:v>3.8704208022926935E-2</c:v>
                </c:pt>
                <c:pt idx="1">
                  <c:v>3.0719874612756673E-2</c:v>
                </c:pt>
                <c:pt idx="2">
                  <c:v>2.607485894562292E-2</c:v>
                </c:pt>
                <c:pt idx="3">
                  <c:v>3.2110749242214E-2</c:v>
                </c:pt>
                <c:pt idx="4">
                  <c:v>3.371076696430176E-2</c:v>
                </c:pt>
                <c:pt idx="5">
                  <c:v>3.7083377719104353E-2</c:v>
                </c:pt>
                <c:pt idx="6">
                  <c:v>3.508253357315657E-2</c:v>
                </c:pt>
              </c:numCache>
            </c:numRef>
          </c:val>
          <c:smooth val="0"/>
          <c:extLst>
            <c:ext xmlns:c16="http://schemas.microsoft.com/office/drawing/2014/chart" uri="{C3380CC4-5D6E-409C-BE32-E72D297353CC}">
              <c16:uniqueId val="{00000004-CF91-4DDF-8228-738AD01E3CD7}"/>
            </c:ext>
          </c:extLst>
        </c:ser>
        <c:dLbls>
          <c:showLegendKey val="0"/>
          <c:showVal val="0"/>
          <c:showCatName val="0"/>
          <c:showSerName val="0"/>
          <c:showPercent val="0"/>
          <c:showBubbleSize val="0"/>
        </c:dLbls>
        <c:smooth val="0"/>
        <c:axId val="413563648"/>
        <c:axId val="413560768"/>
      </c:lineChart>
      <c:catAx>
        <c:axId val="4135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3560768"/>
        <c:crosses val="autoZero"/>
        <c:auto val="1"/>
        <c:lblAlgn val="ctr"/>
        <c:lblOffset val="100"/>
        <c:noMultiLvlLbl val="0"/>
      </c:catAx>
      <c:valAx>
        <c:axId val="413560768"/>
        <c:scaling>
          <c:orientation val="minMax"/>
        </c:scaling>
        <c:delete val="0"/>
        <c:axPos val="l"/>
        <c:majorGridlines>
          <c:spPr>
            <a:ln w="3175" cap="flat" cmpd="sng" algn="ctr">
              <a:solidFill>
                <a:srgbClr val="C0C0C0"/>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3563648"/>
        <c:crosses val="autoZero"/>
        <c:crossBetween val="between"/>
      </c:valAx>
      <c:spPr>
        <a:noFill/>
        <a:ln>
          <a:noFill/>
        </a:ln>
        <a:effectLst/>
      </c:spPr>
    </c:plotArea>
    <c:legend>
      <c:legendPos val="b"/>
      <c:layout>
        <c:manualLayout>
          <c:xMode val="edge"/>
          <c:yMode val="edge"/>
          <c:x val="3.3332280092201662E-2"/>
          <c:y val="0.89874031545201427"/>
          <c:w val="0.9438574951947023"/>
          <c:h val="7.152775865527971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2.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11</xdr:col>
      <xdr:colOff>173991</xdr:colOff>
      <xdr:row>27</xdr:row>
      <xdr:rowOff>31747</xdr:rowOff>
    </xdr:from>
    <xdr:to>
      <xdr:col>19</xdr:col>
      <xdr:colOff>523875</xdr:colOff>
      <xdr:row>42</xdr:row>
      <xdr:rowOff>83182</xdr:rowOff>
    </xdr:to>
    <xdr:graphicFrame macro="">
      <xdr:nvGraphicFramePr>
        <xdr:cNvPr id="5" name="Chart 4">
          <a:extLst>
            <a:ext uri="{FF2B5EF4-FFF2-40B4-BE49-F238E27FC236}">
              <a16:creationId xmlns:a16="http://schemas.microsoft.com/office/drawing/2014/main" id="{DE927CD6-BEF7-5F77-C190-149E7A71C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19050</xdr:colOff>
      <xdr:row>1</xdr:row>
      <xdr:rowOff>9525</xdr:rowOff>
    </xdr:from>
    <xdr:ext cx="2670048" cy="504824"/>
    <xdr:pic>
      <xdr:nvPicPr>
        <xdr:cNvPr id="2" name="Picture 1">
          <a:extLst>
            <a:ext uri="{FF2B5EF4-FFF2-40B4-BE49-F238E27FC236}">
              <a16:creationId xmlns:a16="http://schemas.microsoft.com/office/drawing/2014/main" id="{ABFED82A-ED8F-4349-AC9C-6FA3788AD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3350"/>
          <a:ext cx="2670048" cy="5048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12</xdr:col>
      <xdr:colOff>495934</xdr:colOff>
      <xdr:row>0</xdr:row>
      <xdr:rowOff>0</xdr:rowOff>
    </xdr:from>
    <xdr:to>
      <xdr:col>15</xdr:col>
      <xdr:colOff>93979</xdr:colOff>
      <xdr:row>2</xdr:row>
      <xdr:rowOff>30480</xdr:rowOff>
    </xdr:to>
    <xdr:pic>
      <xdr:nvPicPr>
        <xdr:cNvPr id="3" name="Graphic 2">
          <a:extLst>
            <a:ext uri="{FF2B5EF4-FFF2-40B4-BE49-F238E27FC236}">
              <a16:creationId xmlns:a16="http://schemas.microsoft.com/office/drawing/2014/main" id="{6FE79210-9006-4840-B8E3-F6E2D4080A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59034" y="0"/>
          <a:ext cx="1762125" cy="739140"/>
        </a:xfrm>
        <a:prstGeom prst="rect">
          <a:avLst/>
        </a:prstGeom>
      </xdr:spPr>
    </xdr:pic>
    <xdr:clientData/>
  </xdr:twoCellAnchor>
  <xdr:twoCellAnchor>
    <xdr:from>
      <xdr:col>11</xdr:col>
      <xdr:colOff>142876</xdr:colOff>
      <xdr:row>45</xdr:row>
      <xdr:rowOff>28575</xdr:rowOff>
    </xdr:from>
    <xdr:to>
      <xdr:col>19</xdr:col>
      <xdr:colOff>504826</xdr:colOff>
      <xdr:row>61</xdr:row>
      <xdr:rowOff>28575</xdr:rowOff>
    </xdr:to>
    <xdr:graphicFrame macro="">
      <xdr:nvGraphicFramePr>
        <xdr:cNvPr id="6" name="Chart 5">
          <a:extLst>
            <a:ext uri="{FF2B5EF4-FFF2-40B4-BE49-F238E27FC236}">
              <a16:creationId xmlns:a16="http://schemas.microsoft.com/office/drawing/2014/main" id="{BEBE229F-7F89-4ED7-A6F4-4CA6067C5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support@capitaliq.spgloba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643D-4D58-4A45-8546-423AD1A86C09}">
  <sheetPr codeName="Sheet1"/>
  <dimension ref="A1"/>
  <sheetViews>
    <sheetView workbookViewId="0"/>
  </sheetViews>
  <sheetFormatPr baseColWidth="10" defaultColWidth="8.88671875" defaultRowHeight="10" x14ac:dyDescent="0.2"/>
  <sheetData>
    <row r="1" spans="1:1" x14ac:dyDescent="0.2">
      <c r="A1" t="s">
        <v>457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B8CD-3A01-4685-9A5D-35EBDE503909}">
  <sheetPr codeName="Sheet2">
    <pageSetUpPr autoPageBreaks="0"/>
  </sheetPr>
  <dimension ref="A1:AO168"/>
  <sheetViews>
    <sheetView showGridLines="0" topLeftCell="D1" zoomScaleNormal="100" zoomScaleSheetLayoutView="69" workbookViewId="0">
      <selection activeCell="E13" sqref="E13"/>
    </sheetView>
  </sheetViews>
  <sheetFormatPr baseColWidth="10" defaultColWidth="9" defaultRowHeight="11.25" customHeight="1" outlineLevelCol="1" x14ac:dyDescent="0.2"/>
  <cols>
    <col min="1" max="1" width="2.44140625" style="1" customWidth="1"/>
    <col min="2" max="2" width="37.44140625" style="1" customWidth="1"/>
    <col min="3" max="3" width="26.44140625" style="1" hidden="1" customWidth="1" outlineLevel="1"/>
    <col min="4" max="4" width="19.6640625" style="1" customWidth="1" collapsed="1"/>
    <col min="5" max="5" width="19.109375" style="1" customWidth="1"/>
    <col min="6" max="24" width="12.6640625" style="1" customWidth="1"/>
    <col min="25" max="25" width="15.44140625" style="1" customWidth="1"/>
    <col min="26" max="26" width="20.109375" style="1" customWidth="1"/>
    <col min="27" max="27" width="15.44140625" style="18" hidden="1" customWidth="1" outlineLevel="1"/>
    <col min="28" max="32" width="16.6640625" style="18" hidden="1" customWidth="1" outlineLevel="1"/>
    <col min="33" max="33" width="17.44140625" style="18" hidden="1" customWidth="1" outlineLevel="1"/>
    <col min="34" max="34" width="16.6640625" style="18" hidden="1" customWidth="1" outlineLevel="1"/>
    <col min="35" max="35" width="18.44140625" style="18" hidden="1" customWidth="1" outlineLevel="1"/>
    <col min="36" max="36" width="16.6640625" style="18" hidden="1" customWidth="1" outlineLevel="1"/>
    <col min="37" max="40" width="16.6640625" style="1" hidden="1" customWidth="1" outlineLevel="1"/>
    <col min="41" max="41" width="9" style="1" collapsed="1"/>
    <col min="42" max="16384" width="9" style="1"/>
  </cols>
  <sheetData>
    <row r="1" spans="2:40" ht="10.5" x14ac:dyDescent="0.2">
      <c r="AB1" s="27">
        <v>1</v>
      </c>
      <c r="AC1" s="27">
        <f t="shared" ref="AC1:AI1" si="0">AB1+1</f>
        <v>2</v>
      </c>
      <c r="AD1" s="27">
        <f t="shared" si="0"/>
        <v>3</v>
      </c>
      <c r="AE1" s="27">
        <f t="shared" si="0"/>
        <v>4</v>
      </c>
      <c r="AF1" s="27">
        <f t="shared" si="0"/>
        <v>5</v>
      </c>
      <c r="AG1" s="27">
        <f t="shared" si="0"/>
        <v>6</v>
      </c>
      <c r="AH1" s="27">
        <f t="shared" si="0"/>
        <v>7</v>
      </c>
      <c r="AI1" s="27">
        <f t="shared" si="0"/>
        <v>8</v>
      </c>
      <c r="AK1" s="133" t="str">
        <f>$E$14</f>
        <v>U.S. Dollar</v>
      </c>
      <c r="AL1" s="133" t="str">
        <f>VLOOKUP($AK$1,$AK$3:$AN$82,2,FALSE)</f>
        <v>USD</v>
      </c>
      <c r="AM1" s="133" t="str">
        <f>VLOOKUP($AK$1,$AK$3:$AN$82,3,FALSE)</f>
        <v>$</v>
      </c>
      <c r="AN1" s="133" t="str">
        <f>VLOOKUP($AK$1,$AK$3:$AN$82,4,FALSE)</f>
        <v>000</v>
      </c>
    </row>
    <row r="2" spans="2:40" ht="45" customHeight="1" x14ac:dyDescent="0.25">
      <c r="B2" s="195" t="s">
        <v>447</v>
      </c>
      <c r="D2" s="84"/>
      <c r="E2" s="85"/>
      <c r="F2" s="85"/>
      <c r="G2" s="86"/>
      <c r="Y2" s="25"/>
      <c r="Z2" s="25"/>
      <c r="AA2" s="98" t="str">
        <f>"(in "&amp;$AL$1&amp;", "&amp;$AG$33&amp;")"</f>
        <v>(in USD, M)</v>
      </c>
      <c r="AB2" s="117" t="s">
        <v>153</v>
      </c>
      <c r="AC2" s="118" t="str">
        <f t="shared" ref="AC2:AI2" si="1">E27&amp;" ("&amp;E26&amp;")"</f>
        <v>FY2023 (A)</v>
      </c>
      <c r="AD2" s="118" t="str">
        <f t="shared" si="1"/>
        <v>FY2024 (A)</v>
      </c>
      <c r="AE2" s="118" t="str">
        <f t="shared" si="1"/>
        <v>FY2025 (A)</v>
      </c>
      <c r="AF2" s="118" t="str">
        <f t="shared" si="1"/>
        <v>FY2026 (E)</v>
      </c>
      <c r="AG2" s="118" t="str">
        <f t="shared" si="1"/>
        <v>FY2027 (E)</v>
      </c>
      <c r="AH2" s="118" t="str">
        <f t="shared" si="1"/>
        <v>FY2028 (E)</v>
      </c>
      <c r="AI2" s="118" t="str">
        <f t="shared" si="1"/>
        <v>FY2029 (E)</v>
      </c>
      <c r="AJ2" s="25"/>
      <c r="AK2" s="72" t="s">
        <v>330</v>
      </c>
      <c r="AL2" s="73" t="s">
        <v>331</v>
      </c>
      <c r="AM2" s="73" t="s">
        <v>145</v>
      </c>
      <c r="AN2" s="74" t="s">
        <v>332</v>
      </c>
    </row>
    <row r="3" spans="2:40" ht="11.25" customHeight="1" x14ac:dyDescent="0.2">
      <c r="B3" s="40"/>
      <c r="C3" s="40"/>
      <c r="D3" s="40"/>
      <c r="E3" s="40"/>
      <c r="F3" s="40"/>
      <c r="G3" s="38"/>
      <c r="H3" s="38"/>
      <c r="I3" s="38"/>
      <c r="J3" s="38"/>
      <c r="K3" s="38"/>
      <c r="L3" s="38"/>
      <c r="M3" s="38"/>
      <c r="N3" s="39"/>
      <c r="O3" s="39"/>
      <c r="P3" s="2"/>
      <c r="AA3" s="98" t="str">
        <f>"(in "&amp;$AL$1&amp;")"</f>
        <v>(in USD)</v>
      </c>
      <c r="AB3" s="123" t="str">
        <f>$O$26</f>
        <v>Total revenue</v>
      </c>
      <c r="AC3" s="230">
        <f t="shared" ref="AC3:AI3" si="2">IF(OR(VLOOKUP($AB3,$C$28:$K$61,AC$5,0)="-",VLOOKUP($AB3,$C$28:$K$61,AC$5,0)=0),NA(),VLOOKUP($AB3,$C$28:$K$61,AC$5,0))</f>
        <v>21639.645002435198</v>
      </c>
      <c r="AD3" s="230">
        <f t="shared" si="2"/>
        <v>22097.245521943831</v>
      </c>
      <c r="AE3" s="230">
        <f t="shared" si="2"/>
        <v>23105.30872882732</v>
      </c>
      <c r="AF3" s="230">
        <f t="shared" si="2"/>
        <v>23068.061042264195</v>
      </c>
      <c r="AG3" s="230">
        <f t="shared" si="2"/>
        <v>24096.97494453163</v>
      </c>
      <c r="AH3" s="230">
        <f t="shared" si="2"/>
        <v>25349.364143081337</v>
      </c>
      <c r="AI3" s="231">
        <f t="shared" si="2"/>
        <v>25814.05920233779</v>
      </c>
      <c r="AJ3" s="1"/>
      <c r="AK3" s="75" t="s">
        <v>333</v>
      </c>
      <c r="AL3" s="76" t="s">
        <v>333</v>
      </c>
      <c r="AM3" s="77" t="s">
        <v>334</v>
      </c>
      <c r="AN3" s="78" t="s">
        <v>335</v>
      </c>
    </row>
    <row r="4" spans="2:40" ht="11.25" customHeight="1" x14ac:dyDescent="0.25">
      <c r="B4" s="28" t="s">
        <v>154</v>
      </c>
      <c r="C4" s="21"/>
      <c r="G4" s="4"/>
      <c r="H4" s="4"/>
      <c r="I4" s="4"/>
      <c r="J4" s="4"/>
      <c r="K4" s="4"/>
      <c r="L4" s="4"/>
      <c r="M4" s="4"/>
      <c r="N4" s="2"/>
      <c r="O4" s="2"/>
      <c r="P4" s="2"/>
      <c r="AA4" s="98" t="str">
        <f>IF(OR($O$26=$AB$14,$O$26=$AB$15),$AA$3,$AA$2)</f>
        <v>(in USD, M)</v>
      </c>
      <c r="AB4" s="124"/>
      <c r="AC4" s="119"/>
      <c r="AD4" s="119"/>
      <c r="AE4" s="119"/>
      <c r="AF4" s="119"/>
      <c r="AG4" s="119"/>
      <c r="AH4" s="119"/>
      <c r="AI4" s="125"/>
      <c r="AJ4" s="1"/>
      <c r="AK4" s="75" t="s">
        <v>173</v>
      </c>
      <c r="AL4" s="76" t="s">
        <v>71</v>
      </c>
      <c r="AM4" s="77" t="s">
        <v>72</v>
      </c>
      <c r="AN4" s="79" t="s">
        <v>335</v>
      </c>
    </row>
    <row r="5" spans="2:40" ht="11.25" customHeight="1" x14ac:dyDescent="0.25">
      <c r="B5" s="54" t="s">
        <v>200</v>
      </c>
      <c r="E5" s="171" t="s">
        <v>513</v>
      </c>
      <c r="F5" s="4"/>
      <c r="H5" s="17" t="s">
        <v>156</v>
      </c>
      <c r="I5" s="14"/>
      <c r="J5" s="4"/>
      <c r="K5" s="4"/>
      <c r="L5" s="4"/>
      <c r="M5" s="4"/>
      <c r="N5" s="4"/>
      <c r="O5" s="2"/>
      <c r="P5" s="2"/>
      <c r="AA5" s="1"/>
      <c r="AB5" s="126" t="s">
        <v>152</v>
      </c>
      <c r="AC5" s="120">
        <f t="shared" ref="AC5:AI5" si="3">AC1+1</f>
        <v>3</v>
      </c>
      <c r="AD5" s="120">
        <f t="shared" si="3"/>
        <v>4</v>
      </c>
      <c r="AE5" s="120">
        <f t="shared" si="3"/>
        <v>5</v>
      </c>
      <c r="AF5" s="120">
        <f t="shared" si="3"/>
        <v>6</v>
      </c>
      <c r="AG5" s="120">
        <f t="shared" si="3"/>
        <v>7</v>
      </c>
      <c r="AH5" s="120">
        <f t="shared" si="3"/>
        <v>8</v>
      </c>
      <c r="AI5" s="127">
        <f t="shared" si="3"/>
        <v>9</v>
      </c>
      <c r="AJ5" s="1"/>
      <c r="AK5" s="75" t="s">
        <v>336</v>
      </c>
      <c r="AL5" s="76" t="s">
        <v>73</v>
      </c>
      <c r="AM5" s="77" t="s">
        <v>74</v>
      </c>
      <c r="AN5" s="79" t="s">
        <v>335</v>
      </c>
    </row>
    <row r="6" spans="2:40" ht="11.25" customHeight="1" x14ac:dyDescent="0.2">
      <c r="B6" s="90" t="s">
        <v>198</v>
      </c>
      <c r="C6" s="19"/>
      <c r="E6" s="5"/>
      <c r="F6" s="4"/>
      <c r="H6" s="15" t="s">
        <v>147</v>
      </c>
      <c r="I6" s="14"/>
      <c r="J6" s="4"/>
      <c r="K6" s="4"/>
      <c r="L6" s="4"/>
      <c r="M6" s="4"/>
      <c r="N6" s="4"/>
      <c r="O6" s="2"/>
      <c r="P6" s="2"/>
      <c r="AA6" s="1"/>
      <c r="AB6" s="124" t="s">
        <v>149</v>
      </c>
      <c r="AC6" s="121">
        <f t="shared" ref="AC6:AI15" si="4">IF(OR(VLOOKUP($AB6,$C$28:$K$61,AC$5,0)="-",VLOOKUP($AB6,$C$28:$K$61,AC$5,0)=0),NA(),VLOOKUP($AB6,$C$28:$K$61,AC$5,0))</f>
        <v>21639.645002435198</v>
      </c>
      <c r="AD6" s="121">
        <f t="shared" si="4"/>
        <v>22097.245521943831</v>
      </c>
      <c r="AE6" s="121">
        <f t="shared" si="4"/>
        <v>23105.30872882732</v>
      </c>
      <c r="AF6" s="121">
        <f t="shared" si="4"/>
        <v>23068.061042264195</v>
      </c>
      <c r="AG6" s="121">
        <f t="shared" si="4"/>
        <v>24096.97494453163</v>
      </c>
      <c r="AH6" s="121">
        <f t="shared" si="4"/>
        <v>25349.364143081337</v>
      </c>
      <c r="AI6" s="128">
        <f t="shared" si="4"/>
        <v>25814.05920233779</v>
      </c>
      <c r="AJ6" s="1"/>
      <c r="AK6" s="75" t="s">
        <v>337</v>
      </c>
      <c r="AL6" s="76" t="s">
        <v>82</v>
      </c>
      <c r="AM6" s="77" t="s">
        <v>83</v>
      </c>
      <c r="AN6" s="79" t="s">
        <v>45</v>
      </c>
    </row>
    <row r="7" spans="2:40" ht="11.25" customHeight="1" x14ac:dyDescent="0.2">
      <c r="H7" s="16" t="s">
        <v>148</v>
      </c>
      <c r="I7" s="20" t="s">
        <v>54</v>
      </c>
      <c r="J7" s="2"/>
      <c r="K7" s="2"/>
      <c r="L7" s="2"/>
      <c r="M7" s="2"/>
      <c r="N7" s="2"/>
      <c r="O7" s="2"/>
      <c r="P7" s="2"/>
      <c r="AA7" s="1"/>
      <c r="AB7" s="124" t="s">
        <v>38</v>
      </c>
      <c r="AC7" s="121">
        <f t="shared" si="4"/>
        <v>11156.420801991449</v>
      </c>
      <c r="AD7" s="121">
        <f t="shared" si="4"/>
        <v>11630.932409762434</v>
      </c>
      <c r="AE7" s="121">
        <f t="shared" si="4"/>
        <v>12134.947778559446</v>
      </c>
      <c r="AF7" s="121">
        <f t="shared" si="4"/>
        <v>12064.595925104173</v>
      </c>
      <c r="AG7" s="121">
        <f t="shared" si="4"/>
        <v>12530.426971156448</v>
      </c>
      <c r="AH7" s="121">
        <f t="shared" si="4"/>
        <v>13194.344036473834</v>
      </c>
      <c r="AI7" s="128">
        <f t="shared" si="4"/>
        <v>13449.124844417989</v>
      </c>
      <c r="AJ7" s="1"/>
      <c r="AK7" s="75" t="s">
        <v>338</v>
      </c>
      <c r="AL7" s="76" t="s">
        <v>43</v>
      </c>
      <c r="AM7" s="77" t="s">
        <v>108</v>
      </c>
      <c r="AN7" s="79" t="s">
        <v>335</v>
      </c>
    </row>
    <row r="8" spans="2:40" ht="11.25" customHeight="1" x14ac:dyDescent="0.2">
      <c r="B8" s="54" t="s">
        <v>199</v>
      </c>
      <c r="E8" s="171" t="s">
        <v>450</v>
      </c>
      <c r="H8" s="4"/>
      <c r="J8" s="4"/>
      <c r="K8" s="4"/>
      <c r="L8" s="4"/>
      <c r="M8" s="4"/>
      <c r="AA8" s="1"/>
      <c r="AB8" s="124" t="s">
        <v>36</v>
      </c>
      <c r="AC8" s="121">
        <f t="shared" si="4"/>
        <v>8969.5329833865471</v>
      </c>
      <c r="AD8" s="121">
        <f t="shared" si="4"/>
        <v>9479.0843660371229</v>
      </c>
      <c r="AE8" s="121">
        <f t="shared" si="4"/>
        <v>9967.3142486065262</v>
      </c>
      <c r="AF8" s="121">
        <f t="shared" si="4"/>
        <v>9592.6186481952482</v>
      </c>
      <c r="AG8" s="121">
        <f t="shared" si="4"/>
        <v>10278.586503598681</v>
      </c>
      <c r="AH8" s="121">
        <f t="shared" si="4"/>
        <v>10662.373505059799</v>
      </c>
      <c r="AI8" s="128">
        <f t="shared" si="4"/>
        <v>11724.768656312572</v>
      </c>
      <c r="AJ8" s="1"/>
      <c r="AK8" s="75" t="s">
        <v>339</v>
      </c>
      <c r="AL8" s="76" t="s">
        <v>127</v>
      </c>
      <c r="AM8" s="77" t="s">
        <v>127</v>
      </c>
      <c r="AN8" s="79" t="s">
        <v>335</v>
      </c>
    </row>
    <row r="9" spans="2:40" ht="11.25" customHeight="1" x14ac:dyDescent="0.25">
      <c r="B9" s="90" t="s">
        <v>430</v>
      </c>
      <c r="C9" s="19"/>
      <c r="F9" s="4"/>
      <c r="H9" s="17" t="s">
        <v>157</v>
      </c>
      <c r="I9" s="4"/>
      <c r="J9" s="4"/>
      <c r="K9" s="4"/>
      <c r="L9" s="4"/>
      <c r="M9" s="4"/>
      <c r="AA9" s="1"/>
      <c r="AB9" s="124" t="s">
        <v>34</v>
      </c>
      <c r="AC9" s="121">
        <f t="shared" si="4"/>
        <v>9129.5362303154943</v>
      </c>
      <c r="AD9" s="121">
        <f t="shared" si="4"/>
        <v>9837.0582823745881</v>
      </c>
      <c r="AE9" s="121">
        <f t="shared" si="4"/>
        <v>10172.092645705938</v>
      </c>
      <c r="AF9" s="121">
        <f t="shared" si="4"/>
        <v>10038.187569673684</v>
      </c>
      <c r="AG9" s="121">
        <f t="shared" si="4"/>
        <v>10431.882677634072</v>
      </c>
      <c r="AH9" s="121">
        <f t="shared" si="4"/>
        <v>10925.49831971427</v>
      </c>
      <c r="AI9" s="128">
        <f t="shared" si="4"/>
        <v>11283.315006223282</v>
      </c>
      <c r="AJ9" s="1"/>
      <c r="AK9" s="75" t="s">
        <v>340</v>
      </c>
      <c r="AL9" s="76" t="s">
        <v>117</v>
      </c>
      <c r="AM9" s="77" t="s">
        <v>117</v>
      </c>
      <c r="AN9" s="79" t="s">
        <v>335</v>
      </c>
    </row>
    <row r="10" spans="2:40" ht="11.25" customHeight="1" x14ac:dyDescent="0.2">
      <c r="F10" s="4"/>
      <c r="H10" s="300" t="s">
        <v>441</v>
      </c>
      <c r="I10" s="300"/>
      <c r="J10" s="300"/>
      <c r="K10" s="300"/>
      <c r="L10" s="300"/>
      <c r="M10" s="300"/>
      <c r="N10" s="300"/>
      <c r="O10" s="300"/>
      <c r="AA10" s="1"/>
      <c r="AB10" s="124" t="s">
        <v>32</v>
      </c>
      <c r="AC10" s="121">
        <f t="shared" si="4"/>
        <v>1918.6644298933925</v>
      </c>
      <c r="AD10" s="121">
        <f t="shared" si="4"/>
        <v>1793.8741273878456</v>
      </c>
      <c r="AE10" s="121">
        <f t="shared" si="4"/>
        <v>1847.8272633800532</v>
      </c>
      <c r="AF10" s="121">
        <f t="shared" si="4"/>
        <v>2026.4083554304887</v>
      </c>
      <c r="AG10" s="121">
        <f t="shared" si="4"/>
        <v>2098.5442935223768</v>
      </c>
      <c r="AH10" s="121">
        <f t="shared" si="4"/>
        <v>2268.8457167595652</v>
      </c>
      <c r="AI10" s="128">
        <f t="shared" si="4"/>
        <v>2165.8098381947075</v>
      </c>
      <c r="AJ10" s="1"/>
      <c r="AK10" s="75" t="s">
        <v>158</v>
      </c>
      <c r="AL10" s="76" t="s">
        <v>56</v>
      </c>
      <c r="AM10" s="77" t="s">
        <v>57</v>
      </c>
      <c r="AN10" s="79" t="s">
        <v>335</v>
      </c>
    </row>
    <row r="11" spans="2:40" ht="11.25" customHeight="1" x14ac:dyDescent="0.2">
      <c r="B11" s="54" t="s">
        <v>443</v>
      </c>
      <c r="E11" s="170">
        <f>DATE(2026,10,16)</f>
        <v>46311</v>
      </c>
      <c r="F11" s="12"/>
      <c r="H11" s="300"/>
      <c r="I11" s="300"/>
      <c r="J11" s="300"/>
      <c r="K11" s="300"/>
      <c r="L11" s="300"/>
      <c r="M11" s="300"/>
      <c r="N11" s="300"/>
      <c r="O11" s="300"/>
      <c r="AA11" s="1"/>
      <c r="AB11" s="124" t="s">
        <v>30</v>
      </c>
      <c r="AC11" s="121">
        <f t="shared" si="4"/>
        <v>2973.2128361924347</v>
      </c>
      <c r="AD11" s="121">
        <f t="shared" si="4"/>
        <v>3001.9481573678231</v>
      </c>
      <c r="AE11" s="121">
        <f t="shared" si="4"/>
        <v>3217.490123924455</v>
      </c>
      <c r="AF11" s="121">
        <f t="shared" si="4"/>
        <v>3361.4914226960336</v>
      </c>
      <c r="AG11" s="121">
        <f t="shared" si="4"/>
        <v>3511.6077709832784</v>
      </c>
      <c r="AH11" s="121">
        <f t="shared" si="4"/>
        <v>3733.9141728448512</v>
      </c>
      <c r="AI11" s="128">
        <f t="shared" si="4"/>
        <v>3824.2058552952003</v>
      </c>
      <c r="AJ11" s="1"/>
      <c r="AK11" s="75" t="s">
        <v>159</v>
      </c>
      <c r="AL11" s="76" t="s">
        <v>128</v>
      </c>
      <c r="AM11" s="77" t="s">
        <v>341</v>
      </c>
      <c r="AN11" s="79" t="s">
        <v>335</v>
      </c>
    </row>
    <row r="12" spans="2:40" ht="11.25" customHeight="1" x14ac:dyDescent="0.2">
      <c r="B12" s="19"/>
      <c r="C12" s="19"/>
      <c r="E12" s="5"/>
      <c r="F12" s="12"/>
      <c r="H12" s="300"/>
      <c r="I12" s="300"/>
      <c r="J12" s="300"/>
      <c r="K12" s="300"/>
      <c r="L12" s="300"/>
      <c r="M12" s="300"/>
      <c r="N12" s="300"/>
      <c r="O12" s="300"/>
      <c r="AA12" s="1"/>
      <c r="AB12" s="124" t="s">
        <v>28</v>
      </c>
      <c r="AC12" s="121">
        <f t="shared" si="4"/>
        <v>1370.4204772985552</v>
      </c>
      <c r="AD12" s="121">
        <f t="shared" si="4"/>
        <v>1138.2650576329888</v>
      </c>
      <c r="AE12" s="121">
        <f t="shared" si="4"/>
        <v>1090.0481627793713</v>
      </c>
      <c r="AF12" s="121">
        <f t="shared" si="4"/>
        <v>1276.9630391254939</v>
      </c>
      <c r="AG12" s="121">
        <f t="shared" si="4"/>
        <v>1389.5232425997078</v>
      </c>
      <c r="AH12" s="121">
        <f t="shared" si="4"/>
        <v>1640.1320417771526</v>
      </c>
      <c r="AI12" s="128" t="str">
        <f t="shared" si="4"/>
        <v/>
      </c>
      <c r="AJ12" s="1"/>
      <c r="AK12" s="75" t="s">
        <v>160</v>
      </c>
      <c r="AL12" s="76" t="s">
        <v>58</v>
      </c>
      <c r="AM12" s="77" t="s">
        <v>342</v>
      </c>
      <c r="AN12" s="79" t="s">
        <v>335</v>
      </c>
    </row>
    <row r="13" spans="2:40" ht="11.25" customHeight="1" x14ac:dyDescent="0.2">
      <c r="H13" s="300"/>
      <c r="I13" s="300"/>
      <c r="J13" s="300"/>
      <c r="K13" s="300"/>
      <c r="L13" s="300"/>
      <c r="M13" s="300"/>
      <c r="N13" s="300"/>
      <c r="O13" s="300"/>
      <c r="AA13" s="1"/>
      <c r="AB13" s="124" t="s">
        <v>26</v>
      </c>
      <c r="AC13" s="121">
        <f t="shared" si="4"/>
        <v>837.54532171654319</v>
      </c>
      <c r="AD13" s="121">
        <f t="shared" si="4"/>
        <v>678.82461172141348</v>
      </c>
      <c r="AE13" s="121">
        <f t="shared" si="4"/>
        <v>602.4676659992424</v>
      </c>
      <c r="AF13" s="121">
        <f t="shared" si="4"/>
        <v>740.73272363223123</v>
      </c>
      <c r="AG13" s="121">
        <f t="shared" si="4"/>
        <v>812.32750689972409</v>
      </c>
      <c r="AH13" s="121">
        <f t="shared" si="4"/>
        <v>940.04004545700525</v>
      </c>
      <c r="AI13" s="128">
        <f t="shared" si="4"/>
        <v>905.62259862546682</v>
      </c>
      <c r="AJ13" s="1"/>
      <c r="AK13" s="75" t="s">
        <v>343</v>
      </c>
      <c r="AL13" s="76" t="s">
        <v>129</v>
      </c>
      <c r="AM13" s="77" t="s">
        <v>344</v>
      </c>
      <c r="AN13" s="79" t="s">
        <v>335</v>
      </c>
    </row>
    <row r="14" spans="2:40" ht="11.25" customHeight="1" x14ac:dyDescent="0.2">
      <c r="B14" s="54" t="s">
        <v>444</v>
      </c>
      <c r="E14" s="228" t="s">
        <v>338</v>
      </c>
      <c r="H14" s="1" t="s">
        <v>432</v>
      </c>
      <c r="AA14" s="1"/>
      <c r="AB14" s="124" t="s">
        <v>24</v>
      </c>
      <c r="AC14" s="121">
        <f t="shared" si="4"/>
        <v>0.18940418853834082</v>
      </c>
      <c r="AD14" s="121">
        <f t="shared" si="4"/>
        <v>0.15585258942583474</v>
      </c>
      <c r="AE14" s="121">
        <f t="shared" si="4"/>
        <v>0.13961794469397695</v>
      </c>
      <c r="AF14" s="121">
        <f t="shared" si="4"/>
        <v>0.16613453108934467</v>
      </c>
      <c r="AG14" s="121">
        <f t="shared" si="4"/>
        <v>0.18128686617241194</v>
      </c>
      <c r="AH14" s="121">
        <f t="shared" si="4"/>
        <v>0.20563883327019861</v>
      </c>
      <c r="AI14" s="128">
        <f t="shared" si="4"/>
        <v>0.2175442394068943</v>
      </c>
      <c r="AJ14" s="1"/>
      <c r="AK14" s="75" t="s">
        <v>161</v>
      </c>
      <c r="AL14" s="76" t="s">
        <v>64</v>
      </c>
      <c r="AM14" s="77" t="s">
        <v>345</v>
      </c>
      <c r="AN14" s="79" t="s">
        <v>335</v>
      </c>
    </row>
    <row r="15" spans="2:40" ht="11.25" customHeight="1" x14ac:dyDescent="0.2">
      <c r="F15" s="12"/>
      <c r="M15" s="12"/>
      <c r="AA15" s="1"/>
      <c r="AB15" s="124" t="s">
        <v>22</v>
      </c>
      <c r="AC15" s="121">
        <f t="shared" si="4"/>
        <v>4.2210076302830246E-2</v>
      </c>
      <c r="AD15" s="121">
        <f t="shared" si="4"/>
        <v>5.0868553493154389E-2</v>
      </c>
      <c r="AE15" s="121">
        <f t="shared" si="4"/>
        <v>5.411548243952595E-2</v>
      </c>
      <c r="AF15" s="121">
        <f t="shared" si="4"/>
        <v>5.4656637263921212E-2</v>
      </c>
      <c r="AG15" s="121">
        <f t="shared" si="4"/>
        <v>5.6821256561502248E-2</v>
      </c>
      <c r="AH15" s="121">
        <f t="shared" si="4"/>
        <v>6.7103198225012178E-2</v>
      </c>
      <c r="AI15" s="128">
        <f t="shared" si="4"/>
        <v>6.7103198225012178E-2</v>
      </c>
      <c r="AJ15" s="1"/>
      <c r="AK15" s="75" t="s">
        <v>162</v>
      </c>
      <c r="AL15" s="76" t="s">
        <v>61</v>
      </c>
      <c r="AM15" s="77" t="s">
        <v>346</v>
      </c>
      <c r="AN15" s="79" t="s">
        <v>335</v>
      </c>
    </row>
    <row r="16" spans="2:40" ht="11.25" customHeight="1" x14ac:dyDescent="0.2">
      <c r="B16" s="54" t="s">
        <v>445</v>
      </c>
      <c r="E16" s="229" t="s">
        <v>44</v>
      </c>
      <c r="F16" s="12"/>
      <c r="H16" s="301" t="s">
        <v>205</v>
      </c>
      <c r="I16" s="301"/>
      <c r="J16" s="301"/>
      <c r="K16" s="301"/>
      <c r="L16" s="301"/>
      <c r="M16" s="301"/>
      <c r="N16" s="301"/>
      <c r="AA16" s="1"/>
      <c r="AB16" s="124" t="s">
        <v>20</v>
      </c>
      <c r="AC16" s="121">
        <f t="shared" ref="AC16:AI26" si="5">IF(OR(VLOOKUP($AB16,$C$28:$K$61,AC$5,0)="-",VLOOKUP($AB16,$C$28:$K$61,AC$5,0)=0),NA(),VLOOKUP($AB16,$C$28:$K$61,AC$5,0))</f>
        <v>343.79565993830835</v>
      </c>
      <c r="AD16" s="121">
        <f t="shared" si="5"/>
        <v>436.00844201526058</v>
      </c>
      <c r="AE16" s="121">
        <f t="shared" si="5"/>
        <v>461.87564262135396</v>
      </c>
      <c r="AF16" s="121" t="str">
        <f t="shared" si="5"/>
        <v/>
      </c>
      <c r="AG16" s="121" t="str">
        <f t="shared" si="5"/>
        <v/>
      </c>
      <c r="AH16" s="121" t="str">
        <f t="shared" si="5"/>
        <v/>
      </c>
      <c r="AI16" s="128" t="str">
        <f t="shared" si="5"/>
        <v/>
      </c>
      <c r="AJ16" s="1"/>
      <c r="AK16" s="75" t="s">
        <v>347</v>
      </c>
      <c r="AL16" s="76" t="s">
        <v>126</v>
      </c>
      <c r="AM16" s="77" t="s">
        <v>348</v>
      </c>
      <c r="AN16" s="79" t="s">
        <v>335</v>
      </c>
    </row>
    <row r="17" spans="1:40" ht="11.25" customHeight="1" x14ac:dyDescent="0.2">
      <c r="F17" s="3"/>
      <c r="H17" s="301"/>
      <c r="I17" s="301"/>
      <c r="J17" s="301"/>
      <c r="K17" s="301"/>
      <c r="L17" s="301"/>
      <c r="M17" s="301"/>
      <c r="N17" s="301"/>
      <c r="AA17" s="1"/>
      <c r="AB17" s="124" t="s">
        <v>18</v>
      </c>
      <c r="AC17" s="121">
        <f t="shared" si="5"/>
        <v>3188.1595324422319</v>
      </c>
      <c r="AD17" s="121">
        <f t="shared" si="5"/>
        <v>3635.4781102873535</v>
      </c>
      <c r="AE17" s="121">
        <f t="shared" si="5"/>
        <v>3499.7023648465829</v>
      </c>
      <c r="AF17" s="121" t="str">
        <f t="shared" si="5"/>
        <v/>
      </c>
      <c r="AG17" s="121" t="str">
        <f t="shared" si="5"/>
        <v/>
      </c>
      <c r="AH17" s="121" t="str">
        <f t="shared" si="5"/>
        <v/>
      </c>
      <c r="AI17" s="128" t="str">
        <f t="shared" si="5"/>
        <v/>
      </c>
      <c r="AJ17" s="1"/>
      <c r="AK17" s="75" t="s">
        <v>163</v>
      </c>
      <c r="AL17" s="76" t="s">
        <v>143</v>
      </c>
      <c r="AM17" s="77" t="s">
        <v>349</v>
      </c>
      <c r="AN17" s="79" t="s">
        <v>335</v>
      </c>
    </row>
    <row r="18" spans="1:40" ht="11.25" customHeight="1" x14ac:dyDescent="0.2">
      <c r="A18"/>
      <c r="B18" s="87" t="s">
        <v>439</v>
      </c>
      <c r="C18" s="88"/>
      <c r="E18" s="229" t="s">
        <v>434</v>
      </c>
      <c r="I18" s="99"/>
      <c r="J18" s="99"/>
      <c r="K18" s="99"/>
      <c r="L18" s="99"/>
      <c r="M18" s="99"/>
      <c r="N18" s="71"/>
      <c r="AA18" s="1"/>
      <c r="AB18" s="124" t="s">
        <v>16</v>
      </c>
      <c r="AC18" s="121">
        <f t="shared" si="5"/>
        <v>15649.54813572163</v>
      </c>
      <c r="AD18" s="121">
        <f t="shared" si="5"/>
        <v>18920.07143243682</v>
      </c>
      <c r="AE18" s="121">
        <f t="shared" si="5"/>
        <v>18677.092916283349</v>
      </c>
      <c r="AF18" s="121" t="str">
        <f t="shared" si="5"/>
        <v/>
      </c>
      <c r="AG18" s="121" t="str">
        <f t="shared" si="5"/>
        <v/>
      </c>
      <c r="AH18" s="121" t="str">
        <f t="shared" si="5"/>
        <v/>
      </c>
      <c r="AI18" s="128" t="str">
        <f t="shared" si="5"/>
        <v/>
      </c>
      <c r="AJ18" s="1"/>
      <c r="AK18" s="75" t="s">
        <v>350</v>
      </c>
      <c r="AL18" s="76" t="s">
        <v>130</v>
      </c>
      <c r="AM18" s="77" t="s">
        <v>351</v>
      </c>
      <c r="AN18" s="79" t="s">
        <v>335</v>
      </c>
    </row>
    <row r="19" spans="1:40" ht="11.25" customHeight="1" x14ac:dyDescent="0.2">
      <c r="B19" s="150"/>
      <c r="H19" s="191" t="s">
        <v>440</v>
      </c>
      <c r="I19" s="99"/>
      <c r="J19" s="99"/>
      <c r="K19" s="99"/>
      <c r="L19" s="99"/>
      <c r="M19" s="99"/>
      <c r="N19" s="71"/>
      <c r="AA19" s="1"/>
      <c r="AB19" s="124" t="s">
        <v>14</v>
      </c>
      <c r="AC19" s="121">
        <f t="shared" si="5"/>
        <v>4718.4371448671463</v>
      </c>
      <c r="AD19" s="121">
        <f t="shared" si="5"/>
        <v>4608.2039071378322</v>
      </c>
      <c r="AE19" s="121">
        <f t="shared" si="5"/>
        <v>4901.4015909951841</v>
      </c>
      <c r="AF19" s="121" t="str">
        <f t="shared" si="5"/>
        <v/>
      </c>
      <c r="AG19" s="121" t="str">
        <f t="shared" si="5"/>
        <v/>
      </c>
      <c r="AH19" s="121" t="str">
        <f t="shared" si="5"/>
        <v/>
      </c>
      <c r="AI19" s="128" t="str">
        <f t="shared" si="5"/>
        <v/>
      </c>
      <c r="AJ19" s="1"/>
      <c r="AK19" s="75" t="s">
        <v>164</v>
      </c>
      <c r="AL19" s="76" t="s">
        <v>62</v>
      </c>
      <c r="AM19" s="77" t="s">
        <v>63</v>
      </c>
      <c r="AN19" s="79" t="s">
        <v>335</v>
      </c>
    </row>
    <row r="20" spans="1:40" ht="11.25" customHeight="1" x14ac:dyDescent="0.2">
      <c r="C20" s="13"/>
      <c r="D20" s="89" t="s">
        <v>438</v>
      </c>
      <c r="E20" s="149"/>
      <c r="H20" s="302" t="str">
        <f>"Copyright © "&amp;YEAR(DATE(2026,10,16))&amp;" S&amp;P Global Market Intelligence LLC (and its affiliates as applicable) – All rights reserved.  "&amp;"This model and/or any data in it are provided subject to the written agreement of S&amp;P Global Market Intelligence LLC governing the subscription service to which this model is applied."</f>
        <v>Copyright © 2026 S&amp;P Global Market Intelligence LLC (and its affiliates as applicable) – All rights reserved.  This model and/or any data in it are provided subject to the written agreement of S&amp;P Global Market Intelligence LLC governing the subscription service to which this model is applied.</v>
      </c>
      <c r="I20" s="302"/>
      <c r="J20" s="302"/>
      <c r="K20" s="302"/>
      <c r="L20" s="302"/>
      <c r="M20" s="302"/>
      <c r="N20" s="302"/>
      <c r="O20" s="302"/>
      <c r="AA20" s="1"/>
      <c r="AB20" s="124" t="s">
        <v>12</v>
      </c>
      <c r="AC20" s="121">
        <f t="shared" si="5"/>
        <v>8078.4674495373129</v>
      </c>
      <c r="AD20" s="121">
        <f t="shared" si="5"/>
        <v>11036.906759023757</v>
      </c>
      <c r="AE20" s="121">
        <f t="shared" si="5"/>
        <v>10767.736349369556</v>
      </c>
      <c r="AF20" s="121" t="str">
        <f t="shared" si="5"/>
        <v/>
      </c>
      <c r="AG20" s="121" t="str">
        <f t="shared" si="5"/>
        <v/>
      </c>
      <c r="AH20" s="121" t="str">
        <f t="shared" si="5"/>
        <v/>
      </c>
      <c r="AI20" s="128" t="str">
        <f t="shared" si="5"/>
        <v/>
      </c>
      <c r="AJ20" s="1"/>
      <c r="AK20" s="75" t="s">
        <v>165</v>
      </c>
      <c r="AL20" s="76" t="s">
        <v>59</v>
      </c>
      <c r="AM20" s="77" t="s">
        <v>59</v>
      </c>
      <c r="AN20" s="79" t="s">
        <v>335</v>
      </c>
    </row>
    <row r="21" spans="1:40" ht="11.25" customHeight="1" x14ac:dyDescent="0.2">
      <c r="B21" s="196" t="s">
        <v>442</v>
      </c>
      <c r="H21" s="302"/>
      <c r="I21" s="302"/>
      <c r="J21" s="302"/>
      <c r="K21" s="302"/>
      <c r="L21" s="302"/>
      <c r="M21" s="302"/>
      <c r="N21" s="302"/>
      <c r="O21" s="302"/>
      <c r="AA21" s="1"/>
      <c r="AB21" s="124" t="s">
        <v>11</v>
      </c>
      <c r="AC21" s="121">
        <f t="shared" si="5"/>
        <v>7207.4246441907035</v>
      </c>
      <c r="AD21" s="121">
        <f t="shared" si="5"/>
        <v>9704.962389739705</v>
      </c>
      <c r="AE21" s="121">
        <f t="shared" si="5"/>
        <v>9861.5725959196934</v>
      </c>
      <c r="AF21" s="121">
        <f t="shared" si="5"/>
        <v>7950.1609329509174</v>
      </c>
      <c r="AG21" s="121">
        <f t="shared" si="5"/>
        <v>7238.8526835867742</v>
      </c>
      <c r="AH21" s="121">
        <f t="shared" si="5"/>
        <v>6463.2034590616377</v>
      </c>
      <c r="AI21" s="128">
        <f t="shared" si="5"/>
        <v>5936.8472319930734</v>
      </c>
      <c r="AJ21" s="1"/>
      <c r="AK21" s="75" t="s">
        <v>352</v>
      </c>
      <c r="AL21" s="76" t="s">
        <v>131</v>
      </c>
      <c r="AM21" s="77" t="s">
        <v>353</v>
      </c>
      <c r="AN21" s="79" t="s">
        <v>45</v>
      </c>
    </row>
    <row r="22" spans="1:40" ht="11.25" customHeight="1" x14ac:dyDescent="0.2">
      <c r="B22" s="31"/>
      <c r="H22" s="302"/>
      <c r="I22" s="302"/>
      <c r="J22" s="302"/>
      <c r="K22" s="302"/>
      <c r="L22" s="302"/>
      <c r="M22" s="302"/>
      <c r="N22" s="302"/>
      <c r="O22" s="302"/>
      <c r="AA22" s="1"/>
      <c r="AB22" s="124" t="s">
        <v>9</v>
      </c>
      <c r="AC22" s="121">
        <f t="shared" si="5"/>
        <v>-1880.7294767032849</v>
      </c>
      <c r="AD22" s="121">
        <f t="shared" si="5"/>
        <v>-1591.103414686942</v>
      </c>
      <c r="AE22" s="121">
        <f t="shared" si="5"/>
        <v>-1219.2218193625197</v>
      </c>
      <c r="AF22" s="121">
        <f t="shared" si="5"/>
        <v>-1189.3933654418529</v>
      </c>
      <c r="AG22" s="121">
        <f t="shared" si="5"/>
        <v>-1209.0102278261811</v>
      </c>
      <c r="AH22" s="121">
        <f t="shared" si="5"/>
        <v>-1241.0574165268683</v>
      </c>
      <c r="AI22" s="128">
        <f t="shared" si="5"/>
        <v>-1044.8617349423671</v>
      </c>
      <c r="AJ22" s="1"/>
      <c r="AK22" s="75" t="s">
        <v>166</v>
      </c>
      <c r="AL22" s="76" t="s">
        <v>65</v>
      </c>
      <c r="AM22" s="77" t="s">
        <v>66</v>
      </c>
      <c r="AN22" s="79" t="s">
        <v>335</v>
      </c>
    </row>
    <row r="23" spans="1:40" ht="11.25" customHeight="1" x14ac:dyDescent="0.2">
      <c r="B23" s="13"/>
      <c r="C23" s="13"/>
      <c r="D23" s="89" t="s">
        <v>428</v>
      </c>
      <c r="E23" s="169" t="s">
        <v>41</v>
      </c>
      <c r="AA23" s="1"/>
      <c r="AB23" s="124" t="s">
        <v>7</v>
      </c>
      <c r="AC23" s="121">
        <f t="shared" si="5"/>
        <v>604.19936143730729</v>
      </c>
      <c r="AD23" s="121">
        <f t="shared" si="5"/>
        <v>55.035445640997892</v>
      </c>
      <c r="AE23" s="121">
        <f t="shared" si="5"/>
        <v>-37.66437577791006</v>
      </c>
      <c r="AF23" s="121" t="str">
        <f t="shared" si="5"/>
        <v/>
      </c>
      <c r="AG23" s="121" t="str">
        <f t="shared" si="5"/>
        <v/>
      </c>
      <c r="AH23" s="121" t="str">
        <f t="shared" si="5"/>
        <v/>
      </c>
      <c r="AI23" s="128" t="str">
        <f t="shared" si="5"/>
        <v/>
      </c>
      <c r="AJ23" s="1"/>
      <c r="AK23" s="75" t="s">
        <v>167</v>
      </c>
      <c r="AL23" s="76" t="s">
        <v>111</v>
      </c>
      <c r="AM23" s="77" t="s">
        <v>354</v>
      </c>
      <c r="AN23" s="79" t="s">
        <v>45</v>
      </c>
    </row>
    <row r="24" spans="1:40" ht="11.25" customHeight="1" x14ac:dyDescent="0.2">
      <c r="B24" s="13"/>
      <c r="C24" s="13"/>
      <c r="AA24" s="1"/>
      <c r="AB24" s="124" t="s">
        <v>5</v>
      </c>
      <c r="AC24" s="121">
        <f t="shared" si="5"/>
        <v>1699.8214189079497</v>
      </c>
      <c r="AD24" s="121">
        <f t="shared" si="5"/>
        <v>2159.5865577141622</v>
      </c>
      <c r="AE24" s="121">
        <f t="shared" si="5"/>
        <v>2584.1766329346829</v>
      </c>
      <c r="AF24" s="121">
        <f t="shared" si="5"/>
        <v>1926.2135396937065</v>
      </c>
      <c r="AG24" s="121">
        <f t="shared" si="5"/>
        <v>2065.317387304508</v>
      </c>
      <c r="AH24" s="121">
        <f t="shared" si="5"/>
        <v>2357.5951079603874</v>
      </c>
      <c r="AI24" s="128" t="str">
        <f t="shared" si="5"/>
        <v/>
      </c>
      <c r="AJ24" s="1"/>
      <c r="AK24" s="75" t="s">
        <v>355</v>
      </c>
      <c r="AL24" s="76" t="s">
        <v>68</v>
      </c>
      <c r="AM24" s="77" t="s">
        <v>356</v>
      </c>
      <c r="AN24" s="79" t="s">
        <v>335</v>
      </c>
    </row>
    <row r="25" spans="1:40" ht="15.75" customHeight="1" x14ac:dyDescent="0.35">
      <c r="B25" s="172" t="str">
        <f>"Grupo Bimbo, S.A.B. de C.V."</f>
        <v>Grupo Bimbo, S.A.B. de C.V.</v>
      </c>
      <c r="C25" s="172"/>
      <c r="K25" s="98" t="str">
        <f>"Data in ("&amp;AM1&amp;""&amp;AG33&amp;"), except per share"</f>
        <v>Data in ($M), except per share</v>
      </c>
      <c r="AA25" s="1"/>
      <c r="AB25" s="124" t="s">
        <v>448</v>
      </c>
      <c r="AC25" s="121">
        <f t="shared" si="5"/>
        <v>-2296.6610747334812</v>
      </c>
      <c r="AD25" s="121">
        <f t="shared" si="5"/>
        <v>-1955.6253043995889</v>
      </c>
      <c r="AE25" s="121">
        <f t="shared" si="5"/>
        <v>-1875.2096974944532</v>
      </c>
      <c r="AF25" s="121" t="str">
        <f t="shared" si="5"/>
        <v/>
      </c>
      <c r="AG25" s="121" t="str">
        <f t="shared" si="5"/>
        <v/>
      </c>
      <c r="AH25" s="121" t="str">
        <f t="shared" si="5"/>
        <v/>
      </c>
      <c r="AI25" s="128" t="str">
        <f t="shared" si="5"/>
        <v/>
      </c>
      <c r="AJ25" s="1"/>
      <c r="AK25" s="75" t="s">
        <v>168</v>
      </c>
      <c r="AL25" s="76" t="s">
        <v>113</v>
      </c>
      <c r="AM25" s="77" t="s">
        <v>357</v>
      </c>
      <c r="AN25" s="79" t="s">
        <v>45</v>
      </c>
    </row>
    <row r="26" spans="1:40" ht="11.25" customHeight="1" x14ac:dyDescent="0.25">
      <c r="B26" s="173"/>
      <c r="C26" s="173"/>
      <c r="D26" s="174"/>
      <c r="E26" s="267" t="str">
        <f>"A"</f>
        <v>A</v>
      </c>
      <c r="F26" s="175" t="str">
        <f>"A"</f>
        <v>A</v>
      </c>
      <c r="G26" s="175" t="str">
        <f>"A"</f>
        <v>A</v>
      </c>
      <c r="H26" s="175" t="str">
        <f>"E"</f>
        <v>E</v>
      </c>
      <c r="I26" s="175" t="str">
        <f>"E"</f>
        <v>E</v>
      </c>
      <c r="J26" s="175" t="str">
        <f>"E"</f>
        <v>E</v>
      </c>
      <c r="K26" s="176" t="str">
        <f>"E"</f>
        <v>E</v>
      </c>
      <c r="L26" s="58" t="s">
        <v>155</v>
      </c>
      <c r="M26" s="91" t="s">
        <v>151</v>
      </c>
      <c r="O26" s="297" t="s">
        <v>149</v>
      </c>
      <c r="P26" s="298"/>
      <c r="Q26" s="298"/>
      <c r="R26" s="299"/>
      <c r="AA26" s="1"/>
      <c r="AB26" s="124" t="s">
        <v>449</v>
      </c>
      <c r="AC26" s="121">
        <f t="shared" si="5"/>
        <v>319.49780832296119</v>
      </c>
      <c r="AD26" s="121" t="str">
        <f t="shared" si="5"/>
        <v/>
      </c>
      <c r="AE26" s="121">
        <f t="shared" si="5"/>
        <v>-644.40716488987505</v>
      </c>
      <c r="AF26" s="121" t="str">
        <f t="shared" si="5"/>
        <v/>
      </c>
      <c r="AG26" s="121" t="str">
        <f t="shared" si="5"/>
        <v/>
      </c>
      <c r="AH26" s="121" t="str">
        <f t="shared" si="5"/>
        <v/>
      </c>
      <c r="AI26" s="128" t="str">
        <f t="shared" si="5"/>
        <v/>
      </c>
      <c r="AJ26" s="1"/>
      <c r="AK26" s="75" t="s">
        <v>169</v>
      </c>
      <c r="AL26" s="76" t="s">
        <v>69</v>
      </c>
      <c r="AM26" s="77" t="s">
        <v>358</v>
      </c>
      <c r="AN26" s="79" t="s">
        <v>335</v>
      </c>
    </row>
    <row r="27" spans="1:40" ht="11.25" customHeight="1" x14ac:dyDescent="0.25">
      <c r="B27" s="188" t="s">
        <v>201</v>
      </c>
      <c r="C27" s="184"/>
      <c r="D27" s="185"/>
      <c r="E27" s="189" t="str">
        <f>IF(OR(LEFT(F27,2)="FY",LEFT(F27,2)="CY"),LEFT(F27,2)&amp;VALUE(RIGHT(F27,4))-1,LEFT(F27,2)&amp;IF(MID(F27,3,1)="1","4",MID(F27,3,1)-1)&amp;IF(MID(F27,3,1)="1",VALUE(RIGHT(F27,4))-1,RIGHT(F27,4)))</f>
        <v>FY2023</v>
      </c>
      <c r="F27" s="189" t="str">
        <f>IF(OR(LEFT(G27,2)="FY",LEFT(G27,2)="CY"),LEFT(G27,2)&amp;VALUE(RIGHT(G27,4))-1,LEFT(G27,2)&amp;IF(MID(G27,3,1)="1","4",MID(G27,3,1)-1)&amp;IF(MID(G27,3,1)="1",VALUE(RIGHT(G27,4))-1,RIGHT(G27,4)))</f>
        <v>FY2024</v>
      </c>
      <c r="G27" s="189" t="str">
        <f>E8</f>
        <v>FY2025</v>
      </c>
      <c r="H27" s="189" t="str">
        <f>IF(MID(G27,2,1)="Q",IF(MID(G27,2,2)="Q4",LEFT(G27,2)&amp;"1"&amp;RIGHT(G27,4)+1,LEFT(G27,2)&amp;MID(G27,3,1)+1&amp;RIGHT(G27,4)),LEFT(G27,2)&amp;RIGHT(G27,4)+1)</f>
        <v>FY2026</v>
      </c>
      <c r="I27" s="189" t="str">
        <f t="shared" ref="I27:K27" si="6">IF(MID(H27,2,1)="Q",IF(MID(H27,2,2)="Q4",LEFT(H27,2)&amp;"1"&amp;RIGHT(H27,4)+1,LEFT(H27,2)&amp;MID(H27,3,1)+1&amp;RIGHT(H27,4)),LEFT(H27,2)&amp;RIGHT(H27,4)+1)</f>
        <v>FY2027</v>
      </c>
      <c r="J27" s="189" t="str">
        <f t="shared" si="6"/>
        <v>FY2028</v>
      </c>
      <c r="K27" s="192" t="str">
        <f t="shared" si="6"/>
        <v>FY2029</v>
      </c>
      <c r="AA27" s="1"/>
      <c r="AB27" s="124" t="s">
        <v>4</v>
      </c>
      <c r="AC27" s="122">
        <f t="shared" ref="AC27:AI31" si="7">IF(OR(VLOOKUP($AB27,$C$28:$K$61,AC$5,0)="-",VLOOKUP($AB27,$C$28:$K$61,AC$5,0)=0),NA(),VLOOKUP($AB27,$C$28:$K$61,AC$5,0))</f>
        <v>0.51555470529835268</v>
      </c>
      <c r="AD27" s="122">
        <f t="shared" si="7"/>
        <v>0.52635213733821495</v>
      </c>
      <c r="AE27" s="122">
        <f t="shared" si="7"/>
        <v>0.52520171537112115</v>
      </c>
      <c r="AF27" s="122">
        <f t="shared" si="7"/>
        <v>0.52300000000000002</v>
      </c>
      <c r="AG27" s="122">
        <f t="shared" si="7"/>
        <v>0.52</v>
      </c>
      <c r="AH27" s="122">
        <f t="shared" si="7"/>
        <v>0.52049999999999996</v>
      </c>
      <c r="AI27" s="129">
        <f t="shared" si="7"/>
        <v>0.52100000000000002</v>
      </c>
      <c r="AJ27" s="1"/>
      <c r="AK27" s="75" t="s">
        <v>170</v>
      </c>
      <c r="AL27" s="76" t="s">
        <v>120</v>
      </c>
      <c r="AM27" s="77" t="s">
        <v>359</v>
      </c>
      <c r="AN27" s="79" t="s">
        <v>335</v>
      </c>
    </row>
    <row r="28" spans="1:40" ht="11.25" customHeight="1" x14ac:dyDescent="0.2">
      <c r="B28" s="87" t="s">
        <v>40</v>
      </c>
      <c r="C28" s="87" t="s">
        <v>149</v>
      </c>
      <c r="D28" s="22"/>
      <c r="E28" s="103">
        <f>(Datos_Peers!$B$48/Datos_Peers!$B$4)</f>
        <v>21639.645002435198</v>
      </c>
      <c r="F28" s="103">
        <f>(Datos_Peers!$C$48/Datos_Peers!$B$4)</f>
        <v>22097.245521943831</v>
      </c>
      <c r="G28" s="103">
        <f>(Datos_Peers!$D$48/Datos_Peers!$B$4)</f>
        <v>23105.30872882732</v>
      </c>
      <c r="H28" s="103">
        <f>(Datos_Peers!$E$48/Datos_Peers!$B$4)</f>
        <v>23068.061042264195</v>
      </c>
      <c r="I28" s="103">
        <f>(Datos_Peers!$F$48/Datos_Peers!$B$4)</f>
        <v>24096.97494453163</v>
      </c>
      <c r="J28" s="103">
        <f>(Datos_Peers!$G$48/Datos_Peers!$B$4)</f>
        <v>25349.364143081337</v>
      </c>
      <c r="K28" s="243">
        <f>(Datos_Peers!$H$48/Datos_Peers!$B$4)</f>
        <v>25814.05920233779</v>
      </c>
      <c r="L28" s="6"/>
      <c r="M28" s="6"/>
      <c r="AA28" s="1"/>
      <c r="AB28" s="124" t="s">
        <v>3</v>
      </c>
      <c r="AC28" s="122">
        <f t="shared" si="7"/>
        <v>0.41449538485391829</v>
      </c>
      <c r="AD28" s="122">
        <f t="shared" si="7"/>
        <v>0.4289713103211823</v>
      </c>
      <c r="AE28" s="122">
        <f t="shared" si="7"/>
        <v>0.43138632621562051</v>
      </c>
      <c r="AF28" s="122">
        <f t="shared" si="7"/>
        <v>0.41583983285895215</v>
      </c>
      <c r="AG28" s="122">
        <f t="shared" si="7"/>
        <v>0.4265509063796914</v>
      </c>
      <c r="AH28" s="122">
        <f t="shared" si="7"/>
        <v>0.42061700028755583</v>
      </c>
      <c r="AI28" s="129">
        <f t="shared" si="7"/>
        <v>0.45420088969388994</v>
      </c>
      <c r="AJ28" s="1"/>
      <c r="AK28" s="75" t="s">
        <v>360</v>
      </c>
      <c r="AL28" s="76" t="s">
        <v>361</v>
      </c>
      <c r="AM28" s="77" t="s">
        <v>362</v>
      </c>
      <c r="AN28" s="79" t="s">
        <v>335</v>
      </c>
    </row>
    <row r="29" spans="1:40" ht="11.25" customHeight="1" x14ac:dyDescent="0.2">
      <c r="B29" s="87" t="s">
        <v>150</v>
      </c>
      <c r="C29" s="87"/>
      <c r="D29" s="7"/>
      <c r="E29" s="96"/>
      <c r="F29" s="97">
        <f t="shared" ref="F29:K29" si="8">IF(OR(LEFT($E$8,2)="FY",LEFT($E$8,2)="CY"),IFERROR(F28/E28-1,"-"),IF(OR(LEFT($E$8,2)="FQ",LEFT($E$8,2)="CQ"),IFERROR(F28/""-1,"-"),"-"))</f>
        <v>2.114639678502761E-2</v>
      </c>
      <c r="G29" s="97">
        <f t="shared" si="8"/>
        <v>4.5619405635078936E-2</v>
      </c>
      <c r="H29" s="97">
        <f t="shared" si="8"/>
        <v>-1.6120834826436337E-3</v>
      </c>
      <c r="I29" s="97">
        <f t="shared" si="8"/>
        <v>4.4603397762053243E-2</v>
      </c>
      <c r="J29" s="97">
        <f t="shared" si="8"/>
        <v>5.1972880472862526E-2</v>
      </c>
      <c r="K29" s="244">
        <f t="shared" si="8"/>
        <v>1.8331625859865364E-2</v>
      </c>
      <c r="L29" s="6"/>
      <c r="M29" s="6"/>
      <c r="AA29" s="1"/>
      <c r="AB29" s="124" t="s">
        <v>2</v>
      </c>
      <c r="AC29" s="122">
        <f t="shared" si="7"/>
        <v>8.866432095708951E-2</v>
      </c>
      <c r="AD29" s="122">
        <f t="shared" si="7"/>
        <v>8.118089313921166E-2</v>
      </c>
      <c r="AE29" s="122">
        <f t="shared" si="7"/>
        <v>7.9974142958523342E-2</v>
      </c>
      <c r="AF29" s="122">
        <f t="shared" si="7"/>
        <v>8.7844763013146213E-2</v>
      </c>
      <c r="AG29" s="122">
        <f t="shared" si="7"/>
        <v>8.7087458004707075E-2</v>
      </c>
      <c r="AH29" s="122">
        <f t="shared" si="7"/>
        <v>8.9503062244612824E-2</v>
      </c>
      <c r="AI29" s="129">
        <f t="shared" si="7"/>
        <v>8.3900397888549277E-2</v>
      </c>
      <c r="AJ29" s="1"/>
      <c r="AK29" s="75" t="s">
        <v>363</v>
      </c>
      <c r="AL29" s="76" t="s">
        <v>364</v>
      </c>
      <c r="AM29" s="77" t="s">
        <v>365</v>
      </c>
      <c r="AN29" s="79" t="s">
        <v>335</v>
      </c>
    </row>
    <row r="30" spans="1:40" ht="11.25" customHeight="1" x14ac:dyDescent="0.2">
      <c r="B30" s="87" t="s">
        <v>39</v>
      </c>
      <c r="C30" s="87" t="s">
        <v>38</v>
      </c>
      <c r="D30" s="22"/>
      <c r="E30" s="103">
        <f>(Datos_Peers!$B$49/Datos_Peers!$B$4)</f>
        <v>11156.420801991449</v>
      </c>
      <c r="F30" s="103">
        <f>(Datos_Peers!$C$49/Datos_Peers!$B$4)</f>
        <v>11630.932409762434</v>
      </c>
      <c r="G30" s="103">
        <f>(Datos_Peers!$D$49/Datos_Peers!$B$4)</f>
        <v>12134.947778559446</v>
      </c>
      <c r="H30" s="103">
        <f>(Datos_Peers!$E$49/Datos_Peers!$B$4)</f>
        <v>12064.595925104173</v>
      </c>
      <c r="I30" s="103">
        <f>(Datos_Peers!$F$49/Datos_Peers!$B$4)</f>
        <v>12530.426971156448</v>
      </c>
      <c r="J30" s="103">
        <f>(Datos_Peers!$G$49/Datos_Peers!$B$4)</f>
        <v>13194.344036473834</v>
      </c>
      <c r="K30" s="245">
        <f>(Datos_Peers!$H$49/Datos_Peers!$B$4)</f>
        <v>13449.124844417989</v>
      </c>
      <c r="L30" s="6"/>
      <c r="M30" s="6"/>
      <c r="AA30" s="1"/>
      <c r="AB30" s="124" t="s">
        <v>1</v>
      </c>
      <c r="AC30" s="122">
        <f t="shared" si="7"/>
        <v>0.1373965624601442</v>
      </c>
      <c r="AD30" s="122">
        <f t="shared" si="7"/>
        <v>0.13585169040126366</v>
      </c>
      <c r="AE30" s="122">
        <f t="shared" si="7"/>
        <v>0.1392532842424285</v>
      </c>
      <c r="AF30" s="122">
        <f t="shared" si="7"/>
        <v>0.14572058815594732</v>
      </c>
      <c r="AG30" s="122">
        <f t="shared" si="7"/>
        <v>0.14572815795619914</v>
      </c>
      <c r="AH30" s="122">
        <f t="shared" si="7"/>
        <v>0.14729813938405859</v>
      </c>
      <c r="AI30" s="129">
        <f t="shared" si="7"/>
        <v>0.14814430482707153</v>
      </c>
      <c r="AJ30" s="1"/>
      <c r="AK30" s="75" t="s">
        <v>171</v>
      </c>
      <c r="AL30" s="76" t="s">
        <v>132</v>
      </c>
      <c r="AM30" s="77" t="s">
        <v>366</v>
      </c>
      <c r="AN30" s="79" t="s">
        <v>335</v>
      </c>
    </row>
    <row r="31" spans="1:40" ht="11.25" customHeight="1" x14ac:dyDescent="0.2">
      <c r="B31" s="5" t="s">
        <v>37</v>
      </c>
      <c r="C31" s="5" t="s">
        <v>36</v>
      </c>
      <c r="D31" s="22"/>
      <c r="E31" s="103">
        <f>(Datos_Peers!$B$50/Datos_Peers!$B$4)</f>
        <v>8969.5329833865471</v>
      </c>
      <c r="F31" s="103">
        <f>(Datos_Peers!$C$50/Datos_Peers!$B$4)</f>
        <v>9479.0843660371229</v>
      </c>
      <c r="G31" s="103">
        <f>(Datos_Peers!$D$50/Datos_Peers!$B$4)</f>
        <v>9967.3142486065262</v>
      </c>
      <c r="H31" s="103">
        <f>(Datos_Peers!$E$50/Datos_Peers!$B$4)</f>
        <v>9592.6186481952482</v>
      </c>
      <c r="I31" s="103">
        <f>(Datos_Peers!$F$50/Datos_Peers!$B$4)</f>
        <v>10278.586503598681</v>
      </c>
      <c r="J31" s="103">
        <f>(Datos_Peers!$G$50/Datos_Peers!$B$4)</f>
        <v>10662.373505059799</v>
      </c>
      <c r="K31" s="245">
        <f>(Datos_Peers!$H$50/Datos_Peers!$B$4)</f>
        <v>11724.768656312572</v>
      </c>
      <c r="L31" s="6"/>
      <c r="AA31" s="1"/>
      <c r="AB31" s="130" t="s">
        <v>0</v>
      </c>
      <c r="AC31" s="131">
        <f t="shared" si="7"/>
        <v>3.8704208022926935E-2</v>
      </c>
      <c r="AD31" s="131">
        <f t="shared" si="7"/>
        <v>3.0719874612756673E-2</v>
      </c>
      <c r="AE31" s="131">
        <f t="shared" si="7"/>
        <v>2.607485894562292E-2</v>
      </c>
      <c r="AF31" s="131">
        <f t="shared" si="7"/>
        <v>3.2110749242214E-2</v>
      </c>
      <c r="AG31" s="131">
        <f t="shared" si="7"/>
        <v>3.371076696430176E-2</v>
      </c>
      <c r="AH31" s="131">
        <f t="shared" si="7"/>
        <v>3.7083377719104353E-2</v>
      </c>
      <c r="AI31" s="132">
        <f t="shared" si="7"/>
        <v>3.508253357315657E-2</v>
      </c>
      <c r="AJ31" s="1"/>
      <c r="AK31" s="75" t="s">
        <v>172</v>
      </c>
      <c r="AL31" s="76" t="s">
        <v>70</v>
      </c>
      <c r="AM31" s="77" t="s">
        <v>367</v>
      </c>
      <c r="AN31" s="79" t="s">
        <v>335</v>
      </c>
    </row>
    <row r="32" spans="1:40" ht="11.25" customHeight="1" x14ac:dyDescent="0.2">
      <c r="B32" s="5" t="s">
        <v>35</v>
      </c>
      <c r="C32" s="5" t="s">
        <v>34</v>
      </c>
      <c r="D32" s="22"/>
      <c r="E32" s="103">
        <f>(Datos_Peers!$B$51/Datos_Peers!$B$4)</f>
        <v>9129.5362303154943</v>
      </c>
      <c r="F32" s="103">
        <f>(Datos_Peers!$C$51/Datos_Peers!$B$4)</f>
        <v>9837.0582823745881</v>
      </c>
      <c r="G32" s="103">
        <f>(Datos_Peers!$D$51/Datos_Peers!$B$4)</f>
        <v>10172.092645705938</v>
      </c>
      <c r="H32" s="103">
        <f>(Datos_Peers!$E$51/Datos_Peers!$B$4)</f>
        <v>10038.187569673684</v>
      </c>
      <c r="I32" s="103">
        <f>(Datos_Peers!$F$51/Datos_Peers!$B$4)</f>
        <v>10431.882677634072</v>
      </c>
      <c r="J32" s="103">
        <f>(Datos_Peers!$G$51/Datos_Peers!$B$4)</f>
        <v>10925.49831971427</v>
      </c>
      <c r="K32" s="245">
        <f>(Datos_Peers!$H$51/Datos_Peers!$B$4)</f>
        <v>11283.315006223282</v>
      </c>
      <c r="L32" s="6"/>
      <c r="AK32" s="75" t="s">
        <v>368</v>
      </c>
      <c r="AL32" s="76" t="s">
        <v>133</v>
      </c>
      <c r="AM32" s="77" t="s">
        <v>369</v>
      </c>
      <c r="AN32" s="79" t="s">
        <v>335</v>
      </c>
    </row>
    <row r="33" spans="2:40" ht="11.25" customHeight="1" x14ac:dyDescent="0.25">
      <c r="B33" s="5" t="s">
        <v>33</v>
      </c>
      <c r="C33" s="5" t="s">
        <v>32</v>
      </c>
      <c r="D33" s="22"/>
      <c r="E33" s="103">
        <f>(Datos_Peers!$B$52/Datos_Peers!$B$4)</f>
        <v>1918.6644298933925</v>
      </c>
      <c r="F33" s="103">
        <f>(Datos_Peers!$C$52/Datos_Peers!$B$4)</f>
        <v>1793.8741273878456</v>
      </c>
      <c r="G33" s="103">
        <f>(Datos_Peers!$D$52/Datos_Peers!$B$4)</f>
        <v>1847.8272633800532</v>
      </c>
      <c r="H33" s="103">
        <f>(Datos_Peers!$E$52/Datos_Peers!$B$4)</f>
        <v>2026.4083554304887</v>
      </c>
      <c r="I33" s="103">
        <f>(Datos_Peers!$F$52/Datos_Peers!$B$4)</f>
        <v>2098.5442935223768</v>
      </c>
      <c r="J33" s="103">
        <f>(Datos_Peers!$G$52/Datos_Peers!$B$4)</f>
        <v>2268.8457167595652</v>
      </c>
      <c r="K33" s="245">
        <f>(Datos_Peers!$H$52/Datos_Peers!$B$4)</f>
        <v>2165.8098381947075</v>
      </c>
      <c r="L33" s="6"/>
      <c r="AB33" s="167" t="s">
        <v>225</v>
      </c>
      <c r="AC33" s="30"/>
      <c r="AD33" s="116" t="s">
        <v>327</v>
      </c>
      <c r="AF33" s="137" t="str">
        <f>$E$16</f>
        <v>Millions</v>
      </c>
      <c r="AG33" s="138" t="str">
        <f>VLOOKUP(AF33,$AF$35:$AG$39,2,0)</f>
        <v>M</v>
      </c>
      <c r="AK33" s="75" t="s">
        <v>370</v>
      </c>
      <c r="AL33" s="76" t="s">
        <v>116</v>
      </c>
      <c r="AM33" s="77" t="s">
        <v>371</v>
      </c>
      <c r="AN33" s="79" t="s">
        <v>335</v>
      </c>
    </row>
    <row r="34" spans="2:40" ht="11.25" customHeight="1" x14ac:dyDescent="0.25">
      <c r="B34" s="5" t="s">
        <v>31</v>
      </c>
      <c r="C34" s="5" t="s">
        <v>30</v>
      </c>
      <c r="D34" s="22"/>
      <c r="E34" s="103">
        <f>(Datos_Peers!$B$53/Datos_Peers!$B$4)</f>
        <v>2973.2128361924347</v>
      </c>
      <c r="F34" s="103">
        <f>(Datos_Peers!$C$53/Datos_Peers!$B$4)</f>
        <v>3001.9481573678231</v>
      </c>
      <c r="G34" s="103">
        <f>(Datos_Peers!$D$53/Datos_Peers!$B$4)</f>
        <v>3217.490123924455</v>
      </c>
      <c r="H34" s="103">
        <f>(Datos_Peers!$E$53/Datos_Peers!$B$4)</f>
        <v>3361.4914226960336</v>
      </c>
      <c r="I34" s="103">
        <f>(Datos_Peers!$F$53/Datos_Peers!$B$4)</f>
        <v>3511.6077709832784</v>
      </c>
      <c r="J34" s="103">
        <f>(Datos_Peers!$G$53/Datos_Peers!$B$4)</f>
        <v>3733.9141728448512</v>
      </c>
      <c r="K34" s="245">
        <f>(Datos_Peers!$H$53/Datos_Peers!$B$4)</f>
        <v>3824.2058552952003</v>
      </c>
      <c r="L34" s="6"/>
      <c r="AB34" s="164" t="s">
        <v>219</v>
      </c>
      <c r="AC34" s="163"/>
      <c r="AD34" s="134" t="str">
        <f>IF(OR(PeerAnalysis!$E13="",""="#INVALID COMPANY ID"),"","")</f>
        <v/>
      </c>
      <c r="AF34" s="139" t="s">
        <v>42</v>
      </c>
      <c r="AG34" s="140" t="s">
        <v>146</v>
      </c>
      <c r="AI34" s="116" t="s">
        <v>433</v>
      </c>
      <c r="AK34" s="75" t="s">
        <v>372</v>
      </c>
      <c r="AL34" s="76" t="s">
        <v>114</v>
      </c>
      <c r="AM34" s="77" t="s">
        <v>373</v>
      </c>
      <c r="AN34" s="79" t="s">
        <v>335</v>
      </c>
    </row>
    <row r="35" spans="2:40" ht="11.25" customHeight="1" x14ac:dyDescent="0.2">
      <c r="B35" s="5" t="s">
        <v>29</v>
      </c>
      <c r="C35" s="5" t="s">
        <v>28</v>
      </c>
      <c r="D35" s="22"/>
      <c r="E35" s="103">
        <f>(Datos_Peers!$B$54/Datos_Peers!$B$4)</f>
        <v>1370.4204772985552</v>
      </c>
      <c r="F35" s="103">
        <f>(Datos_Peers!$C$54/Datos_Peers!$B$4)</f>
        <v>1138.2650576329888</v>
      </c>
      <c r="G35" s="103">
        <f>(Datos_Peers!$D$54/Datos_Peers!$B$4)</f>
        <v>1090.0481627793713</v>
      </c>
      <c r="H35" s="103">
        <f>(Datos_Peers!$E$54/Datos_Peers!$B$4)</f>
        <v>1276.9630391254939</v>
      </c>
      <c r="I35" s="103">
        <f>(Datos_Peers!$F$54/Datos_Peers!$B$4)</f>
        <v>1389.5232425997078</v>
      </c>
      <c r="J35" s="103">
        <f>(Datos_Peers!$G$54/Datos_Peers!$B$4)</f>
        <v>1640.1320417771526</v>
      </c>
      <c r="K35" s="245" t="str">
        <f>""</f>
        <v/>
      </c>
      <c r="L35" s="6"/>
      <c r="AB35" s="165" t="s">
        <v>220</v>
      </c>
      <c r="AC35" s="30"/>
      <c r="AD35" s="135" t="str">
        <f>IF(OR(PeerAnalysis!$E14="",""="#INVALID COMPANY ID"),"","")</f>
        <v/>
      </c>
      <c r="AF35" s="141" t="s">
        <v>46</v>
      </c>
      <c r="AG35" s="142" t="s">
        <v>47</v>
      </c>
      <c r="AI35" s="148" t="s">
        <v>434</v>
      </c>
      <c r="AK35" s="75" t="s">
        <v>174</v>
      </c>
      <c r="AL35" s="76" t="s">
        <v>75</v>
      </c>
      <c r="AM35" s="77" t="s">
        <v>76</v>
      </c>
      <c r="AN35" s="79" t="s">
        <v>335</v>
      </c>
    </row>
    <row r="36" spans="2:40" ht="11.25" customHeight="1" x14ac:dyDescent="0.2">
      <c r="B36" s="5" t="s">
        <v>27</v>
      </c>
      <c r="C36" s="5" t="s">
        <v>26</v>
      </c>
      <c r="D36" s="22"/>
      <c r="E36" s="103">
        <f>(Datos_Peers!$B$55/Datos_Peers!$B$4)</f>
        <v>837.54532171654319</v>
      </c>
      <c r="F36" s="103">
        <f>(Datos_Peers!$C$55/Datos_Peers!$B$4)</f>
        <v>678.82461172141348</v>
      </c>
      <c r="G36" s="103">
        <f>(Datos_Peers!$D$55/Datos_Peers!$B$4)</f>
        <v>602.4676659992424</v>
      </c>
      <c r="H36" s="103">
        <f>(Datos_Peers!$E$55/Datos_Peers!$B$4)</f>
        <v>740.73272363223123</v>
      </c>
      <c r="I36" s="103">
        <f>(Datos_Peers!$F$55/Datos_Peers!$B$4)</f>
        <v>812.32750689972409</v>
      </c>
      <c r="J36" s="103">
        <f>(Datos_Peers!$G$55/Datos_Peers!$B$4)</f>
        <v>940.04004545700525</v>
      </c>
      <c r="K36" s="245">
        <f>(Datos_Peers!$H$55/Datos_Peers!$B$4)</f>
        <v>905.62259862546682</v>
      </c>
      <c r="L36" s="6"/>
      <c r="AB36" s="165" t="s">
        <v>221</v>
      </c>
      <c r="AC36" s="30"/>
      <c r="AD36" s="135" t="str">
        <f>IF(OR(PeerAnalysis!$E15="",""="#INVALID COMPANY ID"),"","")</f>
        <v/>
      </c>
      <c r="AF36" s="141" t="s">
        <v>48</v>
      </c>
      <c r="AG36" s="143" t="s">
        <v>49</v>
      </c>
      <c r="AI36" s="148" t="s">
        <v>435</v>
      </c>
      <c r="AK36" s="75" t="s">
        <v>374</v>
      </c>
      <c r="AL36" s="76" t="s">
        <v>77</v>
      </c>
      <c r="AM36" s="77" t="s">
        <v>375</v>
      </c>
      <c r="AN36" s="79" t="s">
        <v>45</v>
      </c>
    </row>
    <row r="37" spans="2:40" ht="11.25" customHeight="1" x14ac:dyDescent="0.2">
      <c r="B37" s="5" t="s">
        <v>25</v>
      </c>
      <c r="C37" s="5" t="s">
        <v>24</v>
      </c>
      <c r="D37" s="23"/>
      <c r="E37" s="104">
        <f>(Datos_Peers!$B$56/Datos_Peers!$B$4)</f>
        <v>0.18940418853834082</v>
      </c>
      <c r="F37" s="104">
        <f>(Datos_Peers!$C$56/Datos_Peers!$B$4)</f>
        <v>0.15585258942583474</v>
      </c>
      <c r="G37" s="104">
        <f>(Datos_Peers!$D$56/Datos_Peers!$B$4)</f>
        <v>0.13961794469397695</v>
      </c>
      <c r="H37" s="104">
        <f>(Datos_Peers!$E$56/Datos_Peers!$B$4)</f>
        <v>0.16613453108934467</v>
      </c>
      <c r="I37" s="104">
        <f>(Datos_Peers!$F$56/Datos_Peers!$B$4)</f>
        <v>0.18128686617241194</v>
      </c>
      <c r="J37" s="104">
        <f>(Datos_Peers!$G$56/Datos_Peers!$B$4)</f>
        <v>0.20563883327019861</v>
      </c>
      <c r="K37" s="246">
        <f>(Datos_Peers!$H$56/Datos_Peers!$B$4)</f>
        <v>0.2175442394068943</v>
      </c>
      <c r="L37" s="6"/>
      <c r="AB37" s="165" t="s">
        <v>222</v>
      </c>
      <c r="AC37" s="30"/>
      <c r="AD37" s="135" t="str">
        <f>IF(OR(PeerAnalysis!$E16="",""="#INVALID COMPANY ID"),"","")</f>
        <v/>
      </c>
      <c r="AF37" s="141" t="s">
        <v>44</v>
      </c>
      <c r="AG37" s="144" t="s">
        <v>45</v>
      </c>
      <c r="AI37" s="148" t="s">
        <v>436</v>
      </c>
      <c r="AK37" s="75" t="s">
        <v>376</v>
      </c>
      <c r="AL37" s="76" t="s">
        <v>121</v>
      </c>
      <c r="AM37" s="77" t="s">
        <v>377</v>
      </c>
      <c r="AN37" s="79" t="s">
        <v>45</v>
      </c>
    </row>
    <row r="38" spans="2:40" ht="11.25" customHeight="1" x14ac:dyDescent="0.2">
      <c r="B38" s="5" t="s">
        <v>150</v>
      </c>
      <c r="C38" s="5"/>
      <c r="D38" s="7"/>
      <c r="E38" s="96"/>
      <c r="F38" s="97">
        <f t="shared" ref="F38:K38" si="9">IF(OR(LEFT($E$8,2)="FY",LEFT($E$8,2)="CY"),IFERROR(F37/E37-1,"-"),IF(OR(LEFT($E$8,2)="FQ",LEFT($E$8,2)="CQ"),IFERROR(F37/""-1,"-"),"-"))</f>
        <v>-0.17714285714285705</v>
      </c>
      <c r="G38" s="97">
        <f t="shared" si="9"/>
        <v>-0.10416666666666674</v>
      </c>
      <c r="H38" s="97">
        <f t="shared" si="9"/>
        <v>0.18992248062015515</v>
      </c>
      <c r="I38" s="97">
        <f t="shared" si="9"/>
        <v>9.1205211726384405E-2</v>
      </c>
      <c r="J38" s="97">
        <f t="shared" si="9"/>
        <v>0.13432835820895517</v>
      </c>
      <c r="K38" s="244">
        <f t="shared" si="9"/>
        <v>5.7894736842105221E-2</v>
      </c>
      <c r="L38" s="8"/>
      <c r="AB38" s="165" t="s">
        <v>210</v>
      </c>
      <c r="AC38" s="30"/>
      <c r="AD38" s="135" t="str">
        <f>IF(OR(PeerAnalysis!$E17="",""="#INVALID COMPANY ID"),"","")</f>
        <v/>
      </c>
      <c r="AF38" s="141" t="s">
        <v>50</v>
      </c>
      <c r="AG38" s="145" t="s">
        <v>51</v>
      </c>
      <c r="AI38" s="136" t="s">
        <v>437</v>
      </c>
      <c r="AK38" s="75" t="s">
        <v>175</v>
      </c>
      <c r="AL38" s="76" t="s">
        <v>80</v>
      </c>
      <c r="AM38" s="77" t="s">
        <v>378</v>
      </c>
      <c r="AN38" s="79" t="s">
        <v>335</v>
      </c>
    </row>
    <row r="39" spans="2:40" ht="11.25" customHeight="1" x14ac:dyDescent="0.2">
      <c r="B39" s="247" t="s">
        <v>23</v>
      </c>
      <c r="C39" s="247" t="s">
        <v>22</v>
      </c>
      <c r="D39" s="248"/>
      <c r="E39" s="249">
        <f>(Datos_Peers!$B$57/Datos_Peers!$B$4)</f>
        <v>4.2210076302830246E-2</v>
      </c>
      <c r="F39" s="249">
        <f>(Datos_Peers!$C$57/Datos_Peers!$B$4)</f>
        <v>5.0868553493154389E-2</v>
      </c>
      <c r="G39" s="249">
        <f>(Datos_Peers!$D$57/Datos_Peers!$B$4)</f>
        <v>5.411548243952595E-2</v>
      </c>
      <c r="H39" s="249">
        <f>(Datos_Peers!$E$57/Datos_Peers!$B$4)</f>
        <v>5.4656637263921212E-2</v>
      </c>
      <c r="I39" s="249">
        <f>(Datos_Peers!$F$57/Datos_Peers!$B$4)</f>
        <v>5.6821256561502248E-2</v>
      </c>
      <c r="J39" s="249">
        <f>(Datos_Peers!$G$57/Datos_Peers!$B$4)</f>
        <v>6.7103198225012178E-2</v>
      </c>
      <c r="K39" s="250">
        <f>(Datos_Peers!$H$57/Datos_Peers!$B$4)</f>
        <v>6.7103198225012178E-2</v>
      </c>
      <c r="L39" s="6"/>
      <c r="AB39" s="165" t="s">
        <v>213</v>
      </c>
      <c r="AC39" s="30"/>
      <c r="AD39" s="135" t="str">
        <f>IF(OR(PeerAnalysis!$E18="",""="#INVALID COMPANY ID"),"","")</f>
        <v/>
      </c>
      <c r="AF39" s="146" t="s">
        <v>52</v>
      </c>
      <c r="AG39" s="147" t="s">
        <v>53</v>
      </c>
      <c r="AK39" s="75" t="s">
        <v>379</v>
      </c>
      <c r="AL39" s="76" t="s">
        <v>78</v>
      </c>
      <c r="AM39" s="77" t="s">
        <v>380</v>
      </c>
      <c r="AN39" s="79" t="s">
        <v>45</v>
      </c>
    </row>
    <row r="40" spans="2:40" ht="11.25" customHeight="1" x14ac:dyDescent="0.35">
      <c r="E40" s="54"/>
      <c r="F40" s="54"/>
      <c r="G40" s="54"/>
      <c r="H40" s="54"/>
      <c r="I40" s="54"/>
      <c r="J40" s="54"/>
      <c r="K40" s="54"/>
      <c r="L40" s="9"/>
      <c r="AB40" s="165" t="s">
        <v>223</v>
      </c>
      <c r="AC40" s="30"/>
      <c r="AD40" s="135" t="str">
        <f>IF(OR(PeerAnalysis!$E19="",""="#INVALID COMPANY ID"),"","")</f>
        <v/>
      </c>
      <c r="AG40" s="26"/>
      <c r="AH40" s="26"/>
      <c r="AI40" s="232" t="str">
        <f>IF(TearSheet!$E$18="Broker Code",TearSheet!$E$20,TearSheet!$E$18)</f>
        <v>Consensus.VAActuals</v>
      </c>
      <c r="AK40" s="75" t="s">
        <v>176</v>
      </c>
      <c r="AL40" s="76" t="s">
        <v>81</v>
      </c>
      <c r="AM40" s="77" t="s">
        <v>381</v>
      </c>
      <c r="AN40" s="79" t="s">
        <v>335</v>
      </c>
    </row>
    <row r="41" spans="2:40" ht="11.25" customHeight="1" x14ac:dyDescent="0.35">
      <c r="B41" s="183" t="s">
        <v>202</v>
      </c>
      <c r="C41" s="184"/>
      <c r="D41" s="185"/>
      <c r="E41" s="186"/>
      <c r="F41" s="186"/>
      <c r="G41" s="186"/>
      <c r="H41" s="186"/>
      <c r="I41" s="186"/>
      <c r="J41" s="186"/>
      <c r="K41" s="187"/>
      <c r="L41" s="6"/>
      <c r="AB41" s="165" t="s">
        <v>214</v>
      </c>
      <c r="AC41" s="30"/>
      <c r="AD41" s="135" t="str">
        <f>IF(OR(PeerAnalysis!$E20="",""="#INVALID COMPANY ID"),"","")</f>
        <v/>
      </c>
      <c r="AH41" s="26"/>
      <c r="AK41" s="75" t="s">
        <v>382</v>
      </c>
      <c r="AL41" s="76" t="s">
        <v>383</v>
      </c>
      <c r="AM41" s="77" t="s">
        <v>383</v>
      </c>
      <c r="AN41" s="79" t="s">
        <v>335</v>
      </c>
    </row>
    <row r="42" spans="2:40" ht="11.25" customHeight="1" x14ac:dyDescent="0.2">
      <c r="B42" s="5" t="s">
        <v>21</v>
      </c>
      <c r="C42" s="5" t="s">
        <v>20</v>
      </c>
      <c r="D42" s="22"/>
      <c r="E42" s="103">
        <f>(Datos_Peers!$B$58/Datos_Peers!$B$4)</f>
        <v>343.79565993830835</v>
      </c>
      <c r="F42" s="103">
        <f>(Datos_Peers!$C$58/Datos_Peers!$B$4)</f>
        <v>436.00844201526058</v>
      </c>
      <c r="G42" s="103">
        <f>(Datos_Peers!$D$58/Datos_Peers!$B$4)</f>
        <v>461.87564262135396</v>
      </c>
      <c r="H42" s="103" t="str">
        <f>""</f>
        <v/>
      </c>
      <c r="I42" s="103" t="str">
        <f>""</f>
        <v/>
      </c>
      <c r="J42" s="103" t="str">
        <f>""</f>
        <v/>
      </c>
      <c r="K42" s="193" t="str">
        <f>""</f>
        <v/>
      </c>
      <c r="L42" s="6"/>
      <c r="AB42" s="165" t="s">
        <v>215</v>
      </c>
      <c r="AC42" s="30"/>
      <c r="AD42" s="135" t="str">
        <f>IF(OR(PeerAnalysis!$E21="",""="#INVALID COMPANY ID"),"","")</f>
        <v/>
      </c>
      <c r="AF42" s="123" t="s">
        <v>429</v>
      </c>
      <c r="AG42" s="262" t="s">
        <v>232</v>
      </c>
      <c r="AH42" s="262"/>
      <c r="AI42" s="263"/>
      <c r="AK42" s="75" t="s">
        <v>177</v>
      </c>
      <c r="AL42" s="76" t="s">
        <v>134</v>
      </c>
      <c r="AM42" s="77" t="s">
        <v>384</v>
      </c>
      <c r="AN42" s="79" t="s">
        <v>335</v>
      </c>
    </row>
    <row r="43" spans="2:40" ht="11.25" customHeight="1" x14ac:dyDescent="0.2">
      <c r="B43" s="5" t="s">
        <v>19</v>
      </c>
      <c r="C43" s="5" t="s">
        <v>18</v>
      </c>
      <c r="D43" s="22"/>
      <c r="E43" s="103">
        <f>(Datos_Peers!$B$59/Datos_Peers!$B$4)</f>
        <v>3188.1595324422319</v>
      </c>
      <c r="F43" s="103">
        <f>(Datos_Peers!$C$59/Datos_Peers!$B$4)</f>
        <v>3635.4781102873535</v>
      </c>
      <c r="G43" s="103">
        <f>(Datos_Peers!$D$59/Datos_Peers!$B$4)</f>
        <v>3499.7023648465829</v>
      </c>
      <c r="H43" s="103" t="str">
        <f>""</f>
        <v/>
      </c>
      <c r="I43" s="103" t="str">
        <f>""</f>
        <v/>
      </c>
      <c r="J43" s="103" t="str">
        <f>""</f>
        <v/>
      </c>
      <c r="K43" s="193" t="str">
        <f>""</f>
        <v/>
      </c>
      <c r="L43" s="6"/>
      <c r="AB43" s="165" t="s">
        <v>211</v>
      </c>
      <c r="AC43" s="30"/>
      <c r="AD43" s="135" t="str">
        <f>IF(OR(PeerAnalysis!$E22="",""="#INVALID COMPANY ID"),"","")</f>
        <v/>
      </c>
      <c r="AF43" s="130" t="s">
        <v>233</v>
      </c>
      <c r="AG43" s="264" t="s">
        <v>233</v>
      </c>
      <c r="AH43" s="265"/>
      <c r="AI43" s="266"/>
      <c r="AK43" s="75" t="s">
        <v>178</v>
      </c>
      <c r="AL43" s="76" t="s">
        <v>85</v>
      </c>
      <c r="AM43" s="77" t="s">
        <v>385</v>
      </c>
      <c r="AN43" s="79" t="s">
        <v>335</v>
      </c>
    </row>
    <row r="44" spans="2:40" ht="11.25" customHeight="1" x14ac:dyDescent="0.35">
      <c r="B44" s="5" t="s">
        <v>17</v>
      </c>
      <c r="C44" s="5" t="s">
        <v>16</v>
      </c>
      <c r="D44" s="22"/>
      <c r="E44" s="103">
        <f>(Datos_Peers!$B$60/Datos_Peers!$B$4)</f>
        <v>15649.54813572163</v>
      </c>
      <c r="F44" s="103">
        <f>(Datos_Peers!$C$60/Datos_Peers!$B$4)</f>
        <v>18920.07143243682</v>
      </c>
      <c r="G44" s="103">
        <f>(Datos_Peers!$D$60/Datos_Peers!$B$4)</f>
        <v>18677.092916283349</v>
      </c>
      <c r="H44" s="103" t="str">
        <f>""</f>
        <v/>
      </c>
      <c r="I44" s="103" t="str">
        <f>""</f>
        <v/>
      </c>
      <c r="J44" s="103" t="str">
        <f>""</f>
        <v/>
      </c>
      <c r="K44" s="193" t="str">
        <f>""</f>
        <v/>
      </c>
      <c r="L44" s="295" t="s">
        <v>329</v>
      </c>
      <c r="M44" s="296" t="s">
        <v>431</v>
      </c>
      <c r="N44" s="296"/>
      <c r="O44" s="296"/>
      <c r="P44" s="296"/>
      <c r="AB44" s="165" t="s">
        <v>224</v>
      </c>
      <c r="AC44" s="30"/>
      <c r="AD44" s="135" t="str">
        <f>IF(OR(PeerAnalysis!$E23="",""="#INVALID COMPANY ID"),"","")</f>
        <v/>
      </c>
      <c r="AH44" s="26"/>
      <c r="AK44" s="75" t="s">
        <v>386</v>
      </c>
      <c r="AL44" s="76" t="s">
        <v>135</v>
      </c>
      <c r="AM44" s="77" t="s">
        <v>60</v>
      </c>
      <c r="AN44" s="79" t="s">
        <v>335</v>
      </c>
    </row>
    <row r="45" spans="2:40" ht="11.25" customHeight="1" x14ac:dyDescent="0.35">
      <c r="B45" s="5" t="s">
        <v>15</v>
      </c>
      <c r="C45" s="5" t="s">
        <v>14</v>
      </c>
      <c r="D45" s="22"/>
      <c r="E45" s="103">
        <f>(Datos_Peers!$B$61/Datos_Peers!$B$4)</f>
        <v>4718.4371448671463</v>
      </c>
      <c r="F45" s="103">
        <f>(Datos_Peers!$C$61/Datos_Peers!$B$4)</f>
        <v>4608.2039071378322</v>
      </c>
      <c r="G45" s="103">
        <f>(Datos_Peers!$D$61/Datos_Peers!$B$4)</f>
        <v>4901.4015909951841</v>
      </c>
      <c r="H45" s="103" t="str">
        <f>""</f>
        <v/>
      </c>
      <c r="I45" s="103" t="str">
        <f>""</f>
        <v/>
      </c>
      <c r="J45" s="103" t="str">
        <f>""</f>
        <v/>
      </c>
      <c r="K45" s="193" t="str">
        <f>""</f>
        <v/>
      </c>
      <c r="L45" s="295"/>
      <c r="M45" s="296"/>
      <c r="N45" s="296"/>
      <c r="O45" s="296"/>
      <c r="P45" s="296"/>
      <c r="Q45" s="57"/>
      <c r="R45" s="57"/>
      <c r="S45" s="57"/>
      <c r="AB45" s="166" t="s">
        <v>212</v>
      </c>
      <c r="AD45" s="136" t="str">
        <f>IF(OR(PeerAnalysis!$E24="",""="#INVALID COMPANY ID"),"","")</f>
        <v/>
      </c>
      <c r="AH45" s="26"/>
      <c r="AK45" s="75" t="s">
        <v>387</v>
      </c>
      <c r="AL45" s="76" t="s">
        <v>388</v>
      </c>
      <c r="AM45" s="77" t="s">
        <v>388</v>
      </c>
      <c r="AN45" s="79" t="s">
        <v>335</v>
      </c>
    </row>
    <row r="46" spans="2:40" ht="11.25" customHeight="1" x14ac:dyDescent="0.2">
      <c r="B46" s="5" t="s">
        <v>13</v>
      </c>
      <c r="C46" s="5" t="s">
        <v>12</v>
      </c>
      <c r="D46" s="22"/>
      <c r="E46" s="103">
        <f>(Datos_Peers!$B$62/Datos_Peers!$B$4)</f>
        <v>8078.4674495373129</v>
      </c>
      <c r="F46" s="103">
        <f>(Datos_Peers!$C$62/Datos_Peers!$B$4)</f>
        <v>11036.906759023757</v>
      </c>
      <c r="G46" s="103">
        <f>(Datos_Peers!$D$62/Datos_Peers!$B$4)</f>
        <v>10767.736349369556</v>
      </c>
      <c r="H46" s="103" t="str">
        <f>""</f>
        <v/>
      </c>
      <c r="I46" s="103" t="str">
        <f>""</f>
        <v/>
      </c>
      <c r="J46" s="103" t="str">
        <f>""</f>
        <v/>
      </c>
      <c r="K46" s="193" t="str">
        <f>""</f>
        <v/>
      </c>
      <c r="L46" s="10"/>
      <c r="Y46" s="61"/>
      <c r="Z46" s="61"/>
      <c r="AD46" s="136" t="str">
        <f>IF(OR(PeerAnalysis!$E25="",""="#INVALID COMPANY ID"),"","")</f>
        <v/>
      </c>
      <c r="AK46" s="75" t="s">
        <v>179</v>
      </c>
      <c r="AL46" s="76" t="s">
        <v>88</v>
      </c>
      <c r="AM46" s="77" t="s">
        <v>89</v>
      </c>
      <c r="AN46" s="79" t="s">
        <v>335</v>
      </c>
    </row>
    <row r="47" spans="2:40" ht="11.25" customHeight="1" x14ac:dyDescent="0.2">
      <c r="B47" s="247" t="s">
        <v>11</v>
      </c>
      <c r="C47" s="247" t="s">
        <v>11</v>
      </c>
      <c r="D47" s="251"/>
      <c r="E47" s="252">
        <f>(Datos_Peers!$B$63/Datos_Peers!$B$4)</f>
        <v>7207.4246441907035</v>
      </c>
      <c r="F47" s="252">
        <f>(Datos_Peers!$C$63/Datos_Peers!$B$4)</f>
        <v>9704.962389739705</v>
      </c>
      <c r="G47" s="252">
        <f>(Datos_Peers!$D$63/Datos_Peers!$B$4)</f>
        <v>9861.5725959196934</v>
      </c>
      <c r="H47" s="252">
        <f>(Datos_Peers!$E$63/Datos_Peers!$B$4)</f>
        <v>7950.1609329509174</v>
      </c>
      <c r="I47" s="252">
        <f>(Datos_Peers!$F$63/Datos_Peers!$B$4)</f>
        <v>7238.8526835867742</v>
      </c>
      <c r="J47" s="252">
        <f>(Datos_Peers!$G$63/Datos_Peers!$B$4)</f>
        <v>6463.2034590616377</v>
      </c>
      <c r="K47" s="253">
        <f>(Datos_Peers!$H$63/Datos_Peers!$B$4)</f>
        <v>5936.8472319930734</v>
      </c>
      <c r="L47" s="11"/>
      <c r="Y47" s="61"/>
      <c r="Z47" s="61"/>
      <c r="AK47" s="75" t="s">
        <v>180</v>
      </c>
      <c r="AL47" s="76" t="s">
        <v>87</v>
      </c>
      <c r="AM47" s="77" t="s">
        <v>389</v>
      </c>
      <c r="AN47" s="79" t="s">
        <v>335</v>
      </c>
    </row>
    <row r="48" spans="2:40" ht="11.25" customHeight="1" x14ac:dyDescent="0.25">
      <c r="Y48" s="61"/>
      <c r="Z48" s="61"/>
      <c r="AB48" s="42" t="s">
        <v>237</v>
      </c>
      <c r="AC48" s="42" t="s">
        <v>238</v>
      </c>
      <c r="AD48" s="42" t="s">
        <v>239</v>
      </c>
      <c r="AE48" s="1"/>
      <c r="AK48" s="75" t="s">
        <v>181</v>
      </c>
      <c r="AL48" s="76" t="s">
        <v>136</v>
      </c>
      <c r="AM48" s="77" t="s">
        <v>136</v>
      </c>
      <c r="AN48" s="79" t="s">
        <v>335</v>
      </c>
    </row>
    <row r="49" spans="2:40" ht="11.25" customHeight="1" x14ac:dyDescent="0.25">
      <c r="B49" s="183" t="s">
        <v>203</v>
      </c>
      <c r="C49" s="184"/>
      <c r="D49" s="184"/>
      <c r="E49" s="185"/>
      <c r="F49" s="185"/>
      <c r="G49" s="185"/>
      <c r="H49" s="185"/>
      <c r="I49" s="185"/>
      <c r="J49" s="185"/>
      <c r="K49" s="190"/>
      <c r="L49" s="6"/>
      <c r="Y49" s="41"/>
      <c r="Z49" s="41"/>
      <c r="AB49" s="1" t="s">
        <v>149</v>
      </c>
      <c r="AC49" s="30" t="s">
        <v>240</v>
      </c>
      <c r="AD49" s="30" t="s">
        <v>241</v>
      </c>
      <c r="AE49" s="1"/>
      <c r="AK49" s="75" t="s">
        <v>390</v>
      </c>
      <c r="AL49" s="76" t="s">
        <v>137</v>
      </c>
      <c r="AM49" s="77" t="s">
        <v>391</v>
      </c>
      <c r="AN49" s="79" t="s">
        <v>45</v>
      </c>
    </row>
    <row r="50" spans="2:40" ht="11.25" customHeight="1" x14ac:dyDescent="0.2">
      <c r="B50" s="54" t="s">
        <v>10</v>
      </c>
      <c r="C50" s="54" t="s">
        <v>9</v>
      </c>
      <c r="D50" s="62"/>
      <c r="E50" s="103">
        <f>(Datos_Peers!$B$64/Datos_Peers!$B$4)</f>
        <v>-1880.7294767032849</v>
      </c>
      <c r="F50" s="103">
        <f>(Datos_Peers!$C$64/Datos_Peers!$B$4)</f>
        <v>-1591.103414686942</v>
      </c>
      <c r="G50" s="103">
        <f>(Datos_Peers!$D$64/Datos_Peers!$B$4)</f>
        <v>-1219.2218193625197</v>
      </c>
      <c r="H50" s="103">
        <f>(Datos_Peers!$E$64/Datos_Peers!$B$4)</f>
        <v>-1189.3933654418529</v>
      </c>
      <c r="I50" s="103">
        <f>(Datos_Peers!$F$64/Datos_Peers!$B$4)</f>
        <v>-1209.0102278261811</v>
      </c>
      <c r="J50" s="103">
        <f>(Datos_Peers!$G$64/Datos_Peers!$B$4)</f>
        <v>-1241.0574165268683</v>
      </c>
      <c r="K50" s="193">
        <f>(Datos_Peers!$H$64/Datos_Peers!$B$4)</f>
        <v>-1044.8617349423671</v>
      </c>
      <c r="L50" s="6"/>
      <c r="Y50" s="41"/>
      <c r="Z50" s="41"/>
      <c r="AB50" s="1" t="s">
        <v>38</v>
      </c>
      <c r="AC50" s="30" t="s">
        <v>242</v>
      </c>
      <c r="AD50" s="30" t="s">
        <v>243</v>
      </c>
      <c r="AE50" s="1"/>
      <c r="AF50" s="1"/>
      <c r="AG50" s="1"/>
      <c r="AK50" s="75" t="s">
        <v>392</v>
      </c>
      <c r="AL50" s="76" t="s">
        <v>122</v>
      </c>
      <c r="AM50" s="77" t="s">
        <v>393</v>
      </c>
      <c r="AN50" s="79" t="s">
        <v>335</v>
      </c>
    </row>
    <row r="51" spans="2:40" ht="11.25" customHeight="1" x14ac:dyDescent="0.2">
      <c r="B51" s="87" t="s">
        <v>8</v>
      </c>
      <c r="C51" s="87" t="s">
        <v>7</v>
      </c>
      <c r="D51" s="62"/>
      <c r="E51" s="103">
        <f>(Datos_Peers!$B$65/Datos_Peers!$B$4)</f>
        <v>604.19936143730729</v>
      </c>
      <c r="F51" s="103">
        <f>(Datos_Peers!$C$65/Datos_Peers!$B$4)</f>
        <v>55.035445640997892</v>
      </c>
      <c r="G51" s="103">
        <f>(Datos_Peers!$D$65/Datos_Peers!$B$4)</f>
        <v>-37.66437577791006</v>
      </c>
      <c r="H51" s="103" t="str">
        <f>""</f>
        <v/>
      </c>
      <c r="I51" s="103" t="str">
        <f>""</f>
        <v/>
      </c>
      <c r="J51" s="103" t="str">
        <f>""</f>
        <v/>
      </c>
      <c r="K51" s="193" t="str">
        <f>""</f>
        <v/>
      </c>
      <c r="L51" s="6"/>
      <c r="Y51" s="41"/>
      <c r="Z51" s="41"/>
      <c r="AB51" s="1" t="s">
        <v>34</v>
      </c>
      <c r="AC51" s="30" t="s">
        <v>244</v>
      </c>
      <c r="AD51" s="30" t="s">
        <v>245</v>
      </c>
      <c r="AE51" s="1"/>
      <c r="AF51" s="1"/>
      <c r="AG51" s="1"/>
      <c r="AK51" s="75" t="s">
        <v>182</v>
      </c>
      <c r="AL51" s="76" t="s">
        <v>79</v>
      </c>
      <c r="AM51" s="77" t="s">
        <v>394</v>
      </c>
      <c r="AN51" s="79" t="s">
        <v>335</v>
      </c>
    </row>
    <row r="52" spans="2:40" ht="11.25" customHeight="1" x14ac:dyDescent="0.2">
      <c r="B52" s="87" t="s">
        <v>6</v>
      </c>
      <c r="C52" s="87" t="s">
        <v>5</v>
      </c>
      <c r="D52" s="62"/>
      <c r="E52" s="103">
        <f>(Datos_Peers!$B$66/Datos_Peers!$B$4)</f>
        <v>1699.8214189079497</v>
      </c>
      <c r="F52" s="103">
        <f>(Datos_Peers!$C$66/Datos_Peers!$B$4)</f>
        <v>2159.5865577141622</v>
      </c>
      <c r="G52" s="103">
        <f>(Datos_Peers!$D$66/Datos_Peers!$B$4)</f>
        <v>2584.1766329346829</v>
      </c>
      <c r="H52" s="103">
        <f>(Datos_Peers!$E$66/Datos_Peers!$B$4)</f>
        <v>1926.2135396937065</v>
      </c>
      <c r="I52" s="103">
        <f>(Datos_Peers!$F$66/Datos_Peers!$B$4)</f>
        <v>2065.317387304508</v>
      </c>
      <c r="J52" s="103">
        <f>(Datos_Peers!$G$66/Datos_Peers!$B$4)</f>
        <v>2357.5951079603874</v>
      </c>
      <c r="K52" s="193" t="str">
        <f>""</f>
        <v/>
      </c>
      <c r="Y52" s="41"/>
      <c r="Z52" s="41"/>
      <c r="AB52" s="1" t="s">
        <v>30</v>
      </c>
      <c r="AC52" s="30" t="s">
        <v>246</v>
      </c>
      <c r="AD52" s="30" t="s">
        <v>247</v>
      </c>
      <c r="AE52" s="1"/>
      <c r="AF52" s="1"/>
      <c r="AG52" s="1"/>
      <c r="AK52" s="75" t="s">
        <v>183</v>
      </c>
      <c r="AL52" s="76" t="s">
        <v>106</v>
      </c>
      <c r="AM52" s="77" t="s">
        <v>107</v>
      </c>
      <c r="AN52" s="79" t="s">
        <v>335</v>
      </c>
    </row>
    <row r="53" spans="2:40" ht="11.25" customHeight="1" x14ac:dyDescent="0.2">
      <c r="B53" s="87" t="s">
        <v>454</v>
      </c>
      <c r="C53" s="233" t="s">
        <v>448</v>
      </c>
      <c r="D53" s="62"/>
      <c r="E53" s="103">
        <f>(Datos_Peers!$B$67/Datos_Peers!$B$4)</f>
        <v>-2296.6610747334812</v>
      </c>
      <c r="F53" s="103">
        <f>(Datos_Peers!$C$67/Datos_Peers!$B$4)</f>
        <v>-1955.6253043995889</v>
      </c>
      <c r="G53" s="103">
        <f>(Datos_Peers!$D$67/Datos_Peers!$B$4)</f>
        <v>-1875.2096974944532</v>
      </c>
      <c r="H53" s="103" t="str">
        <f>""</f>
        <v/>
      </c>
      <c r="I53" s="103" t="str">
        <f>""</f>
        <v/>
      </c>
      <c r="J53" s="103" t="str">
        <f>""</f>
        <v/>
      </c>
      <c r="K53" s="193" t="str">
        <f>""</f>
        <v/>
      </c>
      <c r="AB53" s="1" t="s">
        <v>26</v>
      </c>
      <c r="AC53" s="30" t="s">
        <v>248</v>
      </c>
      <c r="AD53" s="30" t="s">
        <v>249</v>
      </c>
      <c r="AE53" s="1"/>
      <c r="AF53" s="1"/>
      <c r="AG53" s="1"/>
      <c r="AK53" s="75" t="s">
        <v>184</v>
      </c>
      <c r="AL53" s="76" t="s">
        <v>91</v>
      </c>
      <c r="AM53" s="77" t="s">
        <v>92</v>
      </c>
      <c r="AN53" s="79" t="s">
        <v>335</v>
      </c>
    </row>
    <row r="54" spans="2:40" ht="11.25" customHeight="1" x14ac:dyDescent="0.2">
      <c r="B54" s="254" t="s">
        <v>455</v>
      </c>
      <c r="C54" s="255" t="s">
        <v>449</v>
      </c>
      <c r="D54" s="256"/>
      <c r="E54" s="252">
        <f>(Datos_Peers!$B$68/Datos_Peers!$B$4)</f>
        <v>319.49780832296119</v>
      </c>
      <c r="F54" s="252" t="str">
        <f>""</f>
        <v/>
      </c>
      <c r="G54" s="252">
        <f>(Datos_Peers!$D$68/Datos_Peers!$B$4)</f>
        <v>-644.40716488987505</v>
      </c>
      <c r="H54" s="252" t="str">
        <f>""</f>
        <v/>
      </c>
      <c r="I54" s="252" t="str">
        <f>""</f>
        <v/>
      </c>
      <c r="J54" s="252" t="str">
        <f>""</f>
        <v/>
      </c>
      <c r="K54" s="253" t="str">
        <f>""</f>
        <v/>
      </c>
      <c r="AB54" s="30" t="s">
        <v>236</v>
      </c>
      <c r="AC54" s="30" t="s">
        <v>250</v>
      </c>
      <c r="AD54" s="30" t="s">
        <v>251</v>
      </c>
      <c r="AE54" s="1"/>
      <c r="AF54" s="1"/>
      <c r="AG54" s="1"/>
      <c r="AK54" s="75" t="s">
        <v>185</v>
      </c>
      <c r="AL54" s="76" t="s">
        <v>90</v>
      </c>
      <c r="AM54" s="77" t="s">
        <v>395</v>
      </c>
      <c r="AN54" s="79" t="s">
        <v>335</v>
      </c>
    </row>
    <row r="55" spans="2:40" ht="11.25" customHeight="1" x14ac:dyDescent="0.2">
      <c r="AB55" s="30" t="s">
        <v>234</v>
      </c>
      <c r="AC55" s="30" t="s">
        <v>252</v>
      </c>
      <c r="AD55" s="30" t="s">
        <v>253</v>
      </c>
      <c r="AE55" s="1"/>
      <c r="AF55" s="1"/>
      <c r="AG55" s="1"/>
      <c r="AK55" s="75" t="s">
        <v>396</v>
      </c>
      <c r="AL55" s="76" t="s">
        <v>93</v>
      </c>
      <c r="AM55" s="77" t="s">
        <v>397</v>
      </c>
      <c r="AN55" s="79" t="s">
        <v>335</v>
      </c>
    </row>
    <row r="56" spans="2:40" ht="11.25" customHeight="1" x14ac:dyDescent="0.25">
      <c r="B56" s="183" t="s">
        <v>204</v>
      </c>
      <c r="C56" s="184"/>
      <c r="D56" s="185"/>
      <c r="E56" s="185"/>
      <c r="F56" s="185"/>
      <c r="G56" s="185"/>
      <c r="H56" s="185"/>
      <c r="I56" s="185"/>
      <c r="J56" s="185"/>
      <c r="K56" s="190"/>
      <c r="AB56" s="30" t="s">
        <v>235</v>
      </c>
      <c r="AC56" s="30" t="s">
        <v>254</v>
      </c>
      <c r="AD56" s="30" t="s">
        <v>255</v>
      </c>
      <c r="AE56" s="1"/>
      <c r="AF56" s="1"/>
      <c r="AG56" s="1"/>
      <c r="AK56" s="75" t="s">
        <v>398</v>
      </c>
      <c r="AL56" s="76" t="s">
        <v>96</v>
      </c>
      <c r="AM56" s="77" t="s">
        <v>399</v>
      </c>
      <c r="AN56" s="79" t="s">
        <v>335</v>
      </c>
    </row>
    <row r="57" spans="2:40" ht="11.25" customHeight="1" x14ac:dyDescent="0.2">
      <c r="B57" s="54" t="s">
        <v>4</v>
      </c>
      <c r="C57" s="54" t="s">
        <v>4</v>
      </c>
      <c r="D57" s="24"/>
      <c r="E57" s="105">
        <f t="shared" ref="E57:K57" si="10">IFERROR((E30/E28*100)/100,"-")</f>
        <v>0.51555470529835268</v>
      </c>
      <c r="F57" s="105">
        <f t="shared" si="10"/>
        <v>0.52635213733821495</v>
      </c>
      <c r="G57" s="105">
        <f t="shared" si="10"/>
        <v>0.52520171537112115</v>
      </c>
      <c r="H57" s="105">
        <f t="shared" si="10"/>
        <v>0.52300000000000002</v>
      </c>
      <c r="I57" s="105">
        <f t="shared" si="10"/>
        <v>0.52</v>
      </c>
      <c r="J57" s="105">
        <f t="shared" si="10"/>
        <v>0.52049999999999996</v>
      </c>
      <c r="K57" s="194">
        <f t="shared" si="10"/>
        <v>0.52100000000000002</v>
      </c>
      <c r="AB57" s="1"/>
      <c r="AC57" s="30" t="s">
        <v>256</v>
      </c>
      <c r="AD57" s="30" t="s">
        <v>257</v>
      </c>
      <c r="AE57" s="1"/>
      <c r="AF57" s="1"/>
      <c r="AG57" s="1"/>
      <c r="AK57" s="75" t="s">
        <v>400</v>
      </c>
      <c r="AL57" s="76" t="s">
        <v>94</v>
      </c>
      <c r="AM57" s="77" t="s">
        <v>51</v>
      </c>
      <c r="AN57" s="79" t="s">
        <v>335</v>
      </c>
    </row>
    <row r="58" spans="2:40" ht="11.25" customHeight="1" x14ac:dyDescent="0.2">
      <c r="B58" s="54" t="s">
        <v>3</v>
      </c>
      <c r="C58" s="54" t="s">
        <v>3</v>
      </c>
      <c r="D58" s="24"/>
      <c r="E58" s="105">
        <f t="shared" ref="E58:K58" si="11">IFERROR((E31/E28*100)/100,"-")</f>
        <v>0.41449538485391829</v>
      </c>
      <c r="F58" s="105">
        <f t="shared" si="11"/>
        <v>0.4289713103211823</v>
      </c>
      <c r="G58" s="105">
        <f t="shared" si="11"/>
        <v>0.43138632621562051</v>
      </c>
      <c r="H58" s="105">
        <f t="shared" si="11"/>
        <v>0.41583983285895215</v>
      </c>
      <c r="I58" s="105">
        <f t="shared" si="11"/>
        <v>0.4265509063796914</v>
      </c>
      <c r="J58" s="105">
        <f t="shared" si="11"/>
        <v>0.42061700028755583</v>
      </c>
      <c r="K58" s="194">
        <f t="shared" si="11"/>
        <v>0.45420088969388994</v>
      </c>
      <c r="AB58" s="1"/>
      <c r="AC58" s="30" t="s">
        <v>258</v>
      </c>
      <c r="AD58" s="30" t="s">
        <v>259</v>
      </c>
      <c r="AE58" s="1"/>
      <c r="AF58" s="1"/>
      <c r="AG58" s="1"/>
      <c r="AK58" s="75" t="s">
        <v>401</v>
      </c>
      <c r="AL58" s="76" t="s">
        <v>112</v>
      </c>
      <c r="AM58" s="77" t="s">
        <v>402</v>
      </c>
      <c r="AN58" s="79" t="s">
        <v>335</v>
      </c>
    </row>
    <row r="59" spans="2:40" ht="11.25" customHeight="1" x14ac:dyDescent="0.2">
      <c r="B59" s="54" t="s">
        <v>2</v>
      </c>
      <c r="C59" s="54" t="s">
        <v>2</v>
      </c>
      <c r="D59" s="24"/>
      <c r="E59" s="105">
        <f t="shared" ref="E59:K59" si="12">IFERROR((E33/E28*100)/100,"-")</f>
        <v>8.866432095708951E-2</v>
      </c>
      <c r="F59" s="105">
        <f t="shared" si="12"/>
        <v>8.118089313921166E-2</v>
      </c>
      <c r="G59" s="105">
        <f t="shared" si="12"/>
        <v>7.9974142958523342E-2</v>
      </c>
      <c r="H59" s="105">
        <f t="shared" si="12"/>
        <v>8.7844763013146213E-2</v>
      </c>
      <c r="I59" s="105">
        <f t="shared" si="12"/>
        <v>8.7087458004707075E-2</v>
      </c>
      <c r="J59" s="105">
        <f t="shared" si="12"/>
        <v>8.9503062244612824E-2</v>
      </c>
      <c r="K59" s="194">
        <f t="shared" si="12"/>
        <v>8.3900397888549277E-2</v>
      </c>
      <c r="AB59" s="1"/>
      <c r="AC59" s="30" t="s">
        <v>260</v>
      </c>
      <c r="AD59" s="30" t="s">
        <v>261</v>
      </c>
      <c r="AE59" s="1"/>
      <c r="AF59" s="1"/>
      <c r="AG59" s="1"/>
      <c r="AK59" s="75" t="s">
        <v>186</v>
      </c>
      <c r="AL59" s="76" t="s">
        <v>95</v>
      </c>
      <c r="AM59" s="77" t="s">
        <v>95</v>
      </c>
      <c r="AN59" s="79" t="s">
        <v>335</v>
      </c>
    </row>
    <row r="60" spans="2:40" ht="11.25" customHeight="1" x14ac:dyDescent="0.2">
      <c r="B60" s="54" t="s">
        <v>1</v>
      </c>
      <c r="C60" s="54" t="s">
        <v>1</v>
      </c>
      <c r="D60" s="24"/>
      <c r="E60" s="105">
        <f t="shared" ref="E60:K60" si="13">IFERROR((E34/E28*100)/100,"-")</f>
        <v>0.1373965624601442</v>
      </c>
      <c r="F60" s="105">
        <f t="shared" si="13"/>
        <v>0.13585169040126366</v>
      </c>
      <c r="G60" s="105">
        <f t="shared" si="13"/>
        <v>0.1392532842424285</v>
      </c>
      <c r="H60" s="105">
        <f t="shared" si="13"/>
        <v>0.14572058815594732</v>
      </c>
      <c r="I60" s="105">
        <f t="shared" si="13"/>
        <v>0.14572815795619914</v>
      </c>
      <c r="J60" s="105">
        <f t="shared" si="13"/>
        <v>0.14729813938405859</v>
      </c>
      <c r="K60" s="194">
        <f t="shared" si="13"/>
        <v>0.14814430482707153</v>
      </c>
      <c r="AB60" s="1"/>
      <c r="AC60" s="30" t="s">
        <v>262</v>
      </c>
      <c r="AD60" s="30" t="s">
        <v>263</v>
      </c>
      <c r="AE60" s="1"/>
      <c r="AF60" s="1"/>
      <c r="AG60" s="1"/>
      <c r="AK60" s="75" t="s">
        <v>403</v>
      </c>
      <c r="AL60" s="76" t="s">
        <v>97</v>
      </c>
      <c r="AM60" s="77" t="s">
        <v>404</v>
      </c>
      <c r="AN60" s="79" t="s">
        <v>335</v>
      </c>
    </row>
    <row r="61" spans="2:40" ht="11.25" customHeight="1" x14ac:dyDescent="0.3">
      <c r="B61" s="257" t="s">
        <v>0</v>
      </c>
      <c r="C61" s="257" t="s">
        <v>0</v>
      </c>
      <c r="D61" s="258"/>
      <c r="E61" s="259">
        <f t="shared" ref="E61:K61" si="14">IFERROR((E36/E28*100)/100,"-")</f>
        <v>3.8704208022926935E-2</v>
      </c>
      <c r="F61" s="259">
        <f t="shared" si="14"/>
        <v>3.0719874612756673E-2</v>
      </c>
      <c r="G61" s="259">
        <f t="shared" si="14"/>
        <v>2.607485894562292E-2</v>
      </c>
      <c r="H61" s="259">
        <f t="shared" si="14"/>
        <v>3.2110749242214E-2</v>
      </c>
      <c r="I61" s="259">
        <f t="shared" si="14"/>
        <v>3.371076696430176E-2</v>
      </c>
      <c r="J61" s="259">
        <f t="shared" si="14"/>
        <v>3.7083377719104353E-2</v>
      </c>
      <c r="K61" s="260">
        <f t="shared" si="14"/>
        <v>3.508253357315657E-2</v>
      </c>
      <c r="AB61" s="1"/>
      <c r="AC61" s="43" t="s">
        <v>264</v>
      </c>
      <c r="AD61" s="30" t="s">
        <v>265</v>
      </c>
      <c r="AE61" s="1"/>
      <c r="AF61" s="1"/>
      <c r="AG61" s="1"/>
      <c r="AK61" s="75" t="s">
        <v>187</v>
      </c>
      <c r="AL61" s="76" t="s">
        <v>98</v>
      </c>
      <c r="AM61" s="77" t="s">
        <v>405</v>
      </c>
      <c r="AN61" s="79" t="s">
        <v>335</v>
      </c>
    </row>
    <row r="62" spans="2:40" ht="11.25" customHeight="1" x14ac:dyDescent="0.3">
      <c r="B62" s="173"/>
      <c r="C62" s="173"/>
      <c r="D62" s="173"/>
      <c r="E62" s="173"/>
      <c r="F62" s="173"/>
      <c r="G62" s="173"/>
      <c r="H62" s="173"/>
      <c r="I62" s="173"/>
      <c r="J62" s="173"/>
      <c r="K62" s="173"/>
      <c r="AB62" s="1"/>
      <c r="AC62" s="43" t="s">
        <v>266</v>
      </c>
      <c r="AD62" s="30" t="s">
        <v>267</v>
      </c>
      <c r="AE62" s="1"/>
      <c r="AF62" s="1"/>
      <c r="AG62" s="1"/>
      <c r="AK62" s="75" t="s">
        <v>406</v>
      </c>
      <c r="AL62" s="76" t="s">
        <v>123</v>
      </c>
      <c r="AM62" s="77" t="s">
        <v>115</v>
      </c>
      <c r="AN62" s="79" t="s">
        <v>335</v>
      </c>
    </row>
    <row r="63" spans="2:40" ht="11.25" customHeight="1" x14ac:dyDescent="0.2">
      <c r="B63" s="261" t="s">
        <v>446</v>
      </c>
      <c r="AB63" s="1"/>
      <c r="AC63" s="30" t="s">
        <v>268</v>
      </c>
      <c r="AD63" s="30" t="s">
        <v>269</v>
      </c>
      <c r="AE63" s="1"/>
      <c r="AF63" s="1"/>
      <c r="AG63" s="1"/>
      <c r="AK63" s="75" t="s">
        <v>188</v>
      </c>
      <c r="AL63" s="76" t="s">
        <v>99</v>
      </c>
      <c r="AM63" s="77" t="s">
        <v>99</v>
      </c>
      <c r="AN63" s="79" t="s">
        <v>335</v>
      </c>
    </row>
    <row r="64" spans="2:40" ht="11.25" customHeight="1" x14ac:dyDescent="0.2">
      <c r="X64" s="32"/>
      <c r="AB64" s="1"/>
      <c r="AC64" s="30" t="s">
        <v>270</v>
      </c>
      <c r="AD64" s="30" t="s">
        <v>271</v>
      </c>
      <c r="AK64" s="75" t="s">
        <v>407</v>
      </c>
      <c r="AL64" s="76" t="s">
        <v>138</v>
      </c>
      <c r="AM64" s="77" t="s">
        <v>408</v>
      </c>
      <c r="AN64" s="79" t="s">
        <v>335</v>
      </c>
    </row>
    <row r="65" spans="23:40" ht="11.25" customHeight="1" x14ac:dyDescent="0.2">
      <c r="AC65" s="30" t="s">
        <v>272</v>
      </c>
      <c r="AD65" s="30" t="s">
        <v>273</v>
      </c>
      <c r="AK65" s="75" t="s">
        <v>189</v>
      </c>
      <c r="AL65" s="76" t="s">
        <v>100</v>
      </c>
      <c r="AM65" s="77" t="s">
        <v>409</v>
      </c>
      <c r="AN65" s="79" t="s">
        <v>335</v>
      </c>
    </row>
    <row r="66" spans="23:40" ht="11.25" customHeight="1" x14ac:dyDescent="0.2">
      <c r="AC66" s="30"/>
      <c r="AD66" s="30" t="s">
        <v>274</v>
      </c>
      <c r="AK66" s="75" t="s">
        <v>190</v>
      </c>
      <c r="AL66" s="76" t="s">
        <v>124</v>
      </c>
      <c r="AM66" s="77" t="s">
        <v>124</v>
      </c>
      <c r="AN66" s="79" t="s">
        <v>335</v>
      </c>
    </row>
    <row r="67" spans="23:40" ht="11.25" customHeight="1" x14ac:dyDescent="0.2">
      <c r="AC67" s="30"/>
      <c r="AD67" s="30" t="s">
        <v>275</v>
      </c>
      <c r="AK67" s="75" t="s">
        <v>191</v>
      </c>
      <c r="AL67" s="76" t="s">
        <v>102</v>
      </c>
      <c r="AM67" s="77" t="s">
        <v>103</v>
      </c>
      <c r="AN67" s="79" t="s">
        <v>335</v>
      </c>
    </row>
    <row r="68" spans="23:40" ht="11.25" customHeight="1" x14ac:dyDescent="0.2">
      <c r="AC68" s="30"/>
      <c r="AD68" s="30" t="s">
        <v>276</v>
      </c>
      <c r="AK68" s="75" t="s">
        <v>192</v>
      </c>
      <c r="AL68" s="76" t="s">
        <v>109</v>
      </c>
      <c r="AM68" s="77" t="s">
        <v>110</v>
      </c>
      <c r="AN68" s="79" t="s">
        <v>335</v>
      </c>
    </row>
    <row r="69" spans="23:40" ht="11.25" customHeight="1" x14ac:dyDescent="0.2">
      <c r="AC69" s="30"/>
      <c r="AD69" s="30" t="s">
        <v>277</v>
      </c>
      <c r="AK69" s="75" t="s">
        <v>193</v>
      </c>
      <c r="AL69" s="76" t="s">
        <v>84</v>
      </c>
      <c r="AM69" s="77" t="s">
        <v>410</v>
      </c>
      <c r="AN69" s="79" t="s">
        <v>45</v>
      </c>
    </row>
    <row r="70" spans="23:40" ht="11.25" customHeight="1" x14ac:dyDescent="0.2">
      <c r="AC70" s="30"/>
      <c r="AD70" s="30" t="s">
        <v>278</v>
      </c>
      <c r="AK70" s="75" t="s">
        <v>194</v>
      </c>
      <c r="AL70" s="76" t="s">
        <v>86</v>
      </c>
      <c r="AM70" s="77" t="s">
        <v>411</v>
      </c>
      <c r="AN70" s="79" t="s">
        <v>335</v>
      </c>
    </row>
    <row r="71" spans="23:40" ht="11.25" customHeight="1" x14ac:dyDescent="0.2">
      <c r="AC71" s="30"/>
      <c r="AD71" s="30" t="s">
        <v>279</v>
      </c>
      <c r="AK71" s="75" t="s">
        <v>195</v>
      </c>
      <c r="AL71" s="76" t="s">
        <v>101</v>
      </c>
      <c r="AM71" s="77" t="s">
        <v>377</v>
      </c>
      <c r="AN71" s="79" t="s">
        <v>335</v>
      </c>
    </row>
    <row r="72" spans="23:40" ht="11.25" customHeight="1" x14ac:dyDescent="0.2">
      <c r="AC72" s="30"/>
      <c r="AD72" s="30" t="s">
        <v>280</v>
      </c>
      <c r="AK72" s="75" t="s">
        <v>196</v>
      </c>
      <c r="AL72" s="76" t="s">
        <v>67</v>
      </c>
      <c r="AM72" s="77" t="s">
        <v>412</v>
      </c>
      <c r="AN72" s="79" t="s">
        <v>335</v>
      </c>
    </row>
    <row r="73" spans="23:40" ht="11.25" customHeight="1" x14ac:dyDescent="0.2">
      <c r="AC73" s="30"/>
      <c r="AD73" s="30" t="s">
        <v>281</v>
      </c>
      <c r="AK73" s="75" t="s">
        <v>413</v>
      </c>
      <c r="AL73" s="76" t="s">
        <v>139</v>
      </c>
      <c r="AM73" s="77" t="s">
        <v>414</v>
      </c>
      <c r="AN73" s="79" t="s">
        <v>335</v>
      </c>
    </row>
    <row r="74" spans="23:40" ht="11.25" customHeight="1" x14ac:dyDescent="0.2">
      <c r="AC74" s="30"/>
      <c r="AD74" s="30" t="s">
        <v>282</v>
      </c>
      <c r="AK74" s="75" t="s">
        <v>415</v>
      </c>
      <c r="AL74" s="76" t="s">
        <v>104</v>
      </c>
      <c r="AM74" s="77" t="s">
        <v>105</v>
      </c>
      <c r="AN74" s="79" t="s">
        <v>335</v>
      </c>
    </row>
    <row r="75" spans="23:40" ht="11.25" customHeight="1" x14ac:dyDescent="0.2">
      <c r="AC75" s="30"/>
      <c r="AD75" s="30" t="s">
        <v>283</v>
      </c>
      <c r="AK75" s="75" t="s">
        <v>197</v>
      </c>
      <c r="AL75" s="76" t="s">
        <v>125</v>
      </c>
      <c r="AM75" s="77" t="s">
        <v>416</v>
      </c>
      <c r="AN75" s="79" t="s">
        <v>335</v>
      </c>
    </row>
    <row r="76" spans="23:40" ht="11.25" customHeight="1" x14ac:dyDescent="0.2">
      <c r="AC76" s="30"/>
      <c r="AD76" s="30" t="s">
        <v>284</v>
      </c>
      <c r="AK76" s="75" t="s">
        <v>417</v>
      </c>
      <c r="AL76" s="76" t="s">
        <v>118</v>
      </c>
      <c r="AM76" s="77" t="s">
        <v>418</v>
      </c>
      <c r="AN76" s="79" t="s">
        <v>335</v>
      </c>
    </row>
    <row r="77" spans="23:40" ht="11.25" customHeight="1" x14ac:dyDescent="0.2">
      <c r="AC77" s="30"/>
      <c r="AD77" s="30" t="s">
        <v>285</v>
      </c>
      <c r="AK77" s="75" t="s">
        <v>419</v>
      </c>
      <c r="AL77" s="76" t="s">
        <v>140</v>
      </c>
      <c r="AM77" s="77" t="s">
        <v>344</v>
      </c>
      <c r="AN77" s="79" t="s">
        <v>335</v>
      </c>
    </row>
    <row r="78" spans="23:40" ht="11.25" customHeight="1" x14ac:dyDescent="0.2">
      <c r="AC78" s="30"/>
      <c r="AD78" s="30" t="s">
        <v>286</v>
      </c>
      <c r="AK78" s="75" t="s">
        <v>420</v>
      </c>
      <c r="AL78" s="76" t="s">
        <v>55</v>
      </c>
      <c r="AM78" s="77" t="s">
        <v>421</v>
      </c>
      <c r="AN78" s="79" t="s">
        <v>335</v>
      </c>
    </row>
    <row r="79" spans="23:40" ht="11.25" customHeight="1" x14ac:dyDescent="0.2">
      <c r="AC79" s="30"/>
      <c r="AD79" s="30" t="s">
        <v>287</v>
      </c>
      <c r="AK79" s="75" t="s">
        <v>422</v>
      </c>
      <c r="AL79" s="76" t="s">
        <v>141</v>
      </c>
      <c r="AM79" s="77" t="s">
        <v>141</v>
      </c>
      <c r="AN79" s="79" t="s">
        <v>335</v>
      </c>
    </row>
    <row r="80" spans="23:40" ht="11.25" customHeight="1" x14ac:dyDescent="0.25">
      <c r="W80" s="55"/>
      <c r="X80" s="55"/>
      <c r="Y80" s="30"/>
      <c r="Z80" s="30"/>
      <c r="AA80" s="30"/>
      <c r="AC80" s="30"/>
      <c r="AD80" s="30" t="s">
        <v>288</v>
      </c>
      <c r="AE80" s="30"/>
      <c r="AK80" s="75" t="s">
        <v>423</v>
      </c>
      <c r="AL80" s="76" t="s">
        <v>142</v>
      </c>
      <c r="AM80" s="77" t="s">
        <v>142</v>
      </c>
      <c r="AN80" s="79" t="s">
        <v>45</v>
      </c>
    </row>
    <row r="81" spans="23:40" ht="11.25" customHeight="1" x14ac:dyDescent="0.25">
      <c r="W81" s="55"/>
      <c r="X81" s="55"/>
      <c r="Y81" s="30"/>
      <c r="Z81" s="30"/>
      <c r="AA81" s="30"/>
      <c r="AC81" s="30"/>
      <c r="AD81" s="30" t="s">
        <v>289</v>
      </c>
      <c r="AE81" s="30"/>
      <c r="AK81" s="75" t="s">
        <v>424</v>
      </c>
      <c r="AL81" s="76" t="s">
        <v>144</v>
      </c>
      <c r="AM81" s="77" t="s">
        <v>425</v>
      </c>
      <c r="AN81" s="79" t="s">
        <v>335</v>
      </c>
    </row>
    <row r="82" spans="23:40" ht="11.25" customHeight="1" x14ac:dyDescent="0.2">
      <c r="Z82" s="30"/>
      <c r="AA82" s="30"/>
      <c r="AB82" s="30"/>
      <c r="AC82" s="30"/>
      <c r="AD82" s="30" t="s">
        <v>290</v>
      </c>
      <c r="AE82" s="30"/>
      <c r="AK82" s="80" t="s">
        <v>426</v>
      </c>
      <c r="AL82" s="81" t="s">
        <v>119</v>
      </c>
      <c r="AM82" s="82" t="s">
        <v>427</v>
      </c>
      <c r="AN82" s="83" t="s">
        <v>45</v>
      </c>
    </row>
    <row r="83" spans="23:40" ht="11.25" customHeight="1" x14ac:dyDescent="0.2">
      <c r="W83" s="56"/>
      <c r="X83" s="56"/>
      <c r="AB83" s="30"/>
      <c r="AC83" s="30"/>
      <c r="AD83" s="30" t="s">
        <v>291</v>
      </c>
      <c r="AK83" s="30"/>
      <c r="AL83" s="30"/>
      <c r="AM83" s="30"/>
    </row>
    <row r="84" spans="23:40" ht="11.25" customHeight="1" x14ac:dyDescent="0.2">
      <c r="W84" s="56"/>
      <c r="X84" s="56"/>
      <c r="AB84" s="30"/>
      <c r="AC84" s="30"/>
      <c r="AD84" s="30" t="s">
        <v>292</v>
      </c>
      <c r="AK84" s="30"/>
      <c r="AL84" s="30"/>
      <c r="AM84" s="30"/>
    </row>
    <row r="85" spans="23:40" ht="11.25" customHeight="1" x14ac:dyDescent="0.2">
      <c r="W85" s="56"/>
      <c r="X85" s="56"/>
      <c r="AC85" s="30"/>
      <c r="AD85" s="30" t="s">
        <v>293</v>
      </c>
      <c r="AK85" s="30"/>
      <c r="AL85" s="30"/>
      <c r="AM85" s="30"/>
    </row>
    <row r="86" spans="23:40" ht="11.25" customHeight="1" x14ac:dyDescent="0.2">
      <c r="W86" s="56"/>
      <c r="X86" s="56"/>
      <c r="AC86" s="30"/>
      <c r="AD86" s="30" t="s">
        <v>294</v>
      </c>
      <c r="AK86" s="30"/>
      <c r="AL86" s="30"/>
      <c r="AM86" s="30"/>
    </row>
    <row r="87" spans="23:40" ht="11.25" customHeight="1" x14ac:dyDescent="0.2">
      <c r="W87" s="56"/>
      <c r="X87" s="56"/>
      <c r="AC87" s="30"/>
      <c r="AD87" s="30" t="s">
        <v>295</v>
      </c>
      <c r="AK87" s="30"/>
      <c r="AL87" s="30"/>
      <c r="AM87" s="30"/>
    </row>
    <row r="88" spans="23:40" ht="11.25" customHeight="1" x14ac:dyDescent="0.2">
      <c r="W88" s="56"/>
      <c r="X88" s="56"/>
      <c r="AC88" s="30"/>
      <c r="AD88" s="30" t="s">
        <v>296</v>
      </c>
      <c r="AK88" s="30"/>
      <c r="AL88" s="30"/>
      <c r="AM88" s="30"/>
    </row>
    <row r="89" spans="23:40" ht="11.25" customHeight="1" x14ac:dyDescent="0.2">
      <c r="W89" s="56"/>
      <c r="X89" s="56"/>
      <c r="AC89" s="30"/>
      <c r="AD89" s="30" t="s">
        <v>297</v>
      </c>
      <c r="AK89" s="30"/>
      <c r="AL89" s="30"/>
      <c r="AM89" s="30"/>
    </row>
    <row r="90" spans="23:40" ht="11.25" customHeight="1" x14ac:dyDescent="0.2">
      <c r="W90" s="56"/>
      <c r="X90" s="56"/>
      <c r="AC90" s="30"/>
      <c r="AD90" s="30" t="s">
        <v>298</v>
      </c>
      <c r="AK90" s="30"/>
      <c r="AL90" s="30"/>
      <c r="AM90" s="30"/>
    </row>
    <row r="91" spans="23:40" ht="11.25" customHeight="1" x14ac:dyDescent="0.2">
      <c r="W91" s="56"/>
      <c r="X91" s="56"/>
      <c r="AC91" s="30"/>
      <c r="AD91" s="30" t="s">
        <v>299</v>
      </c>
      <c r="AK91" s="30"/>
      <c r="AL91" s="30"/>
      <c r="AM91" s="30"/>
    </row>
    <row r="92" spans="23:40" ht="11.25" customHeight="1" x14ac:dyDescent="0.2">
      <c r="W92" s="56"/>
      <c r="X92" s="56"/>
      <c r="AC92" s="30"/>
      <c r="AD92" s="30" t="s">
        <v>300</v>
      </c>
      <c r="AK92" s="30"/>
      <c r="AL92" s="30"/>
      <c r="AM92" s="30"/>
    </row>
    <row r="93" spans="23:40" ht="11.25" customHeight="1" x14ac:dyDescent="0.2">
      <c r="AC93" s="30"/>
      <c r="AD93" s="30" t="s">
        <v>301</v>
      </c>
      <c r="AK93" s="30"/>
      <c r="AL93" s="30"/>
      <c r="AM93" s="30"/>
    </row>
    <row r="94" spans="23:40" ht="11.25" customHeight="1" x14ac:dyDescent="0.35">
      <c r="X94" s="44"/>
      <c r="AC94" s="30"/>
      <c r="AD94" s="30" t="s">
        <v>302</v>
      </c>
      <c r="AK94" s="30"/>
      <c r="AL94" s="30"/>
      <c r="AM94" s="30"/>
    </row>
    <row r="95" spans="23:40" ht="11.25" customHeight="1" x14ac:dyDescent="0.35">
      <c r="X95" s="44"/>
      <c r="AC95" s="30"/>
      <c r="AD95" s="30" t="s">
        <v>303</v>
      </c>
      <c r="AK95" s="30"/>
      <c r="AL95" s="30"/>
      <c r="AM95" s="30"/>
    </row>
    <row r="96" spans="23:40" ht="11.25" customHeight="1" x14ac:dyDescent="0.25">
      <c r="W96" s="55"/>
      <c r="X96" s="55"/>
      <c r="AC96" s="30"/>
      <c r="AD96" s="30" t="s">
        <v>304</v>
      </c>
      <c r="AK96" s="30"/>
      <c r="AL96" s="30"/>
      <c r="AM96" s="30"/>
    </row>
    <row r="97" spans="23:39" ht="11.25" customHeight="1" x14ac:dyDescent="0.25">
      <c r="W97" s="55"/>
      <c r="X97" s="55"/>
      <c r="AC97" s="30"/>
      <c r="AD97" s="30" t="s">
        <v>305</v>
      </c>
      <c r="AK97" s="30"/>
      <c r="AL97" s="30"/>
      <c r="AM97" s="30"/>
    </row>
    <row r="98" spans="23:39" ht="11.25" customHeight="1" x14ac:dyDescent="0.25">
      <c r="W98" s="55"/>
      <c r="X98" s="55"/>
      <c r="AC98" s="30"/>
      <c r="AD98" s="30" t="s">
        <v>306</v>
      </c>
      <c r="AK98" s="30"/>
      <c r="AL98" s="30"/>
      <c r="AM98" s="30"/>
    </row>
    <row r="99" spans="23:39" ht="11.25" customHeight="1" x14ac:dyDescent="0.2">
      <c r="W99" s="53"/>
      <c r="X99" s="53"/>
      <c r="AC99" s="30"/>
      <c r="AD99" s="30" t="s">
        <v>307</v>
      </c>
      <c r="AK99" s="30"/>
      <c r="AL99" s="30"/>
      <c r="AM99" s="30"/>
    </row>
    <row r="100" spans="23:39" ht="11.25" customHeight="1" x14ac:dyDescent="0.2">
      <c r="W100" s="53"/>
      <c r="X100" s="53"/>
      <c r="AC100" s="30"/>
      <c r="AD100" s="30" t="s">
        <v>308</v>
      </c>
      <c r="AK100" s="30"/>
      <c r="AL100" s="30"/>
      <c r="AM100" s="30"/>
    </row>
    <row r="101" spans="23:39" ht="11.25" customHeight="1" x14ac:dyDescent="0.2">
      <c r="AC101" s="30"/>
      <c r="AD101" s="30" t="s">
        <v>309</v>
      </c>
      <c r="AK101" s="30"/>
      <c r="AL101" s="30"/>
      <c r="AM101" s="30"/>
    </row>
    <row r="102" spans="23:39" ht="11.25" customHeight="1" x14ac:dyDescent="0.2">
      <c r="AC102" s="30"/>
      <c r="AD102" s="30" t="s">
        <v>310</v>
      </c>
      <c r="AK102" s="30"/>
      <c r="AL102" s="30"/>
      <c r="AM102" s="30"/>
    </row>
    <row r="103" spans="23:39" ht="11.25" customHeight="1" x14ac:dyDescent="0.2">
      <c r="AC103" s="30"/>
      <c r="AD103" s="30" t="s">
        <v>311</v>
      </c>
      <c r="AK103" s="30"/>
      <c r="AL103" s="30"/>
      <c r="AM103" s="30"/>
    </row>
    <row r="104" spans="23:39" ht="11.25" customHeight="1" x14ac:dyDescent="0.2">
      <c r="AC104" s="30"/>
      <c r="AD104" s="30" t="s">
        <v>312</v>
      </c>
      <c r="AK104" s="30"/>
      <c r="AL104" s="30"/>
      <c r="AM104" s="30"/>
    </row>
    <row r="105" spans="23:39" ht="11.25" customHeight="1" x14ac:dyDescent="0.2">
      <c r="AC105" s="30"/>
      <c r="AD105" s="30" t="s">
        <v>313</v>
      </c>
      <c r="AK105" s="30"/>
      <c r="AL105" s="30"/>
      <c r="AM105" s="30"/>
    </row>
    <row r="106" spans="23:39" ht="11.25" customHeight="1" x14ac:dyDescent="0.2">
      <c r="AC106" s="30"/>
      <c r="AD106" s="30" t="s">
        <v>314</v>
      </c>
      <c r="AK106" s="30"/>
      <c r="AL106" s="30"/>
      <c r="AM106" s="30"/>
    </row>
    <row r="107" spans="23:39" ht="11.25" customHeight="1" x14ac:dyDescent="0.2">
      <c r="AC107" s="30"/>
      <c r="AD107" s="30" t="s">
        <v>315</v>
      </c>
      <c r="AK107" s="30"/>
      <c r="AL107" s="30"/>
      <c r="AM107" s="30"/>
    </row>
    <row r="108" spans="23:39" ht="11.25" customHeight="1" x14ac:dyDescent="0.2">
      <c r="AC108" s="30"/>
      <c r="AD108" s="30" t="s">
        <v>316</v>
      </c>
      <c r="AK108" s="30"/>
      <c r="AL108" s="30"/>
      <c r="AM108" s="30"/>
    </row>
    <row r="109" spans="23:39" ht="11.25" customHeight="1" x14ac:dyDescent="0.2">
      <c r="AC109" s="30"/>
      <c r="AD109" s="30" t="s">
        <v>317</v>
      </c>
      <c r="AK109" s="30"/>
      <c r="AL109" s="30"/>
      <c r="AM109" s="30"/>
    </row>
    <row r="110" spans="23:39" ht="11.25" customHeight="1" x14ac:dyDescent="0.2">
      <c r="AC110" s="30"/>
      <c r="AD110" s="30" t="s">
        <v>318</v>
      </c>
      <c r="AK110" s="30"/>
      <c r="AL110" s="30"/>
      <c r="AM110" s="30"/>
    </row>
    <row r="111" spans="23:39" ht="11.25" customHeight="1" x14ac:dyDescent="0.2">
      <c r="AC111" s="30"/>
      <c r="AD111" s="30" t="s">
        <v>319</v>
      </c>
      <c r="AK111" s="30"/>
      <c r="AL111" s="30"/>
      <c r="AM111" s="30"/>
    </row>
    <row r="112" spans="23:39" ht="11.25" customHeight="1" x14ac:dyDescent="0.2">
      <c r="AC112" s="30"/>
      <c r="AD112" s="30" t="s">
        <v>320</v>
      </c>
      <c r="AK112" s="30"/>
      <c r="AL112" s="30"/>
      <c r="AM112" s="30"/>
    </row>
    <row r="113" spans="24:39" ht="11.25" customHeight="1" x14ac:dyDescent="0.2">
      <c r="Z113"/>
      <c r="AA113"/>
      <c r="AC113" s="30"/>
      <c r="AD113" s="30" t="s">
        <v>321</v>
      </c>
      <c r="AK113" s="30"/>
      <c r="AL113" s="30"/>
      <c r="AM113" s="30"/>
    </row>
    <row r="114" spans="24:39" ht="11.25" customHeight="1" x14ac:dyDescent="0.2">
      <c r="Z114"/>
      <c r="AA114"/>
      <c r="AC114" s="30"/>
      <c r="AD114" s="30" t="s">
        <v>322</v>
      </c>
      <c r="AK114" s="30"/>
      <c r="AL114" s="30"/>
      <c r="AM114" s="30"/>
    </row>
    <row r="115" spans="24:39" ht="11.25" customHeight="1" x14ac:dyDescent="0.2">
      <c r="X115"/>
      <c r="Y115"/>
      <c r="Z115"/>
      <c r="AA115"/>
      <c r="AB115"/>
      <c r="AC115" s="30"/>
      <c r="AD115" s="30" t="s">
        <v>323</v>
      </c>
      <c r="AK115" s="30"/>
      <c r="AL115" s="30"/>
      <c r="AM115" s="30"/>
    </row>
    <row r="116" spans="24:39" ht="11.25" customHeight="1" x14ac:dyDescent="0.2">
      <c r="X116"/>
      <c r="Y116"/>
      <c r="Z116"/>
      <c r="AA116"/>
      <c r="AB116"/>
      <c r="AC116" s="30"/>
      <c r="AD116" s="30" t="s">
        <v>324</v>
      </c>
      <c r="AK116" s="30"/>
      <c r="AL116" s="30"/>
      <c r="AM116" s="30"/>
    </row>
    <row r="117" spans="24:39" ht="11.25" customHeight="1" x14ac:dyDescent="0.2">
      <c r="X117"/>
      <c r="Y117"/>
      <c r="Z117"/>
      <c r="AA117"/>
      <c r="AB117"/>
      <c r="AC117" s="30"/>
      <c r="AD117" s="30" t="s">
        <v>325</v>
      </c>
      <c r="AK117" s="30"/>
      <c r="AL117" s="30"/>
      <c r="AM117" s="30"/>
    </row>
    <row r="118" spans="24:39" ht="11.25" customHeight="1" x14ac:dyDescent="0.2">
      <c r="Z118"/>
      <c r="AA118"/>
      <c r="AE118" s="101"/>
      <c r="AF118" s="101"/>
      <c r="AG118" s="101"/>
      <c r="AH118" s="101"/>
      <c r="AI118" s="101"/>
      <c r="AJ118" s="101"/>
      <c r="AK118" s="101"/>
      <c r="AL118" s="101"/>
      <c r="AM118" s="30"/>
    </row>
    <row r="119" spans="24:39" ht="11.25" customHeight="1" x14ac:dyDescent="0.2">
      <c r="Z119"/>
      <c r="AA119"/>
      <c r="AE119" s="100"/>
      <c r="AF119" s="100"/>
      <c r="AG119" s="100"/>
      <c r="AH119" s="100"/>
      <c r="AI119" s="100"/>
      <c r="AJ119" s="100"/>
      <c r="AK119" s="100"/>
      <c r="AL119" s="100"/>
      <c r="AM119" s="30"/>
    </row>
    <row r="120" spans="24:39" ht="11.25" customHeight="1" x14ac:dyDescent="0.2">
      <c r="Z120"/>
      <c r="AA120"/>
      <c r="AE120" s="15"/>
      <c r="AF120" s="15"/>
      <c r="AG120" s="102"/>
      <c r="AH120" s="102"/>
      <c r="AI120" s="15"/>
      <c r="AJ120" s="15"/>
      <c r="AK120" s="15"/>
      <c r="AL120" s="15"/>
      <c r="AM120" s="30"/>
    </row>
    <row r="121" spans="24:39" ht="11.25" customHeight="1" x14ac:dyDescent="0.2">
      <c r="Z121"/>
      <c r="AA121"/>
      <c r="AB121" s="1"/>
      <c r="AC121" s="1"/>
      <c r="AD121" s="1"/>
      <c r="AE121" s="1"/>
      <c r="AF121" s="1"/>
      <c r="AG121"/>
      <c r="AH121"/>
      <c r="AI121" s="1"/>
      <c r="AJ121" s="1"/>
      <c r="AM121" s="30"/>
    </row>
    <row r="122" spans="24:39" ht="11.25" customHeight="1" x14ac:dyDescent="0.2">
      <c r="Z122"/>
      <c r="AA122"/>
      <c r="AB122" s="1"/>
      <c r="AC122" s="100"/>
      <c r="AD122" s="100"/>
      <c r="AE122" s="100"/>
      <c r="AF122" s="100"/>
      <c r="AG122" s="100"/>
      <c r="AH122" s="100"/>
      <c r="AI122" s="100"/>
      <c r="AJ122" s="100"/>
      <c r="AK122" s="100"/>
      <c r="AL122" s="100"/>
      <c r="AM122" s="30"/>
    </row>
    <row r="123" spans="24:39" ht="11.25" customHeight="1" x14ac:dyDescent="0.2">
      <c r="Z123"/>
      <c r="AA123"/>
      <c r="AB123"/>
      <c r="AK123" s="30"/>
      <c r="AL123" s="30"/>
      <c r="AM123" s="30"/>
    </row>
    <row r="124" spans="24:39" ht="11.25" customHeight="1" x14ac:dyDescent="0.2">
      <c r="Z124"/>
      <c r="AA124"/>
      <c r="AB124"/>
      <c r="AK124" s="30"/>
      <c r="AL124" s="30"/>
      <c r="AM124" s="30"/>
    </row>
    <row r="125" spans="24:39" ht="11.25" customHeight="1" x14ac:dyDescent="0.2">
      <c r="Z125"/>
      <c r="AA125"/>
      <c r="AB125"/>
      <c r="AK125" s="30"/>
      <c r="AL125" s="30"/>
      <c r="AM125" s="30"/>
    </row>
    <row r="126" spans="24:39" ht="11.25" customHeight="1" x14ac:dyDescent="0.2">
      <c r="Z126"/>
      <c r="AA126"/>
      <c r="AB126"/>
      <c r="AK126" s="30"/>
      <c r="AL126" s="30"/>
      <c r="AM126" s="30"/>
    </row>
    <row r="127" spans="24:39" ht="11.25" customHeight="1" x14ac:dyDescent="0.2">
      <c r="Z127"/>
      <c r="AA127"/>
      <c r="AB127"/>
      <c r="AK127" s="30"/>
      <c r="AL127" s="30"/>
      <c r="AM127" s="30"/>
    </row>
    <row r="128" spans="24:39" ht="11.25" customHeight="1" x14ac:dyDescent="0.2">
      <c r="Z128"/>
      <c r="AA128"/>
      <c r="AB128"/>
      <c r="AK128" s="30"/>
      <c r="AL128" s="30"/>
      <c r="AM128" s="30"/>
    </row>
    <row r="129" spans="26:39" ht="11.25" customHeight="1" x14ac:dyDescent="0.2">
      <c r="Z129"/>
      <c r="AA129"/>
      <c r="AB129"/>
      <c r="AK129" s="30"/>
      <c r="AL129" s="30"/>
      <c r="AM129" s="30"/>
    </row>
    <row r="130" spans="26:39" ht="11.25" customHeight="1" x14ac:dyDescent="0.2">
      <c r="Z130"/>
      <c r="AA130"/>
      <c r="AB130"/>
      <c r="AK130" s="30"/>
      <c r="AL130" s="30"/>
      <c r="AM130" s="30"/>
    </row>
    <row r="131" spans="26:39" ht="11.25" customHeight="1" x14ac:dyDescent="0.2">
      <c r="Z131"/>
      <c r="AA131"/>
      <c r="AB131"/>
      <c r="AK131" s="30"/>
      <c r="AL131" s="30"/>
      <c r="AM131" s="30"/>
    </row>
    <row r="132" spans="26:39" ht="11.25" customHeight="1" x14ac:dyDescent="0.2">
      <c r="Z132"/>
      <c r="AA132"/>
      <c r="AB132"/>
      <c r="AK132" s="30"/>
      <c r="AL132" s="30"/>
      <c r="AM132" s="30"/>
    </row>
    <row r="133" spans="26:39" ht="11.25" customHeight="1" x14ac:dyDescent="0.2">
      <c r="Z133"/>
      <c r="AA133"/>
      <c r="AB133"/>
      <c r="AK133" s="30"/>
      <c r="AL133" s="30"/>
      <c r="AM133" s="30"/>
    </row>
    <row r="134" spans="26:39" ht="11.25" customHeight="1" x14ac:dyDescent="0.2">
      <c r="AK134" s="30"/>
      <c r="AL134" s="30"/>
      <c r="AM134" s="30"/>
    </row>
    <row r="135" spans="26:39" ht="11.25" customHeight="1" x14ac:dyDescent="0.2">
      <c r="AK135" s="30"/>
      <c r="AL135" s="30"/>
      <c r="AM135" s="30"/>
    </row>
    <row r="136" spans="26:39" ht="11.25" customHeight="1" x14ac:dyDescent="0.2">
      <c r="AK136" s="30"/>
      <c r="AL136" s="30"/>
      <c r="AM136" s="30"/>
    </row>
    <row r="137" spans="26:39" ht="11.25" customHeight="1" x14ac:dyDescent="0.2">
      <c r="AK137" s="30"/>
      <c r="AL137" s="30"/>
      <c r="AM137" s="30"/>
    </row>
    <row r="138" spans="26:39" ht="11.25" customHeight="1" x14ac:dyDescent="0.2">
      <c r="AK138" s="30"/>
      <c r="AL138" s="30"/>
      <c r="AM138" s="30"/>
    </row>
    <row r="139" spans="26:39" ht="11.25" customHeight="1" x14ac:dyDescent="0.2">
      <c r="AK139" s="30"/>
      <c r="AL139" s="30"/>
      <c r="AM139" s="30"/>
    </row>
    <row r="140" spans="26:39" ht="11.25" customHeight="1" x14ac:dyDescent="0.2">
      <c r="AK140" s="30"/>
      <c r="AL140" s="30"/>
      <c r="AM140" s="30"/>
    </row>
    <row r="141" spans="26:39" ht="11.25" customHeight="1" x14ac:dyDescent="0.2">
      <c r="AK141" s="30"/>
      <c r="AL141" s="30"/>
      <c r="AM141" s="30"/>
    </row>
    <row r="142" spans="26:39" ht="11.25" customHeight="1" x14ac:dyDescent="0.2">
      <c r="AK142" s="30"/>
      <c r="AL142" s="30"/>
      <c r="AM142" s="30"/>
    </row>
    <row r="143" spans="26:39" ht="11.25" customHeight="1" x14ac:dyDescent="0.2">
      <c r="AK143" s="30"/>
      <c r="AL143" s="30"/>
      <c r="AM143" s="30"/>
    </row>
    <row r="144" spans="26:39" ht="11.25" customHeight="1" x14ac:dyDescent="0.2">
      <c r="AK144" s="30"/>
      <c r="AL144" s="30"/>
      <c r="AM144" s="30"/>
    </row>
    <row r="145" spans="37:39" ht="11.25" customHeight="1" x14ac:dyDescent="0.2">
      <c r="AK145" s="30"/>
      <c r="AL145" s="30"/>
      <c r="AM145" s="30"/>
    </row>
    <row r="146" spans="37:39" ht="11.25" customHeight="1" x14ac:dyDescent="0.2">
      <c r="AK146" s="30"/>
      <c r="AL146" s="30"/>
      <c r="AM146" s="30"/>
    </row>
    <row r="147" spans="37:39" ht="11.25" customHeight="1" x14ac:dyDescent="0.2">
      <c r="AK147" s="30"/>
      <c r="AL147" s="30"/>
      <c r="AM147" s="30"/>
    </row>
    <row r="148" spans="37:39" ht="11.25" customHeight="1" x14ac:dyDescent="0.2">
      <c r="AK148" s="30"/>
      <c r="AL148" s="30"/>
      <c r="AM148" s="30"/>
    </row>
    <row r="149" spans="37:39" ht="11.25" customHeight="1" x14ac:dyDescent="0.2">
      <c r="AK149" s="30"/>
      <c r="AL149" s="30"/>
      <c r="AM149" s="30"/>
    </row>
    <row r="150" spans="37:39" ht="11.25" customHeight="1" x14ac:dyDescent="0.2">
      <c r="AK150" s="30"/>
      <c r="AL150" s="30"/>
      <c r="AM150" s="30"/>
    </row>
    <row r="151" spans="37:39" ht="11.25" customHeight="1" x14ac:dyDescent="0.2">
      <c r="AK151" s="30"/>
      <c r="AL151" s="30"/>
      <c r="AM151" s="30"/>
    </row>
    <row r="152" spans="37:39" ht="11.25" customHeight="1" x14ac:dyDescent="0.2">
      <c r="AK152" s="30"/>
      <c r="AL152" s="30"/>
      <c r="AM152" s="30"/>
    </row>
    <row r="153" spans="37:39" ht="11.25" customHeight="1" x14ac:dyDescent="0.2">
      <c r="AK153" s="30"/>
      <c r="AL153" s="30"/>
      <c r="AM153" s="30"/>
    </row>
    <row r="154" spans="37:39" ht="11.25" customHeight="1" x14ac:dyDescent="0.2">
      <c r="AK154" s="30"/>
      <c r="AL154" s="30"/>
      <c r="AM154" s="30"/>
    </row>
    <row r="155" spans="37:39" ht="11.25" customHeight="1" x14ac:dyDescent="0.2">
      <c r="AK155" s="30"/>
      <c r="AL155" s="30"/>
      <c r="AM155" s="30"/>
    </row>
    <row r="156" spans="37:39" ht="11.25" customHeight="1" x14ac:dyDescent="0.2">
      <c r="AK156" s="30"/>
      <c r="AL156" s="30"/>
      <c r="AM156" s="30"/>
    </row>
    <row r="157" spans="37:39" ht="11.25" customHeight="1" x14ac:dyDescent="0.2">
      <c r="AK157" s="30"/>
      <c r="AL157" s="30"/>
      <c r="AM157" s="30"/>
    </row>
    <row r="158" spans="37:39" ht="11.25" customHeight="1" x14ac:dyDescent="0.2">
      <c r="AK158" s="30"/>
      <c r="AL158" s="30"/>
      <c r="AM158" s="30"/>
    </row>
    <row r="159" spans="37:39" ht="11.25" customHeight="1" x14ac:dyDescent="0.2">
      <c r="AK159" s="30"/>
      <c r="AL159" s="30"/>
      <c r="AM159" s="30"/>
    </row>
    <row r="160" spans="37:39" ht="11.25" customHeight="1" x14ac:dyDescent="0.2">
      <c r="AK160" s="30"/>
      <c r="AL160" s="30"/>
      <c r="AM160" s="30"/>
    </row>
    <row r="161" spans="37:39" ht="11.25" customHeight="1" x14ac:dyDescent="0.2">
      <c r="AK161" s="30"/>
      <c r="AL161" s="30"/>
      <c r="AM161" s="30"/>
    </row>
    <row r="162" spans="37:39" ht="11.25" customHeight="1" x14ac:dyDescent="0.2">
      <c r="AK162" s="30"/>
      <c r="AL162" s="30"/>
      <c r="AM162" s="30"/>
    </row>
    <row r="163" spans="37:39" ht="11.25" customHeight="1" x14ac:dyDescent="0.2">
      <c r="AK163" s="30"/>
      <c r="AL163" s="30"/>
      <c r="AM163" s="30"/>
    </row>
    <row r="164" spans="37:39" ht="11.25" customHeight="1" x14ac:dyDescent="0.2">
      <c r="AK164" s="30"/>
      <c r="AL164" s="30"/>
      <c r="AM164" s="30"/>
    </row>
    <row r="165" spans="37:39" ht="11.25" customHeight="1" x14ac:dyDescent="0.2">
      <c r="AK165" s="30"/>
      <c r="AL165" s="30"/>
      <c r="AM165" s="30"/>
    </row>
    <row r="166" spans="37:39" ht="11.25" customHeight="1" x14ac:dyDescent="0.2">
      <c r="AK166" s="30"/>
      <c r="AL166" s="30"/>
      <c r="AM166" s="30"/>
    </row>
    <row r="167" spans="37:39" ht="11.25" customHeight="1" x14ac:dyDescent="0.2">
      <c r="AK167" s="30"/>
      <c r="AL167" s="30"/>
      <c r="AM167" s="30"/>
    </row>
    <row r="168" spans="37:39" ht="11.25" customHeight="1" x14ac:dyDescent="0.2">
      <c r="AK168" s="30"/>
      <c r="AL168" s="30"/>
      <c r="AM168" s="30"/>
    </row>
  </sheetData>
  <mergeCells count="6">
    <mergeCell ref="L44:L45"/>
    <mergeCell ref="M44:P45"/>
    <mergeCell ref="O26:R26"/>
    <mergeCell ref="H10:O13"/>
    <mergeCell ref="H16:N17"/>
    <mergeCell ref="H20:O22"/>
  </mergeCells>
  <conditionalFormatting sqref="D20">
    <cfRule type="expression" dxfId="14" priority="6">
      <formula>$E$18&lt;&gt;"Broker Code"</formula>
    </cfRule>
  </conditionalFormatting>
  <conditionalFormatting sqref="E20">
    <cfRule type="expression" dxfId="13" priority="5">
      <formula>$E$18&lt;&gt;"Broker Code"</formula>
    </cfRule>
    <cfRule type="expression" dxfId="12" priority="7">
      <formula>$E$18="Broker Code"</formula>
    </cfRule>
  </conditionalFormatting>
  <dataValidations count="4">
    <dataValidation type="list" allowBlank="1" showInputMessage="1" showErrorMessage="1" sqref="E14" xr:uid="{08136C50-6C6B-4138-80A3-3C818CAF080F}">
      <formula1>$AK$3:$AK$82</formula1>
    </dataValidation>
    <dataValidation type="list" allowBlank="1" showInputMessage="1" showErrorMessage="1" sqref="E16" xr:uid="{5D0A8806-193C-4FAA-A1BE-92EBD7C6EFBC}">
      <formula1>$AF$35:$AF$39</formula1>
    </dataValidation>
    <dataValidation type="list" allowBlank="1" showInputMessage="1" showErrorMessage="1" sqref="E18" xr:uid="{A8ECE745-F5C5-4A2E-A592-14F7F045888F}">
      <formula1>$AI$35:$AI$38</formula1>
    </dataValidation>
    <dataValidation type="list" allowBlank="1" showInputMessage="1" showErrorMessage="1" sqref="O26:R26" xr:uid="{46D286B3-CAE7-4C9F-9BFC-9A29512C583F}">
      <formula1>$AB$6:$AB$26</formula1>
    </dataValidation>
  </dataValidations>
  <hyperlinks>
    <hyperlink ref="I7" r:id="rId1" display="support@capitaliq.spglobal.com" xr:uid="{C35D4882-B4B7-417D-A09F-051D90EB6B40}"/>
  </hyperlinks>
  <printOptions horizontalCentered="1"/>
  <pageMargins left="0.25" right="0.25" top="0.25" bottom="0.25" header="0.75" footer="0.75"/>
  <pageSetup scale="94" orientation="landscape" r:id="rId2"/>
  <colBreaks count="1" manualBreakCount="1">
    <brk id="11" min="24" max="62" man="1"/>
  </colBreaks>
  <drawing r:id="rId3"/>
  <extLst>
    <ext xmlns:x14="http://schemas.microsoft.com/office/spreadsheetml/2009/9/main" uri="{78C0D931-6437-407d-A8EE-F0AAD7539E65}">
      <x14:conditionalFormattings>
        <x14:conditionalFormatting xmlns:xm="http://schemas.microsoft.com/office/excel/2006/main">
          <x14:cfRule type="expression" priority="43" id="{00000000-000E-0000-0100-00002A000000}">
            <xm:f>PeerAnalysis!$L$46="(%)"</xm:f>
            <x14:dxf>
              <numFmt numFmtId="181" formatCode="[&gt;0]0.00&quot;%&quot;;[&lt;0]\(0.00&quot;%&quot;\);\-;\-"/>
            </x14:dxf>
          </x14:cfRule>
          <xm:sqref>P116:T117 J116:N123 P120:S131</xm:sqref>
        </x14:conditionalFormatting>
        <x14:conditionalFormatting xmlns:xm="http://schemas.microsoft.com/office/excel/2006/main">
          <x14:cfRule type="expression" priority="46" id="{00000000-000E-0000-0100-000029000000}">
            <xm:f>PeerAnalysis!$U$46="(%)"</xm:f>
            <x14:dxf>
              <numFmt numFmtId="181" formatCode="[&gt;0]0.00&quot;%&quot;;[&lt;0]\(0.00&quot;%&quot;\);\-;\-"/>
            </x14:dxf>
          </x14:cfRule>
          <xm:sqref>W99:X100 W115 U116:W117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0F1B-05E9-4EB1-AC2E-85CD11CD8E67}">
  <sheetPr codeName="Sheet3">
    <pageSetUpPr autoPageBreaks="0"/>
  </sheetPr>
  <dimension ref="B1:AB115"/>
  <sheetViews>
    <sheetView showGridLines="0" zoomScale="85" zoomScaleNormal="100" zoomScaleSheetLayoutView="100" workbookViewId="0">
      <selection activeCell="B16" sqref="B16:C16"/>
    </sheetView>
  </sheetViews>
  <sheetFormatPr baseColWidth="10" defaultColWidth="9" defaultRowHeight="11.25" customHeight="1" outlineLevelRow="1" outlineLevelCol="1" x14ac:dyDescent="0.2"/>
  <cols>
    <col min="1" max="1" width="2.44140625" style="1" customWidth="1"/>
    <col min="2" max="2" width="37.44140625" style="1" customWidth="1"/>
    <col min="3" max="3" width="26.44140625" style="1" customWidth="1"/>
    <col min="4" max="5" width="18.6640625" style="1" customWidth="1"/>
    <col min="6" max="6" width="19.109375" style="1" customWidth="1"/>
    <col min="7" max="25" width="12.6640625" style="1" customWidth="1"/>
    <col min="26" max="26" width="15.44140625" style="1" customWidth="1"/>
    <col min="27" max="27" width="20.109375" style="1" hidden="1" customWidth="1" outlineLevel="1"/>
    <col min="28" max="28" width="15.44140625" style="18" customWidth="1" collapsed="1"/>
    <col min="29" max="29" width="9" style="1"/>
    <col min="30" max="30" width="12.44140625" style="1" bestFit="1" customWidth="1"/>
    <col min="31" max="16384" width="9" style="1"/>
  </cols>
  <sheetData>
    <row r="1" spans="2:28" ht="10" x14ac:dyDescent="0.2"/>
    <row r="2" spans="2:28" ht="15.75" customHeight="1" x14ac:dyDescent="0.35">
      <c r="B2" s="236" t="str">
        <f>"Performance Valuation - "&amp;IF(TearSheet!$E$5="","","Grupo Bimbo, S.A.B. de C.V.")</f>
        <v>Performance Valuation - Grupo Bimbo, S.A.B. de C.V.</v>
      </c>
      <c r="E2" s="84"/>
      <c r="F2" s="85"/>
      <c r="G2" s="85"/>
      <c r="H2" s="86"/>
      <c r="Z2" s="25"/>
      <c r="AA2" s="25"/>
      <c r="AB2" s="98"/>
    </row>
    <row r="3" spans="2:28" ht="11.25" customHeight="1" x14ac:dyDescent="0.35">
      <c r="B3" s="239"/>
      <c r="C3" s="40"/>
      <c r="D3" s="40"/>
      <c r="E3" s="240"/>
      <c r="F3" s="241"/>
      <c r="G3" s="241"/>
      <c r="H3" s="242"/>
      <c r="I3" s="40"/>
      <c r="J3" s="40"/>
      <c r="K3" s="40"/>
      <c r="L3" s="40"/>
      <c r="M3" s="40"/>
      <c r="N3" s="40"/>
      <c r="O3" s="40"/>
      <c r="P3" s="40"/>
      <c r="Q3" s="40"/>
      <c r="R3" s="40"/>
      <c r="S3" s="40"/>
      <c r="T3" s="40"/>
      <c r="U3" s="40"/>
      <c r="V3" s="40"/>
      <c r="W3" s="40"/>
      <c r="Z3" s="25"/>
      <c r="AA3" s="25"/>
      <c r="AB3" s="98"/>
    </row>
    <row r="4" spans="2:28" ht="11.25" customHeight="1" x14ac:dyDescent="0.25">
      <c r="B4" s="17" t="s">
        <v>157</v>
      </c>
      <c r="E4" s="84"/>
      <c r="F4" s="85"/>
      <c r="G4" s="85"/>
      <c r="H4" s="86"/>
      <c r="Z4" s="25"/>
      <c r="AA4" s="25"/>
      <c r="AB4" s="98"/>
    </row>
    <row r="5" spans="2:28" ht="11.25" customHeight="1" x14ac:dyDescent="0.25">
      <c r="B5" s="1" t="s">
        <v>452</v>
      </c>
      <c r="H5" s="4"/>
      <c r="I5" s="4"/>
      <c r="J5" s="4"/>
      <c r="K5" s="4"/>
      <c r="L5" s="4"/>
      <c r="M5" s="4"/>
      <c r="N5" s="4"/>
      <c r="O5" s="2"/>
      <c r="P5" s="2"/>
      <c r="Q5" s="2"/>
      <c r="AB5" s="1"/>
    </row>
    <row r="6" spans="2:28" ht="11.25" customHeight="1" x14ac:dyDescent="0.2">
      <c r="B6" s="1" t="s">
        <v>453</v>
      </c>
      <c r="H6" s="4"/>
      <c r="I6" s="4"/>
      <c r="J6" s="4"/>
      <c r="K6" s="4"/>
      <c r="L6" s="4"/>
      <c r="M6" s="4"/>
      <c r="N6" s="4"/>
      <c r="O6" s="2"/>
      <c r="P6" s="2"/>
      <c r="Q6" s="2"/>
      <c r="AB6" s="1"/>
    </row>
    <row r="7" spans="2:28" ht="11.25" customHeight="1" x14ac:dyDescent="0.25">
      <c r="B7" s="225" t="str">
        <f>"Data in ("&amp;TearSheet!AM1&amp;TearSheet!AG33&amp;")"</f>
        <v>Data in ($M)</v>
      </c>
      <c r="E7" s="226"/>
      <c r="F7" s="201"/>
      <c r="G7" s="201"/>
      <c r="H7" s="201"/>
      <c r="I7" s="201"/>
      <c r="J7" s="201"/>
      <c r="K7" s="201"/>
      <c r="L7" s="201"/>
      <c r="M7" s="201"/>
      <c r="N7" s="91"/>
      <c r="P7" s="57"/>
      <c r="Q7" s="57"/>
      <c r="R7" s="57"/>
      <c r="S7" s="57"/>
      <c r="AB7" s="1"/>
    </row>
    <row r="8" spans="2:28" ht="11.25" hidden="1" customHeight="1" outlineLevel="1" x14ac:dyDescent="0.2">
      <c r="F8" s="33" t="s">
        <v>226</v>
      </c>
      <c r="G8" s="33" t="s">
        <v>227</v>
      </c>
      <c r="H8" s="33" t="s">
        <v>228</v>
      </c>
      <c r="I8" s="33" t="s">
        <v>229</v>
      </c>
      <c r="J8" s="33" t="s">
        <v>230</v>
      </c>
      <c r="K8" s="33" t="s">
        <v>231</v>
      </c>
      <c r="L8" s="33" t="s">
        <v>231</v>
      </c>
      <c r="M8" s="33" t="s">
        <v>231</v>
      </c>
      <c r="N8" s="33" t="s">
        <v>231</v>
      </c>
      <c r="O8" s="33" t="s">
        <v>231</v>
      </c>
      <c r="P8" s="33" t="s">
        <v>231</v>
      </c>
      <c r="Q8" s="33" t="s">
        <v>231</v>
      </c>
      <c r="R8" s="34" t="str">
        <f>VLOOKUP(R11,TearSheet!AF42:AG43,2,0)</f>
        <v>Dividends per share</v>
      </c>
      <c r="S8" s="35"/>
      <c r="T8" s="35"/>
      <c r="U8" s="34"/>
      <c r="V8" s="35"/>
      <c r="AB8" s="1"/>
    </row>
    <row r="9" spans="2:28" ht="11.25" hidden="1" customHeight="1" outlineLevel="1" x14ac:dyDescent="0.2">
      <c r="F9" s="36">
        <f>WORKDAY(TearSheet!E11+1,-1)</f>
        <v>46311</v>
      </c>
      <c r="G9" s="36">
        <f>F9</f>
        <v>46311</v>
      </c>
      <c r="H9" s="36">
        <f>G9</f>
        <v>46311</v>
      </c>
      <c r="I9" s="36">
        <f>F9</f>
        <v>46311</v>
      </c>
      <c r="J9" s="36">
        <f t="shared" ref="J9:Q9" si="0">F9</f>
        <v>46311</v>
      </c>
      <c r="K9" s="36">
        <f t="shared" si="0"/>
        <v>46311</v>
      </c>
      <c r="L9" s="36">
        <f t="shared" si="0"/>
        <v>46311</v>
      </c>
      <c r="M9" s="36">
        <f t="shared" si="0"/>
        <v>46311</v>
      </c>
      <c r="N9" s="36">
        <f t="shared" si="0"/>
        <v>46311</v>
      </c>
      <c r="O9" s="36">
        <f t="shared" si="0"/>
        <v>46311</v>
      </c>
      <c r="P9" s="36">
        <f t="shared" si="0"/>
        <v>46311</v>
      </c>
      <c r="Q9" s="36">
        <f t="shared" si="0"/>
        <v>46311</v>
      </c>
      <c r="R9" s="32"/>
      <c r="S9" s="32"/>
      <c r="T9" s="32"/>
      <c r="AB9" s="1"/>
    </row>
    <row r="10" spans="2:28" ht="11.25" customHeight="1" collapsed="1" x14ac:dyDescent="0.25">
      <c r="B10" s="66"/>
      <c r="C10" s="67"/>
      <c r="D10" s="67"/>
      <c r="E10" s="63"/>
      <c r="F10" s="308" t="s">
        <v>208</v>
      </c>
      <c r="G10" s="309"/>
      <c r="H10" s="309"/>
      <c r="I10" s="309"/>
      <c r="J10" s="309"/>
      <c r="K10" s="309"/>
      <c r="L10" s="309"/>
      <c r="M10" s="309"/>
      <c r="N10" s="309"/>
      <c r="O10" s="309"/>
      <c r="P10" s="309"/>
      <c r="Q10" s="309"/>
      <c r="R10" s="309"/>
      <c r="S10" s="309"/>
      <c r="T10" s="309"/>
      <c r="U10" s="309"/>
      <c r="V10" s="309"/>
      <c r="W10" s="309"/>
      <c r="AB10" s="1"/>
    </row>
    <row r="11" spans="2:28" ht="11.25" customHeight="1" x14ac:dyDescent="0.25">
      <c r="B11" s="68"/>
      <c r="C11" s="69"/>
      <c r="D11" s="69"/>
      <c r="E11" s="64"/>
      <c r="F11" s="307" t="str">
        <f>"Share Price "&amp;"("&amp;TearSheet!AM1&amp;")"</f>
        <v>Share Price ($)</v>
      </c>
      <c r="G11" s="29" t="str">
        <f>"Price High "&amp;"("&amp;TearSheet!AM1&amp;")"</f>
        <v>Price High ($)</v>
      </c>
      <c r="H11" s="37" t="str">
        <f>"Price Low "&amp;"("&amp;TearSheet!AM1&amp;")"</f>
        <v>Price Low ($)</v>
      </c>
      <c r="I11" s="307" t="str">
        <f>"Market Cap."&amp;CHAR(10)&amp;"("&amp;TearSheet!AM1&amp;""&amp;TearSheet!AG33&amp;")"</f>
        <v>Market Cap.
($M)</v>
      </c>
      <c r="J11" s="305" t="str">
        <f>"Enterprise Value "&amp;"("&amp;TearSheet!AM1&amp;""&amp;TearSheet!AG33&amp;")"</f>
        <v>Enterprise Value ($M)</v>
      </c>
      <c r="K11" s="317" t="s">
        <v>209</v>
      </c>
      <c r="L11" s="318"/>
      <c r="M11" s="318"/>
      <c r="N11" s="318"/>
      <c r="O11" s="318"/>
      <c r="P11" s="318"/>
      <c r="Q11" s="318"/>
      <c r="R11" s="319" t="s">
        <v>233</v>
      </c>
      <c r="S11" s="320"/>
      <c r="T11" s="320"/>
      <c r="U11" s="320"/>
      <c r="V11" s="320"/>
      <c r="W11" s="321"/>
      <c r="AB11" s="1"/>
    </row>
    <row r="12" spans="2:28" ht="11.25" customHeight="1" x14ac:dyDescent="0.2">
      <c r="B12" s="68" t="s">
        <v>206</v>
      </c>
      <c r="C12" s="69"/>
      <c r="D12" s="235" t="s">
        <v>451</v>
      </c>
      <c r="E12" s="212" t="s">
        <v>207</v>
      </c>
      <c r="F12" s="306"/>
      <c r="G12" s="168" t="s">
        <v>210</v>
      </c>
      <c r="H12" s="168" t="s">
        <v>210</v>
      </c>
      <c r="I12" s="322"/>
      <c r="J12" s="306"/>
      <c r="K12" s="168" t="s">
        <v>219</v>
      </c>
      <c r="L12" s="168" t="s">
        <v>213</v>
      </c>
      <c r="M12" s="168" t="s">
        <v>223</v>
      </c>
      <c r="N12" s="168" t="s">
        <v>214</v>
      </c>
      <c r="O12" s="168" t="s">
        <v>215</v>
      </c>
      <c r="P12" s="168" t="s">
        <v>224</v>
      </c>
      <c r="Q12" s="168" t="s">
        <v>212</v>
      </c>
      <c r="R12" s="156" t="str">
        <f>IF(MID(S12,2,1)="Q",IF(MID(S12,2,2)="Q1",LEFT(S12,2)&amp;"4"&amp;RIGHT(S12,4)-1,LEFT(S12,2)&amp;(MID(S12,3,1)-1)&amp;RIGHT(S12,4)),LEFT(S12,2)&amp;(RIGHT(S12,4)-1))</f>
        <v>FY2024</v>
      </c>
      <c r="S12" s="156" t="str">
        <f>TearSheet!$E$8</f>
        <v>FY2025</v>
      </c>
      <c r="T12" s="156" t="str">
        <f>IF(MID(S12,2,1)="Q",IF(MID(S12,2,2)="Q4",LEFT(S12,2)&amp;"1"&amp;RIGHT(S12,4)+1,LEFT(S12,2)&amp;MID(S12,3,1)+1&amp;RIGHT(S12,4)),LEFT(S12,2)&amp;RIGHT(S12,4)+1)</f>
        <v>FY2026</v>
      </c>
      <c r="U12" s="156" t="s">
        <v>216</v>
      </c>
      <c r="V12" s="156" t="s">
        <v>217</v>
      </c>
      <c r="W12" s="156" t="s">
        <v>218</v>
      </c>
      <c r="AA12" s="212" t="str">
        <f>IF(TearSheet!$E$5="","","Exchange:Ticker")</f>
        <v>Exchange:Ticker</v>
      </c>
      <c r="AB12" s="1"/>
    </row>
    <row r="13" spans="2:28" ht="11.25" customHeight="1" x14ac:dyDescent="0.2">
      <c r="B13" s="303" t="str">
        <f>IF($E13="","",IFERROR(HYPERLINK(CONCATENATE("https://www.capitaliq.spglobal.com/web/client#company/profile?id=",TearSheet!$AD34),"Flowers Foods, Inc."),"-"))</f>
        <v>Flowers Foods, Inc.</v>
      </c>
      <c r="C13" s="304"/>
      <c r="D13" s="171"/>
      <c r="E13" s="95" t="str">
        <f>IF(D13&lt;&gt;"",D13,IF(AA13="","",AA13))</f>
        <v>NYSE:FLO</v>
      </c>
      <c r="F13" s="179">
        <f>IF($E13="","",Datos_Peers!$C$9)</f>
        <v>6.108910891089109</v>
      </c>
      <c r="G13" s="177" t="str">
        <f t="shared" ref="G13:H24" si="1">IF($E13="","","")</f>
        <v/>
      </c>
      <c r="H13" s="181" t="str">
        <f t="shared" si="1"/>
        <v/>
      </c>
      <c r="I13" s="153">
        <f>IF($E13="","",Datos_Peers!$F$9)</f>
        <v>1295.7</v>
      </c>
      <c r="J13" s="153">
        <f>IF($E13="","",Datos_Peers!$G$9)</f>
        <v>3246.2359999999999</v>
      </c>
      <c r="K13" s="112" t="str">
        <f t="shared" ref="K13:K24" si="2">IF($E13="","","")</f>
        <v/>
      </c>
      <c r="L13" s="112">
        <f>IF($E13="","",Datos_Peers!$I$9)</f>
        <v>-48.784576697401505</v>
      </c>
      <c r="M13" s="112">
        <f>IF($E13="","",Datos_Peers!$J$9)</f>
        <v>-72.514619883040936</v>
      </c>
      <c r="N13" s="112">
        <f>IF($E13="","",Datos_Peers!$K$9)</f>
        <v>-72.138622891016865</v>
      </c>
      <c r="O13" s="112">
        <f>IF($E13="","",Datos_Peers!$L$9)</f>
        <v>-75.313131313131308</v>
      </c>
      <c r="P13" s="112">
        <f>IF($E13="","",Datos_Peers!$M$9)</f>
        <v>10.090090090090095</v>
      </c>
      <c r="Q13" s="112">
        <f>IF($E13="","",Datos_Peers!$N$9)</f>
        <v>-43.841911764705891</v>
      </c>
      <c r="R13" s="45">
        <f>IF($E13="","",Datos_Peers!$O$9)</f>
        <v>0.95</v>
      </c>
      <c r="S13" s="46">
        <f>IF($E13="","",Datos_Peers!$P$9)</f>
        <v>0.98</v>
      </c>
      <c r="T13" s="46">
        <f>IF($E13="","",Datos_Peers!$Q$9)</f>
        <v>0.62</v>
      </c>
      <c r="U13" s="46">
        <f>IF($E13="","",Datos_Peers!$R$9)</f>
        <v>0.87</v>
      </c>
      <c r="V13" s="46" t="str">
        <f t="shared" ref="V13:W25" si="3">IF($E13="","","")</f>
        <v/>
      </c>
      <c r="W13" s="155" t="str">
        <f t="shared" si="3"/>
        <v/>
      </c>
      <c r="AA13" s="1" t="s">
        <v>486</v>
      </c>
    </row>
    <row r="14" spans="2:28" ht="11.25" customHeight="1" x14ac:dyDescent="0.2">
      <c r="B14" s="303" t="str">
        <f>IF($E14="","",IFERROR(HYPERLINK(CONCATENATE("https://www.capitaliq.spglobal.com/web/client#company/profile?id=",TearSheet!$AD35),"Gruma, S.A.B. de C.V."),"-"))</f>
        <v>Gruma, S.A.B. de C.V.</v>
      </c>
      <c r="C14" s="304"/>
      <c r="D14" s="171"/>
      <c r="E14" s="94" t="str">
        <f t="shared" ref="E14:E24" si="4">IF(D14&lt;&gt;"",D14,IF(AA14="","",AA14))</f>
        <v>BMV:GRUMA B</v>
      </c>
      <c r="F14" s="180">
        <f>IF($E14="","",Datos_Peers!$C$10)</f>
        <v>13.097029060014073</v>
      </c>
      <c r="G14" s="178" t="str">
        <f t="shared" si="1"/>
        <v/>
      </c>
      <c r="H14" s="182" t="str">
        <f t="shared" si="1"/>
        <v/>
      </c>
      <c r="I14" s="154">
        <f>IF($E14="","",Datos_Peers!$F$10)</f>
        <v>4403.3257497537743</v>
      </c>
      <c r="J14" s="154">
        <f>IF($E14="","",Datos_Peers!$G$10)</f>
        <v>6034.3257497537743</v>
      </c>
      <c r="K14" s="114" t="str">
        <f t="shared" si="2"/>
        <v/>
      </c>
      <c r="L14" s="114">
        <f>IF($E14="","",Datos_Peers!$I$10)</f>
        <v>-22.954679223072393</v>
      </c>
      <c r="M14" s="114">
        <f>IF($E14="","",Datos_Peers!$J$10)</f>
        <v>-24.07192575406032</v>
      </c>
      <c r="N14" s="114">
        <f>IF($E14="","",Datos_Peers!$K$10)</f>
        <v>-24.553314121037474</v>
      </c>
      <c r="O14" s="114">
        <f>IF($E14="","",Datos_Peers!$L$10)</f>
        <v>11.309523809523814</v>
      </c>
      <c r="P14" s="114">
        <f>IF($E14="","",Datos_Peers!$M$10)</f>
        <v>0.46047582501917983</v>
      </c>
      <c r="Q14" s="114">
        <f>IF($E14="","",Datos_Peers!$N$10)</f>
        <v>-24.027858386535115</v>
      </c>
      <c r="R14" s="45">
        <f>IF($E14="","",Datos_Peers!$O$10)</f>
        <v>0.28000000000000003</v>
      </c>
      <c r="S14" s="46">
        <f>IF($E14="","",Datos_Peers!$P$10)</f>
        <v>0.32</v>
      </c>
      <c r="T14" s="46">
        <f>IF($E14="","",Datos_Peers!$Q$10)</f>
        <v>0.32</v>
      </c>
      <c r="U14" s="46">
        <f>IF($E14="","",Datos_Peers!$R$10)</f>
        <v>0.32</v>
      </c>
      <c r="V14" s="46" t="str">
        <f t="shared" si="3"/>
        <v/>
      </c>
      <c r="W14" s="155" t="str">
        <f t="shared" si="3"/>
        <v/>
      </c>
      <c r="AA14" s="1" t="s">
        <v>489</v>
      </c>
    </row>
    <row r="15" spans="2:28" ht="11.25" customHeight="1" x14ac:dyDescent="0.2">
      <c r="B15" s="303" t="str">
        <f>IF($E15="","",IFERROR(HYPERLINK(CONCATENATE("https://www.capitaliq.spglobal.com/web/client#company/profile?id=",TearSheet!$AD36),"Yamazaki Baking Co., Ltd."),"-"))</f>
        <v>Yamazaki Baking Co., Ltd.</v>
      </c>
      <c r="C15" s="304"/>
      <c r="D15" s="171"/>
      <c r="E15" s="94" t="str">
        <f t="shared" si="4"/>
        <v>TSE:2212</v>
      </c>
      <c r="F15" s="180">
        <f>IF($E15="","",Datos_Peers!$C$11)</f>
        <v>24.153886079234368</v>
      </c>
      <c r="G15" s="178" t="str">
        <f t="shared" si="1"/>
        <v/>
      </c>
      <c r="H15" s="182" t="str">
        <f t="shared" si="1"/>
        <v/>
      </c>
      <c r="I15" s="154">
        <f>IF($E15="","",Datos_Peers!$F$11)</f>
        <v>4755.9001690012474</v>
      </c>
      <c r="J15" s="154">
        <f>IF($E15="","",Datos_Peers!$G$11)</f>
        <v>4282.4001690012474</v>
      </c>
      <c r="K15" s="114" t="str">
        <f t="shared" si="2"/>
        <v/>
      </c>
      <c r="L15" s="114">
        <f>IF($E15="","",Datos_Peers!$I$11)</f>
        <v>23.379275140377764</v>
      </c>
      <c r="M15" s="114">
        <f>IF($E15="","",Datos_Peers!$J$11)</f>
        <v>18.364348677766884</v>
      </c>
      <c r="N15" s="114">
        <f>IF($E15="","",Datos_Peers!$K$11)</f>
        <v>14.278959810874724</v>
      </c>
      <c r="O15" s="114">
        <f>IF($E15="","",Datos_Peers!$L$11)</f>
        <v>59.327620303230063</v>
      </c>
      <c r="P15" s="114">
        <f>IF($E15="","",Datos_Peers!$M$11)</f>
        <v>5.3159041394335693</v>
      </c>
      <c r="Q15" s="114">
        <f>IF($E15="","",Datos_Peers!$N$11)</f>
        <v>14.712861888941632</v>
      </c>
      <c r="R15" s="45">
        <f>IF($E15="","",Datos_Peers!$O$11)</f>
        <v>0.3</v>
      </c>
      <c r="S15" s="46">
        <f>IF($E15="","",Datos_Peers!$P$11)</f>
        <v>0.4</v>
      </c>
      <c r="T15" s="46">
        <f>IF($E15="","",Datos_Peers!$Q$11)</f>
        <v>0.38</v>
      </c>
      <c r="U15" s="46">
        <f>IF($E15="","",Datos_Peers!$R$11)</f>
        <v>0.39</v>
      </c>
      <c r="V15" s="46" t="str">
        <f t="shared" si="3"/>
        <v/>
      </c>
      <c r="W15" s="155" t="str">
        <f t="shared" si="3"/>
        <v/>
      </c>
      <c r="AA15" s="1" t="s">
        <v>492</v>
      </c>
    </row>
    <row r="16" spans="2:28" ht="11.25" customHeight="1" x14ac:dyDescent="0.2">
      <c r="B16" s="303" t="str">
        <f>IF($E16="","",IFERROR(HYPERLINK(CONCATENATE("https://www.capitaliq.spglobal.com/web/client#company/profile?id=",TearSheet!$AD37),"ARYZTA AG"),"-"))</f>
        <v>ARYZTA AG</v>
      </c>
      <c r="C16" s="304"/>
      <c r="D16" s="171"/>
      <c r="E16" s="94" t="str">
        <f t="shared" si="4"/>
        <v>SWX:ARYN</v>
      </c>
      <c r="F16" s="180">
        <f>IF($E16="","",Datos_Peers!$C$12)</f>
        <v>49.145161290322577</v>
      </c>
      <c r="G16" s="178" t="str">
        <f t="shared" si="1"/>
        <v/>
      </c>
      <c r="H16" s="182" t="str">
        <f t="shared" si="1"/>
        <v/>
      </c>
      <c r="I16" s="154">
        <f>IF($E16="","",Datos_Peers!$F$12)</f>
        <v>1218.8</v>
      </c>
      <c r="J16" s="154">
        <f>IF($E16="","",Datos_Peers!$G$12)</f>
        <v>2103.3089140000002</v>
      </c>
      <c r="K16" s="114" t="str">
        <f t="shared" si="2"/>
        <v/>
      </c>
      <c r="L16" s="114">
        <f>IF($E16="","",Datos_Peers!$I$12)</f>
        <v>-23.412884105443769</v>
      </c>
      <c r="M16" s="114">
        <f>IF($E16="","",Datos_Peers!$J$12)</f>
        <v>-30.423692787303381</v>
      </c>
      <c r="N16" s="114">
        <f>IF($E16="","",Datos_Peers!$K$12)</f>
        <v>-32.850109409190374</v>
      </c>
      <c r="O16" s="114">
        <f>IF($E16="","",Datos_Peers!$L$12)</f>
        <v>-5.9747223286097277</v>
      </c>
      <c r="P16" s="114">
        <f>IF($E16="","",Datos_Peers!$M$12)</f>
        <v>7.9358100681468526</v>
      </c>
      <c r="Q16" s="114">
        <f>IF($E16="","",Datos_Peers!$N$12)</f>
        <v>-24.693251533742338</v>
      </c>
      <c r="R16" s="45">
        <f>IF($E16="","",Datos_Peers!$O$12)</f>
        <v>0</v>
      </c>
      <c r="S16" s="46">
        <f>IF($E16="","",Datos_Peers!$P$12)</f>
        <v>0</v>
      </c>
      <c r="T16" s="46">
        <f>IF($E16="","",Datos_Peers!$Q$12)</f>
        <v>0</v>
      </c>
      <c r="U16" s="46">
        <f>IF($E16="","",Datos_Peers!$R$12)</f>
        <v>0</v>
      </c>
      <c r="V16" s="46" t="str">
        <f t="shared" si="3"/>
        <v/>
      </c>
      <c r="W16" s="155" t="str">
        <f t="shared" si="3"/>
        <v/>
      </c>
      <c r="AA16" s="1" t="s">
        <v>495</v>
      </c>
    </row>
    <row r="17" spans="2:27" ht="11.25" customHeight="1" x14ac:dyDescent="0.2">
      <c r="B17" s="303" t="str">
        <f>IF($E17="","",IFERROR(HYPERLINK(CONCATENATE("https://www.capitaliq.spglobal.com/web/client#company/profile?id=",TearSheet!$AD38),"The J. M. Smucker Company"),"-"))</f>
        <v>The J. M. Smucker Company</v>
      </c>
      <c r="C17" s="304"/>
      <c r="D17" s="171"/>
      <c r="E17" s="94" t="str">
        <f t="shared" si="4"/>
        <v>NYSE:SJM</v>
      </c>
      <c r="F17" s="180">
        <f>IF($E17="","",Datos_Peers!$C$13)</f>
        <v>127.45786516853931</v>
      </c>
      <c r="G17" s="178" t="str">
        <f t="shared" si="1"/>
        <v/>
      </c>
      <c r="H17" s="182" t="str">
        <f t="shared" si="1"/>
        <v/>
      </c>
      <c r="I17" s="154">
        <f>IF($E17="","",Datos_Peers!$F$13)</f>
        <v>13612.5</v>
      </c>
      <c r="J17" s="154">
        <f>IF($E17="","",Datos_Peers!$G$13)</f>
        <v>20509.5</v>
      </c>
      <c r="K17" s="114" t="str">
        <f t="shared" si="2"/>
        <v/>
      </c>
      <c r="L17" s="114">
        <f>IF($E17="","",Datos_Peers!$I$13)</f>
        <v>23.061323032351531</v>
      </c>
      <c r="M17" s="114">
        <f>IF($E17="","",Datos_Peers!$J$13)</f>
        <v>12.263236719231797</v>
      </c>
      <c r="N17" s="114">
        <f>IF($E17="","",Datos_Peers!$K$13)</f>
        <v>11.937807449051308</v>
      </c>
      <c r="O17" s="114">
        <f>IF($E17="","",Datos_Peers!$L$13)</f>
        <v>3.7196809376526252</v>
      </c>
      <c r="P17" s="114">
        <f>IF($E17="","",Datos_Peers!$M$13)</f>
        <v>7.1650828357581409</v>
      </c>
      <c r="Q17" s="114">
        <f>IF($E17="","",Datos_Peers!$N$13)</f>
        <v>30.28320212657194</v>
      </c>
      <c r="R17" s="45">
        <f>IF($E17="","",Datos_Peers!$O$13)</f>
        <v>4.24</v>
      </c>
      <c r="S17" s="46">
        <f>IF($E17="","",Datos_Peers!$P$13)</f>
        <v>4.32</v>
      </c>
      <c r="T17" s="46">
        <f>IF($E17="","",Datos_Peers!$Q$13)</f>
        <v>4.4800000000000004</v>
      </c>
      <c r="U17" s="46">
        <f>IF($E17="","",Datos_Peers!$R$13)</f>
        <v>4.42</v>
      </c>
      <c r="V17" s="46" t="str">
        <f t="shared" si="3"/>
        <v/>
      </c>
      <c r="W17" s="155" t="str">
        <f t="shared" si="3"/>
        <v/>
      </c>
      <c r="AA17" s="1" t="s">
        <v>498</v>
      </c>
    </row>
    <row r="18" spans="2:27" ht="11.25" customHeight="1" x14ac:dyDescent="0.2">
      <c r="B18" s="303" t="str">
        <f>IF($E18="","",IFERROR(HYPERLINK(CONCATENATE("https://www.capitaliq.spglobal.com/web/client#company/profile?id=",TearSheet!$AD39),"The Campbell's Company"),"-"))</f>
        <v>The Campbell's Company</v>
      </c>
      <c r="C18" s="304"/>
      <c r="D18" s="171"/>
      <c r="E18" s="94" t="str">
        <f t="shared" si="4"/>
        <v>NasdaqGS:CPB</v>
      </c>
      <c r="F18" s="180">
        <f>IF($E18="","",Datos_Peers!$C$14)</f>
        <v>19.872233400402415</v>
      </c>
      <c r="G18" s="178" t="str">
        <f t="shared" si="1"/>
        <v/>
      </c>
      <c r="H18" s="182" t="str">
        <f t="shared" si="1"/>
        <v/>
      </c>
      <c r="I18" s="154">
        <f>IF($E18="","",Datos_Peers!$F$14)</f>
        <v>5925.9</v>
      </c>
      <c r="J18" s="154">
        <f>IF($E18="","",Datos_Peers!$G$14)</f>
        <v>13287.9</v>
      </c>
      <c r="K18" s="114" t="str">
        <f t="shared" si="2"/>
        <v/>
      </c>
      <c r="L18" s="114">
        <f>IF($E18="","",Datos_Peers!$I$14)</f>
        <v>-34.052439429140392</v>
      </c>
      <c r="M18" s="114">
        <f>IF($E18="","",Datos_Peers!$J$14)</f>
        <v>-57.40621650589496</v>
      </c>
      <c r="N18" s="114">
        <f>IF($E18="","",Datos_Peers!$K$14)</f>
        <v>-50.82900272209848</v>
      </c>
      <c r="O18" s="114">
        <f>IF($E18="","",Datos_Peers!$L$14)</f>
        <v>-50.262828535669591</v>
      </c>
      <c r="P18" s="114">
        <f>IF($E18="","",Datos_Peers!$M$14)</f>
        <v>0.20171457387798689</v>
      </c>
      <c r="Q18" s="114">
        <f>IF($E18="","",Datos_Peers!$N$14)</f>
        <v>-28.704700394689631</v>
      </c>
      <c r="R18" s="45">
        <f>IF($E18="","",Datos_Peers!$O$14)</f>
        <v>1.48</v>
      </c>
      <c r="S18" s="46">
        <f>IF($E18="","",Datos_Peers!$P$14)</f>
        <v>1.54</v>
      </c>
      <c r="T18" s="46">
        <f>IF($E18="","",Datos_Peers!$Q$14)</f>
        <v>1.03</v>
      </c>
      <c r="U18" s="46">
        <f>IF($E18="","",Datos_Peers!$R$14)</f>
        <v>1.56</v>
      </c>
      <c r="V18" s="46" t="str">
        <f t="shared" si="3"/>
        <v/>
      </c>
      <c r="W18" s="155" t="str">
        <f t="shared" si="3"/>
        <v/>
      </c>
      <c r="AA18" s="1" t="s">
        <v>501</v>
      </c>
    </row>
    <row r="19" spans="2:27" ht="11.25" customHeight="1" x14ac:dyDescent="0.2">
      <c r="B19" s="303" t="str">
        <f>IF($E19="","",IFERROR(HYPERLINK(CONCATENATE("https://www.capitaliq.spglobal.com/web/client#company/profile?id=",TearSheet!$AD40),"Mondelez International, Inc."),"-"))</f>
        <v>Mondelez International, Inc.</v>
      </c>
      <c r="C19" s="304"/>
      <c r="D19" s="171"/>
      <c r="E19" s="94" t="str">
        <f t="shared" si="4"/>
        <v>NasdaqGS:MDLZ</v>
      </c>
      <c r="F19" s="180">
        <f>IF($E19="","",Datos_Peers!$C$15)</f>
        <v>63.910365901433835</v>
      </c>
      <c r="G19" s="178" t="str">
        <f t="shared" si="1"/>
        <v/>
      </c>
      <c r="H19" s="182" t="str">
        <f t="shared" si="1"/>
        <v/>
      </c>
      <c r="I19" s="154">
        <f>IF($E19="","",Datos_Peers!$F$15)</f>
        <v>81568.800000000003</v>
      </c>
      <c r="J19" s="154">
        <f>IF($E19="","",Datos_Peers!$G$15)</f>
        <v>102128.8</v>
      </c>
      <c r="K19" s="114" t="str">
        <f t="shared" si="2"/>
        <v/>
      </c>
      <c r="L19" s="114">
        <f>IF($E19="","",Datos_Peers!$I$15)</f>
        <v>11.225200139227276</v>
      </c>
      <c r="M19" s="114">
        <f>IF($E19="","",Datos_Peers!$J$15)</f>
        <v>-6.6734813084112226</v>
      </c>
      <c r="N19" s="114">
        <f>IF($E19="","",Datos_Peers!$K$15)</f>
        <v>-3.4737954991693076</v>
      </c>
      <c r="O19" s="114">
        <f>IF($E19="","",Datos_Peers!$L$15)</f>
        <v>5.2189660849522479</v>
      </c>
      <c r="P19" s="114">
        <f>IF($E19="","",Datos_Peers!$M$15)</f>
        <v>10.532687651331706</v>
      </c>
      <c r="Q19" s="114">
        <f>IF($E19="","",Datos_Peers!$N$15)</f>
        <v>18.725617685305583</v>
      </c>
      <c r="R19" s="45">
        <f>IF($E19="","",Datos_Peers!$O$15)</f>
        <v>1.79</v>
      </c>
      <c r="S19" s="46">
        <f>IF($E19="","",Datos_Peers!$P$15)</f>
        <v>1.94</v>
      </c>
      <c r="T19" s="46">
        <f>IF($E19="","",Datos_Peers!$Q$15)</f>
        <v>2.06</v>
      </c>
      <c r="U19" s="46">
        <f>IF($E19="","",Datos_Peers!$R$15)</f>
        <v>2</v>
      </c>
      <c r="V19" s="46" t="str">
        <f t="shared" si="3"/>
        <v/>
      </c>
      <c r="W19" s="155" t="str">
        <f t="shared" si="3"/>
        <v/>
      </c>
      <c r="AA19" s="1" t="s">
        <v>504</v>
      </c>
    </row>
    <row r="20" spans="2:27" ht="11.25" customHeight="1" x14ac:dyDescent="0.2">
      <c r="B20" s="303" t="str">
        <f>IF($E20="","",IFERROR(HYPERLINK(CONCATENATE("https://www.capitaliq.spglobal.com/web/client#company/profile?id=",TearSheet!$AD41),"Arca Continental, S.A.B. de C.V."),"-"))</f>
        <v>Arca Continental, S.A.B. de C.V.</v>
      </c>
      <c r="C20" s="304"/>
      <c r="D20" s="171"/>
      <c r="E20" s="94" t="str">
        <f t="shared" si="4"/>
        <v>BMV:AC</v>
      </c>
      <c r="F20" s="180">
        <f>IF($E20="","",Datos_Peers!$C$16)</f>
        <v>11.345852048271013</v>
      </c>
      <c r="G20" s="178" t="str">
        <f t="shared" si="1"/>
        <v/>
      </c>
      <c r="H20" s="182" t="str">
        <f t="shared" si="1"/>
        <v/>
      </c>
      <c r="I20" s="154">
        <f>IF($E20="","",Datos_Peers!$F$16)</f>
        <v>19244.834244277288</v>
      </c>
      <c r="J20" s="154">
        <f>IF($E20="","",Datos_Peers!$G$16)</f>
        <v>21260.23424427729</v>
      </c>
      <c r="K20" s="114" t="str">
        <f t="shared" si="2"/>
        <v/>
      </c>
      <c r="L20" s="114">
        <f>IF($E20="","",Datos_Peers!$I$16)</f>
        <v>17.027863777089781</v>
      </c>
      <c r="M20" s="114">
        <f>IF($E20="","",Datos_Peers!$J$16)</f>
        <v>32.631578947368411</v>
      </c>
      <c r="N20" s="114">
        <f>IF($E20="","",Datos_Peers!$K$16)</f>
        <v>26.845637583892625</v>
      </c>
      <c r="O20" s="114">
        <f>IF($E20="","",Datos_Peers!$L$16)</f>
        <v>85.597381342062178</v>
      </c>
      <c r="P20" s="114">
        <f>IF($E20="","",Datos_Peers!$M$16)</f>
        <v>5.5865921787709549</v>
      </c>
      <c r="Q20" s="114">
        <f>IF($E20="","",Datos_Peers!$N$16)</f>
        <v>4.8059149722735617</v>
      </c>
      <c r="R20" s="45">
        <f>IF($E20="","",Datos_Peers!$O$16)</f>
        <v>0.23</v>
      </c>
      <c r="S20" s="46">
        <f>IF($E20="","",Datos_Peers!$P$16)</f>
        <v>0.22</v>
      </c>
      <c r="T20" s="46">
        <f>IF($E20="","",Datos_Peers!$Q$16)</f>
        <v>0.55000000000000004</v>
      </c>
      <c r="U20" s="46">
        <f>IF($E20="","",Datos_Peers!$R$16)</f>
        <v>0.24</v>
      </c>
      <c r="V20" s="46" t="str">
        <f t="shared" si="3"/>
        <v/>
      </c>
      <c r="W20" s="155" t="str">
        <f t="shared" si="3"/>
        <v/>
      </c>
      <c r="AA20" s="1" t="s">
        <v>507</v>
      </c>
    </row>
    <row r="21" spans="2:27" ht="11.25" customHeight="1" x14ac:dyDescent="0.2">
      <c r="B21" s="303" t="str">
        <f>IF($E21="","",IFERROR(HYPERLINK(CONCATENATE("https://www.capitaliq.spglobal.com/web/client#company/profile?id=",TearSheet!$AD42),"PepsiCo, Inc."),"-"))</f>
        <v>PepsiCo, Inc.</v>
      </c>
      <c r="C21" s="304"/>
      <c r="D21" s="171"/>
      <c r="E21" s="94" t="str">
        <f t="shared" si="4"/>
        <v>NasdaqGS:PEP</v>
      </c>
      <c r="F21" s="180">
        <f>IF($E21="","",Datos_Peers!$C$17)</f>
        <v>131.5039994129302</v>
      </c>
      <c r="G21" s="178" t="str">
        <f t="shared" si="1"/>
        <v/>
      </c>
      <c r="H21" s="182" t="str">
        <f t="shared" si="1"/>
        <v/>
      </c>
      <c r="I21" s="154">
        <f>IF($E21="","",Datos_Peers!$F$17)</f>
        <v>179200.5</v>
      </c>
      <c r="J21" s="154">
        <f>IF($E21="","",Datos_Peers!$G$17)</f>
        <v>224447.5</v>
      </c>
      <c r="K21" s="114" t="str">
        <f t="shared" si="2"/>
        <v/>
      </c>
      <c r="L21" s="114">
        <f>IF($E21="","",Datos_Peers!$I$17)</f>
        <v>-9.9938394140598241</v>
      </c>
      <c r="M21" s="114">
        <f>IF($E21="","",Datos_Peers!$J$17)</f>
        <v>-20.827312138728328</v>
      </c>
      <c r="N21" s="114">
        <f>IF($E21="","",Datos_Peers!$K$17)</f>
        <v>-19.46962273395394</v>
      </c>
      <c r="O21" s="114">
        <f>IF($E21="","",Datos_Peers!$L$17)</f>
        <v>-18.632425742574242</v>
      </c>
      <c r="P21" s="114">
        <f>IF($E21="","",Datos_Peers!$M$17)</f>
        <v>3.7642045454545632</v>
      </c>
      <c r="Q21" s="114">
        <f>IF($E21="","",Datos_Peers!$N$17)</f>
        <v>-8.3821070234113666</v>
      </c>
      <c r="R21" s="45">
        <f>IF($E21="","",Datos_Peers!$O$17)</f>
        <v>5.33</v>
      </c>
      <c r="S21" s="46">
        <f>IF($E21="","",Datos_Peers!$P$17)</f>
        <v>5.62</v>
      </c>
      <c r="T21" s="46">
        <f>IF($E21="","",Datos_Peers!$Q$17)</f>
        <v>5.85</v>
      </c>
      <c r="U21" s="46">
        <f>IF($E21="","",Datos_Peers!$R$17)</f>
        <v>5.81</v>
      </c>
      <c r="V21" s="46" t="str">
        <f t="shared" si="3"/>
        <v/>
      </c>
      <c r="W21" s="155" t="str">
        <f t="shared" si="3"/>
        <v/>
      </c>
      <c r="AA21" s="1" t="s">
        <v>510</v>
      </c>
    </row>
    <row r="22" spans="2:27" ht="11.25" customHeight="1" x14ac:dyDescent="0.2">
      <c r="B22" s="303" t="str">
        <f>IF($E22="","",IFERROR(HYPERLINK(CONCATENATE("https://www.capitaliq.spglobal.com/web/client#company/profile?id=",TearSheet!$AD43),""),"-"))</f>
        <v/>
      </c>
      <c r="C22" s="304"/>
      <c r="D22" s="171"/>
      <c r="E22" s="94" t="str">
        <f t="shared" si="4"/>
        <v/>
      </c>
      <c r="F22" s="180" t="str">
        <f>IF($E22="","","")</f>
        <v/>
      </c>
      <c r="G22" s="178" t="str">
        <f t="shared" si="1"/>
        <v/>
      </c>
      <c r="H22" s="182" t="str">
        <f t="shared" si="1"/>
        <v/>
      </c>
      <c r="I22" s="154" t="str">
        <f t="shared" ref="I22:J24" si="5">IF($E22="","","")</f>
        <v/>
      </c>
      <c r="J22" s="154" t="str">
        <f t="shared" si="5"/>
        <v/>
      </c>
      <c r="K22" s="114" t="str">
        <f t="shared" si="2"/>
        <v/>
      </c>
      <c r="L22" s="114" t="str">
        <f t="shared" ref="L22:U24" si="6">IF($E22="","","")</f>
        <v/>
      </c>
      <c r="M22" s="114" t="str">
        <f t="shared" si="6"/>
        <v/>
      </c>
      <c r="N22" s="114" t="str">
        <f t="shared" si="6"/>
        <v/>
      </c>
      <c r="O22" s="114" t="str">
        <f t="shared" si="6"/>
        <v/>
      </c>
      <c r="P22" s="114" t="str">
        <f t="shared" si="6"/>
        <v/>
      </c>
      <c r="Q22" s="114" t="str">
        <f t="shared" si="6"/>
        <v/>
      </c>
      <c r="R22" s="45" t="str">
        <f t="shared" si="6"/>
        <v/>
      </c>
      <c r="S22" s="46" t="str">
        <f t="shared" si="6"/>
        <v/>
      </c>
      <c r="T22" s="46" t="str">
        <f t="shared" si="6"/>
        <v/>
      </c>
      <c r="U22" s="46" t="str">
        <f t="shared" si="6"/>
        <v/>
      </c>
      <c r="V22" s="46" t="str">
        <f t="shared" si="3"/>
        <v/>
      </c>
      <c r="W22" s="155" t="str">
        <f t="shared" si="3"/>
        <v/>
      </c>
    </row>
    <row r="23" spans="2:27" ht="11.25" customHeight="1" x14ac:dyDescent="0.2">
      <c r="B23" s="303" t="str">
        <f>IF($E23="","",IFERROR(HYPERLINK(CONCATENATE("https://www.capitaliq.spglobal.com/web/client#company/profile?id=",TearSheet!$AD44),""),"-"))</f>
        <v/>
      </c>
      <c r="C23" s="304"/>
      <c r="D23" s="171"/>
      <c r="E23" s="94" t="str">
        <f t="shared" si="4"/>
        <v/>
      </c>
      <c r="F23" s="180" t="str">
        <f>IF($E23="","","")</f>
        <v/>
      </c>
      <c r="G23" s="178" t="str">
        <f t="shared" si="1"/>
        <v/>
      </c>
      <c r="H23" s="182" t="str">
        <f t="shared" si="1"/>
        <v/>
      </c>
      <c r="I23" s="154" t="str">
        <f t="shared" si="5"/>
        <v/>
      </c>
      <c r="J23" s="154" t="str">
        <f t="shared" si="5"/>
        <v/>
      </c>
      <c r="K23" s="114" t="str">
        <f t="shared" si="2"/>
        <v/>
      </c>
      <c r="L23" s="114" t="str">
        <f t="shared" si="6"/>
        <v/>
      </c>
      <c r="M23" s="114" t="str">
        <f t="shared" si="6"/>
        <v/>
      </c>
      <c r="N23" s="114" t="str">
        <f t="shared" si="6"/>
        <v/>
      </c>
      <c r="O23" s="114" t="str">
        <f t="shared" si="6"/>
        <v/>
      </c>
      <c r="P23" s="114" t="str">
        <f t="shared" si="6"/>
        <v/>
      </c>
      <c r="Q23" s="114" t="str">
        <f t="shared" si="6"/>
        <v/>
      </c>
      <c r="R23" s="45" t="str">
        <f t="shared" si="6"/>
        <v/>
      </c>
      <c r="S23" s="46" t="str">
        <f t="shared" si="6"/>
        <v/>
      </c>
      <c r="T23" s="46" t="str">
        <f t="shared" si="6"/>
        <v/>
      </c>
      <c r="U23" s="46" t="str">
        <f t="shared" si="6"/>
        <v/>
      </c>
      <c r="V23" s="46" t="str">
        <f t="shared" si="3"/>
        <v/>
      </c>
      <c r="W23" s="155" t="str">
        <f t="shared" si="3"/>
        <v/>
      </c>
    </row>
    <row r="24" spans="2:27" ht="11.25" customHeight="1" x14ac:dyDescent="0.2">
      <c r="B24" s="303" t="str">
        <f>IF($E24="","",IFERROR(HYPERLINK(CONCATENATE("https://www.capitaliq.spglobal.com/web/client#company/profile?id=",TearSheet!$AD45),""),"-"))</f>
        <v/>
      </c>
      <c r="C24" s="304"/>
      <c r="D24" s="171"/>
      <c r="E24" s="94" t="str">
        <f t="shared" si="4"/>
        <v/>
      </c>
      <c r="F24" s="180" t="str">
        <f>IF($E24="","","")</f>
        <v/>
      </c>
      <c r="G24" s="178" t="str">
        <f t="shared" si="1"/>
        <v/>
      </c>
      <c r="H24" s="182" t="str">
        <f t="shared" si="1"/>
        <v/>
      </c>
      <c r="I24" s="154" t="str">
        <f t="shared" si="5"/>
        <v/>
      </c>
      <c r="J24" s="154" t="str">
        <f t="shared" si="5"/>
        <v/>
      </c>
      <c r="K24" s="114" t="str">
        <f t="shared" si="2"/>
        <v/>
      </c>
      <c r="L24" s="114" t="str">
        <f t="shared" si="6"/>
        <v/>
      </c>
      <c r="M24" s="114" t="str">
        <f t="shared" si="6"/>
        <v/>
      </c>
      <c r="N24" s="114" t="str">
        <f t="shared" si="6"/>
        <v/>
      </c>
      <c r="O24" s="114" t="str">
        <f t="shared" si="6"/>
        <v/>
      </c>
      <c r="P24" s="114" t="str">
        <f t="shared" si="6"/>
        <v/>
      </c>
      <c r="Q24" s="114" t="str">
        <f t="shared" si="6"/>
        <v/>
      </c>
      <c r="R24" s="45" t="str">
        <f t="shared" si="6"/>
        <v/>
      </c>
      <c r="S24" s="46" t="str">
        <f t="shared" si="6"/>
        <v/>
      </c>
      <c r="T24" s="46" t="str">
        <f t="shared" si="6"/>
        <v/>
      </c>
      <c r="U24" s="46" t="str">
        <f t="shared" si="6"/>
        <v/>
      </c>
      <c r="V24" s="46" t="str">
        <f t="shared" si="3"/>
        <v/>
      </c>
      <c r="W24" s="155" t="str">
        <f t="shared" si="3"/>
        <v/>
      </c>
    </row>
    <row r="25" spans="2:27" ht="11.25" customHeight="1" x14ac:dyDescent="0.2">
      <c r="B25" s="310" t="str">
        <f>IF($E25="","",IFERROR(HYPERLINK(CONCATENATE("https://www.capitaliq.spglobal.com/web/client#company/profile?id=",TearSheet!$AD46),"Grupo Bimbo, S.A.B. de C.V."),"-"))</f>
        <v>Grupo Bimbo, S.A.B. de C.V.</v>
      </c>
      <c r="C25" s="311"/>
      <c r="D25" s="268" t="s">
        <v>456</v>
      </c>
      <c r="E25" s="173" t="str">
        <f>TearSheet!$E$5</f>
        <v>BMV:BIMBO A</v>
      </c>
      <c r="F25" s="204">
        <f>IF($E25="","",Datos_Peers!$C$18)</f>
        <v>3.1711672709562206</v>
      </c>
      <c r="G25" s="205">
        <f>IF($E25="","",Datos_Peers!$D$18)</f>
        <v>3.7161101791222473</v>
      </c>
      <c r="H25" s="206">
        <f>IF($E25="","",Datos_Peers!$E$18)</f>
        <v>2.8697440337680611</v>
      </c>
      <c r="I25" s="207">
        <f>IF($E25="","",Datos_Peers!$F$18)</f>
        <v>13619.846312029871</v>
      </c>
      <c r="J25" s="207">
        <f>IF($E25="","",Datos_Peers!$G$18)</f>
        <v>22883.334596027918</v>
      </c>
      <c r="K25" s="208">
        <f>IF($E25="","",Datos_Peers!$H$18)</f>
        <v>1.0868</v>
      </c>
      <c r="L25" s="208">
        <f>IF($E25="","",Datos_Peers!$I$18)</f>
        <v>-8.6658354114713116</v>
      </c>
      <c r="M25" s="208">
        <f>IF($E25="","",Datos_Peers!$J$18)</f>
        <v>-5.4381152170404956</v>
      </c>
      <c r="N25" s="208">
        <f>IF($E25="","",Datos_Peers!$K$18)</f>
        <v>-19.92347635966112</v>
      </c>
      <c r="O25" s="208">
        <f>IF($E25="","",Datos_Peers!$L$18)</f>
        <v>-3.8398424680013088</v>
      </c>
      <c r="P25" s="208">
        <f>IF($E25="","",Datos_Peers!$M$18)</f>
        <v>6.7395264116575593</v>
      </c>
      <c r="Q25" s="208">
        <f>IF($E25="","",Datos_Peers!$N$18)</f>
        <v>-0.67796610169491567</v>
      </c>
      <c r="R25" s="209">
        <f>IF($E25="","",Datos_Peers!$O$18)</f>
        <v>5.0868553493154389E-2</v>
      </c>
      <c r="S25" s="210">
        <f>IF($E25="","",Datos_Peers!$P$18)</f>
        <v>5.411548243952595E-2</v>
      </c>
      <c r="T25" s="210">
        <f>IF($E25="","",Datos_Peers!$Q$18)</f>
        <v>5.4656637263921212E-2</v>
      </c>
      <c r="U25" s="210">
        <f>IF($E25="","",Datos_Peers!$R$18)</f>
        <v>5.8174143622490397E-2</v>
      </c>
      <c r="V25" s="210" t="str">
        <f t="shared" si="3"/>
        <v/>
      </c>
      <c r="W25" s="211" t="str">
        <f t="shared" si="3"/>
        <v/>
      </c>
    </row>
    <row r="26" spans="2:27" ht="11.25" customHeight="1" x14ac:dyDescent="0.2">
      <c r="B26" s="224"/>
      <c r="C26" s="224"/>
      <c r="D26" s="224"/>
      <c r="F26" s="197"/>
      <c r="G26" s="197"/>
      <c r="H26" s="197"/>
      <c r="I26" s="198"/>
      <c r="J26" s="198"/>
      <c r="K26" s="199"/>
      <c r="L26" s="199"/>
      <c r="M26" s="199"/>
      <c r="N26" s="199"/>
      <c r="O26" s="199"/>
      <c r="P26" s="199"/>
      <c r="Q26" s="199"/>
      <c r="R26" s="56"/>
      <c r="S26" s="56"/>
      <c r="T26" s="56"/>
      <c r="U26" s="56"/>
      <c r="V26" s="56"/>
      <c r="W26" s="56"/>
    </row>
    <row r="27" spans="2:27" ht="11.25" hidden="1" customHeight="1" outlineLevel="1" x14ac:dyDescent="0.25">
      <c r="R27" s="32" t="str">
        <f>LEFT(R30,LEN(R30)-4)</f>
        <v>EBITDA, YoY</v>
      </c>
      <c r="V27" s="55"/>
      <c r="W27" s="55"/>
    </row>
    <row r="28" spans="2:27" ht="11.25" customHeight="1" collapsed="1" x14ac:dyDescent="0.25">
      <c r="B28" s="66"/>
      <c r="C28" s="67"/>
      <c r="D28" s="67"/>
      <c r="E28" s="60"/>
      <c r="F28" s="323" t="str">
        <f>"Financials ("&amp;TearSheet!AM1&amp;""&amp;TearSheet!AG33&amp;")"</f>
        <v>Financials ($M)</v>
      </c>
      <c r="G28" s="324"/>
      <c r="H28" s="324"/>
      <c r="I28" s="324"/>
      <c r="J28" s="324"/>
      <c r="K28" s="324"/>
      <c r="L28" s="324"/>
      <c r="M28" s="324"/>
      <c r="N28" s="324"/>
      <c r="O28" s="324"/>
      <c r="P28" s="324"/>
      <c r="Q28" s="325"/>
      <c r="R28" s="326" t="s">
        <v>328</v>
      </c>
      <c r="S28" s="327"/>
      <c r="T28" s="327"/>
      <c r="U28" s="327"/>
      <c r="V28" s="327"/>
      <c r="W28" s="328"/>
      <c r="Z28" s="61"/>
      <c r="AA28" s="61"/>
    </row>
    <row r="29" spans="2:27" ht="11.25" customHeight="1" x14ac:dyDescent="0.25">
      <c r="B29" s="68"/>
      <c r="C29" s="69"/>
      <c r="D29" s="234"/>
      <c r="E29" s="151"/>
      <c r="F29" s="158" t="str">
        <f>IF(MID(G29,2,1)="Q",IF(MID(G29,2,2)="Q1",LEFT(G29,2)&amp;"4"&amp;RIGHT(G29,4)-1,LEFT(G29,2)&amp;(MID(G29,3,1)-1)&amp;RIGHT(G29,4)),LEFT(G29,2)&amp;(RIGHT(G29,4)-1))</f>
        <v>FY2024</v>
      </c>
      <c r="G29" s="157" t="str">
        <f>TearSheet!$E$8</f>
        <v>FY2025</v>
      </c>
      <c r="H29" s="158" t="str">
        <f>IF(MID(G29,2,1)="Q",IF(MID(G29,2,2)="Q4",LEFT(G29,2)&amp;"1"&amp;RIGHT(G29,4)+1,LEFT(G29,2)&amp;MID(G29,3,1)+1&amp;RIGHT(G29,4)),LEFT(G29,2)&amp;RIGHT(G29,4)+1)</f>
        <v>FY2026</v>
      </c>
      <c r="I29" s="157" t="s">
        <v>216</v>
      </c>
      <c r="J29" s="158" t="s">
        <v>217</v>
      </c>
      <c r="K29" s="158" t="s">
        <v>218</v>
      </c>
      <c r="L29" s="158" t="str">
        <f>IF(MID(M29,2,1)="Q",IF(MID(M29,2,2)="Q1",LEFT(M29,2)&amp;"4"&amp;RIGHT(M29,4)-1,LEFT(M29,2)&amp;(MID(M29,3,1)-1)&amp;RIGHT(M29,4)),LEFT(M29,2)&amp;(RIGHT(M29,4)-1))</f>
        <v>FY2024</v>
      </c>
      <c r="M29" s="158" t="str">
        <f>TearSheet!$E$8</f>
        <v>FY2025</v>
      </c>
      <c r="N29" s="158" t="str">
        <f>IF(MID(M29,2,1)="Q",IF(MID(M29,2,2)="Q4",LEFT(M29,2)&amp;"1"&amp;RIGHT(M29,4)+1,LEFT(M29,2)&amp;MID(M29,3,1)+1&amp;RIGHT(M29,4)),LEFT(M29,2)&amp;RIGHT(M29,4)+1)</f>
        <v>FY2026</v>
      </c>
      <c r="O29" s="158" t="s">
        <v>216</v>
      </c>
      <c r="P29" s="158" t="s">
        <v>217</v>
      </c>
      <c r="Q29" s="158" t="s">
        <v>218</v>
      </c>
      <c r="R29" s="159" t="str">
        <f>IF(MID(S29,2,1)="Q",IF(MID(S29,2,2)="Q1",LEFT(S29,2)&amp;"4"&amp;RIGHT(S29,4)-1,LEFT(S29,2)&amp;(MID(S29,3,1)-1)&amp;RIGHT(S29,4)),LEFT(S29,2)&amp;(RIGHT(S29,4)-1))</f>
        <v>FY2024</v>
      </c>
      <c r="S29" s="158" t="str">
        <f>TearSheet!$E$8</f>
        <v>FY2025</v>
      </c>
      <c r="T29" s="159" t="str">
        <f>IF(MID(S29,2,1)="Q",IF(MID(S29,2,2)="Q4",LEFT(S29,2)&amp;"1"&amp;RIGHT(S29,4)+1,LEFT(S29,2)&amp;MID(S29,3,1)+1&amp;RIGHT(S29,4)),LEFT(S29,2)&amp;RIGHT(S29,4)+1)</f>
        <v>FY2026</v>
      </c>
      <c r="U29" s="159" t="s">
        <v>216</v>
      </c>
      <c r="V29" s="159" t="s">
        <v>217</v>
      </c>
      <c r="W29" s="159" t="s">
        <v>218</v>
      </c>
      <c r="Z29" s="61"/>
      <c r="AA29" s="61"/>
    </row>
    <row r="30" spans="2:27" ht="11.25" customHeight="1" x14ac:dyDescent="0.25">
      <c r="B30" s="68" t="s">
        <v>206</v>
      </c>
      <c r="C30" s="69"/>
      <c r="D30" s="235" t="s">
        <v>451</v>
      </c>
      <c r="E30" s="65" t="s">
        <v>207</v>
      </c>
      <c r="F30" s="312" t="s">
        <v>149</v>
      </c>
      <c r="G30" s="313"/>
      <c r="H30" s="313"/>
      <c r="I30" s="313"/>
      <c r="J30" s="313"/>
      <c r="K30" s="314"/>
      <c r="L30" s="312" t="s">
        <v>38</v>
      </c>
      <c r="M30" s="313"/>
      <c r="N30" s="313"/>
      <c r="O30" s="313"/>
      <c r="P30" s="313"/>
      <c r="Q30" s="314"/>
      <c r="R30" s="312" t="s">
        <v>244</v>
      </c>
      <c r="S30" s="313"/>
      <c r="T30" s="313"/>
      <c r="U30" s="313"/>
      <c r="V30" s="313"/>
      <c r="W30" s="314"/>
      <c r="Z30" s="61"/>
    </row>
    <row r="31" spans="2:27" ht="11.25" customHeight="1" x14ac:dyDescent="0.2">
      <c r="B31" s="92" t="str">
        <f t="shared" ref="B31:B43" si="7">IF($B13="","",$B13)</f>
        <v>Flowers Foods, Inc.</v>
      </c>
      <c r="C31" s="70"/>
      <c r="D31" s="225" t="str">
        <f>IF(D13="","",D13)</f>
        <v/>
      </c>
      <c r="E31" s="95" t="str">
        <f>IF(D31&lt;&gt;"",D31,IF(AA13="","",AA13))</f>
        <v>NYSE:FLO</v>
      </c>
      <c r="F31" s="106">
        <f>IF($E31="","",Datos_Peers!$C$22)</f>
        <v>5103.5</v>
      </c>
      <c r="G31" s="107">
        <f>IF($E31="","",Datos_Peers!$D$22)</f>
        <v>5256.5</v>
      </c>
      <c r="H31" s="107">
        <f>IF($E31="","",Datos_Peers!$E$22)</f>
        <v>5075.8</v>
      </c>
      <c r="I31" s="107">
        <f>IF($E31="","",Datos_Peers!$F$22)</f>
        <v>5223.8999999999996</v>
      </c>
      <c r="J31" s="107">
        <f>IF($E31="","",Datos_Peers!$G$22)</f>
        <v>5062.0876712328773</v>
      </c>
      <c r="K31" s="153">
        <f>IF($E31="","",Datos_Peers!$H$22)</f>
        <v>5038.1624657534248</v>
      </c>
      <c r="L31" s="108">
        <f>IF($E31="","",Datos_Peers!$I$22)</f>
        <v>2526.3000000000002</v>
      </c>
      <c r="M31" s="109">
        <f>IF($E31="","",Datos_Peers!$J$22)</f>
        <v>2568.9</v>
      </c>
      <c r="N31" s="109">
        <f>IF($E31="","",Datos_Peers!$K$22)</f>
        <v>2424.70966</v>
      </c>
      <c r="O31" s="109">
        <f>IF($E31="","",Datos_Peers!$L$22)</f>
        <v>2540.4</v>
      </c>
      <c r="P31" s="109">
        <f>IF($E31="","",Datos_Peers!$M$22)</f>
        <v>2394.3783413698634</v>
      </c>
      <c r="Q31" s="109">
        <f>IF($E31="","",Datos_Peers!$N$22)</f>
        <v>2413.1744117534249</v>
      </c>
      <c r="R31" s="110">
        <f>IF($E31="","",Datos_Peers!$O$22)</f>
        <v>6.5479844485369476</v>
      </c>
      <c r="S31" s="111">
        <f>IF($E31="","",Datos_Peers!$P$22)</f>
        <v>-1.133090071058207</v>
      </c>
      <c r="T31" s="111">
        <f>IF($E31="","",Datos_Peers!$Q$22)</f>
        <v>-10.916860916860903</v>
      </c>
      <c r="U31" s="111" t="str">
        <f t="shared" ref="U31:U43" si="8">IF($E31="","","")</f>
        <v/>
      </c>
      <c r="V31" s="111">
        <f>IF($E31="","",Datos_Peers!$S$22)</f>
        <v>-10.398748582730544</v>
      </c>
      <c r="W31" s="113">
        <f>IF($E31="","",Datos_Peers!$T$22)</f>
        <v>-1.0008289478642074</v>
      </c>
      <c r="Z31" s="41"/>
    </row>
    <row r="32" spans="2:27" ht="11.25" customHeight="1" x14ac:dyDescent="0.2">
      <c r="B32" s="92" t="str">
        <f t="shared" si="7"/>
        <v>Gruma, S.A.B. de C.V.</v>
      </c>
      <c r="C32" s="70"/>
      <c r="D32" s="225" t="str">
        <f t="shared" ref="D32:D42" si="9">IF(D14="","",D14)</f>
        <v/>
      </c>
      <c r="E32" s="94" t="str">
        <f t="shared" ref="E32:E42" si="10">IF(D32&lt;&gt;"",D32,IF(AA14="","",AA14))</f>
        <v>BMV:GRUMA B</v>
      </c>
      <c r="F32" s="108">
        <f>IF($E32="","",Datos_Peers!$C$23)</f>
        <v>6486.9</v>
      </c>
      <c r="G32" s="109">
        <f>IF($E32="","",Datos_Peers!$D$23)</f>
        <v>6374.6</v>
      </c>
      <c r="H32" s="109">
        <f>IF($E32="","",Datos_Peers!$E$23)</f>
        <v>6648.35</v>
      </c>
      <c r="I32" s="109">
        <f>IF($E32="","",Datos_Peers!$F$23)</f>
        <v>6500.1</v>
      </c>
      <c r="J32" s="109">
        <f>IF($E32="","",Datos_Peers!$G$23)</f>
        <v>6487.4487397260273</v>
      </c>
      <c r="K32" s="154">
        <f>IF($E32="","",Datos_Peers!$H$23)</f>
        <v>6579.5375068493149</v>
      </c>
      <c r="L32" s="108">
        <f>IF($E32="","",Datos_Peers!$I$23)</f>
        <v>2498.6</v>
      </c>
      <c r="M32" s="109">
        <f>IF($E32="","",Datos_Peers!$J$23)</f>
        <v>2492.6999999999998</v>
      </c>
      <c r="N32" s="109">
        <f>IF($E32="","",Datos_Peers!$K$23)</f>
        <v>2562.9389249999999</v>
      </c>
      <c r="O32" s="109">
        <f>IF($E32="","",Datos_Peers!$L$23)</f>
        <v>2522.1999999999998</v>
      </c>
      <c r="P32" s="109">
        <f>IF($E32="","",Datos_Peers!$M$23)</f>
        <v>2500.9114891643835</v>
      </c>
      <c r="Q32" s="109">
        <f>IF($E32="","",Datos_Peers!$N$23)</f>
        <v>2539.0217226986301</v>
      </c>
      <c r="R32" s="110" t="str">
        <f>IF($E32="","","")</f>
        <v/>
      </c>
      <c r="S32" s="111">
        <f>IF($E32="","",Datos_Peers!$P$23)</f>
        <v>0.43320661303156704</v>
      </c>
      <c r="T32" s="111">
        <f>IF($E32="","",Datos_Peers!$Q$23)</f>
        <v>-2.1681338028169073</v>
      </c>
      <c r="U32" s="111" t="str">
        <f t="shared" si="8"/>
        <v/>
      </c>
      <c r="V32" s="111">
        <f>IF($E32="","",Datos_Peers!$S$23)</f>
        <v>-3.4908517264424788</v>
      </c>
      <c r="W32" s="115">
        <f>IF($E32="","",Datos_Peers!$T$23)</f>
        <v>2.0722604792753119</v>
      </c>
      <c r="Z32" s="41"/>
    </row>
    <row r="33" spans="2:26" ht="11.25" customHeight="1" x14ac:dyDescent="0.2">
      <c r="B33" s="92" t="str">
        <f t="shared" si="7"/>
        <v>Yamazaki Baking Co., Ltd.</v>
      </c>
      <c r="C33" s="70"/>
      <c r="D33" s="225" t="str">
        <f t="shared" si="9"/>
        <v/>
      </c>
      <c r="E33" s="94" t="str">
        <f t="shared" si="10"/>
        <v>TSE:2212</v>
      </c>
      <c r="F33" s="108">
        <f>IF($E33="","",Datos_Peers!$C$24)</f>
        <v>8224.6</v>
      </c>
      <c r="G33" s="109">
        <f>IF($E33="","",Datos_Peers!$D$24)</f>
        <v>8773.2000000000007</v>
      </c>
      <c r="H33" s="109">
        <f>IF($E33="","",Datos_Peers!$E$24)</f>
        <v>8564.4</v>
      </c>
      <c r="I33" s="109">
        <f>IF($E33="","",Datos_Peers!$F$24)</f>
        <v>8669.9</v>
      </c>
      <c r="J33" s="109">
        <f>IF($E33="","",Datos_Peers!$G$24)</f>
        <v>8746.352876712328</v>
      </c>
      <c r="K33" s="154">
        <f>IF($E33="","",Datos_Peers!$H$24)</f>
        <v>8925.6652054794522</v>
      </c>
      <c r="L33" s="108">
        <f>IF($E33="","",Datos_Peers!$I$24)</f>
        <v>2678.3</v>
      </c>
      <c r="M33" s="109">
        <f>IF($E33="","",Datos_Peers!$J$24)</f>
        <v>2865.9</v>
      </c>
      <c r="N33" s="109">
        <f>IF($E33="","",Datos_Peers!$K$24)</f>
        <v>2835.6728399999997</v>
      </c>
      <c r="O33" s="109">
        <f>IF($E33="","",Datos_Peers!$L$24)</f>
        <v>2834.9</v>
      </c>
      <c r="P33" s="109">
        <f>IF($E33="","",Datos_Peers!$M$24)</f>
        <v>2898.6932840547943</v>
      </c>
      <c r="Q33" s="109">
        <f>IF($E33="","",Datos_Peers!$N$24)</f>
        <v>2967.3423535890411</v>
      </c>
      <c r="R33" s="110">
        <f>IF($E33="","",Datos_Peers!$O$24)</f>
        <v>5.8971774193548265</v>
      </c>
      <c r="S33" s="111">
        <f>IF($E33="","",Datos_Peers!$P$24)</f>
        <v>12.962081548468984</v>
      </c>
      <c r="T33" s="111">
        <f>IF($E33="","",Datos_Peers!$Q$24)</f>
        <v>-1.6713483146067354</v>
      </c>
      <c r="U33" s="111" t="str">
        <f t="shared" si="8"/>
        <v/>
      </c>
      <c r="V33" s="111">
        <f>IF($E33="","",Datos_Peers!$S$24)</f>
        <v>3.6884535686801945</v>
      </c>
      <c r="W33" s="115">
        <f>IF($E33="","",Datos_Peers!$T$24)</f>
        <v>3.8192669774175232</v>
      </c>
      <c r="Z33" s="41"/>
    </row>
    <row r="34" spans="2:26" ht="11.25" customHeight="1" x14ac:dyDescent="0.2">
      <c r="B34" s="92" t="str">
        <f t="shared" si="7"/>
        <v>ARYZTA AG</v>
      </c>
      <c r="C34" s="70"/>
      <c r="D34" s="225" t="str">
        <f t="shared" si="9"/>
        <v/>
      </c>
      <c r="E34" s="94" t="str">
        <f t="shared" si="10"/>
        <v>SWX:ARYN</v>
      </c>
      <c r="F34" s="108">
        <f>IF($E34="","",Datos_Peers!$C$25)</f>
        <v>2374.1</v>
      </c>
      <c r="G34" s="109">
        <f>IF($E34="","",Datos_Peers!$D$25)</f>
        <v>2513.6999999999998</v>
      </c>
      <c r="H34" s="109">
        <f>IF($E34="","",Datos_Peers!$E$25)</f>
        <v>2594.6999999999998</v>
      </c>
      <c r="I34" s="109">
        <f>IF($E34="","",Datos_Peers!$F$25)</f>
        <v>2567.4</v>
      </c>
      <c r="J34" s="109">
        <f>IF($E34="","",Datos_Peers!$G$25)</f>
        <v>2569.3717808219176</v>
      </c>
      <c r="K34" s="154">
        <f>IF($E34="","",Datos_Peers!$H$25)</f>
        <v>2599.290410958904</v>
      </c>
      <c r="L34" s="108">
        <f>IF($E34="","",Datos_Peers!$I$25)</f>
        <v>507.6</v>
      </c>
      <c r="M34" s="109">
        <f>IF($E34="","",Datos_Peers!$J$25)</f>
        <v>506.5</v>
      </c>
      <c r="N34" s="109">
        <f>IF($E34="","",Datos_Peers!$K$25)</f>
        <v>679.03299000000004</v>
      </c>
      <c r="O34" s="109">
        <f>IF($E34="","",Datos_Peers!$L$25)</f>
        <v>514.79999999999995</v>
      </c>
      <c r="P34" s="109">
        <f>IF($E34="","",Datos_Peers!$M$25)</f>
        <v>676.04418912328765</v>
      </c>
      <c r="Q34" s="109">
        <f>IF($E34="","",Datos_Peers!$N$25)</f>
        <v>690.88321594520539</v>
      </c>
      <c r="R34" s="110">
        <f>IF($E34="","",Datos_Peers!$O$25)</f>
        <v>24.441635061104083</v>
      </c>
      <c r="S34" s="111">
        <f>IF($E34="","",Datos_Peers!$P$25)</f>
        <v>-2.6752455130376052</v>
      </c>
      <c r="T34" s="111">
        <f>IF($E34="","",Datos_Peers!$Q$25)</f>
        <v>23.416840640222691</v>
      </c>
      <c r="U34" s="111" t="str">
        <f t="shared" si="8"/>
        <v/>
      </c>
      <c r="V34" s="111">
        <f>IF($E34="","",Datos_Peers!$S$25)</f>
        <v>43.313179775524823</v>
      </c>
      <c r="W34" s="115">
        <f>IF($E34="","",Datos_Peers!$T$25)</f>
        <v>4.3364056451362432</v>
      </c>
      <c r="Z34" s="41"/>
    </row>
    <row r="35" spans="2:26" ht="11.25" customHeight="1" x14ac:dyDescent="0.2">
      <c r="B35" s="92" t="str">
        <f t="shared" si="7"/>
        <v>The J. M. Smucker Company</v>
      </c>
      <c r="C35" s="70"/>
      <c r="D35" s="225" t="str">
        <f t="shared" si="9"/>
        <v/>
      </c>
      <c r="E35" s="94" t="str">
        <f t="shared" si="10"/>
        <v>NYSE:SJM</v>
      </c>
      <c r="F35" s="108">
        <f>IF($E35="","",Datos_Peers!$C$26)</f>
        <v>8178.7</v>
      </c>
      <c r="G35" s="109">
        <f>IF($E35="","",Datos_Peers!$D$26)</f>
        <v>8726.1</v>
      </c>
      <c r="H35" s="109">
        <f>IF($E35="","",Datos_Peers!$E$26)</f>
        <v>9050.9</v>
      </c>
      <c r="I35" s="109">
        <f>IF($E35="","",Datos_Peers!$F$26)</f>
        <v>9156.9</v>
      </c>
      <c r="J35" s="109">
        <f>IF($E35="","",Datos_Peers!$G$26)</f>
        <v>8979.6413698630131</v>
      </c>
      <c r="K35" s="154">
        <f>IF($E35="","",Datos_Peers!$H$26)</f>
        <v>9108.0830136986297</v>
      </c>
      <c r="L35" s="108">
        <f>IF($E35="","",Datos_Peers!$I$26)</f>
        <v>3118.3</v>
      </c>
      <c r="M35" s="109">
        <f>IF($E35="","",Datos_Peers!$J$26)</f>
        <v>3393.8</v>
      </c>
      <c r="N35" s="109" t="str">
        <f>IF($E35="","","")</f>
        <v/>
      </c>
      <c r="O35" s="109">
        <f>IF($E35="","",Datos_Peers!$L$26)</f>
        <v>3475.1</v>
      </c>
      <c r="P35" s="109">
        <f>IF($E35="","",Datos_Peers!$M$26)</f>
        <v>3457.1683692876713</v>
      </c>
      <c r="Q35" s="109">
        <f>IF($E35="","",Datos_Peers!$N$26)</f>
        <v>3508.5717846575344</v>
      </c>
      <c r="R35" s="110">
        <f>IF($E35="","",Datos_Peers!$O$26)</f>
        <v>16.875584658559404</v>
      </c>
      <c r="S35" s="111">
        <f>IF($E35="","",Datos_Peers!$P$26)</f>
        <v>15.052558561442829</v>
      </c>
      <c r="T35" s="111">
        <f>IF($E35="","",Datos_Peers!$Q$26)</f>
        <v>-6.0986921435859269</v>
      </c>
      <c r="U35" s="111" t="str">
        <f t="shared" si="8"/>
        <v/>
      </c>
      <c r="V35" s="111">
        <f>IF($E35="","",Datos_Peers!$S$26)</f>
        <v>-3.7685240707785561</v>
      </c>
      <c r="W35" s="115" t="str">
        <f>IF($E35="","","")</f>
        <v/>
      </c>
    </row>
    <row r="36" spans="2:26" ht="11.25" customHeight="1" x14ac:dyDescent="0.2">
      <c r="B36" s="92" t="str">
        <f t="shared" si="7"/>
        <v>The Campbell's Company</v>
      </c>
      <c r="C36" s="70"/>
      <c r="D36" s="225" t="str">
        <f t="shared" si="9"/>
        <v/>
      </c>
      <c r="E36" s="94" t="str">
        <f t="shared" si="10"/>
        <v>NasdaqGS:CPB</v>
      </c>
      <c r="F36" s="108">
        <f>IF($E36="","",Datos_Peers!$C$27)</f>
        <v>9636</v>
      </c>
      <c r="G36" s="109">
        <f>IF($E36="","",Datos_Peers!$D$27)</f>
        <v>10253</v>
      </c>
      <c r="H36" s="109">
        <f>IF($E36="","",Datos_Peers!$E$27)</f>
        <v>9744</v>
      </c>
      <c r="I36" s="109">
        <f>IF($E36="","",Datos_Peers!$F$27)</f>
        <v>9744</v>
      </c>
      <c r="J36" s="109">
        <f>IF($E36="","",Datos_Peers!$G$27)</f>
        <v>9491.0109589041094</v>
      </c>
      <c r="K36" s="154">
        <f>IF($E36="","",Datos_Peers!$H$27)</f>
        <v>9487.17808219178</v>
      </c>
      <c r="L36" s="108">
        <f>IF($E36="","",Datos_Peers!$I$27)</f>
        <v>3017</v>
      </c>
      <c r="M36" s="109">
        <f>IF($E36="","",Datos_Peers!$J$27)</f>
        <v>3151</v>
      </c>
      <c r="N36" s="109" t="str">
        <f>IF($E36="","","")</f>
        <v/>
      </c>
      <c r="O36" s="109">
        <f>IF($E36="","",Datos_Peers!$L$27)</f>
        <v>2781</v>
      </c>
      <c r="P36" s="109">
        <f>IF($E36="","",Datos_Peers!$M$27)</f>
        <v>2646.0614389041093</v>
      </c>
      <c r="Q36" s="109">
        <f>IF($E36="","",Datos_Peers!$N$27)</f>
        <v>2704.5670361643838</v>
      </c>
      <c r="R36" s="110">
        <f>IF($E36="","",Datos_Peers!$O$27)</f>
        <v>-0.23500447627574639</v>
      </c>
      <c r="S36" s="111">
        <f>IF($E36="","",Datos_Peers!$P$27)</f>
        <v>5.8889512058328597</v>
      </c>
      <c r="T36" s="111">
        <f>IF($E36="","",Datos_Peers!$Q$27)</f>
        <v>-15.572033898305085</v>
      </c>
      <c r="U36" s="111" t="str">
        <f t="shared" si="8"/>
        <v/>
      </c>
      <c r="V36" s="111">
        <f>IF($E36="","",Datos_Peers!$S$27)</f>
        <v>-8.8924403855910725</v>
      </c>
      <c r="W36" s="115" t="str">
        <f>IF($E36="","","")</f>
        <v/>
      </c>
    </row>
    <row r="37" spans="2:26" ht="11.25" customHeight="1" x14ac:dyDescent="0.2">
      <c r="B37" s="92" t="str">
        <f t="shared" si="7"/>
        <v>Mondelez International, Inc.</v>
      </c>
      <c r="C37" s="70"/>
      <c r="D37" s="225" t="str">
        <f t="shared" si="9"/>
        <v/>
      </c>
      <c r="E37" s="94" t="str">
        <f t="shared" si="10"/>
        <v>NasdaqGS:MDLZ</v>
      </c>
      <c r="F37" s="108">
        <f>IF($E37="","",Datos_Peers!$C$28)</f>
        <v>36441</v>
      </c>
      <c r="G37" s="109">
        <f>IF($E37="","",Datos_Peers!$D$28)</f>
        <v>38537</v>
      </c>
      <c r="H37" s="109">
        <f>IF($E37="","",Datos_Peers!$E$28)</f>
        <v>40101.199999999997</v>
      </c>
      <c r="I37" s="109">
        <f>IF($E37="","",Datos_Peers!$F$28)</f>
        <v>39675</v>
      </c>
      <c r="J37" s="109">
        <f>IF($E37="","",Datos_Peers!$G$28)</f>
        <v>40994.157808219177</v>
      </c>
      <c r="K37" s="154">
        <f>IF($E37="","",Datos_Peers!$H$28)</f>
        <v>42355.863287671229</v>
      </c>
      <c r="L37" s="108">
        <f>IF($E37="","",Datos_Peers!$I$28)</f>
        <v>14257</v>
      </c>
      <c r="M37" s="109">
        <f>IF($E37="","",Datos_Peers!$J$28)</f>
        <v>10935</v>
      </c>
      <c r="N37" s="109">
        <f>IF($E37="","",Datos_Peers!$K$28)</f>
        <v>13269.487080000001</v>
      </c>
      <c r="O37" s="109">
        <f>IF($E37="","",Datos_Peers!$L$28)</f>
        <v>12357</v>
      </c>
      <c r="P37" s="109">
        <f>IF($E37="","",Datos_Peers!$M$28)</f>
        <v>14137.573184547946</v>
      </c>
      <c r="Q37" s="109">
        <f>IF($E37="","",Datos_Peers!$N$28)</f>
        <v>14882.185052958905</v>
      </c>
      <c r="R37" s="110">
        <f>IF($E37="","",Datos_Peers!$O$28)</f>
        <v>11.928967043137485</v>
      </c>
      <c r="S37" s="111">
        <f>IF($E37="","",Datos_Peers!$P$28)</f>
        <v>-35.529715762273909</v>
      </c>
      <c r="T37" s="111">
        <f>IF($E37="","",Datos_Peers!$Q$28)</f>
        <v>34.973947895791582</v>
      </c>
      <c r="U37" s="111" t="str">
        <f t="shared" si="8"/>
        <v/>
      </c>
      <c r="V37" s="111">
        <f>IF($E37="","",Datos_Peers!$S$28)</f>
        <v>17.65187454938717</v>
      </c>
      <c r="W37" s="115">
        <f>IF($E37="","",Datos_Peers!$T$28)</f>
        <v>6.3640532126019167</v>
      </c>
    </row>
    <row r="38" spans="2:26" ht="11.25" customHeight="1" x14ac:dyDescent="0.2">
      <c r="B38" s="92" t="str">
        <f t="shared" si="7"/>
        <v>Arca Continental, S.A.B. de C.V.</v>
      </c>
      <c r="C38" s="70"/>
      <c r="D38" s="225" t="str">
        <f t="shared" si="9"/>
        <v/>
      </c>
      <c r="E38" s="94" t="str">
        <f t="shared" si="10"/>
        <v>BMV:AC</v>
      </c>
      <c r="F38" s="108">
        <f>IF($E38="","",Datos_Peers!$C$29)</f>
        <v>13149.5</v>
      </c>
      <c r="G38" s="109">
        <f>IF($E38="","",Datos_Peers!$D$29)</f>
        <v>13058.3</v>
      </c>
      <c r="H38" s="109">
        <f>IF($E38="","",Datos_Peers!$E$29)</f>
        <v>14453.8</v>
      </c>
      <c r="I38" s="109">
        <f>IF($E38="","",Datos_Peers!$F$29)</f>
        <v>13945.2</v>
      </c>
      <c r="J38" s="109">
        <f>IF($E38="","",Datos_Peers!$G$29)</f>
        <v>14591.724383561645</v>
      </c>
      <c r="K38" s="154">
        <f>IF($E38="","",Datos_Peers!$H$29)</f>
        <v>15424.900273972602</v>
      </c>
      <c r="L38" s="108">
        <f>IF($E38="","",Datos_Peers!$I$29)</f>
        <v>6131.3</v>
      </c>
      <c r="M38" s="109">
        <f>IF($E38="","",Datos_Peers!$J$29)</f>
        <v>6074.7</v>
      </c>
      <c r="N38" s="109">
        <f>IF($E38="","",Datos_Peers!$K$29)</f>
        <v>6855.4373399999995</v>
      </c>
      <c r="O38" s="109">
        <f>IF($E38="","",Datos_Peers!$L$29)</f>
        <v>6537.9</v>
      </c>
      <c r="P38" s="109">
        <f>IF($E38="","",Datos_Peers!$M$29)</f>
        <v>6933.5516983561638</v>
      </c>
      <c r="Q38" s="109">
        <f>IF($E38="","",Datos_Peers!$N$29)</f>
        <v>7337.9331369863012</v>
      </c>
      <c r="R38" s="110">
        <f>IF($E38="","",Datos_Peers!$O$29)</f>
        <v>10.567514677103729</v>
      </c>
      <c r="S38" s="111">
        <f>IF($E38="","",Datos_Peers!$P$29)</f>
        <v>-2.247018083878416</v>
      </c>
      <c r="T38" s="111">
        <f>IF($E38="","",Datos_Peers!$Q$29)</f>
        <v>15.334960245611274</v>
      </c>
      <c r="U38" s="111" t="str">
        <f t="shared" si="8"/>
        <v/>
      </c>
      <c r="V38" s="111">
        <f>IF($E38="","",Datos_Peers!$S$29)</f>
        <v>10.463466102595495</v>
      </c>
      <c r="W38" s="115">
        <f>IF($E38="","",Datos_Peers!$T$29)</f>
        <v>6.5505124515342183</v>
      </c>
    </row>
    <row r="39" spans="2:26" ht="11.25" customHeight="1" x14ac:dyDescent="0.2">
      <c r="B39" s="92" t="str">
        <f t="shared" si="7"/>
        <v>PepsiCo, Inc.</v>
      </c>
      <c r="C39" s="70"/>
      <c r="D39" s="225" t="str">
        <f t="shared" si="9"/>
        <v/>
      </c>
      <c r="E39" s="94" t="str">
        <f t="shared" si="10"/>
        <v>NasdaqGS:PEP</v>
      </c>
      <c r="F39" s="108">
        <f>IF($E39="","",Datos_Peers!$C$30)</f>
        <v>91854</v>
      </c>
      <c r="G39" s="109">
        <f>IF($E39="","",Datos_Peers!$D$30)</f>
        <v>93925</v>
      </c>
      <c r="H39" s="109">
        <f>IF($E39="","",Datos_Peers!$E$30)</f>
        <v>99300.5</v>
      </c>
      <c r="I39" s="109">
        <f>IF($E39="","",Datos_Peers!$F$30)</f>
        <v>98241</v>
      </c>
      <c r="J39" s="109">
        <f>IF($E39="","",Datos_Peers!$G$30)</f>
        <v>101251.48301369864</v>
      </c>
      <c r="K39" s="154">
        <f>IF($E39="","",Datos_Peers!$H$30)</f>
        <v>104438.71753424656</v>
      </c>
      <c r="L39" s="108">
        <f>IF($E39="","",Datos_Peers!$I$30)</f>
        <v>50419</v>
      </c>
      <c r="M39" s="109">
        <f>IF($E39="","",Datos_Peers!$J$30)</f>
        <v>51152</v>
      </c>
      <c r="N39" s="109">
        <f>IF($E39="","",Datos_Peers!$K$30)</f>
        <v>53711.640449999999</v>
      </c>
      <c r="O39" s="109">
        <f>IF($E39="","",Datos_Peers!$L$30)</f>
        <v>53371</v>
      </c>
      <c r="P39" s="109">
        <f>IF($E39="","",Datos_Peers!$M$30)</f>
        <v>54694.654319589048</v>
      </c>
      <c r="Q39" s="109">
        <f>IF($E39="","",Datos_Peers!$N$30)</f>
        <v>56454.98561161643</v>
      </c>
      <c r="R39" s="110">
        <f>IF($E39="","",Datos_Peers!$O$30)</f>
        <v>6.0086627413001192</v>
      </c>
      <c r="S39" s="111">
        <f>IF($E39="","",Datos_Peers!$P$30)</f>
        <v>1.8607779396928592</v>
      </c>
      <c r="T39" s="111">
        <f>IF($E39="","",Datos_Peers!$Q$30)</f>
        <v>4.8228238142401292</v>
      </c>
      <c r="U39" s="111" t="str">
        <f t="shared" si="8"/>
        <v/>
      </c>
      <c r="V39" s="111">
        <f>IF($E39="","",Datos_Peers!$S$30)</f>
        <v>1.5799877526200712</v>
      </c>
      <c r="W39" s="115">
        <f>IF($E39="","",Datos_Peers!$T$30)</f>
        <v>4.6432110261303228</v>
      </c>
    </row>
    <row r="40" spans="2:26" ht="11.25" customHeight="1" x14ac:dyDescent="0.2">
      <c r="B40" s="92" t="str">
        <f t="shared" si="7"/>
        <v/>
      </c>
      <c r="C40" s="70"/>
      <c r="D40" s="225" t="str">
        <f t="shared" si="9"/>
        <v/>
      </c>
      <c r="E40" s="94" t="str">
        <f t="shared" si="10"/>
        <v/>
      </c>
      <c r="F40" s="108" t="str">
        <f t="shared" ref="F40:T42" si="11">IF($E40="","","")</f>
        <v/>
      </c>
      <c r="G40" s="109" t="str">
        <f t="shared" si="11"/>
        <v/>
      </c>
      <c r="H40" s="109" t="str">
        <f t="shared" si="11"/>
        <v/>
      </c>
      <c r="I40" s="109" t="str">
        <f t="shared" si="11"/>
        <v/>
      </c>
      <c r="J40" s="109" t="str">
        <f t="shared" si="11"/>
        <v/>
      </c>
      <c r="K40" s="154" t="str">
        <f t="shared" si="11"/>
        <v/>
      </c>
      <c r="L40" s="108" t="str">
        <f t="shared" si="11"/>
        <v/>
      </c>
      <c r="M40" s="109" t="str">
        <f t="shared" si="11"/>
        <v/>
      </c>
      <c r="N40" s="109" t="str">
        <f t="shared" si="11"/>
        <v/>
      </c>
      <c r="O40" s="109" t="str">
        <f t="shared" si="11"/>
        <v/>
      </c>
      <c r="P40" s="109" t="str">
        <f t="shared" si="11"/>
        <v/>
      </c>
      <c r="Q40" s="109" t="str">
        <f t="shared" si="11"/>
        <v/>
      </c>
      <c r="R40" s="110" t="str">
        <f t="shared" si="11"/>
        <v/>
      </c>
      <c r="S40" s="111" t="str">
        <f t="shared" si="11"/>
        <v/>
      </c>
      <c r="T40" s="111" t="str">
        <f t="shared" si="11"/>
        <v/>
      </c>
      <c r="U40" s="111" t="str">
        <f t="shared" si="8"/>
        <v/>
      </c>
      <c r="V40" s="111" t="str">
        <f t="shared" ref="V40:W42" si="12">IF($E40="","","")</f>
        <v/>
      </c>
      <c r="W40" s="115" t="str">
        <f t="shared" si="12"/>
        <v/>
      </c>
    </row>
    <row r="41" spans="2:26" ht="11.25" customHeight="1" x14ac:dyDescent="0.2">
      <c r="B41" s="92" t="str">
        <f t="shared" si="7"/>
        <v/>
      </c>
      <c r="C41" s="237"/>
      <c r="D41" s="225" t="str">
        <f t="shared" si="9"/>
        <v/>
      </c>
      <c r="E41" s="94" t="str">
        <f t="shared" si="10"/>
        <v/>
      </c>
      <c r="F41" s="108" t="str">
        <f t="shared" si="11"/>
        <v/>
      </c>
      <c r="G41" s="109" t="str">
        <f t="shared" si="11"/>
        <v/>
      </c>
      <c r="H41" s="109" t="str">
        <f t="shared" si="11"/>
        <v/>
      </c>
      <c r="I41" s="109" t="str">
        <f t="shared" si="11"/>
        <v/>
      </c>
      <c r="J41" s="109" t="str">
        <f t="shared" si="11"/>
        <v/>
      </c>
      <c r="K41" s="154" t="str">
        <f t="shared" si="11"/>
        <v/>
      </c>
      <c r="L41" s="108" t="str">
        <f t="shared" si="11"/>
        <v/>
      </c>
      <c r="M41" s="109" t="str">
        <f t="shared" si="11"/>
        <v/>
      </c>
      <c r="N41" s="109" t="str">
        <f t="shared" si="11"/>
        <v/>
      </c>
      <c r="O41" s="109" t="str">
        <f t="shared" si="11"/>
        <v/>
      </c>
      <c r="P41" s="109" t="str">
        <f t="shared" si="11"/>
        <v/>
      </c>
      <c r="Q41" s="109" t="str">
        <f t="shared" si="11"/>
        <v/>
      </c>
      <c r="R41" s="110" t="str">
        <f t="shared" si="11"/>
        <v/>
      </c>
      <c r="S41" s="111" t="str">
        <f t="shared" si="11"/>
        <v/>
      </c>
      <c r="T41" s="111" t="str">
        <f t="shared" si="11"/>
        <v/>
      </c>
      <c r="U41" s="111" t="str">
        <f t="shared" si="8"/>
        <v/>
      </c>
      <c r="V41" s="111" t="str">
        <f t="shared" si="12"/>
        <v/>
      </c>
      <c r="W41" s="115" t="str">
        <f t="shared" si="12"/>
        <v/>
      </c>
    </row>
    <row r="42" spans="2:26" ht="11.25" customHeight="1" x14ac:dyDescent="0.2">
      <c r="B42" s="92" t="str">
        <f t="shared" si="7"/>
        <v/>
      </c>
      <c r="C42" s="238"/>
      <c r="D42" s="225" t="str">
        <f t="shared" si="9"/>
        <v/>
      </c>
      <c r="E42" s="94" t="str">
        <f t="shared" si="10"/>
        <v/>
      </c>
      <c r="F42" s="108" t="str">
        <f t="shared" si="11"/>
        <v/>
      </c>
      <c r="G42" s="109" t="str">
        <f t="shared" si="11"/>
        <v/>
      </c>
      <c r="H42" s="109" t="str">
        <f t="shared" si="11"/>
        <v/>
      </c>
      <c r="I42" s="109" t="str">
        <f t="shared" si="11"/>
        <v/>
      </c>
      <c r="J42" s="109" t="str">
        <f t="shared" si="11"/>
        <v/>
      </c>
      <c r="K42" s="154" t="str">
        <f t="shared" si="11"/>
        <v/>
      </c>
      <c r="L42" s="108" t="str">
        <f t="shared" si="11"/>
        <v/>
      </c>
      <c r="M42" s="109" t="str">
        <f t="shared" si="11"/>
        <v/>
      </c>
      <c r="N42" s="109" t="str">
        <f t="shared" si="11"/>
        <v/>
      </c>
      <c r="O42" s="109" t="str">
        <f t="shared" si="11"/>
        <v/>
      </c>
      <c r="P42" s="109" t="str">
        <f t="shared" si="11"/>
        <v/>
      </c>
      <c r="Q42" s="109" t="str">
        <f t="shared" si="11"/>
        <v/>
      </c>
      <c r="R42" s="110" t="str">
        <f t="shared" si="11"/>
        <v/>
      </c>
      <c r="S42" s="111" t="str">
        <f t="shared" si="11"/>
        <v/>
      </c>
      <c r="T42" s="111" t="str">
        <f t="shared" si="11"/>
        <v/>
      </c>
      <c r="U42" s="111" t="str">
        <f t="shared" si="8"/>
        <v/>
      </c>
      <c r="V42" s="111" t="str">
        <f t="shared" si="12"/>
        <v/>
      </c>
      <c r="W42" s="115" t="str">
        <f t="shared" si="12"/>
        <v/>
      </c>
    </row>
    <row r="43" spans="2:26" ht="11.25" customHeight="1" x14ac:dyDescent="0.2">
      <c r="B43" s="213" t="str">
        <f t="shared" si="7"/>
        <v>Grupo Bimbo, S.A.B. de C.V.</v>
      </c>
      <c r="C43" s="173"/>
      <c r="D43" s="268" t="s">
        <v>456</v>
      </c>
      <c r="E43" s="214" t="str">
        <f>IF($E25="","",$E25)</f>
        <v>BMV:BIMBO A</v>
      </c>
      <c r="F43" s="215">
        <f>IF($E43="","",Datos_Peers!$C$31)</f>
        <v>22097.245521943827</v>
      </c>
      <c r="G43" s="216">
        <f>IF($E43="","",Datos_Peers!$D$31)</f>
        <v>23105.308728827316</v>
      </c>
      <c r="H43" s="216">
        <f>IF($E43="","",Datos_Peers!$E$31)</f>
        <v>23068.062803181991</v>
      </c>
      <c r="I43" s="216">
        <f>IF($E43="","",Datos_Peers!$F$31)</f>
        <v>22805.508956112342</v>
      </c>
      <c r="J43" s="216">
        <f>IF($E43="","",Datos_Peers!$G$31)</f>
        <v>23879.916395286167</v>
      </c>
      <c r="K43" s="207">
        <f>IF($E43="","",Datos_Peers!$H$31)</f>
        <v>25085.161257412525</v>
      </c>
      <c r="L43" s="215">
        <f>IF($E43="","",Datos_Peers!$I$31)</f>
        <v>11630.932409762434</v>
      </c>
      <c r="M43" s="216">
        <f>IF($E43="","",Datos_Peers!$J$31)</f>
        <v>12134.947778559446</v>
      </c>
      <c r="N43" s="216">
        <f>IF($E43="","",Datos_Peers!$K$31)</f>
        <v>12064.59684606418</v>
      </c>
      <c r="O43" s="216">
        <f>IF($E43="","",Datos_Peers!$L$31)</f>
        <v>11986.052437902485</v>
      </c>
      <c r="P43" s="216">
        <f>IF($E43="","",Datos_Peers!$M$31)</f>
        <v>12432.155021471444</v>
      </c>
      <c r="Q43" s="216">
        <f>IF($E43="","",Datos_Peers!$N$31)</f>
        <v>13054.28469901077</v>
      </c>
      <c r="R43" s="217">
        <f>IF($E43="","",Datos_Peers!$O$31)</f>
        <v>0.96647373593972119</v>
      </c>
      <c r="S43" s="218">
        <f>IF($E43="","",Datos_Peers!$P$31)</f>
        <v>7.1800695834009387</v>
      </c>
      <c r="T43" s="218">
        <f>IF($E43="","",Datos_Peers!$Q$31)</f>
        <v>4.4753863865715671</v>
      </c>
      <c r="U43" s="218" t="str">
        <f t="shared" si="8"/>
        <v/>
      </c>
      <c r="V43" s="218">
        <f>IF($E43="","",Datos_Peers!$S$31)</f>
        <v>5.5595134522890888</v>
      </c>
      <c r="W43" s="219">
        <f>IF($E43="","",Datos_Peers!$T$31)</f>
        <v>5.9500620641091739</v>
      </c>
    </row>
    <row r="44" spans="2:26" ht="11.25" customHeight="1" x14ac:dyDescent="0.25">
      <c r="B44" s="40"/>
      <c r="C44" s="40"/>
      <c r="D44" s="40"/>
      <c r="E44" s="40"/>
      <c r="F44" s="40"/>
      <c r="G44" s="40"/>
      <c r="H44" s="40"/>
      <c r="I44" s="40"/>
      <c r="J44" s="40"/>
      <c r="K44" s="40"/>
      <c r="L44" s="40"/>
      <c r="M44" s="40"/>
      <c r="N44" s="40"/>
      <c r="O44" s="40"/>
      <c r="P44" s="40"/>
      <c r="Q44" s="40"/>
      <c r="R44" s="40"/>
      <c r="S44" s="40"/>
      <c r="T44" s="40"/>
      <c r="U44" s="40"/>
      <c r="V44" s="152"/>
      <c r="W44" s="152"/>
    </row>
    <row r="45" spans="2:26" ht="11.25" hidden="1" customHeight="1" outlineLevel="1" x14ac:dyDescent="0.35">
      <c r="F45" s="32" t="str">
        <f>LEFT(F49,LEN(F49)-4)</f>
        <v>Free Cash Flow Yield</v>
      </c>
      <c r="G45" s="44"/>
      <c r="H45" s="44"/>
      <c r="I45" s="44"/>
      <c r="J45" s="44"/>
      <c r="L45" s="32" t="str">
        <f>LEFT(L49,LEN(L49)-4)</f>
        <v>Price / Sales</v>
      </c>
      <c r="M45" s="44"/>
      <c r="N45" s="44"/>
      <c r="O45" s="44"/>
      <c r="R45" s="32" t="str">
        <f>LEFT(R49,LEN(R49)-4)</f>
        <v>Price / Free Cash Flow</v>
      </c>
      <c r="S45" s="44"/>
      <c r="T45" s="44"/>
      <c r="U45" s="32"/>
      <c r="V45" s="55"/>
      <c r="W45" s="55"/>
    </row>
    <row r="46" spans="2:26" ht="11.25" hidden="1" customHeight="1" outlineLevel="1" x14ac:dyDescent="0.35">
      <c r="F46" s="32" t="str">
        <f>RIGHT(F49,3)</f>
        <v>(%)</v>
      </c>
      <c r="G46" s="44"/>
      <c r="H46" s="44"/>
      <c r="I46" s="44"/>
      <c r="J46" s="44"/>
      <c r="L46" s="32" t="str">
        <f>RIGHT(L49,3)</f>
        <v>(x)</v>
      </c>
      <c r="M46" s="44"/>
      <c r="N46" s="44"/>
      <c r="O46" s="44"/>
      <c r="R46" s="32" t="str">
        <f>RIGHT(R49,3)</f>
        <v>(x)</v>
      </c>
      <c r="S46" s="44"/>
      <c r="T46" s="44"/>
      <c r="U46" s="32"/>
      <c r="V46" s="53"/>
      <c r="W46" s="53"/>
    </row>
    <row r="47" spans="2:26" ht="11.5" collapsed="1" x14ac:dyDescent="0.25">
      <c r="B47" s="66"/>
      <c r="C47" s="67"/>
      <c r="D47" s="67"/>
      <c r="E47" s="59"/>
      <c r="F47" s="308" t="s">
        <v>326</v>
      </c>
      <c r="G47" s="309"/>
      <c r="H47" s="309"/>
      <c r="I47" s="315"/>
      <c r="J47" s="315"/>
      <c r="K47" s="315"/>
      <c r="L47" s="315"/>
      <c r="M47" s="315"/>
      <c r="N47" s="315"/>
      <c r="O47" s="315"/>
      <c r="P47" s="315"/>
      <c r="Q47" s="315"/>
      <c r="R47" s="315"/>
      <c r="S47" s="315"/>
      <c r="T47" s="315"/>
      <c r="U47" s="315"/>
      <c r="V47" s="315"/>
      <c r="W47" s="316"/>
      <c r="Y47" s="32"/>
    </row>
    <row r="48" spans="2:26" ht="11.25" customHeight="1" collapsed="1" x14ac:dyDescent="0.2">
      <c r="B48" s="68"/>
      <c r="C48" s="69"/>
      <c r="D48" s="234"/>
      <c r="E48" s="160"/>
      <c r="F48" s="161" t="str">
        <f>IF(MID(G48,2,1)="Q",IF(MID(G48,2,2)="Q1",LEFT(G48,2)&amp;"4"&amp;RIGHT(G48,4)-1,LEFT(G48,2)&amp;(MID(G48,3,1)-1)&amp;RIGHT(G48,4)),LEFT(G48,2)&amp;(RIGHT(G48,4)-1))</f>
        <v>FY2024</v>
      </c>
      <c r="G48" s="161" t="str">
        <f>TearSheet!$E$8</f>
        <v>FY2025</v>
      </c>
      <c r="H48" s="161" t="str">
        <f>IF(MID(G48,2,1)="Q",IF(MID(G48,2,2)="Q4",LEFT(G48,2)&amp;"1"&amp;RIGHT(G48,4)+1,LEFT(G48,2)&amp;MID(G48,3,1)+1&amp;RIGHT(G48,4)),LEFT(G48,2)&amp;RIGHT(G48,4)+1)</f>
        <v>FY2026</v>
      </c>
      <c r="I48" s="162" t="s">
        <v>216</v>
      </c>
      <c r="J48" s="162" t="s">
        <v>217</v>
      </c>
      <c r="K48" s="162" t="s">
        <v>218</v>
      </c>
      <c r="L48" s="156" t="str">
        <f>IF(MID(M48,2,1)="Q",IF(MID(M48,2,2)="Q1",LEFT(M48,2)&amp;"4"&amp;RIGHT(M48,4)-1,LEFT(M48,2)&amp;(MID(M48,3,1)-1)&amp;RIGHT(M48,4)),LEFT(M48,2)&amp;(RIGHT(M48,4)-1))</f>
        <v>FY2024</v>
      </c>
      <c r="M48" s="156" t="str">
        <f>TearSheet!$E$8</f>
        <v>FY2025</v>
      </c>
      <c r="N48" s="156" t="str">
        <f>IF(MID(M48,2,1)="Q",IF(MID(M48,2,2)="Q4",LEFT(M48,2)&amp;"1"&amp;RIGHT(M48,4)+1,LEFT(M48,2)&amp;MID(M48,3,1)+1&amp;RIGHT(M48,4)),LEFT(M48,2)&amp;RIGHT(M48,4)+1)</f>
        <v>FY2026</v>
      </c>
      <c r="O48" s="156" t="s">
        <v>216</v>
      </c>
      <c r="P48" s="156" t="s">
        <v>217</v>
      </c>
      <c r="Q48" s="156" t="s">
        <v>218</v>
      </c>
      <c r="R48" s="156" t="str">
        <f>IF(MID(S48,2,1)="Q",IF(MID(S48,2,2)="Q1",LEFT(S48,2)&amp;"4"&amp;RIGHT(S48,4)-1,LEFT(S48,2)&amp;(MID(S48,3,1)-1)&amp;RIGHT(S48,4)),LEFT(S48,2)&amp;(RIGHT(S48,4)-1))</f>
        <v>FY2024</v>
      </c>
      <c r="S48" s="156" t="str">
        <f>TearSheet!$E$8</f>
        <v>FY2025</v>
      </c>
      <c r="T48" s="156" t="str">
        <f>IF(MID(S48,2,1)="Q",IF(MID(S48,2,2)="Q4",LEFT(S48,2)&amp;"1"&amp;RIGHT(S48,4)+1,LEFT(S48,2)&amp;MID(S48,3,1)+1&amp;RIGHT(S48,4)),LEFT(S48,2)&amp;RIGHT(S48,4)+1)</f>
        <v>FY2026</v>
      </c>
      <c r="U48" s="156" t="s">
        <v>216</v>
      </c>
      <c r="V48" s="156" t="s">
        <v>217</v>
      </c>
      <c r="W48" s="156" t="s">
        <v>218</v>
      </c>
    </row>
    <row r="49" spans="2:28" ht="11.25" customHeight="1" x14ac:dyDescent="0.25">
      <c r="B49" s="68" t="s">
        <v>206</v>
      </c>
      <c r="C49" s="69"/>
      <c r="D49" s="235" t="s">
        <v>451</v>
      </c>
      <c r="E49" s="65" t="s">
        <v>207</v>
      </c>
      <c r="F49" s="312" t="s">
        <v>257</v>
      </c>
      <c r="G49" s="313"/>
      <c r="H49" s="313"/>
      <c r="I49" s="313"/>
      <c r="J49" s="313"/>
      <c r="K49" s="314"/>
      <c r="L49" s="312" t="s">
        <v>243</v>
      </c>
      <c r="M49" s="313"/>
      <c r="N49" s="313"/>
      <c r="O49" s="313"/>
      <c r="P49" s="313"/>
      <c r="Q49" s="314"/>
      <c r="R49" s="312" t="s">
        <v>247</v>
      </c>
      <c r="S49" s="313"/>
      <c r="T49" s="313"/>
      <c r="U49" s="313"/>
      <c r="V49" s="313"/>
      <c r="W49" s="314"/>
    </row>
    <row r="50" spans="2:28" ht="11.25" customHeight="1" x14ac:dyDescent="0.2">
      <c r="B50" s="92" t="str">
        <f t="shared" ref="B50:B62" si="13">IF($B31="","",$B31)</f>
        <v>Flowers Foods, Inc.</v>
      </c>
      <c r="C50" s="93"/>
      <c r="D50" s="225" t="str">
        <f>IF(D13="","",D13)</f>
        <v/>
      </c>
      <c r="E50" s="95" t="str">
        <f>IF(D50&lt;&gt;"",D50,IF(AA13="","",AA13))</f>
        <v>NYSE:FLO</v>
      </c>
      <c r="F50" s="50">
        <f>IF($E50="","",Datos_Peers!$C$35)</f>
        <v>12.117002392529134</v>
      </c>
      <c r="G50" s="51">
        <f>IF($E50="","",Datos_Peers!$D$35)</f>
        <v>17.064135216485298</v>
      </c>
      <c r="H50" s="51">
        <f>IF($E50="","",Datos_Peers!$E$35)</f>
        <v>17.038666357953229</v>
      </c>
      <c r="I50" s="51">
        <f>IF($E50="","",Datos_Peers!$F$35)</f>
        <v>23.03774021764297</v>
      </c>
      <c r="J50" s="51">
        <f>IF($E50="","",Datos_Peers!$G$35)</f>
        <v>14.567093896460474</v>
      </c>
      <c r="K50" s="51">
        <f>IF($E50="","",Datos_Peers!$H$35)</f>
        <v>13.709012212153793</v>
      </c>
      <c r="L50" s="47">
        <f>IF($E50="","",Datos_Peers!$I$35)</f>
        <v>0.25388458900754385</v>
      </c>
      <c r="M50" s="48">
        <f>IF($E50="","",Datos_Peers!$J$35)</f>
        <v>0.24649481594216685</v>
      </c>
      <c r="N50" s="48">
        <f>IF($E50="","",Datos_Peers!$K$35)</f>
        <v>0.2552701052050908</v>
      </c>
      <c r="O50" s="48">
        <f>IF($E50="","",Datos_Peers!$L$35)</f>
        <v>0.24803307873427904</v>
      </c>
      <c r="P50" s="48">
        <f>IF($E50="","",Datos_Peers!$M$35)</f>
        <v>0.25596158821256265</v>
      </c>
      <c r="Q50" s="48">
        <f>IF($E50="","",Datos_Peers!$N$35)</f>
        <v>0.25717709756432722</v>
      </c>
      <c r="R50" s="47">
        <f>IF($E50="","",Datos_Peers!$O$35)</f>
        <v>8.2528662420382162</v>
      </c>
      <c r="S50" s="48">
        <f>IF($E50="","",Datos_Peers!$P$35)</f>
        <v>5.8602442333785625</v>
      </c>
      <c r="T50" s="48">
        <f>IF($E50="","",Datos_Peers!$Q$35)</f>
        <v>5.8690039407528198</v>
      </c>
      <c r="U50" s="48">
        <f>IF($E50="","",Datos_Peers!$R$35)</f>
        <v>4.34070351758794</v>
      </c>
      <c r="V50" s="48">
        <f>IF($E50="","",Datos_Peers!$S$35)</f>
        <v>6.8647872191101964</v>
      </c>
      <c r="W50" s="49">
        <f>IF($E50="","",Datos_Peers!$T$35)</f>
        <v>7.2944715820841202</v>
      </c>
    </row>
    <row r="51" spans="2:28" ht="11.25" customHeight="1" x14ac:dyDescent="0.2">
      <c r="B51" s="92" t="str">
        <f t="shared" si="13"/>
        <v>Gruma, S.A.B. de C.V.</v>
      </c>
      <c r="C51" s="93"/>
      <c r="D51" s="225" t="str">
        <f t="shared" ref="D51:D61" si="14">IF(D14="","",D14)</f>
        <v/>
      </c>
      <c r="E51" s="94" t="str">
        <f t="shared" ref="E51:E61" si="15">IF(D51&lt;&gt;"",D51,IF(AA14="","",AA14))</f>
        <v>BMV:GRUMA B</v>
      </c>
      <c r="F51" s="50" t="str">
        <f>IF($E51="","","")</f>
        <v/>
      </c>
      <c r="G51" s="51" t="str">
        <f>IF($E51="","","")</f>
        <v/>
      </c>
      <c r="H51" s="51">
        <f>IF($E51="","",Datos_Peers!$E$36)</f>
        <v>3.9749500706321199</v>
      </c>
      <c r="I51" s="51" t="str">
        <f>IF($E51="","","")</f>
        <v/>
      </c>
      <c r="J51" s="51">
        <f>IF($E51="","",Datos_Peers!$G$36)</f>
        <v>10.393968726830073</v>
      </c>
      <c r="K51" s="51">
        <f>IF($E51="","",Datos_Peers!$H$36)</f>
        <v>12.068771316730531</v>
      </c>
      <c r="L51" s="50">
        <f>IF($E51="","",Datos_Peers!$I$36)</f>
        <v>0.6788027794098529</v>
      </c>
      <c r="M51" s="51">
        <f>IF($E51="","",Datos_Peers!$J$36)</f>
        <v>0.69076110654061029</v>
      </c>
      <c r="N51" s="51">
        <f>IF($E51="","",Datos_Peers!$K$36)</f>
        <v>0.66231858276922451</v>
      </c>
      <c r="O51" s="51">
        <f>IF($E51="","",Datos_Peers!$L$36)</f>
        <v>0.67742430881890647</v>
      </c>
      <c r="P51" s="51">
        <f>IF($E51="","",Datos_Peers!$M$36)</f>
        <v>0.67874536299453392</v>
      </c>
      <c r="Q51" s="51">
        <f>IF($E51="","",Datos_Peers!$N$36)</f>
        <v>0.66924548194609446</v>
      </c>
      <c r="R51" s="50" t="str">
        <f>IF($E51="","","")</f>
        <v/>
      </c>
      <c r="S51" s="51" t="str">
        <f>IF($E51="","","")</f>
        <v/>
      </c>
      <c r="T51" s="51">
        <f>IF($E51="","",Datos_Peers!$Q$36)</f>
        <v>25.157548704529361</v>
      </c>
      <c r="U51" s="51" t="str">
        <f>IF($E51="","","")</f>
        <v/>
      </c>
      <c r="V51" s="51">
        <f>IF($E51="","",Datos_Peers!$S$36)</f>
        <v>9.6209641021786858</v>
      </c>
      <c r="W51" s="52">
        <f>IF($E51="","",Datos_Peers!$T$36)</f>
        <v>8.2858476124552425</v>
      </c>
    </row>
    <row r="52" spans="2:28" ht="11.25" customHeight="1" x14ac:dyDescent="0.2">
      <c r="B52" s="92" t="str">
        <f t="shared" si="13"/>
        <v>Yamazaki Baking Co., Ltd.</v>
      </c>
      <c r="C52" s="93"/>
      <c r="D52" s="225" t="str">
        <f t="shared" si="14"/>
        <v/>
      </c>
      <c r="E52" s="94" t="str">
        <f t="shared" si="15"/>
        <v>TSE:2212</v>
      </c>
      <c r="F52" s="50">
        <f>IF($E52="","",Datos_Peers!$C$37)</f>
        <v>3.8709811698730743</v>
      </c>
      <c r="G52" s="51">
        <f>IF($E52="","",Datos_Peers!$D$37)</f>
        <v>3.5513781618227171</v>
      </c>
      <c r="H52" s="51">
        <f>IF($E52="","",Datos_Peers!$E$37)</f>
        <v>3.877289123979331</v>
      </c>
      <c r="I52" s="51">
        <f>IF($E52="","",Datos_Peers!$F$37)</f>
        <v>2.3844066521651635</v>
      </c>
      <c r="J52" s="51">
        <f>IF($E52="","",Datos_Peers!$G$37)</f>
        <v>4.6072835937006946</v>
      </c>
      <c r="K52" s="51">
        <f>IF($E52="","",Datos_Peers!$H$37)</f>
        <v>5.3950785093768898</v>
      </c>
      <c r="L52" s="50">
        <f>IF($E52="","",Datos_Peers!$I$37)</f>
        <v>0.57825306628908968</v>
      </c>
      <c r="M52" s="51">
        <f>IF($E52="","",Datos_Peers!$J$37)</f>
        <v>0.54209412403698165</v>
      </c>
      <c r="N52" s="51">
        <f>IF($E52="","",Datos_Peers!$K$37)</f>
        <v>0.55531037422367568</v>
      </c>
      <c r="O52" s="51">
        <f>IF($E52="","",Datos_Peers!$L$37)</f>
        <v>0.54855305932032061</v>
      </c>
      <c r="P52" s="51">
        <f>IF($E52="","",Datos_Peers!$M$37)</f>
        <v>0.5437580939209653</v>
      </c>
      <c r="Q52" s="51">
        <f>IF($E52="","",Datos_Peers!$N$37)</f>
        <v>0.53283425487229874</v>
      </c>
      <c r="R52" s="50">
        <f>IF($E52="","",Datos_Peers!$O$37)</f>
        <v>25.833243720810689</v>
      </c>
      <c r="S52" s="51">
        <f>IF($E52="","",Datos_Peers!$P$37)</f>
        <v>28.158082705750427</v>
      </c>
      <c r="T52" s="51">
        <f>IF($E52="","",Datos_Peers!$Q$37)</f>
        <v>25.791215667034962</v>
      </c>
      <c r="U52" s="51">
        <f>IF($E52="","",Datos_Peers!$R$37)</f>
        <v>41.939154929464259</v>
      </c>
      <c r="V52" s="51">
        <f>IF($E52="","",Datos_Peers!$S$37)</f>
        <v>21.704763330984218</v>
      </c>
      <c r="W52" s="52">
        <f>IF($E52="","",Datos_Peers!$T$37)</f>
        <v>18.535411454383009</v>
      </c>
    </row>
    <row r="53" spans="2:28" ht="11.25" customHeight="1" x14ac:dyDescent="0.2">
      <c r="B53" s="92" t="str">
        <f t="shared" si="13"/>
        <v>ARYZTA AG</v>
      </c>
      <c r="C53" s="93"/>
      <c r="D53" s="225" t="str">
        <f t="shared" si="14"/>
        <v/>
      </c>
      <c r="E53" s="94" t="str">
        <f t="shared" si="15"/>
        <v>SWX:ARYN</v>
      </c>
      <c r="F53" s="50">
        <f>IF($E53="","",Datos_Peers!$C$38)</f>
        <v>13.25894322284214</v>
      </c>
      <c r="G53" s="51">
        <f>IF($E53="","",Datos_Peers!$D$38)</f>
        <v>12.709222185756484</v>
      </c>
      <c r="H53" s="51">
        <f>IF($E53="","",Datos_Peers!$E$38)</f>
        <v>11.438299967180834</v>
      </c>
      <c r="I53" s="51">
        <f>IF($E53="","",Datos_Peers!$F$38)</f>
        <v>11.33081719724319</v>
      </c>
      <c r="J53" s="51">
        <f>IF($E53="","",Datos_Peers!$G$38)</f>
        <v>14.033046203092194</v>
      </c>
      <c r="K53" s="51">
        <f>IF($E53="","",Datos_Peers!$H$38)</f>
        <v>16.114141014516861</v>
      </c>
      <c r="L53" s="50">
        <f>IF($E53="","",Datos_Peers!$I$38)</f>
        <v>0.51337348890105727</v>
      </c>
      <c r="M53" s="51">
        <f>IF($E53="","",Datos_Peers!$J$38)</f>
        <v>0.48486295102836457</v>
      </c>
      <c r="N53" s="51">
        <f>IF($E53="","",Datos_Peers!$K$38)</f>
        <v>0.46972675068408681</v>
      </c>
      <c r="O53" s="51">
        <f>IF($E53="","",Datos_Peers!$L$38)</f>
        <v>0.47472150814053127</v>
      </c>
      <c r="P53" s="51">
        <f>IF($E53="","",Datos_Peers!$M$38)</f>
        <v>0.47435719855618458</v>
      </c>
      <c r="Q53" s="51">
        <f>IF($E53="","",Datos_Peers!$N$38)</f>
        <v>0.46889720165988402</v>
      </c>
      <c r="R53" s="50">
        <f>IF($E53="","",Datos_Peers!$O$38)</f>
        <v>7.5420792079207919</v>
      </c>
      <c r="S53" s="51">
        <f>IF($E53="","",Datos_Peers!$P$38)</f>
        <v>7.8683021304067138</v>
      </c>
      <c r="T53" s="51">
        <f>IF($E53="","",Datos_Peers!$Q$38)</f>
        <v>8.742557922674127</v>
      </c>
      <c r="U53" s="51">
        <f>IF($E53="","",Datos_Peers!$R$38)</f>
        <v>8.8254887762490952</v>
      </c>
      <c r="V53" s="51">
        <f>IF($E53="","",Datos_Peers!$S$38)</f>
        <v>7.1260365392344323</v>
      </c>
      <c r="W53" s="52">
        <f>IF($E53="","",Datos_Peers!$T$38)</f>
        <v>6.2057294838063219</v>
      </c>
    </row>
    <row r="54" spans="2:28" ht="11.25" customHeight="1" x14ac:dyDescent="0.2">
      <c r="B54" s="92" t="str">
        <f t="shared" si="13"/>
        <v>The J. M. Smucker Company</v>
      </c>
      <c r="C54" s="93"/>
      <c r="D54" s="225" t="str">
        <f t="shared" si="14"/>
        <v/>
      </c>
      <c r="E54" s="94" t="str">
        <f t="shared" si="15"/>
        <v>NYSE:SJM</v>
      </c>
      <c r="F54" s="50">
        <f>IF($E54="","",Datos_Peers!$C$39)</f>
        <v>4.3379247015610654</v>
      </c>
      <c r="G54" s="51">
        <f>IF($E54="","",Datos_Peers!$D$39)</f>
        <v>4.4099173553719009</v>
      </c>
      <c r="H54" s="51" t="str">
        <f>IF($E54="","","")</f>
        <v/>
      </c>
      <c r="I54" s="51">
        <f>IF($E54="","",Datos_Peers!$F$39)</f>
        <v>10.75702479338843</v>
      </c>
      <c r="J54" s="51">
        <f>IF($E54="","",Datos_Peers!$G$39)</f>
        <v>8.9778470130948342</v>
      </c>
      <c r="K54" s="51">
        <f>IF($E54="","",Datos_Peers!$H$39)</f>
        <v>9.4103266286778116</v>
      </c>
      <c r="L54" s="50">
        <f>IF($E54="","",Datos_Peers!$I$39)</f>
        <v>1.6643843153557412</v>
      </c>
      <c r="M54" s="51">
        <f>IF($E54="","",Datos_Peers!$J$39)</f>
        <v>1.5599752466737715</v>
      </c>
      <c r="N54" s="51">
        <f>IF($E54="","",Datos_Peers!$K$39)</f>
        <v>1.5039940779370009</v>
      </c>
      <c r="O54" s="51">
        <f>IF($E54="","",Datos_Peers!$L$39)</f>
        <v>1.4865838875602009</v>
      </c>
      <c r="P54" s="51">
        <f>IF($E54="","",Datos_Peers!$M$39)</f>
        <v>1.5159291378479252</v>
      </c>
      <c r="Q54" s="51">
        <f>IF($E54="","",Datos_Peers!$N$39)</f>
        <v>1.4945515954923436</v>
      </c>
      <c r="R54" s="50">
        <f>IF($E54="","",Datos_Peers!$O$39)</f>
        <v>23.052497883149872</v>
      </c>
      <c r="S54" s="51">
        <f>IF($E54="","",Datos_Peers!$P$39)</f>
        <v>22.676161919040482</v>
      </c>
      <c r="T54" s="51" t="str">
        <f>IF($E54="","","")</f>
        <v/>
      </c>
      <c r="U54" s="51">
        <f>IF($E54="","",Datos_Peers!$R$39)</f>
        <v>9.2962507682851871</v>
      </c>
      <c r="V54" s="51">
        <f>IF($E54="","",Datos_Peers!$S$39)</f>
        <v>11.138527962677779</v>
      </c>
      <c r="W54" s="52">
        <f>IF($E54="","",Datos_Peers!$T$39)</f>
        <v>10.626623702438945</v>
      </c>
    </row>
    <row r="55" spans="2:28" ht="11.25" customHeight="1" x14ac:dyDescent="0.2">
      <c r="B55" s="92" t="str">
        <f t="shared" si="13"/>
        <v>The Campbell's Company</v>
      </c>
      <c r="C55" s="93"/>
      <c r="D55" s="225" t="str">
        <f t="shared" si="14"/>
        <v/>
      </c>
      <c r="E55" s="94" t="str">
        <f t="shared" si="15"/>
        <v>NasdaqGS:CPB</v>
      </c>
      <c r="F55" s="50">
        <f>IF($E55="","",Datos_Peers!$C$40)</f>
        <v>9.7335425842488057</v>
      </c>
      <c r="G55" s="51">
        <f>IF($E55="","",Datos_Peers!$D$40)</f>
        <v>12.109552979294286</v>
      </c>
      <c r="H55" s="51" t="str">
        <f>IF($E55="","","")</f>
        <v/>
      </c>
      <c r="I55" s="51">
        <f>IF($E55="","",Datos_Peers!$F$40)</f>
        <v>10.707234344150256</v>
      </c>
      <c r="J55" s="51">
        <f>IF($E55="","",Datos_Peers!$G$40)</f>
        <v>12.757708383467328</v>
      </c>
      <c r="K55" s="51">
        <f>IF($E55="","",Datos_Peers!$H$40)</f>
        <v>11.792472653711696</v>
      </c>
      <c r="L55" s="50">
        <f>IF($E55="","",Datos_Peers!$I$40)</f>
        <v>0.61497509339975087</v>
      </c>
      <c r="M55" s="51">
        <f>IF($E55="","",Datos_Peers!$J$40)</f>
        <v>0.57796742416853597</v>
      </c>
      <c r="N55" s="51">
        <f>IF($E55="","",Datos_Peers!$K$40)</f>
        <v>0.60815886699507382</v>
      </c>
      <c r="O55" s="51">
        <f>IF($E55="","",Datos_Peers!$L$40)</f>
        <v>0.60815886699507382</v>
      </c>
      <c r="P55" s="51">
        <f>IF($E55="","",Datos_Peers!$M$40)</f>
        <v>0.62436973528521145</v>
      </c>
      <c r="Q55" s="51">
        <f>IF($E55="","",Datos_Peers!$N$40)</f>
        <v>0.62462198439422201</v>
      </c>
      <c r="R55" s="50">
        <f>IF($E55="","",Datos_Peers!$O$40)</f>
        <v>10.27375173370319</v>
      </c>
      <c r="S55" s="51">
        <f>IF($E55="","",Datos_Peers!$P$40)</f>
        <v>8.2579431438127084</v>
      </c>
      <c r="T55" s="51" t="str">
        <f>IF($E55="","","")</f>
        <v/>
      </c>
      <c r="U55" s="51">
        <f>IF($E55="","",Datos_Peers!$R$40)</f>
        <v>9.3394799054373525</v>
      </c>
      <c r="V55" s="51">
        <f>IF($E55="","",Datos_Peers!$S$40)</f>
        <v>7.8383983231337737</v>
      </c>
      <c r="W55" s="52">
        <f>IF($E55="","",Datos_Peers!$T$40)</f>
        <v>8.4799857448492677</v>
      </c>
    </row>
    <row r="56" spans="2:28" ht="11.25" customHeight="1" x14ac:dyDescent="0.2">
      <c r="B56" s="92" t="str">
        <f t="shared" si="13"/>
        <v>Mondelez International, Inc.</v>
      </c>
      <c r="C56" s="93"/>
      <c r="D56" s="225" t="str">
        <f t="shared" si="14"/>
        <v/>
      </c>
      <c r="E56" s="94" t="str">
        <f t="shared" si="15"/>
        <v>NasdaqGS:MDLZ</v>
      </c>
      <c r="F56" s="50">
        <f>IF($E56="","",Datos_Peers!$C$41)</f>
        <v>3.368689989309638</v>
      </c>
      <c r="G56" s="51">
        <f>IF($E56="","",Datos_Peers!$D$41)</f>
        <v>4.3987406949716066</v>
      </c>
      <c r="H56" s="51">
        <f>IF($E56="","",Datos_Peers!$E$41)</f>
        <v>4.0162047253361575</v>
      </c>
      <c r="I56" s="51">
        <f>IF($E56="","",Datos_Peers!$F$41)</f>
        <v>2.761349927913614</v>
      </c>
      <c r="J56" s="51">
        <f>IF($E56="","",Datos_Peers!$G$41)</f>
        <v>4.9722479505661106</v>
      </c>
      <c r="K56" s="51">
        <f>IF($E56="","",Datos_Peers!$H$41)</f>
        <v>5.7849915889139982</v>
      </c>
      <c r="L56" s="50">
        <f>IF($E56="","",Datos_Peers!$I$41)</f>
        <v>2.2383798468757719</v>
      </c>
      <c r="M56" s="51">
        <f>IF($E56="","",Datos_Peers!$J$41)</f>
        <v>2.1166359602459974</v>
      </c>
      <c r="N56" s="51">
        <f>IF($E56="","",Datos_Peers!$K$41)</f>
        <v>2.0340737933029436</v>
      </c>
      <c r="O56" s="51">
        <f>IF($E56="","",Datos_Peers!$L$41)</f>
        <v>2.0559243856332703</v>
      </c>
      <c r="P56" s="51">
        <f>IF($E56="","",Datos_Peers!$M$41)</f>
        <v>1.9897664535907544</v>
      </c>
      <c r="Q56" s="51">
        <f>IF($E56="","",Datos_Peers!$N$41)</f>
        <v>1.9257971309899544</v>
      </c>
      <c r="R56" s="50">
        <f>IF($E56="","",Datos_Peers!$O$41)</f>
        <v>29.685129922119511</v>
      </c>
      <c r="S56" s="51">
        <f>IF($E56="","",Datos_Peers!$P$41)</f>
        <v>22.733779264214046</v>
      </c>
      <c r="T56" s="51">
        <f>IF($E56="","",Datos_Peers!$Q$41)</f>
        <v>24.899129112903967</v>
      </c>
      <c r="U56" s="51">
        <f>IF($E56="","",Datos_Peers!$R$41)</f>
        <v>36.2141715503463</v>
      </c>
      <c r="V56" s="51">
        <f>IF($E56="","",Datos_Peers!$S$41)</f>
        <v>20.111627777656299</v>
      </c>
      <c r="W56" s="52">
        <f>IF($E56="","",Datos_Peers!$T$41)</f>
        <v>17.286109834910363</v>
      </c>
    </row>
    <row r="57" spans="2:28" ht="11.25" customHeight="1" x14ac:dyDescent="0.2">
      <c r="B57" s="92" t="str">
        <f t="shared" si="13"/>
        <v>Arca Continental, S.A.B. de C.V.</v>
      </c>
      <c r="C57" s="93"/>
      <c r="D57" s="225" t="str">
        <f t="shared" si="14"/>
        <v/>
      </c>
      <c r="E57" s="94" t="str">
        <f t="shared" si="15"/>
        <v>BMV:AC</v>
      </c>
      <c r="F57" s="50">
        <f>IF($E57="","",Datos_Peers!$C$42)</f>
        <v>4.4905556942221088</v>
      </c>
      <c r="G57" s="51">
        <f>IF($E57="","",Datos_Peers!$D$42)</f>
        <v>2.7493092083000668</v>
      </c>
      <c r="H57" s="51">
        <f>IF($E57="","",Datos_Peers!$E$42)</f>
        <v>6.3849861443488098</v>
      </c>
      <c r="I57" s="51">
        <f>IF($E57="","",Datos_Peers!$F$42)</f>
        <v>3.967818014473504</v>
      </c>
      <c r="J57" s="51">
        <f>IF($E57="","",Datos_Peers!$G$42)</f>
        <v>6.9947813792788169</v>
      </c>
      <c r="K57" s="51">
        <f>IF($E57="","",Datos_Peers!$H$42)</f>
        <v>7.8987716264760186</v>
      </c>
      <c r="L57" s="50">
        <f>IF($E57="","",Datos_Peers!$I$42)</f>
        <v>1.4635411418135509</v>
      </c>
      <c r="M57" s="51">
        <f>IF($E57="","",Datos_Peers!$J$42)</f>
        <v>1.4737626064860885</v>
      </c>
      <c r="N57" s="51">
        <f>IF($E57="","",Datos_Peers!$K$42)</f>
        <v>1.3314722940871804</v>
      </c>
      <c r="O57" s="51">
        <f>IF($E57="","",Datos_Peers!$L$42)</f>
        <v>1.3800328603589254</v>
      </c>
      <c r="P57" s="51">
        <f>IF($E57="","",Datos_Peers!$M$42)</f>
        <v>1.3188869072909315</v>
      </c>
      <c r="Q57" s="51">
        <f>IF($E57="","",Datos_Peers!$N$42)</f>
        <v>1.2476472393633753</v>
      </c>
      <c r="R57" s="50">
        <f>IF($E57="","",Datos_Peers!$O$42)</f>
        <v>22.268958857066984</v>
      </c>
      <c r="S57" s="51">
        <f>IF($E57="","",Datos_Peers!$P$42)</f>
        <v>36.372773094457166</v>
      </c>
      <c r="T57" s="51">
        <f>IF($E57="","",Datos_Peers!$Q$42)</f>
        <v>15.661741112548452</v>
      </c>
      <c r="U57" s="51">
        <f>IF($E57="","",Datos_Peers!$R$42)</f>
        <v>25.202768785067164</v>
      </c>
      <c r="V57" s="51">
        <f>IF($E57="","",Datos_Peers!$S$42)</f>
        <v>14.29637247795017</v>
      </c>
      <c r="W57" s="52">
        <f>IF($E57="","",Datos_Peers!$T$42)</f>
        <v>12.660196386082159</v>
      </c>
    </row>
    <row r="58" spans="2:28" ht="11.25" customHeight="1" x14ac:dyDescent="0.2">
      <c r="B58" s="92" t="str">
        <f t="shared" si="13"/>
        <v>PepsiCo, Inc.</v>
      </c>
      <c r="C58" s="93"/>
      <c r="D58" s="225" t="str">
        <f t="shared" si="14"/>
        <v/>
      </c>
      <c r="E58" s="94" t="str">
        <f t="shared" si="15"/>
        <v>NasdaqGS:PEP</v>
      </c>
      <c r="F58" s="50">
        <f>IF($E58="","",Datos_Peers!$C$43)</f>
        <v>4.0183481630910629</v>
      </c>
      <c r="G58" s="51">
        <f>IF($E58="","",Datos_Peers!$D$43)</f>
        <v>4.5941836099787663</v>
      </c>
      <c r="H58" s="51">
        <f>IF($E58="","",Datos_Peers!$E$43)</f>
        <v>5.8559434823005514</v>
      </c>
      <c r="I58" s="51">
        <f>IF($E58="","",Datos_Peers!$F$43)</f>
        <v>5.047028328603993</v>
      </c>
      <c r="J58" s="51">
        <f>IF($E58="","",Datos_Peers!$G$43)</f>
        <v>6.4665459860469285</v>
      </c>
      <c r="K58" s="51">
        <f>IF($E58="","",Datos_Peers!$H$43)</f>
        <v>7.0468695717084016</v>
      </c>
      <c r="L58" s="50">
        <f>IF($E58="","",Datos_Peers!$I$43)</f>
        <v>1.9509275589522503</v>
      </c>
      <c r="M58" s="51">
        <f>IF($E58="","",Datos_Peers!$J$43)</f>
        <v>1.9079105669417089</v>
      </c>
      <c r="N58" s="51">
        <f>IF($E58="","",Datos_Peers!$K$43)</f>
        <v>1.804628375486528</v>
      </c>
      <c r="O58" s="51">
        <f>IF($E58="","",Datos_Peers!$L$43)</f>
        <v>1.8240907564051669</v>
      </c>
      <c r="P58" s="51">
        <f>IF($E58="","",Datos_Peers!$M$43)</f>
        <v>1.7698555583206159</v>
      </c>
      <c r="Q58" s="51">
        <f>IF($E58="","",Datos_Peers!$N$43)</f>
        <v>1.715843551422759</v>
      </c>
      <c r="R58" s="50">
        <f>IF($E58="","",Datos_Peers!$O$43)</f>
        <v>24.885847602383041</v>
      </c>
      <c r="S58" s="51">
        <f>IF($E58="","",Datos_Peers!$P$43)</f>
        <v>21.766652900592753</v>
      </c>
      <c r="T58" s="51">
        <f>IF($E58="","",Datos_Peers!$Q$43)</f>
        <v>17.076667543368135</v>
      </c>
      <c r="U58" s="51">
        <f>IF($E58="","",Datos_Peers!$R$43)</f>
        <v>19.813639529869643</v>
      </c>
      <c r="V58" s="51">
        <f>IF($E58="","",Datos_Peers!$S$43)</f>
        <v>15.464206118037849</v>
      </c>
      <c r="W58" s="52">
        <f>IF($E58="","",Datos_Peers!$T$43)</f>
        <v>14.19069829268269</v>
      </c>
    </row>
    <row r="59" spans="2:28" ht="11.25" customHeight="1" x14ac:dyDescent="0.2">
      <c r="B59" s="92" t="str">
        <f t="shared" si="13"/>
        <v/>
      </c>
      <c r="C59" s="93"/>
      <c r="D59" s="225" t="str">
        <f t="shared" si="14"/>
        <v/>
      </c>
      <c r="E59" s="94" t="str">
        <f t="shared" si="15"/>
        <v/>
      </c>
      <c r="F59" s="50" t="str">
        <f t="shared" ref="F59:O61" si="16">IF($E59="","","")</f>
        <v/>
      </c>
      <c r="G59" s="51" t="str">
        <f t="shared" si="16"/>
        <v/>
      </c>
      <c r="H59" s="51" t="str">
        <f t="shared" si="16"/>
        <v/>
      </c>
      <c r="I59" s="51" t="str">
        <f t="shared" si="16"/>
        <v/>
      </c>
      <c r="J59" s="51" t="str">
        <f t="shared" si="16"/>
        <v/>
      </c>
      <c r="K59" s="51" t="str">
        <f t="shared" si="16"/>
        <v/>
      </c>
      <c r="L59" s="50" t="str">
        <f t="shared" si="16"/>
        <v/>
      </c>
      <c r="M59" s="51" t="str">
        <f t="shared" si="16"/>
        <v/>
      </c>
      <c r="N59" s="51" t="str">
        <f t="shared" si="16"/>
        <v/>
      </c>
      <c r="O59" s="51" t="str">
        <f t="shared" si="16"/>
        <v/>
      </c>
      <c r="P59" s="51" t="str">
        <f t="shared" ref="P59:W61" si="17">IF($E59="","","")</f>
        <v/>
      </c>
      <c r="Q59" s="51" t="str">
        <f t="shared" si="17"/>
        <v/>
      </c>
      <c r="R59" s="50" t="str">
        <f t="shared" si="17"/>
        <v/>
      </c>
      <c r="S59" s="51" t="str">
        <f t="shared" si="17"/>
        <v/>
      </c>
      <c r="T59" s="51" t="str">
        <f t="shared" si="17"/>
        <v/>
      </c>
      <c r="U59" s="51" t="str">
        <f t="shared" si="17"/>
        <v/>
      </c>
      <c r="V59" s="51" t="str">
        <f t="shared" si="17"/>
        <v/>
      </c>
      <c r="W59" s="52" t="str">
        <f t="shared" si="17"/>
        <v/>
      </c>
    </row>
    <row r="60" spans="2:28" ht="11.25" customHeight="1" x14ac:dyDescent="0.2">
      <c r="B60" s="92" t="str">
        <f t="shared" si="13"/>
        <v/>
      </c>
      <c r="C60" s="93"/>
      <c r="D60" s="225" t="str">
        <f t="shared" si="14"/>
        <v/>
      </c>
      <c r="E60" s="94" t="str">
        <f t="shared" si="15"/>
        <v/>
      </c>
      <c r="F60" s="50" t="str">
        <f t="shared" si="16"/>
        <v/>
      </c>
      <c r="G60" s="51" t="str">
        <f t="shared" si="16"/>
        <v/>
      </c>
      <c r="H60" s="51" t="str">
        <f t="shared" si="16"/>
        <v/>
      </c>
      <c r="I60" s="51" t="str">
        <f t="shared" si="16"/>
        <v/>
      </c>
      <c r="J60" s="51" t="str">
        <f t="shared" si="16"/>
        <v/>
      </c>
      <c r="K60" s="51" t="str">
        <f t="shared" si="16"/>
        <v/>
      </c>
      <c r="L60" s="50" t="str">
        <f t="shared" si="16"/>
        <v/>
      </c>
      <c r="M60" s="51" t="str">
        <f t="shared" si="16"/>
        <v/>
      </c>
      <c r="N60" s="51" t="str">
        <f t="shared" si="16"/>
        <v/>
      </c>
      <c r="O60" s="51" t="str">
        <f t="shared" si="16"/>
        <v/>
      </c>
      <c r="P60" s="51" t="str">
        <f t="shared" si="17"/>
        <v/>
      </c>
      <c r="Q60" s="51" t="str">
        <f t="shared" si="17"/>
        <v/>
      </c>
      <c r="R60" s="50" t="str">
        <f t="shared" si="17"/>
        <v/>
      </c>
      <c r="S60" s="51" t="str">
        <f t="shared" si="17"/>
        <v/>
      </c>
      <c r="T60" s="51" t="str">
        <f t="shared" si="17"/>
        <v/>
      </c>
      <c r="U60" s="51" t="str">
        <f t="shared" si="17"/>
        <v/>
      </c>
      <c r="V60" s="51" t="str">
        <f t="shared" si="17"/>
        <v/>
      </c>
      <c r="W60" s="52" t="str">
        <f t="shared" si="17"/>
        <v/>
      </c>
    </row>
    <row r="61" spans="2:28" ht="11.25" customHeight="1" x14ac:dyDescent="0.2">
      <c r="B61" s="92" t="str">
        <f t="shared" si="13"/>
        <v/>
      </c>
      <c r="C61" s="93"/>
      <c r="D61" s="225" t="str">
        <f t="shared" si="14"/>
        <v/>
      </c>
      <c r="E61" s="94" t="str">
        <f t="shared" si="15"/>
        <v/>
      </c>
      <c r="F61" s="50" t="str">
        <f t="shared" si="16"/>
        <v/>
      </c>
      <c r="G61" s="51" t="str">
        <f t="shared" si="16"/>
        <v/>
      </c>
      <c r="H61" s="51" t="str">
        <f t="shared" si="16"/>
        <v/>
      </c>
      <c r="I61" s="51" t="str">
        <f t="shared" si="16"/>
        <v/>
      </c>
      <c r="J61" s="51" t="str">
        <f t="shared" si="16"/>
        <v/>
      </c>
      <c r="K61" s="51" t="str">
        <f t="shared" si="16"/>
        <v/>
      </c>
      <c r="L61" s="50" t="str">
        <f t="shared" si="16"/>
        <v/>
      </c>
      <c r="M61" s="51" t="str">
        <f t="shared" si="16"/>
        <v/>
      </c>
      <c r="N61" s="51" t="str">
        <f t="shared" si="16"/>
        <v/>
      </c>
      <c r="O61" s="51" t="str">
        <f t="shared" si="16"/>
        <v/>
      </c>
      <c r="P61" s="51" t="str">
        <f t="shared" si="17"/>
        <v/>
      </c>
      <c r="Q61" s="51" t="str">
        <f t="shared" si="17"/>
        <v/>
      </c>
      <c r="R61" s="50" t="str">
        <f t="shared" si="17"/>
        <v/>
      </c>
      <c r="S61" s="51" t="str">
        <f t="shared" si="17"/>
        <v/>
      </c>
      <c r="T61" s="51" t="str">
        <f t="shared" si="17"/>
        <v/>
      </c>
      <c r="U61" s="51" t="str">
        <f t="shared" si="17"/>
        <v/>
      </c>
      <c r="V61" s="51" t="str">
        <f t="shared" si="17"/>
        <v/>
      </c>
      <c r="W61" s="52" t="str">
        <f t="shared" si="17"/>
        <v/>
      </c>
    </row>
    <row r="62" spans="2:28" ht="11.25" customHeight="1" x14ac:dyDescent="0.2">
      <c r="B62" s="213" t="str">
        <f t="shared" si="13"/>
        <v>Grupo Bimbo, S.A.B. de C.V.</v>
      </c>
      <c r="C62" s="220"/>
      <c r="D62" s="268" t="s">
        <v>456</v>
      </c>
      <c r="E62" s="214" t="str">
        <f>IF($E43="","",$E43)</f>
        <v>BMV:BIMBO A</v>
      </c>
      <c r="F62" s="221" t="str">
        <f>IF($E62="","","")</f>
        <v/>
      </c>
      <c r="G62" s="222">
        <f>IF($E62="","",Datos_Peers!$D$44)</f>
        <v>6.5005268173848867</v>
      </c>
      <c r="H62" s="222">
        <f>IF($E62="","",Datos_Peers!$E$44)</f>
        <v>7.546585862571983</v>
      </c>
      <c r="I62" s="222">
        <f>IF($E62="","",Datos_Peers!$F$44)</f>
        <v>10.10538547902318</v>
      </c>
      <c r="J62" s="222">
        <f>IF($E62="","",Datos_Peers!$G$44)</f>
        <v>8.4325601302450792</v>
      </c>
      <c r="K62" s="222">
        <f>IF($E62="","",Datos_Peers!$H$44)</f>
        <v>10.141565357353706</v>
      </c>
      <c r="L62" s="221">
        <f>IF($E62="","",Datos_Peers!$I$44)</f>
        <v>0.6163594597573071</v>
      </c>
      <c r="M62" s="222">
        <f>IF($E62="","",Datos_Peers!$J$44)</f>
        <v>0.58946826774216965</v>
      </c>
      <c r="N62" s="222">
        <f>IF($E62="","",Datos_Peers!$K$44)</f>
        <v>0.59042002912143798</v>
      </c>
      <c r="O62" s="222">
        <f>IF($E62="","",Datos_Peers!$L$44)</f>
        <v>0.5972173801619749</v>
      </c>
      <c r="P62" s="222">
        <f>IF($E62="","",Datos_Peers!$M$44)</f>
        <v>0.57034731975520625</v>
      </c>
      <c r="Q62" s="222">
        <f>IF($E62="","",Datos_Peers!$N$44)</f>
        <v>0.54294433957466715</v>
      </c>
      <c r="R62" s="221" t="str">
        <f>IF($E62="","","")</f>
        <v/>
      </c>
      <c r="S62" s="222">
        <f>IF($E62="","",Datos_Peers!$P$44)</f>
        <v>15.383368580614402</v>
      </c>
      <c r="T62" s="222">
        <f>IF($E62="","",Datos_Peers!$Q$44)</f>
        <v>13.251025274350829</v>
      </c>
      <c r="U62" s="222">
        <f>IF($E62="","",Datos_Peers!$R$44)</f>
        <v>9.8957135487389962</v>
      </c>
      <c r="V62" s="222">
        <f>IF($E62="","",Datos_Peers!$S$44)</f>
        <v>11.858794773526702</v>
      </c>
      <c r="W62" s="223">
        <f>IF($E62="","",Datos_Peers!$T$44)</f>
        <v>9.8604107429519683</v>
      </c>
    </row>
    <row r="64" spans="2:28" ht="11.25" customHeight="1" x14ac:dyDescent="0.25">
      <c r="B64" s="227" t="s">
        <v>446</v>
      </c>
      <c r="C64" s="40"/>
      <c r="D64" s="40"/>
      <c r="E64" s="40"/>
      <c r="F64" s="40"/>
      <c r="G64" s="40"/>
      <c r="H64" s="40"/>
      <c r="I64" s="40"/>
      <c r="J64" s="40"/>
      <c r="K64" s="40"/>
      <c r="L64" s="40"/>
      <c r="M64" s="40"/>
      <c r="N64" s="40"/>
      <c r="O64" s="40"/>
      <c r="P64" s="40"/>
      <c r="Q64" s="40"/>
      <c r="R64" s="40"/>
      <c r="S64" s="40"/>
      <c r="T64" s="40"/>
      <c r="U64" s="40"/>
      <c r="V64" s="152"/>
      <c r="W64" s="152"/>
      <c r="X64" s="55"/>
      <c r="Y64" s="55"/>
      <c r="Z64" s="30"/>
      <c r="AB64" s="30"/>
    </row>
    <row r="65" spans="2:28" ht="11.25" customHeight="1" x14ac:dyDescent="0.25">
      <c r="R65" s="32"/>
      <c r="V65" s="55"/>
      <c r="W65" s="55"/>
      <c r="X65" s="55"/>
      <c r="Y65" s="55"/>
      <c r="Z65" s="30"/>
      <c r="AB65" s="30"/>
    </row>
    <row r="66" spans="2:28" ht="11.25" customHeight="1" collapsed="1" x14ac:dyDescent="0.25">
      <c r="B66" s="202"/>
      <c r="C66" s="202"/>
      <c r="D66" s="202"/>
      <c r="E66" s="203"/>
      <c r="F66" s="55"/>
      <c r="G66" s="55"/>
      <c r="H66" s="55"/>
      <c r="I66" s="55"/>
      <c r="J66" s="55"/>
      <c r="K66" s="55"/>
      <c r="L66" s="55"/>
      <c r="M66" s="55"/>
      <c r="N66" s="55"/>
      <c r="O66" s="55"/>
      <c r="P66" s="55"/>
      <c r="Q66" s="55"/>
      <c r="R66" s="55"/>
      <c r="S66" s="55"/>
      <c r="T66" s="55"/>
      <c r="U66" s="55"/>
      <c r="V66" s="55"/>
      <c r="W66" s="55"/>
      <c r="AB66" s="30"/>
    </row>
    <row r="67" spans="2:28" ht="11.25" customHeight="1" x14ac:dyDescent="0.25">
      <c r="B67" s="202"/>
      <c r="C67" s="202"/>
      <c r="D67" s="202"/>
      <c r="E67" s="203"/>
      <c r="F67" s="201"/>
      <c r="G67" s="201"/>
      <c r="H67" s="201"/>
      <c r="I67" s="201"/>
      <c r="J67" s="201"/>
      <c r="K67" s="201"/>
      <c r="L67" s="201"/>
      <c r="M67" s="201"/>
      <c r="N67" s="201"/>
      <c r="O67" s="201"/>
      <c r="P67" s="201"/>
      <c r="Q67" s="201"/>
      <c r="R67" s="201"/>
      <c r="S67" s="201"/>
      <c r="T67" s="201"/>
      <c r="U67" s="201"/>
      <c r="V67" s="201"/>
      <c r="W67" s="201"/>
      <c r="X67" s="56"/>
      <c r="Y67" s="56"/>
    </row>
    <row r="68" spans="2:28" ht="11.25" customHeight="1" x14ac:dyDescent="0.2">
      <c r="B68" s="200"/>
      <c r="C68" s="15"/>
      <c r="D68" s="15"/>
      <c r="E68" s="54"/>
      <c r="F68" s="198"/>
      <c r="G68" s="198"/>
      <c r="H68" s="198"/>
      <c r="I68" s="198"/>
      <c r="J68" s="198"/>
      <c r="K68" s="198"/>
      <c r="L68" s="198"/>
      <c r="M68" s="198"/>
      <c r="N68" s="198"/>
      <c r="O68" s="198"/>
      <c r="P68" s="198"/>
      <c r="Q68" s="198"/>
      <c r="R68" s="199"/>
      <c r="S68" s="199"/>
      <c r="T68" s="199"/>
      <c r="U68" s="199"/>
      <c r="V68" s="199"/>
      <c r="W68" s="199"/>
      <c r="X68" s="56"/>
      <c r="Y68" s="56"/>
    </row>
    <row r="69" spans="2:28" ht="11.25" customHeight="1" x14ac:dyDescent="0.2">
      <c r="B69" s="200"/>
      <c r="C69" s="15"/>
      <c r="D69" s="15"/>
      <c r="E69" s="54"/>
      <c r="F69" s="198"/>
      <c r="G69" s="198"/>
      <c r="H69" s="198"/>
      <c r="I69" s="198"/>
      <c r="J69" s="198"/>
      <c r="K69" s="198"/>
      <c r="L69" s="198"/>
      <c r="M69" s="198"/>
      <c r="N69" s="198"/>
      <c r="O69" s="198"/>
      <c r="P69" s="198"/>
      <c r="Q69" s="198"/>
      <c r="R69" s="199"/>
      <c r="S69" s="199"/>
      <c r="T69" s="199"/>
      <c r="U69" s="199"/>
      <c r="V69" s="199"/>
      <c r="W69" s="199"/>
      <c r="X69" s="56"/>
      <c r="Y69" s="56"/>
    </row>
    <row r="70" spans="2:28" ht="11.25" customHeight="1" x14ac:dyDescent="0.2">
      <c r="B70" s="200"/>
      <c r="C70" s="15"/>
      <c r="D70" s="15"/>
      <c r="E70" s="54"/>
      <c r="F70" s="198"/>
      <c r="G70" s="198"/>
      <c r="H70" s="198"/>
      <c r="I70" s="198"/>
      <c r="J70" s="198"/>
      <c r="K70" s="198"/>
      <c r="L70" s="198"/>
      <c r="M70" s="198"/>
      <c r="N70" s="198"/>
      <c r="O70" s="198"/>
      <c r="P70" s="198"/>
      <c r="Q70" s="198"/>
      <c r="R70" s="199"/>
      <c r="S70" s="199"/>
      <c r="T70" s="199"/>
      <c r="U70" s="199"/>
      <c r="V70" s="199"/>
      <c r="W70" s="199"/>
      <c r="X70" s="56"/>
      <c r="Y70" s="56"/>
    </row>
    <row r="71" spans="2:28" ht="11.25" customHeight="1" x14ac:dyDescent="0.2">
      <c r="B71" s="200"/>
      <c r="C71" s="15"/>
      <c r="D71" s="15"/>
      <c r="E71" s="54"/>
      <c r="F71" s="198"/>
      <c r="G71" s="198"/>
      <c r="H71" s="198"/>
      <c r="I71" s="198"/>
      <c r="J71" s="198"/>
      <c r="K71" s="198"/>
      <c r="L71" s="198"/>
      <c r="M71" s="198"/>
      <c r="N71" s="198"/>
      <c r="O71" s="198"/>
      <c r="P71" s="198"/>
      <c r="Q71" s="198"/>
      <c r="R71" s="199"/>
      <c r="S71" s="199"/>
      <c r="T71" s="199"/>
      <c r="U71" s="199"/>
      <c r="V71" s="199"/>
      <c r="W71" s="199"/>
      <c r="X71" s="56"/>
      <c r="Y71" s="56"/>
    </row>
    <row r="72" spans="2:28" ht="11.25" customHeight="1" x14ac:dyDescent="0.2">
      <c r="B72" s="200"/>
      <c r="C72" s="15"/>
      <c r="D72" s="15"/>
      <c r="E72" s="54"/>
      <c r="F72" s="198"/>
      <c r="G72" s="198"/>
      <c r="H72" s="198"/>
      <c r="I72" s="198"/>
      <c r="J72" s="198"/>
      <c r="K72" s="198"/>
      <c r="L72" s="198"/>
      <c r="M72" s="198"/>
      <c r="N72" s="198"/>
      <c r="O72" s="198"/>
      <c r="P72" s="198"/>
      <c r="Q72" s="198"/>
      <c r="R72" s="199"/>
      <c r="S72" s="199"/>
      <c r="T72" s="199"/>
      <c r="U72" s="199"/>
      <c r="V72" s="199"/>
      <c r="W72" s="199"/>
      <c r="X72" s="56"/>
      <c r="Y72" s="56"/>
    </row>
    <row r="73" spans="2:28" ht="11.25" customHeight="1" x14ac:dyDescent="0.2">
      <c r="B73" s="200"/>
      <c r="C73" s="15"/>
      <c r="D73" s="15"/>
      <c r="E73" s="54"/>
      <c r="F73" s="198"/>
      <c r="G73" s="198"/>
      <c r="H73" s="198"/>
      <c r="I73" s="198"/>
      <c r="J73" s="198"/>
      <c r="K73" s="198"/>
      <c r="L73" s="198"/>
      <c r="M73" s="198"/>
      <c r="N73" s="198"/>
      <c r="O73" s="198"/>
      <c r="P73" s="198"/>
      <c r="Q73" s="198"/>
      <c r="R73" s="199"/>
      <c r="S73" s="199"/>
      <c r="T73" s="199"/>
      <c r="U73" s="199"/>
      <c r="V73" s="199"/>
      <c r="W73" s="199"/>
      <c r="X73" s="56"/>
      <c r="Y73" s="56"/>
    </row>
    <row r="74" spans="2:28" ht="11.25" customHeight="1" x14ac:dyDescent="0.2">
      <c r="B74" s="200"/>
      <c r="C74" s="15"/>
      <c r="D74" s="15"/>
      <c r="E74" s="54"/>
      <c r="F74" s="198"/>
      <c r="G74" s="198"/>
      <c r="H74" s="198"/>
      <c r="I74" s="198"/>
      <c r="J74" s="198"/>
      <c r="K74" s="198"/>
      <c r="L74" s="198"/>
      <c r="M74" s="198"/>
      <c r="N74" s="198"/>
      <c r="O74" s="198"/>
      <c r="P74" s="198"/>
      <c r="Q74" s="198"/>
      <c r="R74" s="199"/>
      <c r="S74" s="199"/>
      <c r="T74" s="199"/>
      <c r="U74" s="199"/>
      <c r="V74" s="199"/>
      <c r="W74" s="199"/>
      <c r="X74" s="56"/>
      <c r="Y74" s="56"/>
    </row>
    <row r="75" spans="2:28" ht="11.25" customHeight="1" x14ac:dyDescent="0.2">
      <c r="B75" s="200"/>
      <c r="C75" s="15"/>
      <c r="D75" s="15"/>
      <c r="E75" s="54"/>
      <c r="F75" s="198"/>
      <c r="G75" s="198"/>
      <c r="H75" s="198"/>
      <c r="I75" s="198"/>
      <c r="J75" s="198"/>
      <c r="K75" s="198"/>
      <c r="L75" s="198"/>
      <c r="M75" s="198"/>
      <c r="N75" s="198"/>
      <c r="O75" s="198"/>
      <c r="P75" s="198"/>
      <c r="Q75" s="198"/>
      <c r="R75" s="199"/>
      <c r="S75" s="199"/>
      <c r="T75" s="199"/>
      <c r="U75" s="199"/>
      <c r="V75" s="199"/>
      <c r="W75" s="199"/>
      <c r="X75" s="56"/>
      <c r="Y75" s="56"/>
    </row>
    <row r="76" spans="2:28" ht="11.25" customHeight="1" x14ac:dyDescent="0.2">
      <c r="B76" s="200"/>
      <c r="C76" s="15"/>
      <c r="D76" s="15"/>
      <c r="E76" s="54"/>
      <c r="F76" s="198"/>
      <c r="G76" s="198"/>
      <c r="H76" s="198"/>
      <c r="I76" s="198"/>
      <c r="J76" s="198"/>
      <c r="K76" s="198"/>
      <c r="L76" s="198"/>
      <c r="M76" s="198"/>
      <c r="N76" s="198"/>
      <c r="O76" s="198"/>
      <c r="P76" s="198"/>
      <c r="Q76" s="198"/>
      <c r="R76" s="199"/>
      <c r="S76" s="199"/>
      <c r="T76" s="199"/>
      <c r="U76" s="199"/>
      <c r="V76" s="199"/>
      <c r="W76" s="199"/>
    </row>
    <row r="77" spans="2:28" ht="11.25" customHeight="1" x14ac:dyDescent="0.35">
      <c r="B77" s="200"/>
      <c r="C77" s="15"/>
      <c r="D77" s="15"/>
      <c r="E77" s="54"/>
      <c r="F77" s="198"/>
      <c r="G77" s="198"/>
      <c r="H77" s="198"/>
      <c r="I77" s="198"/>
      <c r="J77" s="198"/>
      <c r="K77" s="198"/>
      <c r="L77" s="198"/>
      <c r="M77" s="198"/>
      <c r="N77" s="198"/>
      <c r="O77" s="198"/>
      <c r="P77" s="198"/>
      <c r="Q77" s="198"/>
      <c r="R77" s="199"/>
      <c r="S77" s="199"/>
      <c r="T77" s="199"/>
      <c r="U77" s="199"/>
      <c r="V77" s="199"/>
      <c r="W77" s="199"/>
      <c r="Y77" s="44"/>
    </row>
    <row r="78" spans="2:28" ht="11.25" customHeight="1" x14ac:dyDescent="0.35">
      <c r="B78" s="200"/>
      <c r="E78" s="54"/>
      <c r="F78" s="198"/>
      <c r="G78" s="198"/>
      <c r="H78" s="198"/>
      <c r="I78" s="198"/>
      <c r="J78" s="198"/>
      <c r="K78" s="198"/>
      <c r="L78" s="198"/>
      <c r="M78" s="198"/>
      <c r="N78" s="198"/>
      <c r="O78" s="198"/>
      <c r="P78" s="198"/>
      <c r="Q78" s="198"/>
      <c r="R78" s="199"/>
      <c r="S78" s="199"/>
      <c r="T78" s="199"/>
      <c r="U78" s="199"/>
      <c r="V78" s="199"/>
      <c r="W78" s="199"/>
      <c r="Y78" s="44"/>
    </row>
    <row r="79" spans="2:28" ht="11.25" customHeight="1" x14ac:dyDescent="0.25">
      <c r="B79" s="200"/>
      <c r="E79" s="54"/>
      <c r="F79" s="198"/>
      <c r="G79" s="198"/>
      <c r="H79" s="198"/>
      <c r="I79" s="198"/>
      <c r="J79" s="198"/>
      <c r="K79" s="198"/>
      <c r="L79" s="198"/>
      <c r="M79" s="198"/>
      <c r="N79" s="198"/>
      <c r="O79" s="198"/>
      <c r="P79" s="198"/>
      <c r="Q79" s="198"/>
      <c r="R79" s="199"/>
      <c r="S79" s="199"/>
      <c r="T79" s="199"/>
      <c r="U79" s="199"/>
      <c r="V79" s="199"/>
      <c r="W79" s="199"/>
      <c r="X79" s="55"/>
      <c r="Y79" s="55"/>
    </row>
    <row r="80" spans="2:28" ht="11.25" customHeight="1" x14ac:dyDescent="0.25">
      <c r="V80" s="55"/>
      <c r="W80" s="55"/>
      <c r="X80" s="55"/>
      <c r="Y80" s="55"/>
    </row>
    <row r="81" spans="2:28" ht="11.25" customHeight="1" x14ac:dyDescent="0.35">
      <c r="F81" s="32"/>
      <c r="G81" s="44"/>
      <c r="H81" s="44"/>
      <c r="I81" s="44"/>
      <c r="J81" s="44"/>
      <c r="L81" s="32"/>
      <c r="M81" s="44"/>
      <c r="N81" s="44"/>
      <c r="O81" s="44"/>
      <c r="R81" s="32"/>
      <c r="S81" s="44"/>
      <c r="T81" s="44"/>
      <c r="U81" s="32"/>
      <c r="V81" s="55"/>
      <c r="W81" s="55"/>
      <c r="X81" s="55"/>
      <c r="Y81" s="55"/>
    </row>
    <row r="82" spans="2:28" ht="11.25" customHeight="1" x14ac:dyDescent="0.35">
      <c r="F82" s="32"/>
      <c r="G82" s="44"/>
      <c r="H82" s="44"/>
      <c r="I82" s="44"/>
      <c r="J82" s="44"/>
      <c r="L82" s="32"/>
      <c r="M82" s="44"/>
      <c r="N82" s="44"/>
      <c r="O82" s="44"/>
      <c r="R82" s="32"/>
      <c r="S82" s="44"/>
      <c r="T82" s="44"/>
      <c r="U82" s="32"/>
      <c r="V82" s="53"/>
      <c r="W82" s="53"/>
      <c r="X82" s="53"/>
      <c r="Y82" s="53"/>
    </row>
    <row r="83" spans="2:28" ht="11.25" customHeight="1" collapsed="1" x14ac:dyDescent="0.25">
      <c r="B83" s="202"/>
      <c r="C83" s="202"/>
      <c r="D83" s="202"/>
      <c r="E83" s="202"/>
      <c r="F83" s="55"/>
      <c r="G83" s="55"/>
      <c r="H83" s="55"/>
      <c r="I83" s="55"/>
      <c r="J83" s="55"/>
      <c r="K83" s="55"/>
      <c r="L83" s="55"/>
      <c r="M83" s="55"/>
      <c r="N83" s="55"/>
      <c r="O83" s="55"/>
      <c r="P83" s="55"/>
      <c r="Q83" s="55"/>
      <c r="R83" s="55"/>
      <c r="S83" s="55"/>
      <c r="T83" s="55"/>
      <c r="U83" s="55"/>
      <c r="V83" s="55"/>
      <c r="W83" s="55"/>
      <c r="X83" s="53"/>
      <c r="Y83" s="53"/>
    </row>
    <row r="84" spans="2:28" ht="11.25" customHeight="1" x14ac:dyDescent="0.2">
      <c r="B84" s="202"/>
      <c r="C84" s="202"/>
      <c r="D84" s="202"/>
      <c r="E84" s="202"/>
      <c r="F84" s="201"/>
      <c r="G84" s="201"/>
      <c r="H84" s="201"/>
      <c r="I84" s="201"/>
      <c r="J84" s="201"/>
      <c r="K84" s="201"/>
      <c r="L84" s="201"/>
      <c r="M84" s="201"/>
      <c r="N84" s="201"/>
      <c r="O84" s="201"/>
      <c r="P84" s="201"/>
      <c r="Q84" s="201"/>
      <c r="R84" s="201"/>
      <c r="S84" s="201"/>
      <c r="T84" s="201"/>
      <c r="U84" s="201"/>
      <c r="V84" s="201"/>
      <c r="W84" s="201"/>
    </row>
    <row r="85" spans="2:28" ht="11.25" customHeight="1" x14ac:dyDescent="0.2">
      <c r="B85" s="200"/>
      <c r="C85" s="200"/>
      <c r="D85" s="200"/>
      <c r="E85" s="54"/>
      <c r="F85" s="53"/>
      <c r="G85" s="53"/>
      <c r="H85" s="53"/>
      <c r="I85" s="53"/>
      <c r="J85" s="53"/>
      <c r="K85" s="53"/>
      <c r="L85" s="53"/>
      <c r="M85" s="53"/>
      <c r="N85" s="53"/>
      <c r="O85" s="53"/>
      <c r="P85" s="53"/>
      <c r="Q85" s="53"/>
      <c r="R85" s="53"/>
      <c r="S85" s="53"/>
      <c r="T85" s="53"/>
      <c r="U85" s="53"/>
      <c r="V85" s="53"/>
      <c r="W85" s="53"/>
    </row>
    <row r="86" spans="2:28" ht="11.25" customHeight="1" x14ac:dyDescent="0.2">
      <c r="B86" s="200"/>
      <c r="C86" s="200"/>
      <c r="D86" s="200"/>
      <c r="E86" s="54"/>
      <c r="F86" s="53"/>
      <c r="G86" s="53"/>
      <c r="H86" s="53"/>
      <c r="I86" s="53"/>
      <c r="J86" s="53"/>
      <c r="K86" s="53"/>
      <c r="L86" s="53"/>
      <c r="M86" s="53"/>
      <c r="N86" s="53"/>
      <c r="O86" s="53"/>
      <c r="P86" s="53"/>
      <c r="Q86" s="53"/>
      <c r="R86" s="53"/>
      <c r="S86" s="53"/>
      <c r="T86" s="53"/>
      <c r="U86" s="53"/>
      <c r="V86" s="53"/>
      <c r="W86" s="53"/>
    </row>
    <row r="87" spans="2:28" ht="11.25" customHeight="1" x14ac:dyDescent="0.2">
      <c r="B87" s="200"/>
      <c r="C87" s="200"/>
      <c r="D87" s="200"/>
      <c r="E87" s="54"/>
      <c r="F87" s="53"/>
      <c r="G87" s="53"/>
      <c r="H87" s="53"/>
      <c r="I87" s="53"/>
      <c r="J87" s="53"/>
      <c r="K87" s="53"/>
      <c r="L87" s="53"/>
      <c r="M87" s="53"/>
      <c r="N87" s="53"/>
      <c r="O87" s="53"/>
      <c r="P87" s="53"/>
      <c r="Q87" s="53"/>
      <c r="R87" s="53"/>
      <c r="S87" s="53"/>
      <c r="T87" s="53"/>
      <c r="U87" s="53"/>
      <c r="V87" s="53"/>
      <c r="W87" s="53"/>
    </row>
    <row r="88" spans="2:28" ht="11.25" customHeight="1" x14ac:dyDescent="0.2">
      <c r="B88" s="200"/>
      <c r="C88" s="200"/>
      <c r="D88" s="200"/>
      <c r="E88" s="54"/>
      <c r="F88" s="53"/>
      <c r="G88" s="53"/>
      <c r="H88" s="53"/>
      <c r="I88" s="53"/>
      <c r="J88" s="53"/>
      <c r="K88" s="53"/>
      <c r="L88" s="53"/>
      <c r="M88" s="53"/>
      <c r="N88" s="53"/>
      <c r="O88" s="53"/>
      <c r="P88" s="53"/>
      <c r="Q88" s="53"/>
      <c r="R88" s="53"/>
      <c r="S88" s="53"/>
      <c r="T88" s="53"/>
      <c r="U88" s="53"/>
      <c r="V88" s="53"/>
      <c r="W88" s="53"/>
    </row>
    <row r="89" spans="2:28" ht="11.25" customHeight="1" x14ac:dyDescent="0.2">
      <c r="B89" s="200"/>
      <c r="C89" s="200"/>
      <c r="D89" s="200"/>
      <c r="E89" s="54"/>
      <c r="F89" s="53"/>
      <c r="G89" s="53"/>
      <c r="H89" s="53"/>
      <c r="I89" s="53"/>
      <c r="J89" s="53"/>
      <c r="K89" s="53"/>
      <c r="L89" s="53"/>
      <c r="M89" s="53"/>
      <c r="N89" s="53"/>
      <c r="O89" s="53"/>
      <c r="P89" s="53"/>
      <c r="Q89" s="53"/>
      <c r="R89" s="53"/>
      <c r="S89" s="53"/>
      <c r="T89" s="53"/>
      <c r="U89" s="53"/>
      <c r="V89" s="53"/>
      <c r="W89" s="53"/>
    </row>
    <row r="90" spans="2:28" ht="11.25" customHeight="1" x14ac:dyDescent="0.2">
      <c r="B90" s="200"/>
      <c r="C90" s="200"/>
      <c r="D90" s="200"/>
      <c r="E90" s="54"/>
      <c r="F90" s="53"/>
      <c r="G90" s="53"/>
      <c r="H90" s="53"/>
      <c r="I90" s="53"/>
      <c r="J90" s="53"/>
      <c r="K90" s="53"/>
      <c r="L90" s="53"/>
      <c r="M90" s="53"/>
      <c r="N90" s="53"/>
      <c r="O90" s="53"/>
      <c r="P90" s="53"/>
      <c r="Q90" s="53"/>
      <c r="R90" s="53"/>
      <c r="S90" s="53"/>
      <c r="T90" s="53"/>
      <c r="U90" s="53"/>
      <c r="V90" s="53"/>
      <c r="W90" s="53"/>
    </row>
    <row r="91" spans="2:28" ht="11.25" customHeight="1" x14ac:dyDescent="0.2">
      <c r="B91" s="200"/>
      <c r="C91" s="200"/>
      <c r="D91" s="200"/>
      <c r="E91" s="54"/>
      <c r="F91" s="53"/>
      <c r="G91" s="53"/>
      <c r="H91" s="53"/>
      <c r="I91" s="53"/>
      <c r="J91" s="53"/>
      <c r="K91" s="53"/>
      <c r="L91" s="53"/>
      <c r="M91" s="53"/>
      <c r="N91" s="53"/>
      <c r="O91" s="53"/>
      <c r="P91" s="53"/>
      <c r="Q91" s="53"/>
      <c r="R91" s="53"/>
      <c r="S91" s="53"/>
      <c r="T91" s="53"/>
      <c r="U91" s="53"/>
      <c r="V91" s="53"/>
      <c r="W91" s="53"/>
    </row>
    <row r="92" spans="2:28" ht="11.25" customHeight="1" x14ac:dyDescent="0.2">
      <c r="B92" s="200"/>
      <c r="C92" s="200"/>
      <c r="D92" s="200"/>
      <c r="E92" s="54"/>
      <c r="F92" s="53"/>
      <c r="G92" s="53"/>
      <c r="H92" s="53"/>
      <c r="I92" s="53"/>
      <c r="J92" s="53"/>
      <c r="K92" s="53"/>
      <c r="L92" s="53"/>
      <c r="M92" s="53"/>
      <c r="N92" s="53"/>
      <c r="O92" s="53"/>
      <c r="P92" s="53"/>
      <c r="Q92" s="53"/>
      <c r="R92" s="53"/>
      <c r="S92" s="53"/>
      <c r="T92" s="53"/>
      <c r="U92" s="53"/>
      <c r="V92" s="53"/>
      <c r="W92" s="53"/>
    </row>
    <row r="93" spans="2:28" ht="11.25" customHeight="1" x14ac:dyDescent="0.2">
      <c r="B93" s="200"/>
      <c r="C93" s="200"/>
      <c r="D93" s="200"/>
      <c r="E93" s="54"/>
      <c r="F93" s="53"/>
      <c r="G93" s="53"/>
      <c r="H93" s="53"/>
      <c r="I93" s="53"/>
      <c r="J93" s="53"/>
      <c r="K93" s="53"/>
      <c r="L93" s="53"/>
      <c r="M93" s="53"/>
      <c r="N93" s="53"/>
      <c r="O93" s="53"/>
      <c r="P93" s="53"/>
      <c r="Q93" s="53"/>
      <c r="R93" s="53"/>
      <c r="S93" s="53"/>
      <c r="T93" s="53"/>
      <c r="U93" s="53"/>
      <c r="V93" s="53"/>
      <c r="W93" s="53"/>
    </row>
    <row r="94" spans="2:28" ht="11.25" customHeight="1" x14ac:dyDescent="0.2">
      <c r="B94" s="200"/>
      <c r="C94" s="200"/>
      <c r="D94" s="200"/>
      <c r="E94" s="54"/>
      <c r="F94" s="53"/>
      <c r="G94" s="53"/>
      <c r="H94" s="53"/>
      <c r="I94" s="53"/>
      <c r="J94" s="53"/>
      <c r="K94" s="53"/>
      <c r="L94" s="53"/>
      <c r="M94" s="53"/>
      <c r="N94" s="53"/>
      <c r="O94" s="53"/>
      <c r="P94" s="53"/>
      <c r="Q94" s="53"/>
      <c r="R94" s="53"/>
      <c r="S94" s="53"/>
      <c r="T94" s="53"/>
      <c r="U94" s="53"/>
      <c r="V94" s="53"/>
      <c r="W94" s="53"/>
    </row>
    <row r="95" spans="2:28" ht="11.25" customHeight="1" x14ac:dyDescent="0.2">
      <c r="B95" s="200"/>
      <c r="C95" s="200"/>
      <c r="D95" s="200"/>
      <c r="E95" s="54"/>
      <c r="F95" s="53"/>
      <c r="G95" s="53"/>
      <c r="H95" s="53"/>
      <c r="I95" s="53"/>
      <c r="J95" s="53"/>
      <c r="K95" s="53"/>
      <c r="L95" s="53"/>
      <c r="M95" s="53"/>
      <c r="N95" s="53"/>
      <c r="O95" s="53"/>
      <c r="P95" s="53"/>
      <c r="Q95" s="53"/>
      <c r="R95" s="53"/>
      <c r="S95" s="53"/>
      <c r="T95" s="53"/>
      <c r="U95" s="53"/>
      <c r="V95" s="53"/>
      <c r="W95" s="53"/>
      <c r="AA95"/>
      <c r="AB95"/>
    </row>
    <row r="96" spans="2:28" ht="11.25" customHeight="1" x14ac:dyDescent="0.2">
      <c r="B96" s="200"/>
      <c r="C96" s="200"/>
      <c r="D96" s="200"/>
      <c r="E96" s="54"/>
      <c r="F96" s="53"/>
      <c r="G96" s="53"/>
      <c r="H96" s="53"/>
      <c r="I96" s="53"/>
      <c r="J96" s="53"/>
      <c r="K96" s="53"/>
      <c r="L96" s="53"/>
      <c r="M96" s="53"/>
      <c r="N96" s="53"/>
      <c r="O96" s="53"/>
      <c r="P96" s="53"/>
      <c r="Q96" s="53"/>
      <c r="R96" s="53"/>
      <c r="S96" s="53"/>
      <c r="T96" s="53"/>
      <c r="U96" s="53"/>
      <c r="V96" s="53"/>
      <c r="W96" s="53"/>
      <c r="AA96"/>
      <c r="AB96"/>
    </row>
    <row r="97" spans="25:28" ht="11.25" customHeight="1" x14ac:dyDescent="0.2">
      <c r="Y97"/>
      <c r="Z97"/>
      <c r="AA97"/>
      <c r="AB97"/>
    </row>
    <row r="98" spans="25:28" ht="11.25" customHeight="1" x14ac:dyDescent="0.2">
      <c r="Y98"/>
      <c r="Z98"/>
      <c r="AA98"/>
      <c r="AB98"/>
    </row>
    <row r="99" spans="25:28" ht="11.25" customHeight="1" x14ac:dyDescent="0.2">
      <c r="Y99"/>
      <c r="Z99"/>
      <c r="AA99"/>
      <c r="AB99"/>
    </row>
    <row r="100" spans="25:28" ht="11.25" customHeight="1" x14ac:dyDescent="0.2">
      <c r="AA100"/>
      <c r="AB100"/>
    </row>
    <row r="101" spans="25:28" ht="11.25" customHeight="1" x14ac:dyDescent="0.2">
      <c r="AA101"/>
      <c r="AB101"/>
    </row>
    <row r="102" spans="25:28" ht="11.25" customHeight="1" x14ac:dyDescent="0.2">
      <c r="AA102"/>
      <c r="AB102"/>
    </row>
    <row r="103" spans="25:28" ht="11.25" customHeight="1" x14ac:dyDescent="0.2">
      <c r="AA103"/>
      <c r="AB103"/>
    </row>
    <row r="104" spans="25:28" ht="11.25" customHeight="1" x14ac:dyDescent="0.2">
      <c r="AA104"/>
      <c r="AB104"/>
    </row>
    <row r="105" spans="25:28" ht="11.25" customHeight="1" x14ac:dyDescent="0.2">
      <c r="AA105"/>
      <c r="AB105"/>
    </row>
    <row r="106" spans="25:28" ht="11.25" customHeight="1" x14ac:dyDescent="0.2">
      <c r="AA106"/>
      <c r="AB106"/>
    </row>
    <row r="107" spans="25:28" ht="11.25" customHeight="1" x14ac:dyDescent="0.2">
      <c r="AA107"/>
      <c r="AB107"/>
    </row>
    <row r="108" spans="25:28" ht="11.25" customHeight="1" x14ac:dyDescent="0.2">
      <c r="AA108"/>
      <c r="AB108"/>
    </row>
    <row r="109" spans="25:28" ht="11.25" customHeight="1" x14ac:dyDescent="0.2">
      <c r="AA109"/>
      <c r="AB109"/>
    </row>
    <row r="110" spans="25:28" ht="11.25" customHeight="1" x14ac:dyDescent="0.2">
      <c r="AA110"/>
      <c r="AB110"/>
    </row>
    <row r="111" spans="25:28" ht="11.25" customHeight="1" x14ac:dyDescent="0.2">
      <c r="AA111"/>
      <c r="AB111"/>
    </row>
    <row r="112" spans="25:28" ht="11.25" customHeight="1" x14ac:dyDescent="0.2">
      <c r="AA112"/>
      <c r="AB112"/>
    </row>
    <row r="113" spans="27:28" ht="11.25" customHeight="1" x14ac:dyDescent="0.2">
      <c r="AA113"/>
      <c r="AB113"/>
    </row>
    <row r="114" spans="27:28" ht="11.25" customHeight="1" x14ac:dyDescent="0.2">
      <c r="AA114"/>
      <c r="AB114"/>
    </row>
    <row r="115" spans="27:28" ht="11.25" customHeight="1" x14ac:dyDescent="0.2">
      <c r="AA115"/>
      <c r="AB115"/>
    </row>
  </sheetData>
  <mergeCells count="28">
    <mergeCell ref="F49:K49"/>
    <mergeCell ref="L49:Q49"/>
    <mergeCell ref="F47:W47"/>
    <mergeCell ref="K11:Q11"/>
    <mergeCell ref="R11:W11"/>
    <mergeCell ref="I11:I12"/>
    <mergeCell ref="L30:Q30"/>
    <mergeCell ref="F28:Q28"/>
    <mergeCell ref="F30:K30"/>
    <mergeCell ref="R49:W49"/>
    <mergeCell ref="R30:W30"/>
    <mergeCell ref="R28:W28"/>
    <mergeCell ref="B25:C25"/>
    <mergeCell ref="B20:C20"/>
    <mergeCell ref="B22:C22"/>
    <mergeCell ref="B21:C21"/>
    <mergeCell ref="B23:C23"/>
    <mergeCell ref="B24:C24"/>
    <mergeCell ref="F10:W10"/>
    <mergeCell ref="B15:C15"/>
    <mergeCell ref="B16:C16"/>
    <mergeCell ref="B17:C17"/>
    <mergeCell ref="B18:C18"/>
    <mergeCell ref="B19:C19"/>
    <mergeCell ref="B13:C13"/>
    <mergeCell ref="B14:C14"/>
    <mergeCell ref="J11:J12"/>
    <mergeCell ref="F11:F12"/>
  </mergeCells>
  <conditionalFormatting sqref="F50:K62">
    <cfRule type="expression" dxfId="9" priority="3">
      <formula>$F$46="(%)"</formula>
    </cfRule>
  </conditionalFormatting>
  <conditionalFormatting sqref="F85:K96">
    <cfRule type="expression" dxfId="8" priority="7">
      <formula>$F$82="(%)"</formula>
    </cfRule>
  </conditionalFormatting>
  <conditionalFormatting sqref="L50:Q62">
    <cfRule type="expression" dxfId="7" priority="1">
      <formula>$L$46="(%)"</formula>
    </cfRule>
  </conditionalFormatting>
  <conditionalFormatting sqref="L85:Q96 K97:O105 Q102:T113">
    <cfRule type="expression" dxfId="6" priority="8">
      <formula>$L$82="(%)"</formula>
    </cfRule>
  </conditionalFormatting>
  <conditionalFormatting sqref="Q97:U99">
    <cfRule type="expression" dxfId="5" priority="13">
      <formula>$L$82="(%)"</formula>
    </cfRule>
  </conditionalFormatting>
  <conditionalFormatting sqref="R50:W62">
    <cfRule type="expression" dxfId="4" priority="6">
      <formula>$R$46="(%)"</formula>
    </cfRule>
  </conditionalFormatting>
  <conditionalFormatting sqref="R85:W96">
    <cfRule type="expression" dxfId="3" priority="14">
      <formula>$R$82="(%)"</formula>
    </cfRule>
  </conditionalFormatting>
  <conditionalFormatting sqref="V46:W46 X83:Y83 V97:X99">
    <cfRule type="expression" dxfId="2" priority="5">
      <formula>$U$82="(%)"</formula>
    </cfRule>
  </conditionalFormatting>
  <conditionalFormatting sqref="V63:W63">
    <cfRule type="expression" dxfId="1" priority="2">
      <formula>$U$46="(%)"</formula>
    </cfRule>
  </conditionalFormatting>
  <conditionalFormatting sqref="V82:Y82">
    <cfRule type="expression" dxfId="0" priority="12">
      <formula>$U$82="(%)"</formula>
    </cfRule>
  </conditionalFormatting>
  <printOptions horizontalCentered="1"/>
  <pageMargins left="0.25" right="0.25" top="0.25" bottom="0.25" header="0.75" footer="0.75"/>
  <pageSetup scale="50" fitToWidth="0" fitToHeight="0"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7E773672-6D1E-4B4B-86D4-38B07E953F9B}">
          <x14:formula1>
            <xm:f>TearSheet!$AB$34:$AB$45</xm:f>
          </x14:formula1>
          <xm:sqref>G12:H12 K12:Q12</xm:sqref>
        </x14:dataValidation>
        <x14:dataValidation type="list" allowBlank="1" showInputMessage="1" showErrorMessage="1" xr:uid="{4402E1CC-6724-4417-B982-F7E3F054C9D4}">
          <x14:formula1>
            <xm:f>TearSheet!$AF$42:$AF$43</xm:f>
          </x14:formula1>
          <xm:sqref>R11:W11</xm:sqref>
        </x14:dataValidation>
        <x14:dataValidation type="list" allowBlank="1" showInputMessage="1" showErrorMessage="1" xr:uid="{70201EB4-C208-4F3D-8784-C01A9ECC135D}">
          <x14:formula1>
            <xm:f>TearSheet!$AB$49:$AB$56</xm:f>
          </x14:formula1>
          <xm:sqref>F30:Q30</xm:sqref>
        </x14:dataValidation>
        <x14:dataValidation type="list" allowBlank="1" showInputMessage="1" showErrorMessage="1" xr:uid="{01704746-CE80-4FE7-B2EC-F3F17CDCF6A5}">
          <x14:formula1>
            <xm:f>TearSheet!$AC$49:$AC$65</xm:f>
          </x14:formula1>
          <xm:sqref>R30:W30</xm:sqref>
        </x14:dataValidation>
        <x14:dataValidation type="list" allowBlank="1" showInputMessage="1" showErrorMessage="1" xr:uid="{60743B33-150D-4FCA-85BD-EDE4057E8DE5}">
          <x14:formula1>
            <xm:f>TearSheet!$AD$49:$AD$117</xm:f>
          </x14:formula1>
          <xm:sqref>F49:W49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E8B55-84C7-4C0D-A14B-9FF0C164B88E}">
  <sheetPr>
    <tabColor rgb="FFFFC000"/>
  </sheetPr>
  <dimension ref="A1:U68"/>
  <sheetViews>
    <sheetView showGridLines="0" topLeftCell="H1" workbookViewId="0">
      <selection activeCell="I41" sqref="I41"/>
    </sheetView>
  </sheetViews>
  <sheetFormatPr baseColWidth="10" defaultRowHeight="10" x14ac:dyDescent="0.2"/>
  <cols>
    <col min="1" max="1" width="44.77734375" style="270" customWidth="1"/>
    <col min="2" max="2" width="16.77734375" style="270" customWidth="1"/>
    <col min="3" max="8" width="12.77734375" style="270" customWidth="1"/>
    <col min="9" max="9" width="14.77734375" style="270" customWidth="1"/>
    <col min="10" max="20" width="12.77734375" style="270" customWidth="1"/>
    <col min="21" max="21" width="60.77734375" style="270" customWidth="1"/>
    <col min="22" max="16384" width="11.5546875" style="270"/>
  </cols>
  <sheetData>
    <row r="1" spans="1:21" ht="18" x14ac:dyDescent="0.2">
      <c r="A1" s="269" t="s">
        <v>458</v>
      </c>
    </row>
    <row r="2" spans="1:21" x14ac:dyDescent="0.2">
      <c r="A2" s="271" t="s">
        <v>459</v>
      </c>
    </row>
    <row r="3" spans="1:21" x14ac:dyDescent="0.2">
      <c r="A3" s="271" t="s">
        <v>460</v>
      </c>
    </row>
    <row r="4" spans="1:21" x14ac:dyDescent="0.2">
      <c r="A4" s="270" t="s">
        <v>461</v>
      </c>
      <c r="B4" s="272">
        <v>18.478999999999999</v>
      </c>
      <c r="C4" s="270" t="s">
        <v>462</v>
      </c>
    </row>
    <row r="7" spans="1:21" ht="10.5" x14ac:dyDescent="0.2">
      <c r="A7" s="273" t="s">
        <v>463</v>
      </c>
    </row>
    <row r="8" spans="1:21" ht="31.5" x14ac:dyDescent="0.2">
      <c r="A8" s="274" t="s">
        <v>464</v>
      </c>
      <c r="B8" s="274" t="s">
        <v>465</v>
      </c>
      <c r="C8" s="274" t="s">
        <v>466</v>
      </c>
      <c r="D8" s="274" t="s">
        <v>467</v>
      </c>
      <c r="E8" s="274" t="s">
        <v>468</v>
      </c>
      <c r="F8" s="274" t="s">
        <v>469</v>
      </c>
      <c r="G8" s="274" t="s">
        <v>470</v>
      </c>
      <c r="H8" s="275" t="s">
        <v>471</v>
      </c>
      <c r="I8" s="275" t="s">
        <v>472</v>
      </c>
      <c r="J8" s="275" t="s">
        <v>473</v>
      </c>
      <c r="K8" s="275" t="s">
        <v>474</v>
      </c>
      <c r="L8" s="275" t="s">
        <v>475</v>
      </c>
      <c r="M8" s="274" t="s">
        <v>476</v>
      </c>
      <c r="N8" s="274" t="s">
        <v>477</v>
      </c>
      <c r="O8" s="274" t="s">
        <v>478</v>
      </c>
      <c r="P8" s="274" t="s">
        <v>479</v>
      </c>
      <c r="Q8" s="274" t="s">
        <v>480</v>
      </c>
      <c r="R8" s="274" t="s">
        <v>481</v>
      </c>
      <c r="S8" s="274" t="s">
        <v>482</v>
      </c>
      <c r="T8" s="274" t="s">
        <v>483</v>
      </c>
      <c r="U8" s="274" t="s">
        <v>484</v>
      </c>
    </row>
    <row r="9" spans="1:21" x14ac:dyDescent="0.2">
      <c r="A9" s="270" t="s">
        <v>485</v>
      </c>
      <c r="B9" s="270" t="s">
        <v>486</v>
      </c>
      <c r="C9" s="276">
        <v>6.108910891089109</v>
      </c>
      <c r="F9" s="277">
        <v>1295.7</v>
      </c>
      <c r="G9" s="277">
        <v>3246.2359999999999</v>
      </c>
      <c r="I9" s="278">
        <v>-48.784576697401505</v>
      </c>
      <c r="J9" s="278">
        <v>-72.514619883040936</v>
      </c>
      <c r="K9" s="278">
        <v>-72.138622891016865</v>
      </c>
      <c r="L9" s="278">
        <v>-75.313131313131308</v>
      </c>
      <c r="M9" s="278">
        <v>10.090090090090095</v>
      </c>
      <c r="N9" s="278">
        <v>-43.841911764705891</v>
      </c>
      <c r="O9" s="276">
        <v>0.95</v>
      </c>
      <c r="P9" s="276">
        <v>0.98</v>
      </c>
      <c r="Q9" s="276">
        <v>0.62</v>
      </c>
      <c r="R9" s="276">
        <v>0.87</v>
      </c>
      <c r="U9" s="270" t="s">
        <v>487</v>
      </c>
    </row>
    <row r="10" spans="1:21" x14ac:dyDescent="0.2">
      <c r="A10" s="270" t="s">
        <v>488</v>
      </c>
      <c r="B10" s="270" t="s">
        <v>489</v>
      </c>
      <c r="C10" s="276">
        <v>13.097029060014073</v>
      </c>
      <c r="F10" s="277">
        <v>4403.3257497537743</v>
      </c>
      <c r="G10" s="277">
        <v>6034.3257497537743</v>
      </c>
      <c r="I10" s="278">
        <v>-22.954679223072393</v>
      </c>
      <c r="J10" s="278">
        <v>-24.07192575406032</v>
      </c>
      <c r="K10" s="278">
        <v>-24.553314121037474</v>
      </c>
      <c r="L10" s="278">
        <v>11.309523809523814</v>
      </c>
      <c r="M10" s="278">
        <v>0.46047582501917983</v>
      </c>
      <c r="N10" s="278">
        <v>-24.027858386535115</v>
      </c>
      <c r="O10" s="276">
        <v>0.28000000000000003</v>
      </c>
      <c r="P10" s="276">
        <v>0.32</v>
      </c>
      <c r="Q10" s="276">
        <v>0.32</v>
      </c>
      <c r="R10" s="276">
        <v>0.32</v>
      </c>
      <c r="U10" s="270" t="s">
        <v>490</v>
      </c>
    </row>
    <row r="11" spans="1:21" x14ac:dyDescent="0.2">
      <c r="A11" s="270" t="s">
        <v>491</v>
      </c>
      <c r="B11" s="270" t="s">
        <v>492</v>
      </c>
      <c r="C11" s="276">
        <v>24.153886079234368</v>
      </c>
      <c r="F11" s="277">
        <v>4755.9001690012474</v>
      </c>
      <c r="G11" s="277">
        <v>4282.4001690012474</v>
      </c>
      <c r="I11" s="278">
        <v>23.379275140377764</v>
      </c>
      <c r="J11" s="278">
        <v>18.364348677766884</v>
      </c>
      <c r="K11" s="278">
        <v>14.278959810874724</v>
      </c>
      <c r="L11" s="278">
        <v>59.327620303230063</v>
      </c>
      <c r="M11" s="278">
        <v>5.3159041394335693</v>
      </c>
      <c r="N11" s="278">
        <v>14.712861888941632</v>
      </c>
      <c r="O11" s="276">
        <v>0.3</v>
      </c>
      <c r="P11" s="276">
        <v>0.4</v>
      </c>
      <c r="Q11" s="276">
        <v>0.38</v>
      </c>
      <c r="R11" s="276">
        <v>0.39</v>
      </c>
      <c r="U11" s="270" t="s">
        <v>493</v>
      </c>
    </row>
    <row r="12" spans="1:21" x14ac:dyDescent="0.2">
      <c r="A12" s="270" t="s">
        <v>494</v>
      </c>
      <c r="B12" s="270" t="s">
        <v>495</v>
      </c>
      <c r="C12" s="276">
        <v>49.145161290322577</v>
      </c>
      <c r="F12" s="277">
        <v>1218.8</v>
      </c>
      <c r="G12" s="277">
        <v>2103.3089140000002</v>
      </c>
      <c r="I12" s="278">
        <v>-23.412884105443769</v>
      </c>
      <c r="J12" s="278">
        <v>-30.423692787303381</v>
      </c>
      <c r="K12" s="278">
        <v>-32.850109409190374</v>
      </c>
      <c r="L12" s="278">
        <v>-5.9747223286097277</v>
      </c>
      <c r="M12" s="278">
        <v>7.9358100681468526</v>
      </c>
      <c r="N12" s="278">
        <v>-24.693251533742338</v>
      </c>
      <c r="O12" s="276">
        <v>0</v>
      </c>
      <c r="P12" s="276">
        <v>0</v>
      </c>
      <c r="Q12" s="276">
        <v>0</v>
      </c>
      <c r="R12" s="276">
        <v>0</v>
      </c>
      <c r="U12" s="270" t="s">
        <v>496</v>
      </c>
    </row>
    <row r="13" spans="1:21" x14ac:dyDescent="0.2">
      <c r="A13" s="270" t="s">
        <v>497</v>
      </c>
      <c r="B13" s="270" t="s">
        <v>498</v>
      </c>
      <c r="C13" s="276">
        <v>127.45786516853931</v>
      </c>
      <c r="F13" s="277">
        <v>13612.5</v>
      </c>
      <c r="G13" s="277">
        <v>20509.5</v>
      </c>
      <c r="I13" s="278">
        <v>23.061323032351531</v>
      </c>
      <c r="J13" s="278">
        <v>12.263236719231797</v>
      </c>
      <c r="K13" s="278">
        <v>11.937807449051308</v>
      </c>
      <c r="L13" s="278">
        <v>3.7196809376526252</v>
      </c>
      <c r="M13" s="278">
        <v>7.1650828357581409</v>
      </c>
      <c r="N13" s="278">
        <v>30.28320212657194</v>
      </c>
      <c r="O13" s="276">
        <v>4.24</v>
      </c>
      <c r="P13" s="276">
        <v>4.32</v>
      </c>
      <c r="Q13" s="276">
        <v>4.4800000000000004</v>
      </c>
      <c r="R13" s="276">
        <v>4.42</v>
      </c>
      <c r="U13" s="270" t="s">
        <v>499</v>
      </c>
    </row>
    <row r="14" spans="1:21" x14ac:dyDescent="0.2">
      <c r="A14" s="270" t="s">
        <v>500</v>
      </c>
      <c r="B14" s="270" t="s">
        <v>501</v>
      </c>
      <c r="C14" s="276">
        <v>19.872233400402415</v>
      </c>
      <c r="F14" s="277">
        <v>5925.9</v>
      </c>
      <c r="G14" s="277">
        <v>13287.9</v>
      </c>
      <c r="I14" s="278">
        <v>-34.052439429140392</v>
      </c>
      <c r="J14" s="278">
        <v>-57.40621650589496</v>
      </c>
      <c r="K14" s="278">
        <v>-50.82900272209848</v>
      </c>
      <c r="L14" s="278">
        <v>-50.262828535669591</v>
      </c>
      <c r="M14" s="278">
        <v>0.20171457387798689</v>
      </c>
      <c r="N14" s="278">
        <v>-28.704700394689631</v>
      </c>
      <c r="O14" s="276">
        <v>1.48</v>
      </c>
      <c r="P14" s="276">
        <v>1.54</v>
      </c>
      <c r="Q14" s="276">
        <v>1.03</v>
      </c>
      <c r="R14" s="276">
        <v>1.56</v>
      </c>
      <c r="U14" s="270" t="s">
        <v>502</v>
      </c>
    </row>
    <row r="15" spans="1:21" x14ac:dyDescent="0.2">
      <c r="A15" s="270" t="s">
        <v>503</v>
      </c>
      <c r="B15" s="270" t="s">
        <v>504</v>
      </c>
      <c r="C15" s="276">
        <v>63.910365901433835</v>
      </c>
      <c r="F15" s="277">
        <v>81568.800000000003</v>
      </c>
      <c r="G15" s="277">
        <v>102128.8</v>
      </c>
      <c r="I15" s="278">
        <v>11.225200139227276</v>
      </c>
      <c r="J15" s="278">
        <v>-6.6734813084112226</v>
      </c>
      <c r="K15" s="278">
        <v>-3.4737954991693076</v>
      </c>
      <c r="L15" s="278">
        <v>5.2189660849522479</v>
      </c>
      <c r="M15" s="278">
        <v>10.532687651331706</v>
      </c>
      <c r="N15" s="278">
        <v>18.725617685305583</v>
      </c>
      <c r="O15" s="276">
        <v>1.79</v>
      </c>
      <c r="P15" s="276">
        <v>1.94</v>
      </c>
      <c r="Q15" s="276">
        <v>2.06</v>
      </c>
      <c r="R15" s="276">
        <v>2</v>
      </c>
      <c r="U15" s="270" t="s">
        <v>505</v>
      </c>
    </row>
    <row r="16" spans="1:21" x14ac:dyDescent="0.2">
      <c r="A16" s="270" t="s">
        <v>506</v>
      </c>
      <c r="B16" s="270" t="s">
        <v>507</v>
      </c>
      <c r="C16" s="276">
        <v>11.345852048271013</v>
      </c>
      <c r="F16" s="277">
        <v>19244.834244277288</v>
      </c>
      <c r="G16" s="277">
        <v>21260.23424427729</v>
      </c>
      <c r="I16" s="278">
        <v>17.027863777089781</v>
      </c>
      <c r="J16" s="278">
        <v>32.631578947368411</v>
      </c>
      <c r="K16" s="278">
        <v>26.845637583892625</v>
      </c>
      <c r="L16" s="278">
        <v>85.597381342062178</v>
      </c>
      <c r="M16" s="278">
        <v>5.5865921787709549</v>
      </c>
      <c r="N16" s="278">
        <v>4.8059149722735617</v>
      </c>
      <c r="O16" s="276">
        <v>0.23</v>
      </c>
      <c r="P16" s="276">
        <v>0.22</v>
      </c>
      <c r="Q16" s="276">
        <v>0.55000000000000004</v>
      </c>
      <c r="R16" s="276">
        <v>0.24</v>
      </c>
      <c r="U16" s="270" t="s">
        <v>508</v>
      </c>
    </row>
    <row r="17" spans="1:21" x14ac:dyDescent="0.2">
      <c r="A17" s="270" t="s">
        <v>509</v>
      </c>
      <c r="B17" s="270" t="s">
        <v>510</v>
      </c>
      <c r="C17" s="276">
        <v>131.5039994129302</v>
      </c>
      <c r="F17" s="277">
        <v>179200.5</v>
      </c>
      <c r="G17" s="277">
        <v>224447.5</v>
      </c>
      <c r="I17" s="278">
        <v>-9.9938394140598241</v>
      </c>
      <c r="J17" s="278">
        <v>-20.827312138728328</v>
      </c>
      <c r="K17" s="278">
        <v>-19.46962273395394</v>
      </c>
      <c r="L17" s="278">
        <v>-18.632425742574242</v>
      </c>
      <c r="M17" s="278">
        <v>3.7642045454545632</v>
      </c>
      <c r="N17" s="278">
        <v>-8.3821070234113666</v>
      </c>
      <c r="O17" s="276">
        <v>5.33</v>
      </c>
      <c r="P17" s="276">
        <v>5.62</v>
      </c>
      <c r="Q17" s="276">
        <v>5.85</v>
      </c>
      <c r="R17" s="276">
        <v>5.81</v>
      </c>
      <c r="U17" s="270" t="s">
        <v>511</v>
      </c>
    </row>
    <row r="18" spans="1:21" x14ac:dyDescent="0.2">
      <c r="A18" s="270" t="s">
        <v>512</v>
      </c>
      <c r="B18" s="270" t="s">
        <v>513</v>
      </c>
      <c r="C18" s="276">
        <v>3.1711672709562206</v>
      </c>
      <c r="D18" s="276">
        <v>3.7161101791222473</v>
      </c>
      <c r="E18" s="276">
        <v>2.8697440337680611</v>
      </c>
      <c r="F18" s="277">
        <v>13619.846312029871</v>
      </c>
      <c r="G18" s="277">
        <v>22883.334596027918</v>
      </c>
      <c r="H18" s="278">
        <v>1.0868</v>
      </c>
      <c r="I18" s="278">
        <v>-8.6658354114713116</v>
      </c>
      <c r="J18" s="278">
        <v>-5.4381152170404956</v>
      </c>
      <c r="K18" s="278">
        <v>-19.92347635966112</v>
      </c>
      <c r="L18" s="278">
        <v>-3.8398424680013088</v>
      </c>
      <c r="M18" s="278">
        <v>6.7395264116575593</v>
      </c>
      <c r="N18" s="278">
        <v>-0.67796610169491567</v>
      </c>
      <c r="O18" s="276">
        <v>5.0868553493154389E-2</v>
      </c>
      <c r="P18" s="276">
        <v>5.411548243952595E-2</v>
      </c>
      <c r="Q18" s="276">
        <v>5.4656637263921212E-2</v>
      </c>
      <c r="R18" s="276">
        <v>5.8174143622490397E-2</v>
      </c>
      <c r="U18" s="270" t="s">
        <v>514</v>
      </c>
    </row>
    <row r="20" spans="1:21" ht="10.5" x14ac:dyDescent="0.2">
      <c r="A20" s="273" t="s">
        <v>515</v>
      </c>
    </row>
    <row r="21" spans="1:21" ht="21" x14ac:dyDescent="0.2">
      <c r="A21" s="274" t="s">
        <v>464</v>
      </c>
      <c r="B21" s="274" t="s">
        <v>465</v>
      </c>
      <c r="C21" s="274" t="s">
        <v>516</v>
      </c>
      <c r="D21" s="274" t="s">
        <v>517</v>
      </c>
      <c r="E21" s="274" t="s">
        <v>518</v>
      </c>
      <c r="F21" s="274" t="s">
        <v>519</v>
      </c>
      <c r="G21" s="274" t="s">
        <v>520</v>
      </c>
      <c r="H21" s="274" t="s">
        <v>521</v>
      </c>
      <c r="I21" s="274" t="s">
        <v>522</v>
      </c>
      <c r="J21" s="274" t="s">
        <v>523</v>
      </c>
      <c r="K21" s="274" t="s">
        <v>524</v>
      </c>
      <c r="L21" s="274" t="s">
        <v>525</v>
      </c>
      <c r="M21" s="274" t="s">
        <v>526</v>
      </c>
      <c r="N21" s="274" t="s">
        <v>527</v>
      </c>
      <c r="O21" s="274" t="s">
        <v>528</v>
      </c>
      <c r="P21" s="274" t="s">
        <v>529</v>
      </c>
      <c r="Q21" s="274" t="s">
        <v>530</v>
      </c>
      <c r="R21" s="274" t="s">
        <v>531</v>
      </c>
      <c r="S21" s="274" t="s">
        <v>532</v>
      </c>
      <c r="T21" s="274" t="s">
        <v>533</v>
      </c>
      <c r="U21" s="274" t="s">
        <v>484</v>
      </c>
    </row>
    <row r="22" spans="1:21" x14ac:dyDescent="0.2">
      <c r="A22" s="270" t="s">
        <v>485</v>
      </c>
      <c r="B22" s="270" t="s">
        <v>486</v>
      </c>
      <c r="C22" s="277">
        <v>5103.5</v>
      </c>
      <c r="D22" s="277">
        <v>5256.5</v>
      </c>
      <c r="E22" s="277">
        <v>5075.8</v>
      </c>
      <c r="F22" s="277">
        <v>5223.8999999999996</v>
      </c>
      <c r="G22" s="277">
        <v>5062.0876712328773</v>
      </c>
      <c r="H22" s="277">
        <v>5038.1624657534248</v>
      </c>
      <c r="I22" s="277">
        <v>2526.3000000000002</v>
      </c>
      <c r="J22" s="277">
        <v>2568.9</v>
      </c>
      <c r="K22" s="277">
        <v>2424.70966</v>
      </c>
      <c r="L22" s="277">
        <v>2540.4</v>
      </c>
      <c r="M22" s="277">
        <v>2394.3783413698634</v>
      </c>
      <c r="N22" s="277">
        <v>2413.1744117534249</v>
      </c>
      <c r="O22" s="278">
        <v>6.5479844485369476</v>
      </c>
      <c r="P22" s="278">
        <v>-1.133090071058207</v>
      </c>
      <c r="Q22" s="278">
        <v>-10.916860916860903</v>
      </c>
      <c r="S22" s="278">
        <v>-10.398748582730544</v>
      </c>
      <c r="T22" s="278">
        <v>-1.0008289478642074</v>
      </c>
      <c r="U22" s="270" t="s">
        <v>534</v>
      </c>
    </row>
    <row r="23" spans="1:21" x14ac:dyDescent="0.2">
      <c r="A23" s="270" t="s">
        <v>488</v>
      </c>
      <c r="B23" s="270" t="s">
        <v>489</v>
      </c>
      <c r="C23" s="277">
        <v>6486.9</v>
      </c>
      <c r="D23" s="277">
        <v>6374.6</v>
      </c>
      <c r="E23" s="277">
        <v>6648.35</v>
      </c>
      <c r="F23" s="277">
        <v>6500.1</v>
      </c>
      <c r="G23" s="277">
        <v>6487.4487397260273</v>
      </c>
      <c r="H23" s="277">
        <v>6579.5375068493149</v>
      </c>
      <c r="I23" s="277">
        <v>2498.6</v>
      </c>
      <c r="J23" s="277">
        <v>2492.6999999999998</v>
      </c>
      <c r="K23" s="277">
        <v>2562.9389249999999</v>
      </c>
      <c r="L23" s="277">
        <v>2522.1999999999998</v>
      </c>
      <c r="M23" s="277">
        <v>2500.9114891643835</v>
      </c>
      <c r="N23" s="277">
        <v>2539.0217226986301</v>
      </c>
      <c r="P23" s="278">
        <v>0.43320661303156704</v>
      </c>
      <c r="Q23" s="278">
        <v>-2.1681338028169073</v>
      </c>
      <c r="S23" s="278">
        <v>-3.4908517264424788</v>
      </c>
      <c r="T23" s="278">
        <v>2.0722604792753119</v>
      </c>
      <c r="U23" s="270" t="s">
        <v>535</v>
      </c>
    </row>
    <row r="24" spans="1:21" x14ac:dyDescent="0.2">
      <c r="A24" s="270" t="s">
        <v>491</v>
      </c>
      <c r="B24" s="270" t="s">
        <v>492</v>
      </c>
      <c r="C24" s="277">
        <v>8224.6</v>
      </c>
      <c r="D24" s="277">
        <v>8773.2000000000007</v>
      </c>
      <c r="E24" s="277">
        <v>8564.4</v>
      </c>
      <c r="F24" s="277">
        <v>8669.9</v>
      </c>
      <c r="G24" s="277">
        <v>8746.352876712328</v>
      </c>
      <c r="H24" s="277">
        <v>8925.6652054794522</v>
      </c>
      <c r="I24" s="277">
        <v>2678.3</v>
      </c>
      <c r="J24" s="277">
        <v>2865.9</v>
      </c>
      <c r="K24" s="277">
        <v>2835.6728399999997</v>
      </c>
      <c r="L24" s="277">
        <v>2834.9</v>
      </c>
      <c r="M24" s="277">
        <v>2898.6932840547943</v>
      </c>
      <c r="N24" s="277">
        <v>2967.3423535890411</v>
      </c>
      <c r="O24" s="278">
        <v>5.8971774193548265</v>
      </c>
      <c r="P24" s="278">
        <v>12.962081548468984</v>
      </c>
      <c r="Q24" s="278">
        <v>-1.6713483146067354</v>
      </c>
      <c r="S24" s="278">
        <v>3.6884535686801945</v>
      </c>
      <c r="T24" s="278">
        <v>3.8192669774175232</v>
      </c>
      <c r="U24" s="270" t="s">
        <v>536</v>
      </c>
    </row>
    <row r="25" spans="1:21" x14ac:dyDescent="0.2">
      <c r="A25" s="270" t="s">
        <v>494</v>
      </c>
      <c r="B25" s="270" t="s">
        <v>495</v>
      </c>
      <c r="C25" s="277">
        <v>2374.1</v>
      </c>
      <c r="D25" s="277">
        <v>2513.6999999999998</v>
      </c>
      <c r="E25" s="277">
        <v>2594.6999999999998</v>
      </c>
      <c r="F25" s="277">
        <v>2567.4</v>
      </c>
      <c r="G25" s="277">
        <v>2569.3717808219176</v>
      </c>
      <c r="H25" s="277">
        <v>2599.290410958904</v>
      </c>
      <c r="I25" s="277">
        <v>507.6</v>
      </c>
      <c r="J25" s="277">
        <v>506.5</v>
      </c>
      <c r="K25" s="277">
        <v>679.03299000000004</v>
      </c>
      <c r="L25" s="277">
        <v>514.79999999999995</v>
      </c>
      <c r="M25" s="277">
        <v>676.04418912328765</v>
      </c>
      <c r="N25" s="277">
        <v>690.88321594520539</v>
      </c>
      <c r="O25" s="278">
        <v>24.441635061104083</v>
      </c>
      <c r="P25" s="278">
        <v>-2.6752455130376052</v>
      </c>
      <c r="Q25" s="278">
        <v>23.416840640222691</v>
      </c>
      <c r="S25" s="278">
        <v>43.313179775524823</v>
      </c>
      <c r="T25" s="278">
        <v>4.3364056451362432</v>
      </c>
      <c r="U25" s="270" t="s">
        <v>537</v>
      </c>
    </row>
    <row r="26" spans="1:21" x14ac:dyDescent="0.2">
      <c r="A26" s="270" t="s">
        <v>497</v>
      </c>
      <c r="B26" s="270" t="s">
        <v>498</v>
      </c>
      <c r="C26" s="277">
        <v>8178.7</v>
      </c>
      <c r="D26" s="277">
        <v>8726.1</v>
      </c>
      <c r="E26" s="277">
        <v>9050.9</v>
      </c>
      <c r="F26" s="277">
        <v>9156.9</v>
      </c>
      <c r="G26" s="277">
        <v>8979.6413698630131</v>
      </c>
      <c r="H26" s="277">
        <v>9108.0830136986297</v>
      </c>
      <c r="I26" s="277">
        <v>3118.3</v>
      </c>
      <c r="J26" s="277">
        <v>3393.8</v>
      </c>
      <c r="L26" s="277">
        <v>3475.1</v>
      </c>
      <c r="M26" s="277">
        <v>3457.1683692876713</v>
      </c>
      <c r="N26" s="277">
        <v>3508.5717846575344</v>
      </c>
      <c r="O26" s="278">
        <v>16.875584658559404</v>
      </c>
      <c r="P26" s="278">
        <v>15.052558561442829</v>
      </c>
      <c r="Q26" s="278">
        <v>-6.0986921435859269</v>
      </c>
      <c r="S26" s="278">
        <v>-3.7685240707785561</v>
      </c>
      <c r="U26" s="270" t="s">
        <v>538</v>
      </c>
    </row>
    <row r="27" spans="1:21" x14ac:dyDescent="0.2">
      <c r="A27" s="270" t="s">
        <v>500</v>
      </c>
      <c r="B27" s="270" t="s">
        <v>501</v>
      </c>
      <c r="C27" s="277">
        <v>9636</v>
      </c>
      <c r="D27" s="277">
        <v>10253</v>
      </c>
      <c r="E27" s="277">
        <v>9744</v>
      </c>
      <c r="F27" s="277">
        <v>9744</v>
      </c>
      <c r="G27" s="277">
        <v>9491.0109589041094</v>
      </c>
      <c r="H27" s="277">
        <v>9487.17808219178</v>
      </c>
      <c r="I27" s="277">
        <v>3017</v>
      </c>
      <c r="J27" s="277">
        <v>3151</v>
      </c>
      <c r="L27" s="277">
        <v>2781</v>
      </c>
      <c r="M27" s="277">
        <v>2646.0614389041093</v>
      </c>
      <c r="N27" s="277">
        <v>2704.5670361643838</v>
      </c>
      <c r="O27" s="278">
        <v>-0.23500447627574639</v>
      </c>
      <c r="P27" s="278">
        <v>5.8889512058328597</v>
      </c>
      <c r="Q27" s="278">
        <v>-15.572033898305085</v>
      </c>
      <c r="S27" s="278">
        <v>-8.8924403855910725</v>
      </c>
      <c r="U27" s="270" t="s">
        <v>539</v>
      </c>
    </row>
    <row r="28" spans="1:21" x14ac:dyDescent="0.2">
      <c r="A28" s="270" t="s">
        <v>503</v>
      </c>
      <c r="B28" s="270" t="s">
        <v>504</v>
      </c>
      <c r="C28" s="277">
        <v>36441</v>
      </c>
      <c r="D28" s="277">
        <v>38537</v>
      </c>
      <c r="E28" s="277">
        <v>40101.199999999997</v>
      </c>
      <c r="F28" s="277">
        <v>39675</v>
      </c>
      <c r="G28" s="277">
        <v>40994.157808219177</v>
      </c>
      <c r="H28" s="277">
        <v>42355.863287671229</v>
      </c>
      <c r="I28" s="277">
        <v>14257</v>
      </c>
      <c r="J28" s="277">
        <v>10935</v>
      </c>
      <c r="K28" s="277">
        <v>13269.487080000001</v>
      </c>
      <c r="L28" s="277">
        <v>12357</v>
      </c>
      <c r="M28" s="277">
        <v>14137.573184547946</v>
      </c>
      <c r="N28" s="277">
        <v>14882.185052958905</v>
      </c>
      <c r="O28" s="278">
        <v>11.928967043137485</v>
      </c>
      <c r="P28" s="278">
        <v>-35.529715762273909</v>
      </c>
      <c r="Q28" s="278">
        <v>34.973947895791582</v>
      </c>
      <c r="S28" s="278">
        <v>17.65187454938717</v>
      </c>
      <c r="T28" s="278">
        <v>6.3640532126019167</v>
      </c>
      <c r="U28" s="270" t="s">
        <v>540</v>
      </c>
    </row>
    <row r="29" spans="1:21" x14ac:dyDescent="0.2">
      <c r="A29" s="270" t="s">
        <v>506</v>
      </c>
      <c r="B29" s="270" t="s">
        <v>507</v>
      </c>
      <c r="C29" s="277">
        <v>13149.5</v>
      </c>
      <c r="D29" s="277">
        <v>13058.3</v>
      </c>
      <c r="E29" s="277">
        <v>14453.8</v>
      </c>
      <c r="F29" s="277">
        <v>13945.2</v>
      </c>
      <c r="G29" s="277">
        <v>14591.724383561645</v>
      </c>
      <c r="H29" s="277">
        <v>15424.900273972602</v>
      </c>
      <c r="I29" s="277">
        <v>6131.3</v>
      </c>
      <c r="J29" s="277">
        <v>6074.7</v>
      </c>
      <c r="K29" s="277">
        <v>6855.4373399999995</v>
      </c>
      <c r="L29" s="277">
        <v>6537.9</v>
      </c>
      <c r="M29" s="277">
        <v>6933.5516983561638</v>
      </c>
      <c r="N29" s="277">
        <v>7337.9331369863012</v>
      </c>
      <c r="O29" s="278">
        <v>10.567514677103729</v>
      </c>
      <c r="P29" s="278">
        <v>-2.247018083878416</v>
      </c>
      <c r="Q29" s="278">
        <v>15.334960245611274</v>
      </c>
      <c r="S29" s="278">
        <v>10.463466102595495</v>
      </c>
      <c r="T29" s="278">
        <v>6.5505124515342183</v>
      </c>
      <c r="U29" s="270" t="s">
        <v>541</v>
      </c>
    </row>
    <row r="30" spans="1:21" x14ac:dyDescent="0.2">
      <c r="A30" s="270" t="s">
        <v>509</v>
      </c>
      <c r="B30" s="270" t="s">
        <v>510</v>
      </c>
      <c r="C30" s="277">
        <v>91854</v>
      </c>
      <c r="D30" s="277">
        <v>93925</v>
      </c>
      <c r="E30" s="277">
        <v>99300.5</v>
      </c>
      <c r="F30" s="277">
        <v>98241</v>
      </c>
      <c r="G30" s="277">
        <v>101251.48301369864</v>
      </c>
      <c r="H30" s="277">
        <v>104438.71753424656</v>
      </c>
      <c r="I30" s="277">
        <v>50419</v>
      </c>
      <c r="J30" s="277">
        <v>51152</v>
      </c>
      <c r="K30" s="277">
        <v>53711.640449999999</v>
      </c>
      <c r="L30" s="277">
        <v>53371</v>
      </c>
      <c r="M30" s="277">
        <v>54694.654319589048</v>
      </c>
      <c r="N30" s="277">
        <v>56454.98561161643</v>
      </c>
      <c r="O30" s="278">
        <v>6.0086627413001192</v>
      </c>
      <c r="P30" s="278">
        <v>1.8607779396928592</v>
      </c>
      <c r="Q30" s="278">
        <v>4.8228238142401292</v>
      </c>
      <c r="S30" s="278">
        <v>1.5799877526200712</v>
      </c>
      <c r="T30" s="278">
        <v>4.6432110261303228</v>
      </c>
      <c r="U30" s="270" t="s">
        <v>542</v>
      </c>
    </row>
    <row r="31" spans="1:21" x14ac:dyDescent="0.2">
      <c r="A31" s="270" t="s">
        <v>512</v>
      </c>
      <c r="B31" s="270" t="s">
        <v>513</v>
      </c>
      <c r="C31" s="277">
        <v>22097.245521943827</v>
      </c>
      <c r="D31" s="277">
        <v>23105.308728827316</v>
      </c>
      <c r="E31" s="277">
        <v>23068.062803181991</v>
      </c>
      <c r="F31" s="277">
        <v>22805.508956112342</v>
      </c>
      <c r="G31" s="277">
        <v>23879.916395286167</v>
      </c>
      <c r="H31" s="277">
        <v>25085.161257412525</v>
      </c>
      <c r="I31" s="277">
        <v>11630.932409762434</v>
      </c>
      <c r="J31" s="277">
        <v>12134.947778559446</v>
      </c>
      <c r="K31" s="277">
        <v>12064.59684606418</v>
      </c>
      <c r="L31" s="277">
        <v>11986.052437902485</v>
      </c>
      <c r="M31" s="277">
        <v>12432.155021471444</v>
      </c>
      <c r="N31" s="277">
        <v>13054.28469901077</v>
      </c>
      <c r="O31" s="278">
        <v>0.96647373593972119</v>
      </c>
      <c r="P31" s="278">
        <v>7.1800695834009387</v>
      </c>
      <c r="Q31" s="278">
        <v>4.4753863865715671</v>
      </c>
      <c r="S31" s="278">
        <v>5.5595134522890888</v>
      </c>
      <c r="T31" s="278">
        <v>5.9500620641091739</v>
      </c>
      <c r="U31" s="270" t="s">
        <v>543</v>
      </c>
    </row>
    <row r="33" spans="1:21" ht="10.5" x14ac:dyDescent="0.2">
      <c r="A33" s="273" t="s">
        <v>544</v>
      </c>
    </row>
    <row r="34" spans="1:21" ht="21" x14ac:dyDescent="0.2">
      <c r="A34" s="274" t="s">
        <v>464</v>
      </c>
      <c r="B34" s="274" t="s">
        <v>465</v>
      </c>
      <c r="C34" s="274" t="s">
        <v>545</v>
      </c>
      <c r="D34" s="274" t="s">
        <v>546</v>
      </c>
      <c r="E34" s="274" t="s">
        <v>547</v>
      </c>
      <c r="F34" s="274" t="s">
        <v>548</v>
      </c>
      <c r="G34" s="274" t="s">
        <v>549</v>
      </c>
      <c r="H34" s="274" t="s">
        <v>550</v>
      </c>
      <c r="I34" s="274" t="s">
        <v>551</v>
      </c>
      <c r="J34" s="274" t="s">
        <v>552</v>
      </c>
      <c r="K34" s="274" t="s">
        <v>553</v>
      </c>
      <c r="L34" s="274" t="s">
        <v>554</v>
      </c>
      <c r="M34" s="274" t="s">
        <v>555</v>
      </c>
      <c r="N34" s="274" t="s">
        <v>556</v>
      </c>
      <c r="O34" s="274" t="s">
        <v>557</v>
      </c>
      <c r="P34" s="274" t="s">
        <v>558</v>
      </c>
      <c r="Q34" s="274" t="s">
        <v>559</v>
      </c>
      <c r="R34" s="274" t="s">
        <v>560</v>
      </c>
      <c r="S34" s="274" t="s">
        <v>561</v>
      </c>
      <c r="T34" s="274" t="s">
        <v>562</v>
      </c>
      <c r="U34" s="274" t="s">
        <v>484</v>
      </c>
    </row>
    <row r="35" spans="1:21" x14ac:dyDescent="0.2">
      <c r="A35" s="270" t="s">
        <v>485</v>
      </c>
      <c r="B35" s="270" t="s">
        <v>486</v>
      </c>
      <c r="C35" s="278">
        <v>12.117002392529134</v>
      </c>
      <c r="D35" s="278">
        <v>17.064135216485298</v>
      </c>
      <c r="E35" s="278">
        <v>17.038666357953229</v>
      </c>
      <c r="F35" s="278">
        <v>23.03774021764297</v>
      </c>
      <c r="G35" s="278">
        <v>14.567093896460474</v>
      </c>
      <c r="H35" s="278">
        <v>13.709012212153793</v>
      </c>
      <c r="I35" s="276">
        <v>0.25388458900754385</v>
      </c>
      <c r="J35" s="276">
        <v>0.24649481594216685</v>
      </c>
      <c r="K35" s="276">
        <v>0.2552701052050908</v>
      </c>
      <c r="L35" s="276">
        <v>0.24803307873427904</v>
      </c>
      <c r="M35" s="276">
        <v>0.25596158821256265</v>
      </c>
      <c r="N35" s="276">
        <v>0.25717709756432722</v>
      </c>
      <c r="O35" s="276">
        <v>8.2528662420382162</v>
      </c>
      <c r="P35" s="276">
        <v>5.8602442333785625</v>
      </c>
      <c r="Q35" s="276">
        <v>5.8690039407528198</v>
      </c>
      <c r="R35" s="276">
        <v>4.34070351758794</v>
      </c>
      <c r="S35" s="276">
        <v>6.8647872191101964</v>
      </c>
      <c r="T35" s="276">
        <v>7.2944715820841202</v>
      </c>
      <c r="U35" s="270" t="s">
        <v>563</v>
      </c>
    </row>
    <row r="36" spans="1:21" x14ac:dyDescent="0.2">
      <c r="A36" s="270" t="s">
        <v>488</v>
      </c>
      <c r="B36" s="270" t="s">
        <v>489</v>
      </c>
      <c r="E36" s="278">
        <v>3.9749500706321199</v>
      </c>
      <c r="G36" s="278">
        <v>10.393968726830073</v>
      </c>
      <c r="H36" s="278">
        <v>12.068771316730531</v>
      </c>
      <c r="I36" s="276">
        <v>0.6788027794098529</v>
      </c>
      <c r="J36" s="276">
        <v>0.69076110654061029</v>
      </c>
      <c r="K36" s="276">
        <v>0.66231858276922451</v>
      </c>
      <c r="L36" s="276">
        <v>0.67742430881890647</v>
      </c>
      <c r="M36" s="276">
        <v>0.67874536299453392</v>
      </c>
      <c r="N36" s="276">
        <v>0.66924548194609446</v>
      </c>
      <c r="Q36" s="276">
        <v>25.157548704529361</v>
      </c>
      <c r="S36" s="276">
        <v>9.6209641021786858</v>
      </c>
      <c r="T36" s="276">
        <v>8.2858476124552425</v>
      </c>
      <c r="U36" s="270" t="s">
        <v>564</v>
      </c>
    </row>
    <row r="37" spans="1:21" x14ac:dyDescent="0.2">
      <c r="A37" s="270" t="s">
        <v>491</v>
      </c>
      <c r="B37" s="270" t="s">
        <v>492</v>
      </c>
      <c r="C37" s="278">
        <v>3.8709811698730743</v>
      </c>
      <c r="D37" s="278">
        <v>3.5513781618227171</v>
      </c>
      <c r="E37" s="278">
        <v>3.877289123979331</v>
      </c>
      <c r="F37" s="278">
        <v>2.3844066521651635</v>
      </c>
      <c r="G37" s="278">
        <v>4.6072835937006946</v>
      </c>
      <c r="H37" s="278">
        <v>5.3950785093768898</v>
      </c>
      <c r="I37" s="276">
        <v>0.57825306628908968</v>
      </c>
      <c r="J37" s="276">
        <v>0.54209412403698165</v>
      </c>
      <c r="K37" s="276">
        <v>0.55531037422367568</v>
      </c>
      <c r="L37" s="276">
        <v>0.54855305932032061</v>
      </c>
      <c r="M37" s="276">
        <v>0.5437580939209653</v>
      </c>
      <c r="N37" s="276">
        <v>0.53283425487229874</v>
      </c>
      <c r="O37" s="276">
        <v>25.833243720810689</v>
      </c>
      <c r="P37" s="276">
        <v>28.158082705750427</v>
      </c>
      <c r="Q37" s="276">
        <v>25.791215667034962</v>
      </c>
      <c r="R37" s="276">
        <v>41.939154929464259</v>
      </c>
      <c r="S37" s="276">
        <v>21.704763330984218</v>
      </c>
      <c r="T37" s="276">
        <v>18.535411454383009</v>
      </c>
      <c r="U37" s="270" t="s">
        <v>565</v>
      </c>
    </row>
    <row r="38" spans="1:21" x14ac:dyDescent="0.2">
      <c r="A38" s="270" t="s">
        <v>494</v>
      </c>
      <c r="B38" s="270" t="s">
        <v>495</v>
      </c>
      <c r="C38" s="278">
        <v>13.25894322284214</v>
      </c>
      <c r="D38" s="278">
        <v>12.709222185756484</v>
      </c>
      <c r="E38" s="278">
        <v>11.438299967180834</v>
      </c>
      <c r="F38" s="278">
        <v>11.33081719724319</v>
      </c>
      <c r="G38" s="278">
        <v>14.033046203092194</v>
      </c>
      <c r="H38" s="278">
        <v>16.114141014516861</v>
      </c>
      <c r="I38" s="276">
        <v>0.51337348890105727</v>
      </c>
      <c r="J38" s="276">
        <v>0.48486295102836457</v>
      </c>
      <c r="K38" s="276">
        <v>0.46972675068408681</v>
      </c>
      <c r="L38" s="276">
        <v>0.47472150814053127</v>
      </c>
      <c r="M38" s="276">
        <v>0.47435719855618458</v>
      </c>
      <c r="N38" s="276">
        <v>0.46889720165988402</v>
      </c>
      <c r="O38" s="276">
        <v>7.5420792079207919</v>
      </c>
      <c r="P38" s="276">
        <v>7.8683021304067138</v>
      </c>
      <c r="Q38" s="276">
        <v>8.742557922674127</v>
      </c>
      <c r="R38" s="276">
        <v>8.8254887762490952</v>
      </c>
      <c r="S38" s="276">
        <v>7.1260365392344323</v>
      </c>
      <c r="T38" s="276">
        <v>6.2057294838063219</v>
      </c>
      <c r="U38" s="270" t="s">
        <v>566</v>
      </c>
    </row>
    <row r="39" spans="1:21" x14ac:dyDescent="0.2">
      <c r="A39" s="270" t="s">
        <v>497</v>
      </c>
      <c r="B39" s="270" t="s">
        <v>498</v>
      </c>
      <c r="C39" s="278">
        <v>4.3379247015610654</v>
      </c>
      <c r="D39" s="278">
        <v>4.4099173553719009</v>
      </c>
      <c r="F39" s="278">
        <v>10.75702479338843</v>
      </c>
      <c r="G39" s="278">
        <v>8.9778470130948342</v>
      </c>
      <c r="H39" s="278">
        <v>9.4103266286778116</v>
      </c>
      <c r="I39" s="276">
        <v>1.6643843153557412</v>
      </c>
      <c r="J39" s="276">
        <v>1.5599752466737715</v>
      </c>
      <c r="K39" s="276">
        <v>1.5039940779370009</v>
      </c>
      <c r="L39" s="276">
        <v>1.4865838875602009</v>
      </c>
      <c r="M39" s="276">
        <v>1.5159291378479252</v>
      </c>
      <c r="N39" s="276">
        <v>1.4945515954923436</v>
      </c>
      <c r="O39" s="276">
        <v>23.052497883149872</v>
      </c>
      <c r="P39" s="276">
        <v>22.676161919040482</v>
      </c>
      <c r="R39" s="276">
        <v>9.2962507682851871</v>
      </c>
      <c r="S39" s="276">
        <v>11.138527962677779</v>
      </c>
      <c r="T39" s="276">
        <v>10.626623702438945</v>
      </c>
      <c r="U39" s="270" t="s">
        <v>567</v>
      </c>
    </row>
    <row r="40" spans="1:21" x14ac:dyDescent="0.2">
      <c r="A40" s="270" t="s">
        <v>500</v>
      </c>
      <c r="B40" s="270" t="s">
        <v>501</v>
      </c>
      <c r="C40" s="278">
        <v>9.7335425842488057</v>
      </c>
      <c r="D40" s="278">
        <v>12.109552979294286</v>
      </c>
      <c r="F40" s="278">
        <v>10.707234344150256</v>
      </c>
      <c r="G40" s="278">
        <v>12.757708383467328</v>
      </c>
      <c r="H40" s="278">
        <v>11.792472653711696</v>
      </c>
      <c r="I40" s="276">
        <v>0.61497509339975087</v>
      </c>
      <c r="J40" s="276">
        <v>0.57796742416853597</v>
      </c>
      <c r="K40" s="276">
        <v>0.60815886699507382</v>
      </c>
      <c r="L40" s="276">
        <v>0.60815886699507382</v>
      </c>
      <c r="M40" s="276">
        <v>0.62436973528521145</v>
      </c>
      <c r="N40" s="276">
        <v>0.62462198439422201</v>
      </c>
      <c r="O40" s="276">
        <v>10.27375173370319</v>
      </c>
      <c r="P40" s="276">
        <v>8.2579431438127084</v>
      </c>
      <c r="R40" s="276">
        <v>9.3394799054373525</v>
      </c>
      <c r="S40" s="276">
        <v>7.8383983231337737</v>
      </c>
      <c r="T40" s="276">
        <v>8.4799857448492677</v>
      </c>
      <c r="U40" s="270" t="s">
        <v>568</v>
      </c>
    </row>
    <row r="41" spans="1:21" x14ac:dyDescent="0.2">
      <c r="A41" s="270" t="s">
        <v>503</v>
      </c>
      <c r="B41" s="270" t="s">
        <v>504</v>
      </c>
      <c r="C41" s="278">
        <v>3.368689989309638</v>
      </c>
      <c r="D41" s="278">
        <v>4.3987406949716066</v>
      </c>
      <c r="E41" s="278">
        <v>4.0162047253361575</v>
      </c>
      <c r="F41" s="278">
        <v>2.761349927913614</v>
      </c>
      <c r="G41" s="278">
        <v>4.9722479505661106</v>
      </c>
      <c r="H41" s="278">
        <v>5.7849915889139982</v>
      </c>
      <c r="I41" s="276">
        <v>2.2383798468757719</v>
      </c>
      <c r="J41" s="276">
        <v>2.1166359602459974</v>
      </c>
      <c r="K41" s="276">
        <v>2.0340737933029436</v>
      </c>
      <c r="L41" s="276">
        <v>2.0559243856332703</v>
      </c>
      <c r="M41" s="276">
        <v>1.9897664535907544</v>
      </c>
      <c r="N41" s="276">
        <v>1.9257971309899544</v>
      </c>
      <c r="O41" s="276">
        <v>29.685129922119511</v>
      </c>
      <c r="P41" s="276">
        <v>22.733779264214046</v>
      </c>
      <c r="Q41" s="276">
        <v>24.899129112903967</v>
      </c>
      <c r="R41" s="276">
        <v>36.2141715503463</v>
      </c>
      <c r="S41" s="276">
        <v>20.111627777656299</v>
      </c>
      <c r="T41" s="276">
        <v>17.286109834910363</v>
      </c>
      <c r="U41" s="270" t="s">
        <v>569</v>
      </c>
    </row>
    <row r="42" spans="1:21" x14ac:dyDescent="0.2">
      <c r="A42" s="270" t="s">
        <v>506</v>
      </c>
      <c r="B42" s="270" t="s">
        <v>507</v>
      </c>
      <c r="C42" s="278">
        <v>4.4905556942221088</v>
      </c>
      <c r="D42" s="278">
        <v>2.7493092083000668</v>
      </c>
      <c r="E42" s="278">
        <v>6.3849861443488098</v>
      </c>
      <c r="F42" s="278">
        <v>3.967818014473504</v>
      </c>
      <c r="G42" s="278">
        <v>6.9947813792788169</v>
      </c>
      <c r="H42" s="278">
        <v>7.8987716264760186</v>
      </c>
      <c r="I42" s="276">
        <v>1.4635411418135509</v>
      </c>
      <c r="J42" s="276">
        <v>1.4737626064860885</v>
      </c>
      <c r="K42" s="276">
        <v>1.3314722940871804</v>
      </c>
      <c r="L42" s="276">
        <v>1.3800328603589254</v>
      </c>
      <c r="M42" s="276">
        <v>1.3188869072909315</v>
      </c>
      <c r="N42" s="276">
        <v>1.2476472393633753</v>
      </c>
      <c r="O42" s="276">
        <v>22.268958857066984</v>
      </c>
      <c r="P42" s="276">
        <v>36.372773094457166</v>
      </c>
      <c r="Q42" s="276">
        <v>15.661741112548452</v>
      </c>
      <c r="R42" s="276">
        <v>25.202768785067164</v>
      </c>
      <c r="S42" s="276">
        <v>14.29637247795017</v>
      </c>
      <c r="T42" s="276">
        <v>12.660196386082159</v>
      </c>
      <c r="U42" s="270" t="s">
        <v>570</v>
      </c>
    </row>
    <row r="43" spans="1:21" x14ac:dyDescent="0.2">
      <c r="A43" s="270" t="s">
        <v>509</v>
      </c>
      <c r="B43" s="270" t="s">
        <v>510</v>
      </c>
      <c r="C43" s="278">
        <v>4.0183481630910629</v>
      </c>
      <c r="D43" s="278">
        <v>4.5941836099787663</v>
      </c>
      <c r="E43" s="278">
        <v>5.8559434823005514</v>
      </c>
      <c r="F43" s="278">
        <v>5.047028328603993</v>
      </c>
      <c r="G43" s="278">
        <v>6.4665459860469285</v>
      </c>
      <c r="H43" s="278">
        <v>7.0468695717084016</v>
      </c>
      <c r="I43" s="276">
        <v>1.9509275589522503</v>
      </c>
      <c r="J43" s="276">
        <v>1.9079105669417089</v>
      </c>
      <c r="K43" s="276">
        <v>1.804628375486528</v>
      </c>
      <c r="L43" s="276">
        <v>1.8240907564051669</v>
      </c>
      <c r="M43" s="276">
        <v>1.7698555583206159</v>
      </c>
      <c r="N43" s="276">
        <v>1.715843551422759</v>
      </c>
      <c r="O43" s="276">
        <v>24.885847602383041</v>
      </c>
      <c r="P43" s="276">
        <v>21.766652900592753</v>
      </c>
      <c r="Q43" s="276">
        <v>17.076667543368135</v>
      </c>
      <c r="R43" s="276">
        <v>19.813639529869643</v>
      </c>
      <c r="S43" s="276">
        <v>15.464206118037849</v>
      </c>
      <c r="T43" s="276">
        <v>14.19069829268269</v>
      </c>
      <c r="U43" s="270" t="s">
        <v>571</v>
      </c>
    </row>
    <row r="44" spans="1:21" x14ac:dyDescent="0.2">
      <c r="A44" s="270" t="s">
        <v>512</v>
      </c>
      <c r="B44" s="270" t="s">
        <v>513</v>
      </c>
      <c r="D44" s="278">
        <v>6.5005268173848867</v>
      </c>
      <c r="E44" s="278">
        <v>7.546585862571983</v>
      </c>
      <c r="F44" s="278">
        <v>10.10538547902318</v>
      </c>
      <c r="G44" s="278">
        <v>8.4325601302450792</v>
      </c>
      <c r="H44" s="278">
        <v>10.141565357353706</v>
      </c>
      <c r="I44" s="276">
        <v>0.6163594597573071</v>
      </c>
      <c r="J44" s="276">
        <v>0.58946826774216965</v>
      </c>
      <c r="K44" s="276">
        <v>0.59042002912143798</v>
      </c>
      <c r="L44" s="276">
        <v>0.5972173801619749</v>
      </c>
      <c r="M44" s="276">
        <v>0.57034731975520625</v>
      </c>
      <c r="N44" s="276">
        <v>0.54294433957466715</v>
      </c>
      <c r="P44" s="276">
        <v>15.383368580614402</v>
      </c>
      <c r="Q44" s="276">
        <v>13.251025274350829</v>
      </c>
      <c r="R44" s="276">
        <v>9.8957135487389962</v>
      </c>
      <c r="S44" s="276">
        <v>11.858794773526702</v>
      </c>
      <c r="T44" s="276">
        <v>9.8604107429519683</v>
      </c>
      <c r="U44" s="270" t="s">
        <v>572</v>
      </c>
    </row>
    <row r="46" spans="1:21" ht="10.5" x14ac:dyDescent="0.2">
      <c r="A46" s="273" t="s">
        <v>573</v>
      </c>
    </row>
    <row r="47" spans="1:21" ht="10.5" x14ac:dyDescent="0.2">
      <c r="A47" s="274" t="s">
        <v>574</v>
      </c>
      <c r="B47" s="274" t="s">
        <v>575</v>
      </c>
      <c r="C47" s="274" t="s">
        <v>576</v>
      </c>
      <c r="D47" s="274" t="s">
        <v>450</v>
      </c>
      <c r="E47" s="274" t="s">
        <v>577</v>
      </c>
      <c r="F47" s="274" t="s">
        <v>578</v>
      </c>
      <c r="G47" s="274" t="s">
        <v>579</v>
      </c>
      <c r="H47" s="274" t="s">
        <v>580</v>
      </c>
      <c r="I47" s="274" t="s">
        <v>484</v>
      </c>
    </row>
    <row r="48" spans="1:21" x14ac:dyDescent="0.2">
      <c r="A48" s="270" t="s">
        <v>149</v>
      </c>
      <c r="B48" s="277">
        <v>399879</v>
      </c>
      <c r="C48" s="277">
        <v>408335</v>
      </c>
      <c r="D48" s="277">
        <v>426963</v>
      </c>
      <c r="E48" s="277">
        <v>426274.7</v>
      </c>
      <c r="F48" s="277">
        <v>445288</v>
      </c>
      <c r="G48" s="277">
        <v>468430.9</v>
      </c>
      <c r="H48" s="277">
        <v>477018</v>
      </c>
      <c r="I48" s="270" t="s">
        <v>581</v>
      </c>
    </row>
    <row r="49" spans="1:9" x14ac:dyDescent="0.2">
      <c r="A49" s="270" t="s">
        <v>38</v>
      </c>
      <c r="B49" s="277">
        <v>206159.5</v>
      </c>
      <c r="C49" s="277">
        <v>214928</v>
      </c>
      <c r="D49" s="277">
        <v>224241.7</v>
      </c>
      <c r="E49" s="277">
        <v>222941.66810000001</v>
      </c>
      <c r="F49" s="277">
        <v>231549.76</v>
      </c>
      <c r="G49" s="277">
        <v>243818.28344999999</v>
      </c>
      <c r="H49" s="277">
        <v>248526.378</v>
      </c>
      <c r="I49" s="270" t="s">
        <v>582</v>
      </c>
    </row>
    <row r="50" spans="1:9" x14ac:dyDescent="0.2">
      <c r="A50" s="270" t="s">
        <v>36</v>
      </c>
      <c r="B50" s="277">
        <v>165748</v>
      </c>
      <c r="C50" s="277">
        <v>175164</v>
      </c>
      <c r="D50" s="277">
        <v>184186</v>
      </c>
      <c r="E50" s="277">
        <v>177262</v>
      </c>
      <c r="F50" s="277">
        <v>189938</v>
      </c>
      <c r="G50" s="277">
        <v>197030</v>
      </c>
      <c r="H50" s="277">
        <v>216662</v>
      </c>
      <c r="I50" s="270" t="s">
        <v>581</v>
      </c>
    </row>
    <row r="51" spans="1:9" x14ac:dyDescent="0.2">
      <c r="A51" s="270" t="s">
        <v>34</v>
      </c>
      <c r="B51" s="277">
        <v>168704.7</v>
      </c>
      <c r="C51" s="277">
        <v>181779</v>
      </c>
      <c r="D51" s="277">
        <v>187970.1</v>
      </c>
      <c r="E51" s="277">
        <v>185495.66810000001</v>
      </c>
      <c r="F51" s="277">
        <v>192770.76</v>
      </c>
      <c r="G51" s="277">
        <v>201892.28344999999</v>
      </c>
      <c r="H51" s="277">
        <v>208504.378</v>
      </c>
      <c r="I51" s="270" t="s">
        <v>583</v>
      </c>
    </row>
    <row r="52" spans="1:9" x14ac:dyDescent="0.2">
      <c r="A52" s="270" t="s">
        <v>584</v>
      </c>
      <c r="B52" s="277">
        <v>35455</v>
      </c>
      <c r="C52" s="277">
        <v>33149</v>
      </c>
      <c r="D52" s="277">
        <v>34146</v>
      </c>
      <c r="E52" s="277">
        <v>37446</v>
      </c>
      <c r="F52" s="277">
        <v>38779</v>
      </c>
      <c r="G52" s="277">
        <v>41926</v>
      </c>
      <c r="H52" s="277">
        <v>40022</v>
      </c>
      <c r="I52" s="270" t="s">
        <v>581</v>
      </c>
    </row>
    <row r="53" spans="1:9" x14ac:dyDescent="0.2">
      <c r="A53" s="270" t="s">
        <v>585</v>
      </c>
      <c r="B53" s="277">
        <v>54942</v>
      </c>
      <c r="C53" s="277">
        <v>55473</v>
      </c>
      <c r="D53" s="277">
        <v>59456</v>
      </c>
      <c r="E53" s="277">
        <v>62117</v>
      </c>
      <c r="F53" s="277">
        <v>64891</v>
      </c>
      <c r="G53" s="277">
        <v>68999</v>
      </c>
      <c r="H53" s="277">
        <v>70667.5</v>
      </c>
      <c r="I53" s="270" t="s">
        <v>581</v>
      </c>
    </row>
    <row r="54" spans="1:9" x14ac:dyDescent="0.2">
      <c r="A54" s="270" t="s">
        <v>586</v>
      </c>
      <c r="B54" s="277">
        <v>25324</v>
      </c>
      <c r="C54" s="277">
        <v>21034</v>
      </c>
      <c r="D54" s="277">
        <v>20143</v>
      </c>
      <c r="E54" s="277">
        <v>23597</v>
      </c>
      <c r="F54" s="277">
        <v>25677</v>
      </c>
      <c r="G54" s="277">
        <v>30308</v>
      </c>
      <c r="I54" s="270" t="s">
        <v>587</v>
      </c>
    </row>
    <row r="55" spans="1:9" x14ac:dyDescent="0.2">
      <c r="A55" s="270" t="s">
        <v>588</v>
      </c>
      <c r="B55" s="277">
        <v>15477</v>
      </c>
      <c r="C55" s="277">
        <v>12544</v>
      </c>
      <c r="D55" s="277">
        <v>11133</v>
      </c>
      <c r="E55" s="277">
        <v>13688</v>
      </c>
      <c r="F55" s="277">
        <v>15011</v>
      </c>
      <c r="G55" s="277">
        <v>17371</v>
      </c>
      <c r="H55" s="277">
        <v>16735</v>
      </c>
      <c r="I55" s="270" t="s">
        <v>581</v>
      </c>
    </row>
    <row r="56" spans="1:9" x14ac:dyDescent="0.2">
      <c r="A56" s="270" t="s">
        <v>589</v>
      </c>
      <c r="B56" s="276">
        <v>3.5</v>
      </c>
      <c r="C56" s="276">
        <v>2.88</v>
      </c>
      <c r="D56" s="276">
        <v>2.58</v>
      </c>
      <c r="E56" s="276">
        <v>3.07</v>
      </c>
      <c r="F56" s="276">
        <v>3.35</v>
      </c>
      <c r="G56" s="276">
        <v>3.8</v>
      </c>
      <c r="H56" s="276">
        <v>4.0199999999999996</v>
      </c>
      <c r="I56" s="270" t="s">
        <v>581</v>
      </c>
    </row>
    <row r="57" spans="1:9" x14ac:dyDescent="0.2">
      <c r="A57" s="270" t="s">
        <v>22</v>
      </c>
      <c r="B57" s="276">
        <v>0.78</v>
      </c>
      <c r="C57" s="276">
        <v>0.94</v>
      </c>
      <c r="D57" s="276">
        <v>1</v>
      </c>
      <c r="E57" s="276">
        <v>1.01</v>
      </c>
      <c r="F57" s="276">
        <v>1.05</v>
      </c>
      <c r="G57" s="276">
        <v>1.24</v>
      </c>
      <c r="H57" s="276">
        <v>1.24</v>
      </c>
      <c r="I57" s="270" t="s">
        <v>581</v>
      </c>
    </row>
    <row r="58" spans="1:9" x14ac:dyDescent="0.2">
      <c r="A58" s="270" t="s">
        <v>590</v>
      </c>
      <c r="B58" s="277">
        <v>6353</v>
      </c>
      <c r="C58" s="277">
        <v>8057</v>
      </c>
      <c r="D58" s="277">
        <v>8535</v>
      </c>
      <c r="I58" s="270" t="s">
        <v>587</v>
      </c>
    </row>
    <row r="59" spans="1:9" x14ac:dyDescent="0.2">
      <c r="A59" s="270" t="s">
        <v>591</v>
      </c>
      <c r="B59" s="277">
        <v>58914</v>
      </c>
      <c r="C59" s="277">
        <v>67180</v>
      </c>
      <c r="D59" s="277">
        <v>64671</v>
      </c>
      <c r="I59" s="270" t="s">
        <v>587</v>
      </c>
    </row>
    <row r="60" spans="1:9" x14ac:dyDescent="0.2">
      <c r="A60" s="270" t="s">
        <v>592</v>
      </c>
      <c r="B60" s="277">
        <v>289188</v>
      </c>
      <c r="C60" s="277">
        <v>349624</v>
      </c>
      <c r="D60" s="277">
        <v>345134</v>
      </c>
      <c r="I60" s="270" t="s">
        <v>587</v>
      </c>
    </row>
    <row r="61" spans="1:9" x14ac:dyDescent="0.2">
      <c r="A61" s="270" t="s">
        <v>14</v>
      </c>
      <c r="B61" s="277">
        <v>87192</v>
      </c>
      <c r="C61" s="277">
        <v>85155</v>
      </c>
      <c r="D61" s="277">
        <v>90573</v>
      </c>
      <c r="I61" s="270" t="s">
        <v>587</v>
      </c>
    </row>
    <row r="62" spans="1:9" x14ac:dyDescent="0.2">
      <c r="A62" s="270" t="s">
        <v>12</v>
      </c>
      <c r="B62" s="277">
        <v>149282</v>
      </c>
      <c r="C62" s="277">
        <v>203951</v>
      </c>
      <c r="D62" s="277">
        <v>198977</v>
      </c>
      <c r="I62" s="270" t="s">
        <v>587</v>
      </c>
    </row>
    <row r="63" spans="1:9" x14ac:dyDescent="0.2">
      <c r="A63" s="270" t="s">
        <v>593</v>
      </c>
      <c r="B63" s="277">
        <v>133186</v>
      </c>
      <c r="C63" s="277">
        <v>179338</v>
      </c>
      <c r="D63" s="277">
        <v>182232</v>
      </c>
      <c r="E63" s="277">
        <v>146911.02387999999</v>
      </c>
      <c r="F63" s="277">
        <v>133766.75873999999</v>
      </c>
      <c r="G63" s="277">
        <v>119433.53672</v>
      </c>
      <c r="H63" s="277">
        <v>109707</v>
      </c>
      <c r="I63" s="270" t="s">
        <v>594</v>
      </c>
    </row>
    <row r="64" spans="1:9" x14ac:dyDescent="0.2">
      <c r="A64" s="270" t="s">
        <v>9</v>
      </c>
      <c r="B64" s="277">
        <v>-34754</v>
      </c>
      <c r="C64" s="277">
        <v>-29402</v>
      </c>
      <c r="D64" s="277">
        <v>-22530</v>
      </c>
      <c r="E64" s="277">
        <v>-21978.799999999999</v>
      </c>
      <c r="F64" s="277">
        <v>-22341.3</v>
      </c>
      <c r="G64" s="277">
        <v>-22933.5</v>
      </c>
      <c r="H64" s="277">
        <v>-19308</v>
      </c>
      <c r="I64" s="270" t="s">
        <v>581</v>
      </c>
    </row>
    <row r="65" spans="1:9" x14ac:dyDescent="0.2">
      <c r="A65" s="270" t="s">
        <v>595</v>
      </c>
      <c r="B65" s="277">
        <v>11165</v>
      </c>
      <c r="C65" s="277">
        <v>1017</v>
      </c>
      <c r="D65" s="277">
        <v>-696</v>
      </c>
      <c r="I65" s="270" t="s">
        <v>587</v>
      </c>
    </row>
    <row r="66" spans="1:9" x14ac:dyDescent="0.2">
      <c r="A66" s="270" t="s">
        <v>596</v>
      </c>
      <c r="B66" s="277">
        <v>31411</v>
      </c>
      <c r="C66" s="277">
        <v>39907</v>
      </c>
      <c r="D66" s="277">
        <v>47753</v>
      </c>
      <c r="E66" s="277">
        <v>35594.5</v>
      </c>
      <c r="F66" s="277">
        <v>38165</v>
      </c>
      <c r="G66" s="277">
        <v>43566</v>
      </c>
      <c r="I66" s="270" t="s">
        <v>581</v>
      </c>
    </row>
    <row r="67" spans="1:9" x14ac:dyDescent="0.2">
      <c r="A67" s="270" t="s">
        <v>597</v>
      </c>
      <c r="B67" s="277">
        <v>-42440</v>
      </c>
      <c r="C67" s="277">
        <v>-36138</v>
      </c>
      <c r="D67" s="277">
        <v>-34652</v>
      </c>
      <c r="I67" s="270" t="s">
        <v>587</v>
      </c>
    </row>
    <row r="68" spans="1:9" x14ac:dyDescent="0.2">
      <c r="A68" s="270" t="s">
        <v>598</v>
      </c>
      <c r="B68" s="277">
        <v>5904</v>
      </c>
      <c r="D68" s="277">
        <v>-11908</v>
      </c>
      <c r="I68" s="270" t="s">
        <v>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1D87-DD10-44E8-A234-BB23EB84402A}">
  <sheetPr>
    <tabColor rgb="FF00B050"/>
  </sheetPr>
  <dimension ref="A1:AJ73"/>
  <sheetViews>
    <sheetView showGridLines="0" tabSelected="1" topLeftCell="A61" workbookViewId="0">
      <selection activeCell="B66" sqref="B66:D66"/>
    </sheetView>
  </sheetViews>
  <sheetFormatPr baseColWidth="10" defaultRowHeight="10" x14ac:dyDescent="0.2"/>
  <cols>
    <col min="1" max="1" width="34.77734375" style="270" customWidth="1"/>
    <col min="2" max="2" width="30.77734375" style="270" customWidth="1"/>
    <col min="3" max="3" width="40.77734375" style="270" customWidth="1"/>
    <col min="4" max="5" width="46.77734375" style="270" customWidth="1"/>
    <col min="6" max="6" width="22.77734375" style="270" customWidth="1"/>
    <col min="7" max="8" width="16.77734375" style="270" customWidth="1"/>
    <col min="9" max="29" width="12.77734375" style="270" customWidth="1"/>
    <col min="30" max="16384" width="11.5546875" style="270"/>
  </cols>
  <sheetData>
    <row r="1" spans="1:8" ht="18" x14ac:dyDescent="0.2">
      <c r="A1" s="269" t="s">
        <v>599</v>
      </c>
    </row>
    <row r="2" spans="1:8" x14ac:dyDescent="0.2">
      <c r="A2" s="271" t="s">
        <v>600</v>
      </c>
    </row>
    <row r="4" spans="1:8" ht="10.5" x14ac:dyDescent="0.2">
      <c r="A4" s="279" t="s">
        <v>601</v>
      </c>
    </row>
    <row r="5" spans="1:8" ht="21" x14ac:dyDescent="0.2">
      <c r="A5" s="274" t="s">
        <v>464</v>
      </c>
      <c r="B5" s="274" t="s">
        <v>465</v>
      </c>
      <c r="C5" s="274" t="s">
        <v>602</v>
      </c>
      <c r="D5" s="274" t="s">
        <v>603</v>
      </c>
      <c r="E5" s="274" t="s">
        <v>604</v>
      </c>
      <c r="F5" s="274" t="s">
        <v>605</v>
      </c>
      <c r="G5" s="274" t="s">
        <v>606</v>
      </c>
      <c r="H5" s="274" t="s">
        <v>607</v>
      </c>
    </row>
    <row r="6" spans="1:8" ht="30" x14ac:dyDescent="0.2">
      <c r="A6" s="270" t="s">
        <v>485</v>
      </c>
      <c r="B6" s="270" t="s">
        <v>486</v>
      </c>
      <c r="C6" s="270" t="s">
        <v>608</v>
      </c>
      <c r="D6" s="280" t="s">
        <v>609</v>
      </c>
      <c r="E6" s="280" t="s">
        <v>610</v>
      </c>
      <c r="F6" s="270" t="s">
        <v>611</v>
      </c>
      <c r="G6" s="270" t="s">
        <v>612</v>
      </c>
      <c r="H6" s="270" t="s">
        <v>613</v>
      </c>
    </row>
    <row r="7" spans="1:8" ht="20" x14ac:dyDescent="0.2">
      <c r="A7" s="270" t="s">
        <v>488</v>
      </c>
      <c r="B7" s="270" t="s">
        <v>489</v>
      </c>
      <c r="C7" s="270" t="s">
        <v>608</v>
      </c>
      <c r="D7" s="280" t="s">
        <v>614</v>
      </c>
      <c r="E7" s="280" t="s">
        <v>615</v>
      </c>
      <c r="F7" s="270" t="s">
        <v>616</v>
      </c>
      <c r="G7" s="270" t="s">
        <v>612</v>
      </c>
      <c r="H7" s="270" t="s">
        <v>617</v>
      </c>
    </row>
    <row r="8" spans="1:8" ht="20" x14ac:dyDescent="0.2">
      <c r="A8" s="270" t="s">
        <v>491</v>
      </c>
      <c r="B8" s="270" t="s">
        <v>492</v>
      </c>
      <c r="C8" s="270" t="s">
        <v>608</v>
      </c>
      <c r="D8" s="280" t="s">
        <v>618</v>
      </c>
      <c r="E8" s="280" t="s">
        <v>619</v>
      </c>
      <c r="F8" s="270" t="s">
        <v>620</v>
      </c>
      <c r="G8" s="270" t="s">
        <v>621</v>
      </c>
      <c r="H8" s="270" t="s">
        <v>622</v>
      </c>
    </row>
    <row r="9" spans="1:8" ht="20" x14ac:dyDescent="0.2">
      <c r="A9" s="270" t="s">
        <v>494</v>
      </c>
      <c r="B9" s="270" t="s">
        <v>495</v>
      </c>
      <c r="C9" s="270" t="s">
        <v>608</v>
      </c>
      <c r="D9" s="280" t="s">
        <v>623</v>
      </c>
      <c r="E9" s="280" t="s">
        <v>624</v>
      </c>
      <c r="F9" s="270" t="s">
        <v>616</v>
      </c>
      <c r="G9" s="270" t="s">
        <v>621</v>
      </c>
      <c r="H9" s="270" t="s">
        <v>622</v>
      </c>
    </row>
    <row r="10" spans="1:8" ht="20" x14ac:dyDescent="0.2">
      <c r="A10" s="270" t="s">
        <v>497</v>
      </c>
      <c r="B10" s="270" t="s">
        <v>498</v>
      </c>
      <c r="C10" s="270" t="s">
        <v>625</v>
      </c>
      <c r="D10" s="280" t="s">
        <v>626</v>
      </c>
      <c r="E10" s="280" t="s">
        <v>627</v>
      </c>
      <c r="F10" s="270" t="s">
        <v>628</v>
      </c>
      <c r="G10" s="270" t="s">
        <v>629</v>
      </c>
      <c r="H10" s="270" t="s">
        <v>630</v>
      </c>
    </row>
    <row r="11" spans="1:8" x14ac:dyDescent="0.2">
      <c r="A11" s="270" t="s">
        <v>500</v>
      </c>
      <c r="B11" s="270" t="s">
        <v>501</v>
      </c>
      <c r="C11" s="270" t="s">
        <v>625</v>
      </c>
      <c r="D11" s="280" t="s">
        <v>631</v>
      </c>
      <c r="E11" s="280" t="s">
        <v>632</v>
      </c>
      <c r="F11" s="270" t="s">
        <v>628</v>
      </c>
      <c r="G11" s="270" t="s">
        <v>612</v>
      </c>
      <c r="H11" s="270" t="s">
        <v>630</v>
      </c>
    </row>
    <row r="12" spans="1:8" ht="20" x14ac:dyDescent="0.2">
      <c r="A12" s="270" t="s">
        <v>503</v>
      </c>
      <c r="B12" s="270" t="s">
        <v>504</v>
      </c>
      <c r="C12" s="270" t="s">
        <v>625</v>
      </c>
      <c r="D12" s="280" t="s">
        <v>633</v>
      </c>
      <c r="E12" s="280" t="s">
        <v>634</v>
      </c>
      <c r="F12" s="270" t="s">
        <v>628</v>
      </c>
      <c r="G12" s="270" t="s">
        <v>612</v>
      </c>
      <c r="H12" s="270" t="s">
        <v>635</v>
      </c>
    </row>
    <row r="13" spans="1:8" ht="20" x14ac:dyDescent="0.2">
      <c r="A13" s="270" t="s">
        <v>506</v>
      </c>
      <c r="B13" s="270" t="s">
        <v>507</v>
      </c>
      <c r="C13" s="270" t="s">
        <v>625</v>
      </c>
      <c r="D13" s="280" t="s">
        <v>636</v>
      </c>
      <c r="E13" s="280" t="s">
        <v>637</v>
      </c>
      <c r="F13" s="270" t="s">
        <v>616</v>
      </c>
      <c r="G13" s="270" t="s">
        <v>621</v>
      </c>
      <c r="H13" s="270" t="s">
        <v>638</v>
      </c>
    </row>
    <row r="14" spans="1:8" ht="20" x14ac:dyDescent="0.2">
      <c r="A14" s="270" t="s">
        <v>509</v>
      </c>
      <c r="B14" s="270" t="s">
        <v>510</v>
      </c>
      <c r="C14" s="270" t="s">
        <v>625</v>
      </c>
      <c r="D14" s="280" t="s">
        <v>639</v>
      </c>
      <c r="E14" s="280" t="s">
        <v>640</v>
      </c>
      <c r="F14" s="270" t="s">
        <v>628</v>
      </c>
      <c r="G14" s="270" t="s">
        <v>612</v>
      </c>
      <c r="H14" s="270" t="s">
        <v>635</v>
      </c>
    </row>
    <row r="15" spans="1:8" ht="30" customHeight="1" x14ac:dyDescent="0.2">
      <c r="A15" s="330" t="s">
        <v>641</v>
      </c>
      <c r="B15" s="330"/>
      <c r="C15" s="330"/>
      <c r="D15" s="330"/>
      <c r="E15" s="330"/>
      <c r="F15" s="330"/>
      <c r="G15" s="330"/>
      <c r="H15" s="330"/>
    </row>
    <row r="17" spans="1:36" ht="10.5" x14ac:dyDescent="0.2">
      <c r="A17" s="279" t="s">
        <v>642</v>
      </c>
    </row>
    <row r="18" spans="1:36" ht="52.5" x14ac:dyDescent="0.2">
      <c r="A18" s="274" t="s">
        <v>464</v>
      </c>
      <c r="B18" s="274" t="s">
        <v>602</v>
      </c>
      <c r="C18" s="274" t="s">
        <v>643</v>
      </c>
      <c r="D18" s="274" t="s">
        <v>644</v>
      </c>
      <c r="E18" s="274" t="s">
        <v>645</v>
      </c>
      <c r="F18" s="274" t="s">
        <v>646</v>
      </c>
      <c r="G18" s="274" t="s">
        <v>647</v>
      </c>
      <c r="H18" s="274" t="s">
        <v>648</v>
      </c>
      <c r="I18" s="274" t="s">
        <v>519</v>
      </c>
      <c r="J18" s="274" t="s">
        <v>649</v>
      </c>
      <c r="K18" s="274" t="s">
        <v>650</v>
      </c>
      <c r="L18" s="274" t="s">
        <v>651</v>
      </c>
      <c r="M18" s="274" t="s">
        <v>652</v>
      </c>
      <c r="N18" s="274" t="s">
        <v>525</v>
      </c>
      <c r="O18" s="274" t="s">
        <v>653</v>
      </c>
      <c r="P18" s="274" t="s">
        <v>654</v>
      </c>
      <c r="Q18" s="274" t="s">
        <v>655</v>
      </c>
      <c r="R18" s="274" t="s">
        <v>656</v>
      </c>
      <c r="S18" s="274" t="s">
        <v>657</v>
      </c>
      <c r="T18" s="274" t="s">
        <v>658</v>
      </c>
      <c r="U18" s="274" t="s">
        <v>659</v>
      </c>
      <c r="V18" s="274" t="s">
        <v>660</v>
      </c>
      <c r="W18" s="274" t="s">
        <v>661</v>
      </c>
      <c r="X18" s="274" t="s">
        <v>662</v>
      </c>
      <c r="Y18" s="274" t="s">
        <v>663</v>
      </c>
      <c r="Z18" s="274" t="s">
        <v>664</v>
      </c>
      <c r="AA18" s="274" t="s">
        <v>665</v>
      </c>
      <c r="AD18" s="274" t="s">
        <v>678</v>
      </c>
      <c r="AE18" s="274" t="s">
        <v>679</v>
      </c>
      <c r="AF18" s="274" t="s">
        <v>680</v>
      </c>
      <c r="AG18" s="274" t="s">
        <v>681</v>
      </c>
      <c r="AH18" s="274" t="s">
        <v>682</v>
      </c>
      <c r="AI18" s="274" t="s">
        <v>683</v>
      </c>
      <c r="AJ18" s="274" t="s">
        <v>684</v>
      </c>
    </row>
    <row r="19" spans="1:36" ht="10.5" x14ac:dyDescent="0.2">
      <c r="A19" s="270" t="s">
        <v>485</v>
      </c>
      <c r="B19" s="270" t="s">
        <v>666</v>
      </c>
      <c r="C19" s="277">
        <v>1295.7</v>
      </c>
      <c r="D19" s="277">
        <v>1686.2</v>
      </c>
      <c r="E19" s="277">
        <v>317.10199999999998</v>
      </c>
      <c r="F19" s="277">
        <v>0</v>
      </c>
      <c r="G19" s="277">
        <v>52.765999999999998</v>
      </c>
      <c r="H19" s="281">
        <f>C19+D19+E19+F19-G19</f>
        <v>3246.2359999999999</v>
      </c>
      <c r="I19" s="277">
        <v>5223.8999999999996</v>
      </c>
      <c r="J19" s="277">
        <v>5103.5</v>
      </c>
      <c r="K19" s="277">
        <v>5256.5</v>
      </c>
      <c r="L19" s="277">
        <v>578.70899999999995</v>
      </c>
      <c r="M19" s="277">
        <v>528.07749315068497</v>
      </c>
      <c r="N19" s="277">
        <v>2540.4</v>
      </c>
      <c r="O19" s="282">
        <v>2.3604207423868991E-2</v>
      </c>
      <c r="P19" s="283">
        <v>23.45</v>
      </c>
      <c r="Q19" s="283">
        <v>8.93</v>
      </c>
      <c r="R19" s="284" t="s">
        <v>667</v>
      </c>
      <c r="S19" s="284" t="s">
        <v>667</v>
      </c>
      <c r="T19" s="285">
        <f t="shared" ref="T19:T28" si="0">IFERROR(H19/L19,"")</f>
        <v>5.6094444703642079</v>
      </c>
      <c r="U19" s="286">
        <f t="shared" ref="U19:U28" si="1">IFERROR(H19/M19,"")</f>
        <v>6.147272023717357</v>
      </c>
      <c r="V19" s="286">
        <f t="shared" ref="V19:V28" si="2">IFERROR(H19/I19,"")</f>
        <v>0.62142001186852736</v>
      </c>
      <c r="W19" s="286">
        <f t="shared" ref="W19:W28" si="3">IFERROR((H19-C19)/L19,"")</f>
        <v>3.3704953612264541</v>
      </c>
      <c r="X19" s="287">
        <f t="shared" ref="X19:X28" si="4">IFERROR(L19/I19,"")</f>
        <v>0.11078102567047608</v>
      </c>
      <c r="Y19" s="287">
        <f t="shared" ref="Y19:Y28" si="5">IFERROR(N19/I19,"")</f>
        <v>0.48630333658760699</v>
      </c>
      <c r="Z19" s="287">
        <f t="shared" ref="Z19:Z28" si="6">IFERROR(K19/J19-1,"")</f>
        <v>2.9979425884197219E-2</v>
      </c>
      <c r="AA19" s="270" t="str">
        <f>IF(ABS(T19-5.6094444703642)&lt;0.0001,"OK","REVISAR")</f>
        <v>OK</v>
      </c>
      <c r="AD19" s="288">
        <f t="shared" ref="AD19:AD27" si="7">IF($R19="yes",T19,"")</f>
        <v>5.6094444703642079</v>
      </c>
      <c r="AE19" s="288">
        <f t="shared" ref="AE19:AE27" si="8">IF($R19="yes",U19,"")</f>
        <v>6.147272023717357</v>
      </c>
      <c r="AF19" s="288">
        <f t="shared" ref="AF19:AF27" si="9">IF($R19="yes",V19,"")</f>
        <v>0.62142001186852736</v>
      </c>
      <c r="AG19" s="288">
        <f t="shared" ref="AG19:AG27" si="10">IF($R19="yes",W19,"")</f>
        <v>3.3704953612264541</v>
      </c>
      <c r="AH19" s="288">
        <f t="shared" ref="AH19:AH27" si="11">IF($R19="yes",X19,"")</f>
        <v>0.11078102567047608</v>
      </c>
      <c r="AI19" s="288">
        <f t="shared" ref="AI19:AI27" si="12">IF($S19="yes",P19,"")</f>
        <v>23.45</v>
      </c>
      <c r="AJ19" s="288">
        <f t="shared" ref="AJ19:AJ27" si="13">IF($S19="yes",Q19,"")</f>
        <v>8.93</v>
      </c>
    </row>
    <row r="20" spans="1:36" ht="10.5" x14ac:dyDescent="0.2">
      <c r="A20" s="270" t="s">
        <v>488</v>
      </c>
      <c r="B20" s="270" t="s">
        <v>666</v>
      </c>
      <c r="C20" s="277">
        <v>4403.3257497537743</v>
      </c>
      <c r="D20" s="277">
        <v>1698.6</v>
      </c>
      <c r="E20" s="277">
        <v>413.2</v>
      </c>
      <c r="F20" s="277">
        <v>2.8</v>
      </c>
      <c r="G20" s="277">
        <v>483.6</v>
      </c>
      <c r="H20" s="281">
        <f>C20+D20+E20+F20-G20</f>
        <v>6034.3257497537743</v>
      </c>
      <c r="I20" s="277">
        <v>6500.1</v>
      </c>
      <c r="J20" s="277">
        <v>6486.9</v>
      </c>
      <c r="K20" s="277">
        <v>6374.6</v>
      </c>
      <c r="L20" s="277">
        <v>1108.9000000000001</v>
      </c>
      <c r="M20" s="277">
        <v>1070.1899452054795</v>
      </c>
      <c r="N20" s="277">
        <v>2522.1999999999998</v>
      </c>
      <c r="O20" s="282">
        <v>3.3059330510577807E-2</v>
      </c>
      <c r="P20" s="283">
        <v>9.3550207571529072</v>
      </c>
      <c r="Q20" s="283">
        <v>9.7392543535676328</v>
      </c>
      <c r="R20" s="284" t="s">
        <v>667</v>
      </c>
      <c r="S20" s="284" t="s">
        <v>667</v>
      </c>
      <c r="T20" s="285">
        <f t="shared" si="0"/>
        <v>5.4417222019602978</v>
      </c>
      <c r="U20" s="286">
        <f t="shared" si="1"/>
        <v>5.638555825335442</v>
      </c>
      <c r="V20" s="286">
        <f t="shared" si="2"/>
        <v>0.92834352544634302</v>
      </c>
      <c r="W20" s="286">
        <f t="shared" si="3"/>
        <v>1.4708269456217873</v>
      </c>
      <c r="X20" s="287">
        <f t="shared" si="4"/>
        <v>0.17059737542499345</v>
      </c>
      <c r="Y20" s="287">
        <f t="shared" si="5"/>
        <v>0.38802479961846736</v>
      </c>
      <c r="Z20" s="287">
        <f t="shared" si="6"/>
        <v>-1.7311813038585311E-2</v>
      </c>
      <c r="AA20" s="270" t="str">
        <f>IF(ABS(T20-5.44172220196029)&lt;0.0001,"OK","REVISAR")</f>
        <v>OK</v>
      </c>
      <c r="AD20" s="288">
        <f t="shared" si="7"/>
        <v>5.4417222019602978</v>
      </c>
      <c r="AE20" s="288">
        <f t="shared" si="8"/>
        <v>5.638555825335442</v>
      </c>
      <c r="AF20" s="288">
        <f t="shared" si="9"/>
        <v>0.92834352544634302</v>
      </c>
      <c r="AG20" s="288">
        <f t="shared" si="10"/>
        <v>1.4708269456217873</v>
      </c>
      <c r="AH20" s="288">
        <f t="shared" si="11"/>
        <v>0.17059737542499345</v>
      </c>
      <c r="AI20" s="288">
        <f t="shared" si="12"/>
        <v>9.3550207571529072</v>
      </c>
      <c r="AJ20" s="288">
        <f t="shared" si="13"/>
        <v>9.7392543535676328</v>
      </c>
    </row>
    <row r="21" spans="1:36" ht="10.5" x14ac:dyDescent="0.2">
      <c r="A21" s="270" t="s">
        <v>491</v>
      </c>
      <c r="B21" s="270" t="s">
        <v>666</v>
      </c>
      <c r="C21" s="277">
        <v>4755.9001690012474</v>
      </c>
      <c r="D21" s="270" t="s">
        <v>668</v>
      </c>
      <c r="H21" s="277">
        <v>4282.4001690012474</v>
      </c>
      <c r="I21" s="277">
        <v>8669.9</v>
      </c>
      <c r="J21" s="277">
        <v>8224.6</v>
      </c>
      <c r="K21" s="277">
        <v>8773.2000000000007</v>
      </c>
      <c r="L21" s="277">
        <v>706.7</v>
      </c>
      <c r="M21" s="277">
        <v>732.76630136986296</v>
      </c>
      <c r="N21" s="277">
        <v>2834.9</v>
      </c>
      <c r="O21" s="282">
        <v>4.4692991827827419E-2</v>
      </c>
      <c r="P21" s="283">
        <v>17.739999999999998</v>
      </c>
      <c r="Q21" s="283">
        <v>16.84</v>
      </c>
      <c r="R21" s="284" t="s">
        <v>669</v>
      </c>
      <c r="S21" s="284" t="s">
        <v>669</v>
      </c>
      <c r="T21" s="285">
        <f t="shared" si="0"/>
        <v>6.059714403567634</v>
      </c>
      <c r="U21" s="286">
        <f t="shared" si="1"/>
        <v>5.8441554435507683</v>
      </c>
      <c r="V21" s="286">
        <f t="shared" si="2"/>
        <v>0.49393881924834743</v>
      </c>
      <c r="W21" s="286">
        <f t="shared" si="3"/>
        <v>-0.67001556530352335</v>
      </c>
      <c r="X21" s="287">
        <f t="shared" si="4"/>
        <v>8.1511897484400062E-2</v>
      </c>
      <c r="Y21" s="287">
        <f t="shared" si="5"/>
        <v>0.32698185676882091</v>
      </c>
      <c r="Z21" s="287">
        <f t="shared" si="6"/>
        <v>6.6702332028305333E-2</v>
      </c>
      <c r="AA21" s="270" t="str">
        <f>IF(ABS(T21-6.05971440356763)&lt;0.0001,"OK","REVISAR")</f>
        <v>OK</v>
      </c>
      <c r="AD21" s="288" t="str">
        <f t="shared" si="7"/>
        <v/>
      </c>
      <c r="AE21" s="288" t="str">
        <f t="shared" si="8"/>
        <v/>
      </c>
      <c r="AF21" s="288" t="str">
        <f t="shared" si="9"/>
        <v/>
      </c>
      <c r="AG21" s="288" t="str">
        <f t="shared" si="10"/>
        <v/>
      </c>
      <c r="AH21" s="288" t="str">
        <f t="shared" si="11"/>
        <v/>
      </c>
      <c r="AI21" s="288" t="str">
        <f t="shared" si="12"/>
        <v/>
      </c>
      <c r="AJ21" s="288" t="str">
        <f t="shared" si="13"/>
        <v/>
      </c>
    </row>
    <row r="22" spans="1:36" ht="10.5" x14ac:dyDescent="0.2">
      <c r="A22" s="270" t="s">
        <v>494</v>
      </c>
      <c r="B22" s="270" t="s">
        <v>666</v>
      </c>
      <c r="C22" s="277">
        <v>1218.8</v>
      </c>
      <c r="D22" s="277">
        <v>791.16031380000004</v>
      </c>
      <c r="E22" s="277">
        <v>195.7486002</v>
      </c>
      <c r="F22" s="277">
        <v>-17.399999999999999</v>
      </c>
      <c r="G22" s="277">
        <v>85</v>
      </c>
      <c r="H22" s="281">
        <f>C22+D22+E22+F22-G22</f>
        <v>2103.3089139999997</v>
      </c>
      <c r="I22" s="277">
        <v>2567.4</v>
      </c>
      <c r="J22" s="277">
        <v>2374.1</v>
      </c>
      <c r="K22" s="277">
        <v>2513.6999999999998</v>
      </c>
      <c r="L22" s="277">
        <v>252.4</v>
      </c>
      <c r="M22" s="277">
        <v>361.72246575342467</v>
      </c>
      <c r="N22" s="277">
        <v>514.79999999999995</v>
      </c>
      <c r="O22" s="282">
        <v>4.1981246603692873E-2</v>
      </c>
      <c r="P22" s="283">
        <v>10.210000000000001</v>
      </c>
      <c r="Q22" s="283">
        <v>9.01</v>
      </c>
      <c r="R22" s="284" t="s">
        <v>669</v>
      </c>
      <c r="S22" s="284" t="s">
        <v>669</v>
      </c>
      <c r="T22" s="285">
        <f t="shared" si="0"/>
        <v>8.3332365847860519</v>
      </c>
      <c r="U22" s="286">
        <f t="shared" si="1"/>
        <v>5.8147035728595364</v>
      </c>
      <c r="V22" s="286">
        <f t="shared" si="2"/>
        <v>0.81923693775804307</v>
      </c>
      <c r="W22" s="286">
        <f t="shared" si="3"/>
        <v>3.5043934786053872</v>
      </c>
      <c r="X22" s="287">
        <f t="shared" si="4"/>
        <v>9.8309573887980062E-2</v>
      </c>
      <c r="Y22" s="287">
        <f t="shared" si="5"/>
        <v>0.2005141388174807</v>
      </c>
      <c r="Z22" s="287">
        <f t="shared" si="6"/>
        <v>5.8801229939766664E-2</v>
      </c>
      <c r="AA22" s="270" t="str">
        <f>IF(ABS(T22-8.33323658478605)&lt;0.0001,"OK","REVISAR")</f>
        <v>OK</v>
      </c>
      <c r="AD22" s="288" t="str">
        <f t="shared" si="7"/>
        <v/>
      </c>
      <c r="AE22" s="288" t="str">
        <f t="shared" si="8"/>
        <v/>
      </c>
      <c r="AF22" s="288" t="str">
        <f t="shared" si="9"/>
        <v/>
      </c>
      <c r="AG22" s="288" t="str">
        <f t="shared" si="10"/>
        <v/>
      </c>
      <c r="AH22" s="288" t="str">
        <f t="shared" si="11"/>
        <v/>
      </c>
      <c r="AI22" s="288" t="str">
        <f t="shared" si="12"/>
        <v/>
      </c>
      <c r="AJ22" s="288" t="str">
        <f t="shared" si="13"/>
        <v/>
      </c>
    </row>
    <row r="23" spans="1:36" ht="10.5" x14ac:dyDescent="0.2">
      <c r="A23" s="270" t="s">
        <v>497</v>
      </c>
      <c r="B23" s="270" t="s">
        <v>670</v>
      </c>
      <c r="C23" s="277">
        <v>13612.5</v>
      </c>
      <c r="D23" s="277">
        <v>6747.4000000000005</v>
      </c>
      <c r="E23" s="277">
        <v>192.8</v>
      </c>
      <c r="F23" s="277">
        <v>0</v>
      </c>
      <c r="G23" s="277">
        <v>43.2</v>
      </c>
      <c r="H23" s="281">
        <f>C23+D23+E23+F23-G23</f>
        <v>20509.5</v>
      </c>
      <c r="I23" s="277">
        <v>9156.9</v>
      </c>
      <c r="J23" s="277">
        <v>8178.7</v>
      </c>
      <c r="K23" s="277">
        <v>8726.1</v>
      </c>
      <c r="L23" s="277">
        <v>2310.8000000000002</v>
      </c>
      <c r="M23" s="277">
        <v>2225.4843835616443</v>
      </c>
      <c r="N23" s="277">
        <v>3475.1</v>
      </c>
      <c r="O23" s="282">
        <v>3.6560758045046438E-2</v>
      </c>
      <c r="P23" s="283">
        <v>58.63</v>
      </c>
      <c r="Q23" s="283">
        <v>12.6</v>
      </c>
      <c r="R23" s="284" t="s">
        <v>667</v>
      </c>
      <c r="S23" s="284" t="s">
        <v>669</v>
      </c>
      <c r="T23" s="285">
        <f t="shared" si="0"/>
        <v>8.8754976631469606</v>
      </c>
      <c r="U23" s="286">
        <f t="shared" si="1"/>
        <v>9.2157465365705189</v>
      </c>
      <c r="V23" s="286">
        <f t="shared" si="2"/>
        <v>2.2397863905907021</v>
      </c>
      <c r="W23" s="286">
        <f t="shared" si="3"/>
        <v>2.984680630084819</v>
      </c>
      <c r="X23" s="287">
        <f t="shared" si="4"/>
        <v>0.25235614673088058</v>
      </c>
      <c r="Y23" s="287">
        <f t="shared" si="5"/>
        <v>0.3795061647500792</v>
      </c>
      <c r="Z23" s="287">
        <f t="shared" si="6"/>
        <v>6.692995219289144E-2</v>
      </c>
      <c r="AA23" s="270" t="str">
        <f>IF(ABS(T23-8.87549766314696)&lt;0.0001,"OK","REVISAR")</f>
        <v>OK</v>
      </c>
      <c r="AD23" s="288">
        <f t="shared" si="7"/>
        <v>8.8754976631469606</v>
      </c>
      <c r="AE23" s="288">
        <f t="shared" si="8"/>
        <v>9.2157465365705189</v>
      </c>
      <c r="AF23" s="288">
        <f t="shared" si="9"/>
        <v>2.2397863905907021</v>
      </c>
      <c r="AG23" s="288">
        <f t="shared" si="10"/>
        <v>2.984680630084819</v>
      </c>
      <c r="AH23" s="288">
        <f t="shared" si="11"/>
        <v>0.25235614673088058</v>
      </c>
      <c r="AI23" s="288" t="str">
        <f t="shared" si="12"/>
        <v/>
      </c>
      <c r="AJ23" s="288" t="str">
        <f t="shared" si="13"/>
        <v/>
      </c>
    </row>
    <row r="24" spans="1:36" ht="10.5" x14ac:dyDescent="0.2">
      <c r="A24" s="270" t="s">
        <v>500</v>
      </c>
      <c r="B24" s="270" t="s">
        <v>670</v>
      </c>
      <c r="C24" s="277">
        <v>5925.9</v>
      </c>
      <c r="D24" s="277">
        <v>7137</v>
      </c>
      <c r="E24" s="277">
        <v>313</v>
      </c>
      <c r="F24" s="277">
        <v>306</v>
      </c>
      <c r="G24" s="277">
        <v>394</v>
      </c>
      <c r="H24" s="281">
        <f>C24+D24+E24+F24-G24</f>
        <v>13287.9</v>
      </c>
      <c r="I24" s="277">
        <v>9744</v>
      </c>
      <c r="J24" s="277">
        <v>9636</v>
      </c>
      <c r="K24" s="277">
        <v>10253</v>
      </c>
      <c r="L24" s="277">
        <v>1734</v>
      </c>
      <c r="M24" s="277">
        <v>1589.9424657534246</v>
      </c>
      <c r="N24" s="277">
        <v>2781</v>
      </c>
      <c r="O24" s="282">
        <v>3.4197646305609612E-2</v>
      </c>
      <c r="P24" s="283">
        <v>15.11</v>
      </c>
      <c r="Q24" s="283">
        <v>11.72</v>
      </c>
      <c r="R24" s="284" t="s">
        <v>667</v>
      </c>
      <c r="S24" s="284" t="s">
        <v>667</v>
      </c>
      <c r="T24" s="285">
        <f t="shared" si="0"/>
        <v>7.6631487889273355</v>
      </c>
      <c r="U24" s="286">
        <f t="shared" si="1"/>
        <v>8.3574722269609136</v>
      </c>
      <c r="V24" s="286">
        <f t="shared" si="2"/>
        <v>1.3637007389162561</v>
      </c>
      <c r="W24" s="286">
        <f t="shared" si="3"/>
        <v>4.2456747404844295</v>
      </c>
      <c r="X24" s="287">
        <f t="shared" si="4"/>
        <v>0.17795566502463053</v>
      </c>
      <c r="Y24" s="287">
        <f t="shared" si="5"/>
        <v>0.28540640394088668</v>
      </c>
      <c r="Z24" s="287">
        <f t="shared" si="6"/>
        <v>6.4030718140307252E-2</v>
      </c>
      <c r="AA24" s="270" t="str">
        <f>IF(ABS(T24-7.66314878892733)&lt;0.0001,"OK","REVISAR")</f>
        <v>OK</v>
      </c>
      <c r="AD24" s="288">
        <f t="shared" si="7"/>
        <v>7.6631487889273355</v>
      </c>
      <c r="AE24" s="288">
        <f t="shared" si="8"/>
        <v>8.3574722269609136</v>
      </c>
      <c r="AF24" s="288">
        <f t="shared" si="9"/>
        <v>1.3637007389162561</v>
      </c>
      <c r="AG24" s="288">
        <f t="shared" si="10"/>
        <v>4.2456747404844295</v>
      </c>
      <c r="AH24" s="288">
        <f t="shared" si="11"/>
        <v>0.17795566502463053</v>
      </c>
      <c r="AI24" s="288">
        <f t="shared" si="12"/>
        <v>15.11</v>
      </c>
      <c r="AJ24" s="288">
        <f t="shared" si="13"/>
        <v>11.72</v>
      </c>
    </row>
    <row r="25" spans="1:36" ht="10.5" x14ac:dyDescent="0.2">
      <c r="A25" s="270" t="s">
        <v>503</v>
      </c>
      <c r="B25" s="270" t="s">
        <v>670</v>
      </c>
      <c r="C25" s="277">
        <v>81568.800000000003</v>
      </c>
      <c r="D25" s="277">
        <v>21450</v>
      </c>
      <c r="E25" s="277">
        <v>773</v>
      </c>
      <c r="F25" s="277">
        <v>53</v>
      </c>
      <c r="G25" s="277">
        <v>1716</v>
      </c>
      <c r="H25" s="281">
        <f>C25+D25+E25+F25-G25</f>
        <v>102128.8</v>
      </c>
      <c r="I25" s="277">
        <v>39675</v>
      </c>
      <c r="J25" s="277">
        <v>36441</v>
      </c>
      <c r="K25" s="277">
        <v>38537</v>
      </c>
      <c r="L25" s="277">
        <v>6326</v>
      </c>
      <c r="M25" s="277">
        <v>7399.2339726027394</v>
      </c>
      <c r="N25" s="277">
        <v>12357</v>
      </c>
      <c r="O25" s="282">
        <v>3.5667778354651909E-2</v>
      </c>
      <c r="P25" s="283">
        <v>23.1</v>
      </c>
      <c r="Q25" s="283">
        <v>19.829999999999998</v>
      </c>
      <c r="R25" s="284" t="s">
        <v>667</v>
      </c>
      <c r="S25" s="284" t="s">
        <v>667</v>
      </c>
      <c r="T25" s="285">
        <f t="shared" si="0"/>
        <v>16.144293392349038</v>
      </c>
      <c r="U25" s="286">
        <f t="shared" si="1"/>
        <v>13.802617997775705</v>
      </c>
      <c r="V25" s="286">
        <f t="shared" si="2"/>
        <v>2.5741348456206681</v>
      </c>
      <c r="W25" s="286">
        <f t="shared" si="3"/>
        <v>3.2500790388871326</v>
      </c>
      <c r="X25" s="287">
        <f t="shared" si="4"/>
        <v>0.15944549464398236</v>
      </c>
      <c r="Y25" s="287">
        <f t="shared" si="5"/>
        <v>0.31145557655954631</v>
      </c>
      <c r="Z25" s="287">
        <f t="shared" si="6"/>
        <v>5.7517631239537792E-2</v>
      </c>
      <c r="AA25" s="270" t="str">
        <f>IF(ABS(T25-16.144293392349)&lt;0.0001,"OK","REVISAR")</f>
        <v>OK</v>
      </c>
      <c r="AD25" s="288">
        <f t="shared" si="7"/>
        <v>16.144293392349038</v>
      </c>
      <c r="AE25" s="288">
        <f t="shared" si="8"/>
        <v>13.802617997775705</v>
      </c>
      <c r="AF25" s="288">
        <f t="shared" si="9"/>
        <v>2.5741348456206681</v>
      </c>
      <c r="AG25" s="288">
        <f t="shared" si="10"/>
        <v>3.2500790388871326</v>
      </c>
      <c r="AH25" s="288">
        <f t="shared" si="11"/>
        <v>0.15944549464398236</v>
      </c>
      <c r="AI25" s="288">
        <f t="shared" si="12"/>
        <v>23.1</v>
      </c>
      <c r="AJ25" s="288">
        <f t="shared" si="13"/>
        <v>19.829999999999998</v>
      </c>
    </row>
    <row r="26" spans="1:36" ht="10.5" x14ac:dyDescent="0.2">
      <c r="A26" s="270" t="s">
        <v>506</v>
      </c>
      <c r="B26" s="270" t="s">
        <v>670</v>
      </c>
      <c r="C26" s="277">
        <v>19244.834244277288</v>
      </c>
      <c r="D26" s="270" t="s">
        <v>668</v>
      </c>
      <c r="H26" s="277">
        <v>21260.23424427729</v>
      </c>
      <c r="I26" s="277">
        <v>13945.2</v>
      </c>
      <c r="J26" s="277">
        <v>13149.5</v>
      </c>
      <c r="K26" s="277">
        <v>13058.3</v>
      </c>
      <c r="L26" s="277">
        <v>2707</v>
      </c>
      <c r="M26" s="277">
        <v>2990.2460273972601</v>
      </c>
      <c r="N26" s="277">
        <v>6537.9</v>
      </c>
      <c r="O26" s="282">
        <v>6.8803264465726016E-2</v>
      </c>
      <c r="P26" s="283">
        <v>18.71</v>
      </c>
      <c r="Q26" s="283">
        <v>16.5</v>
      </c>
      <c r="R26" s="284" t="s">
        <v>669</v>
      </c>
      <c r="S26" s="284" t="s">
        <v>669</v>
      </c>
      <c r="T26" s="285">
        <f t="shared" si="0"/>
        <v>7.8537991297662693</v>
      </c>
      <c r="U26" s="286">
        <f t="shared" si="1"/>
        <v>7.1098612119158666</v>
      </c>
      <c r="V26" s="286">
        <f t="shared" si="2"/>
        <v>1.5245557069297886</v>
      </c>
      <c r="W26" s="286">
        <f t="shared" si="3"/>
        <v>0.74451422238640619</v>
      </c>
      <c r="X26" s="287">
        <f t="shared" si="4"/>
        <v>0.19411697214812265</v>
      </c>
      <c r="Y26" s="287">
        <f t="shared" si="5"/>
        <v>0.46882798382239044</v>
      </c>
      <c r="Z26" s="287">
        <f t="shared" si="6"/>
        <v>-6.9356249287045868E-3</v>
      </c>
      <c r="AA26" s="270" t="str">
        <f>IF(ABS(T26-7.85379912976626)&lt;0.0001,"OK","REVISAR")</f>
        <v>OK</v>
      </c>
      <c r="AD26" s="288" t="str">
        <f t="shared" si="7"/>
        <v/>
      </c>
      <c r="AE26" s="288" t="str">
        <f t="shared" si="8"/>
        <v/>
      </c>
      <c r="AF26" s="288" t="str">
        <f t="shared" si="9"/>
        <v/>
      </c>
      <c r="AG26" s="288" t="str">
        <f t="shared" si="10"/>
        <v/>
      </c>
      <c r="AH26" s="288" t="str">
        <f t="shared" si="11"/>
        <v/>
      </c>
      <c r="AI26" s="288" t="str">
        <f t="shared" si="12"/>
        <v/>
      </c>
      <c r="AJ26" s="288" t="str">
        <f t="shared" si="13"/>
        <v/>
      </c>
    </row>
    <row r="27" spans="1:36" ht="10.5" x14ac:dyDescent="0.2">
      <c r="A27" s="270" t="s">
        <v>509</v>
      </c>
      <c r="B27" s="270" t="s">
        <v>670</v>
      </c>
      <c r="C27" s="277">
        <v>179200.5</v>
      </c>
      <c r="D27" s="277">
        <v>51881</v>
      </c>
      <c r="E27" s="277">
        <v>3846</v>
      </c>
      <c r="F27" s="277">
        <v>195</v>
      </c>
      <c r="G27" s="277">
        <v>10675</v>
      </c>
      <c r="H27" s="281">
        <f>C27+D27+E27+F27-G27</f>
        <v>224447.5</v>
      </c>
      <c r="I27" s="277">
        <v>98241</v>
      </c>
      <c r="J27" s="277">
        <v>91854</v>
      </c>
      <c r="K27" s="277">
        <v>93925</v>
      </c>
      <c r="L27" s="277">
        <v>20051</v>
      </c>
      <c r="M27" s="277">
        <v>20353.899452054793</v>
      </c>
      <c r="N27" s="277">
        <v>53371</v>
      </c>
      <c r="O27" s="282">
        <v>4.4320907016215626E-2</v>
      </c>
      <c r="P27" s="283">
        <v>16.149999999999999</v>
      </c>
      <c r="Q27" s="283">
        <v>15.53</v>
      </c>
      <c r="R27" s="284" t="s">
        <v>667</v>
      </c>
      <c r="S27" s="284" t="s">
        <v>667</v>
      </c>
      <c r="T27" s="285">
        <f t="shared" si="0"/>
        <v>11.193830731634332</v>
      </c>
      <c r="U27" s="286">
        <f t="shared" si="1"/>
        <v>11.027248146169912</v>
      </c>
      <c r="V27" s="286">
        <f t="shared" si="2"/>
        <v>2.2846622082429944</v>
      </c>
      <c r="W27" s="286">
        <f t="shared" si="3"/>
        <v>2.2565956810134158</v>
      </c>
      <c r="X27" s="287">
        <f t="shared" si="4"/>
        <v>0.20410012113068882</v>
      </c>
      <c r="Y27" s="287">
        <f t="shared" si="5"/>
        <v>0.54326604981626814</v>
      </c>
      <c r="Z27" s="287">
        <f t="shared" si="6"/>
        <v>2.2546650118666633E-2</v>
      </c>
      <c r="AA27" s="270" t="str">
        <f>IF(ABS(T27-11.1938307316343)&lt;0.0001,"OK","REVISAR")</f>
        <v>OK</v>
      </c>
      <c r="AD27" s="288">
        <f t="shared" si="7"/>
        <v>11.193830731634332</v>
      </c>
      <c r="AE27" s="288">
        <f t="shared" si="8"/>
        <v>11.027248146169912</v>
      </c>
      <c r="AF27" s="288">
        <f t="shared" si="9"/>
        <v>2.2846622082429944</v>
      </c>
      <c r="AG27" s="288">
        <f t="shared" si="10"/>
        <v>2.2565956810134158</v>
      </c>
      <c r="AH27" s="288">
        <f t="shared" si="11"/>
        <v>0.20410012113068882</v>
      </c>
      <c r="AI27" s="288">
        <f t="shared" si="12"/>
        <v>16.149999999999999</v>
      </c>
      <c r="AJ27" s="288">
        <f t="shared" si="13"/>
        <v>15.53</v>
      </c>
    </row>
    <row r="28" spans="1:36" ht="10.5" x14ac:dyDescent="0.2">
      <c r="A28" s="289" t="s">
        <v>671</v>
      </c>
      <c r="B28" s="270" t="s">
        <v>672</v>
      </c>
      <c r="C28" s="277">
        <v>13619.846312029871</v>
      </c>
      <c r="D28" s="277">
        <v>8315.3850316575572</v>
      </c>
      <c r="E28" s="277">
        <v>1805.3466096650252</v>
      </c>
      <c r="F28" s="277">
        <v>39.071378321337733</v>
      </c>
      <c r="G28" s="277">
        <v>896.31473564586827</v>
      </c>
      <c r="H28" s="281">
        <f>C28+D28+E28+F28-G28</f>
        <v>22883.334596027922</v>
      </c>
      <c r="I28" s="277">
        <v>22805.508956112342</v>
      </c>
      <c r="J28" s="277">
        <v>22097.245521943827</v>
      </c>
      <c r="K28" s="277">
        <v>23105.308728827316</v>
      </c>
      <c r="L28" s="277">
        <v>3296.6610747334812</v>
      </c>
      <c r="M28" s="277">
        <v>3479.9393906596674</v>
      </c>
      <c r="N28" s="277">
        <v>11986.052437902485</v>
      </c>
      <c r="O28" s="282">
        <v>5.1560094657821631E-2</v>
      </c>
      <c r="P28" s="283">
        <v>18.456692913385822</v>
      </c>
      <c r="Q28" s="283">
        <v>17.806508545692189</v>
      </c>
      <c r="R28" s="270" t="s">
        <v>673</v>
      </c>
      <c r="S28" s="270" t="s">
        <v>673</v>
      </c>
      <c r="T28" s="285">
        <f t="shared" si="0"/>
        <v>6.9413670611795988</v>
      </c>
      <c r="U28" s="286">
        <f t="shared" si="1"/>
        <v>6.5757853879432338</v>
      </c>
      <c r="V28" s="286">
        <f t="shared" si="2"/>
        <v>1.0034125807086942</v>
      </c>
      <c r="W28" s="286">
        <f t="shared" si="3"/>
        <v>2.8099607675766181</v>
      </c>
      <c r="X28" s="287">
        <f t="shared" si="4"/>
        <v>0.14455547039435437</v>
      </c>
      <c r="Y28" s="287">
        <f t="shared" si="5"/>
        <v>0.5255770639001669</v>
      </c>
      <c r="Z28" s="287">
        <f t="shared" si="6"/>
        <v>4.5619405635078936E-2</v>
      </c>
      <c r="AA28" s="270" t="str">
        <f>IF(ABS(T28-6.94136706117959)&lt;0.0001,"OK","REVISAR")</f>
        <v>OK</v>
      </c>
    </row>
    <row r="29" spans="1:36" ht="10.5" x14ac:dyDescent="0.2">
      <c r="A29" s="289" t="s">
        <v>674</v>
      </c>
      <c r="P29" s="285">
        <f>MEDIAN(AI19,AI20)</f>
        <v>16.402510378576451</v>
      </c>
      <c r="Q29" s="285">
        <f>MEDIAN(AJ19,AJ20)</f>
        <v>9.3346271767838154</v>
      </c>
      <c r="T29" s="285">
        <f>MEDIAN(AD19,AD20)</f>
        <v>5.5255833361622528</v>
      </c>
      <c r="U29" s="285">
        <f>MEDIAN(AE19,AE20)</f>
        <v>5.8929139245263995</v>
      </c>
      <c r="V29" s="285">
        <f>MEDIAN(AF19,AF20)</f>
        <v>0.77488176865743519</v>
      </c>
      <c r="W29" s="285">
        <f>MEDIAN(AG19,AG20)</f>
        <v>2.4206611534241205</v>
      </c>
      <c r="X29" s="290">
        <f>MEDIAN(AH19,AH20)</f>
        <v>0.14068920054773476</v>
      </c>
    </row>
    <row r="30" spans="1:36" ht="10.5" x14ac:dyDescent="0.2">
      <c r="A30" s="289" t="s">
        <v>675</v>
      </c>
      <c r="P30" s="285">
        <f>MEDIAN(AI19:AI27)</f>
        <v>16.149999999999999</v>
      </c>
      <c r="Q30" s="285">
        <f>MEDIAN(AJ19:AJ27)</f>
        <v>11.72</v>
      </c>
      <c r="T30" s="285">
        <f>MEDIAN(AD19:AD27)</f>
        <v>8.2693232260371481</v>
      </c>
      <c r="U30" s="285">
        <f>MEDIAN(AE19:AE27)</f>
        <v>8.7866093817657163</v>
      </c>
      <c r="V30" s="285">
        <f>MEDIAN(AF19:AF27)</f>
        <v>1.8017435647534792</v>
      </c>
      <c r="W30" s="285">
        <f>MEDIAN(AG19:AG27)</f>
        <v>3.117379834485976</v>
      </c>
      <c r="X30" s="290">
        <f>MEDIAN(AH19:AH27)</f>
        <v>0.17427652022481199</v>
      </c>
    </row>
    <row r="31" spans="1:36" x14ac:dyDescent="0.2">
      <c r="A31" s="270" t="s">
        <v>676</v>
      </c>
      <c r="P31" s="286">
        <f>AVERAGE(AI19:AI27)</f>
        <v>17.433004151430584</v>
      </c>
      <c r="Q31" s="286">
        <f>AVERAGE(AJ19:AJ27)</f>
        <v>13.149850870713525</v>
      </c>
      <c r="T31" s="286">
        <f>AVERAGE(AD19:AD27)</f>
        <v>9.1546562080636971</v>
      </c>
      <c r="U31" s="286">
        <f>AVERAGE(AE19:AE27)</f>
        <v>9.0314854594216403</v>
      </c>
      <c r="V31" s="286">
        <f>AVERAGE(AF19:AF27)</f>
        <v>1.6686746201142484</v>
      </c>
      <c r="W31" s="286">
        <f>AVERAGE(AG19:AG27)</f>
        <v>2.9297253995530066</v>
      </c>
      <c r="X31" s="287">
        <f>AVERAGE(AH19:AH27)</f>
        <v>0.17920597143760864</v>
      </c>
    </row>
    <row r="32" spans="1:36" x14ac:dyDescent="0.2">
      <c r="A32" s="270" t="s">
        <v>677</v>
      </c>
      <c r="P32" s="291">
        <f>COUNT(AI19:AI27)</f>
        <v>5</v>
      </c>
      <c r="Q32" s="291">
        <f>COUNT(AJ19:AJ27)</f>
        <v>5</v>
      </c>
      <c r="T32" s="291">
        <f>COUNT(AD19:AD27)</f>
        <v>6</v>
      </c>
      <c r="U32" s="291">
        <f>COUNT(AE19:AE27)</f>
        <v>6</v>
      </c>
      <c r="V32" s="291">
        <f>COUNT(AF19:AF27)</f>
        <v>6</v>
      </c>
      <c r="W32" s="291">
        <f>COUNT(AG19:AG27)</f>
        <v>6</v>
      </c>
      <c r="X32" s="291">
        <f>COUNT(AH19:AH27)</f>
        <v>6</v>
      </c>
    </row>
    <row r="34" spans="1:14" ht="45" customHeight="1" x14ac:dyDescent="0.2">
      <c r="A34" s="330" t="s">
        <v>685</v>
      </c>
      <c r="B34" s="330"/>
      <c r="C34" s="330"/>
      <c r="D34" s="330"/>
      <c r="E34" s="330"/>
      <c r="F34" s="330"/>
      <c r="G34" s="330"/>
      <c r="H34" s="330"/>
      <c r="I34" s="330"/>
      <c r="J34" s="330"/>
      <c r="K34" s="330"/>
      <c r="L34" s="330"/>
      <c r="M34" s="330"/>
      <c r="N34" s="330"/>
    </row>
    <row r="37" spans="1:14" ht="10.5" x14ac:dyDescent="0.2">
      <c r="A37" s="279" t="s">
        <v>686</v>
      </c>
    </row>
    <row r="38" spans="1:14" x14ac:dyDescent="0.2">
      <c r="A38" s="270" t="s">
        <v>687</v>
      </c>
      <c r="B38" s="277">
        <v>60919</v>
      </c>
      <c r="C38" s="270" t="s">
        <v>688</v>
      </c>
    </row>
    <row r="39" spans="1:14" x14ac:dyDescent="0.2">
      <c r="A39" s="270" t="s">
        <v>689</v>
      </c>
      <c r="B39" s="272">
        <v>3.1750000000000003</v>
      </c>
      <c r="C39" s="270" t="s">
        <v>690</v>
      </c>
    </row>
    <row r="40" spans="1:14" x14ac:dyDescent="0.2">
      <c r="A40" s="270" t="s">
        <v>691</v>
      </c>
      <c r="B40" s="272">
        <v>3.290931506849315</v>
      </c>
      <c r="C40" s="270" t="s">
        <v>692</v>
      </c>
    </row>
    <row r="41" spans="1:14" x14ac:dyDescent="0.2">
      <c r="A41" s="270" t="s">
        <v>693</v>
      </c>
      <c r="B41" s="277">
        <v>170458</v>
      </c>
      <c r="C41" s="270" t="s">
        <v>694</v>
      </c>
    </row>
    <row r="42" spans="1:14" x14ac:dyDescent="0.2">
      <c r="A42" s="270" t="s">
        <v>695</v>
      </c>
      <c r="B42" s="281">
        <f>1814/(0.129436191883-0.03)</f>
        <v>18242.854695546001</v>
      </c>
      <c r="C42" s="270" t="s">
        <v>696</v>
      </c>
    </row>
    <row r="43" spans="1:14" x14ac:dyDescent="0.2">
      <c r="A43" s="270" t="s">
        <v>697</v>
      </c>
      <c r="B43" s="277">
        <v>1959.45</v>
      </c>
      <c r="C43" s="270" t="s">
        <v>698</v>
      </c>
    </row>
    <row r="44" spans="1:14" x14ac:dyDescent="0.2">
      <c r="A44" s="270" t="s">
        <v>699</v>
      </c>
      <c r="B44" s="292">
        <v>4294.9437150000003</v>
      </c>
      <c r="C44" s="270" t="s">
        <v>700</v>
      </c>
    </row>
    <row r="45" spans="1:14" x14ac:dyDescent="0.2">
      <c r="A45" s="270" t="s">
        <v>701</v>
      </c>
      <c r="B45" s="276">
        <v>58.6</v>
      </c>
      <c r="C45" s="270" t="s">
        <v>702</v>
      </c>
    </row>
    <row r="47" spans="1:14" ht="10.5" x14ac:dyDescent="0.2">
      <c r="A47" s="274" t="s">
        <v>703</v>
      </c>
      <c r="B47" s="274" t="s">
        <v>704</v>
      </c>
      <c r="C47" s="274" t="s">
        <v>705</v>
      </c>
      <c r="D47" s="274" t="s">
        <v>706</v>
      </c>
      <c r="E47" s="274" t="s">
        <v>707</v>
      </c>
      <c r="F47" s="274" t="s">
        <v>708</v>
      </c>
    </row>
    <row r="48" spans="1:14" ht="30" customHeight="1" x14ac:dyDescent="0.2">
      <c r="A48" s="270" t="s">
        <v>709</v>
      </c>
      <c r="B48" s="286">
        <f>T29</f>
        <v>5.5255833361622528</v>
      </c>
      <c r="C48" s="281">
        <f>B48*$B$38</f>
        <v>336613.0112556683</v>
      </c>
      <c r="D48" s="293">
        <f>(C48-$B$41-$B$42+$B$43)/$B$44</f>
        <v>34.894894207041382</v>
      </c>
      <c r="E48" s="287">
        <f t="shared" ref="E48:E53" si="14">D48/$B$45-1</f>
        <v>-0.40452398964093206</v>
      </c>
      <c r="F48" s="329" t="s">
        <v>710</v>
      </c>
      <c r="G48" s="329"/>
      <c r="H48" s="329"/>
    </row>
    <row r="49" spans="1:8" ht="17" customHeight="1" x14ac:dyDescent="0.2">
      <c r="A49" s="270" t="s">
        <v>711</v>
      </c>
      <c r="B49" s="283">
        <v>6</v>
      </c>
      <c r="C49" s="281">
        <f>B49*$B$38</f>
        <v>365514</v>
      </c>
      <c r="D49" s="293">
        <f>(C49-$B$41-$B$42+$B$43)/$B$44</f>
        <v>41.623966963779871</v>
      </c>
      <c r="E49" s="287">
        <f t="shared" si="14"/>
        <v>-0.28969339652252779</v>
      </c>
      <c r="F49" s="329" t="s">
        <v>712</v>
      </c>
      <c r="G49" s="329"/>
      <c r="H49" s="329"/>
    </row>
    <row r="50" spans="1:8" ht="30" customHeight="1" x14ac:dyDescent="0.2">
      <c r="A50" s="270" t="s">
        <v>713</v>
      </c>
      <c r="B50" s="286">
        <f>T28</f>
        <v>6.9413670611795988</v>
      </c>
      <c r="C50" s="281">
        <f>B50*$B$38</f>
        <v>422861.13999999996</v>
      </c>
      <c r="D50" s="293">
        <f>(C50-$B$41-$B$42+$B$43)/$B$44</f>
        <v>54.976211790578482</v>
      </c>
      <c r="E50" s="287">
        <f t="shared" si="14"/>
        <v>-6.1839389239275122E-2</v>
      </c>
      <c r="F50" s="329" t="s">
        <v>714</v>
      </c>
      <c r="G50" s="329"/>
      <c r="H50" s="329"/>
    </row>
    <row r="51" spans="1:8" ht="30" customHeight="1" x14ac:dyDescent="0.2">
      <c r="A51" s="270" t="s">
        <v>715</v>
      </c>
      <c r="B51" s="286">
        <f>T30</f>
        <v>8.2693232260371481</v>
      </c>
      <c r="C51" s="281">
        <f>B51*$B$38</f>
        <v>503758.90160695702</v>
      </c>
      <c r="D51" s="293">
        <f>(C51-$B$41-$B$42+$B$43)/$B$44</f>
        <v>73.811793110171422</v>
      </c>
      <c r="E51" s="287">
        <f t="shared" si="14"/>
        <v>0.25958691314285698</v>
      </c>
      <c r="F51" s="329" t="s">
        <v>716</v>
      </c>
      <c r="G51" s="329"/>
      <c r="H51" s="329"/>
    </row>
    <row r="52" spans="1:8" ht="30" customHeight="1" x14ac:dyDescent="0.2">
      <c r="A52" s="270" t="s">
        <v>717</v>
      </c>
      <c r="B52" s="286">
        <f>P30</f>
        <v>16.149999999999999</v>
      </c>
      <c r="C52" s="281">
        <f>B52*$B$39*$B$44</f>
        <v>220228.60766626877</v>
      </c>
      <c r="D52" s="293">
        <f>B52*$B$39</f>
        <v>51.276249999999997</v>
      </c>
      <c r="E52" s="287">
        <f t="shared" si="14"/>
        <v>-0.12497866894197962</v>
      </c>
      <c r="F52" s="329" t="s">
        <v>718</v>
      </c>
      <c r="G52" s="329"/>
      <c r="H52" s="329"/>
    </row>
    <row r="53" spans="1:8" ht="17" customHeight="1" x14ac:dyDescent="0.2">
      <c r="A53" s="270" t="s">
        <v>719</v>
      </c>
      <c r="B53" s="286">
        <f>Q30</f>
        <v>11.72</v>
      </c>
      <c r="C53" s="281">
        <f>B53*$B$40*$B$44</f>
        <v>165654.76473634073</v>
      </c>
      <c r="D53" s="293">
        <f>B53*$B$40</f>
        <v>38.569717260273976</v>
      </c>
      <c r="E53" s="287">
        <f t="shared" si="14"/>
        <v>-0.341813698630137</v>
      </c>
      <c r="F53" s="329" t="s">
        <v>720</v>
      </c>
      <c r="G53" s="329"/>
      <c r="H53" s="329"/>
    </row>
    <row r="55" spans="1:8" ht="30" customHeight="1" x14ac:dyDescent="0.2">
      <c r="A55" s="330" t="s">
        <v>721</v>
      </c>
      <c r="B55" s="330"/>
      <c r="C55" s="330"/>
      <c r="D55" s="330"/>
      <c r="E55" s="330"/>
      <c r="F55" s="330"/>
    </row>
    <row r="58" spans="1:8" ht="10.5" x14ac:dyDescent="0.2">
      <c r="A58" s="279" t="s">
        <v>722</v>
      </c>
    </row>
    <row r="59" spans="1:8" ht="10.5" x14ac:dyDescent="0.2">
      <c r="A59" s="274" t="s">
        <v>723</v>
      </c>
      <c r="B59" s="331" t="s">
        <v>724</v>
      </c>
      <c r="C59" s="331"/>
      <c r="D59" s="331"/>
      <c r="E59" s="331" t="s">
        <v>725</v>
      </c>
      <c r="F59" s="331"/>
      <c r="G59" s="331"/>
      <c r="H59" s="331"/>
    </row>
    <row r="60" spans="1:8" ht="30" customHeight="1" x14ac:dyDescent="0.2">
      <c r="A60" s="294" t="s">
        <v>726</v>
      </c>
      <c r="B60" s="329" t="s">
        <v>727</v>
      </c>
      <c r="C60" s="329"/>
      <c r="D60" s="329"/>
      <c r="E60" s="329" t="s">
        <v>728</v>
      </c>
      <c r="F60" s="329"/>
      <c r="G60" s="329"/>
      <c r="H60" s="329"/>
    </row>
    <row r="61" spans="1:8" ht="43" customHeight="1" x14ac:dyDescent="0.2">
      <c r="A61" s="294" t="s">
        <v>729</v>
      </c>
      <c r="B61" s="329" t="s">
        <v>730</v>
      </c>
      <c r="C61" s="329"/>
      <c r="D61" s="329"/>
      <c r="E61" s="329" t="s">
        <v>731</v>
      </c>
      <c r="F61" s="329"/>
      <c r="G61" s="329"/>
      <c r="H61" s="329"/>
    </row>
    <row r="62" spans="1:8" ht="30" customHeight="1" x14ac:dyDescent="0.2">
      <c r="A62" s="294" t="s">
        <v>732</v>
      </c>
      <c r="B62" s="329" t="s">
        <v>733</v>
      </c>
      <c r="C62" s="329"/>
      <c r="D62" s="329"/>
      <c r="E62" s="329" t="s">
        <v>734</v>
      </c>
      <c r="F62" s="329"/>
      <c r="G62" s="329"/>
      <c r="H62" s="329"/>
    </row>
    <row r="63" spans="1:8" ht="30" customHeight="1" x14ac:dyDescent="0.2">
      <c r="A63" s="294" t="s">
        <v>735</v>
      </c>
      <c r="B63" s="329" t="s">
        <v>736</v>
      </c>
      <c r="C63" s="329"/>
      <c r="D63" s="329"/>
      <c r="E63" s="329" t="s">
        <v>737</v>
      </c>
      <c r="F63" s="329"/>
      <c r="G63" s="329"/>
      <c r="H63" s="329"/>
    </row>
    <row r="64" spans="1:8" ht="30" customHeight="1" x14ac:dyDescent="0.2">
      <c r="A64" s="294" t="s">
        <v>738</v>
      </c>
      <c r="B64" s="329" t="s">
        <v>739</v>
      </c>
      <c r="C64" s="329"/>
      <c r="D64" s="329"/>
      <c r="E64" s="329" t="s">
        <v>740</v>
      </c>
      <c r="F64" s="329"/>
      <c r="G64" s="329"/>
      <c r="H64" s="329"/>
    </row>
    <row r="65" spans="1:8" ht="30" customHeight="1" x14ac:dyDescent="0.2">
      <c r="A65" s="294" t="s">
        <v>741</v>
      </c>
      <c r="B65" s="329" t="s">
        <v>742</v>
      </c>
      <c r="C65" s="329"/>
      <c r="D65" s="329"/>
      <c r="E65" s="329" t="s">
        <v>743</v>
      </c>
      <c r="F65" s="329"/>
      <c r="G65" s="329"/>
      <c r="H65" s="329"/>
    </row>
    <row r="66" spans="1:8" ht="30" customHeight="1" x14ac:dyDescent="0.2">
      <c r="A66" s="294" t="s">
        <v>744</v>
      </c>
      <c r="B66" s="329" t="s">
        <v>745</v>
      </c>
      <c r="C66" s="329"/>
      <c r="D66" s="329"/>
      <c r="E66" s="329" t="s">
        <v>746</v>
      </c>
      <c r="F66" s="329"/>
      <c r="G66" s="329"/>
      <c r="H66" s="329"/>
    </row>
    <row r="68" spans="1:8" ht="10.5" x14ac:dyDescent="0.2">
      <c r="A68" s="279" t="s">
        <v>747</v>
      </c>
    </row>
    <row r="69" spans="1:8" ht="30" customHeight="1" x14ac:dyDescent="0.2">
      <c r="A69" s="329" t="s">
        <v>748</v>
      </c>
      <c r="B69" s="329"/>
      <c r="C69" s="329"/>
      <c r="D69" s="329"/>
      <c r="E69" s="329"/>
      <c r="F69" s="329"/>
      <c r="G69" s="329"/>
      <c r="H69" s="329"/>
    </row>
    <row r="70" spans="1:8" ht="30" customHeight="1" x14ac:dyDescent="0.2">
      <c r="A70" s="329" t="s">
        <v>749</v>
      </c>
      <c r="B70" s="329"/>
      <c r="C70" s="329"/>
      <c r="D70" s="329"/>
      <c r="E70" s="329"/>
      <c r="F70" s="329"/>
      <c r="G70" s="329"/>
      <c r="H70" s="329"/>
    </row>
    <row r="71" spans="1:8" ht="30" customHeight="1" x14ac:dyDescent="0.2">
      <c r="A71" s="329" t="s">
        <v>750</v>
      </c>
      <c r="B71" s="329"/>
      <c r="C71" s="329"/>
      <c r="D71" s="329"/>
      <c r="E71" s="329"/>
      <c r="F71" s="329"/>
      <c r="G71" s="329"/>
      <c r="H71" s="329"/>
    </row>
    <row r="72" spans="1:8" ht="30" customHeight="1" x14ac:dyDescent="0.2">
      <c r="A72" s="329" t="s">
        <v>751</v>
      </c>
      <c r="B72" s="329"/>
      <c r="C72" s="329"/>
      <c r="D72" s="329"/>
      <c r="E72" s="329"/>
      <c r="F72" s="329"/>
      <c r="G72" s="329"/>
      <c r="H72" s="329"/>
    </row>
    <row r="73" spans="1:8" ht="30" customHeight="1" x14ac:dyDescent="0.2">
      <c r="A73" s="329" t="s">
        <v>752</v>
      </c>
      <c r="B73" s="329"/>
      <c r="C73" s="329"/>
      <c r="D73" s="329"/>
      <c r="E73" s="329"/>
      <c r="F73" s="329"/>
      <c r="G73" s="329"/>
      <c r="H73" s="329"/>
    </row>
  </sheetData>
  <mergeCells count="30">
    <mergeCell ref="B60:D60"/>
    <mergeCell ref="E60:H60"/>
    <mergeCell ref="A15:H15"/>
    <mergeCell ref="A34:N34"/>
    <mergeCell ref="F48:H48"/>
    <mergeCell ref="F49:H49"/>
    <mergeCell ref="F50:H50"/>
    <mergeCell ref="F51:H51"/>
    <mergeCell ref="F52:H52"/>
    <mergeCell ref="F53:H53"/>
    <mergeCell ref="A55:F55"/>
    <mergeCell ref="B59:D59"/>
    <mergeCell ref="E59:H59"/>
    <mergeCell ref="B61:D61"/>
    <mergeCell ref="E61:H61"/>
    <mergeCell ref="B62:D62"/>
    <mergeCell ref="E62:H62"/>
    <mergeCell ref="B63:D63"/>
    <mergeCell ref="E63:H63"/>
    <mergeCell ref="B64:D64"/>
    <mergeCell ref="E64:H64"/>
    <mergeCell ref="B65:D65"/>
    <mergeCell ref="E65:H65"/>
    <mergeCell ref="B66:D66"/>
    <mergeCell ref="E66:H66"/>
    <mergeCell ref="A69:H69"/>
    <mergeCell ref="A70:H70"/>
    <mergeCell ref="A71:H71"/>
    <mergeCell ref="A72:H72"/>
    <mergeCell ref="A73:H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TearSheet</vt:lpstr>
      <vt:lpstr>PeerAnalysis</vt:lpstr>
      <vt:lpstr>Datos_Peers</vt:lpstr>
      <vt:lpstr>Multiplos_y_Seleccion</vt:lpstr>
      <vt:lpstr>PeerAnalysis!Área_de_impresión</vt:lpstr>
      <vt:lpstr>TearSheet!Área_de_impresión</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Choudhary, Drushti</dc:creator>
  <cp:keywords/>
  <dc:description/>
  <cp:lastModifiedBy>Jorge Alejandro Gaytan Ibarra</cp:lastModifiedBy>
  <cp:lastPrinted>2026-10-06T13:10:34Z</cp:lastPrinted>
  <dcterms:created xsi:type="dcterms:W3CDTF">2024-04-04T13:16:46Z</dcterms:created>
  <dcterms:modified xsi:type="dcterms:W3CDTF">2026-10-19T04:21:06Z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{988530DD-BD24-4C52-B145-0F21672DDCB8}</vt:lpwstr>
  </property>
  <property fmtid="{D5CDD505-2E9C-101B-9397-08002B2CF9AE}" pid="3" name="MSIP_Label_6267e522-0091-4d88-9989-f382df9eb3cc_Enabled">
    <vt:lpwstr>true</vt:lpwstr>
  </property>
  <property fmtid="{D5CDD505-2E9C-101B-9397-08002B2CF9AE}" pid="4" name="MSIP_Label_6267e522-0091-4d88-9989-f382df9eb3cc_SetDate">
    <vt:lpwstr>2026-01-13T10:21:19Z</vt:lpwstr>
  </property>
  <property fmtid="{D5CDD505-2E9C-101B-9397-08002B2CF9AE}" pid="5" name="MSIP_Label_6267e522-0091-4d88-9989-f382df9eb3cc_Method">
    <vt:lpwstr>Privileged</vt:lpwstr>
  </property>
  <property fmtid="{D5CDD505-2E9C-101B-9397-08002B2CF9AE}" pid="6" name="MSIP_Label_6267e522-0091-4d88-9989-f382df9eb3cc_Name">
    <vt:lpwstr>General</vt:lpwstr>
  </property>
  <property fmtid="{D5CDD505-2E9C-101B-9397-08002B2CF9AE}" pid="7" name="MSIP_Label_6267e522-0091-4d88-9989-f382df9eb3cc_SiteId">
    <vt:lpwstr>8f3e36ea-8039-4b40-81a7-7dc0599e8645</vt:lpwstr>
  </property>
  <property fmtid="{D5CDD505-2E9C-101B-9397-08002B2CF9AE}" pid="8" name="MSIP_Label_6267e522-0091-4d88-9989-f382df9eb3cc_ActionId">
    <vt:lpwstr>8fd43e36-01a4-4b4b-a5cb-df11666fc18b</vt:lpwstr>
  </property>
  <property fmtid="{D5CDD505-2E9C-101B-9397-08002B2CF9AE}" pid="9" name="MSIP_Label_6267e522-0091-4d88-9989-f382df9eb3cc_ContentBits">
    <vt:lpwstr>0</vt:lpwstr>
  </property>
  <property fmtid="{D5CDD505-2E9C-101B-9397-08002B2CF9AE}" pid="10" name="MSIP_Label_6267e522-0091-4d88-9989-f382df9eb3cc_Tag">
    <vt:lpwstr>10, 0, 1, 1</vt:lpwstr>
  </property>
  <property fmtid="{D5CDD505-2E9C-101B-9397-08002B2CF9AE}" pid="11" name="KeyFile">
    <vt:r8>435425874</vt:r8>
  </property>
  <property fmtid="{D5CDD505-2E9C-101B-9397-08002B2CF9AE}" pid="12" name="snltemplateid">
    <vt:r8>435425874</vt:r8>
  </property>
</Properties>
</file>