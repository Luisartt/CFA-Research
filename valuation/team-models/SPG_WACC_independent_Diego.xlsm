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28389E77-7640-9E18-AD5C-E98E2F4A8B83}"/>
  <workbookPr codeName="ThisWorkbook"/>
  <mc:AlternateContent xmlns:mc="http://schemas.openxmlformats.org/markup-compatibility/2006">
    <mc:Choice Requires="x15">
      <x15ac:absPath xmlns:x15ac="http://schemas.microsoft.com/office/spreadsheetml/2010/11/ac" url="https://d.docs.live.net/2726fdc32ce164f9/Escritorio/BASE de datos/valuation-independent/"/>
    </mc:Choice>
  </mc:AlternateContent>
  <xr:revisionPtr revIDLastSave="595" documentId="8_{373B65B5-638F-4C49-BD20-DD0212FE72B8}" xr6:coauthVersionLast="47" xr6:coauthVersionMax="47" xr10:uidLastSave="{4E54DCFC-374D-416F-8520-BCE8DFCCEF6A}"/>
  <bookViews>
    <workbookView xWindow="-120" yWindow="-120" windowWidth="29040" windowHeight="16440" tabRatio="505" firstSheet="2" activeTab="4" xr2:uid="{00000000-000D-0000-FFFF-FFFF00000000}"/>
  </bookViews>
  <sheets>
    <sheet name="__snloffice" sheetId="3" state="veryHidden" r:id="rId1"/>
    <sheet name="___snlofficequeries" sheetId="5" state="veryHidden" r:id="rId2"/>
    <sheet name="Decision_Table" sheetId="9" r:id="rId3"/>
    <sheet name="Independent_Inputs" sheetId="8" r:id="rId4"/>
    <sheet name="WACC" sheetId="1" r:id="rId5"/>
    <sheet name="Intermediate" sheetId="7" state="hidden" r:id="rId6"/>
  </sheets>
  <definedNames>
    <definedName name="_xlnm._FilterDatabase" localSheetId="5" hidden="1">Intermediate!$B$7:$L$83</definedName>
    <definedName name="_xleta.RATE" hidden="1" xlm="1">#NAME?</definedName>
    <definedName name="_xlnm.Print_Area" localSheetId="4">WACC!$B$41:$N$91</definedName>
    <definedName name="AutoPeers">WACC!$E$22:$E$31</definedName>
    <definedName name="Beta_Selection">WACC!$C$68</definedName>
    <definedName name="Button_1">WACC!$BL$50</definedName>
    <definedName name="Button_2">WACC!$BL$51</definedName>
    <definedName name="CIQWBGuid" hidden="1">"60a91956-434b-4168-8e04-fcd6d666be63"</definedName>
    <definedName name="CIQWBInfo" hidden="1">"{ ""CIQVersion"":""9.52.4409.4666"" }"</definedName>
    <definedName name="Clear_Data">WACC!$AR$53:$AR$1048576,WACC!$AD$53:$AD$1048576</definedName>
    <definedName name="Clear_DT">WACC!$F$69:$N$75,WACC!$F$81:$N$87</definedName>
    <definedName name="Clear_FI">WACC!$AE$54:$AK$1048576,WACC!$AS$54:$AW$1048576</definedName>
    <definedName name="Count_A">WACC!$AE$49</definedName>
    <definedName name="Count_B">WACC!$AS$49</definedName>
    <definedName name="Currency_Selection">WACC!$E$33</definedName>
    <definedName name="Def_Beta">WACC!$V$42</definedName>
    <definedName name="DS_1">WACC!$C$77</definedName>
    <definedName name="DS_2">WACC!$C$80</definedName>
    <definedName name="Entity_Name">WACC!$B$42</definedName>
    <definedName name="ES_1">WACC!$C$73</definedName>
    <definedName name="ES_2">WACC!$C$74</definedName>
    <definedName name="Focus">WACC!$E$13</definedName>
    <definedName name="FormFI_1">WACC!$AE$53:$AK$53</definedName>
    <definedName name="FormFI_2">WACC!$AS$53:$AW$53</definedName>
    <definedName name="Forml1">WACC!$BM$54</definedName>
    <definedName name="Forml2">WACC!$BL$54</definedName>
    <definedName name="Forml3">WACC!$BM$53</definedName>
    <definedName name="InstStep">WACC!$B$8</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46028.467037037</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anguage_Data">Intermediate!$B$8:$L$4291</definedName>
    <definedName name="Language_Option">WACC!$D$4</definedName>
    <definedName name="List1">WACC!$AD$52</definedName>
    <definedName name="List2">WACC!$AR$52</definedName>
    <definedName name="List3">WACC!$AE$53:$AH$1052</definedName>
    <definedName name="List4">WACC!$AS$53:$AT$1052</definedName>
    <definedName name="LookR">WACC!$BL$55:$BM$65</definedName>
    <definedName name="Lookup_Column">Intermediate!$B$4</definedName>
    <definedName name="Magnitude_Selection">WACC!$E$34</definedName>
    <definedName name="Override">WACC!$G$22:$H$31</definedName>
    <definedName name="QComps">WACC!$E$21,WACC!$E$15</definedName>
    <definedName name="SA_1">WACC!$E$68:$N$75</definedName>
    <definedName name="SA_2">WACC!$E$80:$N$87</definedName>
    <definedName name="snl__75402237_E1C9_44F9_8573_20214D69FACE_" localSheetId="4" hidden="1">WACC!$AD$52:$AD$113</definedName>
    <definedName name="snl__E5637D51_CEE1_4B23_8216_09899520C3F7_" localSheetId="4" hidden="1">WACC!$E$21:$E$31</definedName>
    <definedName name="snl__EF069298_6F78_4B61_8ACC_6B8E6257C967_" localSheetId="4" hidden="1">WACC!$AR$52:$AR$55</definedName>
    <definedName name="snlquery__89C04FDD_0543_433C_A1FC_FCBC65C98C30_" localSheetId="4" hidden="1">WACC!#REF!,WACC!#REF!</definedName>
    <definedName name="snlquery__C91B5FC5_7123_44A9_9B95_EC86F8AD1609_" localSheetId="4" hidden="1">WACC!#REF!,WACC!#REF!</definedName>
    <definedName name="Step2">WACC!$B$15</definedName>
    <definedName name="W_M1">WACC!$U$78:$W$159</definedName>
    <definedName name="W_M2">WACC!$Z$59:$AA$68</definedName>
    <definedName name="W_M3">WACC!$H$47:$H$56,WACC!$W$43</definedName>
    <definedName name="W_TF1">WACC!$V$62:$V$74</definedName>
    <definedName name="W_TF2">WACC!$V$11:$AF$20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69" i="1" l="1"/>
  <c r="V68" i="1"/>
  <c r="V67" i="1"/>
  <c r="V66" i="1"/>
  <c r="V65" i="1"/>
  <c r="B42" i="8"/>
  <c r="B41" i="8"/>
  <c r="C54" i="1" s="1"/>
  <c r="B33" i="8"/>
  <c r="B32" i="8"/>
  <c r="C56" i="1" s="1"/>
  <c r="B27" i="8"/>
  <c r="B24" i="8"/>
  <c r="V64" i="1" s="1"/>
  <c r="B17" i="8"/>
  <c r="B18" i="8" s="1"/>
  <c r="W43" i="1" s="1"/>
  <c r="B8" i="8"/>
  <c r="AS53" i="1" a="1"/>
  <c r="AT53" i="1" s="1" a="1"/>
  <c r="AS54" i="1" a="1"/>
  <c r="AT54" i="1" s="1" a="1"/>
  <c r="AF53" i="1" a="1"/>
  <c r="AE53" i="1" s="1"/>
  <c r="AH53" i="1" s="1" a="1"/>
  <c r="AG53" i="1" a="1"/>
  <c r="AF54" i="1" a="1"/>
  <c r="AE54" i="1" s="1"/>
  <c r="AH54" i="1" s="1" a="1"/>
  <c r="AG54" i="1" a="1"/>
  <c r="AF55" i="1" a="1"/>
  <c r="AE55" i="1" s="1"/>
  <c r="AH55" i="1" s="1" a="1"/>
  <c r="AG55" i="1" a="1"/>
  <c r="AF56" i="1" a="1"/>
  <c r="AE56" i="1" s="1"/>
  <c r="AH56" i="1" s="1" a="1"/>
  <c r="AG56" i="1" a="1"/>
  <c r="AF57" i="1" a="1"/>
  <c r="AE57" i="1" s="1"/>
  <c r="AH57" i="1" s="1" a="1"/>
  <c r="AG57" i="1" a="1"/>
  <c r="AF58" i="1" a="1"/>
  <c r="AE58" i="1" s="1"/>
  <c r="AH58" i="1" s="1" a="1"/>
  <c r="AG58" i="1" a="1"/>
  <c r="AF59" i="1" a="1"/>
  <c r="AE59" i="1" s="1"/>
  <c r="AH59" i="1" s="1" a="1"/>
  <c r="AG59" i="1" a="1"/>
  <c r="AF60" i="1" a="1"/>
  <c r="AE60" i="1" s="1"/>
  <c r="AH60" i="1" s="1" a="1"/>
  <c r="AG60" i="1" a="1"/>
  <c r="AF61" i="1" a="1"/>
  <c r="AE61" i="1" s="1"/>
  <c r="AH61" i="1" s="1" a="1"/>
  <c r="AG61" i="1" a="1"/>
  <c r="AF62" i="1" a="1"/>
  <c r="AE62" i="1" s="1"/>
  <c r="AH62" i="1" s="1" a="1"/>
  <c r="AG62" i="1" a="1"/>
  <c r="AF63" i="1" a="1"/>
  <c r="AE63" i="1" s="1"/>
  <c r="AH63" i="1" s="1" a="1"/>
  <c r="AG63" i="1" a="1"/>
  <c r="AF64" i="1" a="1"/>
  <c r="AE64" i="1" s="1"/>
  <c r="AH64" i="1" s="1" a="1"/>
  <c r="AG64" i="1" a="1"/>
  <c r="AF65" i="1" a="1"/>
  <c r="AE65" i="1" s="1"/>
  <c r="AH65" i="1" s="1" a="1"/>
  <c r="AG65" i="1" a="1"/>
  <c r="AF66" i="1" a="1"/>
  <c r="AE66" i="1" s="1"/>
  <c r="AH66" i="1" s="1" a="1"/>
  <c r="AG66" i="1" a="1"/>
  <c r="AF67" i="1" a="1"/>
  <c r="AE67" i="1" s="1"/>
  <c r="AH67" i="1" s="1" a="1"/>
  <c r="AG67" i="1" a="1"/>
  <c r="AF68" i="1" a="1"/>
  <c r="AE68" i="1" s="1"/>
  <c r="AH68" i="1" s="1" a="1"/>
  <c r="AG68" i="1" a="1"/>
  <c r="AF69" i="1" a="1"/>
  <c r="AE69" i="1" s="1"/>
  <c r="AH69" i="1" s="1" a="1"/>
  <c r="AG69" i="1" a="1"/>
  <c r="AF70" i="1" a="1"/>
  <c r="AE70" i="1" s="1"/>
  <c r="AH70" i="1" s="1" a="1"/>
  <c r="AG70" i="1" a="1"/>
  <c r="AF71" i="1" a="1"/>
  <c r="AE71" i="1" s="1"/>
  <c r="AH71" i="1" s="1" a="1"/>
  <c r="AG71" i="1" a="1"/>
  <c r="AF72" i="1" a="1"/>
  <c r="AE72" i="1" s="1"/>
  <c r="AH72" i="1" s="1" a="1"/>
  <c r="AG72" i="1" a="1"/>
  <c r="AF73" i="1" a="1"/>
  <c r="AE73" i="1" s="1"/>
  <c r="AH73" i="1" s="1" a="1"/>
  <c r="AG73" i="1" a="1"/>
  <c r="AF74" i="1" a="1"/>
  <c r="AE74" i="1" s="1"/>
  <c r="AH74" i="1" s="1" a="1"/>
  <c r="AG74" i="1" a="1"/>
  <c r="AF75" i="1" a="1"/>
  <c r="AE75" i="1" s="1"/>
  <c r="AH75" i="1" s="1" a="1"/>
  <c r="AG75" i="1" a="1"/>
  <c r="AF76" i="1" a="1"/>
  <c r="AE76" i="1" s="1"/>
  <c r="AH76" i="1" s="1" a="1"/>
  <c r="AG76" i="1" a="1"/>
  <c r="AF77" i="1" a="1"/>
  <c r="AE77" i="1" s="1"/>
  <c r="AH77" i="1" s="1" a="1"/>
  <c r="AG77" i="1" a="1"/>
  <c r="AF78" i="1" a="1"/>
  <c r="AE78" i="1" s="1"/>
  <c r="AH78" i="1" s="1" a="1"/>
  <c r="AG78" i="1" a="1"/>
  <c r="AF79" i="1" a="1"/>
  <c r="AE79" i="1" s="1"/>
  <c r="AH79" i="1" s="1" a="1"/>
  <c r="AG79" i="1" a="1"/>
  <c r="AF80" i="1" a="1"/>
  <c r="AE80" i="1" s="1"/>
  <c r="AH80" i="1" s="1" a="1"/>
  <c r="AG80" i="1" a="1"/>
  <c r="AF81" i="1" a="1"/>
  <c r="AE81" i="1" s="1"/>
  <c r="AH81" i="1" s="1" a="1"/>
  <c r="AG81" i="1" a="1"/>
  <c r="AF82" i="1" a="1"/>
  <c r="AE82" i="1" s="1"/>
  <c r="AH82" i="1" s="1" a="1"/>
  <c r="AG82" i="1" a="1"/>
  <c r="AF83" i="1" a="1"/>
  <c r="AE83" i="1" s="1"/>
  <c r="AH83" i="1" s="1" a="1"/>
  <c r="AG83" i="1" a="1"/>
  <c r="AF84" i="1" a="1"/>
  <c r="AE84" i="1" s="1"/>
  <c r="AH84" i="1" s="1" a="1"/>
  <c r="AG84" i="1" a="1"/>
  <c r="AF85" i="1" a="1"/>
  <c r="AE85" i="1" s="1"/>
  <c r="AH85" i="1" s="1" a="1"/>
  <c r="AG85" i="1" a="1"/>
  <c r="AF86" i="1" a="1"/>
  <c r="AE86" i="1" s="1"/>
  <c r="AH86" i="1" s="1" a="1"/>
  <c r="AG86" i="1" a="1"/>
  <c r="AF87" i="1" a="1"/>
  <c r="AE87" i="1" s="1"/>
  <c r="AH87" i="1" s="1" a="1"/>
  <c r="AG87" i="1" a="1"/>
  <c r="AF88" i="1" a="1"/>
  <c r="AE88" i="1" s="1"/>
  <c r="AH88" i="1" s="1" a="1"/>
  <c r="AG88" i="1" a="1"/>
  <c r="AF89" i="1" a="1"/>
  <c r="AE89" i="1" s="1"/>
  <c r="AH89" i="1" s="1" a="1"/>
  <c r="AG89" i="1" a="1"/>
  <c r="AF90" i="1" a="1"/>
  <c r="AE90" i="1" s="1"/>
  <c r="AH90" i="1" s="1" a="1"/>
  <c r="AG90" i="1" a="1"/>
  <c r="AF91" i="1" a="1"/>
  <c r="AE91" i="1" s="1"/>
  <c r="AH91" i="1" s="1" a="1"/>
  <c r="AG91" i="1" a="1"/>
  <c r="AF92" i="1" a="1"/>
  <c r="AE92" i="1" s="1"/>
  <c r="AH92" i="1" s="1" a="1"/>
  <c r="AG92" i="1" a="1"/>
  <c r="AF93" i="1" a="1"/>
  <c r="AE93" i="1" s="1"/>
  <c r="AH93" i="1" s="1" a="1"/>
  <c r="AG93" i="1" a="1"/>
  <c r="AF94" i="1" a="1"/>
  <c r="AE94" i="1" s="1"/>
  <c r="AH94" i="1" s="1" a="1"/>
  <c r="AG94" i="1" a="1"/>
  <c r="AF95" i="1" a="1"/>
  <c r="AE95" i="1" s="1"/>
  <c r="AH95" i="1" s="1" a="1"/>
  <c r="AG95" i="1" a="1"/>
  <c r="AF96" i="1" a="1"/>
  <c r="AE96" i="1" s="1"/>
  <c r="AH96" i="1" s="1" a="1"/>
  <c r="AG96" i="1" a="1"/>
  <c r="AF97" i="1" a="1"/>
  <c r="AE97" i="1" s="1"/>
  <c r="AH97" i="1" s="1" a="1"/>
  <c r="AG97" i="1" a="1"/>
  <c r="AF98" i="1" a="1"/>
  <c r="AE98" i="1" s="1"/>
  <c r="AH98" i="1" s="1" a="1"/>
  <c r="AG98" i="1" a="1"/>
  <c r="AF99" i="1" a="1"/>
  <c r="AE99" i="1" s="1"/>
  <c r="AH99" i="1" s="1" a="1"/>
  <c r="AG99" i="1" a="1"/>
  <c r="AF100" i="1" a="1"/>
  <c r="AE100" i="1" s="1"/>
  <c r="AH100" i="1" s="1" a="1"/>
  <c r="AG100" i="1" a="1"/>
  <c r="AF101" i="1" a="1"/>
  <c r="AE101" i="1" s="1"/>
  <c r="AH101" i="1" s="1" a="1"/>
  <c r="AG101" i="1" a="1"/>
  <c r="AF102" i="1" a="1"/>
  <c r="AE102" i="1" s="1"/>
  <c r="AH102" i="1" s="1" a="1"/>
  <c r="AG102" i="1" a="1"/>
  <c r="AF103" i="1" a="1"/>
  <c r="AE103" i="1" s="1"/>
  <c r="AH103" i="1" s="1" a="1"/>
  <c r="AG103" i="1" a="1"/>
  <c r="AF104" i="1" a="1"/>
  <c r="AE104" i="1" s="1"/>
  <c r="AH104" i="1" s="1" a="1"/>
  <c r="AG104" i="1" a="1"/>
  <c r="AF105" i="1" a="1"/>
  <c r="AE105" i="1" s="1"/>
  <c r="AH105" i="1" s="1" a="1"/>
  <c r="AG105" i="1" a="1"/>
  <c r="AF106" i="1" a="1"/>
  <c r="AE106" i="1" s="1"/>
  <c r="AH106" i="1" s="1" a="1"/>
  <c r="AG106" i="1" a="1"/>
  <c r="AF107" i="1" a="1"/>
  <c r="AE107" i="1" s="1"/>
  <c r="AH107" i="1" s="1" a="1"/>
  <c r="AG107" i="1" a="1"/>
  <c r="AF108" i="1" a="1"/>
  <c r="AE108" i="1" s="1"/>
  <c r="AH108" i="1" s="1" a="1"/>
  <c r="AG108" i="1" a="1"/>
  <c r="AF109" i="1" a="1"/>
  <c r="AE109" i="1" s="1"/>
  <c r="AH109" i="1" s="1" a="1"/>
  <c r="AG109" i="1" a="1"/>
  <c r="AF110" i="1" a="1"/>
  <c r="AE110" i="1" s="1"/>
  <c r="AH110" i="1" s="1" a="1"/>
  <c r="AG110" i="1" a="1"/>
  <c r="AF111" i="1" a="1"/>
  <c r="AE111" i="1" s="1"/>
  <c r="AH111" i="1" s="1" a="1"/>
  <c r="AG111" i="1" a="1"/>
  <c r="AF112" i="1" a="1"/>
  <c r="AE112" i="1" s="1"/>
  <c r="AH112" i="1" s="1" a="1"/>
  <c r="AG112" i="1" a="1"/>
  <c r="AF113" i="1" a="1"/>
  <c r="AE113" i="1" s="1"/>
  <c r="AH113" i="1" s="1" a="1"/>
  <c r="AG113" i="1" a="1"/>
  <c r="AR52" i="1" a="1"/>
  <c r="AV54" i="1"/>
  <c r="AW54" i="1" s="1"/>
  <c r="AD52" i="1" a="1"/>
  <c r="V62" i="1" l="1"/>
  <c r="B28" i="8"/>
  <c r="C48" i="1"/>
  <c r="B10" i="8"/>
  <c r="C50" i="1" s="1"/>
  <c r="AU54" i="1"/>
  <c r="AJ74" i="1" l="1"/>
  <c r="AI74" i="1"/>
  <c r="AJ71" i="1"/>
  <c r="AI71" i="1"/>
  <c r="AJ68" i="1"/>
  <c r="AI68" i="1"/>
  <c r="AJ87" i="1"/>
  <c r="AI87" i="1"/>
  <c r="AJ65" i="1"/>
  <c r="AI65" i="1"/>
  <c r="AJ109" i="1"/>
  <c r="AI109" i="1"/>
  <c r="AJ94" i="1"/>
  <c r="AI94" i="1"/>
  <c r="AJ95" i="1"/>
  <c r="AI95" i="1"/>
  <c r="AJ80" i="1"/>
  <c r="AI80" i="1"/>
  <c r="AJ89" i="1"/>
  <c r="AI89" i="1"/>
  <c r="AJ111" i="1"/>
  <c r="AI111" i="1"/>
  <c r="AJ82" i="1"/>
  <c r="AI82" i="1"/>
  <c r="AJ64" i="1"/>
  <c r="AI64" i="1"/>
  <c r="AJ72" i="1"/>
  <c r="AI72" i="1"/>
  <c r="AJ84" i="1"/>
  <c r="AI84" i="1"/>
  <c r="AJ58" i="1"/>
  <c r="AI58" i="1"/>
  <c r="AJ102" i="1"/>
  <c r="AI102" i="1"/>
  <c r="AJ77" i="1"/>
  <c r="AI77" i="1"/>
  <c r="AJ92" i="1"/>
  <c r="AI92" i="1"/>
  <c r="AJ78" i="1"/>
  <c r="AI78" i="1"/>
  <c r="AJ60" i="1"/>
  <c r="AI60" i="1"/>
  <c r="AJ99" i="1"/>
  <c r="AI99" i="1"/>
  <c r="AJ86" i="1"/>
  <c r="AI86" i="1"/>
  <c r="AJ69" i="1"/>
  <c r="AI69" i="1"/>
  <c r="AJ75" i="1"/>
  <c r="AI75" i="1"/>
  <c r="AJ81" i="1"/>
  <c r="AI81" i="1"/>
  <c r="AJ66" i="1"/>
  <c r="AI66" i="1"/>
  <c r="AJ67" i="1"/>
  <c r="AI67" i="1"/>
  <c r="AJ107" i="1"/>
  <c r="AI107" i="1"/>
  <c r="AJ112" i="1"/>
  <c r="AI112" i="1"/>
  <c r="AJ76" i="1"/>
  <c r="AI76" i="1"/>
  <c r="AJ57" i="1"/>
  <c r="AI57" i="1"/>
  <c r="AJ70" i="1"/>
  <c r="AI70" i="1"/>
  <c r="AJ83" i="1"/>
  <c r="AI83" i="1"/>
  <c r="AJ113" i="1"/>
  <c r="AK113" i="1" s="1"/>
  <c r="AI113" i="1"/>
  <c r="AJ85" i="1"/>
  <c r="AI85" i="1"/>
  <c r="AJ63" i="1"/>
  <c r="AI63" i="1"/>
  <c r="AJ101" i="1"/>
  <c r="AI101" i="1"/>
  <c r="AJ104" i="1"/>
  <c r="AI104" i="1"/>
  <c r="AJ91" i="1"/>
  <c r="AI91" i="1"/>
  <c r="AJ54" i="1"/>
  <c r="AI54" i="1"/>
  <c r="AJ100" i="1"/>
  <c r="AI100" i="1"/>
  <c r="AJ110" i="1"/>
  <c r="AI110" i="1"/>
  <c r="AJ96" i="1"/>
  <c r="AI96" i="1"/>
  <c r="AJ59" i="1"/>
  <c r="AI59" i="1"/>
  <c r="AJ98" i="1"/>
  <c r="AI98" i="1"/>
  <c r="AJ105" i="1"/>
  <c r="AI105" i="1"/>
  <c r="AJ61" i="1"/>
  <c r="AI61" i="1"/>
  <c r="AJ55" i="1"/>
  <c r="AI55" i="1"/>
  <c r="AJ108" i="1"/>
  <c r="AI108" i="1"/>
  <c r="AJ106" i="1"/>
  <c r="AI106" i="1"/>
  <c r="AJ79" i="1"/>
  <c r="AI79" i="1"/>
  <c r="AJ90" i="1"/>
  <c r="AI90" i="1"/>
  <c r="AJ88" i="1"/>
  <c r="AI88" i="1"/>
  <c r="AJ56" i="1"/>
  <c r="AI56" i="1"/>
  <c r="AJ62" i="1"/>
  <c r="AI62" i="1"/>
  <c r="AJ103" i="1"/>
  <c r="AI103" i="1"/>
  <c r="AJ73" i="1"/>
  <c r="AI73" i="1"/>
  <c r="AJ93" i="1"/>
  <c r="AI93" i="1"/>
  <c r="AJ97" i="1"/>
  <c r="AI97" i="1"/>
  <c r="O1" i="7" l="1"/>
  <c r="B322" i="7" s="1"/>
  <c r="B2" i="1"/>
  <c r="B4" i="1"/>
  <c r="I4" i="1"/>
  <c r="I5" i="1"/>
  <c r="B6" i="1"/>
  <c r="I6" i="1"/>
  <c r="BE48" i="1"/>
  <c r="BE134" i="1"/>
  <c r="BF142" i="1"/>
  <c r="B8" i="1"/>
  <c r="B9" i="1"/>
  <c r="AF9" i="1"/>
  <c r="I11" i="1"/>
  <c r="V27" i="1"/>
  <c r="W27" i="1" s="1"/>
  <c r="V28" i="1"/>
  <c r="W28" i="1" s="1"/>
  <c r="V29" i="1"/>
  <c r="W29" i="1" s="1"/>
  <c r="V30" i="1"/>
  <c r="W30" i="1" s="1"/>
  <c r="V31" i="1"/>
  <c r="W31" i="1" s="1"/>
  <c r="V32" i="1"/>
  <c r="W32" i="1" s="1"/>
  <c r="V33" i="1"/>
  <c r="W33" i="1" s="1"/>
  <c r="V34" i="1"/>
  <c r="W34" i="1" s="1"/>
  <c r="V35" i="1"/>
  <c r="W35" i="1" s="1"/>
  <c r="V36" i="1"/>
  <c r="W36" i="1" s="1"/>
  <c r="L322" i="7" l="1"/>
  <c r="K322" i="7"/>
  <c r="I322" i="7"/>
  <c r="H322" i="7"/>
  <c r="G322" i="7"/>
  <c r="J322" i="7"/>
  <c r="AF10" i="1" s="1"/>
  <c r="AE10" i="1" s="1"/>
  <c r="AD10" i="1" s="1"/>
  <c r="AC10" i="1" s="1"/>
  <c r="AB10" i="1" s="1"/>
  <c r="AA10" i="1" s="1"/>
  <c r="Z10" i="1" s="1"/>
  <c r="Y10" i="1" s="1"/>
  <c r="BE61" i="1"/>
  <c r="BE75" i="1"/>
  <c r="BE89" i="1"/>
  <c r="BE103" i="1"/>
  <c r="BE117" i="1"/>
  <c r="BD136" i="1"/>
  <c r="BD138" i="1"/>
  <c r="BE113" i="1"/>
  <c r="BE62" i="1"/>
  <c r="BE76" i="1"/>
  <c r="BE90" i="1"/>
  <c r="BE104" i="1"/>
  <c r="BE118" i="1"/>
  <c r="BD137" i="1"/>
  <c r="BE126" i="1"/>
  <c r="BE102" i="1"/>
  <c r="BE63" i="1"/>
  <c r="BE77" i="1"/>
  <c r="BE91" i="1"/>
  <c r="BE105" i="1"/>
  <c r="BE119" i="1"/>
  <c r="BE71" i="1"/>
  <c r="BE130" i="1"/>
  <c r="BE64" i="1"/>
  <c r="BE78" i="1"/>
  <c r="BE92" i="1"/>
  <c r="BE106" i="1"/>
  <c r="BE120" i="1"/>
  <c r="B10" i="1"/>
  <c r="BE65" i="1"/>
  <c r="BE79" i="1"/>
  <c r="BE93" i="1"/>
  <c r="BE107" i="1"/>
  <c r="BE121" i="1"/>
  <c r="BE122" i="1"/>
  <c r="BE70" i="1"/>
  <c r="BE85" i="1"/>
  <c r="BE52" i="1"/>
  <c r="BE66" i="1"/>
  <c r="BE80" i="1"/>
  <c r="BE94" i="1"/>
  <c r="BE108" i="1"/>
  <c r="BE84" i="1"/>
  <c r="BE127" i="1"/>
  <c r="BE53" i="1"/>
  <c r="BE67" i="1"/>
  <c r="BE81" i="1"/>
  <c r="BE95" i="1"/>
  <c r="BE109" i="1"/>
  <c r="BE123" i="1"/>
  <c r="BE98" i="1"/>
  <c r="BE99" i="1"/>
  <c r="BE54" i="1"/>
  <c r="BE68" i="1"/>
  <c r="BE82" i="1"/>
  <c r="BE96" i="1"/>
  <c r="BE110" i="1"/>
  <c r="BE124" i="1"/>
  <c r="BE56" i="1"/>
  <c r="BE57" i="1"/>
  <c r="BE116" i="1"/>
  <c r="BE55" i="1"/>
  <c r="BE69" i="1"/>
  <c r="BE83" i="1"/>
  <c r="BE97" i="1"/>
  <c r="BE111" i="1"/>
  <c r="BE125" i="1"/>
  <c r="BE112" i="1"/>
  <c r="BE88" i="1"/>
  <c r="BE58" i="1"/>
  <c r="BE72" i="1"/>
  <c r="BE86" i="1"/>
  <c r="BE100" i="1"/>
  <c r="BE114" i="1"/>
  <c r="BE128" i="1"/>
  <c r="BE60" i="1"/>
  <c r="BE74" i="1"/>
  <c r="BE59" i="1"/>
  <c r="BE73" i="1"/>
  <c r="BE87" i="1"/>
  <c r="BE101" i="1"/>
  <c r="BE115" i="1"/>
  <c r="BE129" i="1"/>
  <c r="X27" i="1"/>
  <c r="U11" i="1" s="1"/>
  <c r="F322" i="7"/>
  <c r="E322" i="7"/>
  <c r="D322" i="7"/>
  <c r="C322" i="7"/>
  <c r="BE132" i="1" l="1"/>
  <c r="BF132" i="1" s="1"/>
  <c r="BG48" i="1"/>
  <c r="BF48" i="1"/>
  <c r="X28" i="1"/>
  <c r="U12" i="1" s="1"/>
  <c r="B13" i="1"/>
  <c r="I13" i="1"/>
  <c r="X29" i="1"/>
  <c r="U13" i="1" s="1"/>
  <c r="X30" i="1"/>
  <c r="U14" i="1" s="1"/>
  <c r="B15" i="1"/>
  <c r="X31" i="1"/>
  <c r="U15" i="1" s="1"/>
  <c r="X32" i="1"/>
  <c r="U16" i="1" s="1"/>
  <c r="X33" i="1"/>
  <c r="U17" i="1" s="1"/>
  <c r="B18" i="1"/>
  <c r="I18" i="1"/>
  <c r="X34" i="1"/>
  <c r="U18" i="1" s="1"/>
  <c r="I19" i="1"/>
  <c r="X35" i="1"/>
  <c r="U19" i="1" s="1"/>
  <c r="B20" i="1"/>
  <c r="E20" i="1"/>
  <c r="G20" i="1"/>
  <c r="I20" i="1"/>
  <c r="X36" i="1"/>
  <c r="U20" i="1" s="1"/>
  <c r="B22" i="1"/>
  <c r="D22" i="1"/>
  <c r="I22" i="1"/>
  <c r="B23" i="1"/>
  <c r="D23" i="1"/>
  <c r="I23" i="1"/>
  <c r="B24" i="1"/>
  <c r="D24" i="1"/>
  <c r="I24" i="1"/>
  <c r="V24" i="1"/>
  <c r="X24" i="1"/>
  <c r="D25" i="1"/>
  <c r="I25" i="1"/>
  <c r="B26" i="1"/>
  <c r="D26" i="1"/>
  <c r="I26" i="1"/>
  <c r="D27" i="1"/>
  <c r="D28" i="1"/>
  <c r="D29" i="1"/>
  <c r="D30" i="1"/>
  <c r="D31" i="1"/>
  <c r="B33" i="1"/>
  <c r="D33" i="1"/>
  <c r="D34" i="1"/>
  <c r="B36" i="1"/>
  <c r="V42" i="1"/>
  <c r="W41" i="1" s="1"/>
  <c r="V56" i="1"/>
  <c r="E47" i="1"/>
  <c r="U62" i="1"/>
  <c r="E52" i="1"/>
  <c r="E50" i="1" s="1"/>
  <c r="G47" i="1"/>
  <c r="B42" i="1"/>
  <c r="T64" i="1"/>
  <c r="BG132" i="1" l="1"/>
  <c r="BH48" i="1"/>
  <c r="BG47" i="1" s="1"/>
  <c r="BG133" i="1"/>
  <c r="J50" i="1"/>
  <c r="K52" i="1"/>
  <c r="K50" i="1"/>
  <c r="I50" i="1"/>
  <c r="J52" i="1"/>
  <c r="I52" i="1"/>
  <c r="I47" i="1"/>
  <c r="K47" i="1"/>
  <c r="J47" i="1"/>
  <c r="G52" i="1"/>
  <c r="G50" i="1"/>
  <c r="U63" i="1"/>
  <c r="U65" i="1" s="1"/>
  <c r="T63" i="1"/>
  <c r="M47" i="1" l="1"/>
  <c r="L47" i="1"/>
  <c r="N47" i="1" s="1"/>
  <c r="AD7" i="1"/>
  <c r="AF7" i="1"/>
  <c r="L50" i="1"/>
  <c r="E49" i="1"/>
  <c r="M50" i="1"/>
  <c r="L52" i="1"/>
  <c r="M52" i="1"/>
  <c r="U66" i="1"/>
  <c r="V43" i="1"/>
  <c r="B44" i="1"/>
  <c r="E44" i="1"/>
  <c r="F45" i="1"/>
  <c r="G45" i="1"/>
  <c r="H45" i="1"/>
  <c r="I45" i="1"/>
  <c r="J45" i="1"/>
  <c r="K45" i="1"/>
  <c r="L45" i="1"/>
  <c r="M45" i="1"/>
  <c r="N45" i="1"/>
  <c r="B46" i="1"/>
  <c r="E46" i="1"/>
  <c r="F46" i="1"/>
  <c r="G46" i="1"/>
  <c r="J46" i="1"/>
  <c r="N46" i="1"/>
  <c r="U77" i="1"/>
  <c r="BL47" i="1"/>
  <c r="B48" i="1"/>
  <c r="BL48" i="1"/>
  <c r="B49" i="1"/>
  <c r="Y56" i="1"/>
  <c r="Y59" i="1"/>
  <c r="X59" i="1" s="1"/>
  <c r="AE49" i="1"/>
  <c r="AS49" i="1"/>
  <c r="B50" i="1"/>
  <c r="BE50" i="1"/>
  <c r="BL50" i="1"/>
  <c r="B51" i="1"/>
  <c r="BL51" i="1"/>
  <c r="B52" i="1"/>
  <c r="E61" i="1" s="1"/>
  <c r="BM53" i="1"/>
  <c r="BM52" i="1" s="1"/>
  <c r="B53" i="1"/>
  <c r="E62" i="1" s="1"/>
  <c r="B54" i="1"/>
  <c r="AN54" i="1"/>
  <c r="AZ54" i="1"/>
  <c r="BL54" i="1"/>
  <c r="B55" i="1"/>
  <c r="B56" i="1"/>
  <c r="X56" i="1"/>
  <c r="B57" i="1"/>
  <c r="B58" i="1"/>
  <c r="E58" i="1"/>
  <c r="H58" i="1"/>
  <c r="B60" i="1"/>
  <c r="E60" i="1"/>
  <c r="B61" i="1"/>
  <c r="B62" i="1"/>
  <c r="R62" i="1"/>
  <c r="B63" i="1"/>
  <c r="E63" i="1"/>
  <c r="R63" i="1"/>
  <c r="B64" i="1"/>
  <c r="E64" i="1"/>
  <c r="B66" i="1"/>
  <c r="E66" i="1"/>
  <c r="B67" i="1"/>
  <c r="E67" i="1"/>
  <c r="F67" i="1"/>
  <c r="B68" i="1"/>
  <c r="C72" i="1"/>
  <c r="G68" i="1"/>
  <c r="H68" i="1" s="1"/>
  <c r="I68" i="1" s="1"/>
  <c r="J68" i="1"/>
  <c r="K68" i="1" s="1"/>
  <c r="L68" i="1" s="1"/>
  <c r="M68" i="1" s="1"/>
  <c r="N68" i="1" s="1"/>
  <c r="B69" i="1"/>
  <c r="E71" i="1"/>
  <c r="E70" i="1"/>
  <c r="E69" i="1" s="1"/>
  <c r="B70" i="1"/>
  <c r="B71" i="1"/>
  <c r="B72" i="1"/>
  <c r="B73" i="1"/>
  <c r="E73" i="1"/>
  <c r="B74" i="1"/>
  <c r="E74" i="1"/>
  <c r="E75" i="1" s="1"/>
  <c r="B75" i="1"/>
  <c r="B77" i="1"/>
  <c r="V77" i="1"/>
  <c r="B78" i="1"/>
  <c r="E78" i="1"/>
  <c r="B79" i="1"/>
  <c r="E79" i="1"/>
  <c r="F79" i="1"/>
  <c r="B80" i="1"/>
  <c r="I80" i="1"/>
  <c r="H80" i="1" s="1"/>
  <c r="G80" i="1" s="1"/>
  <c r="F80" i="1" s="1"/>
  <c r="K80" i="1"/>
  <c r="L80" i="1" s="1"/>
  <c r="M80" i="1" s="1"/>
  <c r="N80" i="1" s="1"/>
  <c r="B81" i="1"/>
  <c r="E83" i="1"/>
  <c r="E82" i="1" s="1"/>
  <c r="E81" i="1" s="1"/>
  <c r="B83" i="1"/>
  <c r="B84" i="1"/>
  <c r="B85" i="1"/>
  <c r="E85" i="1"/>
  <c r="E86" i="1"/>
  <c r="E87" i="1" s="1"/>
  <c r="B87" i="1"/>
  <c r="B88" i="1"/>
  <c r="B89" i="1"/>
  <c r="B91" i="1"/>
  <c r="BD139" i="1"/>
  <c r="BD140" i="1"/>
  <c r="BF135" i="1"/>
  <c r="U78" i="1" a="1"/>
  <c r="U79" i="1" a="1"/>
  <c r="U80" i="1" a="1"/>
  <c r="U81" i="1" a="1"/>
  <c r="U82" i="1" a="1"/>
  <c r="U83" i="1" a="1"/>
  <c r="U84" i="1" a="1"/>
  <c r="U85" i="1" a="1"/>
  <c r="U86" i="1" a="1"/>
  <c r="U87" i="1" a="1"/>
  <c r="U88" i="1" a="1"/>
  <c r="U89" i="1" a="1"/>
  <c r="U90" i="1" a="1"/>
  <c r="U91" i="1" a="1"/>
  <c r="U92" i="1" a="1"/>
  <c r="U93" i="1" a="1"/>
  <c r="U94" i="1" a="1"/>
  <c r="U95" i="1" a="1"/>
  <c r="U96" i="1" a="1"/>
  <c r="U97" i="1" a="1"/>
  <c r="U98" i="1" a="1"/>
  <c r="U99" i="1" a="1"/>
  <c r="U100" i="1" a="1"/>
  <c r="U101" i="1" a="1"/>
  <c r="U102" i="1" a="1"/>
  <c r="U103" i="1" a="1"/>
  <c r="U104" i="1" a="1"/>
  <c r="U105" i="1" a="1"/>
  <c r="U106" i="1" a="1"/>
  <c r="U107" i="1" a="1"/>
  <c r="U108" i="1" a="1"/>
  <c r="U109" i="1" a="1"/>
  <c r="U110" i="1" a="1"/>
  <c r="U111" i="1" a="1"/>
  <c r="U112" i="1" a="1"/>
  <c r="U113" i="1" a="1"/>
  <c r="U114" i="1" a="1"/>
  <c r="U115" i="1" a="1"/>
  <c r="U116" i="1" a="1"/>
  <c r="U117" i="1" a="1"/>
  <c r="U118" i="1" a="1"/>
  <c r="U119" i="1" a="1"/>
  <c r="U120" i="1" a="1"/>
  <c r="U121" i="1" a="1"/>
  <c r="U122" i="1" a="1"/>
  <c r="U123" i="1" a="1"/>
  <c r="U124" i="1" a="1"/>
  <c r="U125" i="1" a="1"/>
  <c r="U126" i="1" a="1"/>
  <c r="U127" i="1" a="1"/>
  <c r="U128" i="1" a="1"/>
  <c r="U129" i="1" a="1"/>
  <c r="U130" i="1" a="1"/>
  <c r="U131" i="1" a="1"/>
  <c r="U132" i="1" a="1"/>
  <c r="U133" i="1" a="1"/>
  <c r="U134" i="1" a="1"/>
  <c r="U135" i="1" a="1"/>
  <c r="U136" i="1" a="1"/>
  <c r="U137" i="1" a="1"/>
  <c r="U138" i="1" a="1"/>
  <c r="U139" i="1" a="1"/>
  <c r="U140" i="1" a="1"/>
  <c r="U141" i="1" a="1"/>
  <c r="U142" i="1" a="1"/>
  <c r="U143" i="1" a="1"/>
  <c r="U144" i="1" a="1"/>
  <c r="U145" i="1" a="1"/>
  <c r="U146" i="1" a="1"/>
  <c r="U147" i="1" a="1"/>
  <c r="U148" i="1" a="1"/>
  <c r="U149" i="1" a="1"/>
  <c r="U150" i="1" a="1"/>
  <c r="U151" i="1" a="1"/>
  <c r="U152" i="1" a="1"/>
  <c r="U153" i="1" a="1"/>
  <c r="U154" i="1" a="1"/>
  <c r="U155" i="1" a="1"/>
  <c r="U156" i="1" a="1"/>
  <c r="U157" i="1" a="1"/>
  <c r="U158" i="1" a="1"/>
  <c r="U159" i="1" a="1"/>
  <c r="V78" i="1" a="1"/>
  <c r="V79" i="1" a="1"/>
  <c r="V80" i="1" a="1"/>
  <c r="V81" i="1" a="1"/>
  <c r="V82" i="1" a="1"/>
  <c r="V83" i="1" a="1"/>
  <c r="V84" i="1" a="1"/>
  <c r="V85" i="1" a="1"/>
  <c r="V86" i="1" a="1"/>
  <c r="V87" i="1" a="1"/>
  <c r="V88" i="1" a="1"/>
  <c r="V89" i="1" a="1"/>
  <c r="V90" i="1" a="1"/>
  <c r="V91" i="1" a="1"/>
  <c r="V92" i="1" a="1"/>
  <c r="V93" i="1" a="1"/>
  <c r="V94" i="1" a="1"/>
  <c r="V95" i="1" a="1"/>
  <c r="V96" i="1" a="1"/>
  <c r="V97" i="1" a="1"/>
  <c r="V98" i="1" a="1"/>
  <c r="V99" i="1" a="1"/>
  <c r="V100" i="1" a="1"/>
  <c r="V101" i="1" a="1"/>
  <c r="V102" i="1" a="1"/>
  <c r="V103" i="1" a="1"/>
  <c r="V104" i="1" a="1"/>
  <c r="V105" i="1" a="1"/>
  <c r="V106" i="1" a="1"/>
  <c r="V107" i="1" a="1"/>
  <c r="V108" i="1" a="1"/>
  <c r="V109" i="1" a="1"/>
  <c r="V110" i="1" a="1"/>
  <c r="V111" i="1" a="1"/>
  <c r="V112" i="1" a="1"/>
  <c r="V113" i="1" a="1"/>
  <c r="V114" i="1" a="1"/>
  <c r="V115" i="1" a="1"/>
  <c r="V116" i="1" a="1"/>
  <c r="V117" i="1" a="1"/>
  <c r="V118" i="1" a="1"/>
  <c r="V119" i="1" a="1"/>
  <c r="V120" i="1" a="1"/>
  <c r="V121" i="1" a="1"/>
  <c r="V122" i="1" a="1"/>
  <c r="V123" i="1" a="1"/>
  <c r="V124" i="1" a="1"/>
  <c r="V125" i="1" a="1"/>
  <c r="V126" i="1" a="1"/>
  <c r="V127" i="1" a="1"/>
  <c r="V128" i="1" a="1"/>
  <c r="V129" i="1" a="1"/>
  <c r="V130" i="1" a="1"/>
  <c r="V131" i="1" a="1"/>
  <c r="V132" i="1" a="1"/>
  <c r="V133" i="1" a="1"/>
  <c r="V134" i="1" a="1"/>
  <c r="V135" i="1" a="1"/>
  <c r="V136" i="1" a="1"/>
  <c r="V137" i="1" a="1"/>
  <c r="V138" i="1" a="1"/>
  <c r="V139" i="1" a="1"/>
  <c r="V140" i="1" a="1"/>
  <c r="V141" i="1" a="1"/>
  <c r="V142" i="1" a="1"/>
  <c r="V143" i="1" a="1"/>
  <c r="V144" i="1" a="1"/>
  <c r="V145" i="1" a="1"/>
  <c r="V146" i="1" a="1"/>
  <c r="V147" i="1" a="1"/>
  <c r="V148" i="1" a="1"/>
  <c r="V149" i="1" a="1"/>
  <c r="V150" i="1" a="1"/>
  <c r="V151" i="1" a="1"/>
  <c r="V152" i="1" a="1"/>
  <c r="V153" i="1" a="1"/>
  <c r="V154" i="1" a="1"/>
  <c r="V155" i="1" a="1"/>
  <c r="V156" i="1" a="1"/>
  <c r="V157" i="1" a="1"/>
  <c r="V158" i="1" a="1"/>
  <c r="V159" i="1" a="1"/>
  <c r="Z59" i="1" a="1"/>
  <c r="AA59" i="1" a="1"/>
  <c r="AZ63" i="1" a="1"/>
  <c r="AN63" i="1" a="1"/>
  <c r="K49" i="1" l="1"/>
  <c r="E56" i="1" s="1"/>
  <c r="I49" i="1"/>
  <c r="J49" i="1"/>
  <c r="G49" i="1"/>
  <c r="N50" i="1"/>
  <c r="N56" i="1"/>
  <c r="N52" i="1"/>
  <c r="Y60" i="1"/>
  <c r="W77" i="1"/>
  <c r="U67" i="1"/>
  <c r="U68" i="1" s="1"/>
  <c r="U69" i="1" s="1"/>
  <c r="U70" i="1" s="1"/>
  <c r="AB59" i="1"/>
  <c r="C84" i="1"/>
  <c r="C53" i="1"/>
  <c r="N62" i="1" s="1"/>
  <c r="C51" i="1"/>
  <c r="C80" i="1" s="1"/>
  <c r="AV53" i="1"/>
  <c r="AW53" i="1" s="1"/>
  <c r="W78" i="1" a="1"/>
  <c r="W79" i="1" a="1"/>
  <c r="W80" i="1" a="1"/>
  <c r="W81" i="1" a="1"/>
  <c r="W82" i="1" a="1"/>
  <c r="W83" i="1" a="1"/>
  <c r="W84" i="1" a="1"/>
  <c r="W85" i="1" a="1"/>
  <c r="W86" i="1" a="1"/>
  <c r="W87" i="1" a="1"/>
  <c r="W88" i="1" a="1"/>
  <c r="W89" i="1" a="1"/>
  <c r="W90" i="1" a="1"/>
  <c r="W91" i="1" a="1"/>
  <c r="W92" i="1" a="1"/>
  <c r="W93" i="1" a="1"/>
  <c r="W94" i="1" a="1"/>
  <c r="W95" i="1" a="1"/>
  <c r="W96" i="1" a="1"/>
  <c r="W97" i="1" a="1"/>
  <c r="W98" i="1" a="1"/>
  <c r="W99" i="1" a="1"/>
  <c r="W100" i="1" a="1"/>
  <c r="W101" i="1" a="1"/>
  <c r="W102" i="1" a="1"/>
  <c r="W103" i="1" a="1"/>
  <c r="W104" i="1" a="1"/>
  <c r="W105" i="1" a="1"/>
  <c r="W106" i="1" a="1"/>
  <c r="W107" i="1" a="1"/>
  <c r="W108" i="1" a="1"/>
  <c r="W109" i="1" a="1"/>
  <c r="W110" i="1" a="1"/>
  <c r="W111" i="1" a="1"/>
  <c r="W112" i="1" a="1"/>
  <c r="W113" i="1" a="1"/>
  <c r="W114" i="1" a="1"/>
  <c r="W115" i="1" a="1"/>
  <c r="W116" i="1" a="1"/>
  <c r="W117" i="1" a="1"/>
  <c r="W118" i="1" a="1"/>
  <c r="W119" i="1" a="1"/>
  <c r="W120" i="1" a="1"/>
  <c r="W121" i="1" a="1"/>
  <c r="W122" i="1" a="1"/>
  <c r="W123" i="1" a="1"/>
  <c r="W124" i="1" a="1"/>
  <c r="W125" i="1" a="1"/>
  <c r="W126" i="1" a="1"/>
  <c r="W127" i="1" a="1"/>
  <c r="W128" i="1" a="1"/>
  <c r="W129" i="1" a="1"/>
  <c r="W130" i="1" a="1"/>
  <c r="W131" i="1" a="1"/>
  <c r="W132" i="1" a="1"/>
  <c r="W133" i="1" a="1"/>
  <c r="W134" i="1" a="1"/>
  <c r="W135" i="1" a="1"/>
  <c r="W136" i="1" a="1"/>
  <c r="W137" i="1" a="1"/>
  <c r="W138" i="1" a="1"/>
  <c r="W139" i="1" a="1"/>
  <c r="W140" i="1" a="1"/>
  <c r="W141" i="1" a="1"/>
  <c r="W142" i="1" a="1"/>
  <c r="W143" i="1" a="1"/>
  <c r="W144" i="1" a="1"/>
  <c r="W145" i="1" a="1"/>
  <c r="W146" i="1" a="1"/>
  <c r="W147" i="1" a="1"/>
  <c r="W148" i="1" a="1"/>
  <c r="W149" i="1" a="1"/>
  <c r="W150" i="1" a="1"/>
  <c r="W151" i="1" a="1"/>
  <c r="W152" i="1" a="1"/>
  <c r="W153" i="1" a="1"/>
  <c r="W154" i="1" a="1"/>
  <c r="W155" i="1" a="1"/>
  <c r="W156" i="1" a="1"/>
  <c r="W157" i="1" a="1"/>
  <c r="W158" i="1" a="1"/>
  <c r="W159" i="1" a="1"/>
  <c r="AA60" i="1" a="1"/>
  <c r="S159" i="1" s="1"/>
  <c r="S158" i="1" s="1"/>
  <c r="S157" i="1" s="1"/>
  <c r="S155" i="1" s="1"/>
  <c r="S154" i="1" s="1"/>
  <c r="S153" i="1" s="1"/>
  <c r="S152" i="1" s="1"/>
  <c r="S151" i="1" s="1"/>
  <c r="S150" i="1" s="1"/>
  <c r="S149" i="1" s="1"/>
  <c r="S146" i="1" s="1"/>
  <c r="S145" i="1" s="1"/>
  <c r="S144" i="1" s="1"/>
  <c r="S143" i="1" s="1"/>
  <c r="S142" i="1" s="1"/>
  <c r="S141" i="1" s="1"/>
  <c r="S140" i="1" s="1"/>
  <c r="S139" i="1" s="1"/>
  <c r="S138" i="1" s="1"/>
  <c r="S137" i="1" s="1"/>
  <c r="S135" i="1" s="1"/>
  <c r="S134" i="1" s="1"/>
  <c r="S132" i="1" s="1"/>
  <c r="S131" i="1" s="1"/>
  <c r="S130" i="1" s="1"/>
  <c r="S129" i="1" s="1"/>
  <c r="S128" i="1" s="1"/>
  <c r="S127" i="1" s="1"/>
  <c r="S126" i="1" s="1"/>
  <c r="S125" i="1" s="1"/>
  <c r="S123" i="1" s="1"/>
  <c r="S122" i="1" s="1"/>
  <c r="S121" i="1" s="1"/>
  <c r="S120" i="1" s="1"/>
  <c r="S118" i="1" s="1"/>
  <c r="S117" i="1" s="1"/>
  <c r="C47" i="1" s="1"/>
  <c r="C71" i="1" s="1"/>
  <c r="S116" i="1" s="1"/>
  <c r="S115" i="1" s="1"/>
  <c r="S113" i="1" s="1"/>
  <c r="S112" i="1" s="1"/>
  <c r="S111" i="1" s="1"/>
  <c r="S110" i="1" s="1"/>
  <c r="S109" i="1" s="1"/>
  <c r="S108" i="1" s="1"/>
  <c r="S107" i="1" s="1"/>
  <c r="S106" i="1" s="1"/>
  <c r="S104" i="1" s="1"/>
  <c r="S103" i="1" s="1"/>
  <c r="S102" i="1" s="1"/>
  <c r="S101" i="1" s="1"/>
  <c r="S100" i="1" s="1"/>
  <c r="S99" i="1" s="1"/>
  <c r="S98" i="1" s="1"/>
  <c r="S97" i="1" s="1"/>
  <c r="S96" i="1" s="1"/>
  <c r="S95" i="1" s="1"/>
  <c r="S94" i="1" s="1"/>
  <c r="S93" i="1" s="1"/>
  <c r="S92" i="1" s="1"/>
  <c r="S90" i="1" s="1"/>
  <c r="S89" i="1" s="1"/>
  <c r="S88" i="1" s="1"/>
  <c r="S87" i="1" s="1"/>
  <c r="S86" i="1" s="1"/>
  <c r="S85" i="1" s="1"/>
  <c r="S84" i="1" s="1"/>
  <c r="S83" i="1" s="1"/>
  <c r="S82" i="1" s="1"/>
  <c r="S81" i="1" s="1"/>
  <c r="S80" i="1" s="1"/>
  <c r="S79" i="1" s="1"/>
  <c r="S78" i="1" s="1"/>
  <c r="S133" i="1"/>
  <c r="S105" i="1"/>
  <c r="S119" i="1"/>
  <c r="S148" i="1"/>
  <c r="S136" i="1"/>
  <c r="S147" i="1"/>
  <c r="S91" i="1"/>
  <c r="S124" i="1"/>
  <c r="S114" i="1"/>
  <c r="S156" i="1"/>
  <c r="AU53" i="1"/>
  <c r="BW9" i="5"/>
  <c r="BX2" i="5" s="1"/>
  <c r="BW10" i="5"/>
  <c r="BX3" i="5" s="1"/>
  <c r="AA61" i="1" a="1"/>
  <c r="Z60" i="1" a="1"/>
  <c r="AZ65" i="1"/>
  <c r="AZ66" i="1"/>
  <c r="AZ69" i="1"/>
  <c r="AZ68" i="1"/>
  <c r="AZ67" i="1"/>
  <c r="AA62" i="1" a="1"/>
  <c r="Z61" i="1" a="1"/>
  <c r="Z62" i="1" a="1"/>
  <c r="AA63" i="1" a="1"/>
  <c r="C46" i="1"/>
  <c r="AJ53" i="1"/>
  <c r="AK53" i="1" s="1"/>
  <c r="AI53" i="1"/>
  <c r="Z63" i="1" a="1"/>
  <c r="AA64" i="1" a="1"/>
  <c r="N63" i="1"/>
  <c r="C78" i="1"/>
  <c r="AK64" i="1"/>
  <c r="AK98" i="1"/>
  <c r="AK76" i="1"/>
  <c r="AK86" i="1"/>
  <c r="AK84" i="1"/>
  <c r="AK74" i="1"/>
  <c r="AK89" i="1"/>
  <c r="AK60" i="1"/>
  <c r="AK55" i="1"/>
  <c r="AK54" i="1"/>
  <c r="AK110" i="1"/>
  <c r="AK59" i="1"/>
  <c r="AK88" i="1"/>
  <c r="AK104" i="1"/>
  <c r="AK69" i="1"/>
  <c r="AK58" i="1"/>
  <c r="AK95" i="1"/>
  <c r="AK111" i="1"/>
  <c r="AK72" i="1"/>
  <c r="AK107" i="1"/>
  <c r="AK105" i="1"/>
  <c r="AK57" i="1"/>
  <c r="AK102" i="1"/>
  <c r="AK80" i="1"/>
  <c r="AK71" i="1"/>
  <c r="AK68" i="1"/>
  <c r="AK66" i="1"/>
  <c r="AK100" i="1"/>
  <c r="AK106" i="1"/>
  <c r="AK97" i="1"/>
  <c r="AK91" i="1"/>
  <c r="AK75" i="1"/>
  <c r="AK67" i="1"/>
  <c r="AK94" i="1"/>
  <c r="AK99" i="1"/>
  <c r="AK70" i="1"/>
  <c r="AK77" i="1"/>
  <c r="AK93" i="1"/>
  <c r="AK81" i="1"/>
  <c r="AK62" i="1"/>
  <c r="AK103" i="1"/>
  <c r="AK61" i="1"/>
  <c r="AK112" i="1"/>
  <c r="AK92" i="1"/>
  <c r="AK87" i="1"/>
  <c r="AK109" i="1"/>
  <c r="AK56" i="1"/>
  <c r="AK78" i="1"/>
  <c r="AK83" i="1"/>
  <c r="AK85" i="1"/>
  <c r="AK63" i="1"/>
  <c r="AK82" i="1"/>
  <c r="AK73" i="1"/>
  <c r="AK79" i="1"/>
  <c r="AK90" i="1"/>
  <c r="AK65" i="1"/>
  <c r="AK108" i="1"/>
  <c r="AK96" i="1"/>
  <c r="AK101" i="1"/>
  <c r="AA65" i="1" a="1"/>
  <c r="Z64" i="1" a="1"/>
  <c r="Z65" i="1" a="1"/>
  <c r="AA66" i="1" a="1"/>
  <c r="AA67" i="1" a="1"/>
  <c r="Z66" i="1" a="1"/>
  <c r="Z67" i="1" a="1"/>
  <c r="AA68" i="1" a="1"/>
  <c r="Z68" i="1" a="1"/>
  <c r="C74" i="1" l="1"/>
  <c r="B16" i="9" s="1"/>
  <c r="AB67" i="1"/>
  <c r="AB65" i="1"/>
  <c r="AB66" i="1"/>
  <c r="AB68" i="1"/>
  <c r="C49" i="1" s="1"/>
  <c r="C67" i="1" s="1"/>
  <c r="BB65" i="1"/>
  <c r="BA65" i="1"/>
  <c r="BA66" i="1"/>
  <c r="BB66" i="1"/>
  <c r="BB69" i="1"/>
  <c r="BA69" i="1"/>
  <c r="BB68" i="1"/>
  <c r="BA68" i="1"/>
  <c r="BB67" i="1"/>
  <c r="BA67" i="1"/>
  <c r="AB60" i="1"/>
  <c r="AB64" i="1"/>
  <c r="G56" i="1"/>
  <c r="I56" i="1"/>
  <c r="J56" i="1"/>
  <c r="K56" i="1"/>
  <c r="E51" i="1"/>
  <c r="L49" i="1"/>
  <c r="M49" i="1"/>
  <c r="X60" i="1"/>
  <c r="Y61" i="1"/>
  <c r="AZ56" i="1"/>
  <c r="AZ60" i="1"/>
  <c r="AZ57" i="1"/>
  <c r="AZ58" i="1"/>
  <c r="AZ59" i="1"/>
  <c r="AB61" i="1"/>
  <c r="AB62" i="1" s="1"/>
  <c r="AB63" i="1"/>
  <c r="AN66" i="1"/>
  <c r="AN67" i="1"/>
  <c r="AN65" i="1"/>
  <c r="AN68" i="1"/>
  <c r="AN69" i="1"/>
  <c r="AN58" i="1"/>
  <c r="AN60" i="1"/>
  <c r="AN56" i="1"/>
  <c r="AN57" i="1"/>
  <c r="AN59" i="1"/>
  <c r="BB63" i="1" l="1"/>
  <c r="L56" i="1"/>
  <c r="M56" i="1"/>
  <c r="I51" i="1"/>
  <c r="J51" i="1"/>
  <c r="K51" i="1"/>
  <c r="G51" i="1"/>
  <c r="E55" i="1" s="1"/>
  <c r="N55" i="1" s="1"/>
  <c r="X61" i="1"/>
  <c r="Y62" i="1"/>
  <c r="BB56" i="1"/>
  <c r="BA56" i="1"/>
  <c r="BA60" i="1"/>
  <c r="BB60" i="1"/>
  <c r="BB57" i="1"/>
  <c r="BA57" i="1"/>
  <c r="BB58" i="1"/>
  <c r="BA58" i="1"/>
  <c r="BA59" i="1"/>
  <c r="BB59" i="1"/>
  <c r="AO66" i="1"/>
  <c r="AP66" i="1"/>
  <c r="AO67" i="1"/>
  <c r="AP67" i="1"/>
  <c r="AP65" i="1"/>
  <c r="AO65" i="1"/>
  <c r="AO68" i="1"/>
  <c r="AP68" i="1"/>
  <c r="AP69" i="1"/>
  <c r="AO69" i="1"/>
  <c r="AO58" i="1"/>
  <c r="AP58" i="1"/>
  <c r="AO60" i="1"/>
  <c r="AP60" i="1"/>
  <c r="AO56" i="1"/>
  <c r="AP56" i="1"/>
  <c r="AO57" i="1"/>
  <c r="AP57" i="1"/>
  <c r="AO59" i="1"/>
  <c r="AP59" i="1"/>
  <c r="N49" i="1"/>
  <c r="BB54" i="1" l="1"/>
  <c r="BB51" i="1" s="1"/>
  <c r="C57" i="1" s="1"/>
  <c r="C83" i="1" s="1"/>
  <c r="C85" i="1" s="1"/>
  <c r="AP54" i="1"/>
  <c r="L51" i="1"/>
  <c r="N51" i="1" s="1"/>
  <c r="M51" i="1"/>
  <c r="G55" i="1"/>
  <c r="K55" i="1"/>
  <c r="I55" i="1"/>
  <c r="J55" i="1"/>
  <c r="L55" i="1" s="1"/>
  <c r="X62" i="1"/>
  <c r="Y63" i="1"/>
  <c r="AP63" i="1"/>
  <c r="AP51" i="1" l="1"/>
  <c r="C55" i="1" s="1"/>
  <c r="C77" i="1" s="1"/>
  <c r="C79" i="1" s="1"/>
  <c r="Y64" i="1"/>
  <c r="X63" i="1"/>
  <c r="M55" i="1"/>
  <c r="C81" i="1" l="1"/>
  <c r="B15" i="9"/>
  <c r="X64" i="1"/>
  <c r="Y65" i="1"/>
  <c r="Y66" i="1" l="1"/>
  <c r="X65" i="1"/>
  <c r="X66" i="1" l="1"/>
  <c r="Y67" i="1"/>
  <c r="Y68" i="1" l="1"/>
  <c r="X68" i="1" s="1"/>
  <c r="X67" i="1"/>
  <c r="C52" i="1"/>
  <c r="N61" i="1" s="1"/>
  <c r="E48" i="1"/>
  <c r="J48" i="1" s="1"/>
  <c r="E54" i="1"/>
  <c r="I54" i="1"/>
  <c r="J54" i="1"/>
  <c r="E53" i="1"/>
  <c r="K48" i="1"/>
  <c r="I48" i="1"/>
  <c r="G54" i="1"/>
  <c r="G48" i="1"/>
  <c r="C69" i="1"/>
  <c r="C70" i="1" s="1"/>
  <c r="C73" i="1" s="1"/>
  <c r="C75" i="1" l="1"/>
  <c r="C87" i="1" s="1"/>
  <c r="B14" i="9"/>
  <c r="M48" i="1"/>
  <c r="L48" i="1"/>
  <c r="K54" i="1"/>
  <c r="M54" i="1" s="1"/>
  <c r="L54" i="1"/>
  <c r="J53" i="1"/>
  <c r="I53" i="1"/>
  <c r="K53" i="1"/>
  <c r="G53" i="1"/>
  <c r="B13" i="9" l="1"/>
  <c r="E80" i="1"/>
  <c r="E68" i="1"/>
  <c r="N54" i="1"/>
  <c r="N48" i="1"/>
  <c r="M53" i="1"/>
  <c r="L53" i="1"/>
  <c r="N53" i="1" s="1"/>
  <c r="N58" i="1" s="1"/>
  <c r="N60" i="1" s="1"/>
  <c r="N64" i="1" s="1"/>
  <c r="W42" i="1" s="1"/>
  <c r="G7" i="9" l="1"/>
  <c r="G4" i="9"/>
  <c r="G8" i="9"/>
  <c r="G9" i="9"/>
  <c r="G5" i="9"/>
  <c r="G10" i="9"/>
  <c r="G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Bagga, Nandan</author>
  </authors>
  <commentList>
    <comment ref="C46" authorId="0" shapeId="0" xr:uid="{58E5CD20-3315-4F21-8324-13F93ADB37E5}">
      <text>
        <r>
          <rPr>
            <sz val="9"/>
            <color indexed="81"/>
            <rFont val="Tahoma"/>
            <family val="2"/>
          </rPr>
          <t>Average of Effective Tax Rate for Last 5 Fiscal Years. Please adjust as you see fit.</t>
        </r>
      </text>
    </comment>
    <comment ref="C49" authorId="0" shapeId="0" xr:uid="{3B0806BE-534A-44C3-9DCB-7D0109E2B1FF}">
      <text>
        <r>
          <rPr>
            <sz val="9"/>
            <color indexed="81"/>
            <rFont val="Tahoma"/>
            <family val="2"/>
          </rPr>
          <t>Average of Last 10 Years of Yearly Price Returns for the selected Index. Please adjust as you see fit.</t>
        </r>
      </text>
    </comment>
    <comment ref="C54" authorId="0" shapeId="0" xr:uid="{EC42181F-7F61-4E9E-BA3E-680CCC09BD5A}">
      <text>
        <r>
          <rPr>
            <sz val="9"/>
            <color indexed="81"/>
            <rFont val="Tahoma"/>
            <family val="2"/>
          </rPr>
          <t>Arbitrary Number</t>
        </r>
      </text>
    </comment>
    <comment ref="C55" authorId="0" shapeId="0" xr:uid="{964439BA-34E4-41DF-BDB1-4B6B13979374}">
      <text>
        <r>
          <rPr>
            <sz val="9"/>
            <color indexed="81"/>
            <rFont val="Tahoma"/>
            <family val="2"/>
          </rPr>
          <t>Average of Yields of 5 Most Recently Issued Bonds. Please adjust as you see fit.</t>
        </r>
      </text>
    </comment>
    <comment ref="C57" authorId="0" shapeId="0" xr:uid="{6BD529CD-C598-4E8D-A996-CD3EFAADDA5A}">
      <text>
        <r>
          <rPr>
            <sz val="9"/>
            <color indexed="81"/>
            <rFont val="Tahoma"/>
            <family val="2"/>
          </rPr>
          <t>Average of Coupons of all Preferred Fixed Income instruments.  Please adjust as you see fit.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<sst xmlns="http://schemas.openxmlformats.org/spreadsheetml/2006/main" count="6089" uniqueCount="5223">
  <si>
    <t>--END QUERY--</t>
  </si>
  <si>
    <t xml:space="preserve"> </t>
  </si>
  <si>
    <t>English</t>
  </si>
  <si>
    <t>support.CapIQPro@spglobal.com</t>
  </si>
  <si>
    <t>S&amp;P 500</t>
  </si>
  <si>
    <t>U.S. Dollar</t>
  </si>
  <si>
    <t>Thousands</t>
  </si>
  <si>
    <t>Days:</t>
  </si>
  <si>
    <t>Institution Name</t>
  </si>
  <si>
    <t>Entity ID</t>
  </si>
  <si>
    <t xml:space="preserve">Trading Symbol &amp; Exchange </t>
  </si>
  <si>
    <t>Effective Tax Rate (%)</t>
  </si>
  <si>
    <t>Market Capitalization</t>
  </si>
  <si>
    <t>Beta Selection</t>
  </si>
  <si>
    <t>Covariance:</t>
  </si>
  <si>
    <t>SP_ENTITY_ID</t>
  </si>
  <si>
    <t>SP_TICKER_EXCHANGE</t>
  </si>
  <si>
    <t>IQ_EFFECT_TAX_RATE</t>
  </si>
  <si>
    <t>IQ_TOTAL_DEBT</t>
  </si>
  <si>
    <t>SP_MARKETCAP</t>
  </si>
  <si>
    <t>IQ_TOTAL_PREF_EQUITY</t>
  </si>
  <si>
    <t>Variance:</t>
  </si>
  <si>
    <t>PAD: ON</t>
  </si>
  <si>
    <t>PAD: OFF</t>
  </si>
  <si>
    <t>Currency Conversion Method</t>
  </si>
  <si>
    <t>Recommended</t>
  </si>
  <si>
    <t xml:space="preserve">Institution Name </t>
  </si>
  <si>
    <t xml:space="preserve">Funding Type </t>
  </si>
  <si>
    <t>Dividend Rate (%)</t>
  </si>
  <si>
    <t>ISO Code</t>
  </si>
  <si>
    <t>Symbol</t>
  </si>
  <si>
    <t>Mag.</t>
  </si>
  <si>
    <t>Currency Name</t>
  </si>
  <si>
    <t>EUR</t>
  </si>
  <si>
    <t>€</t>
  </si>
  <si>
    <t>000</t>
  </si>
  <si>
    <t>Euro</t>
  </si>
  <si>
    <t>GBP</t>
  </si>
  <si>
    <t>£</t>
  </si>
  <si>
    <t>British Pound Sterling</t>
  </si>
  <si>
    <t>JPY</t>
  </si>
  <si>
    <t>¥</t>
  </si>
  <si>
    <t>M</t>
  </si>
  <si>
    <t>Japanese Yen</t>
  </si>
  <si>
    <t>USD</t>
  </si>
  <si>
    <t>$</t>
  </si>
  <si>
    <t>AFN</t>
  </si>
  <si>
    <t>Afghan Afghani</t>
  </si>
  <si>
    <t>Chinese Simplified</t>
  </si>
  <si>
    <t>ALL</t>
  </si>
  <si>
    <t>Albanian Lek</t>
  </si>
  <si>
    <t>Chinese Traditional</t>
  </si>
  <si>
    <t>ARS</t>
  </si>
  <si>
    <t>AR$</t>
  </si>
  <si>
    <t>Argentine Peso</t>
  </si>
  <si>
    <t>French</t>
  </si>
  <si>
    <t>AMD</t>
  </si>
  <si>
    <t>dr</t>
  </si>
  <si>
    <t>Armenian Dram</t>
  </si>
  <si>
    <t>German</t>
  </si>
  <si>
    <t>AUD</t>
  </si>
  <si>
    <t>AU$</t>
  </si>
  <si>
    <t>Australian Dollar</t>
  </si>
  <si>
    <t>Italian</t>
  </si>
  <si>
    <t>AZN</t>
  </si>
  <si>
    <t>m</t>
  </si>
  <si>
    <t>Azerbaijani Manat</t>
  </si>
  <si>
    <t>Japanese</t>
  </si>
  <si>
    <t>BSD</t>
  </si>
  <si>
    <t>B$</t>
  </si>
  <si>
    <t>Bahamian Dollar</t>
  </si>
  <si>
    <t>Korean</t>
  </si>
  <si>
    <t>BHD</t>
  </si>
  <si>
    <t>BD</t>
  </si>
  <si>
    <t>Bahraini Dinar</t>
  </si>
  <si>
    <t>Portuguese</t>
  </si>
  <si>
    <t xml:space="preserve">Financials Reported Currency Code </t>
  </si>
  <si>
    <t>IQ_CURRENCY_FINANCIALS</t>
  </si>
  <si>
    <t>BDT</t>
  </si>
  <si>
    <t>Bt.</t>
  </si>
  <si>
    <t>Bangladeshi Taka</t>
  </si>
  <si>
    <t>Russian</t>
  </si>
  <si>
    <t>SP_EXCHANGE_TICKER</t>
  </si>
  <si>
    <t>BYN</t>
  </si>
  <si>
    <t>Br</t>
  </si>
  <si>
    <t>Belarusian Ruble</t>
  </si>
  <si>
    <t>Spanish</t>
  </si>
  <si>
    <t>BAM</t>
  </si>
  <si>
    <t>KM</t>
  </si>
  <si>
    <t>Bosnian Convertible Marks</t>
  </si>
  <si>
    <t>SP_COMPANY_NAME</t>
  </si>
  <si>
    <t>BRL</t>
  </si>
  <si>
    <t>R$</t>
  </si>
  <si>
    <t>Brazilian Real</t>
  </si>
  <si>
    <t>SP_COMPANY_ID</t>
  </si>
  <si>
    <t>BGN</t>
  </si>
  <si>
    <t>Bulgarian Lev</t>
  </si>
  <si>
    <t>KHR</t>
  </si>
  <si>
    <t>៛</t>
  </si>
  <si>
    <t>Cambodian Riel</t>
  </si>
  <si>
    <t>CAD</t>
  </si>
  <si>
    <t>C$</t>
  </si>
  <si>
    <t>Canadian Dollar</t>
  </si>
  <si>
    <t>CLP</t>
  </si>
  <si>
    <t>CL$</t>
  </si>
  <si>
    <t>Chilean Peso</t>
  </si>
  <si>
    <t>CNY</t>
  </si>
  <si>
    <t>CN¥</t>
  </si>
  <si>
    <t>Chinese Yuan Renminbi</t>
  </si>
  <si>
    <t>COP</t>
  </si>
  <si>
    <t>Col$</t>
  </si>
  <si>
    <t>Colombian Peso</t>
  </si>
  <si>
    <t>CRC</t>
  </si>
  <si>
    <t>¢</t>
  </si>
  <si>
    <t>Costa Rican Colon</t>
  </si>
  <si>
    <t>HRK</t>
  </si>
  <si>
    <t>kn</t>
  </si>
  <si>
    <t>Croatian Kuna</t>
  </si>
  <si>
    <t>CZK</t>
  </si>
  <si>
    <t>Kc</t>
  </si>
  <si>
    <t>Czech Koruna</t>
  </si>
  <si>
    <t>DKK</t>
  </si>
  <si>
    <t>Dkr</t>
  </si>
  <si>
    <t>Danish Krone</t>
  </si>
  <si>
    <t>10y US T-Note</t>
  </si>
  <si>
    <t>DOP</t>
  </si>
  <si>
    <t>RD$</t>
  </si>
  <si>
    <t>Dominican Peso</t>
  </si>
  <si>
    <t>EGP</t>
  </si>
  <si>
    <t>£E.</t>
  </si>
  <si>
    <t>Egyptian Pound</t>
  </si>
  <si>
    <t>GEL</t>
  </si>
  <si>
    <t>ლ</t>
  </si>
  <si>
    <t>Georgian Lari</t>
  </si>
  <si>
    <t>GTQ</t>
  </si>
  <si>
    <t>Q.</t>
  </si>
  <si>
    <t>Guatemalan Quetzal</t>
  </si>
  <si>
    <t>HNL</t>
  </si>
  <si>
    <t>L.</t>
  </si>
  <si>
    <t>Honduran Lempira</t>
  </si>
  <si>
    <t>HKD</t>
  </si>
  <si>
    <t>HK$</t>
  </si>
  <si>
    <t>Hong Kong Dollar</t>
  </si>
  <si>
    <t>HUF</t>
  </si>
  <si>
    <t>Ft.</t>
  </si>
  <si>
    <t>Hungarian Forint</t>
  </si>
  <si>
    <t>ISK</t>
  </si>
  <si>
    <t>kr</t>
  </si>
  <si>
    <t>Icelandic Krona</t>
  </si>
  <si>
    <t>INR</t>
  </si>
  <si>
    <t>Rs.</t>
  </si>
  <si>
    <t>Indian Rupee</t>
  </si>
  <si>
    <t>IDR</t>
  </si>
  <si>
    <t>Rp.</t>
  </si>
  <si>
    <t>Indonesian Rupiah</t>
  </si>
  <si>
    <t>JOD</t>
  </si>
  <si>
    <t>JD</t>
  </si>
  <si>
    <t>Jordanian Dinar</t>
  </si>
  <si>
    <t>KZT</t>
  </si>
  <si>
    <t>Kazakhstan Tenge</t>
  </si>
  <si>
    <t>KES</t>
  </si>
  <si>
    <t>Kshs.</t>
  </si>
  <si>
    <t>Kenyan Shilling</t>
  </si>
  <si>
    <t>KWD</t>
  </si>
  <si>
    <t>KD</t>
  </si>
  <si>
    <t>Kuwaiti Dinar</t>
  </si>
  <si>
    <t>KGS</t>
  </si>
  <si>
    <t>лв</t>
  </si>
  <si>
    <t>Kyrgyzstani Som</t>
  </si>
  <si>
    <t>MKD</t>
  </si>
  <si>
    <t>Macedonian Denar</t>
  </si>
  <si>
    <t>MYR</t>
  </si>
  <si>
    <t>RM</t>
  </si>
  <si>
    <t>Malaysian Ringgit</t>
  </si>
  <si>
    <t>MXN</t>
  </si>
  <si>
    <t>Mex$</t>
  </si>
  <si>
    <t>Mexican Peso</t>
  </si>
  <si>
    <t>MDL</t>
  </si>
  <si>
    <t>Moldovan Leu</t>
  </si>
  <si>
    <t>MNT</t>
  </si>
  <si>
    <t>₮</t>
  </si>
  <si>
    <t>Mongolian Tugrik</t>
  </si>
  <si>
    <t>MAD</t>
  </si>
  <si>
    <t>د.م.</t>
  </si>
  <si>
    <t>Moroccan Dirham</t>
  </si>
  <si>
    <t>ILS</t>
  </si>
  <si>
    <t>₪</t>
  </si>
  <si>
    <t>New Israeli Shekel</t>
  </si>
  <si>
    <t>TWD</t>
  </si>
  <si>
    <t>NT$</t>
  </si>
  <si>
    <t>New Taiwan Dollar</t>
  </si>
  <si>
    <t>NZD</t>
  </si>
  <si>
    <t>NZ$</t>
  </si>
  <si>
    <t>New Zealand Dollar</t>
  </si>
  <si>
    <t>NOK</t>
  </si>
  <si>
    <t>NKr</t>
  </si>
  <si>
    <t>Norwegian Krone</t>
  </si>
  <si>
    <t>OMR</t>
  </si>
  <si>
    <t>RO</t>
  </si>
  <si>
    <t>Omani Rial</t>
  </si>
  <si>
    <t>PKR</t>
  </si>
  <si>
    <t>Rs</t>
  </si>
  <si>
    <t>Pakistani Rupee</t>
  </si>
  <si>
    <t>PAB</t>
  </si>
  <si>
    <t>B</t>
  </si>
  <si>
    <t>Panamanian Balboa</t>
  </si>
  <si>
    <t>PEN</t>
  </si>
  <si>
    <t>S/.</t>
  </si>
  <si>
    <t>Peruvian Sol</t>
  </si>
  <si>
    <t>PHP</t>
  </si>
  <si>
    <t>Philippine Peso</t>
  </si>
  <si>
    <t>PLN</t>
  </si>
  <si>
    <t>zl</t>
  </si>
  <si>
    <t>Polish Zloty</t>
  </si>
  <si>
    <t>QAR</t>
  </si>
  <si>
    <t>ر.ق</t>
  </si>
  <si>
    <t>Qatari Rial</t>
  </si>
  <si>
    <t>RON</t>
  </si>
  <si>
    <t>L</t>
  </si>
  <si>
    <t>Romanian Leu</t>
  </si>
  <si>
    <t>RUB</t>
  </si>
  <si>
    <t>Russian Ruble</t>
  </si>
  <si>
    <t>WST</t>
  </si>
  <si>
    <t>WS$</t>
  </si>
  <si>
    <t>Samoan Tala</t>
  </si>
  <si>
    <t>SAR</t>
  </si>
  <si>
    <t>SR</t>
  </si>
  <si>
    <t>Saudi Riyal</t>
  </si>
  <si>
    <t>RSD</t>
  </si>
  <si>
    <t>Serbian Dinar</t>
  </si>
  <si>
    <t>SGD</t>
  </si>
  <si>
    <t>S$</t>
  </si>
  <si>
    <t>Singapore Dollar</t>
  </si>
  <si>
    <t>ZAR</t>
  </si>
  <si>
    <t>R</t>
  </si>
  <si>
    <t>South African Rand</t>
  </si>
  <si>
    <t>KRW</t>
  </si>
  <si>
    <t>₩</t>
  </si>
  <si>
    <t>South Korean Won</t>
  </si>
  <si>
    <t>LKR</t>
  </si>
  <si>
    <t>₨</t>
  </si>
  <si>
    <t>Sri Lanka Rupee</t>
  </si>
  <si>
    <t>SEK</t>
  </si>
  <si>
    <t>Swedish Krona</t>
  </si>
  <si>
    <t>CHF</t>
  </si>
  <si>
    <t>SFr.</t>
  </si>
  <si>
    <t>Swiss Franc</t>
  </si>
  <si>
    <t>TJS</t>
  </si>
  <si>
    <t>TJR</t>
  </si>
  <si>
    <t>Tajik Somoni</t>
  </si>
  <si>
    <t>THB</t>
  </si>
  <si>
    <t>฿</t>
  </si>
  <si>
    <t>Thai Baht</t>
  </si>
  <si>
    <t>TND</t>
  </si>
  <si>
    <t>د.ت</t>
  </si>
  <si>
    <t>Tunisian Dinar</t>
  </si>
  <si>
    <t>TRY</t>
  </si>
  <si>
    <t>TL</t>
  </si>
  <si>
    <t>Turkish Lira</t>
  </si>
  <si>
    <t>TMT</t>
  </si>
  <si>
    <t>Turkmenistan Manat</t>
  </si>
  <si>
    <t>AED</t>
  </si>
  <si>
    <t>Dhs.</t>
  </si>
  <si>
    <t>Uae Dirham</t>
  </si>
  <si>
    <t>UAH</t>
  </si>
  <si>
    <t>Ukraine Hryvnia</t>
  </si>
  <si>
    <t>UZS</t>
  </si>
  <si>
    <t>Uzbekistani Som</t>
  </si>
  <si>
    <t>VES</t>
  </si>
  <si>
    <t>Bs. S</t>
  </si>
  <si>
    <t xml:space="preserve">Venezuelan Bolivar </t>
  </si>
  <si>
    <t>VND</t>
  </si>
  <si>
    <t>₫</t>
  </si>
  <si>
    <t>Vietnam Dong</t>
  </si>
  <si>
    <t>Magnitude</t>
  </si>
  <si>
    <t>units</t>
  </si>
  <si>
    <t>MIStandard</t>
  </si>
  <si>
    <t>Actuals</t>
  </si>
  <si>
    <t/>
  </si>
  <si>
    <t>Millions</t>
  </si>
  <si>
    <t>Billions</t>
  </si>
  <si>
    <t>Trillions</t>
  </si>
  <si>
    <t>T</t>
  </si>
  <si>
    <t>Conv. Method</t>
  </si>
  <si>
    <t>Most recent spot rate</t>
  </si>
  <si>
    <t>MRSpot</t>
  </si>
  <si>
    <t>Index List</t>
  </si>
  <si>
    <t>Amsterdam Exchange Index</t>
  </si>
  <si>
    <t>ASX100</t>
  </si>
  <si>
    <t>Athex Composite</t>
  </si>
  <si>
    <t>Austrian Traded Index</t>
  </si>
  <si>
    <t>Bahrain All Share</t>
  </si>
  <si>
    <t>BEL20</t>
  </si>
  <si>
    <t>BELEX15</t>
  </si>
  <si>
    <t>Bermuda Royal Gazette/BSX</t>
  </si>
  <si>
    <t>BSE India Sensex 30 Index</t>
  </si>
  <si>
    <t>Bucharest Exchange Trading</t>
  </si>
  <si>
    <t>Budapest Stock Exchange Index</t>
  </si>
  <si>
    <t>CAC 40</t>
  </si>
  <si>
    <t>CSI 300 Index</t>
  </si>
  <si>
    <t>DSE Broad Index</t>
  </si>
  <si>
    <t>Egypt EGX 30</t>
  </si>
  <si>
    <t>Estonia OMXT</t>
  </si>
  <si>
    <t>EURO STOXX</t>
  </si>
  <si>
    <t>FTSE 100 (GBP)</t>
  </si>
  <si>
    <t>FTSE MIB</t>
  </si>
  <si>
    <t>FTSE/JSE Africa All Share</t>
  </si>
  <si>
    <t>Hang Seng China Enterprises Index</t>
  </si>
  <si>
    <t>Hang Seng Index</t>
  </si>
  <si>
    <t>IBEX 35</t>
  </si>
  <si>
    <t>INMEX</t>
  </si>
  <si>
    <t>IPSA</t>
  </si>
  <si>
    <t>ISEQ Overall</t>
  </si>
  <si>
    <t>Korea Composite Stock Price Index</t>
  </si>
  <si>
    <t>Kuwait KSX 15</t>
  </si>
  <si>
    <t>Luxembourg LuxX</t>
  </si>
  <si>
    <t>Malawi All Share Index</t>
  </si>
  <si>
    <t>Malta Stock Exchange Index</t>
  </si>
  <si>
    <t>Mauritius SEMDEX</t>
  </si>
  <si>
    <t>MSCI AC World (USD)</t>
  </si>
  <si>
    <t>MSCI EAFE</t>
  </si>
  <si>
    <t>MSCI Europe</t>
  </si>
  <si>
    <t>MSCI US IMI Financials</t>
  </si>
  <si>
    <t>MSCI World</t>
  </si>
  <si>
    <t>NAMIBIA FTSE/JSE OVERALL</t>
  </si>
  <si>
    <t>NASDAQ</t>
  </si>
  <si>
    <t>Nikkei 225</t>
  </si>
  <si>
    <t>NYSE</t>
  </si>
  <si>
    <t>NZX 50</t>
  </si>
  <si>
    <t>OMX Copenhagen 20</t>
  </si>
  <si>
    <t>OMX Helsinki 25</t>
  </si>
  <si>
    <t>OMX Riga All Share</t>
  </si>
  <si>
    <t>OMX Stockholm 30</t>
  </si>
  <si>
    <t>OMX Vilnius All Share</t>
  </si>
  <si>
    <t>Oslo Stock Exchange OBX</t>
  </si>
  <si>
    <t>Pakistan KSE 100</t>
  </si>
  <si>
    <t>Palestine General</t>
  </si>
  <si>
    <t>PFTS Index</t>
  </si>
  <si>
    <t>Philippines Exchange Composite Index</t>
  </si>
  <si>
    <t>Portuguese Stock Index-20</t>
  </si>
  <si>
    <t>PX Index</t>
  </si>
  <si>
    <t>Qatar QE Index</t>
  </si>
  <si>
    <t>Russell 1000</t>
  </si>
  <si>
    <t>Russell 2000</t>
  </si>
  <si>
    <t>Russell 3000</t>
  </si>
  <si>
    <t>S&amp;P 400 Mid Cap</t>
  </si>
  <si>
    <t>S&amp;P 500 Financials</t>
  </si>
  <si>
    <t>S&amp;P 600 Small Cap</t>
  </si>
  <si>
    <t>S&amp;P ASX 200</t>
  </si>
  <si>
    <t>S&amp;P TSX Composite</t>
  </si>
  <si>
    <t>SAT All Share Index</t>
  </si>
  <si>
    <t>SET Index</t>
  </si>
  <si>
    <t>SET100</t>
  </si>
  <si>
    <t>SET50 Index</t>
  </si>
  <si>
    <t>Slovak Share Index</t>
  </si>
  <si>
    <t>SOFIX Index</t>
  </si>
  <si>
    <t>Sri Lanka CSE All Share</t>
  </si>
  <si>
    <t>STOXX Europe 600</t>
  </si>
  <si>
    <t>Straits Times Index</t>
  </si>
  <si>
    <t>Swiss Market Index</t>
  </si>
  <si>
    <t>Taiwan Stock Exchange Index</t>
  </si>
  <si>
    <t>Tokyo Price Index</t>
  </si>
  <si>
    <t>TTSE Composite Index</t>
  </si>
  <si>
    <t>Uganda All Share Index</t>
  </si>
  <si>
    <t>Utd Arab Emirates DFM Index</t>
  </si>
  <si>
    <t>Venezuela IBC General</t>
  </si>
  <si>
    <t>Vietnam Hanoi HNX index</t>
  </si>
  <si>
    <t>Warsaw Stock Exchange WIG</t>
  </si>
  <si>
    <t>Zambia LUSE All Share</t>
  </si>
  <si>
    <t>WACC Analysis</t>
  </si>
  <si>
    <t>加权平均资本成本分析</t>
  </si>
  <si>
    <t>加權平均資本成本分析</t>
  </si>
  <si>
    <t>加重平均資本コスト分析</t>
  </si>
  <si>
    <t xml:space="preserve">ANÁLISIS DEL COSTO MEDIO PONDERADO DEL CAPITAL </t>
  </si>
  <si>
    <t>WACC-ANALYSE</t>
  </si>
  <si>
    <t>ANALYSE DU CMPC (Coût moyen pondéré du capital)</t>
  </si>
  <si>
    <t>ANALISI DI COSTO MEDIO PONDERATO DEL CAPITALE</t>
  </si>
  <si>
    <t>가중평균자본비용 분석</t>
  </si>
  <si>
    <t>Анализ средневзвешенной стоимости капитала (WACC)</t>
  </si>
  <si>
    <t>Análise WACC</t>
  </si>
  <si>
    <t>Instructions:</t>
  </si>
  <si>
    <t>说明：</t>
  </si>
  <si>
    <t>說明：</t>
  </si>
  <si>
    <t>使用説明:</t>
  </si>
  <si>
    <t>Instrucciones:</t>
  </si>
  <si>
    <t>Anleitung:</t>
  </si>
  <si>
    <t>Instructions :</t>
  </si>
  <si>
    <t>Istruzioni:</t>
  </si>
  <si>
    <t>설명:</t>
  </si>
  <si>
    <t>Инструкции:</t>
  </si>
  <si>
    <t>Instruções:</t>
  </si>
  <si>
    <t>Contact:</t>
  </si>
  <si>
    <t>联系方式：</t>
  </si>
  <si>
    <t>聯絡方式：</t>
  </si>
  <si>
    <t>連絡先:</t>
  </si>
  <si>
    <t>Contacto:</t>
  </si>
  <si>
    <t>Kontakt:</t>
  </si>
  <si>
    <t>Contact :</t>
  </si>
  <si>
    <t>Contatto:</t>
  </si>
  <si>
    <t>연락처:</t>
  </si>
  <si>
    <t>Контактные данные:</t>
  </si>
  <si>
    <t>Contato:</t>
  </si>
  <si>
    <t>Select S&amp;P Cap IQ Pro Office Add-In manual refresh option. (S&amp;P Cap IQ Pro Office &gt; Refresh Options &gt; Manually Refresh Data)</t>
  </si>
  <si>
    <t xml:space="preserve"> 选择 S&amp;P Cap IQ Pro Office 加载项手动刷新选项。（S&amp;P Capital IQ Pro Office&gt;刷新选项&gt;手动刷新数据）</t>
  </si>
  <si>
    <t>選擇 S&amp;P Cap IQ Pro Office 載入項手動刷新選項。（S&amp;P Cap IQ Pro Office&gt;刷新選項&gt;手動刷新資料）</t>
  </si>
  <si>
    <t>Sélectionnez l'option de rafraîchissement manuel du complément S&amp;P Cap IQ Pro Office Add-In. (S&amp;P Cap IQ Pro Office&gt; Options d'actualisation&gt; Actualiser manuellement les données)</t>
  </si>
  <si>
    <t>S&amp;P Cap IQ Pro 오피스 Add-in 수동 새로고침 옵션을 선택합니다. (S&amp;P Cap IQ Pro Office&gt; 새로 고침 옵션&gt; 수동으로 데이터 새로 고침)</t>
  </si>
  <si>
    <t>Seleccione la opción de actualización manual del complemento de S&amp;P Cap IQ Pro Office. (S&amp;P Cap IQ Pro Office&gt; Opciones de actualización&gt; Actualizar datos manualmente)</t>
  </si>
  <si>
    <t>S&amp;P Cap IQ Pro Officeアドインの手動更新オプションを選択します。（S&amp;P Cap IQ Proオ​​フィス&gt;更新オプション&gt;手動でデータを更新）</t>
  </si>
  <si>
    <t>Wählen Sie die Option S&amp;P Cap IQ Pro-Office Add-In manuelle Aktualisierung. (S&amp;P Cap IQ Pro Office &gt; Aktualisierungsoptionen &gt; Daten manuell aktualisieren)</t>
  </si>
  <si>
    <t>Выберите ручное обновление надстройки S&amp;P Cap IQ Pro Office (S&amp;P Cap IQ Pro Office &gt; Обновить параметры &gt; ручное обновление данных).</t>
  </si>
  <si>
    <t>Selezionare l'opzione di aggiornamento manuale dell'Add-In di Office di S&amp;P Cap IQ Pro. (S&amp;P Cap IQ Pro Office&gt; Opzioni di aggiornamento&gt; Aggiorna manualmente i dati)</t>
  </si>
  <si>
    <t>1) Selecione a opção de atualização manual do suplemento do S&amp;P Cap IQ Pro Office.</t>
  </si>
  <si>
    <t>For modifications, contact S&amp;P Capital IQ Pro support.</t>
  </si>
  <si>
    <t>如需修改，请联系 S&amp;P Capital IQ Pro 支持。</t>
  </si>
  <si>
    <t>如需修改，請聯繫 S&amp;P Capital IQ Pro 支持。</t>
  </si>
  <si>
    <t>変更については、S＆P Capital IQProのサポートにお問い合わせください。</t>
  </si>
  <si>
    <t>Para modificaciones, comuníquese con el soporte de S&amp;P Capital IQ Pro.</t>
  </si>
  <si>
    <t>Wenden Sie sich für Änderungen an den S&amp;P Capital IQ Pro-Support.</t>
  </si>
  <si>
    <t>Pour toute modification, contactez l'assistance S&amp;P Capital IQ Pro.</t>
  </si>
  <si>
    <t>Per modifiche, contattare il supporto di S&amp;P Capital IQ Pro.</t>
  </si>
  <si>
    <t>수정 사항은 S&amp;P Capital IQ Pro 지원팀에 문의하십시오.</t>
  </si>
  <si>
    <t>По вопросам изменений обращайтесь в службу поддержки S&amp;P Capital IQ Pro.</t>
  </si>
  <si>
    <t>Para modificações, entre em contato com o suporte da S&amp;P Capital IQ Pro.</t>
  </si>
  <si>
    <t>2) Enable macros upon opening this model.</t>
  </si>
  <si>
    <t xml:space="preserve"> 打开模板时请启用宏。</t>
  </si>
  <si>
    <t>打開範本時請啟用巨集。</t>
  </si>
  <si>
    <t>テンプレートを開くときにマクロを有効にします。</t>
  </si>
  <si>
    <t>Habilitar macros al abrir la plantilla.</t>
  </si>
  <si>
    <t>Aktivieren Sie Makros beim Öffnen der Vorlage.</t>
  </si>
  <si>
    <t>Activer les macros lors de l'ouverture du modèle.</t>
  </si>
  <si>
    <t>Abilitare le macro all'apertura del modello.</t>
  </si>
  <si>
    <t>템플릿이 열리는 동안 매크로를 활성화 해주세요.</t>
  </si>
  <si>
    <t xml:space="preserve">Включите макрос когда открываете шаблон </t>
  </si>
  <si>
    <t>2) Habilite macros ao abrir este modelo.</t>
  </si>
  <si>
    <t>Phone:</t>
  </si>
  <si>
    <t>电话：</t>
  </si>
  <si>
    <t>電話:</t>
  </si>
  <si>
    <t>電話番号：</t>
  </si>
  <si>
    <t>Teléfono:</t>
  </si>
  <si>
    <t>Telefon:</t>
  </si>
  <si>
    <t>Téléphone :</t>
  </si>
  <si>
    <t>Telefono:</t>
  </si>
  <si>
    <t>전화번호:</t>
  </si>
  <si>
    <t>тел.:</t>
  </si>
  <si>
    <t>Telefone:</t>
  </si>
  <si>
    <t xml:space="preserve">(US &amp; Canada)  </t>
  </si>
  <si>
    <t>（美国和加拿大）</t>
  </si>
  <si>
    <t>(美國和加拿大)</t>
  </si>
  <si>
    <t>(États-Unis et Canada)</t>
  </si>
  <si>
    <t>(미국 및 캐나다)</t>
  </si>
  <si>
    <t>(EE. UU. y Canadá)</t>
  </si>
  <si>
    <t>(米国/カナダ)</t>
  </si>
  <si>
    <t>(USA u. Kanada)</t>
  </si>
  <si>
    <t>(США и Канада)</t>
  </si>
  <si>
    <t>(USA e Canada)</t>
  </si>
  <si>
    <t>For best performance, save this file to your computer, close and then reopen.</t>
  </si>
  <si>
    <t>为了获得最佳性能，请将此文件保存到您的电脑，关闭然后重新打开。</t>
  </si>
  <si>
    <t>為了獲得最佳性能，請將此檔案儲存到您的電腦，關閉然後重新打開。</t>
  </si>
  <si>
    <t xml:space="preserve">Pour de meilleures performances, enregistrez ce fichier sur votre ordinateur, fermez-le, puis rouvrez-le. </t>
  </si>
  <si>
    <t>최상의 성능을 위해, 이 파일을 컴퓨터에 저장하고 닫은 다음 다시 여십시오.</t>
  </si>
  <si>
    <t>Para obtener un mejor rendimiento, guarde este archivo en su computadora, ciérrelo y vuelva a abrirlo.</t>
  </si>
  <si>
    <t>最高のパフォーマンスを得るには、このファイルをいったんコンピュータに保存してから閉じ、再度開きます。</t>
  </si>
  <si>
    <t>Für beste Leistung speichern Sie diese Datei auf Ihrem Computer, schließen und öffnen Sie sie dann erneut.</t>
  </si>
  <si>
    <t>Для достижения максимальной эффективности работы, сохраните этот файл на своем компьютере, закройте его и снова откройте.</t>
  </si>
  <si>
    <t>Per ottenere le migliori prestazioni, salvare questo file sul computer, chiuderlo e poi riaprirlo.</t>
  </si>
  <si>
    <t>Para melhor desempenho, salve este arquivo em seu computador, feche e reabra.</t>
  </si>
  <si>
    <t>(Europe, Middle East &amp; Africa)</t>
  </si>
  <si>
    <t>（欧洲、中东和非洲）</t>
  </si>
  <si>
    <t>（歐洲、中東和非洲）</t>
  </si>
  <si>
    <t>(Europe, Moyen-Orient et Afrique)</t>
  </si>
  <si>
    <t>(유럽, 중동&amp;아프리카)</t>
  </si>
  <si>
    <t>(Europa, Medio Oriente y África)</t>
  </si>
  <si>
    <t>（ヨーロッパ、中東及びアフリカ）</t>
  </si>
  <si>
    <t>(Europa, Naher Osten und Afrika)</t>
  </si>
  <si>
    <t xml:space="preserve">(Европа, Ближний Восток и Африка) </t>
  </si>
  <si>
    <t>(Europa, Medio Oriente e Africa)</t>
  </si>
  <si>
    <t>(Europa, Oriente Médio e África)</t>
  </si>
  <si>
    <t>(Latin America)</t>
  </si>
  <si>
    <t>（拉丁美洲）</t>
  </si>
  <si>
    <t>(Amérique latine)</t>
  </si>
  <si>
    <t>(남미)</t>
  </si>
  <si>
    <t>(América latina)</t>
  </si>
  <si>
    <t>（ラテンアメリカ）</t>
  </si>
  <si>
    <t>(Lateinamerika)</t>
  </si>
  <si>
    <t>(Латинская Америка)</t>
  </si>
  <si>
    <t>(America latina)</t>
  </si>
  <si>
    <t>(América Latina)</t>
  </si>
  <si>
    <t>Paso 1: Ingrese intercambio de símbolo comercial / ID de entidad / ID de CIQ en la celda E13.</t>
  </si>
  <si>
    <t>Schritt 1: Geben Sie Handelssymbol-Börse / Entity-ID / CIQ-ID in Zelle E13 ein.</t>
  </si>
  <si>
    <t>Étape 1 : Entrez le symbole d'échange/l'ID d'entité/l'ID CIQ dans la cellule E13.</t>
  </si>
  <si>
    <t>Passaggio 1: inserisci Scambio di simboli di trading / ID entità / ID CIQ nella cella E13.</t>
  </si>
  <si>
    <t>Шаг 1: Введите торговый символ-обмен / идентификатор объекта / идентификатор CIQ в ячейку E13.</t>
  </si>
  <si>
    <t>(Asia-Pacific)</t>
  </si>
  <si>
    <t>（亚太地区）</t>
  </si>
  <si>
    <t>（亞太地區）</t>
  </si>
  <si>
    <t>(Asie-Pacifique)</t>
  </si>
  <si>
    <t>(아시아-태평양)</t>
  </si>
  <si>
    <t>(Asia-Pacífico)</t>
  </si>
  <si>
    <t>(アジア太平洋)</t>
  </si>
  <si>
    <t>(Asien-Pazifik)</t>
  </si>
  <si>
    <t>(Азиатско-Тихоокеанский регион)</t>
  </si>
  <si>
    <t>(Asia-Pacifico)</t>
  </si>
  <si>
    <t>(Ásia Pacífico)</t>
  </si>
  <si>
    <t>Email:</t>
  </si>
  <si>
    <t>电子邮箱：</t>
  </si>
  <si>
    <t>電子郵件：</t>
  </si>
  <si>
    <t>メールアドレス:</t>
  </si>
  <si>
    <t>correo electrónico:</t>
  </si>
  <si>
    <t>E-Mail:</t>
  </si>
  <si>
    <t>Adresse e-mail :</t>
  </si>
  <si>
    <t>e-mail:</t>
  </si>
  <si>
    <t>이메일:</t>
  </si>
  <si>
    <t>Электронная почта:</t>
  </si>
  <si>
    <t>Format: FYyyyy, FQqyyyy   Example: FY2016, FQ22017</t>
  </si>
  <si>
    <t>格式： FYyyyy, FQqyyyy   例如： FY2016, FQ22017</t>
  </si>
  <si>
    <t>格式： FYyyyy, FQqyyyy   例如：FY2016, FQ22017</t>
  </si>
  <si>
    <t>フォーマット： FYyyyy, FQqyyyy  例： FY2016, FQ22017</t>
  </si>
  <si>
    <t>Formato:  FYyyyy, FQqyyyy   Ejemplo: FY2016, FQ22017</t>
  </si>
  <si>
    <t>Formate:  FYyyyy, FQqyyyy   Beispiel : FY2016, FQ22017</t>
  </si>
  <si>
    <t>Format:  FYyyyy, FQqyyyy   Exemple : FY2016, FQ22017</t>
  </si>
  <si>
    <t>Formato:  FYyyyy, FQqyyyy   Esempio : FY2016, FQ22017</t>
  </si>
  <si>
    <t>서식:  FYyyyy, FQqyyyy   예시 : FY2016, FQ22017</t>
  </si>
  <si>
    <t>(Формат: FYyyyy, FQqyyyy  Пример : FY2016, FQ22017</t>
  </si>
  <si>
    <t>Formato: FYyyyy, FQqyyyy   Example: FY2016, FQ22017</t>
  </si>
  <si>
    <t>Notes:</t>
  </si>
  <si>
    <t>注意事项：</t>
  </si>
  <si>
    <t>注意事項：</t>
  </si>
  <si>
    <t>注意：</t>
  </si>
  <si>
    <t>Notas:</t>
  </si>
  <si>
    <t>Erläuterungen:</t>
  </si>
  <si>
    <t>Notes :</t>
  </si>
  <si>
    <t>Note:</t>
  </si>
  <si>
    <t>주의사항:</t>
  </si>
  <si>
    <t>Примечания:</t>
  </si>
  <si>
    <t>1) S&amp;P Cap IQ Pro calculates WACC based on the most recent annual/quarterly reporting period,</t>
  </si>
  <si>
    <t>1）S&amp;P Cap IQ Pro根据最近的年度/季度报告期计算加权平均资本成本，</t>
  </si>
  <si>
    <t>1）S&amp;P Cap IQ Pro根據最近的年度/季度報告期計算加權平均資本成本，</t>
  </si>
  <si>
    <t>1）S&amp;P Cap IQ Pro は直近年度・四半期の報告に基づいてWACCを算出し、</t>
  </si>
  <si>
    <t>1) S&amp;P Cap IQ Pro calcula el costo de capital medio ponderado en función del período de informe anual / trimestral más reciente,</t>
  </si>
  <si>
    <t>1) S&amp;P Cap IQ Pro berechnet den WACC auf der Grundlage des letzten Jahres-/Quartalsberichtszeitraums,</t>
  </si>
  <si>
    <t>1) S&amp;P Cap IQ Pro calcule le WACC sur la base de la période de rapport annuel/trimestriel la plus récente,</t>
  </si>
  <si>
    <t>1) S&amp;P Cap IQ Pro calcola il WACC sulla base dell'ultimo periodo di riferimetno annuale/trimestrale</t>
  </si>
  <si>
    <t>1) S&amp;P Cap IQ Pro는 가장 최근의 연간/분기 보고 기간을 기준으로 WACC를 계산합니다.</t>
  </si>
  <si>
    <t>1) S&amp;P Cap IQ Pro рассчитывает Средневзвешенную стоимость капитала (WACC) на основе последнего годового/квартального отчетного периода,</t>
  </si>
  <si>
    <t>1) A S&amp;P Cap IQ Pro calcula o WACC com base no Exercício Financeiro anual/trimestral mais recente,</t>
  </si>
  <si>
    <t>except the following parameters:</t>
  </si>
  <si>
    <t>除了以下参数：</t>
  </si>
  <si>
    <t>除了以下參數：</t>
  </si>
  <si>
    <t>次のパラメーターを除きます：</t>
  </si>
  <si>
    <t>excepto los siguientes parámetros:</t>
  </si>
  <si>
    <t>mit Ausnahme der folgenden Parameter:</t>
  </si>
  <si>
    <t>sauf les paramètres suivants :</t>
  </si>
  <si>
    <t>con l'eccezione dei seguenti parametri:</t>
  </si>
  <si>
    <t>다음 매개 변수 제외:</t>
  </si>
  <si>
    <t>кроме следующих параметров:</t>
  </si>
  <si>
    <t>exceto os seguintes parâmetros:</t>
  </si>
  <si>
    <t>A) Risk-Free Rate of Return (Rf) – Pulls in 10y/5y US T-Note yield for most recent traded day.</t>
  </si>
  <si>
    <t>A）无风险收益率（Rf）–在最近交易日导出10年/ 5年期美国国债收益率。</t>
  </si>
  <si>
    <t>A）無風險收益率（Rf）–在最近交易日導出10年/ 5年期美國國債收益率。</t>
  </si>
  <si>
    <t>A）リスクフリーレート（Rf）- 直近の取引日の10年物/5年物米国債利回りが使用されます。</t>
  </si>
  <si>
    <t>A) Tasa de rendimiento libre de riesgo (Rf): aumenta el rendimiento de los T-Note estadounidenses a 10/5 años para el día de negociación más reciente.</t>
  </si>
  <si>
    <t>A) Risikofreier Zinssatz (Rf) - Zeigt die Rendite der US-T-Note 10y/5y für den letzten Handelstag.</t>
  </si>
  <si>
    <t>A) Risk-Free Rate of Return (Rf) - Tire le rendement de 10y/5y US T-Note pour le jour de négociation le plus récent.</t>
  </si>
  <si>
    <t>A) Tasso di rendimento privo di rischio (Rf) – Riflette il rendimento dei Treasury USA a 10/5 anni per l'ultimo giorno di negoziazione.</t>
  </si>
  <si>
    <t>A) 무위험 수익률(Rf) – 가장 최근 거래일 동안 10y/5y 미국 T노트 수익률을 대입합니다.</t>
  </si>
  <si>
    <t>A) Безрисковая ставка доходности (Rf) - Повышает доходность 10/5-летних казначейских облигаций США за последний торговый день.</t>
  </si>
  <si>
    <t>A) Taxa de retorno livre de risco (Rf) - retorna o rendimento dos Títulos do Tesouro EUA de 10 a 5 anos para o dia de negociação mais recente.</t>
  </si>
  <si>
    <t>ピア1</t>
  </si>
  <si>
    <t>Par 1</t>
  </si>
  <si>
    <t>B) Average of last 5 issued bonds is based on most recent issuance.</t>
  </si>
  <si>
    <t>B）最近五次发行债券的平均值基于最近发行的债券。</t>
  </si>
  <si>
    <t>B）最近五次發行債券的平均值基於最近發行的債券。</t>
  </si>
  <si>
    <t>B）最新発行された5つの発行債券の平均が使用されます。</t>
  </si>
  <si>
    <t>B) El promedio de los últimos 5 bonos emitidos se basa en la emisión más reciente.</t>
  </si>
  <si>
    <t>B) Der Durchschnitt der letzten 5 ausgegebenen Anleihen ist auf der jüngsten Emission basiert.</t>
  </si>
  <si>
    <t>B) La moyenne des 5 dernières obligations émises est basée sur l'émission la plus récente.</t>
  </si>
  <si>
    <t>B) La media delle ultime 5 obbligazioni emesse è basata sull'ultima emissione.</t>
  </si>
  <si>
    <t>B) 최근 발행된 5개의 채권의 평균은 가장 최근의 발행을 기준으로 합니다.</t>
  </si>
  <si>
    <t>Б) Среднее значение последних 5 выпущенных облигаций основано на самом последнем выпуске.</t>
  </si>
  <si>
    <t>B) A média dos últimos 5 títulos emitidos é baseada na emissão mais recente.</t>
  </si>
  <si>
    <t>ピア2</t>
  </si>
  <si>
    <t>Par 2</t>
  </si>
  <si>
    <t>2) Current market capitalization data is used in the calculation of equity.</t>
  </si>
  <si>
    <t>2）当前市值数据用于权益计算。</t>
  </si>
  <si>
    <t>2）當前市值數據用於權益計算。</t>
  </si>
  <si>
    <t>2）現在の時価総額データは資本の計算に使用されます。</t>
  </si>
  <si>
    <t>2) Los datos de capitalización de mercado actuales se utilizan en el cálculo del capital.</t>
  </si>
  <si>
    <t>2) Aktuelle Marktkapitalisierungsdaten werden bei der Berechnung des Eigenkapitals verwendet.</t>
  </si>
  <si>
    <t>2) Les données sur la capitalisation boursière actuelle sont utilisées dans le calcul des capitaux propres.</t>
  </si>
  <si>
    <t>2) Nel calcolo del patrimonio netto sono utilizzati i dati della capitalizzazione di mercato corrente.</t>
  </si>
  <si>
    <t>2) 현재 시가총액 데이터가 주식 계산에 사용됩니다.</t>
  </si>
  <si>
    <t>2) Данные о текущей рыночной капитализации используются при расчете собственного капитала.</t>
  </si>
  <si>
    <t>2) Os dados atuais de capitalização de mercado são usados no cálculo do patrimônio líquido.</t>
  </si>
  <si>
    <t>ピア3</t>
  </si>
  <si>
    <t>Par 3</t>
  </si>
  <si>
    <t>ピア4</t>
  </si>
  <si>
    <t>Par 4</t>
  </si>
  <si>
    <t>ピア5</t>
  </si>
  <si>
    <t>Par 5</t>
  </si>
  <si>
    <t>ピア6</t>
  </si>
  <si>
    <t>Par 6</t>
  </si>
  <si>
    <t>Disclaimer:</t>
  </si>
  <si>
    <t>放弃:</t>
  </si>
  <si>
    <t>放棄:</t>
  </si>
  <si>
    <t>免責事項:</t>
  </si>
  <si>
    <t>Renuncia:</t>
  </si>
  <si>
    <t>Haftungsausschluss:</t>
  </si>
  <si>
    <t>Avertissement:</t>
  </si>
  <si>
    <t>disconoscimento:</t>
  </si>
  <si>
    <t>기권:</t>
  </si>
  <si>
    <t>отказ:</t>
  </si>
  <si>
    <t>Isenção de responsabilidade:</t>
  </si>
  <si>
    <t>Currency</t>
  </si>
  <si>
    <t>货币</t>
  </si>
  <si>
    <t>貨幣</t>
  </si>
  <si>
    <t>通貨</t>
  </si>
  <si>
    <t>Moneda</t>
  </si>
  <si>
    <t>Währung</t>
  </si>
  <si>
    <t>Devise</t>
  </si>
  <si>
    <t>Valuta</t>
  </si>
  <si>
    <t>통화</t>
  </si>
  <si>
    <t>Валюта</t>
  </si>
  <si>
    <t>Divisas</t>
  </si>
  <si>
    <t>幅度</t>
  </si>
  <si>
    <t>規模</t>
  </si>
  <si>
    <t>Escala</t>
  </si>
  <si>
    <t>Größe</t>
  </si>
  <si>
    <t>Grandezza</t>
  </si>
  <si>
    <t>단위</t>
  </si>
  <si>
    <t>Размерность</t>
  </si>
  <si>
    <t>步骤 5：选择货币和幅度。</t>
  </si>
  <si>
    <t>步驟 5：選擇貨幣和幅度。</t>
  </si>
  <si>
    <t>ステップ5：通貨、規模、変換方法を選択します。</t>
  </si>
  <si>
    <t>Paso 5.: Seleccione Moneda y Escala.</t>
  </si>
  <si>
    <t>Schritt 5: Wählen Sie Währung und Größe.</t>
  </si>
  <si>
    <t>Étape 5. Sélectionnez la devise et la magnitude.</t>
  </si>
  <si>
    <t>Шаг 5. Выберите валюту и размерность</t>
  </si>
  <si>
    <t>Passo 5: Selecione Moeda e Magnitude.</t>
  </si>
  <si>
    <t>This model and/or any data in it are provided subject to the written agreement of</t>
  </si>
  <si>
    <t>本模型和/或其中的任何数据均是依据</t>
  </si>
  <si>
    <t>此模型及 / 或其內所含任何資料之提供，係依據</t>
  </si>
  <si>
    <t>  Ce modèle et / ou toutes les données qu'il contient sont fournis sous réserve de l'accord écrit de</t>
  </si>
  <si>
    <t>  본 분석 모형 및/또는 관련 데이터는 본 모형이 적용되는 구독 서비스를 관리하는</t>
  </si>
  <si>
    <t>  Este modelo y/o cualquier dato que contenga están sujetos al acuerdo por escrito de</t>
  </si>
  <si>
    <t>このモデルおよび/またはそのデータは、このモデルが適用されるサブスクリプションサービスを管理する</t>
  </si>
  <si>
    <t>Dieses Modell und/oder alle darin enthaltenen Daten werden vorbehaltlich der schriftlichen Vereinbarung von</t>
  </si>
  <si>
    <t>Эта модель и/или любые данные в ней предоставляются с письменного соглашения</t>
  </si>
  <si>
    <t>  Questo modello e/o qualsiasi dato in esso contenuto sono forniti previo accordo scritto di</t>
  </si>
  <si>
    <t xml:space="preserve">Este modelo e/ou quaisquer dados nele são fornecidos sujeitos ao acordo por escrito da S&amp;P Global Market </t>
  </si>
  <si>
    <t>S&amp;P Global Market Intelligence LLC governing the subscription service to which this model is applied</t>
  </si>
  <si>
    <t>S&amp;P Global Market Intelligence LLC 就本模型应用的订阅服务签订的书面协议而提供。</t>
  </si>
  <si>
    <t>S&amp;P Global Market Intelligence LLC 針對此模型所應用訂閱服務而簽訂之書面協議為之。</t>
  </si>
  <si>
    <t>S&amp;P Global Market Intelligence LLC régissant le service d'abonnement auquel ce modèle est appliqué</t>
  </si>
  <si>
    <t>S&amp;P Global Market Intelligence LLC와 맺은 서면 계약에 따라 제공됩니다</t>
  </si>
  <si>
    <t>S&amp;P Global Market Intelligence LLC que rige el servicio de suscripción al que se aplica este modelo</t>
  </si>
  <si>
    <t>S&amp;P Global Market Intelligence LLCの書面による合意に従って提供されます。</t>
  </si>
  <si>
    <t>S&amp;P Global Market Intelligence LLC über den Abonnementdienst, auf den dieses Modell angewendet wird, bereitgestellt</t>
  </si>
  <si>
    <t>S&amp;P Global Market Intelligence LLC, управляющего службой подписки, к которой прилагается эта модель</t>
  </si>
  <si>
    <t>S&amp;P Global Market Intelligence LLC che disciplina il servizio di abbonamento a cui questo modello è applicato</t>
  </si>
  <si>
    <t>Intelligence LLC que rege o serviço de assinatura ao qual este modelo é aplicado.</t>
  </si>
  <si>
    <t>Step 6: Click on "REFRESH" button.</t>
  </si>
  <si>
    <t>步骤6：点击“刷新”按钮。</t>
  </si>
  <si>
    <t>步驟6：點擊“重新整理”按鈕。</t>
  </si>
  <si>
    <t>ステップ6：「更新」のボタンをクリックしてください。</t>
  </si>
  <si>
    <t>Paso 6: Haga clic en el botón "ACTUALIZAR".</t>
  </si>
  <si>
    <t>Schritt 6: Klicken Sie auf die Schaltfläche "AKTUALISIEREN".</t>
  </si>
  <si>
    <t>Étape 6 : Cliquez sur le bouton "ACTUALISER".</t>
  </si>
  <si>
    <t>6단계: "시트 새로 고침" 버튼을 클릭하세요.</t>
  </si>
  <si>
    <t>Шаг 6: Нажмите кнопку «ОБНОВИТЬ ЛИСТ».</t>
  </si>
  <si>
    <t>Passo 6: Clique no botão «ATUALIZAR".</t>
  </si>
  <si>
    <t>REFRESH</t>
  </si>
  <si>
    <t>刷新</t>
  </si>
  <si>
    <t>重新整理</t>
  </si>
  <si>
    <t>更新</t>
  </si>
  <si>
    <t>ACTUALIZAR</t>
  </si>
  <si>
    <t>AKTUALISIEREN</t>
  </si>
  <si>
    <t>ACTUALISER</t>
  </si>
  <si>
    <t>AGGIORNARE</t>
  </si>
  <si>
    <t>새로 고침</t>
  </si>
  <si>
    <t>ОБНОВИТЬ</t>
  </si>
  <si>
    <t>Atualizar</t>
  </si>
  <si>
    <t>Beta</t>
  </si>
  <si>
    <t>贝塔系数</t>
  </si>
  <si>
    <t>貝塔係數</t>
  </si>
  <si>
    <t>ベータ</t>
  </si>
  <si>
    <t>Bêta</t>
  </si>
  <si>
    <t>베타</t>
  </si>
  <si>
    <t>天数：</t>
  </si>
  <si>
    <t>天數:</t>
  </si>
  <si>
    <t>日数：</t>
  </si>
  <si>
    <t>Días:</t>
  </si>
  <si>
    <t>Tage:</t>
  </si>
  <si>
    <t>Jours :</t>
  </si>
  <si>
    <t>Giorni:</t>
  </si>
  <si>
    <t>총 일수:</t>
  </si>
  <si>
    <t>Дней:</t>
  </si>
  <si>
    <t>Dias:</t>
  </si>
  <si>
    <t>贝塔系数选择</t>
  </si>
  <si>
    <t>貝塔係數選擇</t>
  </si>
  <si>
    <t>ベータ選択</t>
  </si>
  <si>
    <t>Selección Beta</t>
  </si>
  <si>
    <t>Beta-Auswahl</t>
  </si>
  <si>
    <t>Sélection Bêta</t>
  </si>
  <si>
    <t>Selezionare Beta</t>
  </si>
  <si>
    <t>베타 선택</t>
  </si>
  <si>
    <t xml:space="preserve">Выбор Бета-коэффициента </t>
  </si>
  <si>
    <t>Seleção Beta</t>
  </si>
  <si>
    <t>协方差：</t>
  </si>
  <si>
    <t>協方差：</t>
  </si>
  <si>
    <t>共分散：</t>
  </si>
  <si>
    <t>Covarianza:</t>
  </si>
  <si>
    <t>Kovarianz:</t>
  </si>
  <si>
    <t>Covariance :</t>
  </si>
  <si>
    <t>공분산:</t>
  </si>
  <si>
    <t>Ковариация:</t>
  </si>
  <si>
    <t>Covariância:</t>
  </si>
  <si>
    <t>ASSUMPTIONS</t>
  </si>
  <si>
    <t>假设</t>
  </si>
  <si>
    <t>假設</t>
  </si>
  <si>
    <t>前提条件</t>
  </si>
  <si>
    <t>SUPUESTOS</t>
  </si>
  <si>
    <t>ANNAHMEN</t>
  </si>
  <si>
    <t>HYPOTHÈSES</t>
  </si>
  <si>
    <t>IPOTESI</t>
  </si>
  <si>
    <t>추정치</t>
  </si>
  <si>
    <t xml:space="preserve">ДОПУЩЕНИЯ </t>
  </si>
  <si>
    <t>PREMISSAS:</t>
  </si>
  <si>
    <t>BETA CALCULATION</t>
  </si>
  <si>
    <t>贝塔系数计算</t>
  </si>
  <si>
    <t>貝塔係數計算</t>
  </si>
  <si>
    <t>ベータ計算</t>
  </si>
  <si>
    <t>CÁLCULO BETA</t>
  </si>
  <si>
    <t>BETA-BERECHNUNG</t>
  </si>
  <si>
    <t>CALCUL BÊTA</t>
  </si>
  <si>
    <t>CALCOLO BETA</t>
  </si>
  <si>
    <t>베타 계산</t>
  </si>
  <si>
    <t>РАСЧЕТ БЕТА-КОЭФФИЦИЕНТА</t>
  </si>
  <si>
    <t>方差：</t>
  </si>
  <si>
    <t>分散：</t>
  </si>
  <si>
    <t>Diferencia:</t>
  </si>
  <si>
    <t>Varianz:</t>
  </si>
  <si>
    <t>Variance :</t>
  </si>
  <si>
    <t>Varianza:</t>
  </si>
  <si>
    <t>분산:</t>
  </si>
  <si>
    <t>Вариация:</t>
  </si>
  <si>
    <t>Variância:</t>
  </si>
  <si>
    <t>5Yr Avg</t>
  </si>
  <si>
    <t>五年平均</t>
  </si>
  <si>
    <t>5年平均</t>
  </si>
  <si>
    <t>promedio a 5 años</t>
  </si>
  <si>
    <t>5-Jahres-Durchschnitt</t>
  </si>
  <si>
    <t>5 ans en moyenne</t>
  </si>
  <si>
    <t>media di 5 anni</t>
  </si>
  <si>
    <t>5년 평균</t>
  </si>
  <si>
    <t>Средний показатель ставки налога за 5 лет</t>
  </si>
  <si>
    <t>média 5 anos</t>
  </si>
  <si>
    <t>Levered</t>
  </si>
  <si>
    <t>杠杆</t>
  </si>
  <si>
    <t>槓桿</t>
  </si>
  <si>
    <t>レバード</t>
  </si>
  <si>
    <t>apalancada</t>
  </si>
  <si>
    <t>Gehebelt</t>
  </si>
  <si>
    <t>« Levered »</t>
  </si>
  <si>
    <t>차입 (Levered)</t>
  </si>
  <si>
    <t>Бета-коэффициент с учетом долгового бремени</t>
  </si>
  <si>
    <t>Alavancado</t>
  </si>
  <si>
    <t>Total</t>
  </si>
  <si>
    <t>总数</t>
  </si>
  <si>
    <t>總數</t>
  </si>
  <si>
    <t>合計</t>
  </si>
  <si>
    <t>Gesamt</t>
  </si>
  <si>
    <t>Totale</t>
  </si>
  <si>
    <t>합계</t>
  </si>
  <si>
    <t>Всего</t>
  </si>
  <si>
    <t>Mkt. Val.</t>
  </si>
  <si>
    <t>市值</t>
  </si>
  <si>
    <t>マーケット・バリュー</t>
  </si>
  <si>
    <t>Valor de mercado</t>
  </si>
  <si>
    <t>Mkt. Wert</t>
  </si>
  <si>
    <t>Valeur de marché</t>
  </si>
  <si>
    <t>Valore di mercato</t>
  </si>
  <si>
    <t>시장 가치</t>
  </si>
  <si>
    <t>Рыночная стоимость собственного капитала</t>
  </si>
  <si>
    <t>Pref</t>
  </si>
  <si>
    <t>优先股</t>
  </si>
  <si>
    <t>優先股</t>
  </si>
  <si>
    <t>優先株/</t>
  </si>
  <si>
    <t>preferente</t>
  </si>
  <si>
    <t>VZ</t>
  </si>
  <si>
    <t>Préf</t>
  </si>
  <si>
    <t>privilegiato</t>
  </si>
  <si>
    <t>우선주</t>
  </si>
  <si>
    <t xml:space="preserve">Привилегированный акционерный капитал </t>
  </si>
  <si>
    <t>Preferencial</t>
  </si>
  <si>
    <t>Debt/</t>
  </si>
  <si>
    <t>债务/</t>
  </si>
  <si>
    <t>債務/</t>
  </si>
  <si>
    <t>有利子負債/</t>
  </si>
  <si>
    <t>Deuda/</t>
  </si>
  <si>
    <t>Schuld/</t>
  </si>
  <si>
    <t>Dette/</t>
  </si>
  <si>
    <t>Indebitamento/</t>
  </si>
  <si>
    <t>부채/</t>
  </si>
  <si>
    <t>Долг / Собственный капитал</t>
  </si>
  <si>
    <t>Dívida/</t>
  </si>
  <si>
    <t>Pref/</t>
  </si>
  <si>
    <t>优先股/</t>
  </si>
  <si>
    <t>優先股/</t>
  </si>
  <si>
    <t>Preferente/</t>
  </si>
  <si>
    <t>VZ/</t>
  </si>
  <si>
    <t>Préf /</t>
  </si>
  <si>
    <t>privilegiato/</t>
  </si>
  <si>
    <t>우선주/</t>
  </si>
  <si>
    <t>Привилегированный акционерный капитал / Собственный капитал</t>
  </si>
  <si>
    <t>Preferencial/</t>
  </si>
  <si>
    <t>Unlevered</t>
  </si>
  <si>
    <t>无杠杆</t>
  </si>
  <si>
    <t>無槓桿</t>
  </si>
  <si>
    <t>アンレバード</t>
  </si>
  <si>
    <t>no apalancada</t>
  </si>
  <si>
    <t>Nicht gehebelt</t>
  </si>
  <si>
    <t>« Unlevered »</t>
  </si>
  <si>
    <t>무차입 (Unlevered)</t>
  </si>
  <si>
    <t>Бета-коэффициент(2) без учета долгового бремени</t>
  </si>
  <si>
    <t>Desalavancado</t>
  </si>
  <si>
    <t>パッド：ON</t>
  </si>
  <si>
    <t>PAD: ENCENDIDO</t>
  </si>
  <si>
    <t>PAD: EIN</t>
  </si>
  <si>
    <t>PAD : ON</t>
  </si>
  <si>
    <t>패드: 켜짐</t>
  </si>
  <si>
    <t>PAD: ВКЛ.</t>
  </si>
  <si>
    <t>PAD: Liga</t>
  </si>
  <si>
    <t>パッド：OFF</t>
  </si>
  <si>
    <t>PAD: APAGADO</t>
  </si>
  <si>
    <t>PAD: AUS</t>
  </si>
  <si>
    <t>PAD : OFF</t>
  </si>
  <si>
    <t>패드: 꺼짐</t>
  </si>
  <si>
    <t>PAD: ВЫКЛ.</t>
  </si>
  <si>
    <t>PAD: Desliga</t>
  </si>
  <si>
    <t>货币换算方法</t>
  </si>
  <si>
    <t>貨幣轉換方法</t>
  </si>
  <si>
    <t>通貨換算方法</t>
  </si>
  <si>
    <t>Método de conversión de monedas</t>
  </si>
  <si>
    <t>Währungsumrechnungsmethode</t>
  </si>
  <si>
    <t>Méthode de conversion des devises</t>
  </si>
  <si>
    <t>Metodo di conversione della valuta</t>
  </si>
  <si>
    <t>통화 환율 적용률</t>
  </si>
  <si>
    <t>Метод конвертации валют</t>
  </si>
  <si>
    <t>Método de conversão de moeda</t>
  </si>
  <si>
    <t>Tax Rate (5 Year Average)</t>
  </si>
  <si>
    <t>五年平均税率</t>
  </si>
  <si>
    <t>五年平均稅率</t>
  </si>
  <si>
    <t>税率（5年平均）</t>
  </si>
  <si>
    <t>Tasa impositiva (promedio de 5 años)</t>
  </si>
  <si>
    <t>Steuersatz (5 Jahre Durchschnitt)</t>
  </si>
  <si>
    <t>Taux d'impôt (5 ans en moyenne)</t>
  </si>
  <si>
    <t>Aliquota fiscale (media di 5 anni)</t>
  </si>
  <si>
    <t>법인세율 (5년평균)</t>
  </si>
  <si>
    <t>Налоговая ставка (среднее значение за 5 лет)</t>
  </si>
  <si>
    <t>Alíquota de imposto (média de 5 anos)</t>
  </si>
  <si>
    <t>Name</t>
  </si>
  <si>
    <t>公司名称</t>
  </si>
  <si>
    <t>公司名稱</t>
  </si>
  <si>
    <t>企業名</t>
  </si>
  <si>
    <t>Nombre</t>
  </si>
  <si>
    <t>Dénomination</t>
  </si>
  <si>
    <t>Nome</t>
  </si>
  <si>
    <t>회사명</t>
  </si>
  <si>
    <t>Наименование</t>
  </si>
  <si>
    <t>Tax Rate</t>
  </si>
  <si>
    <t>税率</t>
  </si>
  <si>
    <t>稅率</t>
  </si>
  <si>
    <t>Tasa impositiva</t>
  </si>
  <si>
    <t>Steuersatz</t>
  </si>
  <si>
    <t>Taux d'impôt</t>
  </si>
  <si>
    <t>Aliquota fiscale</t>
  </si>
  <si>
    <t>세율</t>
  </si>
  <si>
    <t>Alíquota de imposto</t>
  </si>
  <si>
    <t>Debt</t>
  </si>
  <si>
    <t>债务</t>
  </si>
  <si>
    <t>債務</t>
  </si>
  <si>
    <t>有利子負債</t>
  </si>
  <si>
    <t>Deuda</t>
  </si>
  <si>
    <t>Schuld</t>
  </si>
  <si>
    <t>Dette</t>
  </si>
  <si>
    <t>Indebitamento</t>
  </si>
  <si>
    <t>부채</t>
  </si>
  <si>
    <t>A débito</t>
  </si>
  <si>
    <t>Equity</t>
  </si>
  <si>
    <t>权益</t>
  </si>
  <si>
    <t>權益</t>
  </si>
  <si>
    <t>株主資本</t>
  </si>
  <si>
    <t>Capital</t>
  </si>
  <si>
    <t>Eigenkapital</t>
  </si>
  <si>
    <t>Capitale</t>
  </si>
  <si>
    <t>자본</t>
  </si>
  <si>
    <t>Patrimonial</t>
  </si>
  <si>
    <t>Size Premium</t>
  </si>
  <si>
    <t>规模溢价</t>
  </si>
  <si>
    <t>規模溢價</t>
  </si>
  <si>
    <t>サイズプレミアム</t>
  </si>
  <si>
    <t>Prima de Tamaño</t>
  </si>
  <si>
    <t>Größe Premium</t>
  </si>
  <si>
    <t>Prime de taille</t>
  </si>
  <si>
    <t>Premio di taglia</t>
  </si>
  <si>
    <t>기업 규모에 따른 프리미엄</t>
  </si>
  <si>
    <t>Премия за размер</t>
  </si>
  <si>
    <t>Tamanho Prêmio</t>
  </si>
  <si>
    <t>机构名称</t>
  </si>
  <si>
    <t>機構名稱</t>
  </si>
  <si>
    <t>機関名</t>
  </si>
  <si>
    <t>Nombre de la Institución</t>
  </si>
  <si>
    <t>Name der Einrichtung</t>
  </si>
  <si>
    <t>nom de l'institution</t>
  </si>
  <si>
    <t>Nome dell'istituzione</t>
  </si>
  <si>
    <t>기관 이름</t>
  </si>
  <si>
    <t>Название учебного заведения</t>
  </si>
  <si>
    <t xml:space="preserve">Nome da Instituição </t>
  </si>
  <si>
    <t>资金类型</t>
  </si>
  <si>
    <t>資金類型</t>
  </si>
  <si>
    <t>資金の種類</t>
  </si>
  <si>
    <t>Tipo de financiación</t>
  </si>
  <si>
    <t>Art der Finanzierung</t>
  </si>
  <si>
    <t>Type de financement</t>
  </si>
  <si>
    <t>Tipo di finanziamento</t>
  </si>
  <si>
    <t>자금 조달 유형</t>
  </si>
  <si>
    <t>Тип финансирования</t>
  </si>
  <si>
    <t xml:space="preserve">Tipo de Financiamento </t>
  </si>
  <si>
    <t>股息率（％）</t>
  </si>
  <si>
    <t>配当率（％）</t>
  </si>
  <si>
    <t>Tasa de dividendo (%)</t>
  </si>
  <si>
    <t>Dividendenrate (%)</t>
  </si>
  <si>
    <t>Taux de dividende (%)</t>
  </si>
  <si>
    <t>Tasso di dividendo (%)</t>
  </si>
  <si>
    <t>배당률 (%)</t>
  </si>
  <si>
    <t>Дивидендная ставка (%)</t>
  </si>
  <si>
    <t>Taxa de dividendos (%)</t>
  </si>
  <si>
    <t>Trade Date (mm/dd/yyyy)</t>
  </si>
  <si>
    <t>交易日期（mm/dd/yyyy）</t>
  </si>
  <si>
    <t>取引日付（mm/dd/yyyy）</t>
  </si>
  <si>
    <t>Fecha de negociación (mm/dd/aaaa)</t>
  </si>
  <si>
    <t>Handelsdatum (mm/tt/jjjjj)</t>
  </si>
  <si>
    <t>Date de l'échange (mm/jj/aaaa)</t>
  </si>
  <si>
    <t>Data operazione (mm/gg/aaaa)</t>
  </si>
  <si>
    <t>거래일(mm/dd/yyyy)</t>
  </si>
  <si>
    <t>Дата сделки (mm/dd/yyyy)</t>
  </si>
  <si>
    <t>Data de Negociação (dd/mm/aaaa)</t>
  </si>
  <si>
    <t>Average</t>
  </si>
  <si>
    <t>平均</t>
  </si>
  <si>
    <t>Promedio</t>
  </si>
  <si>
    <t>Durchschnittlich</t>
  </si>
  <si>
    <t>Moyenne</t>
  </si>
  <si>
    <t>Media</t>
  </si>
  <si>
    <t>평균</t>
  </si>
  <si>
    <t>Среднее значение</t>
  </si>
  <si>
    <t>Medio</t>
  </si>
  <si>
    <t>Average Unlevered Beta for Comps</t>
  </si>
  <si>
    <t>可比公司平均未杠杆贝塔系数</t>
  </si>
  <si>
    <t>可比公司平均未槓桿貝塔係數</t>
  </si>
  <si>
    <t>類似企業平均アンレバード・ベータ</t>
  </si>
  <si>
    <t>Beta promedio no apalancada para fines comparativos</t>
  </si>
  <si>
    <t>Durchschnittliches nicht gehebeltes Beta für Comps</t>
  </si>
  <si>
    <t xml:space="preserve">Bêta « unlevered » moyenne pour sociétés </t>
  </si>
  <si>
    <t>Beta unlevered media per confronto</t>
  </si>
  <si>
    <t>비교 기업 무차입 (Unlevered) 베타 평균치</t>
  </si>
  <si>
    <t xml:space="preserve">Среднее значение Бета-коэффициента без учета долгового бремени (Unlevered Beta) для сравнительного анализа компаний </t>
  </si>
  <si>
    <t>Beta desalavancado médio para Comps</t>
  </si>
  <si>
    <t>時価総額</t>
  </si>
  <si>
    <t>Capitalización Bursátil</t>
  </si>
  <si>
    <t>Marktkapitalisierung</t>
  </si>
  <si>
    <t>Capitalisation boursière</t>
  </si>
  <si>
    <t>Capitalizzazione di mercato</t>
  </si>
  <si>
    <t>시가총액</t>
  </si>
  <si>
    <t>Рыночная капитализация</t>
  </si>
  <si>
    <t>Capitalização de Mercado</t>
  </si>
  <si>
    <t>Pre-Tax Cost of Debt Step</t>
  </si>
  <si>
    <t>税前债务成本步骤</t>
  </si>
  <si>
    <t>稅前債務成本步驟</t>
  </si>
  <si>
    <t>税前負債コストのステップ</t>
  </si>
  <si>
    <t>Costo de la deuda antes de impuestos - Etapa</t>
  </si>
  <si>
    <t>Fremdkapitalkosten vor Steuern-Schritt</t>
  </si>
  <si>
    <t>Étape du coût de la dette avant impôt</t>
  </si>
  <si>
    <t>세전부채비용 비율간격</t>
  </si>
  <si>
    <t xml:space="preserve">Шаг расчета стоимости долга до налогов </t>
  </si>
  <si>
    <t>Etapa do custo da dívida antes dos impostos</t>
  </si>
  <si>
    <t>有效税率 (%)</t>
  </si>
  <si>
    <t>有效稅率 (%)</t>
  </si>
  <si>
    <t>実効税率 (%)</t>
  </si>
  <si>
    <t>Tasa Efectiva de Impuestos (%)</t>
  </si>
  <si>
    <t>Effektivsteuersatz (%)</t>
  </si>
  <si>
    <t>Taux d'imposition effectif (%)</t>
  </si>
  <si>
    <t>Aliquota fiscale effettiva (%)</t>
  </si>
  <si>
    <t>실효세율(%)</t>
  </si>
  <si>
    <t>Эффективная налоговая ставка (%)</t>
  </si>
  <si>
    <t>Alíquota efetiva (%)</t>
  </si>
  <si>
    <t>D/(D+P+E) Step</t>
  </si>
  <si>
    <t>债务/(债务+优先股+权益) 步骤</t>
  </si>
  <si>
    <t>債務/(債務+優先股+權益) 步驟</t>
  </si>
  <si>
    <t>有利子負債/（有利子負債+優先株+株主資本）のステップ</t>
  </si>
  <si>
    <t>D / (D + P + C) Etapa</t>
  </si>
  <si>
    <t>S / (S + V + E) Schritt</t>
  </si>
  <si>
    <t xml:space="preserve">Étape D/(D + P + C) </t>
  </si>
  <si>
    <t>D/(D+P+E) 비율간격</t>
  </si>
  <si>
    <t>Шаг расчета D/(D+P+E)</t>
  </si>
  <si>
    <t>Etapa D/(D+P+E)</t>
  </si>
  <si>
    <t>Cost of Equity Step</t>
  </si>
  <si>
    <t>权益成本步骤</t>
  </si>
  <si>
    <t>權益成本步驟</t>
  </si>
  <si>
    <t>株主資本コストのステップ</t>
  </si>
  <si>
    <t>Costo del capital - Etapa</t>
  </si>
  <si>
    <t>Eigenkapitalkosten-Schritt</t>
  </si>
  <si>
    <t>Étape du Coût du capital</t>
  </si>
  <si>
    <t>자본비용 비율간격</t>
  </si>
  <si>
    <t>Шаг расчета стоимости собственного капитала</t>
  </si>
  <si>
    <t>Etapa de custo de capital próprio</t>
  </si>
  <si>
    <t>E/(D+P+E) Step</t>
  </si>
  <si>
    <t>权益/(债务+优先股+权益) 步骤</t>
  </si>
  <si>
    <t>權益/(債務+優先股+權益) 步驟</t>
  </si>
  <si>
    <t>株主資本/（有利子負債+優先株+株主資本）のステップ</t>
  </si>
  <si>
    <t>C / (D + P + C) Etapa</t>
  </si>
  <si>
    <t>E / (S + V + E) Schritt</t>
  </si>
  <si>
    <t>Étape E/(D+P+C)</t>
  </si>
  <si>
    <t xml:space="preserve">E/(D+P+E) </t>
  </si>
  <si>
    <t>Шаг расчета E/(D+P+E)</t>
  </si>
  <si>
    <t xml:space="preserve">Etapa E/(D+P+E) </t>
  </si>
  <si>
    <t>WACC SENSITIVITY ANALYSIS</t>
  </si>
  <si>
    <t>加权平均资本成本敏感性分析</t>
  </si>
  <si>
    <t>加權平均資本成本敏感性分析</t>
  </si>
  <si>
    <t>加重平均資本コスト感応度分析</t>
  </si>
  <si>
    <t xml:space="preserve">ANÁLISIS DE SENSIBILIDAD COSTO MEDIO PONDERADO DEL CAPITAL </t>
  </si>
  <si>
    <t>WACC-EMPFINDLICHKEITSANALYSE</t>
  </si>
  <si>
    <t>ANALYSE DE SENSIBILITÉ DU CMPC (COÛT MOYEN PONDÉRÉ DU CAPITAL)</t>
  </si>
  <si>
    <t>ANALISI DELLA SENSIBILITÀ DEL COSTO MEDIO PONDERATO DEL CAPITALE</t>
  </si>
  <si>
    <t>가중평균자본비용 민감도 분석</t>
  </si>
  <si>
    <t>Анализ чувствительности средневзвешенной стоимости капитала (WACC)</t>
  </si>
  <si>
    <t>ANÁLISE DE SENSIBILIDADE WACC</t>
  </si>
  <si>
    <t>财务报告的货币代码</t>
  </si>
  <si>
    <t>財務報告的貨幣代碼</t>
  </si>
  <si>
    <t>財務報告通貨コード</t>
  </si>
  <si>
    <t>Código de moneda reportado de finanzas</t>
  </si>
  <si>
    <t>Währungscode für gemeldete Finanzdaten</t>
  </si>
  <si>
    <t>Code de la monnaie déclarée</t>
  </si>
  <si>
    <t>Dati finanziari indicati Codice valuta</t>
  </si>
  <si>
    <t>재무보고 된 통화 코드</t>
  </si>
  <si>
    <t>Финансовый отчет Код валюты</t>
  </si>
  <si>
    <t xml:space="preserve">Código de moeda do relatório financeiro </t>
  </si>
  <si>
    <t>D/(D+P+E)</t>
  </si>
  <si>
    <t>债务/(债务+优先股+权益)</t>
  </si>
  <si>
    <t>債務/(債務+優先股+權益)</t>
  </si>
  <si>
    <t>有利子負債/（有利子負債+優先株+株主資本）</t>
  </si>
  <si>
    <t>D/(D+P+C)</t>
  </si>
  <si>
    <t>S/(S+V+E)</t>
  </si>
  <si>
    <t xml:space="preserve">D/(D+P+E) </t>
  </si>
  <si>
    <t>Pre-Tax Cost of Debt</t>
  </si>
  <si>
    <t>税前债务成本</t>
  </si>
  <si>
    <t>稅前債務成本</t>
  </si>
  <si>
    <t>税前負債コスト</t>
  </si>
  <si>
    <t>Costo de la deuda antes de impuestos</t>
  </si>
  <si>
    <t>Fremdkapitalkosten vor Steuern</t>
  </si>
  <si>
    <t>Coût de la dette avant impôt</t>
  </si>
  <si>
    <t>Costo del debito ante imposte</t>
  </si>
  <si>
    <t>세전부채비용</t>
  </si>
  <si>
    <t xml:space="preserve">Стоимость долга до налогов </t>
  </si>
  <si>
    <t>Custo da dívida antes dos impostos</t>
  </si>
  <si>
    <t>交易代码及交易所。</t>
  </si>
  <si>
    <t>交易代碼及交易所。</t>
  </si>
  <si>
    <t>証券コード／ID</t>
  </si>
  <si>
    <t>Símbolo bursátil &amp; Bolsa</t>
  </si>
  <si>
    <t>Handelssymbol und Börse</t>
  </si>
  <si>
    <t xml:space="preserve">Symbole boursier &amp; Échange </t>
  </si>
  <si>
    <t>Simbolo di quotazione 
in borsa</t>
  </si>
  <si>
    <t xml:space="preserve">거래 기호 
및 거래소 </t>
  </si>
  <si>
    <t>Торговый Символ &amp; Биржа</t>
  </si>
  <si>
    <t xml:space="preserve">Símbolo comercial e bolsa </t>
  </si>
  <si>
    <t>Nombre de la institución</t>
  </si>
  <si>
    <t>Name der Institution</t>
  </si>
  <si>
    <t>Nom de l'institution</t>
  </si>
  <si>
    <t>Nome dell'ente</t>
  </si>
  <si>
    <t xml:space="preserve">기관 명칭 </t>
  </si>
  <si>
    <t>Наименование организации</t>
  </si>
  <si>
    <t>Nome da Instituição</t>
  </si>
  <si>
    <t>WACC</t>
  </si>
  <si>
    <t>加权平均资本成本</t>
  </si>
  <si>
    <t>加權平均資本成本</t>
  </si>
  <si>
    <t>加重平均資本コスト(WACC)</t>
  </si>
  <si>
    <t xml:space="preserve">COSTO MEDIO PONDERADO DEL CAPITAL </t>
  </si>
  <si>
    <t>gewichtete durchschnittliche Kapitalkosten</t>
  </si>
  <si>
    <t>COÛT MOYEN PONDÉRÉ DU CAPITAL</t>
  </si>
  <si>
    <t>COSTO MEDIO PONDERATO DEL CAPITALE</t>
  </si>
  <si>
    <t xml:space="preserve">가중평균자본비용 </t>
  </si>
  <si>
    <t>Средневзвешенная стоимость капитала (WACC)</t>
  </si>
  <si>
    <t>Market Risk Premium (Rm - Rf)</t>
  </si>
  <si>
    <t>市场风险溢价 (Rm - Rf)</t>
  </si>
  <si>
    <t>市場風險溢價 (Rm - Rf)</t>
  </si>
  <si>
    <t>マーケット・リスク・プレミアム (Rm - Rf)</t>
  </si>
  <si>
    <t>Prima de riesgo de mercado (Rm - Rf)</t>
  </si>
  <si>
    <t>Marktrisikoprämie (Rm - Rf)</t>
  </si>
  <si>
    <t>Prime de risque de marché (Rm - Rf)</t>
  </si>
  <si>
    <t>Premio di rischio di mercato (Rm - Rf)</t>
  </si>
  <si>
    <t>시장 위험 프리미엄(Rm - Rf)</t>
  </si>
  <si>
    <t>Премия за рыночный риск (Rm - Rf)</t>
  </si>
  <si>
    <t>Prêmio de risco de mercado (Rm - Rf)</t>
  </si>
  <si>
    <t>Adjusted Market Risk Premium</t>
  </si>
  <si>
    <t>调整后市场风险溢价</t>
  </si>
  <si>
    <t>調整後市場風險溢價</t>
  </si>
  <si>
    <t>調整後マーケット・リスク・プレミアム</t>
  </si>
  <si>
    <t>Prima de riesgo de mercado ajustada</t>
  </si>
  <si>
    <t>Angepasste Marktrisikoprämie</t>
  </si>
  <si>
    <t>Prime de risque de marché ajustée</t>
  </si>
  <si>
    <t>Premio di rischio di mercato rettificato</t>
  </si>
  <si>
    <t>수정된 시장 위험 프리미엄</t>
  </si>
  <si>
    <t>Скорректированная премия за рыночный риск (Rm - Rf)</t>
  </si>
  <si>
    <t>Prêmio de risco de mercado ajustado</t>
  </si>
  <si>
    <t>Add: Risk-Free Rate of Return (Rf)(1)</t>
  </si>
  <si>
    <t>加：无风险回报率 (Rf)</t>
  </si>
  <si>
    <t>加：無風險回報率 (Rf)</t>
  </si>
  <si>
    <t>プラス：リスクフリーレート (Rf)(1)</t>
  </si>
  <si>
    <t>Agregar: Tasa de retorno libre de riesgo (Rf)(1)</t>
  </si>
  <si>
    <t>Hinzufügen: Risikofreie Rendite (Rf)(1)</t>
  </si>
  <si>
    <t>Plus: Taux de rendement sans risque (Rf) (1)</t>
  </si>
  <si>
    <t>Più: Indice reddituale senza rischio (1)</t>
  </si>
  <si>
    <t>+무위험수익률(Rf)(1)</t>
  </si>
  <si>
    <t>Прибавить: Безрисковая ставка доходности (Rf)(1)</t>
  </si>
  <si>
    <t>Adicionar: Taxa de retorno livre de risco (Rf) (1)</t>
  </si>
  <si>
    <t>Add: Size Premium</t>
  </si>
  <si>
    <t>加：规模溢价</t>
  </si>
  <si>
    <t>加：規模溢價</t>
  </si>
  <si>
    <t>プラス：サイズプレミアム</t>
  </si>
  <si>
    <t>Agregar: Prima de Tamaño</t>
  </si>
  <si>
    <t>Hinzufügen: Size Premium</t>
  </si>
  <si>
    <t>Plus: Prime de taille</t>
  </si>
  <si>
    <t>Più: Dimensione premio</t>
  </si>
  <si>
    <t>+기업 규모에 따른 프리미엄</t>
  </si>
  <si>
    <t>Прибавить: Премия за размер</t>
  </si>
  <si>
    <t>Adicionar: Tamanho Prêmio</t>
  </si>
  <si>
    <t>Cost of Equity</t>
  </si>
  <si>
    <t>权益成本</t>
  </si>
  <si>
    <t>權益成本</t>
  </si>
  <si>
    <t>資本コスト</t>
  </si>
  <si>
    <t>Costo del capital</t>
  </si>
  <si>
    <t>Eigenkapitalkosten</t>
  </si>
  <si>
    <t>Coût du capital</t>
  </si>
  <si>
    <t>Costo del capitale</t>
  </si>
  <si>
    <t>자본비용</t>
  </si>
  <si>
    <t>Стоимость собственного капитала</t>
  </si>
  <si>
    <t>Custo de capital próprio</t>
  </si>
  <si>
    <t>Cost of Equity Portion</t>
  </si>
  <si>
    <t>权益成本部分</t>
  </si>
  <si>
    <t>權益成本部分</t>
  </si>
  <si>
    <t>資本コスト部分</t>
  </si>
  <si>
    <t>Costo de la porción del capital social</t>
  </si>
  <si>
    <t>Kosten des Eigenkapitalanteils</t>
  </si>
  <si>
    <t>Coût de la partie du capital</t>
  </si>
  <si>
    <t>Costo della quota di capitale</t>
  </si>
  <si>
    <t>자본비용 비중</t>
  </si>
  <si>
    <t xml:space="preserve">Стоимость части собственного капитала </t>
  </si>
  <si>
    <t>Parcela de custo de capital</t>
  </si>
  <si>
    <t>E/(D+P+E)</t>
  </si>
  <si>
    <t>权益/(债务+优先股+权益)</t>
  </si>
  <si>
    <t>權益/(債務+優先股+權益)</t>
  </si>
  <si>
    <t>株主資本/（有利子負債+優先株+株主資本）</t>
  </si>
  <si>
    <t>C/(D+P+C)</t>
  </si>
  <si>
    <t>E/(S+V+E)</t>
  </si>
  <si>
    <t>After-Tax Cost of Debt</t>
  </si>
  <si>
    <t>税后债务成本</t>
  </si>
  <si>
    <t>稅後債務成本</t>
  </si>
  <si>
    <t>税引後債務コスト</t>
  </si>
  <si>
    <t>Costo de la deuda después de impuestos</t>
  </si>
  <si>
    <t>Fremdkapitalkosten nach Steuern</t>
  </si>
  <si>
    <t>Coût de la dette après impôt</t>
  </si>
  <si>
    <t>Costo del debito dopo imposte</t>
  </si>
  <si>
    <t>세후이자비용</t>
  </si>
  <si>
    <t xml:space="preserve">Стоимость долга после налогов </t>
  </si>
  <si>
    <t>Custo da dívida após impostos</t>
  </si>
  <si>
    <t>Cost of Debt Portion</t>
  </si>
  <si>
    <t>债务成本部分</t>
  </si>
  <si>
    <t>債務成本部分</t>
  </si>
  <si>
    <t>負債コスト部分</t>
  </si>
  <si>
    <t>Costo de la porción de la deuda</t>
  </si>
  <si>
    <t>Anteil an Fremdkapitalkosten</t>
  </si>
  <si>
    <t>Coût de la partie de la dette</t>
  </si>
  <si>
    <t>Costo della quota di debito</t>
  </si>
  <si>
    <t>부채비용 비중</t>
  </si>
  <si>
    <t>Стоимость части долга</t>
  </si>
  <si>
    <t>Custo da porção da dívida</t>
  </si>
  <si>
    <t>Cost of Preferred Portion</t>
  </si>
  <si>
    <t>优先股成本部分</t>
  </si>
  <si>
    <t>優先股成本部分</t>
  </si>
  <si>
    <t>優先株コスト部分</t>
  </si>
  <si>
    <t>Costo de la porción preferente</t>
  </si>
  <si>
    <t>Kosten des Vorzugs-Anteils</t>
  </si>
  <si>
    <t>Coût de la partie préféréntielle</t>
  </si>
  <si>
    <t>Costo della quota privilegiata</t>
  </si>
  <si>
    <t>우선주 비용 비중</t>
  </si>
  <si>
    <t>Стоимость привилегированной части</t>
  </si>
  <si>
    <t>Custo da porção preferencial</t>
  </si>
  <si>
    <t>(1) Unlevered Beta = Levered Beta / ( 1 + ((D/E) * (1 - T)) + P/E)</t>
  </si>
  <si>
    <t>(1) 无杠杆贝塔 = 杠杆贝塔 / ( 1 + ((债务/权益) * (1 - 税率)) + 优先股/权益)</t>
  </si>
  <si>
    <t>(1) 無槓桿貝塔 = 槓桿貝塔 / ( 1 + ((債務/權益) * (1 - 稅率)) + 優先股/權益)</t>
  </si>
  <si>
    <t>(1) アンレバード・ベータ＝レバード・ベータ/（1+（（有利子負債/株主資本）*（1-実効税率））+優先株/株主資本）</t>
  </si>
  <si>
    <t>(1) Beta no apalancada = Beta apalancada / (1 + ((D / C) * (1 - T)) + P / C</t>
  </si>
  <si>
    <t>(1) Nicht gehebeltes Beta = Gehebeltes Beta / (1 + ((S / E) * (1 - T)) + V / E)</t>
  </si>
  <si>
    <t>(1) Bêta « unlevered » = Bêta « levered » / (1 + ((D/E) * (1 - T)) + P/E)</t>
  </si>
  <si>
    <t>(1) Beta unlevered = Beta levered / ( 1 + ((D/C) * (1 - T)) + P/C)</t>
  </si>
  <si>
    <t>(1) 무차입(Unlevered) 베타 = 차입 (Levered) 베타/ ( 1 + ((D/E) * (1 - T)) + P/E)</t>
  </si>
  <si>
    <t>(1) Бета-коэффициент без учета долгового бремени (Unlevered Beta) = Бета-коэффициент с учетом долгового бремени (Levered Beta) / ( 1 + ((D/E) * (1 - T)) + P/E)</t>
  </si>
  <si>
    <t>(1) Beta não alavancado = Beta alavancado / ( 1 + ((D/E) * (1 - T)) + P/E)</t>
  </si>
  <si>
    <t>(2) Levered Beta = Unlevered Beta * ( 1 + ((D/E) * (1 - T)) + P/E)</t>
  </si>
  <si>
    <t>(2) 杠杆贝塔 = 无杠杆贝塔 * ( 1 + ((债务/权益) * (1 - 税率)) + 优先股/权益)</t>
  </si>
  <si>
    <t>(2) 槓桿貝塔 = 無槓桿貝塔 * ( 1 + ((債務/權益) * (1 - 稅率)) + 優先股/權益)</t>
  </si>
  <si>
    <t>(2) レバード・ベータ＝アンレバード・ベータ*（1+（（有利子負債/株主資本）*（1-実効税率））+優先株/株主資本）</t>
  </si>
  <si>
    <t>(2) Beta apalancada = Beta no apalancada* (1 + ((D / C) * (1 - T)) + P / C</t>
  </si>
  <si>
    <t>(2) Gehebeltes Beta = nicht gehebeltes Beta * (1 + ((S / E) * (1 - T)) + V / E)</t>
  </si>
  <si>
    <t>(2) Bêta « levered » = Bêta « unlevered » * (1 + ((D/E) * (1 - T)) + P / E)</t>
  </si>
  <si>
    <t>(2) Beta levered = Beta unlevered * ( 1 + ((D/C) * (1 - T)) + P/C)</t>
  </si>
  <si>
    <t>(2) 차입(Levered) 베타 = 무차입(Unlevered) 베타 * ( 1 + ((D/E) * (1 - T)) + P/E)</t>
  </si>
  <si>
    <t>(2) Бета-коэффициент с учетом долгового бремени (Levered Beta) = Бета-коэффициент без учета долгового бремени (Unlevered Beta) * ( 1 + ((D/E) * (1 - T)) + P/E)</t>
  </si>
  <si>
    <t>(2) Beta alavancado = Beta não alavancado * ( 1 + ((D/E) * (1 - T)) + P/E)</t>
  </si>
  <si>
    <t>Step 2: Enter Most Recent Calendar Period.</t>
  </si>
  <si>
    <t>步骤 2：输入最近历期。</t>
  </si>
  <si>
    <t>步驟 2：輸入最近曆期。</t>
  </si>
  <si>
    <t>ステップ2：直近の期間を入力</t>
  </si>
  <si>
    <t>Paso 2: Ingrese el período de calendario más reciente.</t>
  </si>
  <si>
    <t>Schritt 2: Geben Sie die letzte Kalenderperiode ein.</t>
  </si>
  <si>
    <t>Étape 2. Entrez la période de calendrier la plus récente.</t>
  </si>
  <si>
    <t>2 단계: 가장 최근 기간을 입력하세요.</t>
  </si>
  <si>
    <t>Шаг 2. Введите последний календарный период</t>
  </si>
  <si>
    <t>Passo 2: insira o período do calendário mais recente.</t>
  </si>
  <si>
    <t>Intermediate</t>
  </si>
  <si>
    <t>中间</t>
  </si>
  <si>
    <t>中間</t>
  </si>
  <si>
    <t>中間計算</t>
  </si>
  <si>
    <t>Intermedios</t>
  </si>
  <si>
    <t>Mittel</t>
  </si>
  <si>
    <t>Intermédiaire</t>
  </si>
  <si>
    <t>Intermedio</t>
  </si>
  <si>
    <t>중간</t>
  </si>
  <si>
    <t>Промежуточный</t>
  </si>
  <si>
    <t>Intermediários</t>
  </si>
  <si>
    <t>UPDATE TERMINOLOGY</t>
  </si>
  <si>
    <t>更新术语</t>
  </si>
  <si>
    <t>更新術語</t>
  </si>
  <si>
    <t>用語の更新</t>
  </si>
  <si>
    <t>ACTUALIZAR TERMINOLOGÍA</t>
  </si>
  <si>
    <t>TERMINOLOGIE AKTUALISIEREN</t>
  </si>
  <si>
    <t>METTRE À JOUR LA LANGUE</t>
  </si>
  <si>
    <t>AGGIORNA TERMINOLOGIA</t>
  </si>
  <si>
    <t>용어 업데이트</t>
  </si>
  <si>
    <t>ОБНОВИТЬ ТЕРМИНОЛОГИЮ</t>
  </si>
  <si>
    <t>ATUALIZAR TERMINOLOGIA</t>
  </si>
  <si>
    <t>英语</t>
  </si>
  <si>
    <t>英語</t>
  </si>
  <si>
    <t>Inglés</t>
  </si>
  <si>
    <t>Englisch</t>
  </si>
  <si>
    <t>Anglais</t>
  </si>
  <si>
    <t>Inglese</t>
  </si>
  <si>
    <t>영어</t>
  </si>
  <si>
    <t>Английский</t>
  </si>
  <si>
    <t>Inglês</t>
  </si>
  <si>
    <t>简体中文</t>
  </si>
  <si>
    <t>簡體中文</t>
  </si>
  <si>
    <t>中国語 - 簡体字</t>
  </si>
  <si>
    <t>Chino - Simplificado</t>
  </si>
  <si>
    <t>Chinesisch - Vereinfacht</t>
  </si>
  <si>
    <t>Chinois - Simplifié</t>
  </si>
  <si>
    <t>Cinese - semplificato</t>
  </si>
  <si>
    <t>중국어 - 간체</t>
  </si>
  <si>
    <t>Китайский - упрощенный</t>
  </si>
  <si>
    <t>Chinês simplificado</t>
  </si>
  <si>
    <t>繁体中文</t>
  </si>
  <si>
    <t>繁體中文</t>
  </si>
  <si>
    <t>中国語 - 繁体字</t>
  </si>
  <si>
    <t>Chino - Tradicional</t>
  </si>
  <si>
    <t>Chinesisch - Traditionell</t>
  </si>
  <si>
    <t>Chinois - Traditionnel</t>
  </si>
  <si>
    <t>Cinese - tradizionale</t>
  </si>
  <si>
    <t>중국어 - 번체</t>
  </si>
  <si>
    <t>Китайский - традиционный</t>
  </si>
  <si>
    <t>Chinês tradicional</t>
  </si>
  <si>
    <t>日语</t>
  </si>
  <si>
    <t>日語</t>
  </si>
  <si>
    <t>日本語</t>
  </si>
  <si>
    <t>Japonés</t>
  </si>
  <si>
    <t>Japanisch</t>
  </si>
  <si>
    <t>Japonais</t>
  </si>
  <si>
    <t>Giapponese</t>
  </si>
  <si>
    <t>일본어</t>
  </si>
  <si>
    <t>Японский</t>
  </si>
  <si>
    <t>Japonês</t>
  </si>
  <si>
    <t>西班牙语</t>
  </si>
  <si>
    <t>西班牙語</t>
  </si>
  <si>
    <t>スペイン語</t>
  </si>
  <si>
    <t>Español</t>
  </si>
  <si>
    <t>Spanisch</t>
  </si>
  <si>
    <t>Espagnol</t>
  </si>
  <si>
    <t>Spagnolo</t>
  </si>
  <si>
    <t>스페인어</t>
  </si>
  <si>
    <t>Испанский</t>
  </si>
  <si>
    <t>Espanhol</t>
  </si>
  <si>
    <t>德语</t>
  </si>
  <si>
    <t>德語</t>
  </si>
  <si>
    <t>ドイツ語</t>
  </si>
  <si>
    <t>Alemán</t>
  </si>
  <si>
    <t>Deutsch</t>
  </si>
  <si>
    <t>Allemand</t>
  </si>
  <si>
    <t>Tedesco</t>
  </si>
  <si>
    <t>독일어</t>
  </si>
  <si>
    <t>Немецкий</t>
  </si>
  <si>
    <t>Alemão</t>
  </si>
  <si>
    <t>法语</t>
  </si>
  <si>
    <t>法語</t>
  </si>
  <si>
    <t>フランス語</t>
  </si>
  <si>
    <t>Francés</t>
  </si>
  <si>
    <t>Französisch</t>
  </si>
  <si>
    <t>Français</t>
  </si>
  <si>
    <t>Francese</t>
  </si>
  <si>
    <t>불어</t>
  </si>
  <si>
    <t>Французский</t>
  </si>
  <si>
    <t>Francês</t>
  </si>
  <si>
    <t>意大利语</t>
  </si>
  <si>
    <t>義大利語</t>
  </si>
  <si>
    <t>イタリア語</t>
  </si>
  <si>
    <t>Italiano</t>
  </si>
  <si>
    <t>Italienisch</t>
  </si>
  <si>
    <t>Italien</t>
  </si>
  <si>
    <t>이태리어</t>
  </si>
  <si>
    <t>Итальянский</t>
  </si>
  <si>
    <t>韩语</t>
  </si>
  <si>
    <t>韓語</t>
  </si>
  <si>
    <t>韓国語</t>
  </si>
  <si>
    <t>Coreano</t>
  </si>
  <si>
    <t>Koreanisch</t>
  </si>
  <si>
    <t>Coréen</t>
  </si>
  <si>
    <t>한국어</t>
  </si>
  <si>
    <t>Корейский</t>
  </si>
  <si>
    <t>俄语</t>
  </si>
  <si>
    <t>俄語</t>
  </si>
  <si>
    <t>ロシア語</t>
  </si>
  <si>
    <t>Ruso</t>
  </si>
  <si>
    <t>Russisch</t>
  </si>
  <si>
    <t>Russe</t>
  </si>
  <si>
    <t>Russo</t>
  </si>
  <si>
    <t>러시아어</t>
  </si>
  <si>
    <t>Русский</t>
  </si>
  <si>
    <t>Russa</t>
  </si>
  <si>
    <t>乍得</t>
  </si>
  <si>
    <t>查德</t>
  </si>
  <si>
    <t>チャド</t>
  </si>
  <si>
    <t>Tchad</t>
  </si>
  <si>
    <t>Chad</t>
  </si>
  <si>
    <t>Tschad</t>
  </si>
  <si>
    <t>차드</t>
  </si>
  <si>
    <t>Чад</t>
  </si>
  <si>
    <t>Português</t>
  </si>
  <si>
    <t>Discounted Cash Flow Analysis</t>
  </si>
  <si>
    <t>现金流贴现分析</t>
  </si>
  <si>
    <t>現金流貼現分析</t>
  </si>
  <si>
    <t> 割引キャッシュフロー分析</t>
  </si>
  <si>
    <t>Análisis de Flujo de caja descontado</t>
  </si>
  <si>
    <t>DISCOUNTED-CASHFLOW-ANALYSE</t>
  </si>
  <si>
    <t>Analyse des flux de trésorerie actualisés</t>
  </si>
  <si>
    <t>Analisi dei flussi di cassa attualizzati</t>
  </si>
  <si>
    <t>현금흐름할인법 (DCF method)</t>
  </si>
  <si>
    <t>Анализ дисконтированных денежных потоков</t>
  </si>
  <si>
    <t>Análise de fluxo de caixa descontado</t>
  </si>
  <si>
    <t>1) Select S&amp;P Cap IQ Pro Office Add-In manual refresh option.</t>
  </si>
  <si>
    <t>1）选择S&amp;P Cap IQ Pro Office加载项手动刷新选项。</t>
  </si>
  <si>
    <t>1）選擇S&amp;P Cap IQ Pro Office加載項手動刷新選項。</t>
  </si>
  <si>
    <t>1）S&amp;P Cap IQ Pro Officeアドインの手動更新オプションを選択します。</t>
  </si>
  <si>
    <t>1) Seleccione la opción de actualización manual de S&amp;P Cap IQ Pro Office Add-In.</t>
  </si>
  <si>
    <t>1) Wählen Sie die manuelle Aktualisierungsoption für das S&amp;P Cap IQ Pro Office-Add-In.</t>
  </si>
  <si>
    <t>1) Sélectionnez l'option d'actualisation manuelle du complément S&amp;P Cap IQ Pro Office.</t>
  </si>
  <si>
    <t>1) Selezionare l'opzione di aggiornamento manuale del componente aggiuntivo di Office S&amp;P Cap IQ Pro.</t>
  </si>
  <si>
    <t>1) S&amp;P Cap IQ Pro Office Add-In 수동 새로 고침 옵션을 선택하십시오.</t>
  </si>
  <si>
    <t>1) Выберите вариант обновления вручную надстройки S&amp;P Cap IQ Pro Office.</t>
  </si>
  <si>
    <t>Please contact Market Intelligence Support with any questions or comments:</t>
  </si>
  <si>
    <t>如有任何问题或意见，请联系 Market Intelligence 支持部门：</t>
  </si>
  <si>
    <t>如有任何問題或意見，請聯絡 Market Intelligence 支援部門：</t>
  </si>
  <si>
    <t>質問やコメントがあればMarket Intelligenceサポートにご連絡ください。</t>
  </si>
  <si>
    <t>Por favor, póngase en contacto con el Servicio de asistencia técnica de Market Intelligence si tiene alguna pregunta o comentario:</t>
  </si>
  <si>
    <t>Bei Fragen oder Anregungen wenden Sie sich bitte an den Market Intelligence Support:</t>
  </si>
  <si>
    <t>Pour toute question ou remarque, contactez le support de Market Intelligence:</t>
  </si>
  <si>
    <t>Si prega di contattare il supporto Market Intelligence per qualsiasi domanda o commento:</t>
  </si>
  <si>
    <t>문의 사항이나 의견이 있으면 아래 Market Intelligence 지원 부서로 연락하십시오.</t>
  </si>
  <si>
    <t>Пожалуйста, свяжитесь со службой поддержки Market Intelligence по любым вопросам или комментариям:</t>
  </si>
  <si>
    <t>Por favor, entre em contato com o Suporte de Market Intelligence em caso de dúvidas ou comentários:</t>
  </si>
  <si>
    <t>3) For best performance, save this file to your computer, close and then reopen.</t>
  </si>
  <si>
    <t>3）为获得最佳性能，请将此文件保存到您的计算机，关闭然后重新打开。</t>
  </si>
  <si>
    <t>3）為獲得最佳性能，請將此文件保存到您的計算機，關閉然後重新打開。</t>
  </si>
  <si>
    <t>3）最高のパフォーマンスを得るために、このファイルをコンピューターに保存してから閉じてから、再度開きます。</t>
  </si>
  <si>
    <t>3) Para obtener el mejor rendimiento, guarde este archivo en su computadora, cierre y vuelva a abrir.</t>
  </si>
  <si>
    <t>3) Um eine optimale Leistung zu erzielen, speichern Sie diese Datei auf Ihrem Computer, schließen Sie sie und öffnen Sie sie erneut.</t>
  </si>
  <si>
    <t>3) Pour de meilleures performances, enregistrez ce fichier sur votre ordinateur, fermez-le puis rouvrez-le.</t>
  </si>
  <si>
    <t>3) Per prestazioni ottimali, salvare questo file sul computer, chiudere e riaprire.</t>
  </si>
  <si>
    <t>3) 최상의 성능을 위해이 파일을 컴퓨터에 저장하고 닫은 다음 다시 엽니 다.</t>
  </si>
  <si>
    <t>3) Для лучшей производительности сохраните этот файл на своем компьютере, закройте и снова откройте.</t>
  </si>
  <si>
    <t>3) Para melhor desempenho, salve este arquivo em seu computador, feche e reabra.</t>
  </si>
  <si>
    <t>Step 2: Enter period for end of period financials, and end date for 5-year Beta calculation.</t>
  </si>
  <si>
    <t>步骤2：输入期末财务的日期，以及5年Beta计算的结束日期。</t>
  </si>
  <si>
    <t>步驟2：輸入期末財務的日期，以及5年Beta計算的結束日期。</t>
  </si>
  <si>
    <t>ステップ2：5年ベータ計算用の財務データ期間と期末日をご入力ください。</t>
  </si>
  <si>
    <t>Paso 2: Ingrese el período para las finanzas de fin de período y la fecha de finalización para el cálculo Beta de 5 años.</t>
  </si>
  <si>
    <t>Schritt 2: Geben Sie den Zeitraum für die Finanzdaten am Ende der Periode und das Enddatum für die 5-Jahres-Beta-Berechnung ein.</t>
  </si>
  <si>
    <t>Étape 2 : Saisissez la période pour les états financiers de fin de période, et la date de fin pour le calcul du bêta sur 5 ans.</t>
  </si>
  <si>
    <t>2단계: 기간 종료 기간 및 5년 베타 계산 종료일을 입력합니다.</t>
  </si>
  <si>
    <t>Шаг 2: Введите период для финансовых результатов на конец периода и дату окончания для расчета 5-летней бета-версии.</t>
  </si>
  <si>
    <t>Passo 2: Insira o período para as informações financeiras referentes ao final do Exercício Financeiro e a data de término para o cálculo do Beta de 5 anos.</t>
  </si>
  <si>
    <t>Format: FYyyyy</t>
  </si>
  <si>
    <t>格式：FYyyyy</t>
  </si>
  <si>
    <t>フォーマット：FYyyyy</t>
  </si>
  <si>
    <t>Formato: FYyyyy</t>
  </si>
  <si>
    <t>Formate: FYyyyy</t>
  </si>
  <si>
    <t>서식: FYyyyy</t>
  </si>
  <si>
    <t>(Формат: FYyyyy</t>
  </si>
  <si>
    <t>Format: mm/dd/yyyy</t>
  </si>
  <si>
    <t>格式：mm/dd/yyyy</t>
  </si>
  <si>
    <t>フォーマット：mm/dd/yyyy</t>
  </si>
  <si>
    <t>Formato: mm/dd/aaaa</t>
  </si>
  <si>
    <t>Format: mm/tag/jjjjj</t>
  </si>
  <si>
    <t>Format : mm/jj/aaaa</t>
  </si>
  <si>
    <t>Formato: mm/gg/aaaa</t>
  </si>
  <si>
    <t>형식: mm/dd/yyyy</t>
  </si>
  <si>
    <t>Формат: mm/dd/yyyy</t>
  </si>
  <si>
    <t>Formato: dd/mm/ aaaa</t>
  </si>
  <si>
    <t>1) Market Intelligence calculates WACC based on the most recent annual/quarterly reporting period,</t>
  </si>
  <si>
    <t>1）Market Intelligence根据最近的年度/季度报告期计算加权平均资本成本，</t>
  </si>
  <si>
    <t>1）Market Intelligence根據最近的年度/季度報告期計算加權平均資本成本，</t>
  </si>
  <si>
    <t>1）Market Intelligence は直近年度・四半期の報告に基づいてWACCを算出し、</t>
  </si>
  <si>
    <t>1) Market Intelligence calcula el costo de capital medio ponderado en función del período de informe anual / trimestral más reciente,</t>
  </si>
  <si>
    <t>1) Market Intelligence berechnet den WACC auf der Grundlage des letzten Jahres-/Quartalsberichtszeitraums,</t>
  </si>
  <si>
    <t>1) Market Intelligence calcule le WACC sur la base de la période de rapport annuel/trimestriel la plus récente,</t>
  </si>
  <si>
    <t>1) Market Intelligence calcola il WACC sulla base dell'ultimo periodo di riferimetno annuale/trimestrale</t>
  </si>
  <si>
    <t>1) 시장 인텔리전스는 가장 최근의 연례/분기별 보고 기간을 기준으로 WACC를 계산합니다.</t>
  </si>
  <si>
    <t>1) Market Intelligence рассчитывает Средневзвешенную стоимость капитала (WACC) на основе последнего годового/квартального отчетного периода,</t>
  </si>
  <si>
    <t>1) A Market Intelligence calcula o WACC com base no Exercício Financeiro anual/trimestral mais recente,</t>
  </si>
  <si>
    <t>步骤3：选择市场回报指数。</t>
  </si>
  <si>
    <t>步驟3：選擇市場回報指數。</t>
  </si>
  <si>
    <t>ステップ3：市場利回り用のインデックスをご選択ください。</t>
  </si>
  <si>
    <t>Paso 3: seleccione un índice de rentabilidad del mercado.</t>
  </si>
  <si>
    <t>Schritt 3: Wählen Sie einen Index für Marktrendite.</t>
  </si>
  <si>
    <t>Étape 3 : Sélectionnez un indice pour le rendement du marché.</t>
  </si>
  <si>
    <t>3단계: 시장 수익률에 대한 지수를 선택합니다.</t>
  </si>
  <si>
    <t>Шаг 3: Выберите индекс рыночной доходности.</t>
  </si>
  <si>
    <t>Passo 3: Selecione um índice para retorno do mercado.</t>
  </si>
  <si>
    <t>Step 4: Select peers for beta generation.</t>
  </si>
  <si>
    <t>步骤4：选择同业以生成Beta。</t>
  </si>
  <si>
    <t>步驟4：選擇同業以生成Beta。</t>
  </si>
  <si>
    <t>ステップ4：ベータ生成用のピアをご選択ください。</t>
  </si>
  <si>
    <t>Paso 4: seleccione compañeros para la generación Beta.</t>
  </si>
  <si>
    <t>Schritt 4: Peers für die Beta-Generierung auswählen.</t>
  </si>
  <si>
    <t>Étape 4 : Sélection des pairs pour la génération du bêta.</t>
  </si>
  <si>
    <t>4단계: 베타 생성을 위해 피어를 선택합니다.</t>
  </si>
  <si>
    <t>Шаг 4: Выберите аналогичные компании для генерирования бета-версии.</t>
  </si>
  <si>
    <t>Passo 4: Selecione empresas comparáveis para geração Beta.</t>
  </si>
  <si>
    <t>3) The model includes only the securities issued by the Focus company.</t>
  </si>
  <si>
    <t>3）该模型仅包含目标公司发行的证券。</t>
  </si>
  <si>
    <t>3）該模型僅包含目標公司發行的證券。</t>
  </si>
  <si>
    <t>3）このモデルには、対象企業の発行した有価証券のみが含まれています。</t>
  </si>
  <si>
    <t>3) El modelo incluye únicamente los valores emitidos por la empresa Focus.</t>
  </si>
  <si>
    <t>3) Das Modell enthält nur die von dem Fokus Unternehmen ausgegebenen Wertpapiere.</t>
  </si>
  <si>
    <t>3) Le modèle n'inclut que les titres émis par la société Focus.</t>
  </si>
  <si>
    <t>3) Il modello comprende soltanto i titoli emessi dalla società obiettivo.</t>
  </si>
  <si>
    <t>3) 해당 모델에는 포커스 회사가 발행한 증권만 포함됩니다.</t>
  </si>
  <si>
    <t>3) Модель включает только ценные бумаги, выпущенные рассматриваемой компанией.</t>
  </si>
  <si>
    <t>3) O modelo inclui apenas os títulos emitidos da empresa foco.</t>
  </si>
  <si>
    <t>Step 5: Select currency and magnitude.</t>
  </si>
  <si>
    <t>Step 6: Select discount factor.</t>
  </si>
  <si>
    <t>步骤6：选择折扣系数。</t>
  </si>
  <si>
    <t>步驟6：選擇折扣係數。</t>
  </si>
  <si>
    <t>ステップ6：割引率をご選択ください。</t>
  </si>
  <si>
    <t>Paso 6: seleccione el factor de descuento.</t>
  </si>
  <si>
    <t>Schritt 6: Wählen Sie den Diskontierungsfaktor.</t>
  </si>
  <si>
    <t>Étape 6 : Sélectionnez le facteur de remise.</t>
  </si>
  <si>
    <t>Шаг 6: Выберите коэффициент скидки.</t>
  </si>
  <si>
    <t>Etapa 6: Selecione o fator de desconto.</t>
  </si>
  <si>
    <t>Discount Factor:</t>
  </si>
  <si>
    <t>贴现率</t>
  </si>
  <si>
    <t>貼現率</t>
  </si>
  <si>
    <t>割引率:</t>
  </si>
  <si>
    <t>Factor de descuento:</t>
  </si>
  <si>
    <t>Diskontierungsfaktor:</t>
  </si>
  <si>
    <t>Facteur d'escompte:</t>
  </si>
  <si>
    <t>Fattore di sconto:</t>
  </si>
  <si>
    <t>할인계수:</t>
  </si>
  <si>
    <t>Коэффициент дисконтирования</t>
  </si>
  <si>
    <t>Factor de desconto:</t>
  </si>
  <si>
    <t>Mid-Period Convention</t>
  </si>
  <si>
    <t>期中惯例</t>
  </si>
  <si>
    <t>期中慣例</t>
  </si>
  <si>
    <t>期央調整</t>
  </si>
  <si>
    <t>Convenio de mitad de período</t>
  </si>
  <si>
    <t>Halbperiode-Konvention</t>
  </si>
  <si>
    <t>convention de Milieu de période</t>
  </si>
  <si>
    <t>Convenzione di medio periodo</t>
  </si>
  <si>
    <t xml:space="preserve">기중할인 가정 </t>
  </si>
  <si>
    <t>Соглашение на середину периода</t>
  </si>
  <si>
    <t>Convenção de Período intermediário</t>
  </si>
  <si>
    <t>End-of-Period Convention</t>
  </si>
  <si>
    <t>期末惯例</t>
  </si>
  <si>
    <t>期末慣例</t>
  </si>
  <si>
    <t>期末計算</t>
  </si>
  <si>
    <t>Convenio de fin de período</t>
  </si>
  <si>
    <t>Ende der Periode-Konvention</t>
  </si>
  <si>
    <t>Convention de fin de période</t>
  </si>
  <si>
    <t>Convenzione di fine periodo</t>
  </si>
  <si>
    <t xml:space="preserve">기말할인 가정 </t>
  </si>
  <si>
    <t>Соглашение на конец периода</t>
  </si>
  <si>
    <t>Convenção de Fim de Período</t>
  </si>
  <si>
    <t>Step 7: Select calculation method for Δ working cap.</t>
  </si>
  <si>
    <t>步骤7：选择Δ营运资金的计算方法</t>
  </si>
  <si>
    <t>步驟7：選擇Δ營運資金的計算方法</t>
  </si>
  <si>
    <t>ステップ7：Δ運転資本の計算方法をご選択ください。</t>
  </si>
  <si>
    <t>Paso 7: Seleccione el método de cálculo para Δ capital de trabajo</t>
  </si>
  <si>
    <t>Schritt 7: Wählen Sie die Berechnungsmethode für Δ Betriebskapital</t>
  </si>
  <si>
    <t>Étape 7 : Sélectionner la méthode de calcul de la variation du fonds de roulement</t>
  </si>
  <si>
    <t>7단계: Δ 작업 캡 계산 방법을 선택합니다.</t>
  </si>
  <si>
    <t>Шаг 7: Выберите метод расчета Δ оборотного капитала</t>
  </si>
  <si>
    <t>Etapa 7: Selecione o método de cálculo para Δ de capital de giro</t>
  </si>
  <si>
    <t>Δ Working Cap. Reference:</t>
  </si>
  <si>
    <t>Δ营运资金参考：</t>
  </si>
  <si>
    <t>Δ營運資金參考：</t>
  </si>
  <si>
    <t>Δ運転資本の参照：</t>
  </si>
  <si>
    <t>Δ Casquillo de trabajo. Referencia:</t>
  </si>
  <si>
    <t>Δ Betriebskapital Referenz:</t>
  </si>
  <si>
    <t>Référence de la variation du fonds de roulement :</t>
  </si>
  <si>
    <t>Δ Riferimento capitale circolante:</t>
  </si>
  <si>
    <t>Δ 작업 캡. 참조:</t>
  </si>
  <si>
    <t xml:space="preserve">Δ оборотный капитал -- Справка </t>
  </si>
  <si>
    <t>Δ Capital de giro Referência:</t>
  </si>
  <si>
    <t>1 = As Reported on the Cash Flow</t>
  </si>
  <si>
    <t>1 = 现金流表原始数据</t>
  </si>
  <si>
    <t>1 = 現金流表原始數據</t>
  </si>
  <si>
    <t>1 = キャッシュフロー実績値で計算</t>
  </si>
  <si>
    <t>1 = Como se informa en el Estado de Flujos de Efectivo</t>
  </si>
  <si>
    <t>1 = Wie in der Kapitalflussrechnung angegeben</t>
  </si>
  <si>
    <t>1 = Comme indiqué sur le flux de trésorerie</t>
  </si>
  <si>
    <t>1 = Come segnalato sul flusso di cassa</t>
  </si>
  <si>
    <t>1 = 현금흐름표에서 보고된 수치</t>
  </si>
  <si>
    <t>1 = как отражено в денежном потоке</t>
  </si>
  <si>
    <t>1 = Conforme relatado no fluxo de caixa</t>
  </si>
  <si>
    <t>2 = Calculated via WC Schedule</t>
  </si>
  <si>
    <t>2 = 按运营资金表计算的数据</t>
  </si>
  <si>
    <t>2 = 按運營資金表計算的數據</t>
  </si>
  <si>
    <t>2 = 運転資本スケジュールで計算</t>
  </si>
  <si>
    <t>2 = Calculado a través del calendario de capital de trabajo</t>
  </si>
  <si>
    <t>2 = Berechnet über das Arbeitskapitalplan</t>
  </si>
  <si>
    <t>2 = calculé via le programme de fonds de roulement</t>
  </si>
  <si>
    <t>2 = Calcolato tramite Schema di CC</t>
  </si>
  <si>
    <t>2 =  운전자본 Schedule에 따라 계산된 수치</t>
  </si>
  <si>
    <t>2 = Рассчитано по графику оборотного капитала</t>
  </si>
  <si>
    <t>2 = Calculado via WC Schedule</t>
  </si>
  <si>
    <t>Step 8: Click on "REFRESH SHEET" button.</t>
  </si>
  <si>
    <t>步骤8：点击“REFRESH SHEET”按钮。</t>
  </si>
  <si>
    <t>步驟8：點擊“REFRESH SHEET”按鈕。</t>
  </si>
  <si>
    <t>ステップ8：「REFRESH SHEET」のボタンをクリックしてください。</t>
  </si>
  <si>
    <t>Paso 8: Haga clic en el botón "ACTUALIZAR HOJA".</t>
  </si>
  <si>
    <t>Schritt 8: Klicken Sie auf die Schaltfläche "BLATT AKTUALISIEREN".</t>
  </si>
  <si>
    <t>Étape 8 : Cliquez sur le bouton "REFRESH SHEET".</t>
  </si>
  <si>
    <t>8단계: "시트 새로 고침" 버튼을 클릭하세요.</t>
  </si>
  <si>
    <t>Шаг 8: Нажмите кнопку «ОБНОВИТЬ ЛИСТ».</t>
  </si>
  <si>
    <t>Etapa 8: Clique no botão «ATUALIZAR FOLHA".</t>
  </si>
  <si>
    <t>Levered Beta</t>
  </si>
  <si>
    <t>杠杆贝塔系数</t>
  </si>
  <si>
    <t>槓桿貝塔係數</t>
  </si>
  <si>
    <t>レバード・ベータ</t>
  </si>
  <si>
    <t>Beta apalancada</t>
  </si>
  <si>
    <t>Gehebeltes Beta</t>
  </si>
  <si>
    <t xml:space="preserve">Bêta « levered » </t>
  </si>
  <si>
    <t>Beta Levered</t>
  </si>
  <si>
    <t>차입 (Levered) 베타</t>
  </si>
  <si>
    <t>Бета-коэффициент с учетом долгового бремени (Levered Beta)</t>
  </si>
  <si>
    <t>Beta Alavancado</t>
  </si>
  <si>
    <t>Columbia</t>
  </si>
  <si>
    <t>哥伦比亚</t>
  </si>
  <si>
    <t>哥倫比亞</t>
  </si>
  <si>
    <t>コロンビア</t>
  </si>
  <si>
    <t>Kolumbien</t>
  </si>
  <si>
    <t>Colombie</t>
  </si>
  <si>
    <t>컬럼비아</t>
  </si>
  <si>
    <t>Колумбия</t>
  </si>
  <si>
    <t>Company Name, Abbreviated</t>
  </si>
  <si>
    <t>公司名称，简称</t>
  </si>
  <si>
    <t>公司名稱，簡稱</t>
  </si>
  <si>
    <t>会社名、略称</t>
  </si>
  <si>
    <t>Nombre de la empresa, abreviado</t>
  </si>
  <si>
    <t>Name der Firma, abgekürzt</t>
  </si>
  <si>
    <t>Nom de la société, en abrégé</t>
  </si>
  <si>
    <t>Nome società, Abbreviato</t>
  </si>
  <si>
    <t>회사 이름, 약어</t>
  </si>
  <si>
    <t>Наименование компании, сокращенное</t>
  </si>
  <si>
    <t>Nome da empresa, abreviado</t>
  </si>
  <si>
    <t>PROJECTED CASH FLOWS</t>
  </si>
  <si>
    <t>预计现金流量</t>
  </si>
  <si>
    <t>預計現金流量</t>
  </si>
  <si>
    <t>将来キャッシュフロー</t>
  </si>
  <si>
    <t>FLUJOS DE EFECTIVO PROYECTADOS</t>
  </si>
  <si>
    <t>PROGNOSTIZIERTE GELDFLÜSSE</t>
  </si>
  <si>
    <t>FLUX DE TRÉSORERIE PROJETÉS</t>
  </si>
  <si>
    <t>FLUSSI FINANZIARI PREVISTI</t>
  </si>
  <si>
    <t>예상 현금흐름</t>
  </si>
  <si>
    <t>ОЖИДАЕМЫЕ ДЕНЕЖНЫЕ ПОТОКИ</t>
  </si>
  <si>
    <t>FLUXO DE CAIXA PROJETADOS</t>
  </si>
  <si>
    <t>CAGR</t>
  </si>
  <si>
    <t xml:space="preserve">复合年均增长率 </t>
  </si>
  <si>
    <t>複合年均增長率</t>
  </si>
  <si>
    <t xml:space="preserve">平均年間成長率 </t>
  </si>
  <si>
    <t xml:space="preserve">Tasa de crecimiento anual compuesto </t>
  </si>
  <si>
    <t xml:space="preserve">CAGR [durchschnittliche jährliche Wachstumsrate]
</t>
  </si>
  <si>
    <t>CAGR [taux de croissance annuel composé]</t>
  </si>
  <si>
    <t>Tasso di crescita annuale composto (CAGR)</t>
  </si>
  <si>
    <t>연평균성장률 (CAGR)</t>
  </si>
  <si>
    <t>Совокупный среднегодовой темп роста (CAGR)</t>
  </si>
  <si>
    <t>Total Revenue</t>
  </si>
  <si>
    <t>总收入</t>
  </si>
  <si>
    <t>總收入</t>
  </si>
  <si>
    <t>売上高</t>
  </si>
  <si>
    <t>Total de ingresos</t>
  </si>
  <si>
    <t>Gesamtumsatz</t>
  </si>
  <si>
    <t>Total chiffre d'affaires</t>
  </si>
  <si>
    <t>Ricavi totali</t>
  </si>
  <si>
    <t>총 매출</t>
  </si>
  <si>
    <t xml:space="preserve">Общая выручка </t>
  </si>
  <si>
    <t>Receita Total</t>
  </si>
  <si>
    <t>Annual Growth</t>
  </si>
  <si>
    <t>年均增长率</t>
  </si>
  <si>
    <t>年均增長率</t>
  </si>
  <si>
    <t xml:space="preserve">年間成長率 </t>
  </si>
  <si>
    <t>Crecimiento anual</t>
  </si>
  <si>
    <t>Jährliches Wachstum</t>
  </si>
  <si>
    <t>Croissance annuelle</t>
  </si>
  <si>
    <t>Crescita annuale</t>
  </si>
  <si>
    <t xml:space="preserve">연간 성장률 </t>
  </si>
  <si>
    <t>Годовой рост</t>
  </si>
  <si>
    <t>Crescimento anual</t>
  </si>
  <si>
    <t>Cost of Revenue</t>
  </si>
  <si>
    <t>收入成本</t>
  </si>
  <si>
    <t>売上原価</t>
  </si>
  <si>
    <t>Costo de los ingresos</t>
  </si>
  <si>
    <t>Kosten des Umsatzes</t>
  </si>
  <si>
    <t>Coût des ventes</t>
  </si>
  <si>
    <t>Costo del ricavo</t>
  </si>
  <si>
    <t>매출원가</t>
  </si>
  <si>
    <t xml:space="preserve">Стоимость выручки </t>
  </si>
  <si>
    <t>Custo de receita</t>
  </si>
  <si>
    <t>Margin</t>
  </si>
  <si>
    <t>占收入百分比(%)</t>
  </si>
  <si>
    <t>佔收入百分比(%)</t>
  </si>
  <si>
    <t>売上総利益率 (%)</t>
  </si>
  <si>
    <t>Margen</t>
  </si>
  <si>
    <t>Marge</t>
  </si>
  <si>
    <t>Margine</t>
  </si>
  <si>
    <t>이익률</t>
  </si>
  <si>
    <t xml:space="preserve">Маржа </t>
  </si>
  <si>
    <t>Margem</t>
  </si>
  <si>
    <t>EBITDA</t>
  </si>
  <si>
    <t>税息折旧及摊销前利润</t>
  </si>
  <si>
    <t>稅息折舊及攤銷前利潤</t>
  </si>
  <si>
    <t>EBITDA/LAJIDA</t>
  </si>
  <si>
    <t>Less: Depreciation and Amortization</t>
  </si>
  <si>
    <t>减：折旧与摊销费用</t>
  </si>
  <si>
    <t>減：折舊與攤銷費用</t>
  </si>
  <si>
    <t>- 減価償却費</t>
  </si>
  <si>
    <t>Menos: Depreciación y amortización</t>
  </si>
  <si>
    <t>Weniger: Abschreibungen und Amortisationen</t>
  </si>
  <si>
    <t>Moins : Dépréciation &amp; Amort.</t>
  </si>
  <si>
    <t>Meno: Ammortamento e svalutazioni</t>
  </si>
  <si>
    <t xml:space="preserve"> - 감가상각비</t>
  </si>
  <si>
    <t>Минус: износ и амортизация</t>
  </si>
  <si>
    <t>Menos: Depreciações e Amortizações</t>
  </si>
  <si>
    <t>Step</t>
  </si>
  <si>
    <t>步骤</t>
  </si>
  <si>
    <t>步驟</t>
  </si>
  <si>
    <t>増加幅</t>
  </si>
  <si>
    <t>Paso</t>
  </si>
  <si>
    <t>Schritt</t>
  </si>
  <si>
    <t>간격</t>
  </si>
  <si>
    <t>Шаг</t>
  </si>
  <si>
    <t>Passo</t>
  </si>
  <si>
    <t>% of Capital Expenditure</t>
  </si>
  <si>
    <t>资本支出百分比 (%)</t>
  </si>
  <si>
    <t>資本支出百分比 (%)</t>
  </si>
  <si>
    <t>設備投資対比 (%)</t>
  </si>
  <si>
    <t>% de gastos de capital</t>
  </si>
  <si>
    <t>% der Investitionen in Sachanlagen</t>
  </si>
  <si>
    <t>% des dépenses en capital</t>
  </si>
  <si>
    <t>% delle spese in conto capitale</t>
  </si>
  <si>
    <t>감가상각비/자본적 지출 %</t>
  </si>
  <si>
    <t>% капитальных затрат</t>
  </si>
  <si>
    <t>% da despesa de capital</t>
  </si>
  <si>
    <t>EBIT</t>
  </si>
  <si>
    <t>息稅前利潤</t>
  </si>
  <si>
    <t>EBIT/LAJIR</t>
  </si>
  <si>
    <t>Less: Income Taxes</t>
  </si>
  <si>
    <t>减：所得税</t>
  </si>
  <si>
    <t>減：所得稅</t>
  </si>
  <si>
    <t>- 法人税等</t>
  </si>
  <si>
    <t>Menos: Impuestos sobre la renta</t>
  </si>
  <si>
    <t>Weniger: Ertragsteuern</t>
  </si>
  <si>
    <t>Moins : Impôts sur les revenus</t>
  </si>
  <si>
    <t>Meno: Imposte sul reddito</t>
  </si>
  <si>
    <t xml:space="preserve"> - 법인세비용</t>
  </si>
  <si>
    <t>Минус: подоходный налог</t>
  </si>
  <si>
    <t>Menos: Tributos sobre a receita</t>
  </si>
  <si>
    <t>Unlevered Net Income</t>
  </si>
  <si>
    <t xml:space="preserve">非杠杆净收入 </t>
  </si>
  <si>
    <t xml:space="preserve">非槓桿淨收入 </t>
  </si>
  <si>
    <t>アンレバード純利益</t>
  </si>
  <si>
    <t>Ingresos netos excluyendo pago de intereses</t>
  </si>
  <si>
    <t>Nettogewinn ohne Schulden</t>
  </si>
  <si>
    <t>Revenu net sans endettement</t>
  </si>
  <si>
    <t>Reddito netto unlevered</t>
  </si>
  <si>
    <t>무차입(Unlevered) 순이익</t>
  </si>
  <si>
    <t>Чистый доход без учета финансовых обязательств</t>
  </si>
  <si>
    <t>Lucro líquido não alavancado</t>
  </si>
  <si>
    <t>Plus: Depreciation and Amortization</t>
  </si>
  <si>
    <t>加：折旧与摊销费用</t>
  </si>
  <si>
    <t>加：折舊與攤銷費用</t>
  </si>
  <si>
    <t>+ 減価償却費</t>
  </si>
  <si>
    <t>Más: Depreciación y amortización</t>
  </si>
  <si>
    <t>Plus: Abschreibungen und Amortisationen</t>
  </si>
  <si>
    <t>Plus: Dépréciation &amp; Amort.</t>
  </si>
  <si>
    <t>Più: Ammortamento e svalutazioni</t>
  </si>
  <si>
    <t xml:space="preserve"> + 감가상각비</t>
  </si>
  <si>
    <t>Плюс: износ и амортизация</t>
  </si>
  <si>
    <t>Mais: Depreciações e Amortizações</t>
  </si>
  <si>
    <t>Less: Capital Expenditure</t>
  </si>
  <si>
    <t>减：资本支出</t>
  </si>
  <si>
    <t>減：資本支出</t>
  </si>
  <si>
    <t>- 設備投資</t>
  </si>
  <si>
    <t>Menos: Gastos de capital</t>
  </si>
  <si>
    <t>Weniger: Investitionen in Sachanlagen</t>
  </si>
  <si>
    <t>Moins : Dépense d'immobilisations</t>
  </si>
  <si>
    <t>Meno: Spese in conto capitale</t>
  </si>
  <si>
    <t xml:space="preserve"> - 자본적 지출</t>
  </si>
  <si>
    <t>Минус: капитальные затраты</t>
  </si>
  <si>
    <t>Menos: Despesas de Capital</t>
  </si>
  <si>
    <t>Less: Additions to Intangibles</t>
  </si>
  <si>
    <t>减：无形资产增加</t>
  </si>
  <si>
    <t>減：無形資産增加</t>
  </si>
  <si>
    <t>- 無形固定資産</t>
  </si>
  <si>
    <t>Menos: Incorporaciones a los intangibles</t>
  </si>
  <si>
    <t>Weniger: Zugänge zu den immateriellen Vermögenswerten</t>
  </si>
  <si>
    <t>Moins : Ajouts aux actifs incorporels</t>
  </si>
  <si>
    <t>Meno: Incrementi di immobilizzazioni immateriali</t>
  </si>
  <si>
    <t xml:space="preserve"> - 무형자산의 증가액 </t>
  </si>
  <si>
    <t>Минус: дополнения к нематериальным активам</t>
  </si>
  <si>
    <t>Menos: Adições a intangíveis</t>
  </si>
  <si>
    <t>Less: Increase in Working Capital</t>
  </si>
  <si>
    <t>减：运营资金增加</t>
  </si>
  <si>
    <t>減：運營資金增加</t>
  </si>
  <si>
    <t>- 運転資本増</t>
  </si>
  <si>
    <t>Menos: Aumento del capital circulante</t>
  </si>
  <si>
    <t>Weniger: Erhöhung des Arbeitskapitals</t>
  </si>
  <si>
    <t>Moins : Augmentation du fonds de roulement</t>
  </si>
  <si>
    <t>Meno: Aumento del capitale circolante</t>
  </si>
  <si>
    <t xml:space="preserve"> - 순영업자산증감</t>
  </si>
  <si>
    <t>Минус: увеличение оборотного капитала</t>
  </si>
  <si>
    <t>Menos: Aumento do capital de giro</t>
  </si>
  <si>
    <t>Change in Trad. Asset Securities</t>
  </si>
  <si>
    <t>交易资产证券变更</t>
  </si>
  <si>
    <t>交易資產證券變更</t>
  </si>
  <si>
    <t>有価証券の増減</t>
  </si>
  <si>
    <t xml:space="preserve">Cambio en los valores de los activos </t>
  </si>
  <si>
    <t>Veränderung bei handelbaren Wertpapieranlagen</t>
  </si>
  <si>
    <t>Variation des titres d'actifs négociables</t>
  </si>
  <si>
    <t>Variazione in titoli di negoziazione</t>
  </si>
  <si>
    <t>거래 자산 증권 변동</t>
  </si>
  <si>
    <t>Изменение в ценных бумагах, используемых для торговли активами</t>
  </si>
  <si>
    <t>Variação na comercialização de títulos de participações</t>
  </si>
  <si>
    <t>Change in Acc. Receivable</t>
  </si>
  <si>
    <t>应收账款变更</t>
  </si>
  <si>
    <t>應收賬款變更</t>
  </si>
  <si>
    <t>売上債権の増減</t>
  </si>
  <si>
    <t>Cambio en Cuentas por cobrar</t>
  </si>
  <si>
    <t>Veränderung der Forderungen aus LL</t>
  </si>
  <si>
    <t>Variation du compte à recevoir</t>
  </si>
  <si>
    <t>Variazione crediti</t>
  </si>
  <si>
    <t>외상매출금 변동</t>
  </si>
  <si>
    <t>Изменение дебиторской задолженности</t>
  </si>
  <si>
    <t>Variação no contas a receber</t>
  </si>
  <si>
    <t>Change in Inventories</t>
  </si>
  <si>
    <t>存货变更</t>
  </si>
  <si>
    <t>存貨變更</t>
  </si>
  <si>
    <t>棚卸資産の増減</t>
  </si>
  <si>
    <t>Cambio en los inventarios</t>
  </si>
  <si>
    <t>Bestandsveränderungen</t>
  </si>
  <si>
    <t>Variation des stocks</t>
  </si>
  <si>
    <t>Variazione scorte</t>
  </si>
  <si>
    <t>재고 변동</t>
  </si>
  <si>
    <t>Изменение в запасах</t>
  </si>
  <si>
    <t>Variação em estoques</t>
  </si>
  <si>
    <t>Change in Acc. Payable</t>
  </si>
  <si>
    <t>应付帐款变更</t>
  </si>
  <si>
    <t>應付帳款變更</t>
  </si>
  <si>
    <t>仕入債務の増減</t>
  </si>
  <si>
    <t>Cambio en Cuentas a pagar</t>
  </si>
  <si>
    <t>Veränderung der Verbindlichkeiten aus LL</t>
  </si>
  <si>
    <t>Variation du compte à payer</t>
  </si>
  <si>
    <t>Variazione debiti</t>
  </si>
  <si>
    <t>외상매입금 변동</t>
  </si>
  <si>
    <t>Изменение кредиторской задолженности</t>
  </si>
  <si>
    <t>Variação em contas a pagar</t>
  </si>
  <si>
    <t>Change in Unearned Rev.</t>
  </si>
  <si>
    <t>预收收入变更</t>
  </si>
  <si>
    <t>預收收入變更</t>
  </si>
  <si>
    <t>前受収益の増減</t>
  </si>
  <si>
    <t>Cambio en los ingresos no devengados</t>
  </si>
  <si>
    <t>Veränderung der Prämienbestandteile für zukünftige Perioden</t>
  </si>
  <si>
    <t>Variation des revenus non réalisés</t>
  </si>
  <si>
    <t>Variazione ricavi non acquisiti</t>
  </si>
  <si>
    <t>선수수익 변동</t>
  </si>
  <si>
    <t>Изменение незаработанных доходов</t>
  </si>
  <si>
    <t>Variação na receita a apropriar</t>
  </si>
  <si>
    <t>Change in Inc. Taxes</t>
  </si>
  <si>
    <t>所得税的变更</t>
  </si>
  <si>
    <t>所得稅的變更</t>
  </si>
  <si>
    <t>未払法人税等、及び未払費用の増減</t>
  </si>
  <si>
    <t>Cambio en Impuestos a las ganancias</t>
  </si>
  <si>
    <t>Veränderung der angefallenen Steuern</t>
  </si>
  <si>
    <t>Variation de l'impôt sur le revenu</t>
  </si>
  <si>
    <t>Variazione imposte sul redd.</t>
  </si>
  <si>
    <t>소득세 변경</t>
  </si>
  <si>
    <t>Изменение подоходного налога</t>
  </si>
  <si>
    <t>Variação no imposto de renda</t>
  </si>
  <si>
    <t>Date Today</t>
  </si>
  <si>
    <t>今天的日期</t>
  </si>
  <si>
    <t>今日の日付</t>
  </si>
  <si>
    <t>La fecha de hoy</t>
  </si>
  <si>
    <t>Datum Heute</t>
  </si>
  <si>
    <t>Date d'aujourd'hui</t>
  </si>
  <si>
    <t>Data di oggi</t>
  </si>
  <si>
    <t>오늘 날짜</t>
  </si>
  <si>
    <t>Дата Сегодня</t>
  </si>
  <si>
    <t>Data de hoje</t>
  </si>
  <si>
    <t>Change in Def. Taxes</t>
  </si>
  <si>
    <t>递延税项变更</t>
  </si>
  <si>
    <t>遞延稅項變更</t>
  </si>
  <si>
    <t>繰延税金資産</t>
  </si>
  <si>
    <t>Cambio en Impuestos Diferidos</t>
  </si>
  <si>
    <t>Veränderung der latenten Steuern</t>
  </si>
  <si>
    <t>Variation des impôts différés</t>
  </si>
  <si>
    <t>Variazione imposte differite</t>
  </si>
  <si>
    <t>이연법인세 변경</t>
  </si>
  <si>
    <t>Изменение в отложенных налогах</t>
  </si>
  <si>
    <t>Variação em impostos diferidos</t>
  </si>
  <si>
    <t>Date of Last Refresh</t>
  </si>
  <si>
    <t>最近刷新日期</t>
  </si>
  <si>
    <t>最終更新日</t>
  </si>
  <si>
    <t>Fecha de la última actualización</t>
  </si>
  <si>
    <t>Datum der letzten Aktualisierung</t>
  </si>
  <si>
    <t>Date du dernier rafraîchissement</t>
  </si>
  <si>
    <t>Data ultimo aggiornamento</t>
  </si>
  <si>
    <t>마지막 새로 고침 날짜</t>
  </si>
  <si>
    <t>Дата последнего обновления</t>
  </si>
  <si>
    <t>Data da Última Atualização</t>
  </si>
  <si>
    <t>Change in Other Net Operating Assets</t>
  </si>
  <si>
    <t>其他净经营资产变更</t>
  </si>
  <si>
    <t>其他淨經營資產變更</t>
  </si>
  <si>
    <t>その他純営業資産の増減</t>
  </si>
  <si>
    <t>Variación de otros activos operativos netos</t>
  </si>
  <si>
    <t>Veränderung des sonstigen Nettobetriebsvermögens</t>
  </si>
  <si>
    <t>Variation des autres actifs nets d'exploitation</t>
  </si>
  <si>
    <t>Variazione altre attività operative nette</t>
  </si>
  <si>
    <t>기타 순 운영 자산 변동</t>
  </si>
  <si>
    <t>Изменение прочих чистых операционных активов</t>
  </si>
  <si>
    <t>Variação em outros ativos operacionais líquidos</t>
  </si>
  <si>
    <t>Unlevered Free Cash Flow</t>
  </si>
  <si>
    <t>非杠杆自由现金流</t>
  </si>
  <si>
    <t>非槓桿自由現金流</t>
  </si>
  <si>
    <t>アンレバードフリーキャッシュフロー</t>
  </si>
  <si>
    <t>Flujo de efectivo libre excluyendo pago de intereses</t>
  </si>
  <si>
    <t>Verfügbarer Geldfluss ohne Schulden</t>
  </si>
  <si>
    <t>Flux de trésorerie disponible sans désendettement</t>
  </si>
  <si>
    <t>Flusso di cassa libero unlevered</t>
  </si>
  <si>
    <t>기업잉여현금흐름 (Unlevered)</t>
  </si>
  <si>
    <t>Свободный денежный поток без учета финансовых обязательств</t>
  </si>
  <si>
    <t>Fluxo de caixa livre desalavancado</t>
  </si>
  <si>
    <t>PV of Yearly Cash Flows</t>
  </si>
  <si>
    <t>年度现金流现值</t>
  </si>
  <si>
    <t>年度現金流現值</t>
  </si>
  <si>
    <t>キャッシュフロー現在価値</t>
  </si>
  <si>
    <t>Valor actual de flujos de caja anuales</t>
  </si>
  <si>
    <t>Barwert der jährlichen Geldflüsse</t>
  </si>
  <si>
    <t>Valeur actuelle des flux de trésorerie annuels</t>
  </si>
  <si>
    <t>Valore attuale di flussi di cassa annuali</t>
  </si>
  <si>
    <t xml:space="preserve">연간 현금흐름의 현가  </t>
  </si>
  <si>
    <t>Приведенная стоимость (PV) годового денежного потока</t>
  </si>
  <si>
    <t>VP (valor presente) de fluxos de caixa anuais</t>
  </si>
  <si>
    <t>DCF Assumptions</t>
  </si>
  <si>
    <t>贴现现金流假设条件</t>
  </si>
  <si>
    <t>貼現現金流假設條件</t>
  </si>
  <si>
    <t>DCF計算仮定</t>
  </si>
  <si>
    <t>Supuestos del modelo de flujo de caja descontado</t>
  </si>
  <si>
    <t>Annahmen von Diskontierung der Geldflüsse</t>
  </si>
  <si>
    <t>Hypothèses Actualisation des flux de trésorerie</t>
  </si>
  <si>
    <t>Ipotesi DCF</t>
  </si>
  <si>
    <t>DCF 가정</t>
  </si>
  <si>
    <t xml:space="preserve">Дисконтированные денежные потоки (DCF) -- Допущения </t>
  </si>
  <si>
    <t>Premissas - Fluxos de caixa descontados</t>
  </si>
  <si>
    <t>% of TEV</t>
  </si>
  <si>
    <t>总企业价值百分比 (%)</t>
  </si>
  <si>
    <t>總企業價值百分比 (%)</t>
  </si>
  <si>
    <t>企業価値 %</t>
  </si>
  <si>
    <t>% de Valor de la empresa total</t>
  </si>
  <si>
    <t>% des Unternehmenswertes</t>
  </si>
  <si>
    <t>% du total valeur de l'entreprise</t>
  </si>
  <si>
    <t>% di Valore aziendale totale</t>
  </si>
  <si>
    <t>% общей стоимости предприятия (TEV)</t>
  </si>
  <si>
    <t>% de TEV (Valor Total da Empresa)</t>
  </si>
  <si>
    <t>% of MVE</t>
  </si>
  <si>
    <t>股权市值百分比</t>
  </si>
  <si>
    <t>股權市值百分比</t>
  </si>
  <si>
    <t>時価総額 %</t>
  </si>
  <si>
    <t>% del Valor de mercado del patrimonio</t>
  </si>
  <si>
    <t>% des Marktwerts des Eigenkapitals</t>
  </si>
  <si>
    <t>% de valeur marchande des capitaux propres</t>
  </si>
  <si>
    <t>% di valore di mercato di equity</t>
  </si>
  <si>
    <t>% рыночной стоимости акций (MVE)</t>
  </si>
  <si>
    <t>% de MVE (Valor de mercado do patrimônio)</t>
  </si>
  <si>
    <t>Weighted Average Cost of Capital</t>
  </si>
  <si>
    <t>加重平均資本コスト</t>
  </si>
  <si>
    <t>Costo medio ponderado del capital</t>
  </si>
  <si>
    <t>Gewichteter durchschnittlicher Kapitalkosten</t>
  </si>
  <si>
    <t>Coût en capital moyen pondéré</t>
  </si>
  <si>
    <t>Costo medio ponderato del capitale</t>
  </si>
  <si>
    <t>가중평균자본비용</t>
  </si>
  <si>
    <t>Средневзвешенная стоимость капитала</t>
  </si>
  <si>
    <t>Custo médio ponderado de capital</t>
  </si>
  <si>
    <t>Terminal EBITDA Multiple</t>
  </si>
  <si>
    <t>终端税息折旧及摊销前利润倍数</t>
  </si>
  <si>
    <t>終端稅息折舊及攤銷前利潤倍數</t>
  </si>
  <si>
    <t>永久EBITDAマルチプル</t>
  </si>
  <si>
    <t>Valor terminal por múltiplos de EBITDA</t>
  </si>
  <si>
    <t>EBITDA terminal multiple</t>
  </si>
  <si>
    <t>Multiplo EBITDA finale</t>
  </si>
  <si>
    <t>최종(Terminal)  EBITDA 배수</t>
  </si>
  <si>
    <t>Терминальный  мультипликатор EBITDA</t>
  </si>
  <si>
    <t>Terminal EBITDA múltiplo</t>
  </si>
  <si>
    <t>Day Close Price</t>
  </si>
  <si>
    <t>当日收盘价</t>
  </si>
  <si>
    <t>當日收盤價</t>
  </si>
  <si>
    <t>終値</t>
  </si>
  <si>
    <t>Precio de cierre del día</t>
  </si>
  <si>
    <t>Kurs bei Tagesschluss</t>
  </si>
  <si>
    <t>Prix de clôture du jour</t>
  </si>
  <si>
    <t>Prezzo alla chiusura della giornata</t>
  </si>
  <si>
    <t>일일 종가</t>
  </si>
  <si>
    <t>Цена закрытия</t>
  </si>
  <si>
    <t>Preço de fechamento do dia</t>
  </si>
  <si>
    <t>Enterprise Value</t>
  </si>
  <si>
    <t>企业价值</t>
  </si>
  <si>
    <t>企業價值</t>
  </si>
  <si>
    <t>企業価値</t>
  </si>
  <si>
    <t>Valor de la empresa</t>
  </si>
  <si>
    <t>Unternehmenswert</t>
  </si>
  <si>
    <t>Valeur d'entreprise</t>
  </si>
  <si>
    <t>Valore aziendale</t>
  </si>
  <si>
    <t xml:space="preserve">기업가치 (Enterprise Value) </t>
  </si>
  <si>
    <t>Стоимость предприятия</t>
  </si>
  <si>
    <t>Valor da Empresa</t>
  </si>
  <si>
    <t>Less:</t>
  </si>
  <si>
    <t>减：</t>
  </si>
  <si>
    <t>減：</t>
  </si>
  <si>
    <t>-</t>
  </si>
  <si>
    <t>Menos:</t>
  </si>
  <si>
    <t>Weniger:</t>
  </si>
  <si>
    <t>Moins :</t>
  </si>
  <si>
    <t>Meno:</t>
  </si>
  <si>
    <t>Минус:</t>
  </si>
  <si>
    <t>Implied Perp. Growth Rate of Unlevered Free Cash Flow(2)</t>
  </si>
  <si>
    <t>非杠杆现金流的隐含永续增长率 （2）</t>
  </si>
  <si>
    <t>非槓桿現金流的隱含永續增長率 （2）</t>
  </si>
  <si>
    <t>Implied 永久成長率 (アンレバードフリーキャッシュフロー) (2)</t>
  </si>
  <si>
    <t>Tasa de crecimiento perpetuo implícito del flujo de efectivo libre excluyendo pago de intereses (2)</t>
  </si>
  <si>
    <t>Implizite ewige Wachstumsrate des Nettogewinns ohne Schulden (2)</t>
  </si>
  <si>
    <t>Taux de croissance implicite à l'infini des flux de trésorerie disponibles sans endettement (2)</t>
  </si>
  <si>
    <t>Tasso di crescita perpetuo implicito di flusso di cassa libero unlevered (2)</t>
  </si>
  <si>
    <t>기업잉여현금흐름(Unlevered) 내재영구성장률(2)</t>
  </si>
  <si>
    <t>Предполагаемый постоянный темп роста свободного денежного потока без учета финансовых обязательств</t>
  </si>
  <si>
    <t>Taxa de crescimento perpétuo implícito do fluxo de caixa livre desalavancado (2)</t>
  </si>
  <si>
    <t>Preferred Stock</t>
  </si>
  <si>
    <t>優先株</t>
  </si>
  <si>
    <t>ACCIONES PREFERENTES</t>
  </si>
  <si>
    <t>Vorzugsaktie</t>
  </si>
  <si>
    <t>Actions de préférence</t>
  </si>
  <si>
    <t>Azioni privilegiate</t>
  </si>
  <si>
    <t>Привилегированные акции</t>
  </si>
  <si>
    <t>Ações preferenciais</t>
  </si>
  <si>
    <t>TEV</t>
  </si>
  <si>
    <t>总企业价值</t>
  </si>
  <si>
    <t>總企業價值</t>
  </si>
  <si>
    <t>Valor total de la Empresa</t>
  </si>
  <si>
    <t>Gesamtunternehmenswert</t>
  </si>
  <si>
    <t>Valore aziendale totale</t>
  </si>
  <si>
    <t>기업가치 (TEV)</t>
  </si>
  <si>
    <t>Общая стоимость предприятия</t>
  </si>
  <si>
    <t>TEV (Valor Total da Empresa)</t>
  </si>
  <si>
    <t>Plus:</t>
  </si>
  <si>
    <t>加：</t>
  </si>
  <si>
    <t>+</t>
  </si>
  <si>
    <t>Más:</t>
  </si>
  <si>
    <t>Più:</t>
  </si>
  <si>
    <t>Плюс:</t>
  </si>
  <si>
    <t>Mais:</t>
  </si>
  <si>
    <t>指数清单</t>
  </si>
  <si>
    <t>指數清單</t>
  </si>
  <si>
    <t>インデックス・リスト</t>
  </si>
  <si>
    <t>Lista de índice</t>
  </si>
  <si>
    <t>Index-Liste</t>
  </si>
  <si>
    <t>Liste d'index</t>
  </si>
  <si>
    <t>Elenco indici</t>
  </si>
  <si>
    <t>지수 목록</t>
  </si>
  <si>
    <t>Список индексов</t>
  </si>
  <si>
    <t>Lista de Índice</t>
  </si>
  <si>
    <t>Equity Value</t>
  </si>
  <si>
    <t>股权价值</t>
  </si>
  <si>
    <t>股權價值</t>
  </si>
  <si>
    <t>株式価値</t>
  </si>
  <si>
    <t>Valor patrimonial</t>
  </si>
  <si>
    <t>Eigenkapitalwert</t>
  </si>
  <si>
    <t>Valeur par capitaux propres</t>
  </si>
  <si>
    <t>Valore di equity</t>
  </si>
  <si>
    <t>자기자본 가치</t>
  </si>
  <si>
    <t>Стоимость акций</t>
  </si>
  <si>
    <t>Latest FYE</t>
  </si>
  <si>
    <t>最近财政年度</t>
  </si>
  <si>
    <t>最近財政年度</t>
  </si>
  <si>
    <t>直近会計年度末</t>
  </si>
  <si>
    <t>Último cierre del ejercicio</t>
  </si>
  <si>
    <t>Letztes Geschäftsjahresende</t>
  </si>
  <si>
    <t>Dernier exercice</t>
  </si>
  <si>
    <t>Ultimo anno fiscale</t>
  </si>
  <si>
    <t>최근 회계 연도말</t>
  </si>
  <si>
    <t>Последний отчетный год закончившийся:</t>
  </si>
  <si>
    <t>Último fim do exercício</t>
  </si>
  <si>
    <t>Latest FQE</t>
  </si>
  <si>
    <t>最近财政季度</t>
  </si>
  <si>
    <t>最近財政季度</t>
  </si>
  <si>
    <t>直近四半期末</t>
  </si>
  <si>
    <t xml:space="preserve">Último Trimestre fiscal </t>
  </si>
  <si>
    <t>Letztes FQE</t>
  </si>
  <si>
    <t>Dernier trimestre fiscal</t>
  </si>
  <si>
    <t>Ultimo trimestre fiscale</t>
  </si>
  <si>
    <t>최근 회계 분기말</t>
  </si>
  <si>
    <t>Последний отчетный квартал закончившийся:</t>
  </si>
  <si>
    <t>Último fim do trimestre</t>
  </si>
  <si>
    <t>Implied Per Share Value</t>
  </si>
  <si>
    <t>隐含每股价值</t>
  </si>
  <si>
    <t>隱含每股價值</t>
  </si>
  <si>
    <t>一株当たり株式価値</t>
  </si>
  <si>
    <t>Valor implícito por acción</t>
  </si>
  <si>
    <t>Implizit pro Aktienwert</t>
  </si>
  <si>
    <t>Valeur implicite par action</t>
  </si>
  <si>
    <t>Valore per azione implicito</t>
  </si>
  <si>
    <t>주당 내재가치</t>
  </si>
  <si>
    <t>Предполагаемая стоимость одной акции</t>
  </si>
  <si>
    <t>Valor implícito por ação</t>
  </si>
  <si>
    <t>Today</t>
  </si>
  <si>
    <t>今天日期</t>
  </si>
  <si>
    <t>本日</t>
  </si>
  <si>
    <t>Hoy</t>
  </si>
  <si>
    <t>Heute</t>
  </si>
  <si>
    <t>Aujourd'hui</t>
  </si>
  <si>
    <t>Oggi</t>
  </si>
  <si>
    <t>금일</t>
  </si>
  <si>
    <t>Сегодня</t>
  </si>
  <si>
    <t>Hoje</t>
  </si>
  <si>
    <t>Current Price</t>
  </si>
  <si>
    <t>现有价格</t>
  </si>
  <si>
    <t>現有價格</t>
  </si>
  <si>
    <t>株価</t>
  </si>
  <si>
    <t>Precio Actual</t>
  </si>
  <si>
    <t>Aktueller Preis</t>
  </si>
  <si>
    <t>Cours actuel</t>
  </si>
  <si>
    <t>Prezzo Attuale</t>
  </si>
  <si>
    <t>현재주가</t>
  </si>
  <si>
    <t>Текущая цена</t>
  </si>
  <si>
    <t>Preço atual</t>
  </si>
  <si>
    <t>Days Remaining in FY</t>
  </si>
  <si>
    <t>财政年度剩余天数</t>
  </si>
  <si>
    <t>財政年度剩余天數</t>
  </si>
  <si>
    <t>本会計年度残日数</t>
  </si>
  <si>
    <t>Días restantes del ejercicio fiscal</t>
  </si>
  <si>
    <t>Im Geschäftsjahr verbleibende Tage</t>
  </si>
  <si>
    <t>Jours restant dans l'exercice</t>
  </si>
  <si>
    <t>Giorni rimanenti in anno fiscale</t>
  </si>
  <si>
    <t>회계연도의 잔여일수</t>
  </si>
  <si>
    <t xml:space="preserve">Количество дней оставшихся в отчетном году </t>
  </si>
  <si>
    <t>Dias restantes no exercício</t>
  </si>
  <si>
    <t>Premium/(Discount) to Current Price</t>
  </si>
  <si>
    <t>现有价格的溢价或折价</t>
  </si>
  <si>
    <t>現有價格的溢價或折價</t>
  </si>
  <si>
    <t>直近株価と比較した際のプレミアム/ディスカウント</t>
  </si>
  <si>
    <t>Prima / (Descuento) al Precio Actual</t>
  </si>
  <si>
    <t>Prämie/(Rabatt) auf den aktuellen Preis</t>
  </si>
  <si>
    <t>Prime/(décote) par rapport au prix courant</t>
  </si>
  <si>
    <t>Premium/(Sconto) al prezzo attuale</t>
  </si>
  <si>
    <t xml:space="preserve">현재주가와의 프리미엄(디스카운트) </t>
  </si>
  <si>
    <t>Премиум / (Дисконт) к текущей цене</t>
  </si>
  <si>
    <t>Prêmio / (desconto) para o preço atual</t>
  </si>
  <si>
    <t>(2) Implied Perpetual Growth Rate of FCF = [(Terminal EBITDA)*(Terminal EBITDA Multiple)*(WACC) - (Terminal Year FCF)] / [(Terminal EBITDA)*(Terminal EBITDA Multiple) + (Terminal Year FCF)]</t>
  </si>
  <si>
    <t>（2）自由现金流的隐含永续增长率 = 【（终端税息折旧及摊销前利润）*（终端税息折旧及摊销前利润倍数）*（加权平均资本成本）-（终端自由现金流）】/【（终端税息折旧及摊销前利润）*（终端税息折旧及摊销前利润倍数）+（终端自由现金流）】</t>
  </si>
  <si>
    <t>（2）自由現金流的隱含永續增長率 = 【（終端稅息折舊及攤銷前利潤）*（終端稅息折舊及攤銷前利潤倍數）*（加權平均資本成本）-（終端自由現金流）】/【（終端稅息折舊及攤銷前利潤）*（終端稅息折舊及攤銷前利潤倍數）+（終端自由現金流）】</t>
  </si>
  <si>
    <t>Implied 永久成長率= [計画期間最終EBITDA*EBITDAマルチプル*WACC - 計画期間最終FCF] / [計画期間最終EBITDA * EBITDAマルチプル+ 計画期間最終FCF</t>
  </si>
  <si>
    <t>(2) Tasa de crecimiento perpetuo implícito de Flujo de caja libre = [(Valor terminal de EBITDA) * (Valor terminal por múltiplos de EBITDA) * (Promedio Ponderado del Costo de Capital) - (Año de valor terminal de flujo de caja libre)] / [(Valor terminal de EBITDA) * (Valor terminal por múltiplos de EBITDA) + (Año de valor terminal de flujo de caja libre) ]</t>
  </si>
  <si>
    <t>(2) Implizite ewige Wachstumsrate des FCF = [(Terminal EBITDA)*(Multiples des Terminal EBITDA)*(WACC) - (Terminal Jahr FCF)] / [(Terminal EBITDA)*(Terminal EBITDA Multiples)+(Terminal Jahr FCF))]</t>
  </si>
  <si>
    <t>(2) Taux de croissance perpétuelle implicite du FCF = [(EBITDA terminal) * (Multiple du EBITDA terminal) * (WACC) - (FCF de l’année terminale)] / [(EBITDA terminal) * (Multiple du EBITDA terminal) + (FCF de l’année terminale) ]</t>
  </si>
  <si>
    <t>(2) Tasso di crescita perpetuo implicito di flusso di cassa libero = [(EBITDA finale) * (Multiplo EBITDA finale) * (WACC) - (Flusso di cassa libero dell’anno finale)]/[(EBITDA finale) * (Multiplo EBITDA finale) + (Flusso di cassa libero dell’anno finale)]</t>
  </si>
  <si>
    <t>(2) Implied Perpetual Growth Rate of FCF(기업잉여현금흐름의 내재영구성장률) = [(Terminal EBITDA)*(Terminal EBITDA Multiple)*(WACC) - (Terminal Year FCF)] / [(Terminal EBITDA)*(Terminal EBITDA Multiple) + (Terminal Year FCF)]</t>
  </si>
  <si>
    <t xml:space="preserve">(2) Предполагаемый постоянный темп роста свободного денежного потока  (FCF) = [(Терминальный показатель EBITDA) * (Терминальный EBITDA Мультипликатор) * (Средневзвешенная стоимость капитала WACC) - (Терминальная стоимость конечного годового свободного денежного  потока FCF)] / [(Терминальный показатель EBITDA) ** (Терминальный  EBITDA Мультипликатор) + (Терминальная стоимость конечного годового свободного денежный потока) </t>
  </si>
  <si>
    <t>(2) Taxa de crescimento perpétuo implícita de Fluxo de Caixa Livre (FCF) = [(EBITDA Terminal ) * (EBITDA Terminal múltiplo) * (WACC) - (Ano Terminal FCF)] / [(EBITDA Terminal ) * (EBITDA Terminal múltiplo) + (Ano Terminal FCF) ]</t>
  </si>
  <si>
    <t>SENSITIVITY ANALYSIS</t>
  </si>
  <si>
    <t>敏感性分析</t>
  </si>
  <si>
    <t>感応度分析</t>
  </si>
  <si>
    <t>ANÁLISIS DE SENSIBILIDAD</t>
  </si>
  <si>
    <t>SENSITIVITÄTSANALYSE</t>
  </si>
  <si>
    <t>ANALYSE DE LA SENSIBILITÉ</t>
  </si>
  <si>
    <t>ANALISI DI SENSIBILITÀ</t>
  </si>
  <si>
    <t>민감도 분석</t>
  </si>
  <si>
    <t>АНАЛИЗ ЧУВСТВИТЕЛЬНОСТИ</t>
  </si>
  <si>
    <t>ANÁLISE DE SENSIBILIDADE</t>
  </si>
  <si>
    <t>Discounted</t>
  </si>
  <si>
    <t>贴现</t>
  </si>
  <si>
    <t>貼現</t>
  </si>
  <si>
    <t>割引</t>
  </si>
  <si>
    <t>Con descuento</t>
  </si>
  <si>
    <t>Diskontiert</t>
  </si>
  <si>
    <t>escompté</t>
  </si>
  <si>
    <t>Scontato</t>
  </si>
  <si>
    <t>할인 된</t>
  </si>
  <si>
    <t xml:space="preserve">Дисконтирование </t>
  </si>
  <si>
    <t>Descontado</t>
  </si>
  <si>
    <t>Present Value of Terminal Value</t>
  </si>
  <si>
    <t>终值的现值</t>
  </si>
  <si>
    <t>終值的現值</t>
  </si>
  <si>
    <t>残存価値の現在価値</t>
  </si>
  <si>
    <t>Valor presente del valor terminal</t>
  </si>
  <si>
    <t>Barwert des Terminalwertes</t>
  </si>
  <si>
    <t>Valeur actuelle de la valeur terminale</t>
  </si>
  <si>
    <t>Valore attuale del valore finale</t>
  </si>
  <si>
    <t>종료가치(Terminal Value)의 현가</t>
  </si>
  <si>
    <t>Приведенная стоимость терминальной стоимости</t>
  </si>
  <si>
    <t>Valor Presente do Valor Terminal</t>
  </si>
  <si>
    <t>Present Value of Enterprise Value</t>
  </si>
  <si>
    <t>企业价值的现值</t>
  </si>
  <si>
    <t>企業價值的現值</t>
  </si>
  <si>
    <t>Valor presente del valor de la empresa</t>
  </si>
  <si>
    <t>Barwert des Unternehmenswertes</t>
  </si>
  <si>
    <t>Valeur actuelle de la valeur d'entreprise</t>
  </si>
  <si>
    <t>Valore attuale del valore aziendale</t>
  </si>
  <si>
    <t>기업가치의 현가</t>
  </si>
  <si>
    <t>Приведенная стоимость стоимости предприятия</t>
  </si>
  <si>
    <t>Valor presente do valor da empresa</t>
  </si>
  <si>
    <t>CF</t>
  </si>
  <si>
    <t>现金流</t>
  </si>
  <si>
    <t>現金流</t>
  </si>
  <si>
    <t>キャッシュフロー</t>
  </si>
  <si>
    <t>Flujo de efectivo</t>
  </si>
  <si>
    <t>FF</t>
  </si>
  <si>
    <t>현금 흐름</t>
  </si>
  <si>
    <t>денежных потоков (CF)</t>
  </si>
  <si>
    <t>CF (Fluxo de Caixa)</t>
  </si>
  <si>
    <t>EBITDA Exit Multiple</t>
  </si>
  <si>
    <t>税息折旧及摊销前利润结束年份倍数</t>
  </si>
  <si>
    <t>稅息折舊及攤銷前利潤結束年份倍數</t>
  </si>
  <si>
    <t>EBITDA Exit マルチプル</t>
  </si>
  <si>
    <t>Múltiplo de salida de EBITDA</t>
  </si>
  <si>
    <t>EBITDA Sortie Multiple</t>
  </si>
  <si>
    <t>Multiplo di uscita EBITDA</t>
  </si>
  <si>
    <t>EBITDA 출구가격배수(exit multiple)</t>
  </si>
  <si>
    <t>Конечный мультипликатор EBITDA</t>
  </si>
  <si>
    <t>EBITDA Saída Múltiplo de Referência</t>
  </si>
  <si>
    <t>WACC Step</t>
  </si>
  <si>
    <t>加权平均资本成本步骤</t>
  </si>
  <si>
    <t>加權平均資本成本步驟</t>
  </si>
  <si>
    <t>WACC増加幅</t>
  </si>
  <si>
    <t>Costo medio ponderado de capital - Paso</t>
  </si>
  <si>
    <t>WACC-Schritt</t>
  </si>
  <si>
    <t>Étape Coût moyen pondéré du capital</t>
  </si>
  <si>
    <t>가중평균자본비용 간격</t>
  </si>
  <si>
    <t xml:space="preserve">Шаг в расчете средневзвешенной стоимости капитала (WACC) </t>
  </si>
  <si>
    <t>Etapa WACC</t>
  </si>
  <si>
    <t>Exit Multiple Step</t>
  </si>
  <si>
    <t>结束年份倍数步骤</t>
  </si>
  <si>
    <t>結束年份倍數步驟</t>
  </si>
  <si>
    <t>Exitマルチプル増加幅</t>
  </si>
  <si>
    <t>Múltiplo de salida - Paso</t>
  </si>
  <si>
    <t>Beenden des Mehrschrittes</t>
  </si>
  <si>
    <t>Étape Exit Multiple</t>
  </si>
  <si>
    <t>출구가격배수(Exit Multiple) 간격</t>
  </si>
  <si>
    <t>Шаг в расчете конечной стоимости денежных потоков с использованием мультипликатора</t>
  </si>
  <si>
    <t>Etapa Saída  Múltiplo de Referência</t>
  </si>
  <si>
    <t>Net Debt(1)</t>
  </si>
  <si>
    <t>净债务（１）</t>
  </si>
  <si>
    <t>淨債務（１）</t>
  </si>
  <si>
    <t>純有利子負債(1)</t>
  </si>
  <si>
    <t>Deuda Neta (1)</t>
  </si>
  <si>
    <t>Nettoverschuldung (1)</t>
  </si>
  <si>
    <t>Dette nette (1)</t>
  </si>
  <si>
    <t>Indebitamento netto (1)</t>
  </si>
  <si>
    <t>순 부채(1)</t>
  </si>
  <si>
    <t>Чистый долг (1)</t>
  </si>
  <si>
    <t>Dívida Líquida (1)</t>
  </si>
  <si>
    <t>Present Value of Equity at</t>
  </si>
  <si>
    <t>股权现值日期</t>
  </si>
  <si>
    <t>股權現值日期</t>
  </si>
  <si>
    <t>Valor presente del patrimonio al</t>
  </si>
  <si>
    <t>Barwert des Eigenkapitals zu</t>
  </si>
  <si>
    <t>Valeur actuelle des capitaux propres à</t>
  </si>
  <si>
    <t>Valore attuale di equity al</t>
  </si>
  <si>
    <t xml:space="preserve">자기자본의 현가 </t>
  </si>
  <si>
    <t>Приведенная стоимость собственного капитала по состоянию на</t>
  </si>
  <si>
    <t>Valor presente do patrimônio em</t>
  </si>
  <si>
    <t>Equity Value per Share</t>
  </si>
  <si>
    <t>每股股权价值</t>
  </si>
  <si>
    <t>每股股權價值</t>
  </si>
  <si>
    <t>Valor del patrimonio por acción</t>
  </si>
  <si>
    <t>Eigenkapital Wert pro Aktie</t>
  </si>
  <si>
    <t>Valeur de l'équité par action</t>
  </si>
  <si>
    <t>Valore di equity per azione</t>
  </si>
  <si>
    <t>주당 자기자본</t>
  </si>
  <si>
    <t>Акционерная стоимость в расчете на одну акцию</t>
  </si>
  <si>
    <t>Valor Patrimonial por Ação</t>
  </si>
  <si>
    <t>at</t>
  </si>
  <si>
    <t>於</t>
  </si>
  <si>
    <t>al</t>
  </si>
  <si>
    <t>zu</t>
  </si>
  <si>
    <t>à</t>
  </si>
  <si>
    <t>a</t>
  </si>
  <si>
    <t>에서</t>
  </si>
  <si>
    <t>По состоянию на:</t>
  </si>
  <si>
    <t>em</t>
  </si>
  <si>
    <t>Divided</t>
  </si>
  <si>
    <t>除</t>
  </si>
  <si>
    <t>÷</t>
  </si>
  <si>
    <t>Dividido</t>
  </si>
  <si>
    <t>Geteilt</t>
  </si>
  <si>
    <t>Divisé</t>
  </si>
  <si>
    <t>Diviso</t>
  </si>
  <si>
    <t>Разделено</t>
  </si>
  <si>
    <t>By</t>
  </si>
  <si>
    <t>Por</t>
  </si>
  <si>
    <t>Von</t>
  </si>
  <si>
    <t>Par</t>
  </si>
  <si>
    <t>Per</t>
  </si>
  <si>
    <t>으로</t>
  </si>
  <si>
    <t xml:space="preserve">на </t>
  </si>
  <si>
    <t>Shares</t>
  </si>
  <si>
    <t>股份</t>
  </si>
  <si>
    <t>発行済み株式数</t>
  </si>
  <si>
    <t>Acciones</t>
  </si>
  <si>
    <t>Aktien</t>
  </si>
  <si>
    <t>Actions</t>
  </si>
  <si>
    <t>Azioni</t>
  </si>
  <si>
    <t xml:space="preserve">주식 수 </t>
  </si>
  <si>
    <t>Акции</t>
  </si>
  <si>
    <t>Ações</t>
  </si>
  <si>
    <t>Implied Perpetual Growth Rate of FCF</t>
  </si>
  <si>
    <t>自由现金流的隐含永续增长率</t>
  </si>
  <si>
    <t>自由現金流的隱含永續增長率</t>
  </si>
  <si>
    <t>Implied 永久成長率 (フリーキャッシュフロー)</t>
  </si>
  <si>
    <t>Tasa de crecimiento perpetuo implícito de Flujos de caja libres</t>
  </si>
  <si>
    <t>Implizite ewige Wachstumsrate des FCF</t>
  </si>
  <si>
    <t>Taux de croissance perpétuelle implicite du FCF</t>
  </si>
  <si>
    <t>Tasso di crescita perpetuo implicito di flusso di cassa libero</t>
  </si>
  <si>
    <t>기업잉여현금흐름의 내재영구성장률</t>
  </si>
  <si>
    <t xml:space="preserve">Предполагаемый постоянный темп роста свободного денежного потока </t>
  </si>
  <si>
    <t>Taxa de crescimento perpétuo implícita do Fluxo de Caixa</t>
  </si>
  <si>
    <t>Premium/(Discount) to Current Price per Share</t>
  </si>
  <si>
    <t>每股当前价格的溢价或折价</t>
  </si>
  <si>
    <t>每股當前價格的溢價或折價</t>
  </si>
  <si>
    <t>Prima / (Descuento) al Precio Actual por Acción</t>
  </si>
  <si>
    <t>Prämie/(Rabatt) zum aktuellen Preis pro Aktie</t>
  </si>
  <si>
    <t>Prime / (remise) au prix actuel par action</t>
  </si>
  <si>
    <t>Premium/(Sconto) al prezzo corrente per azione</t>
  </si>
  <si>
    <t>현재 주가수익비율 대비 프리미엄(디스카운트)</t>
  </si>
  <si>
    <t>Премиум / (Дисконт) к текущей цене  в расчете на одну акцию</t>
  </si>
  <si>
    <t>Prêmio / (desconto) ao preço atual por ação</t>
  </si>
  <si>
    <t>(1) Equals Total Debt plus Preferred Equity plus Minority Interest Less Cash and Equivalents.</t>
  </si>
  <si>
    <t>（1）等于总债务加优先股加少数权益减现金及约当现金</t>
  </si>
  <si>
    <t>（1）等於總債務加優先股加少數權益減現金及約當現金</t>
  </si>
  <si>
    <t>(1) = 総有利子負債 +  優先株式 + 少数株主持分 - 現金同等物</t>
  </si>
  <si>
    <t>(1) Es igual a la deuda total más participación preferente más el interés minoritario, menos efectivo y equivalentes.</t>
  </si>
  <si>
    <t>(1) Entspricht der Gesamtverschuldung zuzüglich des Vorzugskapitals zuzüglich der Minderheitsanteile abzüglich des Bargelds und Zahlungsmitteläquivalente.</t>
  </si>
  <si>
    <t>(1) Correspond au total de la dette, des capitaux propres privilégiés et des intérêts minoritaires, moins la trésorerie et les équivalents</t>
  </si>
  <si>
    <t>(1) Pari il indebitamento totale più equity privilegiato più la partecipazione minoritaria meno disponibilità liquide e mezzi equivalenti.</t>
  </si>
  <si>
    <t>(1)=부채총액+ 우선주 + 비지배지분 - 현금및현금성자산</t>
  </si>
  <si>
    <t>(1) Равен сумме долга плюс привилегированный капитал плюс доля меньшинства за вычетом денежных средств и их эквивалентов.</t>
  </si>
  <si>
    <t>(1) Equivale à Dívida Total mais Ações Preferenciais mais Participações Minoritárias menos Caixa e Equivalentes.</t>
  </si>
  <si>
    <t>WORKING CAPITAL SCHEDULE</t>
  </si>
  <si>
    <t>运营资金时间表</t>
  </si>
  <si>
    <t>運營資金時間表</t>
  </si>
  <si>
    <t>運転資本スケジュール</t>
  </si>
  <si>
    <t>Calendario de capital de trabajo</t>
  </si>
  <si>
    <t>ARBEITSKAPITALPLAN</t>
  </si>
  <si>
    <t>CALENDRIER DU FONDS DE ROULEMENT</t>
  </si>
  <si>
    <t>SCHEMA DEL CAPITALE CIRCOLANTE</t>
  </si>
  <si>
    <t>운전자본일정</t>
  </si>
  <si>
    <t>ГРАФИК ОБОРОТНОГО КАПИТАЛА</t>
  </si>
  <si>
    <t>CRONOGRAMA DE CAPITAL DE GIRO</t>
  </si>
  <si>
    <t>Accounts Receivable</t>
  </si>
  <si>
    <t>应收账款</t>
  </si>
  <si>
    <t>應收賬款</t>
  </si>
  <si>
    <t>売掛金</t>
  </si>
  <si>
    <t>Cuentas por cobrar</t>
  </si>
  <si>
    <t>Forderungen</t>
  </si>
  <si>
    <t>Comptes d'encaissement créditeurs</t>
  </si>
  <si>
    <t>Crediti verso clienti</t>
  </si>
  <si>
    <t>매출채권</t>
  </si>
  <si>
    <t>Дебиторская задолженность</t>
  </si>
  <si>
    <t>Cortas a Receber</t>
  </si>
  <si>
    <t>Receivable Days</t>
  </si>
  <si>
    <t>应收账款周转天数</t>
  </si>
  <si>
    <t>應收賬款周轉天數</t>
  </si>
  <si>
    <t>売掛金回転日数</t>
  </si>
  <si>
    <t>Promedio de cobro en días</t>
  </si>
  <si>
    <t>Forderungsdauer Tage</t>
  </si>
  <si>
    <t>Jours de réception</t>
  </si>
  <si>
    <t>Giorni ricevibili</t>
  </si>
  <si>
    <t>매출채권회전일수</t>
  </si>
  <si>
    <t>Оборачиваемость дебиторской задолженности в днях</t>
  </si>
  <si>
    <t>Dias de recebíveis</t>
  </si>
  <si>
    <t>Inventory</t>
  </si>
  <si>
    <t>存货</t>
  </si>
  <si>
    <t>存貨</t>
  </si>
  <si>
    <t>棚卸資産</t>
  </si>
  <si>
    <t>Inventario</t>
  </si>
  <si>
    <t>Lagerbestand</t>
  </si>
  <si>
    <t>État des stocks</t>
  </si>
  <si>
    <t>재고자산</t>
  </si>
  <si>
    <t>Запасы</t>
  </si>
  <si>
    <t>Estoques</t>
  </si>
  <si>
    <t>Inventory Days</t>
  </si>
  <si>
    <t>存货周转天数</t>
  </si>
  <si>
    <t>存貨周轉天數</t>
  </si>
  <si>
    <t>棚卸資産回転日数</t>
  </si>
  <si>
    <t>Periodo en días de inventario</t>
  </si>
  <si>
    <t>Lagerbestandstage</t>
  </si>
  <si>
    <t>Jours d'inventaire</t>
  </si>
  <si>
    <t>Giorni di inventario</t>
  </si>
  <si>
    <t>재고자산회전일수</t>
  </si>
  <si>
    <t xml:space="preserve">Количество дней оборачиваемости товарных запасов </t>
  </si>
  <si>
    <t>Dias de estoque</t>
  </si>
  <si>
    <t>Other Current Assets</t>
  </si>
  <si>
    <t>其他流动资产</t>
  </si>
  <si>
    <t>其他流動資産</t>
  </si>
  <si>
    <t>その他流動資産</t>
  </si>
  <si>
    <t>Otros activos corrientes</t>
  </si>
  <si>
    <t>Sonstige kurzfristige Vermögenswerte</t>
  </si>
  <si>
    <t>Autres actifs courants</t>
  </si>
  <si>
    <t>Altre attività correnti</t>
  </si>
  <si>
    <t>기타유동자산</t>
  </si>
  <si>
    <t>Прочие текущие активы</t>
  </si>
  <si>
    <t>Outros ativos circulantes</t>
  </si>
  <si>
    <t>Total Current Assets</t>
  </si>
  <si>
    <t>流动资产总额</t>
  </si>
  <si>
    <t>流動資産總額</t>
  </si>
  <si>
    <t>流動資産合計</t>
  </si>
  <si>
    <t>Total de activos corrientes</t>
  </si>
  <si>
    <t>Kurzfristige Vermögenswerte insgesamt</t>
  </si>
  <si>
    <t>TOTAL DE L’ACTIF COURANT</t>
  </si>
  <si>
    <t>Totale attività correnti</t>
  </si>
  <si>
    <t>총 유동자산</t>
  </si>
  <si>
    <t>Всего текущих активов</t>
  </si>
  <si>
    <t>Total do ativo circulante</t>
  </si>
  <si>
    <t>Cash &amp; Short Term Investments</t>
  </si>
  <si>
    <t>现金和短期投资</t>
  </si>
  <si>
    <t>現金和短期投資</t>
  </si>
  <si>
    <t>現金と短期投資</t>
  </si>
  <si>
    <t>Caja e inversiones a corto plazo</t>
  </si>
  <si>
    <t>Barmittel und kurzfristige Investitionen</t>
  </si>
  <si>
    <t>Liquidités et placements à court terme</t>
  </si>
  <si>
    <t>Investimenti in denaro e a breve termine</t>
  </si>
  <si>
    <t>현금 및 단기투자</t>
  </si>
  <si>
    <t>Денежные средства и краткосрочные инвестиции</t>
  </si>
  <si>
    <t>Caixa e investimentos de curto prazo</t>
  </si>
  <si>
    <t>Total Non-Cash Current Assets</t>
  </si>
  <si>
    <t>总非现金流动资产</t>
  </si>
  <si>
    <t>總非現金流動資産</t>
  </si>
  <si>
    <t>流動資産（現金以外）</t>
  </si>
  <si>
    <t>Total de activos corrientes no monetarios</t>
  </si>
  <si>
    <t>Nicht liquiditätswirksames Umlaufvermögen insgesamt</t>
  </si>
  <si>
    <t>Total des actifs courants hors trésorerie</t>
  </si>
  <si>
    <t>Totale attività correnti non monetarie</t>
  </si>
  <si>
    <t>비현금유동자산총계</t>
  </si>
  <si>
    <t>Всего неденежных оборотных активов</t>
  </si>
  <si>
    <t>Total de ativos circulantes não caixa</t>
  </si>
  <si>
    <t>Accounts Payable</t>
  </si>
  <si>
    <t>应付账款</t>
  </si>
  <si>
    <t>應付賬款</t>
  </si>
  <si>
    <t>仕入債務</t>
  </si>
  <si>
    <t>Cuentas por pagar</t>
  </si>
  <si>
    <t>Verbindlichkeiten aus Lieferungen und Leistungen</t>
  </si>
  <si>
    <t>Comptes fournisseurs</t>
  </si>
  <si>
    <t>Conti debitori</t>
  </si>
  <si>
    <t>매입채무</t>
  </si>
  <si>
    <t xml:space="preserve">Кредиторская задолженность </t>
  </si>
  <si>
    <t>Contas a pagar</t>
  </si>
  <si>
    <t>Payable Days</t>
  </si>
  <si>
    <t>应付账款周转天数 </t>
  </si>
  <si>
    <t>應付賬款周轉天數</t>
  </si>
  <si>
    <t>仕入債務回転日数</t>
  </si>
  <si>
    <t>Promedio de pago en días</t>
  </si>
  <si>
    <t>Fälligkeitstage</t>
  </si>
  <si>
    <t>Jours payables</t>
  </si>
  <si>
    <t>Giorni pagabili</t>
  </si>
  <si>
    <t>매입채무회전일수</t>
  </si>
  <si>
    <t xml:space="preserve">Количество дней оборачиваемости задолженности </t>
  </si>
  <si>
    <t>Dias a Pagar</t>
  </si>
  <si>
    <t>Accrued Liabilities</t>
  </si>
  <si>
    <t>应计负债</t>
  </si>
  <si>
    <t>應計負債</t>
  </si>
  <si>
    <t>未払費用</t>
  </si>
  <si>
    <t>Pasivos acumulados</t>
  </si>
  <si>
    <t>Passive Rechnungsabgrenzungsposten</t>
  </si>
  <si>
    <t>Charges à payer</t>
  </si>
  <si>
    <t>Ratei passivi</t>
  </si>
  <si>
    <t>미지급부채</t>
  </si>
  <si>
    <t>Начисленные обязательства</t>
  </si>
  <si>
    <t>Passivos provisionados</t>
  </si>
  <si>
    <t>Other Current Liabilities</t>
  </si>
  <si>
    <t>其他流动负债</t>
  </si>
  <si>
    <t>其他流動負債</t>
  </si>
  <si>
    <t>その他流動負債</t>
  </si>
  <si>
    <t>Otros pasivos corrientes</t>
  </si>
  <si>
    <t>Sonstige kurzfristige Verbindlichkeiten</t>
  </si>
  <si>
    <t>Autres passifs à court terme</t>
  </si>
  <si>
    <t>Altre passività correnti</t>
  </si>
  <si>
    <t>기타유동부채</t>
  </si>
  <si>
    <t>Прочие текущие обязательства</t>
  </si>
  <si>
    <t>Outras obrigações Circulantes</t>
  </si>
  <si>
    <t>Total Current Liabilities</t>
  </si>
  <si>
    <t> 流动负债总额 </t>
  </si>
  <si>
    <t> 流動負債總額 </t>
  </si>
  <si>
    <t>流動負債合計</t>
  </si>
  <si>
    <t>Total pasivos corrientes</t>
  </si>
  <si>
    <t>Kurzfristige Verbindlichkeiten insgesamt</t>
  </si>
  <si>
    <t>Total des passifs à court terme</t>
  </si>
  <si>
    <t>Totale passività correnti</t>
  </si>
  <si>
    <t>총 유동 부채</t>
  </si>
  <si>
    <t>Всего текущих обязательств</t>
  </si>
  <si>
    <t>Total Passivo Corrente</t>
  </si>
  <si>
    <t>Short-term Borrowings</t>
  </si>
  <si>
    <t>短期借贷</t>
  </si>
  <si>
    <t>短期借貸</t>
  </si>
  <si>
    <t>短期借入金</t>
  </si>
  <si>
    <t>Préstamos a corto plazo</t>
  </si>
  <si>
    <t>Kurzfristige Darlehen</t>
  </si>
  <si>
    <t>Emprunts à court terme</t>
  </si>
  <si>
    <t>Finanziamenti a breve termine</t>
  </si>
  <si>
    <t>단기차입금</t>
  </si>
  <si>
    <t>Краткосрочные кредиты</t>
  </si>
  <si>
    <t>Empréstimos de curto prazo</t>
  </si>
  <si>
    <t>Current Portion of Long Term Debt</t>
  </si>
  <si>
    <t>长期债务(当期)</t>
  </si>
  <si>
    <t>長期債務(當期)</t>
  </si>
  <si>
    <t>一年内償還予定の長期有利子負債</t>
  </si>
  <si>
    <t>Porción corriente de la deuda a largo plazo</t>
  </si>
  <si>
    <t>Derzeitiger Teil der langfristigen Schulden</t>
  </si>
  <si>
    <t>Tranche à court terme de la dette à long terme</t>
  </si>
  <si>
    <t>Parte corrente del debito a lungo termine</t>
  </si>
  <si>
    <t>유동 장기부채</t>
  </si>
  <si>
    <t>Текущая часть долгосрочной задолженности</t>
  </si>
  <si>
    <t>Porção circulante da dívida a curto prazo</t>
  </si>
  <si>
    <t>Total Non-Debt Current Liabilities</t>
  </si>
  <si>
    <t>总非债务流动负债</t>
  </si>
  <si>
    <t>總非債務流動負債</t>
  </si>
  <si>
    <t>流動負債（有利子負債以外）</t>
  </si>
  <si>
    <t>Total de pasivos corrientes no provenientes de la deuda</t>
  </si>
  <si>
    <t>Nicht-verschuldeten kurzfristigen Verbindlichkeiten insgesamt</t>
  </si>
  <si>
    <t>Total des passifs courants non endettés</t>
  </si>
  <si>
    <t>Totale passività finanziarie non debitorie</t>
  </si>
  <si>
    <t>비유이자부채유동부채총계</t>
  </si>
  <si>
    <t>Всего недолговых текущих обязательств</t>
  </si>
  <si>
    <t>Total do passivo circulante não relacionado à dívida</t>
  </si>
  <si>
    <t>(Increase) / Decrease in Working Capital</t>
  </si>
  <si>
    <t>运营资金的（增长）/减少</t>
  </si>
  <si>
    <t>運營資金的（增長）/減少</t>
  </si>
  <si>
    <t>運転資本(増)減</t>
  </si>
  <si>
    <t>(Aumento) / Disminución del capital de trabajo</t>
  </si>
  <si>
    <t>(Erhöhung)/Reduzierung des Arbeitskapitals</t>
  </si>
  <si>
    <t>(augmentation) / diminution du fonds de roulement</t>
  </si>
  <si>
    <t>(Aumento)/Diminuzione del capitale circolante</t>
  </si>
  <si>
    <t>운전자본증감</t>
  </si>
  <si>
    <t>(Увеличение) / Уменьшение оборотного капитала</t>
  </si>
  <si>
    <t>(Aumento) / redução no capital de giro</t>
  </si>
  <si>
    <t>Market Return (Rm) - Yearly for Last 10 Years</t>
  </si>
  <si>
    <t>市场年度回报率 (Rm) - 最近10年</t>
  </si>
  <si>
    <t>市場年度回報率 (Rm) - 最近10年</t>
  </si>
  <si>
    <t>マーケット・リターン (Rm) - 過去10年平均</t>
  </si>
  <si>
    <t>Retorno de Mercado (Rm) -Anual para los últimos diez años</t>
  </si>
  <si>
    <t>Marktrendite (Rm) - Jährlich für die letzten 10 Jahre</t>
  </si>
  <si>
    <t>Rendement du marché (Rm) - Annuel pour les dernières 10 années</t>
  </si>
  <si>
    <t>Rendimento di mercato (Rm) - Annuale per gli ultimi 10 anni</t>
  </si>
  <si>
    <t>시장수익률 (RM) - 지난 10년 연간수익률</t>
  </si>
  <si>
    <t xml:space="preserve">Рыночная доходность (Rm) - годовая за последние 10 лет </t>
  </si>
  <si>
    <t>Retorno (Rm) - Anual nos últimos 10 anos</t>
  </si>
  <si>
    <t>D/E</t>
  </si>
  <si>
    <t>债务/权益</t>
  </si>
  <si>
    <t>債務/權益</t>
  </si>
  <si>
    <t>有利子負債/株主資本</t>
  </si>
  <si>
    <t>D/C</t>
  </si>
  <si>
    <t>S/E</t>
  </si>
  <si>
    <t>P/E</t>
  </si>
  <si>
    <t>优先股/权益</t>
  </si>
  <si>
    <t>優先股/權益</t>
  </si>
  <si>
    <t>優先株/株主資本</t>
  </si>
  <si>
    <t>P/C</t>
  </si>
  <si>
    <t>V/E</t>
  </si>
  <si>
    <t>Cost of Debt (Rd) - Average of Last 5 Issued Bonds</t>
  </si>
  <si>
    <t>债务成本 (Rd) - 最近发行的5个债券平均值</t>
  </si>
  <si>
    <t>債務成本 (Rd) - 最近發行的5個債券平均值</t>
  </si>
  <si>
    <t>債務コスト (Rd) - 直近発行5債券の平均</t>
  </si>
  <si>
    <t>Costo de Deuda (Rd) - Promedio de los últimos 5 bonos emitidos</t>
  </si>
  <si>
    <t>Fremdkapitalkosten (Rd) - Durchschnitt der letzten 5 ausgegebenen Anleihen</t>
  </si>
  <si>
    <t>Coût de la dette (Rd) - Moyenne des dernières 5 obligations émises</t>
  </si>
  <si>
    <t>Costo del debito (Rd) - Media delle ultime 5 obbligazioni emesse</t>
  </si>
  <si>
    <t>부채 비용 (Rd) - 최근 발행된 5개의 채권 평균 값</t>
  </si>
  <si>
    <t xml:space="preserve">Стоимость долга (Rd) - средний показатель 5 последних эмиссий облигаций </t>
  </si>
  <si>
    <t>Custo da dívida (Rd) - média dos últimos 5 títulos emitidos</t>
  </si>
  <si>
    <t>Cost of Preferred (Rp)</t>
  </si>
  <si>
    <t>优先股成本率 (Rp)</t>
  </si>
  <si>
    <t>優先股成本率 (Rp)</t>
  </si>
  <si>
    <t>優先株コスト (Rp)</t>
  </si>
  <si>
    <t>Costo de Preferente (Rp)</t>
  </si>
  <si>
    <t>Kosten Vorzug (Rp)</t>
  </si>
  <si>
    <t>Coût des actions préférentielles (Rp)</t>
  </si>
  <si>
    <t>Costo del privilegiato (Rp)</t>
  </si>
  <si>
    <t>우선주비용 (Rp)</t>
  </si>
  <si>
    <t>Стоимость привилегированного акционерного капитала (Rp)</t>
  </si>
  <si>
    <t>Custo da porção preferencial (Rp)</t>
  </si>
  <si>
    <t>PV of Terminal Value(1)</t>
  </si>
  <si>
    <t>终值现值 （1）</t>
  </si>
  <si>
    <t>終值現值 （1）</t>
  </si>
  <si>
    <t>残存価値の現在価値(1)</t>
  </si>
  <si>
    <t>Valor presente del valor terminal(1)</t>
  </si>
  <si>
    <t>Barwert des Endwertes (1)</t>
  </si>
  <si>
    <t>Valeur actuelle de la valeur finale (1)</t>
  </si>
  <si>
    <t>Valorea attuale del valore finale (1)</t>
  </si>
  <si>
    <t xml:space="preserve">종료가치(Terminal Value)의 현가 </t>
  </si>
  <si>
    <t>Приведенная стоимость (PV) терминальной стоимости (1)</t>
  </si>
  <si>
    <t>VP do valor terminal (1)</t>
  </si>
  <si>
    <t>Fiscal Year Ending</t>
  </si>
  <si>
    <t>财政年度结束</t>
  </si>
  <si>
    <t>財政年度結束</t>
  </si>
  <si>
    <t>会計年度期末(予測値)</t>
  </si>
  <si>
    <t>Ejercicio fiscal terminado</t>
  </si>
  <si>
    <t>Ende des Geschäftsjahres</t>
  </si>
  <si>
    <t>Exercice clos le</t>
  </si>
  <si>
    <t>Anno fiscale chiuso</t>
  </si>
  <si>
    <t>회계연도 종료일</t>
  </si>
  <si>
    <t>Конец отчетного года</t>
  </si>
  <si>
    <t>Data final do Exercício Financeiro Atual</t>
  </si>
  <si>
    <t>2) Enable macros while opening the model.</t>
  </si>
  <si>
    <t>2）打开模板时启用宏。</t>
  </si>
  <si>
    <t>2）打開模板時啟用宏。</t>
  </si>
  <si>
    <t>2）テンプレートを開くときにマクロを有効にします。</t>
  </si>
  <si>
    <t>2) Habilitar macros al abrir la plantilla.</t>
  </si>
  <si>
    <t>2) Aktivieren Sie Makros beim Öffnen der Vorlage.</t>
  </si>
  <si>
    <t>2) Activer les macros lors de l’ouverture du modèle.</t>
  </si>
  <si>
    <t>2) Abilita le macro durante l'apertura del modello.</t>
  </si>
  <si>
    <t>2) 템플릿을 여는 동안 매크로를 활성화하십시오.</t>
  </si>
  <si>
    <t>2) Включить макросы при открытии шаблона.</t>
  </si>
  <si>
    <t>2) Permitir macros ao abrir o modelo.</t>
  </si>
  <si>
    <t>Total Debt</t>
  </si>
  <si>
    <t>总债务</t>
  </si>
  <si>
    <t>總債務</t>
  </si>
  <si>
    <t>有利子負債合計</t>
  </si>
  <si>
    <t>Deuda total</t>
  </si>
  <si>
    <t>Gesamtverschuldung</t>
  </si>
  <si>
    <t>Dette totale</t>
  </si>
  <si>
    <t>Indebitamento totale</t>
  </si>
  <si>
    <t>총 부채</t>
  </si>
  <si>
    <t>Общая задолженность</t>
  </si>
  <si>
    <t>Dívida total</t>
  </si>
  <si>
    <t>Odd Fiscal Period Logic</t>
  </si>
  <si>
    <t>非正常会计周期逻辑</t>
  </si>
  <si>
    <t>非正常財務期間邏輯</t>
  </si>
  <si>
    <t>臨時会計期間ロジック</t>
  </si>
  <si>
    <t>Lógica para un ejercicio dado</t>
  </si>
  <si>
    <t>Logik zu unüblichem Geschäftsjahr</t>
  </si>
  <si>
    <t>Logique de la période d'exercice spéciale</t>
  </si>
  <si>
    <t>Logica periodo di imposta speciale</t>
  </si>
  <si>
    <t>특이 회계기간 처리</t>
  </si>
  <si>
    <t>Выгодная логика отчетного периода</t>
  </si>
  <si>
    <t>Lógica do período fiscal ímpar</t>
  </si>
  <si>
    <t>Australia</t>
  </si>
  <si>
    <t>澳大利亚</t>
  </si>
  <si>
    <t>澳大利亞</t>
  </si>
  <si>
    <t>オーストラリア</t>
  </si>
  <si>
    <t>Australien</t>
  </si>
  <si>
    <t>Australie</t>
  </si>
  <si>
    <t>호주</t>
  </si>
  <si>
    <t>Австралия</t>
  </si>
  <si>
    <t>Austrália</t>
  </si>
  <si>
    <t>Austria</t>
  </si>
  <si>
    <t>奥地利</t>
  </si>
  <si>
    <t>奧地利</t>
  </si>
  <si>
    <t>オーストリア</t>
  </si>
  <si>
    <t>Österreich</t>
  </si>
  <si>
    <t>Autriche</t>
  </si>
  <si>
    <t>오스트리아</t>
  </si>
  <si>
    <t>Австрия</t>
  </si>
  <si>
    <t>Belgium</t>
  </si>
  <si>
    <t>比利时</t>
  </si>
  <si>
    <t>比利時</t>
  </si>
  <si>
    <t>ベルギー</t>
  </si>
  <si>
    <t>Bélgica</t>
  </si>
  <si>
    <t>Belgien</t>
  </si>
  <si>
    <t>Belgique</t>
  </si>
  <si>
    <t>Belgio</t>
  </si>
  <si>
    <t>벨기에</t>
  </si>
  <si>
    <t>Бельгия</t>
  </si>
  <si>
    <t>Belgica</t>
  </si>
  <si>
    <t>Brazil</t>
  </si>
  <si>
    <t>巴西</t>
  </si>
  <si>
    <t>ブラジル</t>
  </si>
  <si>
    <t>Brasil</t>
  </si>
  <si>
    <t>Brasilien</t>
  </si>
  <si>
    <t>Brésil</t>
  </si>
  <si>
    <t>Brasile</t>
  </si>
  <si>
    <t>브라질</t>
  </si>
  <si>
    <t>Бразилия</t>
  </si>
  <si>
    <t>Bulgaria</t>
  </si>
  <si>
    <t>保加利亚</t>
  </si>
  <si>
    <t>保加利亞</t>
  </si>
  <si>
    <t>ブルガリア</t>
  </si>
  <si>
    <t>Bulgarien</t>
  </si>
  <si>
    <t>Bulgarie</t>
  </si>
  <si>
    <t>불가리아</t>
  </si>
  <si>
    <t>Болгария</t>
  </si>
  <si>
    <t>Bulgária</t>
  </si>
  <si>
    <t>Canada</t>
  </si>
  <si>
    <t>加拿大</t>
  </si>
  <si>
    <t>カナダ</t>
  </si>
  <si>
    <t>Canadá</t>
  </si>
  <si>
    <t>Kanada</t>
  </si>
  <si>
    <t>캐나다</t>
  </si>
  <si>
    <t>Канада</t>
  </si>
  <si>
    <t>China</t>
  </si>
  <si>
    <t>中国</t>
  </si>
  <si>
    <t>中國</t>
  </si>
  <si>
    <t>Chine</t>
  </si>
  <si>
    <t>Cina</t>
  </si>
  <si>
    <t>중국</t>
  </si>
  <si>
    <t>Китай</t>
  </si>
  <si>
    <t>Czech Republic</t>
  </si>
  <si>
    <t>捷克</t>
  </si>
  <si>
    <t>捷克共和國</t>
  </si>
  <si>
    <t>チェコ共和国</t>
  </si>
  <si>
    <t>Republica checa</t>
  </si>
  <si>
    <t>Tschechische Republik</t>
  </si>
  <si>
    <t>République tchèque</t>
  </si>
  <si>
    <t>Repubblica Ceca</t>
  </si>
  <si>
    <t>체코 공화국</t>
  </si>
  <si>
    <t>Чешская Республика</t>
  </si>
  <si>
    <t>Rep.Checa</t>
  </si>
  <si>
    <t>Denmark</t>
  </si>
  <si>
    <t>丹麦</t>
  </si>
  <si>
    <t>丹麥</t>
  </si>
  <si>
    <t>デンマーク</t>
  </si>
  <si>
    <t>Dinamarca</t>
  </si>
  <si>
    <t>Dänemark</t>
  </si>
  <si>
    <t>Danemark</t>
  </si>
  <si>
    <t>Danimarca</t>
  </si>
  <si>
    <t>덴마크</t>
  </si>
  <si>
    <t>Дания</t>
  </si>
  <si>
    <t>Eurozone</t>
  </si>
  <si>
    <t>欧元区</t>
  </si>
  <si>
    <t>歐元區</t>
  </si>
  <si>
    <t>ユーロゾーン</t>
  </si>
  <si>
    <t>Zona euro</t>
  </si>
  <si>
    <t>Zone Euro</t>
  </si>
  <si>
    <t>EuroZone</t>
  </si>
  <si>
    <t>유로존</t>
  </si>
  <si>
    <t>Еврозона</t>
  </si>
  <si>
    <t>Zona do Euro</t>
  </si>
  <si>
    <t>Finland</t>
  </si>
  <si>
    <t>芬兰</t>
  </si>
  <si>
    <t>芬蘭</t>
  </si>
  <si>
    <t>フィンランド</t>
  </si>
  <si>
    <t>Finlandia</t>
  </si>
  <si>
    <t>Finnland</t>
  </si>
  <si>
    <t>Finlande</t>
  </si>
  <si>
    <t>핀란드</t>
  </si>
  <si>
    <t>Финляндия</t>
  </si>
  <si>
    <t>Finlândia</t>
  </si>
  <si>
    <t>France</t>
  </si>
  <si>
    <t>法国</t>
  </si>
  <si>
    <t>法國</t>
  </si>
  <si>
    <t>フランス</t>
  </si>
  <si>
    <t>Francia</t>
  </si>
  <si>
    <t>Frankreich</t>
  </si>
  <si>
    <t>프랑스</t>
  </si>
  <si>
    <t>Франция</t>
  </si>
  <si>
    <t>França</t>
  </si>
  <si>
    <t>Germany</t>
  </si>
  <si>
    <t>德国</t>
  </si>
  <si>
    <t>德國</t>
  </si>
  <si>
    <t>ドイツ</t>
  </si>
  <si>
    <t>Alemania</t>
  </si>
  <si>
    <t>Deutschland</t>
  </si>
  <si>
    <t>Allemagne</t>
  </si>
  <si>
    <t>Germania</t>
  </si>
  <si>
    <t>독일</t>
  </si>
  <si>
    <t>Германия</t>
  </si>
  <si>
    <t>Alemanha</t>
  </si>
  <si>
    <t>Greece</t>
  </si>
  <si>
    <t>希腊</t>
  </si>
  <si>
    <t>希臘</t>
  </si>
  <si>
    <t> ギリシャ</t>
  </si>
  <si>
    <t>Grecia</t>
  </si>
  <si>
    <t>Griechenland</t>
  </si>
  <si>
    <t>Grèce</t>
  </si>
  <si>
    <t>그리스</t>
  </si>
  <si>
    <t>Греция</t>
  </si>
  <si>
    <t>Grécia</t>
  </si>
  <si>
    <t>Hong Kong</t>
  </si>
  <si>
    <t>香港</t>
  </si>
  <si>
    <t>Hongkong</t>
  </si>
  <si>
    <t>홍콩</t>
  </si>
  <si>
    <t>Гонконг</t>
  </si>
  <si>
    <t>Hungary</t>
  </si>
  <si>
    <t>匈牙利</t>
  </si>
  <si>
    <t>ハンガリー</t>
  </si>
  <si>
    <t>Hungría</t>
  </si>
  <si>
    <t>Ungarn</t>
  </si>
  <si>
    <t>Hongrie</t>
  </si>
  <si>
    <t>Ungheria</t>
  </si>
  <si>
    <t>헝가리</t>
  </si>
  <si>
    <t>Венгрия</t>
  </si>
  <si>
    <t>Hungria</t>
  </si>
  <si>
    <t>India</t>
  </si>
  <si>
    <t>印度</t>
  </si>
  <si>
    <t>インド</t>
  </si>
  <si>
    <t>Indien</t>
  </si>
  <si>
    <t>Inde</t>
  </si>
  <si>
    <t>인도</t>
  </si>
  <si>
    <t>Индия</t>
  </si>
  <si>
    <t>Índia</t>
  </si>
  <si>
    <t>Indonesia</t>
  </si>
  <si>
    <t>印尼</t>
  </si>
  <si>
    <t>インドネシア</t>
  </si>
  <si>
    <t>Indonesien</t>
  </si>
  <si>
    <t>Indonésie</t>
  </si>
  <si>
    <t>인도네시아 공화국</t>
  </si>
  <si>
    <t>Индонезия</t>
  </si>
  <si>
    <t>Indonésia</t>
  </si>
  <si>
    <t>Ireland</t>
  </si>
  <si>
    <t>爱尔兰</t>
  </si>
  <si>
    <t>愛爾蘭</t>
  </si>
  <si>
    <t>アイルランド</t>
  </si>
  <si>
    <t>Irlanda</t>
  </si>
  <si>
    <t>Irland</t>
  </si>
  <si>
    <t>Irlande</t>
  </si>
  <si>
    <t>아일랜드</t>
  </si>
  <si>
    <t>Ирландия</t>
  </si>
  <si>
    <t>Israel</t>
  </si>
  <si>
    <t>以色列</t>
  </si>
  <si>
    <t>イスラエル</t>
  </si>
  <si>
    <t>Israêl</t>
  </si>
  <si>
    <t>Israele</t>
  </si>
  <si>
    <t>이스라엘</t>
  </si>
  <si>
    <t>Израиль</t>
  </si>
  <si>
    <t>Italy</t>
  </si>
  <si>
    <t>意大利</t>
  </si>
  <si>
    <t>イタリア</t>
  </si>
  <si>
    <t>Italia</t>
  </si>
  <si>
    <t>Italie</t>
  </si>
  <si>
    <t>이탈리아</t>
  </si>
  <si>
    <t>Италия</t>
  </si>
  <si>
    <t>Japan</t>
  </si>
  <si>
    <t>日本</t>
  </si>
  <si>
    <t>Japon</t>
  </si>
  <si>
    <t>Giappone</t>
  </si>
  <si>
    <t>일본</t>
  </si>
  <si>
    <t>Япония</t>
  </si>
  <si>
    <t>Japão</t>
  </si>
  <si>
    <t>Kenya</t>
  </si>
  <si>
    <t>肯尼亚</t>
  </si>
  <si>
    <t>肯亞</t>
  </si>
  <si>
    <t>ケニア</t>
  </si>
  <si>
    <t>Kenia</t>
  </si>
  <si>
    <t>케냐</t>
  </si>
  <si>
    <t>Кения</t>
  </si>
  <si>
    <t>Quênia</t>
  </si>
  <si>
    <t>Malaysia</t>
  </si>
  <si>
    <t>马来西亚</t>
  </si>
  <si>
    <t>馬來西亞</t>
  </si>
  <si>
    <t>マレーシア</t>
  </si>
  <si>
    <t>Malasia</t>
  </si>
  <si>
    <t>Malaisie</t>
  </si>
  <si>
    <t>말레이시아</t>
  </si>
  <si>
    <t>Малайзия</t>
  </si>
  <si>
    <t>Malásia</t>
  </si>
  <si>
    <t>Mexico</t>
  </si>
  <si>
    <t>墨西哥</t>
  </si>
  <si>
    <t>メキシコ</t>
  </si>
  <si>
    <t>México</t>
  </si>
  <si>
    <t>Mexiko</t>
  </si>
  <si>
    <t>Messico</t>
  </si>
  <si>
    <t>멕시코</t>
  </si>
  <si>
    <t>Мексика</t>
  </si>
  <si>
    <t>Netherlands</t>
  </si>
  <si>
    <t>荷兰</t>
  </si>
  <si>
    <t>荷蘭</t>
  </si>
  <si>
    <t>オランダ</t>
  </si>
  <si>
    <t>Holanda</t>
  </si>
  <si>
    <t>Niederlande</t>
  </si>
  <si>
    <t>Pays-Bas</t>
  </si>
  <si>
    <t>Paesi Bassi</t>
  </si>
  <si>
    <t>네덜란드</t>
  </si>
  <si>
    <t>Нидерланды</t>
  </si>
  <si>
    <t>New Zealand</t>
  </si>
  <si>
    <t>新西兰</t>
  </si>
  <si>
    <t>紐西蘭</t>
  </si>
  <si>
    <t>ニュージーランド</t>
  </si>
  <si>
    <t>Nueva Zelanda</t>
  </si>
  <si>
    <t>Neuseeland</t>
  </si>
  <si>
    <t>Nouvelle-Zélande</t>
  </si>
  <si>
    <t>Nuova Zelanda</t>
  </si>
  <si>
    <t>뉴질랜드</t>
  </si>
  <si>
    <t>Новая Зеландия</t>
  </si>
  <si>
    <t>Nova Zelândia</t>
  </si>
  <si>
    <t>Norway</t>
  </si>
  <si>
    <t>挪威</t>
  </si>
  <si>
    <t>ノルウェー</t>
  </si>
  <si>
    <t>Noruega</t>
  </si>
  <si>
    <t>Norwegen</t>
  </si>
  <si>
    <t>Norvège</t>
  </si>
  <si>
    <t>Norvegia</t>
  </si>
  <si>
    <t>노르웨이</t>
  </si>
  <si>
    <t>Норвегия</t>
  </si>
  <si>
    <t>Philippines</t>
  </si>
  <si>
    <t>菲律宾</t>
  </si>
  <si>
    <t>菲律賓</t>
  </si>
  <si>
    <t>フィリピン</t>
  </si>
  <si>
    <t>Filipinas</t>
  </si>
  <si>
    <t>Philippinen</t>
  </si>
  <si>
    <t>Filippine</t>
  </si>
  <si>
    <t>필리핀</t>
  </si>
  <si>
    <t>Филиппины</t>
  </si>
  <si>
    <t>Poland</t>
  </si>
  <si>
    <t>波兰</t>
  </si>
  <si>
    <t>波蘭</t>
  </si>
  <si>
    <t>ポーランド</t>
  </si>
  <si>
    <t>Polonia</t>
  </si>
  <si>
    <t>Polen</t>
  </si>
  <si>
    <t>Pologne</t>
  </si>
  <si>
    <t>폴란드</t>
  </si>
  <si>
    <t>Польша</t>
  </si>
  <si>
    <t>Polónia</t>
  </si>
  <si>
    <t>Portugal</t>
  </si>
  <si>
    <t>葡萄牙</t>
  </si>
  <si>
    <t>ポルトガル</t>
  </si>
  <si>
    <t>PT</t>
  </si>
  <si>
    <t>Portogallo</t>
  </si>
  <si>
    <t>포르투갈</t>
  </si>
  <si>
    <t>Португалия</t>
  </si>
  <si>
    <t>Russia</t>
  </si>
  <si>
    <t>俄罗斯</t>
  </si>
  <si>
    <t>俄羅斯</t>
  </si>
  <si>
    <t>ロシア</t>
  </si>
  <si>
    <t>Rusia</t>
  </si>
  <si>
    <t>Russland</t>
  </si>
  <si>
    <t>Russie</t>
  </si>
  <si>
    <t>러시아</t>
  </si>
  <si>
    <t>Россия</t>
  </si>
  <si>
    <t>Rússia</t>
  </si>
  <si>
    <t>Singapore</t>
  </si>
  <si>
    <t>新加坡</t>
  </si>
  <si>
    <t>シンガポール</t>
  </si>
  <si>
    <t>Singapur</t>
  </si>
  <si>
    <t>Singapour</t>
  </si>
  <si>
    <t>싱가포르</t>
  </si>
  <si>
    <t>Сингапур</t>
  </si>
  <si>
    <t>Cingapura</t>
  </si>
  <si>
    <t>Slovakia</t>
  </si>
  <si>
    <t>斯洛伐克</t>
  </si>
  <si>
    <t>スロバキア</t>
  </si>
  <si>
    <t>Eslovaquia</t>
  </si>
  <si>
    <t>Slowakei</t>
  </si>
  <si>
    <t>Slovaquie</t>
  </si>
  <si>
    <t>Slovacchia</t>
  </si>
  <si>
    <t>슬로바키아</t>
  </si>
  <si>
    <t>Словакия</t>
  </si>
  <si>
    <t>Eslováquia</t>
  </si>
  <si>
    <t>South Africa</t>
  </si>
  <si>
    <t>南非</t>
  </si>
  <si>
    <t>南アフリカ</t>
  </si>
  <si>
    <t>Sudáfrica</t>
  </si>
  <si>
    <t>Südafrika</t>
  </si>
  <si>
    <t>Afrique du Sud</t>
  </si>
  <si>
    <t>Sud Africa</t>
  </si>
  <si>
    <t>남아프리카 공화국</t>
  </si>
  <si>
    <t>Южная Африка</t>
  </si>
  <si>
    <t>South Korea</t>
  </si>
  <si>
    <t>韩国</t>
  </si>
  <si>
    <t>韓國</t>
  </si>
  <si>
    <t>韓国</t>
  </si>
  <si>
    <t>Corea del Sur</t>
  </si>
  <si>
    <t>Südkorea</t>
  </si>
  <si>
    <t>Corée du Sud</t>
  </si>
  <si>
    <t>Corea del Sud</t>
  </si>
  <si>
    <t>한국</t>
  </si>
  <si>
    <t>Южная Корея</t>
  </si>
  <si>
    <t>Coréia do Sul</t>
  </si>
  <si>
    <t>Spain</t>
  </si>
  <si>
    <t>西班牙</t>
  </si>
  <si>
    <t>スペイン</t>
  </si>
  <si>
    <t>España</t>
  </si>
  <si>
    <t>Spanien</t>
  </si>
  <si>
    <t>Espagne</t>
  </si>
  <si>
    <t>Spagna</t>
  </si>
  <si>
    <t>스페인</t>
  </si>
  <si>
    <t>Испания</t>
  </si>
  <si>
    <t>Sweden</t>
  </si>
  <si>
    <t>瑞典</t>
  </si>
  <si>
    <t>スウェーデン</t>
  </si>
  <si>
    <t>Suecia</t>
  </si>
  <si>
    <t>Schweden</t>
  </si>
  <si>
    <t>Suède</t>
  </si>
  <si>
    <t>Svezia</t>
  </si>
  <si>
    <t>스웨덴</t>
  </si>
  <si>
    <t>Швеция</t>
  </si>
  <si>
    <t>Switzerland</t>
  </si>
  <si>
    <t>瑞士</t>
  </si>
  <si>
    <t>スイス</t>
  </si>
  <si>
    <t>Suiza</t>
  </si>
  <si>
    <t>Schweiz</t>
  </si>
  <si>
    <t>Suisse</t>
  </si>
  <si>
    <t>Svizzera</t>
  </si>
  <si>
    <t>스위스</t>
  </si>
  <si>
    <t>Швейцария</t>
  </si>
  <si>
    <t>Suiça</t>
  </si>
  <si>
    <t>Taiwan</t>
  </si>
  <si>
    <t>中国台湾</t>
  </si>
  <si>
    <t>中國台灣</t>
  </si>
  <si>
    <t>台湾</t>
  </si>
  <si>
    <t>Taiwán</t>
  </si>
  <si>
    <t>대만</t>
  </si>
  <si>
    <t>Тайвань</t>
  </si>
  <si>
    <t>Thailand</t>
  </si>
  <si>
    <t>泰国</t>
  </si>
  <si>
    <t>泰國</t>
  </si>
  <si>
    <t>タイ</t>
  </si>
  <si>
    <t>Tailandia</t>
  </si>
  <si>
    <t>Thaïlande</t>
  </si>
  <si>
    <t>태국</t>
  </si>
  <si>
    <t>Таиланд</t>
  </si>
  <si>
    <t>Tailândia</t>
  </si>
  <si>
    <t>Turkey</t>
  </si>
  <si>
    <t>土耳其</t>
  </si>
  <si>
    <t>土庫曼</t>
  </si>
  <si>
    <t>トルコ国</t>
  </si>
  <si>
    <t>Turquía</t>
  </si>
  <si>
    <t>Türkei</t>
  </si>
  <si>
    <t>Turquie</t>
  </si>
  <si>
    <t>Turchia</t>
  </si>
  <si>
    <t>투르크메니스탄</t>
  </si>
  <si>
    <t>Турция</t>
  </si>
  <si>
    <t>Turquia</t>
  </si>
  <si>
    <t>United Kingdom</t>
  </si>
  <si>
    <t>英国</t>
  </si>
  <si>
    <t>英國</t>
  </si>
  <si>
    <t>イギリス</t>
  </si>
  <si>
    <t>Reino Unido</t>
  </si>
  <si>
    <t>Großbritannien</t>
  </si>
  <si>
    <t>Royaume-Uni</t>
  </si>
  <si>
    <t>Regno Unito</t>
  </si>
  <si>
    <t>영국</t>
  </si>
  <si>
    <t>Соединенное Королевство</t>
  </si>
  <si>
    <t>USA</t>
  </si>
  <si>
    <t>美国</t>
  </si>
  <si>
    <t>美國</t>
  </si>
  <si>
    <t>アメリカ合衆国</t>
  </si>
  <si>
    <t>Estados Unidos</t>
  </si>
  <si>
    <t>Vereinigte Staaten von Amerika</t>
  </si>
  <si>
    <t>Stati Uniti d'America</t>
  </si>
  <si>
    <t>미국</t>
  </si>
  <si>
    <t>Соединенные Штаты Америки</t>
  </si>
  <si>
    <t>E. U. A.</t>
  </si>
  <si>
    <t>Vietnam</t>
  </si>
  <si>
    <t>越南</t>
  </si>
  <si>
    <t>ベトナム</t>
  </si>
  <si>
    <t>베트남</t>
  </si>
  <si>
    <t>Вьетнам</t>
  </si>
  <si>
    <t>Vietnã</t>
  </si>
  <si>
    <t>No.</t>
  </si>
  <si>
    <t>编号</t>
  </si>
  <si>
    <t>編號</t>
  </si>
  <si>
    <t>番号</t>
  </si>
  <si>
    <t>N.º</t>
  </si>
  <si>
    <t>Nr.</t>
  </si>
  <si>
    <t>N°</t>
  </si>
  <si>
    <t>N.</t>
  </si>
  <si>
    <t>번호</t>
  </si>
  <si>
    <t>№</t>
  </si>
  <si>
    <t>N.°</t>
  </si>
  <si>
    <t>Jan</t>
  </si>
  <si>
    <t>一月</t>
  </si>
  <si>
    <t>1月</t>
  </si>
  <si>
    <t>Ene</t>
  </si>
  <si>
    <t>Janv.</t>
  </si>
  <si>
    <t>Gen</t>
  </si>
  <si>
    <t>1월</t>
  </si>
  <si>
    <t>Янв.</t>
  </si>
  <si>
    <t>Feb</t>
  </si>
  <si>
    <t>二月</t>
  </si>
  <si>
    <t>2月</t>
  </si>
  <si>
    <t>Févr.</t>
  </si>
  <si>
    <t>2월</t>
  </si>
  <si>
    <t>Фев.</t>
  </si>
  <si>
    <t>Mar</t>
  </si>
  <si>
    <t>三月</t>
  </si>
  <si>
    <t>3月</t>
  </si>
  <si>
    <t>Mrz</t>
  </si>
  <si>
    <t>Mars</t>
  </si>
  <si>
    <t>3월</t>
  </si>
  <si>
    <t>Мар.</t>
  </si>
  <si>
    <t>Apr</t>
  </si>
  <si>
    <t>四月</t>
  </si>
  <si>
    <t>4月</t>
  </si>
  <si>
    <t>Abr</t>
  </si>
  <si>
    <t>Avr.</t>
  </si>
  <si>
    <t>4월</t>
  </si>
  <si>
    <t>Апр.</t>
  </si>
  <si>
    <t>May</t>
  </si>
  <si>
    <t>五月</t>
  </si>
  <si>
    <t>5月</t>
  </si>
  <si>
    <t>Mayo</t>
  </si>
  <si>
    <t>Mai</t>
  </si>
  <si>
    <t>maggio</t>
  </si>
  <si>
    <t>5월</t>
  </si>
  <si>
    <t>май</t>
  </si>
  <si>
    <t>Jun</t>
  </si>
  <si>
    <t>六月</t>
  </si>
  <si>
    <t>6月</t>
  </si>
  <si>
    <t>Juni</t>
  </si>
  <si>
    <t>Juin</t>
  </si>
  <si>
    <t>Giu</t>
  </si>
  <si>
    <t>6월</t>
  </si>
  <si>
    <t>Июн.</t>
  </si>
  <si>
    <t>Jul</t>
  </si>
  <si>
    <t>七月</t>
  </si>
  <si>
    <t>7月</t>
  </si>
  <si>
    <t>Juli</t>
  </si>
  <si>
    <t>Juillet</t>
  </si>
  <si>
    <t>Lug</t>
  </si>
  <si>
    <t>7월</t>
  </si>
  <si>
    <t>Июл.</t>
  </si>
  <si>
    <t>Aug</t>
  </si>
  <si>
    <t>八月</t>
  </si>
  <si>
    <t>8月</t>
  </si>
  <si>
    <t>Ago</t>
  </si>
  <si>
    <t>Août</t>
  </si>
  <si>
    <t>8월</t>
  </si>
  <si>
    <t>Авг.</t>
  </si>
  <si>
    <t>Sep</t>
  </si>
  <si>
    <t>九月</t>
  </si>
  <si>
    <t>9月</t>
  </si>
  <si>
    <t>Sept.</t>
  </si>
  <si>
    <t>Sett</t>
  </si>
  <si>
    <t>9월</t>
  </si>
  <si>
    <t>Сен.</t>
  </si>
  <si>
    <t>Set</t>
  </si>
  <si>
    <t>Oct</t>
  </si>
  <si>
    <t>十月</t>
  </si>
  <si>
    <t>10月</t>
  </si>
  <si>
    <t>Okt</t>
  </si>
  <si>
    <t>Oct.</t>
  </si>
  <si>
    <t>Ott</t>
  </si>
  <si>
    <t>10월</t>
  </si>
  <si>
    <t>Окт.</t>
  </si>
  <si>
    <t>Out</t>
  </si>
  <si>
    <t>Nov</t>
  </si>
  <si>
    <t>十一月</t>
  </si>
  <si>
    <t>11月</t>
  </si>
  <si>
    <t>Nov.</t>
  </si>
  <si>
    <t>11월</t>
  </si>
  <si>
    <t>Ноя.</t>
  </si>
  <si>
    <t>Dec</t>
  </si>
  <si>
    <t>十二月</t>
  </si>
  <si>
    <t>12月</t>
  </si>
  <si>
    <t>Dic</t>
  </si>
  <si>
    <t>Dez</t>
  </si>
  <si>
    <t>Déc.</t>
  </si>
  <si>
    <t>12월</t>
  </si>
  <si>
    <t>Дек.</t>
  </si>
  <si>
    <t>Country Name</t>
  </si>
  <si>
    <t>国家名称</t>
  </si>
  <si>
    <t>國家名稱</t>
  </si>
  <si>
    <t>国名</t>
  </si>
  <si>
    <t>Nombre del País</t>
  </si>
  <si>
    <t>Name des Landes</t>
  </si>
  <si>
    <t>Nom du pays</t>
  </si>
  <si>
    <t>Nome del paese</t>
  </si>
  <si>
    <t>국가명</t>
  </si>
  <si>
    <t>Название Страны</t>
  </si>
  <si>
    <t>Nome do país</t>
  </si>
  <si>
    <t>Source: S&amp;P Capital IQ Pro</t>
  </si>
  <si>
    <t>来源：S&amp;P Capital IQ Pro</t>
  </si>
  <si>
    <t>來源：S&amp;P Capital IQ Pro</t>
  </si>
  <si>
    <t>出典：S&amp;P Capital IQ Pro</t>
  </si>
  <si>
    <t>Fuente: S&amp;P Capital IQ Pro</t>
  </si>
  <si>
    <t>Quelle: S&amp;P Globale Marktintelligenz</t>
  </si>
  <si>
    <t>Source : S&amp;P Capital IQ Pro </t>
  </si>
  <si>
    <t>Fonte: S&amp;P Capital IQ Pro</t>
  </si>
  <si>
    <t>출처 : S&amp;P Capital IQ Pro</t>
  </si>
  <si>
    <t>Источник: Данные предоставлены компанией S&amp;P Capital IQ Pro</t>
  </si>
  <si>
    <t>Fonte : S&amp;P Capital IQ Pro</t>
  </si>
  <si>
    <t>Minority Interest</t>
  </si>
  <si>
    <t>少数权益</t>
  </si>
  <si>
    <t>少數權益</t>
  </si>
  <si>
    <t>少数株主持分</t>
  </si>
  <si>
    <t>Participación del interés minoritario</t>
  </si>
  <si>
    <t>Minderheitsanteile</t>
  </si>
  <si>
    <t>Intérêt minoritaire</t>
  </si>
  <si>
    <t>Partecipazione minoritaria</t>
  </si>
  <si>
    <t>비지배지분</t>
  </si>
  <si>
    <t>Доля меньшинства</t>
  </si>
  <si>
    <t>Participação dos minoritários</t>
  </si>
  <si>
    <t>Cash and Cash Equivalents</t>
  </si>
  <si>
    <t>现金及现金等价物</t>
  </si>
  <si>
    <t>現金及現金等價物</t>
  </si>
  <si>
    <t>現金及び現金等価物</t>
  </si>
  <si>
    <t>Efectivo y equivalentes</t>
  </si>
  <si>
    <t>Liquide Mittel</t>
  </si>
  <si>
    <t>Trésorerie et équivalents de trésorerie</t>
  </si>
  <si>
    <t>Disponibilità liquide e mezzi equivalenti</t>
  </si>
  <si>
    <t>현금 및 현금 등가물</t>
  </si>
  <si>
    <t>Денежные средства и их эквиваленты</t>
  </si>
  <si>
    <t>Caixa e equivalentes de caixa</t>
  </si>
  <si>
    <t>Shares Outstanding (actual)</t>
  </si>
  <si>
    <t>已发行股数 （实际）</t>
  </si>
  <si>
    <t>已發行股數 (實際)</t>
  </si>
  <si>
    <t>発行済株式数（実績値）</t>
  </si>
  <si>
    <t>Acciones en Circulación (reales)</t>
  </si>
  <si>
    <t>Ausstehende Aktien (Ist)</t>
  </si>
  <si>
    <t>Actions en circulation (réel)</t>
  </si>
  <si>
    <t>Azioni in circolazione (effettive)</t>
  </si>
  <si>
    <t>발행주식수 (실제값)</t>
  </si>
  <si>
    <t>Акции в обращении (факт.)</t>
  </si>
  <si>
    <t>Ações em circulação (atual)</t>
  </si>
  <si>
    <t>Cash and Equivalents</t>
  </si>
  <si>
    <t>现金及约当现金</t>
  </si>
  <si>
    <t>現金及約當現金</t>
  </si>
  <si>
    <t>現金同等物</t>
  </si>
  <si>
    <t>Efectivo y equivalentes al efectivo</t>
  </si>
  <si>
    <t>Bargelt und Zahlungsmitteläquivalente</t>
  </si>
  <si>
    <t>현금 및 현금성자산</t>
  </si>
  <si>
    <t>Caixa e equivalentes</t>
  </si>
  <si>
    <t>January</t>
  </si>
  <si>
    <t>enero</t>
  </si>
  <si>
    <t>Januar</t>
  </si>
  <si>
    <t>Janvier</t>
  </si>
  <si>
    <t>gennaio</t>
  </si>
  <si>
    <t>январь</t>
  </si>
  <si>
    <t>Janeiro</t>
  </si>
  <si>
    <t>February</t>
  </si>
  <si>
    <t>febrero</t>
  </si>
  <si>
    <t>Februar</t>
  </si>
  <si>
    <t>Fevrier</t>
  </si>
  <si>
    <t>febbraio</t>
  </si>
  <si>
    <t>февраль</t>
  </si>
  <si>
    <t>Fevereiro</t>
  </si>
  <si>
    <t>March</t>
  </si>
  <si>
    <t>marzo</t>
  </si>
  <si>
    <t>März</t>
  </si>
  <si>
    <t>марш</t>
  </si>
  <si>
    <t>Março</t>
  </si>
  <si>
    <t>April</t>
  </si>
  <si>
    <t>abril</t>
  </si>
  <si>
    <t>Avril</t>
  </si>
  <si>
    <t>aprile</t>
  </si>
  <si>
    <t>апрель</t>
  </si>
  <si>
    <t>Abril</t>
  </si>
  <si>
    <t>June</t>
  </si>
  <si>
    <t>junio</t>
  </si>
  <si>
    <t>giugno</t>
  </si>
  <si>
    <t>июнь</t>
  </si>
  <si>
    <t>Junho</t>
  </si>
  <si>
    <t>July</t>
  </si>
  <si>
    <t>julio</t>
  </si>
  <si>
    <t>luglio</t>
  </si>
  <si>
    <t>июль</t>
  </si>
  <si>
    <t>Julho</t>
  </si>
  <si>
    <t>August</t>
  </si>
  <si>
    <t>agosto</t>
  </si>
  <si>
    <t>Aout</t>
  </si>
  <si>
    <t>август</t>
  </si>
  <si>
    <t>Agosto</t>
  </si>
  <si>
    <t>September</t>
  </si>
  <si>
    <t>septiembre</t>
  </si>
  <si>
    <t>Septembre</t>
  </si>
  <si>
    <t>settembre</t>
  </si>
  <si>
    <t>сентябрь</t>
  </si>
  <si>
    <t>Setembro</t>
  </si>
  <si>
    <t>October</t>
  </si>
  <si>
    <t>octubre</t>
  </si>
  <si>
    <t>Oktober</t>
  </si>
  <si>
    <t>Octobre</t>
  </si>
  <si>
    <t>ottobre</t>
  </si>
  <si>
    <t>октября</t>
  </si>
  <si>
    <t>Outubro</t>
  </si>
  <si>
    <t>November</t>
  </si>
  <si>
    <t>noviembre</t>
  </si>
  <si>
    <t>Novembre</t>
  </si>
  <si>
    <t>novembre</t>
  </si>
  <si>
    <t>ноябрь</t>
  </si>
  <si>
    <t>Novembro</t>
  </si>
  <si>
    <t>December</t>
  </si>
  <si>
    <t>diciembre</t>
  </si>
  <si>
    <t>Dezember</t>
  </si>
  <si>
    <t>Decembre</t>
  </si>
  <si>
    <t>dicembre</t>
  </si>
  <si>
    <t>декабрь</t>
  </si>
  <si>
    <t>Dezembro</t>
  </si>
  <si>
    <t>Step 1: Select terminology from dropdown to be used in model.</t>
  </si>
  <si>
    <t>第1步：从下拉列表中选择在模版中使用的术语。</t>
  </si>
  <si>
    <t>第1步：從下拉式清單選擇要在範本中使用的術語。</t>
  </si>
  <si>
    <t>ステップ1:テンプレートで使用する用語をドロップダウンリストから選択します。</t>
  </si>
  <si>
    <t>Paso 1: Seleccione en el menú desplegable la terminología que se utilizará en la plantilla.</t>
  </si>
  <si>
    <t>1. Schritt: Wählen Sie aus dem Dropdown-Menü die Terminologie, die in der Vorlage verwendet werden soll.</t>
  </si>
  <si>
    <t>Étape 1 : Dans la liste déroulante, sélectionnez la langue à utiliser dans le modèle.</t>
  </si>
  <si>
    <t>단계 1: 템플릿에 사용할 용어를 드롭다운에서 선택합니다.</t>
  </si>
  <si>
    <t>Шаг 1: Выберите из выпадающего списка терминологию, которую вы хотите использовать в шаблоне.</t>
  </si>
  <si>
    <t>Passo 1: Selecione a terminologia na lista suspensa para ser usada no modelo.</t>
  </si>
  <si>
    <t>Step 2: Hit "UPDATE TERMINOLOGY" button to update terminology in model.</t>
  </si>
  <si>
    <t xml:space="preserve">第2步：点击“更新术语”按钮以更新模板中的术语。 </t>
  </si>
  <si>
    <t xml:space="preserve">第2步：點擊“更新術語”按鈕更新範本中的術語。 </t>
  </si>
  <si>
    <t>ステップ2：「用語の更新」ボタンを押してテンプレート内の用語を更新します。 テンプレート内の用語を更新します。</t>
  </si>
  <si>
    <t>Paso 2: Presione el botón "ACTUALIZAR TERMINOLOGÍA" para actualizar la terminología en la plantilla.</t>
  </si>
  <si>
    <t>Schritt 2: Klicken Sie auf "Terminologie aktualisieren", um die Terminologie in der Vorlage zu aktualisieren.</t>
  </si>
  <si>
    <t>Étape 2: Appuyez sur le bouton "METTRE À JOUR LA TERMINOLOGIE" pour mettre à jour la terminologie dans le modèle.</t>
  </si>
  <si>
    <t>Passo 2: Premi il pulsante "AGGIORNA TERMINOLOGIA" per aggiornare la terminologia nel modello.</t>
  </si>
  <si>
    <t xml:space="preserve">2 단계 : 템플릿의 용어를 업데이트하려면 "용어 업데이트" 버튼을 누르세요.  </t>
  </si>
  <si>
    <t>Шаг 2: Нажмите кнопку "Обновить терминологию",  чтобы обновить терминологию в шаблоне.</t>
  </si>
  <si>
    <t>Passo 2: Clique no botão "UPDATE TERMINOLOGY" para atualizar a terminologia no modelo.</t>
  </si>
  <si>
    <t xml:space="preserve">Multiplied by: </t>
  </si>
  <si>
    <t>乘于：</t>
  </si>
  <si>
    <t>乘於：</t>
  </si>
  <si>
    <t>乗ずる:</t>
  </si>
  <si>
    <t xml:space="preserve">Multiplicado por: </t>
  </si>
  <si>
    <t>Multipliziert mit:</t>
  </si>
  <si>
    <t xml:space="preserve">Multiplié par:  </t>
  </si>
  <si>
    <t xml:space="preserve">Moltiplicato per: </t>
  </si>
  <si>
    <t>x</t>
  </si>
  <si>
    <t xml:space="preserve">Умножить на: </t>
  </si>
  <si>
    <t>Multiplicado por:</t>
  </si>
  <si>
    <t xml:space="preserve"> Bottom-Up Beta</t>
  </si>
  <si>
    <t>自下而上贝塔系数</t>
  </si>
  <si>
    <t>自下而上貝塔係數</t>
  </si>
  <si>
    <t>ボトムアップ・ベータ</t>
  </si>
  <si>
    <t>Beta de abajo hacia arriba</t>
  </si>
  <si>
    <t>Bottom-Up Beta</t>
  </si>
  <si>
    <t xml:space="preserve"> Bêta ascendante</t>
  </si>
  <si>
    <t xml:space="preserve"> Beta bottom-up</t>
  </si>
  <si>
    <t>바텀업 (Bottom-up)  베타</t>
  </si>
  <si>
    <t>Восходящий Бета-коэффициент</t>
  </si>
  <si>
    <t>Beta de baixo para cima</t>
  </si>
  <si>
    <t xml:space="preserve"> Regression Beta</t>
  </si>
  <si>
    <t>回归贝塔系数</t>
  </si>
  <si>
    <t>回歸貝塔係數</t>
  </si>
  <si>
    <t>回帰ベータ</t>
  </si>
  <si>
    <t>Regresión Beta</t>
  </si>
  <si>
    <t>Regressions-Beta</t>
  </si>
  <si>
    <t xml:space="preserve"> Bêta de régression</t>
  </si>
  <si>
    <t xml:space="preserve"> Beta di regressione</t>
  </si>
  <si>
    <t xml:space="preserve"> 회기분석 베타</t>
  </si>
  <si>
    <t>Регрессионный Бета-коэффициент</t>
  </si>
  <si>
    <t>Beta de regressão</t>
  </si>
  <si>
    <t>P/(D+P+E)</t>
  </si>
  <si>
    <t>优先股/(债务+优先股+权益)</t>
  </si>
  <si>
    <t>優先股/(債務+優先股+權益)</t>
  </si>
  <si>
    <t>優先株/（有利子負債+優先株+株主資本）</t>
  </si>
  <si>
    <t>P/(D+P+C)</t>
  </si>
  <si>
    <t>V/(S+V+E)</t>
  </si>
  <si>
    <t>PV of</t>
  </si>
  <si>
    <t>的现值</t>
  </si>
  <si>
    <t>的現值</t>
  </si>
  <si>
    <t>現在価値</t>
  </si>
  <si>
    <t>Valor actual de</t>
  </si>
  <si>
    <t>Barwert der</t>
  </si>
  <si>
    <t>Valeur actuelle de</t>
  </si>
  <si>
    <t>Valore attuale di</t>
  </si>
  <si>
    <t xml:space="preserve">현가: </t>
  </si>
  <si>
    <t>Приведенная стоимость (PV)</t>
  </si>
  <si>
    <t>VP de</t>
  </si>
  <si>
    <t>Free Cash Flow Stub(1)</t>
  </si>
  <si>
    <t>自有現金流匯報期末段</t>
  </si>
  <si>
    <t>フリーキャッシュフロー年央調整(1)</t>
  </si>
  <si>
    <t>Período roto - Flujo de caja libre (1)</t>
  </si>
  <si>
    <t>Verfügbarer Geldfluss (1)</t>
  </si>
  <si>
    <t>Flux de trésorerie disponible (1)</t>
  </si>
  <si>
    <t>Flusso di cassa libero Stub (1)</t>
  </si>
  <si>
    <t>기업잉여현금흐름(FCF) Stub (1)</t>
  </si>
  <si>
    <t>свободный денежный поток за неполный период (1)</t>
  </si>
  <si>
    <t>Fluxo de Caixa Livre - Stub (1)</t>
  </si>
  <si>
    <t>Free Cash Flows(1)</t>
  </si>
  <si>
    <t>自由现金流（1）</t>
  </si>
  <si>
    <t>自由現金流 （1）</t>
  </si>
  <si>
    <t>フリーキャッシュフロー(1)</t>
  </si>
  <si>
    <t>Flujos de efectivo libres (1)</t>
  </si>
  <si>
    <t>Verfügbarer Geldflüsse (1)</t>
  </si>
  <si>
    <t>Flux de trésorerie disponibles (1)</t>
  </si>
  <si>
    <t>Flussi di cassa liberi (1)</t>
  </si>
  <si>
    <t>기업잉여현금흐름(FCF) (1)</t>
  </si>
  <si>
    <t>Свободные денежные потоки (1)</t>
  </si>
  <si>
    <t>Fluxos de Caixa Livre (1)</t>
  </si>
  <si>
    <t>Net Working Capital/(Deficit)</t>
  </si>
  <si>
    <t>净运营资金 / 赤字</t>
  </si>
  <si>
    <t>淨運營資金 / 赤字</t>
  </si>
  <si>
    <t>ネット運転資本</t>
  </si>
  <si>
    <t>Capital de trabajo neto / (Déficit)</t>
  </si>
  <si>
    <t>Nettoarbeitskapital/(Defizit)</t>
  </si>
  <si>
    <t>Fonds de roulement net / (Déficit)</t>
  </si>
  <si>
    <t>Capitale circolante netto/(Disavanzo)</t>
  </si>
  <si>
    <t>순운전자본 / (적자)</t>
  </si>
  <si>
    <t>Чистый оборотный капитал / (Дефицит)</t>
  </si>
  <si>
    <t>Capital de giro líquido / (déficit)</t>
  </si>
  <si>
    <t>, except per share data)</t>
  </si>
  <si>
    <t>，每股数据除外）</t>
  </si>
  <si>
    <t>，每股數據除外）</t>
  </si>
  <si>
    <t>1株当たりデータを除く）</t>
  </si>
  <si>
    <t>, excepto por datos compartidos)</t>
  </si>
  <si>
    <t>(außer Daten pro Aktie)</t>
  </si>
  <si>
    <t>, sauf données par action)</t>
  </si>
  <si>
    <t>, eccetto per dati di condivisione)</t>
  </si>
  <si>
    <t>, 주당 데이터 제외)</t>
  </si>
  <si>
    <t>, exceto dados ação)</t>
  </si>
  <si>
    <t>In</t>
  </si>
  <si>
    <t>在</t>
  </si>
  <si>
    <t>に</t>
  </si>
  <si>
    <t>En</t>
  </si>
  <si>
    <t>im</t>
  </si>
  <si>
    <t>dans</t>
  </si>
  <si>
    <t>nella</t>
  </si>
  <si>
    <t>...에서</t>
  </si>
  <si>
    <t>в</t>
  </si>
  <si>
    <t>(Format: FYyyyy, FQqyyyy Example: FY2020, FQ22021)</t>
  </si>
  <si>
    <t>（格式：FYyyyy - FY2020; FQqyyyy - FQ22021）</t>
  </si>
  <si>
    <t>（格式：FYyyyy - FY2020; FQqyyyy - FQ22021)</t>
  </si>
  <si>
    <t>(フォーマット：FYyyyy - FY2020; FQqyyyy - FQ22021)</t>
  </si>
  <si>
    <t>(Formato: FYyyyy - FY2020; FQqyyyy - FQ22021)</t>
  </si>
  <si>
    <t>(Formate: FYyyyy - FY2020; FQqyyyy - FQ22021)</t>
  </si>
  <si>
    <t>(Format: FYyyyy - FY2020; FQqyyyy - FQ22021)</t>
  </si>
  <si>
    <t>(서식: FYyyyy - FY2020; FQqyyyy - FQ22021)</t>
  </si>
  <si>
    <t>(Формат: FYyyyy - FY2020; FQqyyyy - FQ22021)</t>
  </si>
  <si>
    <t>– All rights reserved. This model and/or any data in it are provided subject to the written agreement of S&amp;P Global Market Intelligence LLC governing the subscription service to which this model is applied.</t>
  </si>
  <si>
    <t>–  保留所有权利。本模型和/或其中的任何数据均是依据S&amp;P Global Market Intelligence LLC 就本模型应用的订阅服务签订的书面协议而提供。</t>
  </si>
  <si>
    <t>– 保留所有權利。此模型及 / 或其內所含任何資料之提供，係依據S&amp;P Global Market Intelligence LLC 針對此模型所應用訂閱服務而簽訂之書面協議為之。</t>
  </si>
  <si>
    <t>- 無断複写・転載を禁じます。このモデルおよび/またはそのデータは、このモデルが適用されるサブスクリプションサービスを管理するS&amp;P Global Market Intelligence LLCの書面による合意に従って提供されます。</t>
  </si>
  <si>
    <t>– Alle Rechte vorbehalten. Dieses Modell und/oder alle darin enthaltenen Daten werden vorbehaltlich der schriftlichen Vereinbarung von S&amp;P Global Market Intelligence LLC über den Abonnementdienst, auf den dieses Modell angewendet wird, bereitgestellt.</t>
  </si>
  <si>
    <t>- Tous droits réservés. Ce modèle et/ou toutes les données qu'il contient sont fournis sous réserve de l'accord écrit de S&amp;P Global Market Intelligence LLC régissant le service d'abonnement auquel ce modèle est appliqué.</t>
  </si>
  <si>
    <t>– Tutti i diritti riservati. Questo modello e/o qualsiasi dato in esso contenuto sono forniti previo accordo scritto di S&amp;P GLobal Market Intelligence LLC che disciplina il servizio di abbonamento a cui questo modello è applicato.</t>
  </si>
  <si>
    <t>모든 권리 본사 소유. 본 분석 모형 및/또는 관련 데이터는 본 모형이 적용되는 구독 서비스를 관리하는 S&amp;P Global Market Intelligence LLC와 맺은 서면 계약에 따라 제공됩니다.</t>
  </si>
  <si>
    <t>Все права защищены. Эта модель и/или любые данные в ней предоставляются в соответствии с письменным соглашением S&amp;P Global Market Intelligence LLC, регулирующим службу подписки, к которой применяется эта модель.</t>
  </si>
  <si>
    <t>- Todos os direitos reservados. Este modelo e/ou quaisquer dados nele contidos são fornecidos de acordo com o contrato por escrito da S&amp;P Global Market Intelligence LLC que rege o serviço de assinatura ao qual este modelo é aplicado.</t>
  </si>
  <si>
    <t>Shares Outstanding</t>
  </si>
  <si>
    <t>已发行股数</t>
  </si>
  <si>
    <t>已發行股數</t>
  </si>
  <si>
    <t>発行済株式数（自己株控除）</t>
  </si>
  <si>
    <t>Acciones en circulación</t>
  </si>
  <si>
    <t>Ausstehende Aktien</t>
  </si>
  <si>
    <t>PARTS EN CIRCULATION</t>
  </si>
  <si>
    <t>Azioni in circolazione</t>
  </si>
  <si>
    <t>발행주식총수</t>
  </si>
  <si>
    <t>Акции в обращении</t>
  </si>
  <si>
    <t>Ações em circulação</t>
  </si>
  <si>
    <t>Zambia</t>
  </si>
  <si>
    <t>赞比亚</t>
  </si>
  <si>
    <t>尚比亞</t>
  </si>
  <si>
    <t>Zambie</t>
  </si>
  <si>
    <t>잠비아</t>
  </si>
  <si>
    <t>ザンビア</t>
  </si>
  <si>
    <t>Sambia</t>
  </si>
  <si>
    <t>Замбия</t>
  </si>
  <si>
    <t>Zimbabwe</t>
  </si>
  <si>
    <t>津巴布韦</t>
  </si>
  <si>
    <t>辛巴威</t>
  </si>
  <si>
    <t>짐바브웨</t>
  </si>
  <si>
    <t>Zimbabue</t>
  </si>
  <si>
    <t>ジンバブエ</t>
  </si>
  <si>
    <t>Зимбабве</t>
  </si>
  <si>
    <t>欧元</t>
  </si>
  <si>
    <t>歐元</t>
  </si>
  <si>
    <t>ユーロ</t>
  </si>
  <si>
    <t>유로</t>
  </si>
  <si>
    <t>Евро</t>
  </si>
  <si>
    <t>英镑</t>
  </si>
  <si>
    <t>英鎊</t>
  </si>
  <si>
    <t>英国ポンド</t>
  </si>
  <si>
    <t>Libra esterlina</t>
  </si>
  <si>
    <t>Britisches Pfund Sterling</t>
  </si>
  <si>
    <t>Livre sterling</t>
  </si>
  <si>
    <t>Sterlina britannica</t>
  </si>
  <si>
    <t>영국 파운드</t>
  </si>
  <si>
    <t>Британский фунт стерлингов</t>
  </si>
  <si>
    <t>Libra esterlina britânica</t>
  </si>
  <si>
    <t>日元</t>
  </si>
  <si>
    <t>日圓</t>
  </si>
  <si>
    <t>日本円</t>
  </si>
  <si>
    <t>Yen japonés</t>
  </si>
  <si>
    <t>Japanischer Yen</t>
  </si>
  <si>
    <t>Yen japonais</t>
  </si>
  <si>
    <t>Yen giapponese</t>
  </si>
  <si>
    <t>일본 엔</t>
  </si>
  <si>
    <t>Японская йена</t>
  </si>
  <si>
    <t>Iene japonês</t>
  </si>
  <si>
    <t>美元</t>
  </si>
  <si>
    <t>米国ドル</t>
  </si>
  <si>
    <t>Dólar estadounidense</t>
  </si>
  <si>
    <t>US-Dollar</t>
  </si>
  <si>
    <t>Dollar américain</t>
  </si>
  <si>
    <t>Dollaro statunitense</t>
  </si>
  <si>
    <t>미국 달러</t>
  </si>
  <si>
    <t>Доллар США</t>
  </si>
  <si>
    <t>Dólar americano</t>
  </si>
  <si>
    <t>阿富汗尼</t>
  </si>
  <si>
    <t>阿富汗阿富汗尼</t>
  </si>
  <si>
    <t>アフガニスタン・アフガニ</t>
  </si>
  <si>
    <t>Afgani afgano</t>
  </si>
  <si>
    <t>Afghanischer Afghani</t>
  </si>
  <si>
    <t>Afghani afghan</t>
  </si>
  <si>
    <t>Afghani afgano</t>
  </si>
  <si>
    <t>아프가니스탄 아프가니</t>
  </si>
  <si>
    <t xml:space="preserve">Афганистанский Афгани </t>
  </si>
  <si>
    <t>Afegão de afegão</t>
  </si>
  <si>
    <t>阿尔巴尼亚列克</t>
  </si>
  <si>
    <t>阿爾巴尼亞列克</t>
  </si>
  <si>
    <t>アルバニア　レク</t>
  </si>
  <si>
    <t>Lek albanés</t>
  </si>
  <si>
    <t>Albanischer Lek</t>
  </si>
  <si>
    <t>Lek albanais</t>
  </si>
  <si>
    <t>Lek albanese</t>
  </si>
  <si>
    <t>알바니아 렉</t>
  </si>
  <si>
    <t>Албанский лек</t>
  </si>
  <si>
    <t>Lek albanês</t>
  </si>
  <si>
    <t>阿根廷比绍</t>
  </si>
  <si>
    <t>阿根廷披索</t>
  </si>
  <si>
    <t>アルゼンチン・ペソ</t>
  </si>
  <si>
    <t>Peso argentino</t>
  </si>
  <si>
    <t>Argentinischer Peso</t>
  </si>
  <si>
    <t>Peso argentin</t>
  </si>
  <si>
    <t>아르헨티나 페소</t>
  </si>
  <si>
    <t>Аргентинский песо</t>
  </si>
  <si>
    <t>亚美尼亚德拉姆</t>
  </si>
  <si>
    <t>亞美尼亞德拉姆</t>
  </si>
  <si>
    <t>アルメニアドラム</t>
  </si>
  <si>
    <t>Dram armenio</t>
  </si>
  <si>
    <t>Armenischer Dram</t>
  </si>
  <si>
    <t>Dram arménien</t>
  </si>
  <si>
    <t>Dram armeno</t>
  </si>
  <si>
    <t>아르메니아 드람</t>
  </si>
  <si>
    <t>Армянский драм</t>
  </si>
  <si>
    <t>Dram armênio</t>
  </si>
  <si>
    <t>澳大利亚元</t>
  </si>
  <si>
    <t>澳幣</t>
  </si>
  <si>
    <t>豪ドル</t>
  </si>
  <si>
    <t>Dólar australiano</t>
  </si>
  <si>
    <t>Australischer Dollar</t>
  </si>
  <si>
    <t>Dollar australien</t>
  </si>
  <si>
    <t>Dollaro australiano</t>
  </si>
  <si>
    <t>호주 달러</t>
  </si>
  <si>
    <t>Австралийский доллар</t>
  </si>
  <si>
    <t>Dolar australiano</t>
  </si>
  <si>
    <t>阿塞拜疆马纳特</t>
  </si>
  <si>
    <t>亞塞拜然馬納特</t>
  </si>
  <si>
    <t>アゼルバイジャン　マナト</t>
  </si>
  <si>
    <t>Manat azerbaiyano</t>
  </si>
  <si>
    <t>Aserbaidschan-Manat</t>
  </si>
  <si>
    <t>Manat azerbaïdjanais</t>
  </si>
  <si>
    <t>Manat azero</t>
  </si>
  <si>
    <t>아제르바이잔 마나트</t>
  </si>
  <si>
    <t>Азербайджанский манат</t>
  </si>
  <si>
    <t>Manat do Azerbaijão</t>
  </si>
  <si>
    <t>巴哈马元</t>
  </si>
  <si>
    <t>巴哈馬元</t>
  </si>
  <si>
    <t>バハマドル</t>
  </si>
  <si>
    <t>Dólar bahameño</t>
  </si>
  <si>
    <t>Bahama-Dollar</t>
  </si>
  <si>
    <t>Dollar bahaméen</t>
  </si>
  <si>
    <t>Dollaro delle Bahamas</t>
  </si>
  <si>
    <t>바하마 달러</t>
  </si>
  <si>
    <t>Багамский доллар</t>
  </si>
  <si>
    <t>Dólar das Bahamas</t>
  </si>
  <si>
    <t>巴林第纳尔</t>
  </si>
  <si>
    <t>巴林第納爾</t>
  </si>
  <si>
    <t>バーレーンディナール</t>
  </si>
  <si>
    <t>Dinar bareiní</t>
  </si>
  <si>
    <t>Bahrain-Dinar</t>
  </si>
  <si>
    <t>Dinar bahreïni</t>
  </si>
  <si>
    <t>Dinaro del Bahrein</t>
  </si>
  <si>
    <t>바레인 디나르</t>
  </si>
  <si>
    <t>Бахрейнский динар</t>
  </si>
  <si>
    <t>Dinar do Bahrein</t>
  </si>
  <si>
    <t>孟加拉塔卡</t>
  </si>
  <si>
    <t>バングラディッシュ・タカ</t>
  </si>
  <si>
    <t>Taka bangladesí</t>
  </si>
  <si>
    <t>Bangladeschischer Taka</t>
  </si>
  <si>
    <t>Taka bangladeshi</t>
  </si>
  <si>
    <t>Taka bengalese</t>
  </si>
  <si>
    <t>방글라데시 타카</t>
  </si>
  <si>
    <t>Бангладешский така</t>
  </si>
  <si>
    <t>Taka de Bangladesh</t>
  </si>
  <si>
    <t>白俄罗斯卢布</t>
  </si>
  <si>
    <t>白俄羅斯盧布</t>
  </si>
  <si>
    <t>ベラルーシルーブル</t>
  </si>
  <si>
    <t>Rublo bielorruso</t>
  </si>
  <si>
    <t>Weißrussischer Rubel</t>
  </si>
  <si>
    <t>Rouble biélorusse</t>
  </si>
  <si>
    <t>Rublo bielorusso</t>
  </si>
  <si>
    <t>벨라루스 루블</t>
  </si>
  <si>
    <t>Белорусский рубль</t>
  </si>
  <si>
    <t>Rublo bielorrusso</t>
  </si>
  <si>
    <t>波斯尼亚可兑换马尔卡</t>
  </si>
  <si>
    <t>波赫馬克</t>
  </si>
  <si>
    <t>ボスニア兌換マルク</t>
  </si>
  <si>
    <t>Marco bosnioherzegovino</t>
  </si>
  <si>
    <t>Bosnishe Konvertible Mark</t>
  </si>
  <si>
    <t>Mark convertible de Bosnie-Herzégovine</t>
  </si>
  <si>
    <t>Marco convertibile bosniaco</t>
  </si>
  <si>
    <t>보스니아 태환 마르카</t>
  </si>
  <si>
    <t>Боснийская конвертируемая марка</t>
  </si>
  <si>
    <t>Marcos conversíveis da Bósnia</t>
  </si>
  <si>
    <t>巴西雷亚尔</t>
  </si>
  <si>
    <t>巴西雷阿爾</t>
  </si>
  <si>
    <t>ブラジル・レアル</t>
  </si>
  <si>
    <t>Real brasileño</t>
  </si>
  <si>
    <t>Brasilianischer Real</t>
  </si>
  <si>
    <t>Réal brésilien</t>
  </si>
  <si>
    <t>Real brasiliano</t>
  </si>
  <si>
    <t>브라질 레알</t>
  </si>
  <si>
    <t>Бразильский реал</t>
  </si>
  <si>
    <t>Real  Brasileiro</t>
  </si>
  <si>
    <t>保加利亚列弗</t>
  </si>
  <si>
    <t>保加利亞列弗</t>
  </si>
  <si>
    <t>ブルガリアレフ</t>
  </si>
  <si>
    <t>Lev búlgaro</t>
  </si>
  <si>
    <t>Lew</t>
  </si>
  <si>
    <t>Lev bulgare</t>
  </si>
  <si>
    <t>Lev bulgaro</t>
  </si>
  <si>
    <t>불가리아 레프</t>
  </si>
  <si>
    <t>Болгарский лев</t>
  </si>
  <si>
    <t>柬埔寨里尔</t>
  </si>
  <si>
    <t>柬埔寨瑞爾</t>
  </si>
  <si>
    <t>カンボジア・リエル</t>
  </si>
  <si>
    <t>Riel camboyano</t>
  </si>
  <si>
    <t>Kambodschanischer Riel</t>
  </si>
  <si>
    <t>Riel cambodgien</t>
  </si>
  <si>
    <t>Riel cambogiano</t>
  </si>
  <si>
    <t>캄보디아 리엘</t>
  </si>
  <si>
    <t>Камбоджийский риель</t>
  </si>
  <si>
    <t>Riel cambojano</t>
  </si>
  <si>
    <t>加拿大元</t>
  </si>
  <si>
    <t>加幣</t>
  </si>
  <si>
    <t>カナダ・ドル</t>
  </si>
  <si>
    <t>Dólar canadiense</t>
  </si>
  <si>
    <t>Kanadischer Dollar</t>
  </si>
  <si>
    <t>Dollar canadien</t>
  </si>
  <si>
    <t>Dollaro canadese</t>
  </si>
  <si>
    <t>캐나다 달러</t>
  </si>
  <si>
    <t>Канадский доллар</t>
  </si>
  <si>
    <t>Dólar canadense</t>
  </si>
  <si>
    <t>智利比绍</t>
  </si>
  <si>
    <t>智利披索</t>
  </si>
  <si>
    <t>チリ・ペソ</t>
  </si>
  <si>
    <t>Peso chileno</t>
  </si>
  <si>
    <t>Chilenischer Peso</t>
  </si>
  <si>
    <t>Peso chilien</t>
  </si>
  <si>
    <t>Peso cileno</t>
  </si>
  <si>
    <t>칠레 페소</t>
  </si>
  <si>
    <t>Чилийский песо</t>
  </si>
  <si>
    <t>Pesos chilenos</t>
  </si>
  <si>
    <t>中国人民币元</t>
  </si>
  <si>
    <t>中國人民幣</t>
  </si>
  <si>
    <t>中国元</t>
  </si>
  <si>
    <t>Yuan Chino Renminbi</t>
  </si>
  <si>
    <t>Chinesischer Yuan Renminbi</t>
  </si>
  <si>
    <t>Yuan renminbi chinois</t>
  </si>
  <si>
    <t>Renminbi yuan cinese</t>
  </si>
  <si>
    <t>중국 위안</t>
  </si>
  <si>
    <t>Китайский юань</t>
  </si>
  <si>
    <t>Yuan Renminbi Chinês</t>
  </si>
  <si>
    <t>哥伦比亚比绍</t>
  </si>
  <si>
    <t>哥倫比亞披索</t>
  </si>
  <si>
    <t>コロンビア・ペソ</t>
  </si>
  <si>
    <t>Peso colombiano</t>
  </si>
  <si>
    <t>Kolumbianischer Peso</t>
  </si>
  <si>
    <t>Peso colombien</t>
  </si>
  <si>
    <t>콜롬비아 페소</t>
  </si>
  <si>
    <t>Колумбийский песо</t>
  </si>
  <si>
    <t>哥斯达黎加科朗</t>
  </si>
  <si>
    <t>哥斯大黎加科朗</t>
  </si>
  <si>
    <t>コスタリカコロン</t>
  </si>
  <si>
    <t>Colón costarricense</t>
  </si>
  <si>
    <t>Costa-Rica-Colón</t>
  </si>
  <si>
    <t>Colon costaricien</t>
  </si>
  <si>
    <t>Colón costaricano</t>
  </si>
  <si>
    <t>코스타리카 콜론</t>
  </si>
  <si>
    <t>Костариканский колон</t>
  </si>
  <si>
    <t>Colón costa-riquenho</t>
  </si>
  <si>
    <t>克罗地亚库纳</t>
  </si>
  <si>
    <t>克羅埃西亞庫納</t>
  </si>
  <si>
    <t>クロアチアクーナ</t>
  </si>
  <si>
    <t>Kuna croata</t>
  </si>
  <si>
    <t>Kroatische Kuna</t>
  </si>
  <si>
    <t>Kuna croate</t>
  </si>
  <si>
    <t>크로아티아 쿠나</t>
  </si>
  <si>
    <t>Хорватская куна</t>
  </si>
  <si>
    <t>捷克克朗</t>
  </si>
  <si>
    <t>チェコ・コルナ</t>
  </si>
  <si>
    <t>Corona checa</t>
  </si>
  <si>
    <t>Tschechische Krone</t>
  </si>
  <si>
    <t>Couronne tchèque</t>
  </si>
  <si>
    <t>Corona ceca</t>
  </si>
  <si>
    <t>체코 코루나</t>
  </si>
  <si>
    <t>Чешская крона</t>
  </si>
  <si>
    <t>Coroa Tcheca</t>
  </si>
  <si>
    <t>丹麦克朗</t>
  </si>
  <si>
    <t>丹麥克朗</t>
  </si>
  <si>
    <t>デンマーク・クローネ</t>
  </si>
  <si>
    <t>Corona danesa</t>
  </si>
  <si>
    <t>Dänische Krone</t>
  </si>
  <si>
    <t>Couronne danoise</t>
  </si>
  <si>
    <t>Corona danese</t>
  </si>
  <si>
    <t>덴마크 크로네</t>
  </si>
  <si>
    <t>Датская крона</t>
  </si>
  <si>
    <t>Coroa dinamarquesa</t>
  </si>
  <si>
    <t>多米尼加比索</t>
  </si>
  <si>
    <t>多明尼加披索</t>
  </si>
  <si>
    <t>ドミニカペソ</t>
  </si>
  <si>
    <t>Peso dominicano</t>
  </si>
  <si>
    <t>Dominikanischer Peso</t>
  </si>
  <si>
    <t>Peso dominicain</t>
  </si>
  <si>
    <t>도미니카 페소</t>
  </si>
  <si>
    <t>Доминиканский песо</t>
  </si>
  <si>
    <t>Peso Dominicano</t>
  </si>
  <si>
    <t>埃及镑</t>
  </si>
  <si>
    <t>埃及鎊</t>
  </si>
  <si>
    <t>エジプトポンド</t>
  </si>
  <si>
    <t>Libra egipcia</t>
  </si>
  <si>
    <t>Ägyptisches Pfund</t>
  </si>
  <si>
    <t>Livre égyptienne</t>
  </si>
  <si>
    <t>Sterlina egiziana</t>
  </si>
  <si>
    <t>이집트 파운드</t>
  </si>
  <si>
    <t>Египетский фунт</t>
  </si>
  <si>
    <t>格鲁吉亚拉里</t>
  </si>
  <si>
    <t>喬治亞拉裡</t>
  </si>
  <si>
    <t>ジョージア　ラリ</t>
  </si>
  <si>
    <t>Lari georgiano</t>
  </si>
  <si>
    <t>Georgischer Lari</t>
  </si>
  <si>
    <t>Lari géorgien</t>
  </si>
  <si>
    <t>조지아 라리</t>
  </si>
  <si>
    <t>Грузинский лари</t>
  </si>
  <si>
    <t>危地马拉格查尔</t>
  </si>
  <si>
    <t>瓜地馬拉格查爾</t>
  </si>
  <si>
    <t>グアテマラケツァール</t>
  </si>
  <si>
    <t>Quetzal guatemalteco</t>
  </si>
  <si>
    <t>Guatemaltekischer Quetzal</t>
  </si>
  <si>
    <t>Quetzal guatémaltèque</t>
  </si>
  <si>
    <t>과테말라 케찰</t>
  </si>
  <si>
    <t>Гватемальский кетсаль</t>
  </si>
  <si>
    <t>Quetzal da Guatemala</t>
  </si>
  <si>
    <t>洪都拉斯伦皮拉</t>
  </si>
  <si>
    <t>洪都拉斯倫皮拉</t>
  </si>
  <si>
    <t>ホンジュラスレンピラ</t>
  </si>
  <si>
    <t>Lempira hondureño</t>
  </si>
  <si>
    <t>Lempira</t>
  </si>
  <si>
    <t>Lempira hondurien</t>
  </si>
  <si>
    <t>Lempira honduregna</t>
  </si>
  <si>
    <t>온두라스 렘피라</t>
  </si>
  <si>
    <t>Гондурасская лемпира</t>
  </si>
  <si>
    <t>Lempira hondurenha</t>
  </si>
  <si>
    <t>港元</t>
  </si>
  <si>
    <t>港幣</t>
  </si>
  <si>
    <t>香港ドル</t>
  </si>
  <si>
    <t>Dólar hongkonés</t>
  </si>
  <si>
    <t>Hongkong-Dollar</t>
  </si>
  <si>
    <t>Dollar de Hong Kong</t>
  </si>
  <si>
    <t>Dollaro di Hong Kong</t>
  </si>
  <si>
    <t>홍콩 달러</t>
  </si>
  <si>
    <t>Гонконгский доллар</t>
  </si>
  <si>
    <t>Dólar de Hong Kong</t>
  </si>
  <si>
    <t>匈牙利福林</t>
  </si>
  <si>
    <t>ハンガリーフォリント</t>
  </si>
  <si>
    <t>Florín húngaro</t>
  </si>
  <si>
    <t>Forint</t>
  </si>
  <si>
    <t>Forint hongrois</t>
  </si>
  <si>
    <t>Fiorino ungherese</t>
  </si>
  <si>
    <t>헝가리 포린트</t>
  </si>
  <si>
    <t>Венгерский форинт</t>
  </si>
  <si>
    <t>Forint hungaro</t>
  </si>
  <si>
    <t>冰岛克朗</t>
  </si>
  <si>
    <t>冰島克朗</t>
  </si>
  <si>
    <t>アイスランドクローナ</t>
  </si>
  <si>
    <t>Corona islandesa</t>
  </si>
  <si>
    <t>Isländische Krone</t>
  </si>
  <si>
    <t>Couronne islandaise</t>
  </si>
  <si>
    <t>Corona islandese</t>
  </si>
  <si>
    <t>아이슬란드 크로나</t>
  </si>
  <si>
    <t>Исландская крона</t>
  </si>
  <si>
    <t>Krona islandesa</t>
  </si>
  <si>
    <t>印度卢比</t>
  </si>
  <si>
    <t>印度盧比</t>
  </si>
  <si>
    <t>インド・ルピー</t>
  </si>
  <si>
    <t>Rupia india</t>
  </si>
  <si>
    <t>Indische Rupie</t>
  </si>
  <si>
    <t>Roupie indienne</t>
  </si>
  <si>
    <t>Rupia indiana</t>
  </si>
  <si>
    <t>인도 루피</t>
  </si>
  <si>
    <t>Индийская рупия</t>
  </si>
  <si>
    <t>Rupia Indiana</t>
  </si>
  <si>
    <t>印度尼西亚盾</t>
  </si>
  <si>
    <t>印尼盾</t>
  </si>
  <si>
    <t>インドネシア・ルピア</t>
  </si>
  <si>
    <t>Rupia indonesia</t>
  </si>
  <si>
    <t>Indonesische Rupiah</t>
  </si>
  <si>
    <t>Roupie indonésienne</t>
  </si>
  <si>
    <t>Rupia indonesiana</t>
  </si>
  <si>
    <t>인도네시아 루피아</t>
  </si>
  <si>
    <t>Индонезийская рупия</t>
  </si>
  <si>
    <t>Rúpia da Indonésia</t>
  </si>
  <si>
    <t>约旦第纳尔</t>
  </si>
  <si>
    <t>約旦第納爾</t>
  </si>
  <si>
    <t>ヨルダンディナール</t>
  </si>
  <si>
    <t>Dinar jordano</t>
  </si>
  <si>
    <t>Jordanischer Dinar</t>
  </si>
  <si>
    <t>Dinar jordanien</t>
  </si>
  <si>
    <t>Dinaro giordano</t>
  </si>
  <si>
    <t>요르단 디나르</t>
  </si>
  <si>
    <t>Иорданский динар</t>
  </si>
  <si>
    <t>Dinar jordaniano</t>
  </si>
  <si>
    <t>哈萨克斯坦坚戈</t>
  </si>
  <si>
    <t>哈薩克坦吉</t>
  </si>
  <si>
    <t>カザフスタンテンゲ</t>
  </si>
  <si>
    <t>Tenge kazajo</t>
  </si>
  <si>
    <t>Tenge</t>
  </si>
  <si>
    <t>Tenge kazakh</t>
  </si>
  <si>
    <t>Tenge kazako</t>
  </si>
  <si>
    <t>카자흐스탄 텡게</t>
  </si>
  <si>
    <t>Казахстанский тенге</t>
  </si>
  <si>
    <t>Cazaquistão Tenge</t>
  </si>
  <si>
    <t>肯尼亚先令</t>
  </si>
  <si>
    <t>肯亞先令</t>
  </si>
  <si>
    <t>ケニアシリング</t>
  </si>
  <si>
    <t>Chelín keniano</t>
  </si>
  <si>
    <t>Kenia-Schilling</t>
  </si>
  <si>
    <t>Shilling kenyan</t>
  </si>
  <si>
    <t>Scellino keniota</t>
  </si>
  <si>
    <t>케냐 실링</t>
  </si>
  <si>
    <t>Кенийский шиллинг</t>
  </si>
  <si>
    <t>Xelim queniano</t>
  </si>
  <si>
    <t>科威特第纳尔</t>
  </si>
  <si>
    <t>科威特第納爾</t>
  </si>
  <si>
    <t>クウェートディナール</t>
  </si>
  <si>
    <t>Dinar kuwaití</t>
  </si>
  <si>
    <t>Kuwait-Dinar</t>
  </si>
  <si>
    <t>Dinar koweïtien</t>
  </si>
  <si>
    <t>Dinaro kuwaitiano</t>
  </si>
  <si>
    <t>쿠웨이트 디나르</t>
  </si>
  <si>
    <t>Кувейтский динар</t>
  </si>
  <si>
    <t>Dinar Koweitiano</t>
  </si>
  <si>
    <t>吉尔吉斯斯坦索姆</t>
  </si>
  <si>
    <t>吉爾吉斯斯坦索姆</t>
  </si>
  <si>
    <t>キルギス　ソム</t>
  </si>
  <si>
    <t>Som kirguís</t>
  </si>
  <si>
    <t>Kirgistan-Som</t>
  </si>
  <si>
    <t>Som du Kirghizistan</t>
  </si>
  <si>
    <t>Som kirghiso</t>
  </si>
  <si>
    <t>키르기스스탄 솜</t>
  </si>
  <si>
    <t>Киргизский сом</t>
  </si>
  <si>
    <t>马其顿代纳尔</t>
  </si>
  <si>
    <t>馬其頓第納爾</t>
  </si>
  <si>
    <t>マケドニアディナール</t>
  </si>
  <si>
    <t>Denar macedonio</t>
  </si>
  <si>
    <t>Mazedonischer Denar</t>
  </si>
  <si>
    <t>Denar macédonien</t>
  </si>
  <si>
    <t>Denaro macedone</t>
  </si>
  <si>
    <t>마케도니아 데나르</t>
  </si>
  <si>
    <t>Македонский денар</t>
  </si>
  <si>
    <t>Denar macedônio</t>
  </si>
  <si>
    <t>马来西亚令吉</t>
  </si>
  <si>
    <t>馬來西亞林吉特</t>
  </si>
  <si>
    <t>マレーシア・リンギット</t>
  </si>
  <si>
    <t>Ringgit malayo</t>
  </si>
  <si>
    <t>Malaysischer Ringgit</t>
  </si>
  <si>
    <t>Ringgit malaisien</t>
  </si>
  <si>
    <t>Ringgit malaysiano</t>
  </si>
  <si>
    <t>말레이시아 링깃</t>
  </si>
  <si>
    <t>Малазийский ринггит</t>
  </si>
  <si>
    <t>Ringgit da Malásia</t>
  </si>
  <si>
    <t>墨西哥比索</t>
  </si>
  <si>
    <t>墨西哥披索</t>
  </si>
  <si>
    <t>メキシコ・ペソ</t>
  </si>
  <si>
    <t>Peso mexicano</t>
  </si>
  <si>
    <t>Mexikanischer Peso</t>
  </si>
  <si>
    <t>Peso mexicain</t>
  </si>
  <si>
    <t>Peso messicano</t>
  </si>
  <si>
    <t>멕시코 페소</t>
  </si>
  <si>
    <t>Мексиканский песо</t>
  </si>
  <si>
    <t>Peso Mexico</t>
  </si>
  <si>
    <t>摩尔多瓦列伊</t>
  </si>
  <si>
    <t>莫爾達瓦列伊</t>
  </si>
  <si>
    <t>モルドバ　レウ</t>
  </si>
  <si>
    <t>Leu moldavo</t>
  </si>
  <si>
    <t>Moldau-Leu</t>
  </si>
  <si>
    <t>Leu moldave</t>
  </si>
  <si>
    <t>몰도바 레우</t>
  </si>
  <si>
    <t>Молдавский лей</t>
  </si>
  <si>
    <t>Leu da Moldávia</t>
  </si>
  <si>
    <t>蒙古图格里克</t>
  </si>
  <si>
    <t>蒙古圖格裡克</t>
  </si>
  <si>
    <t>モンゴル・トゥグルグ</t>
  </si>
  <si>
    <t>Tugrik mongol</t>
  </si>
  <si>
    <t>Mongolischer Tugrik</t>
  </si>
  <si>
    <t>Tugrik mongolien</t>
  </si>
  <si>
    <t>Tugrik mongolo</t>
  </si>
  <si>
    <t>몽고 투그릭</t>
  </si>
  <si>
    <t>Монгольский тугрик</t>
  </si>
  <si>
    <t>Tugrik da Mongólia</t>
  </si>
  <si>
    <t>摩洛哥迪拉姆</t>
  </si>
  <si>
    <t>モロッコ　ディルハム</t>
  </si>
  <si>
    <t>Dirham marroquí</t>
  </si>
  <si>
    <t>Marokkanischer Dirham</t>
  </si>
  <si>
    <t>Dirham marocain</t>
  </si>
  <si>
    <t>Dirham marocchino</t>
  </si>
  <si>
    <t>모로코 디르함</t>
  </si>
  <si>
    <t>Марокканский дирхам</t>
  </si>
  <si>
    <t>Dirham marroquino</t>
  </si>
  <si>
    <t>以色列新谢克尔</t>
  </si>
  <si>
    <t>以色列新謝克爾</t>
  </si>
  <si>
    <t>イスラエル新シェケル</t>
  </si>
  <si>
    <t>Nuevo shéquel israelí</t>
  </si>
  <si>
    <t>Schekel</t>
  </si>
  <si>
    <t>Nouveau shekel israélien</t>
  </si>
  <si>
    <t>Nuovo shekel israeliano</t>
  </si>
  <si>
    <t>이스라엘 신 셰켈</t>
  </si>
  <si>
    <t>Новый израильский шекель</t>
  </si>
  <si>
    <t>Novo Shekel Israelita</t>
  </si>
  <si>
    <t>新台币</t>
  </si>
  <si>
    <t>新臺幣</t>
  </si>
  <si>
    <t>ニュー台湾ドル</t>
  </si>
  <si>
    <t>Nuevo dólar taiwanés</t>
  </si>
  <si>
    <t>Neuer Taiwan-Dollar</t>
  </si>
  <si>
    <t>Nouveau dollar taïwanais</t>
  </si>
  <si>
    <t>Nuovo dollaro taiwanese</t>
  </si>
  <si>
    <t>뉴타이완달러</t>
  </si>
  <si>
    <t>Новый тайваньский доллар</t>
  </si>
  <si>
    <t>Novo dólar taiwanês</t>
  </si>
  <si>
    <t>新西兰元</t>
  </si>
  <si>
    <t>紐幣</t>
  </si>
  <si>
    <t>ニュージーランド・ドル</t>
  </si>
  <si>
    <t>Nuevo dólar neozelandés</t>
  </si>
  <si>
    <t>Neuseeländischer Dollar</t>
  </si>
  <si>
    <t>Dollar néo-zélandais</t>
  </si>
  <si>
    <t>Dollaro neozelandese</t>
  </si>
  <si>
    <t>뉴질랜드 달러</t>
  </si>
  <si>
    <t>Новозеландский доллар</t>
  </si>
  <si>
    <t>Dólar da Nova Zelândia</t>
  </si>
  <si>
    <t>挪威克朗</t>
  </si>
  <si>
    <t>ノルウェー・クローネ</t>
  </si>
  <si>
    <t>Corona noruega</t>
  </si>
  <si>
    <t>Norwegische Krone</t>
  </si>
  <si>
    <t>Couronne norvégienne</t>
  </si>
  <si>
    <t>Corona norvegese</t>
  </si>
  <si>
    <t>노르웨이 크로네</t>
  </si>
  <si>
    <t>Норвежская крона</t>
  </si>
  <si>
    <t>Coroa norueguesa</t>
  </si>
  <si>
    <t>阿曼里亚尔</t>
  </si>
  <si>
    <t>阿曼裡亞爾</t>
  </si>
  <si>
    <t>オマーン　リアル</t>
  </si>
  <si>
    <t>Rial omaní</t>
  </si>
  <si>
    <t>Omanischer Rial</t>
  </si>
  <si>
    <t>Rial omanais</t>
  </si>
  <si>
    <t>Rial dell'Oman</t>
  </si>
  <si>
    <t>오만 리알</t>
  </si>
  <si>
    <t>Оманский риал</t>
  </si>
  <si>
    <t>Rial de Omã</t>
  </si>
  <si>
    <t>巴基斯坦卢比</t>
  </si>
  <si>
    <t>巴基斯坦盧比</t>
  </si>
  <si>
    <t>パキスタンルピー</t>
  </si>
  <si>
    <t>Rupia paquistaní</t>
  </si>
  <si>
    <t>Pakistanische Rupie</t>
  </si>
  <si>
    <t>Roupie pakistanaise</t>
  </si>
  <si>
    <t>Rupia pakistana</t>
  </si>
  <si>
    <t>파키스탄 루피</t>
  </si>
  <si>
    <t>Пакистанская рупия</t>
  </si>
  <si>
    <t>Rúpia do Paquistão</t>
  </si>
  <si>
    <t>巴拿马巴波亚</t>
  </si>
  <si>
    <t>巴拿馬巴爾波</t>
  </si>
  <si>
    <t>パナマバルボア</t>
  </si>
  <si>
    <t>Balboa panameño</t>
  </si>
  <si>
    <t>Panamaischer Balboa</t>
  </si>
  <si>
    <t>Balboa panaméen</t>
  </si>
  <si>
    <t>Balboa panamense</t>
  </si>
  <si>
    <t>파나마 발보아</t>
  </si>
  <si>
    <t>Панамский бальбоа</t>
  </si>
  <si>
    <t>Balboa panamenho</t>
  </si>
  <si>
    <t>秘鲁索尔</t>
  </si>
  <si>
    <t>秘魯索爾</t>
  </si>
  <si>
    <t>ペルー　ソル</t>
  </si>
  <si>
    <t>Sol peruano</t>
  </si>
  <si>
    <t>Peruanischer Sol</t>
  </si>
  <si>
    <t>Sol péruvien</t>
  </si>
  <si>
    <t>Sol peruviano</t>
  </si>
  <si>
    <t>페루 솔</t>
  </si>
  <si>
    <t>Перуанский соль</t>
  </si>
  <si>
    <t>菲律宾比绍</t>
  </si>
  <si>
    <t>菲律賓披索</t>
  </si>
  <si>
    <t>フィリピン・ペソ</t>
  </si>
  <si>
    <t>Peso filipino</t>
  </si>
  <si>
    <t>Philippinischer Peso</t>
  </si>
  <si>
    <t>Peso philippin</t>
  </si>
  <si>
    <t>Peso filippino</t>
  </si>
  <si>
    <t>필리핀 페소</t>
  </si>
  <si>
    <t>Филиппинский песо</t>
  </si>
  <si>
    <t>波兰兹罗提</t>
  </si>
  <si>
    <t>波蘭茲羅提</t>
  </si>
  <si>
    <t>ポーランド・ズウォティ</t>
  </si>
  <si>
    <t>Zloty polaco</t>
  </si>
  <si>
    <t>Polnischer Zloty</t>
  </si>
  <si>
    <t>Zloty polonais</t>
  </si>
  <si>
    <t>Zloty polacco</t>
  </si>
  <si>
    <t>폴란드 즐로티</t>
  </si>
  <si>
    <t>Польский злотый</t>
  </si>
  <si>
    <t>卡塔尔里亚尔</t>
  </si>
  <si>
    <t>卡達裡亞爾</t>
  </si>
  <si>
    <t>カタールリヤル</t>
  </si>
  <si>
    <t>Rial qatarí</t>
  </si>
  <si>
    <t>Katar-Riyal</t>
  </si>
  <si>
    <t>riyal du Qatar</t>
  </si>
  <si>
    <t>Riyal del Qatar</t>
  </si>
  <si>
    <t>카타르 리알</t>
  </si>
  <si>
    <t>Катарский риал</t>
  </si>
  <si>
    <t>Rial Catariano</t>
  </si>
  <si>
    <t>罗马尼亚列伊</t>
  </si>
  <si>
    <t>羅馬尼亞列伊</t>
  </si>
  <si>
    <t>ルーマニアレウ</t>
  </si>
  <si>
    <t>Leu rumano</t>
  </si>
  <si>
    <t>Rumänischer Leu</t>
  </si>
  <si>
    <t>Leu roumain</t>
  </si>
  <si>
    <t>Leu romeno</t>
  </si>
  <si>
    <t>루마니아 레우</t>
  </si>
  <si>
    <t>Румынский лей</t>
  </si>
  <si>
    <t>俄罗斯卢布</t>
  </si>
  <si>
    <t>俄羅斯盧布</t>
  </si>
  <si>
    <t>ロシアルーブル</t>
  </si>
  <si>
    <t>Rublo Ruso</t>
  </si>
  <si>
    <t>Russischer Rubel</t>
  </si>
  <si>
    <t>Rouble russe</t>
  </si>
  <si>
    <t>Rublo russo</t>
  </si>
  <si>
    <t>러시아 루블</t>
  </si>
  <si>
    <t>Российский рубль</t>
  </si>
  <si>
    <t>萨摩亚塔拉</t>
  </si>
  <si>
    <t>薩摩亞塔拉</t>
  </si>
  <si>
    <t>サモア　タラ</t>
  </si>
  <si>
    <t>Tala samoano</t>
  </si>
  <si>
    <t>Samoanischer Tala</t>
  </si>
  <si>
    <t>Tala de Samoa</t>
  </si>
  <si>
    <t>사모아 탈라</t>
  </si>
  <si>
    <t>Самоанская тала</t>
  </si>
  <si>
    <t>沙特阿拉伯里亚尔</t>
  </si>
  <si>
    <t>沙烏地里亞爾</t>
  </si>
  <si>
    <t>サウジアラビアリヤル</t>
  </si>
  <si>
    <t>Riyal saudí</t>
  </si>
  <si>
    <t>Saudi-Riyal</t>
  </si>
  <si>
    <t>Riyal saoudien</t>
  </si>
  <si>
    <t>Riyal saudita</t>
  </si>
  <si>
    <t>사우디아라비아 리얄</t>
  </si>
  <si>
    <t>Саудовский риал</t>
  </si>
  <si>
    <t>Rial saudita</t>
  </si>
  <si>
    <t>塞尔维亚第纳尔</t>
  </si>
  <si>
    <t>塞爾維亞第納爾</t>
  </si>
  <si>
    <t>セルビアディナール</t>
  </si>
  <si>
    <t>Dinar serbio</t>
  </si>
  <si>
    <t>Serbischer Dinar</t>
  </si>
  <si>
    <t>Dinar serbe</t>
  </si>
  <si>
    <t>Dinaro serbo</t>
  </si>
  <si>
    <t>세르비아 디나르</t>
  </si>
  <si>
    <t>Сербский динар</t>
  </si>
  <si>
    <t>Dinar sérvio</t>
  </si>
  <si>
    <t>新加坡元</t>
  </si>
  <si>
    <t>新加坡幣</t>
  </si>
  <si>
    <t>シンガポール・ドル</t>
  </si>
  <si>
    <t>Dólar de Singapur</t>
  </si>
  <si>
    <t>Singapur-Dollar</t>
  </si>
  <si>
    <t>Dollar singapourien</t>
  </si>
  <si>
    <t>Dollaro di Singapore</t>
  </si>
  <si>
    <t>싱가포르 달러</t>
  </si>
  <si>
    <t>Сингапурский доллар</t>
  </si>
  <si>
    <t>Dólar de Singapura</t>
  </si>
  <si>
    <t>南非兰特</t>
  </si>
  <si>
    <t>南非蘭特</t>
  </si>
  <si>
    <t>南アフリカ・ランド</t>
  </si>
  <si>
    <t>Rand sudafricano</t>
  </si>
  <si>
    <t>Südafrikanischer Rand</t>
  </si>
  <si>
    <t>Rand sud-africain</t>
  </si>
  <si>
    <t>남아프리카 랜드</t>
  </si>
  <si>
    <t>Южноафриканский ранд</t>
  </si>
  <si>
    <t>Rands Sul-Africanos</t>
  </si>
  <si>
    <t>韩元</t>
  </si>
  <si>
    <t>韓圜</t>
  </si>
  <si>
    <t>韓国ウォン</t>
  </si>
  <si>
    <t>Won surcoreano</t>
  </si>
  <si>
    <t>Südkoreanischer Won</t>
  </si>
  <si>
    <t>Won sud-coréen</t>
  </si>
  <si>
    <t>Won sudcoreano</t>
  </si>
  <si>
    <t>대한민국 원</t>
  </si>
  <si>
    <t>Южнокорейская вона</t>
  </si>
  <si>
    <t>Won sul-coreano</t>
  </si>
  <si>
    <t>斯里兰卡卢比</t>
  </si>
  <si>
    <t>斯里蘭卡盧比</t>
  </si>
  <si>
    <t>スリランカ・ルピー</t>
  </si>
  <si>
    <t>Rupia de Sri Lanka</t>
  </si>
  <si>
    <t>Sri Lanka Rupie</t>
  </si>
  <si>
    <t>Roupie du Sri Lanka</t>
  </si>
  <si>
    <t>Rupia dello Sri Lanka</t>
  </si>
  <si>
    <t>스리랑카 루피</t>
  </si>
  <si>
    <t>Шри-Ланкийская рупия</t>
  </si>
  <si>
    <t>Rúpia do Sri Lanka</t>
  </si>
  <si>
    <t>瑞典克朗</t>
  </si>
  <si>
    <t>スウェーデン・クローナ</t>
  </si>
  <si>
    <t>Corona sueca</t>
  </si>
  <si>
    <t>Schwedische Krone</t>
  </si>
  <si>
    <t>Couronne suédoise</t>
  </si>
  <si>
    <t>Corona svedese</t>
  </si>
  <si>
    <t>스웨덴 크로네</t>
  </si>
  <si>
    <t>Шведская крона</t>
  </si>
  <si>
    <t>瑞士法郎</t>
  </si>
  <si>
    <t>スイス・フラン</t>
  </si>
  <si>
    <t>Franco suizo</t>
  </si>
  <si>
    <t>Schweizer Franken</t>
  </si>
  <si>
    <t>Franc suisse</t>
  </si>
  <si>
    <t>Franco svizzero</t>
  </si>
  <si>
    <t>스위스 프랑</t>
  </si>
  <si>
    <t>Швейцарский франк</t>
  </si>
  <si>
    <t>Franco suiço</t>
  </si>
  <si>
    <t>塔吉克索莫尼</t>
  </si>
  <si>
    <t>タジキスタン　ソモニ</t>
  </si>
  <si>
    <t>Somoni tayiko</t>
  </si>
  <si>
    <t>Tadschikischer Somoni</t>
  </si>
  <si>
    <t>Somoni tadjik</t>
  </si>
  <si>
    <t>Somoni tagiko</t>
  </si>
  <si>
    <t>타지크 소모니</t>
  </si>
  <si>
    <t>Таджикский сомони</t>
  </si>
  <si>
    <t>Tadjique somoni</t>
  </si>
  <si>
    <t>泰铢</t>
  </si>
  <si>
    <t>泰銖</t>
  </si>
  <si>
    <t>タイ・バーツ</t>
  </si>
  <si>
    <t>Baht tailandés</t>
  </si>
  <si>
    <t>Thailändischer Baht</t>
  </si>
  <si>
    <t>Baht thaïlandais</t>
  </si>
  <si>
    <t>Baht thailandese</t>
  </si>
  <si>
    <t>태국 바트</t>
  </si>
  <si>
    <t>Тайский бат</t>
  </si>
  <si>
    <t>Baht tailandês</t>
  </si>
  <si>
    <t>突尼斯第纳尔</t>
  </si>
  <si>
    <t>突尼斯第納爾</t>
  </si>
  <si>
    <t>チュニジア　ディナール</t>
  </si>
  <si>
    <t>Dinar tunecino</t>
  </si>
  <si>
    <t>Tunesischer Dinar</t>
  </si>
  <si>
    <t>Dinar tunisien</t>
  </si>
  <si>
    <t>Dinaro tunisino</t>
  </si>
  <si>
    <t>튀니지 디나르</t>
  </si>
  <si>
    <t>Тунисский динар</t>
  </si>
  <si>
    <t>Dinar tunisino</t>
  </si>
  <si>
    <t>土耳其里拉</t>
  </si>
  <si>
    <t>トルコリラ</t>
  </si>
  <si>
    <t>Lira turca</t>
  </si>
  <si>
    <t>Türkische Lira</t>
  </si>
  <si>
    <t>Livre turque</t>
  </si>
  <si>
    <t>터키 리라</t>
  </si>
  <si>
    <t>Турецкая лира</t>
  </si>
  <si>
    <t>土库曼斯坦马纳特</t>
  </si>
  <si>
    <t>土庫曼斯坦馬納特</t>
  </si>
  <si>
    <t>トルクメニスタン　マナト</t>
  </si>
  <si>
    <t>Manat turcomano</t>
  </si>
  <si>
    <t>Turkmenistan-Manat</t>
  </si>
  <si>
    <t>Manat turkmène</t>
  </si>
  <si>
    <t>Manat turkmeno</t>
  </si>
  <si>
    <t>투르크메니스탄 마나트</t>
  </si>
  <si>
    <t>Туркменский манат</t>
  </si>
  <si>
    <t xml:space="preserve">Manat de Turcomenistão </t>
  </si>
  <si>
    <t>阿联酋迪拉姆</t>
  </si>
  <si>
    <t>阿拉伯聯合大公國迪拉姆</t>
  </si>
  <si>
    <t>UAEディルハム</t>
  </si>
  <si>
    <t>Dirham de los Emiratos Árabes Unidos</t>
  </si>
  <si>
    <t>VAE-Dirham</t>
  </si>
  <si>
    <t>Dirham émirati</t>
  </si>
  <si>
    <t>Dirham degli Emirati Arabi Uniti</t>
  </si>
  <si>
    <t>아랍에미리트 디르함</t>
  </si>
  <si>
    <t>Дирхам ОАЭ</t>
  </si>
  <si>
    <t>Dirham dos EAU</t>
  </si>
  <si>
    <t>乌克兰格里夫纳</t>
  </si>
  <si>
    <t>烏克蘭赫伐尼亞</t>
  </si>
  <si>
    <t>ウクライナフリヴニャ</t>
  </si>
  <si>
    <t>Grivna ucraniana</t>
  </si>
  <si>
    <t>Hrywnja</t>
  </si>
  <si>
    <t>Hryvnia ukrainienne</t>
  </si>
  <si>
    <t>Grivnia ucraina</t>
  </si>
  <si>
    <t>우크라이나 흐리브냐</t>
  </si>
  <si>
    <t>Украинская гривна</t>
  </si>
  <si>
    <t xml:space="preserve">Hryvnia da Ucrânia </t>
  </si>
  <si>
    <t>乌兹别克斯坦索姆</t>
  </si>
  <si>
    <t>烏茲別克斯坦蘇姆</t>
  </si>
  <si>
    <t>ウズベキスタン　ソム</t>
  </si>
  <si>
    <t>Som Uzbeko</t>
  </si>
  <si>
    <t>Usbekischer Som</t>
  </si>
  <si>
    <t>Som d'Ouzbékistan</t>
  </si>
  <si>
    <t>Som uzbeko</t>
  </si>
  <si>
    <t>우즈베키스탄 솜</t>
  </si>
  <si>
    <t>Узбекский сум</t>
  </si>
  <si>
    <t>Som do Uzbequistão</t>
  </si>
  <si>
    <t>委内瑞拉玻利瓦尔</t>
  </si>
  <si>
    <t>委內瑞拉玻利瓦爾</t>
  </si>
  <si>
    <t>ベネズエラボリバル</t>
  </si>
  <si>
    <t>Bolívar Venezolano</t>
  </si>
  <si>
    <t>Venezolanischer Bolívar</t>
  </si>
  <si>
    <t>Bolivar vénézuélien</t>
  </si>
  <si>
    <t>Bolívar venezuelano</t>
  </si>
  <si>
    <t>베네수엘라 볼리바르</t>
  </si>
  <si>
    <t>Венесуэльский боливар</t>
  </si>
  <si>
    <t>Venezuelan Bolivar</t>
  </si>
  <si>
    <t>越南盾</t>
  </si>
  <si>
    <t>ベトナム・ドン</t>
  </si>
  <si>
    <t>Dong vietnamita</t>
  </si>
  <si>
    <t>Vietnamesischer Dong</t>
  </si>
  <si>
    <t>Dong vietnamien</t>
  </si>
  <si>
    <t>베트남 동</t>
  </si>
  <si>
    <t>Вьетнамский дун</t>
  </si>
  <si>
    <t>Dong da Vietnã</t>
  </si>
  <si>
    <t>实际值</t>
  </si>
  <si>
    <t>實際值</t>
  </si>
  <si>
    <t>現物</t>
  </si>
  <si>
    <t>Valores reales</t>
  </si>
  <si>
    <t>Ist-Werte</t>
  </si>
  <si>
    <t>Résultats réels</t>
  </si>
  <si>
    <t>Effettivi</t>
  </si>
  <si>
    <t>실제값</t>
  </si>
  <si>
    <t>Фактические данные</t>
  </si>
  <si>
    <t>Efetivos</t>
  </si>
  <si>
    <t>Milhares</t>
  </si>
  <si>
    <t>百万</t>
  </si>
  <si>
    <t>百萬</t>
  </si>
  <si>
    <t>Millones</t>
  </si>
  <si>
    <t>Milioni</t>
  </si>
  <si>
    <t>백만</t>
  </si>
  <si>
    <t>Миллионы</t>
  </si>
  <si>
    <t>Milhões</t>
  </si>
  <si>
    <t>十亿</t>
  </si>
  <si>
    <t>十億</t>
  </si>
  <si>
    <t>Miles de millones</t>
  </si>
  <si>
    <t>Milliards</t>
  </si>
  <si>
    <t>Miliardi</t>
  </si>
  <si>
    <t>십억</t>
  </si>
  <si>
    <t>Миллиарды</t>
  </si>
  <si>
    <t>Bilhões</t>
  </si>
  <si>
    <t>Trilhões</t>
  </si>
  <si>
    <t>Bursa Malaysia Finance Index</t>
  </si>
  <si>
    <t>Israel TA-35</t>
  </si>
  <si>
    <t>Exchange &amp; Trading Symbol</t>
  </si>
  <si>
    <t>10y Australian Benchmark Note</t>
  </si>
  <si>
    <t>10y Austria Benchmark</t>
  </si>
  <si>
    <t>10y Belgium Benchmark Note</t>
  </si>
  <si>
    <t>10y Brazilian Benchmark Bond</t>
  </si>
  <si>
    <t>10y Canadian Benchmark Note</t>
  </si>
  <si>
    <t>10y Colombian Fixed Benchmark Bond</t>
  </si>
  <si>
    <t>10y Czech Republic Benchmark</t>
  </si>
  <si>
    <t>10y Denmark Benchmark Note</t>
  </si>
  <si>
    <t>10y Eurozone Benchmark</t>
  </si>
  <si>
    <t>10y Finland Benchmark</t>
  </si>
  <si>
    <t>10y French Benchmark Note</t>
  </si>
  <si>
    <t>10y German Benchmark Note</t>
  </si>
  <si>
    <t>10y Greek Benchmark Note</t>
  </si>
  <si>
    <t>10y Holland Benchmark Note</t>
  </si>
  <si>
    <t>10y Hong Kong Benchmark Bond</t>
  </si>
  <si>
    <t>10y India Benchmark Bond</t>
  </si>
  <si>
    <t>10y Indonesia Benchmark Bond</t>
  </si>
  <si>
    <t>10y Irish Benchmark Bond</t>
  </si>
  <si>
    <t>10y Israel Benchmark</t>
  </si>
  <si>
    <t>10y Italian Benchmark Note</t>
  </si>
  <si>
    <t>10y Japanese Benchmark Note</t>
  </si>
  <si>
    <t>10y Kenya Benchmark</t>
  </si>
  <si>
    <t>10y Malaysia Benchmark Bond</t>
  </si>
  <si>
    <t>10y Mexican Benchmark Bond</t>
  </si>
  <si>
    <t>10y New Zealand Benchmark Note</t>
  </si>
  <si>
    <t>10y Norwegian Benchmark Note</t>
  </si>
  <si>
    <t>10y Philippines Benchmark Bond</t>
  </si>
  <si>
    <t>10y Portuguese Benchmark Bond</t>
  </si>
  <si>
    <t>10y Russia Benchmark</t>
  </si>
  <si>
    <t>10y Singapore Benchmark Bond</t>
  </si>
  <si>
    <t>10y South Korea Benchmark Bond</t>
  </si>
  <si>
    <t>10y Spanish Benchmark Note</t>
  </si>
  <si>
    <t>10y Swedish Benchmark Note</t>
  </si>
  <si>
    <t>10y Switzerland</t>
  </si>
  <si>
    <t>10y Taiwan Bond</t>
  </si>
  <si>
    <t>10y Thailand Bond</t>
  </si>
  <si>
    <t>10y Turkey Benchmark</t>
  </si>
  <si>
    <t>10y UK Benchmark Note</t>
  </si>
  <si>
    <t>10y Vietnam Benchmark</t>
  </si>
  <si>
    <t>5Y Australian Benchmark Note</t>
  </si>
  <si>
    <t>5Y Austria Benchmark</t>
  </si>
  <si>
    <t>5Y Belgium Benchmark Note</t>
  </si>
  <si>
    <t>5Y Brazilian Benchmark Bond</t>
  </si>
  <si>
    <t>5Y Canadian Benchmark Note</t>
  </si>
  <si>
    <t>5Y Colombian Fixed Benchmark Bond</t>
  </si>
  <si>
    <t>5Y Czech Republic Benchmark</t>
  </si>
  <si>
    <t>5Y Denmark Benchmark Note</t>
  </si>
  <si>
    <t>5Y Eurozone Benchmark</t>
  </si>
  <si>
    <t>5Y Finland Benchmark</t>
  </si>
  <si>
    <t>5Y French Benchmark Note</t>
  </si>
  <si>
    <t>5Y German Benchmark Note</t>
  </si>
  <si>
    <t>5Y Holland Benchmark Note</t>
  </si>
  <si>
    <t>5Y Hong Kong Benchmark Bond</t>
  </si>
  <si>
    <t>5Y India Benchmark Bond</t>
  </si>
  <si>
    <t>5Y Indonesia Benchmark Bond</t>
  </si>
  <si>
    <t>5Y Israel Benchmark</t>
  </si>
  <si>
    <t>5Y Italian Benchmark Note</t>
  </si>
  <si>
    <t>5Y Japanese Benchmark Note</t>
  </si>
  <si>
    <t>5Y Kenya Benchmark</t>
  </si>
  <si>
    <t>5Y Malaysia Benchmark Bond</t>
  </si>
  <si>
    <t>5Y Mexican Benchmark Bond</t>
  </si>
  <si>
    <t>5Y New Zealand Benchmark Note</t>
  </si>
  <si>
    <t>5Y Norwegian Benchmark Note</t>
  </si>
  <si>
    <t>5Y Philippines Benchmark Bond</t>
  </si>
  <si>
    <t>5Y Portuguese Benchmark Bond</t>
  </si>
  <si>
    <t>5Y Russia Benchmark</t>
  </si>
  <si>
    <t>5Y Singapore Benchmark Bond</t>
  </si>
  <si>
    <t>5Y South Korea Benchmark Bond</t>
  </si>
  <si>
    <t>5Y Spanish Benchmark Note</t>
  </si>
  <si>
    <t>5Y Swedish Benchmark Note</t>
  </si>
  <si>
    <t>5Y Switzerland</t>
  </si>
  <si>
    <t>5Y Taiwan Bond</t>
  </si>
  <si>
    <t>5Y Thailand Bond</t>
  </si>
  <si>
    <t>5Y Turkey Benchmark</t>
  </si>
  <si>
    <t>5Y UK Benchmark Note</t>
  </si>
  <si>
    <t>5Y US T-Note</t>
  </si>
  <si>
    <t>5Y Vietnam Benchmark</t>
  </si>
  <si>
    <t>5Y Greece Benchmark</t>
  </si>
  <si>
    <t>5Y Irish Benchmark Note</t>
  </si>
  <si>
    <t>FY0</t>
  </si>
  <si>
    <t>Peer 1</t>
  </si>
  <si>
    <t>同行 1</t>
  </si>
  <si>
    <t>Pares 1</t>
  </si>
  <si>
    <t>Vergleichsunternehmen 1</t>
  </si>
  <si>
    <t>homologues 1</t>
  </si>
  <si>
    <t>pari 1</t>
  </si>
  <si>
    <t>경쟁사 1</t>
  </si>
  <si>
    <t>Аналогичные компании 1</t>
  </si>
  <si>
    <t>Peer 2</t>
  </si>
  <si>
    <t>同行 2</t>
  </si>
  <si>
    <t>Pares 2</t>
  </si>
  <si>
    <t>Vergleichsunternehmen 2</t>
  </si>
  <si>
    <t>homologues 2</t>
  </si>
  <si>
    <t>pari 2</t>
  </si>
  <si>
    <t>Аналогичные компании 2</t>
  </si>
  <si>
    <t>Peer 3</t>
  </si>
  <si>
    <t>同行 3</t>
  </si>
  <si>
    <t>Pares 3</t>
  </si>
  <si>
    <t>Vergleichsunternehmen 3</t>
  </si>
  <si>
    <t>homologues 3</t>
  </si>
  <si>
    <t>pari 3</t>
  </si>
  <si>
    <t>Аналогичные компании 3</t>
  </si>
  <si>
    <t>Peer 4</t>
  </si>
  <si>
    <t>同行 4</t>
  </si>
  <si>
    <t>Pares 4</t>
  </si>
  <si>
    <t>Vergleichsunternehmen 4</t>
  </si>
  <si>
    <t>homologues 4</t>
  </si>
  <si>
    <t>pari 4</t>
  </si>
  <si>
    <t>Аналогичные компании 4</t>
  </si>
  <si>
    <t>Peer 5</t>
  </si>
  <si>
    <t>同行 5</t>
  </si>
  <si>
    <t>Pares 5</t>
  </si>
  <si>
    <t>Vergleichsunternehmen 5</t>
  </si>
  <si>
    <t>homologues 5</t>
  </si>
  <si>
    <t>pari 5</t>
  </si>
  <si>
    <t>Аналогичные компании 5</t>
  </si>
  <si>
    <t>Peer 6</t>
  </si>
  <si>
    <t>同行 6</t>
  </si>
  <si>
    <t>Pares 6</t>
  </si>
  <si>
    <t>Vergleichsunternehmen 6</t>
  </si>
  <si>
    <t>homologues 6</t>
  </si>
  <si>
    <t>pari 6</t>
  </si>
  <si>
    <t>Аналогичные компании 6</t>
  </si>
  <si>
    <t>entered in Step 2 of the Instructions.</t>
  </si>
  <si>
    <t>3) The model includes only the securities issued by the focus company.</t>
  </si>
  <si>
    <t>the last 5 issued bonds is based on the most recent issuance.</t>
  </si>
  <si>
    <t>2) If no bond issuances are available as of the period end date, then average of</t>
  </si>
  <si>
    <t>WACC_DEBTQ</t>
  </si>
  <si>
    <t>WACC_PREFQ</t>
  </si>
  <si>
    <t>,{"keyOptionId":"8098","caption":"Rounds of Fund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9745","caption":"Early Stag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9746","caption":"Angel","secondaryCaption":"","isDefault":true,"maskCriteriaOnly":false,"definition":"","keyProductQueryItem":"299101","comparisonOperation":0,"comparisonValue":"32","minimumVersion":"","maximumVersion":"","formOrder":0,"lowerBound":null,"enabled":true,"mask":"","largeMask":"","maskKey":"","keyItemMaskOfField":null,"keyOptionIdReplace":"","relatedOptionIds":[],"onlineServices":[],"childCriteriaItemList":[],"clientContextJson":""},{"keyOptionId":"9747","caption":"Pre-Seed","secondaryCaption":"","isDefault":true,"maskCriteriaOnly":false,"definition":"","keyProductQueryItem":"299101","comparisonOperation":0,"comparisonValue":"33","minimumVersion":"","maximumVersion":"","formOrder":0,"lowerBound":null,"enabled":true,"mask":"","largeMask":"","maskKey":"","keyItemMaskOfField":null,"keyOptionIdReplace":"","relatedOptionIds":[],"onlineServices":[],"childCriteriaItemList":[],"clientContextJson":""},{"keyOptionId":"9748","caption":"Seed","secondaryCaption":"","isDefault":true,"maskCriteriaOnly":false,"definition":"","keyProductQueryItem":"299101","comparisonOperation":0,"comparisonValue":"34","minimumVersion":"","maximumVersion":"","formOrder":0,"lowerBound":null,"enabled":true,"mask":"","largeMask":"","maskKey":"","keyItemMaskOfField":null,"keyOptionIdReplace":"","relatedOptionIds":[],"onlineServices":[],"childCriteriaItemList":[],"clientContextJson":""},{"keyOptionId":"9749","caption":"Crowdfunding","secondaryCaption":"","isDefault":true,"maskCriteriaOnly":false,"definition":"","keyProductQueryItem":"299101","comparisonOperation":0,"comparisonValue":"35","minimumVersion":"","maximumVersion":"","formOrder":0,"lowerBound":null,"enabled":true,"mask":"","largeMask":"","maskKey":"","keyItemMaskOfField":null,"keyOptionIdReplace":"","relatedOptionIds":[],"onlineServices":[],"childCriteriaItemList":[],"clientContextJson":""},{"keyOptionId":"9750","caption":"Accelerator","secondaryCaption":"","isDefault":true,"maskCriteriaOnly":false,"definition":"","keyProductQueryItem":"299101","comparisonOperation":0,"comparisonValue":"36","minimumVersion":"","maximumVersion":"","formOrder":0,"lowerBound":null,"enabled":true,"mask":"","largeMask":"","maskKey":"","keyItemMaskOfField":null,"keyOptionIdReplace":"","relatedOptionIds":[],"onlineServices":[],"childCriteriaItemList":[],"clientContextJson":""}],"clientContextJson":""},{"keyOptionId":"9751","caption":"Vent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9752","caption":"Pre-Series A","secondaryCaption":"","isDefault":true,"maskCriteriaOnly":false,"definition":"","keyProductQueryItem":"299101","comparisonOperation":0,"comparisonValue":"37","minimumVersion":"","maximumVersion":"","formOrder":0,"lowerBound":null,"enabled":true,"mask":"","largeMask":"","maskKey":"","keyItemMaskOfField":null,"keyOptionIdReplace":"","relatedOptionIds":[],"onlineServices":[],"childCriteriaItemList":[],"clientContextJson":""},{"keyOptionId":"9753","caption":"Series A","secondaryCaption":"","isDefault":true,"maskCriteriaOnly":false,"definition":"","keyProductQueryItem":"299101","comparisonOperation":0,"comparisonValue":"38","minimumVersion":"","maximumVersion":"","formOrder":0,"lowerBound":null,"enabled":true,"mask":"","largeMask":"","maskKey":"","keyItemMaskOfField":null,"keyOptionIdReplace":"","relatedOptionIds":[],"onlineServices":[],"childCriteriaItemList":[],"clientContextJson":""},{"keyOptionId":"9754","caption":"Pre-Series B","secondaryCaption":"","isDefault":true,"maskCriteriaOnly":false,"definition":"","keyProductQueryItem":"299101","comparisonOperation":0,"comparisonValue":"39","minimumVersion":"","maximumVersion":"","formOrder":0,"lowerBound":null,"enabled":true,"mask":"","largeMask":"","maskKey":"","keyItemMaskOfField":null,"keyOptionIdReplace":"","relatedOptionIds":[],"onlineServices":[],"childCriteriaItemList":[],"clientContextJson":""},{"keyOptionId":"9755","caption":"Series B","secondaryCaption":"","isDefault":true,"maskCriteriaOnly":false,"definition":"","keyProductQueryItem":"299101","comparisonOperation":0,"comparisonValue":"40","minimumVersion":"","maximumVersion":"","formOrder":0,"lowerBound":null,"enabled":true,"mask":"","largeMask":"","maskKey":"","keyItemMaskOfField":null,"keyOptionIdReplace":"","relatedOptionIds":[],"onlineServices":[],"childCriteriaItemList":[],"clientContextJson":""},{"keyOptionId":"9756","caption":"Venture (Age of Company &lt; 5 Years)","secondaryCaption":"","isDefault":true,"maskCriteriaOnly":false,"definition":"","keyProductQueryItem":"299101","comparisonOperation":0,"comparisonValue":"41","minimumVersion":"","maximumVersion":"","formOrder":0,"lowerBound":null,"enabled":true,"mask":"","largeMask":"","maskKey":"","keyItemMaskOfField":null,"keyOptionIdReplace":"","relatedOptionIds":[],"onlineServices":[],"childCriteriaItemList":[],"clientContextJson":""}],"clientContextJson":""},{"keyOptionId":"9757","caption":"Growth","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9758","caption":"Series C","secondaryCaption":"","isDefault":true,"maskCriteriaOnly":false,"definition":"","keyProductQueryItem":"299101","comparisonOperation":0,"comparisonValue":"42","minimumVersion":"","maximumVersion":"","formOrder":0,"lowerBound":null,"enabled":true,"mask":"","largeMask":"","maskKey":"","keyItemMaskOfField":null,"keyOptionIdReplace":"","relatedOptionIds":[],"onlineServices":[],"childCriteriaItemList":[],"clientContextJson":""},{"keyOptionId":"9759","caption":"Series D","secondaryCaption":"","isDefault":true,"maskCriteriaOnly":false,"definition":"","keyProductQueryItem":"299101","comparisonOperation":0,"comparisonValue":"43","minimumVersion":"","maximumVersion":"","formOrder":0,"lowerBound":null,"enabled":true,"mask":"","largeMask":"","maskKey":"","keyItemMaskOfField":null,"keyOptionIdReplace":"","relatedOptionIds":[],"onlineServices":[],"childCriteriaItemList":[],"clientContextJson":""},{"keyOptionId":"9760","caption":"Series E","secondaryCaption":"","isDefault":true,"maskCriteriaOnly":false,"definition":"","keyProductQueryItem":"299101","comparisonOperation":0,"comparisonValue":"44","minimumV</t>
  </si>
  <si>
    <t>ersion":"","maximumVersion":"","formOrder":0,"lowerBound":null,"enabled":true,"mask":"","largeMask":"","maskKey":"","keyItemMaskOfField":null,"keyOptionIdReplace":"","relatedOptionIds":[],"onlineServices":[],"childCriteriaItemList":[],"clientContextJson":""},{"keyOptionId":"9761","caption":"Growth (Age of Company 5-7 Years)","secondaryCaption":"","isDefault":true,"maskCriteriaOnly":false,"definition":"","keyProductQueryItem":"299101","comparisonOperation":0,"comparisonValue":"45","minimumVersion":"","maximumVersion":"","formOrder":0,"lowerBound":null,"enabled":true,"mask":"","largeMask":"","maskKey":"","keyItemMaskOfField":null,"keyOptionIdReplace":"","relatedOptionIds":[],"onlineServices":[],"childCriteriaItemList":[],"clientContextJson":""}],"clientContextJson":""},{"keyOptionId":"9762","caption":"Mat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9763","caption":"Series F","secondaryCaption":"","isDefault":true,"maskCriteriaOnly":false,"definition":"","keyProductQueryItem":"299101","comparisonOperation":0,"comparisonValue":"46","minimumVersion":"","maximumVersion":"","formOrder":0,"lowerBound":null,"enabled":true,"mask":"","largeMask":"","maskKey":"","keyItemMaskOfField":null,"keyOptionIdReplace":"","relatedOptionIds":[],"onlineServices":[],"childCriteriaItemList":[],"clientContextJson":""},{"keyOptionId":"9764","caption":"Series G","secondaryCaption":"","isDefault":true,"maskCriteriaOnly":false,"definition":"","keyProductQueryItem":"299101","comparisonOperation":0,"comparisonValue":"47","minimumVersion":"","maximumVersion":"","formOrder":0,"lowerBound":null,"enabled":true,"mask":"","largeMask":"","maskKey":"","keyItemMaskOfField":null,"keyOptionIdReplace":"","relatedOptionIds":[],"onlineServices":[],"childCriteriaItemList":[],"clientContextJson":""},{"keyOptionId":"9765","caption":"Series H","secondaryCaption":"","isDefault":true,"maskCriteriaOnly":false,"definition":"","keyProductQueryItem":"299101","comparisonOperation":0,"comparisonValue":"48","minimumVersion":"","maximumVersion":"","formOrder":0,"lowerBound":null,"enabled":true,"mask":"","largeMask":"","maskKey":"","keyItemMaskOfField":null,"keyOptionIdReplace":"","relatedOptionIds":[],"onlineServices":[],"childCriteriaItemList":[],"clientContextJson":""},{"keyOptionId":"9766","caption":"Series I","secondaryCaption":"","isDefault":true,"maskCriteriaOnly":false,"definition":"","keyProductQueryItem":"299101","comparisonOperation":0,"comparisonValue":"49","minimumVersion":"","maximumVersion":"","formOrder":0,"lowerBound":null,"enabled":true,"mask":"","largeMask":"","maskKey":"","keyItemMaskOfField":null,"keyOptionIdReplace":"","relatedOptionIds":[],"onlineServices":[],"childCriteriaItemList":[],"clientContextJson":""},{"keyOptionId":"9767","caption":"Series J","secondaryCaption":"","isDefault":true,"maskCriteriaOnly":false,"definition":"","keyProductQueryItem":"299101","comparisonOperation":0,"comparisonValue":"50","minimumVersion":"","maximumVersion":"","formOrder":0,"lowerBound":null,"enabled":true,"mask":"","largeMask":"","maskKey":"","keyItemMaskOfField":null,"keyOptionIdReplace":"","relatedOptionIds":[],"onlineServices":[],"childCriteriaItemList":[],"clientContextJson":""},{"keyOptionId":"9768","caption":"Series K+","secondaryCaption":"","isDefault":true,"maskCriteriaOnly":false,"definition":"","keyProductQueryItem":"299101","comparisonOperation":0,"comparisonValue":"51","minimumVersion":"","maximumVersion":"","formOrder":0,"lowerBound":null,"enabled":true,"mask":"","largeMask":"","maskKey":"","keyItemMaskOfField":null,"keyOptionIdReplace":"","relatedOptionIds":[],"onlineServices":[],"childCriteriaItemList":[],"clientContextJson":""},{"keyOptionId":"9769","caption":"Mature (Age of Company &gt; 7 Years)","secondaryCaption":"","isDefault":true,"maskCriteriaOnly":false,"definition":"","keyProductQueryItem":"299101","comparisonOperation":0,"comparisonValue":"52","minimumVersion":"","maximumVersion":"","formOrder":0,"lowerBound":null,"enabled":true,"mask":"","largeMask":"","maskKey":"","keyItemMaskOfField":null,"keyOptionIdReplace":"","relatedOptionIds":[],"onlineServices":[],"childCriteriaItemList":[],"clientContextJson":""}],"clientContextJson":""},{"keyOptionId":"9770","caption":"Deb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9771","caption":"Non-Convertible Debt","secondaryCaption":"","isDefault":true,"maskCriteriaOnly":false,"definition":"","keyProductQueryItem":"299101","comparisonOperation":0,"comparisonValue":"53","minimumVersion":"","maximumVersion":"","formOrder":0,"lowerBound":null,"enabled":true,"mask":"","largeMask":"","maskKey":"","keyItemMaskOfField":null,"keyOptionIdReplace":"","relatedOptionIds":[],"onlineServices":[],"childCriteriaItemList":[],"clientContextJson":""},{"keyOptionId":"9772","caption":"Convertible Debt","secondaryCaption":"","isDefault":true,"maskCriteriaOnly":false,"definition":"","keyProductQueryItem":"299101","comparisonOperation":0,"comparisonValue":"54","minimumVersion":"","maximumVersion":"","formOrder":0,"lowerBound":null,"enabled":true,"mask":"","largeMask":"","maskKey":"","keyItemMaskOfField":null,"keyOptionIdReplace":"","relatedOptionIds":[],"onlineServices":[],"childCriteriaItemList":[],"clientContextJson":""},{"keyOptionId":"9773","caption":"Bridge","secondaryCaption":"","isDefault":true,"maskCriteriaOnly":false,"definition":"","keyProductQueryItem":"299101","comparisonOperation":0,"comparisonValue":"55","minimumVersion":"","maximumVersion":"","formOrder":0,"lowerBound":null,"enabled":true,"mask":"","largeMask":"","maskKey":"","keyItemMaskOfField":null,"keyOptionIdReplace":"","relatedOptionIds":[],"onlineServices":[],"childCriteriaItemList":[],"clientContextJson":""}],"clientContextJson":""}],"clientContextJson":""},{"keyOptionId":"8103","caption":"Shelf Registra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8104","caption":"Single Security","secondaryCaption":"","isDefault":true,"maskCriteriaOnly":false,"definition":"","keyProductQueryItem":"299101","comparisonOperation":0,"comparisonValue":"17","minimumVersion":"","maximumVersion":"","formOrder":0,"lowerBound":null,"enabled":true,"mask":"","largeMask":"","maskKey":"","keyItemMaskOfField":null,"keyOptionIdReplace":"","relatedOptionIds":[],"onlineServices":[],"childCriteriaItemList":[],"clientContextJson":""},{"keyOptionId":"25124","caption":"Multiple Securities","secondaryCaption":"","isDefault":true,"maskCriteriaOnly":false,"definition":"","keyProductQueryItem":"299101","comparisonOperation":0,"comparisonValue":"61","minimumVersion":"","maximumVersion":"","formOrder":0,"lowerBound":null,"enabled":true,"m</t>
  </si>
  <si>
    <t>ask":"","largeMask":"","maskKey":"","keyItemMaskOfField":null,"keyOptionIdReplace":"","relatedOptionIds":[],"onlineServices":[],"childCriteriaItemList":[],"clientContextJson":""}],"clientContextJson":""},{"keyOptionId":"9743","caption":"Buyback","secondaryCaption":"","isDefault":true,"maskCriteriaOnly":false,"definition":"","keyProductQueryItem":"299101","comparisonOperation":0,"comparisonValue":"22","minimumVersion":"","maximumVersion":"","formOrder":0,"lowerBound":null,"enabled":true,"mask":"","largeMask":"","maskKey":"","keyItemMaskOfField":null,"keyOptionIdReplace":"","relatedOptionIds":[],"onlineServices":[],"childCriteriaItemList":[],"clientContextJson":""}],"clientContextJson":""}]},{"filterGroupId":"8723","filterGroupIdReplace":"","caption":"Target/Issuer Primary Industry","groupType":2,"optionType":8,"formOrder":20,"minimumVersion":"","maximumVersion":"","onlineServicesEnabled":true,"onlineServices":null,"column":0,"columnFormOrder":20,"criteriaIdName":"","required":true,"dateDefaultType":"","criteriaItemList":[{"keyOptionId":"8724","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8725","caption":"Financ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8726","caption":"Bank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8727","caption":"Bank","secondaryCaption":"","isDefault":true,"maskCriteriaOnly":false,"definition":"","keyProductQueryItem":"305790","comparisonOperation":0,"comparisonValue":"3","minimumVersion":"","maximumVersion":"","formOrder":0,"lowerBound":null,"enabled":true,"mask":"","largeMask":"","maskKey":"","keyItemMaskOfField":null,"keyOptionIdReplace":"","relatedOptionIds":[],"onlineServices":[],"childCriteriaItemList":[],"clientContextJson":""},{"keyOptionId":"8728","caption":"Credit Unions and Mutuals","secondaryCaption":"","isDefault":true,"maskCriteriaOnly":false,"definition":"","keyProductQueryItem":"305790","comparisonOperation":0,"comparisonValue":"4","minimumVersion":"","maximumVersion":"","formOrder":0,"lowerBound":null,"enabled":true,"mask":"","largeMask":"","maskKey":"","keyItemMaskOfField":null,"keyOptionIdReplace":"","relatedOptionIds":[],"onlineServices":[],"childCriteriaItemList":[],"clientContextJson":""},{"keyOptionId":"8729","caption":"Development Bank","secondaryCaption":"","isDefault":true,"maskCriteriaOnly":false,"definition":"","keyProductQueryItem":"305790","comparisonOperation":0,"comparisonValue":"5","minimumVersion":"","maximumVersion":"","formOrder":0,"lowerBound":null,"enabled":true,"mask":"","largeMask":"","maskKey":"","keyItemMaskOfField":null,"keyOptionIdReplace":"","relatedOptionIds":[],"onlineServices":[],"childCriteriaItemList":[],"clientContextJson":""},{"keyOptionId":"8730","caption":"Central Banks","secondaryCaption":"","isDefault":true,"maskCriteriaOnly":false,"definition":"","keyProductQueryItem":"305790","comparisonOperation":0,"comparisonValue":"6","minimumVersion":"","maximumVersion":"","formOrder":0,"lowerBound":null,"enabled":true,"mask":"","largeMask":"","maskKey":"","keyItemMaskOfField":null,"keyOptionIdReplace":"","relatedOptionIds":[],"onlineServices":[],"childCriteriaItemList":[],"clientContextJson":""}],"clientContextJson":""},{"keyOptionId":"8731","caption":"Insur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8732","caption":"Insurance Underwrit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8733","caption":"Multiline","secondaryCaption":"","isDefault":true,"maskCriteriaOnly":false,"definition":"","keyProductQueryItem":"305790","comparisonOperation":0,"comparisonValue":"9","minimumVersion":"","maximumVersion":"","formOrder":0,"lowerBound":null,"enabled":true,"mask":"","largeMask":"","maskKey":"","keyItemMaskOfField":null,"keyOptionIdReplace":"","relatedOptionIds":[],"onlineServices":[],"childCriteriaItemList":[],"clientContextJson":""},{"keyOptionId":"8734","caption":"Property and Casualty","secondaryCaption":"","isDefault":true,"maskCriteriaOnly":false,"definition":"","keyProductQueryItem":"305790","comparisonOperation":0,"comparisonValue":"10","minimumVersion":"","maximumVersion":"","formOrder":0,"lowerBound":null,"enabled":true,"mask":"","largeMask":"","maskKey":"","keyItemMaskOfField":null,"keyOptionIdReplace":"","relatedOptionIds":[],"onlineServices":[],"childCriteriaItemList":[],"clientContextJson":""},{"keyOptionId":"8735","caption":"Life and Health","secondaryCaption":"","isDefault":true,"maskCriteriaOnly":false,"definition":"","keyProductQueryItem":"305790","comparisonOperation":0,"comparisonValue":"11","minimumVersion":"","maximumVersion":"","formOrder":0,"lowerBound":null,"enabled":true,"mask":"","largeMask":"","maskKey":"","keyItemMaskOfField":null,"keyOptionIdReplace":"","relatedOptionIds":[],"onlineServices":[],"childCriteriaItemList":[],"clientContextJson":""},{"keyOptionId":"8736","caption":"Title","secondaryCaption":"","isDefault":true,"maskCriteriaOnly":false,"definition":"","keyProductQueryItem":"305790","comparisonOperation":0,"comparisonValue":"12","minimumVersion":"","maximumVersion":"","formOrder":0,"lowerBound":null,"enabled":true,"mask":"","largeMask":"","maskKey":"","keyItemMaskOfField":null,"keyOptionIdReplace":"","relatedOptionIds":[],"onlineServices":[],"childCriteriaItemList":[],"clientContextJson":""},{"keyOptionId":"8737","caption":"Mortgage Guaranty","secondaryCaption":"","isDefault":true,"maskCriteriaOnly":false,"definition":"","keyProductQueryItem":"305790","comparisonOperation":0,"comparisonValue":"13","minimumVersion":"","maximumVersion":"","formOrder":0,"lowerBound":null,"enabled":true,"mask":"","largeMask":"","maskKey":"","keyItemMaskOfField":null,"keyOptionIdReplace":"","relatedOptionIds":[],"onlineServices":[],"childCriteriaItemList":[],"clientContextJson":""},{"keyOptionId":"8738","caption":"Financial Guaranty","secondaryCaption":"","isDefault":true,"maskCriteriaOnly":false,"definition":"","keyProductQueryItem"</t>
  </si>
  <si>
    <t>:"305790","comparisonOperation":0,"comparisonValue":"14","minimumVersion":"","maximumVersion":"","formOrder":0,"lowerBound":null,"enabled":true,"mask":"","largeMask":"","maskKey":"","keyItemMaskOfField":null,"keyOptionIdReplace":"","relatedOptionIds":[],"onlineServices":[],"childCriteriaItemList":[],"clientContextJson":""},{"keyOptionId":"8739","caption":"Managed Care","secondaryCaption":"","isDefault":true,"maskCriteriaOnly":false,"definition":"","keyProductQueryItem":"305790","comparisonOperation":0,"comparisonValue":"15","minimumVersion":"","maximumVersion":"","formOrder":0,"lowerBound":null,"enabled":true,"mask":"","largeMask":"","maskKey":"","keyItemMaskOfField":null,"keyOptionIdReplace":"","relatedOptionIds":[],"onlineServices":[],"childCriteriaItemList":[],"clientContextJson":""},{"keyOptionId":"8740","caption":"Reinsurance","secondaryCaption":"","isDefault":true,"maskCriteriaOnly":false,"definition":"","keyProductQueryItem":"305790","comparisonOperation":0,"comparisonValue":"16","minimumVersion":"","maximumVersion":"","formOrder":0,"lowerBound":null,"enabled":true,"mask":"","largeMask":"","maskKey":"","keyItemMaskOfField":null,"keyOptionIdReplace":"","relatedOptionIds":[],"onlineServices":[],"childCriteriaItemList":[],"clientContextJson":""}],"clientContextJson":""},{"keyOptionId":"8741","caption":"Insurance Broker","secondaryCaption":"","isDefault":true,"maskCriteriaOnly":false,"definition":"","keyProductQueryItem":"305790","comparisonOperation":0,"comparisonValue":"17","minimumVersion":"","maximumVersion":"","formOrder":0,"lowerBound":null,"enabled":true,"mask":"","largeMask":"","maskKey":"","keyItemMaskOfField":null,"keyOptionIdReplace":"","relatedOptionIds":[],"onlineServices":[],"childCriteriaItemList":[],"clientContextJson":""},{"keyOptionId":"8742","caption":"Lloyd's Syndicate","secondaryCaption":"","isDefault":true,"maskCriteriaOnly":false,"definition":"","keyProductQueryItem":"305790","comparisonOperation":0,"comparisonValue":"18","minimumVersion":"","maximumVersion":"","formOrder":0,"lowerBound":null,"enabled":true,"mask":"","largeMask":"","maskKey":"","keyItemMaskOfField":null,"keyOptionIdReplace":"","relatedOptionIds":[],"onlineServices":[],"childCriteriaItemList":[],"clientContextJson":""}],"clientContextJson":""},{"keyOptionId":"8743","caption":"Mortgage Banks and Brokers","secondaryCaption":"","isDefault":true,"maskCriteriaOnly":false,"definition":"","keyProductQueryItem":"305790","comparisonOperation":0,"comparisonValue":"19","minimumVersion":"","maximumVersion":"","formOrder":0,"lowerBound":null,"enabled":true,"mask":"","largeMask":"","maskKey":"","keyItemMaskOfField":null,"keyOptionIdReplace":"","relatedOptionIds":[],"onlineServices":[],"childCriteriaItemList":[],"clientContextJson":""},{"keyOptionId":"8744","caption":"Specialty Fin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8745","caption":"Specialty Finance: Consumer Focused","secondaryCaption":"","isDefault":true,"maskCriteriaOnly":false,"definition":"","keyProductQueryItem":"305790","comparisonOperation":0,"comparisonValue":"21","minimumVersion":"","maximumVersion":"","formOrder":0,"lowerBound":null,"enabled":true,"mask":"","largeMask":"","maskKey":"","keyItemMaskOfField":null,"keyOptionIdReplace":"","relatedOptionIds":[],"onlineServices":[],"childCriteriaItemList":[],"clientContextJson":""},{"keyOptionId":"8746","caption":"Specialty Finance: Commercial Focused","secondaryCaption":"","isDefault":true,"maskCriteriaOnly":false,"definition":"","keyProductQueryItem":"305790","comparisonOperation":0,"comparisonValue":"22","minimumVersion":"","maximumVersion":"","formOrder":0,"lowerBound":null,"enabled":true,"mask":"","largeMask":"","maskKey":"","keyItemMaskOfField":null,"keyOptionIdReplace":"","relatedOptionIds":[],"onlineServices":[],"childCriteriaItemList":[],"clientContextJson":""}],"clientContextJson":""},{"keyOptionId":"8747","caption":"Investment and Business Development Companies","secondaryCaption":"","isDefault":true,"maskCriteriaOnly":false,"definition":"","keyProductQueryItem":"305790","comparisonOperation":0,"comparisonValue":"23","minimumVersion":"","maximumVersion":"","formOrder":0,"lowerBound":null,"enabled":true,"mask":"","largeMask":"","maskKey":"","keyItemMaskOfField":null,"keyOptionIdReplace":"","relatedOptionIds":[],"onlineServices":[],"childCriteriaItemList":[],"clientContextJson":""},{"keyOptionId":"8748","caption":"Mortgage REIT","secondaryCaption":"","isDefault":true,"maskCriteriaOnly":false,"definition":"","keyProductQueryItem":"305790","comparisonOperation":0,"comparisonValue":"26","minimumVersion":"","maximumVersion":"","formOrder":0,"lowerBound":null,"enabled":true,"mask":"","largeMask":"","maskKey":"","keyItemMaskOfField":null,"keyOptionIdReplace":"","relatedOptionIds":[],"onlineServices":[],"childCriteriaItemList":[],"clientContextJson":""},{"keyOptionId":"8749","caption":"Asset Management","secondaryCaption":"","isDefault":true,"maskCriteriaOnly":false,"definition":"","keyProductQueryItem":"305790","comparisonOperation":0,"comparisonValue":"27","minimumVersion":"","maximumVersion":"","formOrder":0,"lowerBound":null,"enabled":true,"mask":"","largeMask":"","maskKey":"","keyItemMaskOfField":null,"keyOptionIdReplace":"","relatedOptionIds":[],"onlineServices":[],"childCriteriaItemList":[],"clientContextJson":""},{"keyOptionId":"8750","caption":"Investment Banks, Brokers and Capital Markets","secondaryCaption":"","isDefault":true,"maskCriteriaOnly":false,"definition":"","keyProductQueryItem":"305790","comparisonOperation":0,"comparisonValue":"30","minimumVersion":"","maximumVersion":"","formOrder":0,"lowerBound":null,"enabled":true,"mask":"","largeMask":"","maskKey":"","keyItemMaskOfField":null,"keyOptionIdReplace":"","relatedOptionIds":[],"onlineServices":[],"childCriteriaItemList":[],"clientContextJson":""},{"keyOptionId":"8751","caption":"Financial Exchanges","secondaryCaption":"","isDefault":true,"maskCriteriaOnly":false,"definition":"","keyProductQueryItem":"305790","comparisonOperation":0,"comparisonValue":"34","minimumVersion":"","maximumVersion":"","formOrder":0,"lowerBound":null,"enabled":true,"mask":"","largeMask":"","maskKey":"","keyItemMaskOfField":null,"keyOptionIdReplace":"","relatedOptionIds":[],"onlineServices":[],"childCriteriaItemList":[],"clientContextJson":""},{"keyOptionId":"8752","caption":"Credit Rating and Reporting","secondaryCaption":"","isDefault":true,"maskCriteriaOnly":false,"definition":"","keyProductQueryItem":"305790","comparisonOperation":0,"comparisonValue":"35","minimumVersion":"","maximumVersion":"","formOrder":0,"lowerBound":null,"enabled":true,"mask":"","largeMask":"","maskKey":"","keyItemMaskOfField":null,"keyOptionIdReplace":"","relatedOptionIds":[],"onlineServices":[],"childCriteriaItemList":[],"clientContextJson":""},{"keyOptionId":"8753","caption":"Financial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8754","caption":"Banking Technology","secondaryCaption":"",</t>
  </si>
  <si>
    <t>"isDefault":true,"maskCriteriaOnly":false,"definition":"","keyProductQueryItem":"305790","comparisonOperation":0,"comparisonValue":"37","minimumVersion":"","maximumVersion":"","formOrder":0,"lowerBound":null,"enabled":true,"mask":"","largeMask":"","maskKey":"","keyItemMaskOfField":null,"keyOptionIdReplace":"","relatedOptionIds":[],"onlineServices":[],"childCriteriaItemList":[],"clientContextJson":""},{"keyOptionId":"8755","caption":"Digital Lending","secondaryCaption":"","isDefault":true,"maskCriteriaOnly":false,"definition":"","keyProductQueryItem":"305790","comparisonOperation":0,"comparisonValue":"38","minimumVersion":"","maximumVersion":"","formOrder":0,"lowerBound":null,"enabled":true,"mask":"","largeMask":"","maskKey":"","keyItemMaskOfField":null,"keyOptionIdReplace":"","relatedOptionIds":[],"onlineServices":[],"childCriteriaItemList":[],"clientContextJson":""},{"keyOptionId":"8756","caption":"Financial Media and Data Solutions","secondaryCaption":"","isDefault":true,"maskCriteriaOnly":false,"definition":"","keyProductQueryItem":"305790","comparisonOperation":0,"comparisonValue":"39","minimumVersion":"","maximumVersion":"","formOrder":0,"lowerBound":null,"enabled":true,"mask":"","largeMask":"","maskKey":"","keyItemMaskOfField":null,"keyOptionIdReplace":"","relatedOptionIds":[],"onlineServices":[],"childCriteriaItemList":[],"clientContextJson":""},{"keyOptionId":"8757","caption":"Insurance Technology","secondaryCaption":"","isDefault":true,"maskCriteriaOnly":false,"definition":"","keyProductQueryItem":"305790","comparisonOperation":0,"comparisonValue":"40","minimumVersion":"","maximumVersion":"","formOrder":0,"lowerBound":null,"enabled":true,"mask":"","largeMask":"","maskKey":"","keyItemMaskOfField":null,"keyOptionIdReplace":"","relatedOptionIds":[],"onlineServices":[],"childCriteriaItemList":[],"clientContextJson":""},{"keyOptionId":"8758","caption":"Investment and Capital Markets Technology","secondaryCaption":"","isDefault":true,"maskCriteriaOnly":false,"definition":"","keyProductQueryItem":"305790","comparisonOperation":0,"comparisonValue":"41","minimumVersion":"","maximumVersion":"","formOrder":0,"lowerBound":null,"enabled":true,"mask":"","largeMask":"","maskKey":"","keyItemMaskOfField":null,"keyOptionIdReplace":"","relatedOptionIds":[],"onlineServices":[],"childCriteriaItemList":[],"clientContextJson":""}],"clientContextJson":""},{"keyOptionId":"8759","caption":"Paym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8760","caption":"Payment Processors","secondaryCaption":"","isDefault":true,"maskCriteriaOnly":false,"definition":"","keyProductQueryItem":"305790","comparisonOperation":0,"comparisonValue":"43","minimumVersion":"","maximumVersion":"","formOrder":0,"lowerBound":null,"enabled":true,"mask":"","largeMask":"","maskKey":"","keyItemMaskOfField":null,"keyOptionIdReplace":"","relatedOptionIds":[],"onlineServices":[],"childCriteriaItemList":[],"clientContextJson":""},{"keyOptionId":"8761","caption":"Payment Service Providers and Gateways","secondaryCaption":"","isDefault":true,"maskCriteriaOnly":false,"definition":"","keyProductQueryItem":"305790","comparisonOperation":0,"comparisonValue":"44","minimumVersion":"","maximumVersion":"","formOrder":0,"lowerBound":null,"enabled":true,"mask":"","largeMask":"","maskKey":"","keyItemMaskOfField":null,"keyOptionIdReplace":"","relatedOptionIds":[],"onlineServices":[],"childCriteriaItemList":[],"clientContextJson":""},{"keyOptionId":"8762","caption":"Mobile Wallets","secondaryCaption":"","isDefault":true,"maskCriteriaOnly":false,"definition":"","keyProductQueryItem":"305790","comparisonOperation":0,"comparisonValue":"45","minimumVersion":"","maximumVersion":"","formOrder":0,"lowerBound":null,"enabled":true,"mask":"","largeMask":"","maskKey":"","keyItemMaskOfField":null,"keyOptionIdReplace":"","relatedOptionIds":[],"onlineServices":[],"childCriteriaItemList":[],"clientContextJson":""},{"keyOptionId":"8763","caption":"Payments Fraud Management","secondaryCaption":"","isDefault":true,"maskCriteriaOnly":false,"definition":"","keyProductQueryItem":"305790","comparisonOperation":0,"comparisonValue":"46","minimumVersion":"","maximumVersion":"","formOrder":0,"lowerBound":null,"enabled":true,"mask":"","largeMask":"","maskKey":"","keyItemMaskOfField":null,"keyOptionIdReplace":"","relatedOptionIds":[],"onlineServices":[],"childCriteriaItemList":[],"clientContextJson":""},{"keyOptionId":"8764","caption":"Money Transfer and Remittance","secondaryCaption":"","isDefault":true,"maskCriteriaOnly":false,"definition":"","keyProductQueryItem":"305790","comparisonOperation":0,"comparisonValue":"47","minimumVersion":"","maximumVersion":"","formOrder":0,"lowerBound":null,"enabled":true,"mask":"","largeMask":"","maskKey":"","keyItemMaskOfField":null,"keyOptionIdReplace":"","relatedOptionIds":[],"onlineServices":[],"childCriteriaItemList":[],"clientContextJson":""},{"keyOptionId":"8765","caption":"Payments Infrastructure","secondaryCaption":"","isDefault":true,"maskCriteriaOnly":false,"definition":"","keyProductQueryItem":"305790","comparisonOperation":0,"comparisonValue":"48","minimumVersion":"","maximumVersion":"","formOrder":0,"lowerBound":null,"enabled":true,"mask":"","largeMask":"","maskKey":"","keyItemMaskOfField":null,"keyOptionIdReplace":"","relatedOptionIds":[],"onlineServices":[],"childCriteriaItemList":[],"clientContextJson":""}],"clientContextJson":""},{"keyOptionId":"8766","caption":"Holding Companies, Patent Owners, and Trusts or Estates","secondaryCaption":"","isDefault":true,"maskCriteriaOnly":false,"definition":"","keyProductQueryItem":"305790","comparisonOperation":0,"comparisonValue":"49","minimumVersion":"","maximumVersion":"","formOrder":0,"lowerBound":null,"enabled":true,"mask":"","largeMask":"","maskKey":"","keyItemMaskOfField":null,"keyOptionIdReplace":"","relatedOptionIds":[],"onlineServices":[],"childCriteriaItemList":[],"clientContextJson":""}],"clientContextJson":""},{"keyOptionId":"8767","caption":"Real Estat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8768","caption":"Equity REI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8769","caption":"Diversified REIT","secondaryCaption":"","isDefault":true,"maskCriteriaOnly":false,"definition":"","keyProductQueryItem":"305790","comparisonOperation":0,"comparisonValue":"53","minimumVersion":"","maximumVersion":"","formOrder":0,"lowerBound":null,"enabled":true,"mask":"","largeMask":"","maskKey":"","keyItemMaskOfField":null,"keyOptionIdReplace":"","relatedOptionIds":[],"onlineServices":[],"childCriteriaItemList":[],"clientContextJson":""},{"keyOptionId":"8770","ca</t>
  </si>
  <si>
    <t>ption":"Health Care REIT","secondaryCaption":"","isDefault":true,"maskCriteriaOnly":false,"definition":"","keyProductQueryItem":"305790","comparisonOperation":0,"comparisonValue":"54","minimumVersion":"","maximumVersion":"","formOrder":0,"lowerBound":null,"enabled":true,"mask":"","largeMask":"","maskKey":"","keyItemMaskOfField":null,"keyOptionIdReplace":"","relatedOptionIds":[],"onlineServices":[],"childCriteriaItemList":[],"clientContextJson":""},{"keyOptionId":"8771","caption":"Hotel and Resort REIT","secondaryCaption":"","isDefault":true,"maskCriteriaOnly":false,"definition":"","keyProductQueryItem":"305790","comparisonOperation":0,"comparisonValue":"55","minimumVersion":"","maximumVersion":"","formOrder":0,"lowerBound":null,"enabled":true,"mask":"","largeMask":"","maskKey":"","keyItemMaskOfField":null,"keyOptionIdReplace":"","relatedOptionIds":[],"onlineServices":[],"childCriteriaItemList":[],"clientContextJson":""},{"keyOptionId":"8772","caption":"Industrial REIT","secondaryCaption":"","isDefault":true,"maskCriteriaOnly":false,"definition":"","keyProductQueryItem":"305790","comparisonOperation":0,"comparisonValue":"56","minimumVersion":"","maximumVersion":"","formOrder":0,"lowerBound":null,"enabled":true,"mask":"","largeMask":"","maskKey":"","keyItemMaskOfField":null,"keyOptionIdReplace":"","relatedOptionIds":[],"onlineServices":[],"childCriteriaItemList":[],"clientContextJson":""},{"keyOptionId":"8773","caption":"Office REIT","secondaryCaption":"","isDefault":true,"maskCriteriaOnly":false,"definition":"","keyProductQueryItem":"305790","comparisonOperation":0,"comparisonValue":"57","minimumVersion":"","maximumVersion":"","formOrder":0,"lowerBound":null,"enabled":true,"mask":"","largeMask":"","maskKey":"","keyItemMaskOfField":null,"keyOptionIdReplace":"","relatedOptionIds":[],"onlineServices":[],"childCriteriaItemList":[],"clientContextJson":""},{"keyOptionId":"8774","caption":"Multi-Family Residential REIT","secondaryCaption":"","isDefault":true,"maskCriteriaOnly":false,"definition":"","keyProductQueryItem":"305790","comparisonOperation":0,"comparisonValue":"58","minimumVersion":"","maximumVersion":"","formOrder":0,"lowerBound":null,"enabled":true,"mask":"","largeMask":"","maskKey":"","keyItemMaskOfField":null,"keyOptionIdReplace":"","relatedOptionIds":[],"onlineServices":[],"childCriteriaItemList":[],"clientContextJson":""},{"keyOptionId":"8775","caption":"Retail REIT","secondaryCaption":"","isDefault":true,"maskCriteriaOnly":false,"definition":"","keyProductQueryItem":"305790","comparisonOperation":0,"comparisonValue":"59","minimumVersion":"","maximumVersion":"","formOrder":0,"lowerBound":null,"enabled":true,"mask":"","largeMask":"","maskKey":"","keyItemMaskOfField":null,"keyOptionIdReplace":"","relatedOptionIds":[],"onlineServices":[],"childCriteriaItemList":[],"clientContextJson":""},{"keyOptionId":"8776","caption":"Self-Storage REIT","secondaryCaption":"","isDefault":true,"maskCriteriaOnly":false,"definition":"","keyProductQueryItem":"305790","comparisonOperation":0,"comparisonValue":"60","minimumVersion":"","maximumVersion":"","formOrder":0,"lowerBound":null,"enabled":true,"mask":"","largeMask":"","maskKey":"","keyItemMaskOfField":null,"keyOptionIdReplace":"","relatedOptionIds":[],"onlineServices":[],"childCriteriaItemList":[],"clientContextJson":""},{"keyOptionId":"8777","caption":"Other Specialized REIT","secondaryCaption":"","isDefault":true,"maskCriteriaOnly":false,"definition":"","keyProductQueryItem":"305790","comparisonOperation":0,"comparisonValue":"61","minimumVersion":"","maximumVersion":"","formOrder":0,"lowerBound":null,"enabled":true,"mask":"","largeMask":"","maskKey":"","keyItemMaskOfField":null,"keyOptionIdReplace":"","relatedOptionIds":[],"onlineServices":[],"childCriteriaItemList":[],"clientContextJson":""},{"keyOptionId":"92889","caption":"Single-Family Residential REIT","secondaryCaption":"","isDefault":true,"maskCriteriaOnly":false,"definition":"","keyProductQueryItem":"305790","comparisonOperation":0,"comparisonValue":"2872","minimumVersion":"","maximumVersion":"","formOrder":0,"lowerBound":null,"enabled":true,"mask":"","largeMask":"","maskKey":"","keyItemMaskOfField":null,"keyOptionIdReplace":"","relatedOptionIds":[],"onlineServices":[],"childCriteriaItemList":[],"clientContextJson":""},{"keyOptionId":"92890","caption":"Telecom Tower REIT","secondaryCaption":"","isDefault":true,"maskCriteriaOnly":false,"definition":"","keyProductQueryItem":"305790","comparisonOperation":0,"comparisonValue":"2873","minimumVersion":"","maximumVersion":"","formOrder":0,"lowerBound":null,"enabled":true,"mask":"","largeMask":"","maskKey":"","keyItemMaskOfField":null,"keyOptionIdReplace":"","relatedOptionIds":[],"onlineServices":[],"childCriteriaItemList":[],"clientContextJson":""},{"keyOptionId":"92891","caption":"Timber REIT","secondaryCaption":"","isDefault":true,"maskCriteriaOnly":false,"definition":"","keyProductQueryItem":"305790","comparisonOperation":0,"comparisonValue":"2874","minimumVersion":"","maximumVersion":"","formOrder":0,"lowerBound":null,"enabled":true,"mask":"","largeMask":"","maskKey":"","keyItemMaskOfField":null,"keyOptionIdReplace":"","relatedOptionIds":[],"onlineServices":[],"childCriteriaItemList":[],"clientContextJson":""},{"keyOptionId":"92892","caption":"Data Center REIT","secondaryCaption":"","isDefault":true,"maskCriteriaOnly":false,"definition":"","keyProductQueryItem":"305790","comparisonOperation":0,"comparisonValue":"2875","minimumVersion":"","maximumVersion":"","formOrder":0,"lowerBound":null,"enabled":true,"mask":"","largeMask":"","maskKey":"","keyItemMaskOfField":null,"keyOptionIdReplace":"","relatedOptionIds":[],"onlineServices":[],"childCriteriaItemList":[],"clientContextJson":""}],"clientContextJson":""},{"keyOptionId":"8778","caption":"Real Estate Management and Develo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8779","caption":"Diversified Real Estate Activities","secondaryCaption":"","isDefault":true,"maskCriteriaOnly":false,"definition":"","keyProductQueryItem":"305790","comparisonOperation":0,"comparisonValue":"63","minimumVersion":"","maximumVersion":"","formOrder":0,"lowerBound":null,"enabled":true,"mask":"","largeMask":"","maskKey":"","keyItemMaskOfField":null,"keyOptionIdReplace":"","relatedOptionIds":[],"onlineServices":[],"childCriteriaItemList":[],"clientContextJson":""},{"keyOptionId":"8780","caption":"Real Estate Operating and Management","secondaryCaption":"","isDefault":true,"maskCriteriaOnly":false,"definition":"","keyProductQueryItem":"305790","comparisonOperation":0,"comparisonValue":"64","minimumVersion":"","maximumVersion":"","formOrder":0,"lowerBound":null,"enabled":true,"mask":"","largeMask":"","maskKey":"","keyItemMaskOfField":null,"keyOptionIdReplace":"","relatedOptionIds":[],"onlineServices":[],"childCriteriaItemList":[],"clientContextJson":""},{"keyOptionId":"8781","caption":"Real Estate Development","secondaryCaption":"","isDefault":true,"maskCriteriaOnly":false,"definition":"","keyProductQueryItem":"305790","comparisonOperation":0,"comparisonValue":"65","minimumVersion":"","maximumVersion":"","formOrder":0,"lowerBound":null,"enabled":true,"mask":"","largeMask":"","maskKey":"","keyItemMaskOfField":null,"keyOptionIdReplace":"","relatedOptionIds":[],"onlineServices":[],"childCriteriaItemList":[],"cl</t>
  </si>
  <si>
    <t>ientContextJson":""},{"keyOptionId":"8782","caption":"Real Estate Services","secondaryCaption":"","isDefault":true,"maskCriteriaOnly":false,"definition":"","keyProductQueryItem":"305790","comparisonOperation":0,"comparisonValue":"66","minimumVersion":"","maximumVersion":"","formOrder":0,"lowerBound":null,"enabled":true,"mask":"","largeMask":"","maskKey":"","keyItemMaskOfField":null,"keyOptionIdReplace":"","relatedOptionIds":[],"onlineServices":[],"childCriteriaItemList":[],"clientContextJson":""}],"clientContextJson":""}],"clientContextJson":""},{"keyOptionId":"8783","caption":"Energy and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8784","caption":"Oil, Gas and Co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8785","caption":"Oil and Gas Drilling","secondaryCaption":"","isDefault":true,"maskCriteriaOnly":false,"definition":"","keyProductQueryItem":"305790","comparisonOperation":0,"comparisonValue":"69","minimumVersion":"","maximumVersion":"","formOrder":0,"lowerBound":null,"enabled":true,"mask":"","largeMask":"","maskKey":"","keyItemMaskOfField":null,"keyOptionIdReplace":"","relatedOptionIds":[],"onlineServices":[],"childCriteriaItemList":[],"clientContextJson":""},{"keyOptionId":"8786","caption":"Oil and Gas Equipment and Services","secondaryCaption":"","isDefault":true,"maskCriteriaOnly":false,"definition":"","keyProductQueryItem":"305790","comparisonOperation":0,"comparisonValue":"70","minimumVersion":"","maximumVersion":"","formOrder":0,"lowerBound":null,"enabled":true,"mask":"","largeMask":"","maskKey":"","keyItemMaskOfField":null,"keyOptionIdReplace":"","relatedOptionIds":[],"onlineServices":[],"childCriteriaItemList":[],"clientContextJson":""},{"keyOptionId":"8787","caption":"Integrated Oil and Gas","secondaryCaption":"","isDefault":true,"maskCriteriaOnly":false,"definition":"","keyProductQueryItem":"305790","comparisonOperation":0,"comparisonValue":"71","minimumVersion":"","maximumVersion":"","formOrder":0,"lowerBound":null,"enabled":true,"mask":"","largeMask":"","maskKey":"","keyItemMaskOfField":null,"keyOptionIdReplace":"","relatedOptionIds":[],"onlineServices":[],"childCriteriaItemList":[],"clientContextJson":""},{"keyOptionId":"8788","caption":"Oil and Gas Exploration and Production","secondaryCaption":"","isDefault":true,"maskCriteriaOnly":false,"definition":"","keyProductQueryItem":"305790","comparisonOperation":0,"comparisonValue":"72","minimumVersion":"","maximumVersion":"","formOrder":0,"lowerBound":null,"enabled":true,"mask":"","largeMask":"","maskKey":"","keyItemMaskOfField":null,"keyOptionIdReplace":"","relatedOptionIds":[],"onlineServices":[],"childCriteriaItemList":[],"clientContextJson":""},{"keyOptionId":"8789","caption":"Oil and Gas Refining and Marketing","secondaryCaption":"","isDefault":true,"maskCriteriaOnly":false,"definition":"","keyProductQueryItem":"305790","comparisonOperation":0,"comparisonValue":"73","minimumVersion":"","maximumVersion":"","formOrder":0,"lowerBound":null,"enabled":true,"mask":"","largeMask":"","maskKey":"","keyItemMaskOfField":null,"keyOptionIdReplace":"","relatedOptionIds":[],"onlineServices":[],"childCriteriaItemList":[],"clientContextJson":""},{"keyOptionId":"8790","caption":"Oil and Gas Storage and Transportation","secondaryCaption":"","isDefault":true,"maskCriteriaOnly":false,"definition":"","keyProductQueryItem":"305790","comparisonOperation":0,"comparisonValue":"74","minimumVersion":"","maximumVersion":"","formOrder":0,"lowerBound":null,"enabled":true,"mask":"","largeMask":"","maskKey":"","keyItemMaskOfField":null,"keyOptionIdReplace":"","relatedOptionIds":[],"onlineServices":[],"childCriteriaItemList":[],"clientContextJson":""},{"keyOptionId":"8791","caption":"Coal and Consumable Fuels","secondaryCaption":"","isDefault":true,"maskCriteriaOnly":false,"definition":"","keyProductQueryItem":"305790","comparisonOperation":0,"comparisonValue":"75","minimumVersion":"","maximumVersion":"","formOrder":0,"lowerBound":null,"enabled":true,"mask":"","largeMask":"","maskKey":"","keyItemMaskOfField":null,"keyOptionIdReplace":"","relatedOptionIds":[],"onlineServices":[],"childCriteriaItemList":[],"clientContextJson":""}],"clientContextJson":""},{"keyOptionId":"8792","caption":"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8793","caption":"Electric Utilities","secondaryCaption":"","isDefault":true,"maskCriteriaOnly":false,"definition":"","keyProductQueryItem":"305790","comparisonOperation":0,"comparisonValue":"77","minimumVersion":"","maximumVersion":"","formOrder":0,"lowerBound":null,"enabled":true,"mask":"","largeMask":"","maskKey":"","keyItemMaskOfField":null,"keyOptionIdReplace":"","relatedOptionIds":[],"onlineServices":[],"childCriteriaItemList":[],"clientContextJson":""},{"keyOptionId":"8794","caption":"Gas Utilities","secondaryCaption":"","isDefault":true,"maskCriteriaOnly":false,"definition":"","keyProductQueryItem":"305790","comparisonOperation":0,"comparisonValue":"78","minimumVersion":"","maximumVersion":"","formOrder":0,"lowerBound":null,"enabled":true,"mask":"","largeMask":"","maskKey":"","keyItemMaskOfField":null,"keyOptionIdReplace":"","relatedOptionIds":[],"onlineServices":[],"childCriteriaItemList":[],"clientContextJson":""},{"keyOptionId":"8795","caption":"Multi-Utilities","secondaryCaption":"","isDefault":true,"maskCriteriaOnly":false,"definition":"","keyProductQueryItem":"305790","comparisonOperation":0,"comparisonValue":"79","minimumVersion":"","maximumVersion":"","formOrder":0,"lowerBound":null,"enabled":true,"mask":"","largeMask":"","maskKey":"","keyItemMaskOfField":null,"keyOptionIdReplace":"","relatedOptionIds":[],"onlineServices":[],"childCriteriaItemList":[],"clientContextJson":""},{"keyOptionId":"8796","caption":"Water Utilities","secondaryCaption":"","isDefault":true,"maskCriteriaOnly":false,"definition":"","keyProductQueryItem":"305790","comparisonOperation":0,"comparisonValue":"80","minimumVersion":"","maximumVersion":"","formOrder":0,"lowerBound":null,"enabled":true,"mask":"","largeMask":"","maskKey":"","keyItemMaskOfField":null,"keyOptionIdReplace":"","relatedOptionIds":[],"onlineServices":[],"childCriteriaItemList":[],"clientContextJson":""}],"clientContextJson":""},{"keyOptionId":"8797","caption":"Independent Power Producers and Energy Traders","secondaryCaption":"","isDefault":true,"maskCriteriaOnly":false,"definition":"","keyProductQueryItem":"305790","comparisonOperation":0,"comparisonValue":"81","minimumVersion":"","maximumVersion":"","formOrder":0,"lowerBound":null,"enabled":true,"mask":"","largeMask":"","maskKey":"","keyItemMaskOfField":null,"keyOptionIdR</t>
  </si>
  <si>
    <t>eplace":"","relatedOptionIds":[],"onlineServices":[],"childCriteriaItemList":[],"clientContextJson":""},{"keyOptionId":"8798","caption":"Renewable Electricity","secondaryCaption":"","isDefault":true,"maskCriteriaOnly":false,"definition":"","keyProductQueryItem":"305790","comparisonOperation":0,"comparisonValue":"82","minimumVersion":"","maximumVersion":"","formOrder":0,"lowerBound":null,"enabled":true,"mask":"","largeMask":"","maskKey":"","keyItemMaskOfField":null,"keyOptionIdReplace":"","relatedOptionIds":[],"onlineServices":[],"childCriteriaItemList":[],"clientContextJson":""}],"clientContextJson":""},{"keyOptionId":"8799","caption":"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8800","caption":"Chemic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8801","caption":"Commodity Chemicals","secondaryCaption":"","isDefault":true,"maskCriteriaOnly":false,"definition":"","keyProductQueryItem":"305790","comparisonOperation":0,"comparisonValue":"85","minimumVersion":"","maximumVersion":"","formOrder":0,"lowerBound":null,"enabled":true,"mask":"","largeMask":"","maskKey":"","keyItemMaskOfField":null,"keyOptionIdReplace":"","relatedOptionIds":[],"onlineServices":[],"childCriteriaItemList":[],"clientContextJson":""},{"keyOptionId":"8802","caption":"Diversified Chemicals","secondaryCaption":"","isDefault":true,"maskCriteriaOnly":false,"definition":"","keyProductQueryItem":"305790","comparisonOperation":0,"comparisonValue":"86","minimumVersion":"","maximumVersion":"","formOrder":0,"lowerBound":null,"enabled":true,"mask":"","largeMask":"","maskKey":"","keyItemMaskOfField":null,"keyOptionIdReplace":"","relatedOptionIds":[],"onlineServices":[],"childCriteriaItemList":[],"clientContextJson":""},{"keyOptionId":"8803","caption":"Fertilizers and Agricultural Chemicals","secondaryCaption":"","isDefault":true,"maskCriteriaOnly":false,"definition":"","keyProductQueryItem":"305790","comparisonOperation":0,"comparisonValue":"87","minimumVersion":"","maximumVersion":"","formOrder":0,"lowerBound":null,"enabled":true,"mask":"","largeMask":"","maskKey":"","keyItemMaskOfField":null,"keyOptionIdReplace":"","relatedOptionIds":[],"onlineServices":[],"childCriteriaItemList":[],"clientContextJson":""},{"keyOptionId":"8804","caption":"Specialty Chemicals","secondaryCaption":"","isDefault":true,"maskCriteriaOnly":false,"definition":"","keyProductQueryItem":"305790","comparisonOperation":0,"comparisonValue":"88","minimumVersion":"","maximumVersion":"","formOrder":0,"lowerBound":null,"enabled":true,"mask":"","largeMask":"","maskKey":"","keyItemMaskOfField":null,"keyOptionIdReplace":"","relatedOptionIds":[],"onlineServices":[],"childCriteriaItemList":[],"clientContextJson":""},{"keyOptionId":"8805","caption":"Industrial Gases","secondaryCaption":"","isDefault":true,"maskCriteriaOnly":false,"definition":"","keyProductQueryItem":"305790","comparisonOperation":0,"comparisonValue":"89","minimumVersion":"","maximumVersion":"","formOrder":0,"lowerBound":null,"enabled":true,"mask":"","largeMask":"","maskKey":"","keyItemMaskOfField":null,"keyOptionIdReplace":"","relatedOptionIds":[],"onlineServices":[],"childCriteriaItemList":[],"clientContextJson":""}],"clientContextJson":""},{"keyOptionId":"8806","caption":"Metals and Min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8807","caption":"Diversified Metals and Mining","secondaryCaption":"","isDefault":true,"maskCriteriaOnly":false,"definition":"","keyProductQueryItem":"305790","comparisonOperation":0,"comparisonValue":"91","minimumVersion":"","maximumVersion":"","formOrder":0,"lowerBound":null,"enabled":true,"mask":"","largeMask":"","maskKey":"","keyItemMaskOfField":null,"keyOptionIdReplace":"","relatedOptionIds":[],"onlineServices":[],"childCriteriaItemList":[],"clientContextJson":""},{"keyOptionId":"8808","caption":"Precious Metals and Gemstones","secondaryCaption":"","isDefault":true,"maskCriteriaOnly":false,"definition":"","keyProductQueryItem":"305790","comparisonOperation":0,"comparisonValue":"92","minimumVersion":"","maximumVersion":"","formOrder":0,"lowerBound":null,"enabled":true,"mask":"","largeMask":"","maskKey":"","keyItemMaskOfField":null,"keyOptionIdReplace":"","relatedOptionIds":[],"onlineServices":[],"childCriteriaItemList":[],"clientContextJson":""},{"keyOptionId":"8809","caption":"Gold","secondaryCaption":"","isDefault":true,"maskCriteriaOnly":false,"definition":"","keyProductQueryItem":"305790","comparisonOperation":0,"comparisonValue":"93","minimumVersion":"","maximumVersion":"","formOrder":0,"lowerBound":null,"enabled":true,"mask":"","largeMask":"","maskKey":"","keyItemMaskOfField":null,"keyOptionIdReplace":"","relatedOptionIds":[],"onlineServices":[],"childCriteriaItemList":[],"clientContextJson":""},{"keyOptionId":"8810","caption":"Silver","secondaryCaption":"","isDefault":true,"maskCriteriaOnly":false,"definition":"","keyProductQueryItem":"305790","comparisonOperation":0,"comparisonValue":"94","minimumVersion":"","maximumVersion":"","formOrder":0,"lowerBound":null,"enabled":true,"mask":"","largeMask":"","maskKey":"","keyItemMaskOfField":null,"keyOptionIdReplace":"","relatedOptionIds":[],"onlineServices":[],"childCriteriaItemList":[],"clientContextJson":""},{"keyOptionId":"8811","caption":"Aluminum","secondaryCaption":"","isDefault":true,"maskCriteriaOnly":false,"definition":"","keyProductQueryItem":"305790","comparisonOperation":0,"comparisonValue":"97","minimumVersion":"","maximumVersion":"","formOrder":0,"lowerBound":null,"enabled":true,"mask":"","largeMask":"","maskKey":"","keyItemMaskOfField":null,"keyOptionIdReplace":"","relatedOptionIds":[],"onlineServices":[],"childCriteriaItemList":[],"clientContextJson":""},{"keyOptionId":"8812","caption":"Copper","secondaryCaption":"","isDefault":true,"maskCriteriaOnly":false,"definition":"","keyProductQueryItem":"305790","comparisonOperation":0,"comparisonValue":"98","minimumVersion":"","maximumVersion":"","formOrder":0,"lowerBound":null,"enabled":true,"mask":"","largeMask":"","maskKey":"","keyItemMaskOfField":null,"keyOptionIdReplace":"","relatedOptionIds":[],"onlineServices":[],"childCriteriaItemList":[],"clientContextJson":""},{"keyOptionId":"8813","caption":"Steel","secondaryCaption":"","isDefault":true,"maskCriteriaOnly":false,"definition":"","keyProductQueryItem":"305790","comparisonOperation":0,"comparisonValue":"99","minimumVersion":"","maximumVersion":"","formOrder":0,"lowerBound":null,"enabled":true,"mask":"","largeMask":"","maskKey":"","keyItemMaskOfField":null,"keyOptionIdReplace":"","relatedOptionIds":[],"onlineServices":[],"childCriteriaItemList":[],"clientContextJ</t>
  </si>
  <si>
    <t>son":""}],"clientContextJson":""},{"keyOptionId":"8814","caption":"Construction Materials","secondaryCaption":"","isDefault":true,"maskCriteriaOnly":false,"definition":"","keyProductQueryItem":"305790","comparisonOperation":0,"comparisonValue":"100","minimumVersion":"","maximumVersion":"","formOrder":0,"lowerBound":null,"enabled":true,"mask":"","largeMask":"","maskKey":"","keyItemMaskOfField":null,"keyOptionIdReplace":"","relatedOptionIds":[],"onlineServices":[],"childCriteriaItemList":[],"clientContextJson":""},{"keyOptionId":"8815","caption":"Containers and Packaging: Metal, Glass, and Plastic","secondaryCaption":"","isDefault":true,"maskCriteriaOnly":false,"definition":"","keyProductQueryItem":"305790","comparisonOperation":0,"comparisonValue":"101","minimumVersion":"","maximumVersion":"","formOrder":0,"lowerBound":null,"enabled":true,"mask":"","largeMask":"","maskKey":"","keyItemMaskOfField":null,"keyOptionIdReplace":"","relatedOptionIds":[],"onlineServices":[],"childCriteriaItemList":[],"clientContextJson":""},{"keyOptionId":"8816","caption":"Packaging and Materials: Paper and Plastic","secondaryCaption":"","isDefault":true,"maskCriteriaOnly":false,"definition":"","keyProductQueryItem":"305790","comparisonOperation":0,"comparisonValue":"102","minimumVersion":"","maximumVersion":"","formOrder":0,"lowerBound":null,"enabled":true,"mask":"","largeMask":"","maskKey":"","keyItemMaskOfField":null,"keyOptionIdReplace":"","relatedOptionIds":[],"onlineServices":[],"childCriteriaItemList":[],"clientContextJson":""},{"keyOptionId":"8817","caption":"Forest Products","secondaryCaption":"","isDefault":true,"maskCriteriaOnly":false,"definition":"","keyProductQueryItem":"305790","comparisonOperation":0,"comparisonValue":"103","minimumVersion":"","maximumVersion":"","formOrder":0,"lowerBound":null,"enabled":true,"mask":"","largeMask":"","maskKey":"","keyItemMaskOfField":null,"keyOptionIdReplace":"","relatedOptionIds":[],"onlineServices":[],"childCriteriaItemList":[],"clientContextJson":""},{"keyOptionId":"8818","caption":"Paper Products","secondaryCaption":"","isDefault":true,"maskCriteriaOnly":false,"definition":"","keyProductQueryItem":"305790","comparisonOperation":0,"comparisonValue":"104","minimumVersion":"","maximumVersion":"","formOrder":0,"lowerBound":null,"enabled":true,"mask":"","largeMask":"","maskKey":"","keyItemMaskOfField":null,"keyOptionIdReplace":"","relatedOptionIds":[],"onlineServices":[],"childCriteriaItemList":[],"clientContextJson":""}],"clientContextJson":""},{"keyOptionId":"8819","caption":"Health Ca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8820","caption":"Health Care Equipment","secondaryCaption":"","isDefault":true,"maskCriteriaOnly":false,"definition":"","keyProductQueryItem":"305790","comparisonOperation":0,"comparisonValue":"106","minimumVersion":"","maximumVersion":"","formOrder":0,"lowerBound":null,"enabled":true,"mask":"","largeMask":"","maskKey":"","keyItemMaskOfField":null,"keyOptionIdReplace":"","relatedOptionIds":[],"onlineServices":[],"childCriteriaItemList":[],"clientContextJson":""},{"keyOptionId":"8821","caption":"Health Care Supplies","secondaryCaption":"","isDefault":true,"maskCriteriaOnly":false,"definition":"","keyProductQueryItem":"305790","comparisonOperation":0,"comparisonValue":"107","minimumVersion":"","maximumVersion":"","formOrder":0,"lowerBound":null,"enabled":true,"mask":"","largeMask":"","maskKey":"","keyItemMaskOfField":null,"keyOptionIdReplace":"","relatedOptionIds":[],"onlineServices":[],"childCriteriaItemList":[],"clientContextJson":""},{"keyOptionId":"8822","caption":"Health Care Providers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8823","caption":"Health Care Distributors","secondaryCaption":"","isDefault":true,"maskCriteriaOnly":false,"definition":"","keyProductQueryItem":"305790","comparisonOperation":0,"comparisonValue":"109","minimumVersion":"","maximumVersion":"","formOrder":0,"lowerBound":null,"enabled":true,"mask":"","largeMask":"","maskKey":"","keyItemMaskOfField":null,"keyOptionIdReplace":"","relatedOptionIds":[],"onlineServices":[],"childCriteriaItemList":[],"clientContextJson":""},{"keyOptionId":"8824","caption":"Health Care Services","secondaryCaption":"","isDefault":true,"maskCriteriaOnly":false,"definition":"","keyProductQueryItem":"305790","comparisonOperation":0,"comparisonValue":"110","minimumVersion":"","maximumVersion":"","formOrder":0,"lowerBound":null,"enabled":true,"mask":"","largeMask":"","maskKey":"","keyItemMaskOfField":null,"keyOptionIdReplace":"","relatedOptionIds":[],"onlineServices":[],"childCriteriaItemList":[],"clientContextJson":""},{"keyOptionId":"8825","caption":"Health Care Facilities","secondaryCaption":"","isDefault":true,"maskCriteriaOnly":false,"definition":"","keyProductQueryItem":"305790","comparisonOperation":0,"comparisonValue":"111","minimumVersion":"","maximumVersion":"","formOrder":0,"lowerBound":null,"enabled":true,"mask":"","largeMask":"","maskKey":"","keyItemMaskOfField":null,"keyOptionIdReplace":"","relatedOptionIds":[],"onlineServices":[],"childCriteriaItemList":[],"clientContextJson":""},{"keyOptionId":"8826","caption":"Managed Health Care","secondaryCaption":"","isDefault":true,"maskCriteriaOnly":false,"definition":"","keyProductQueryItem":"305790","comparisonOperation":0,"comparisonValue":"112","minimumVersion":"","maximumVersion":"","formOrder":0,"lowerBound":null,"enabled":true,"mask":"","largeMask":"","maskKey":"","keyItemMaskOfField":null,"keyOptionIdReplace":"","relatedOptionIds":[],"onlineServices":[],"childCriteriaItemList":[],"clientContextJson":""}],"clientContextJson":""},{"keyOptionId":"8827","caption":"Health Care Technology","secondaryCaption":"","isDefault":true,"maskCriteriaOnly":false,"definition":"","keyProductQueryItem":"305790","comparisonOperation":0,"comparisonValue":"113","minimumVersion":"","maximumVersion":"","formOrder":0,"lowerBound":null,"enabled":true,"mask":"","largeMask":"","maskKey":"","keyItemMaskOfField":null,"keyOptionIdReplace":"","relatedOptionIds":[],"onlineServices":[],"childCriteriaItemList":[],"clientContextJson":""},{"keyOptionId":"8828","caption":"Pharmaceuticals, Biotechnology and Life Scien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8829","caption":"Biotechnology","secondaryCaption":"","isDefault":true,"maskCriteriaOnly":false,"definition":"","keyProductQueryItem":"305790","comparisonOperation":0,"comparisonValue":"115","minimumVersion":"","maximumVersion":"","formOrder":0,"lowerBound":null,"enabled":true,"mask":"","largeMask":"","maskKey":"","keyItemMaskOfField":null,"keyOptionIdReplace":""</t>
  </si>
  <si>
    <t>,"relatedOptionIds":[],"onlineServices":[],"childCriteriaItemList":[],"clientContextJson":""},{"keyOptionId":"8830","caption":"Pharmaceuticals","secondaryCaption":"","isDefault":true,"maskCriteriaOnly":false,"definition":"","keyProductQueryItem":"305790","comparisonOperation":0,"comparisonValue":"116","minimumVersion":"","maximumVersion":"","formOrder":0,"lowerBound":null,"enabled":true,"mask":"","largeMask":"","maskKey":"","keyItemMaskOfField":null,"keyOptionIdReplace":"","relatedOptionIds":[],"onlineServices":[],"childCriteriaItemList":[],"clientContextJson":""},{"keyOptionId":"8831","caption":"Life Sciences Tools and Services","secondaryCaption":"","isDefault":true,"maskCriteriaOnly":false,"definition":"","keyProductQueryItem":"305790","comparisonOperation":0,"comparisonValue":"117","minimumVersion":"","maximumVersion":"","formOrder":0,"lowerBound":null,"enabled":true,"mask":"","largeMask":"","maskKey":"","keyItemMaskOfField":null,"keyOptionIdReplace":"","relatedOptionIds":[],"onlineServices":[],"childCriteriaItemList":[],"clientContextJson":""}],"clientContextJson":""}],"clientContextJson":""},{"keyOptionId":"8832","caption":"Indust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8833","caption":"Capital Good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8834","caption":"Aerospace and Defense","secondaryCaption":"","isDefault":true,"maskCriteriaOnly":false,"definition":"","keyProductQueryItem":"305790","comparisonOperation":0,"comparisonValue":"120","minimumVersion":"","maximumVersion":"","formOrder":0,"lowerBound":null,"enabled":true,"mask":"","largeMask":"","maskKey":"","keyItemMaskOfField":null,"keyOptionIdReplace":"","relatedOptionIds":[],"onlineServices":[],"childCriteriaItemList":[],"clientContextJson":""},{"keyOptionId":"8835","caption":"Building Products","secondaryCaption":"","isDefault":true,"maskCriteriaOnly":false,"definition":"","keyProductQueryItem":"305790","comparisonOperation":0,"comparisonValue":"121","minimumVersion":"","maximumVersion":"","formOrder":0,"lowerBound":null,"enabled":true,"mask":"","largeMask":"","maskKey":"","keyItemMaskOfField":null,"keyOptionIdReplace":"","relatedOptionIds":[],"onlineServices":[],"childCriteriaItemList":[],"clientContextJson":""},{"keyOptionId":"8836","caption":"Construction and Engineering","secondaryCaption":"","isDefault":true,"maskCriteriaOnly":false,"definition":"","keyProductQueryItem":"305790","comparisonOperation":0,"comparisonValue":"122","minimumVersion":"","maximumVersion":"","formOrder":0,"lowerBound":null,"enabled":true,"mask":"","largeMask":"","maskKey":"","keyItemMaskOfField":null,"keyOptionIdReplace":"","relatedOptionIds":[],"onlineServices":[],"childCriteriaItemList":[],"clientContextJson":""},{"keyOptionId":"8837","caption":"Electrical Components and Equipment: Light","secondaryCaption":"","isDefault":true,"maskCriteriaOnly":false,"definition":"","keyProductQueryItem":"305790","comparisonOperation":0,"comparisonValue":"123","minimumVersion":"","maximumVersion":"","formOrder":0,"lowerBound":null,"enabled":true,"mask":"","largeMask":"","maskKey":"","keyItemMaskOfField":null,"keyOptionIdReplace":"","relatedOptionIds":[],"onlineServices":[],"childCriteriaItemList":[],"clientContextJson":""},{"keyOptionId":"8838","caption":"Electrical Components and Equipment: Heavy","secondaryCaption":"","isDefault":true,"maskCriteriaOnly":false,"definition":"","keyProductQueryItem":"305790","comparisonOperation":0,"comparisonValue":"124","minimumVersion":"","maximumVersion":"","formOrder":0,"lowerBound":null,"enabled":true,"mask":"","largeMask":"","maskKey":"","keyItemMaskOfField":null,"keyOptionIdReplace":"","relatedOptionIds":[],"onlineServices":[],"childCriteriaItemList":[],"clientContextJson":""},{"keyOptionId":"8839","caption":"Industrial Conglomerates","secondaryCaption":"","isDefault":true,"maskCriteriaOnly":false,"definition":"","keyProductQueryItem":"305790","comparisonOperation":0,"comparisonValue":"125","minimumVersion":"","maximumVersion":"","formOrder":0,"lowerBound":null,"enabled":true,"mask":"","largeMask":"","maskKey":"","keyItemMaskOfField":null,"keyOptionIdReplace":"","relatedOptionIds":[],"onlineServices":[],"childCriteriaItemList":[],"clientContextJson":""},{"keyOptionId":"8840","caption":"Machinery and Equipment: Construction and Heavy Transportation","secondaryCaption":"","isDefault":true,"maskCriteriaOnly":false,"definition":"","keyProductQueryItem":"305790","comparisonOperation":0,"comparisonValue":"126","minimumVersion":"","maximumVersion":"","formOrder":0,"lowerBound":null,"enabled":true,"mask":"","largeMask":"","maskKey":"","keyItemMaskOfField":null,"keyOptionIdReplace":"","relatedOptionIds":[],"onlineServices":[],"childCriteriaItemList":[],"clientContextJson":""},{"keyOptionId":"8841","caption":"Machinery: Agricultural and Farm","secondaryCaption":"","isDefault":true,"maskCriteriaOnly":false,"definition":"","keyProductQueryItem":"305790","comparisonOperation":0,"comparisonValue":"127","minimumVersion":"","maximumVersion":"","formOrder":0,"lowerBound":null,"enabled":true,"mask":"","largeMask":"","maskKey":"","keyItemMaskOfField":null,"keyOptionIdReplace":"","relatedOptionIds":[],"onlineServices":[],"childCriteriaItemList":[],"clientContextJson":""},{"keyOptionId":"8842","caption":"Machinery and Supplies and Components: Industrial","secondaryCaption":"","isDefault":true,"maskCriteriaOnly":false,"definition":"","keyProductQueryItem":"305790","comparisonOperation":0,"comparisonValue":"128","minimumVersion":"","maximumVersion":"","formOrder":0,"lowerBound":null,"enabled":true,"mask":"","largeMask":"","maskKey":"","keyItemMaskOfField":null,"keyOptionIdReplace":"","relatedOptionIds":[],"onlineServices":[],"childCriteriaItemList":[],"clientContextJson":""},{"keyOptionId":"8843","caption":"Trading Companies and Distributors","secondaryCaption":"","isDefault":true,"maskCriteriaOnly":false,"definition":"","keyProductQueryItem":"305790","comparisonOperation":0,"comparisonValue":"129","minimumVersion":"","maximumVersion":"","formOrder":0,"lowerBound":null,"enabled":true,"mask":"","largeMask":"","maskKey":"","keyItemMaskOfField":null,"keyOptionIdReplace":"","relatedOptionIds":[],"onlineServices":[],"childCriteriaItemList":[],"clientContextJson":""}],"clientContextJson":""},{"keyOptionId":"8844","caption":"Commercial and Professional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8845","caption":"Commercial Printing","secondaryCaption":"","isDefault":true,"maskCriteriaOnly":false,"definition":"","keyProductQueryItem":"305790","comparisonOperation":0,"comparisonValue":"131","minimumVe</t>
  </si>
  <si>
    <t>rsion":"","maximumVersion":"","formOrder":0,"lowerBound":null,"enabled":true,"mask":"","largeMask":"","maskKey":"","keyItemMaskOfField":null,"keyOptionIdReplace":"","relatedOptionIds":[],"onlineServices":[],"childCriteriaItemList":[],"clientContextJson":""},{"keyOptionId":"8846","caption":"Environmental and Facilities Services","secondaryCaption":"","isDefault":true,"maskCriteriaOnly":false,"definition":"","keyProductQueryItem":"305790","comparisonOperation":0,"comparisonValue":"132","minimumVersion":"","maximumVersion":"","formOrder":0,"lowerBound":null,"enabled":true,"mask":"","largeMask":"","maskKey":"","keyItemMaskOfField":null,"keyOptionIdReplace":"","relatedOptionIds":[],"onlineServices":[],"childCriteriaItemList":[],"clientContextJson":""},{"keyOptionId":"8847","caption":"Office Services and Supplies","secondaryCaption":"","isDefault":true,"maskCriteriaOnly":false,"definition":"","keyProductQueryItem":"305790","comparisonOperation":0,"comparisonValue":"133","minimumVersion":"","maximumVersion":"","formOrder":0,"lowerBound":null,"enabled":true,"mask":"","largeMask":"","maskKey":"","keyItemMaskOfField":null,"keyOptionIdReplace":"","relatedOptionIds":[],"onlineServices":[],"childCriteriaItemList":[],"clientContextJson":""},{"keyOptionId":"8848","caption":"Diversified Support Services","secondaryCaption":"","isDefault":true,"maskCriteriaOnly":false,"definition":"","keyProductQueryItem":"305790","comparisonOperation":0,"comparisonValue":"134","minimumVersion":"","maximumVersion":"","formOrder":0,"lowerBound":null,"enabled":true,"mask":"","largeMask":"","maskKey":"","keyItemMaskOfField":null,"keyOptionIdReplace":"","relatedOptionIds":[],"onlineServices":[],"childCriteriaItemList":[],"clientContextJson":""},{"keyOptionId":"8849","caption":"Security and Alarm Services","secondaryCaption":"","isDefault":true,"maskCriteriaOnly":false,"definition":"","keyProductQueryItem":"305790","comparisonOperation":0,"comparisonValue":"135","minimumVersion":"","maximumVersion":"","formOrder":0,"lowerBound":null,"enabled":true,"mask":"","largeMask":"","maskKey":"","keyItemMaskOfField":null,"keyOptionIdReplace":"","relatedOptionIds":[],"onlineServices":[],"childCriteriaItemList":[],"clientContextJson":""},{"keyOptionId":"8850","caption":"Human Resource and Employment Services","secondaryCaption":"","isDefault":true,"maskCriteriaOnly":false,"definition":"","keyProductQueryItem":"305790","comparisonOperation":0,"comparisonValue":"136","minimumVersion":"","maximumVersion":"","formOrder":0,"lowerBound":null,"enabled":true,"mask":"","largeMask":"","maskKey":"","keyItemMaskOfField":null,"keyOptionIdReplace":"","relatedOptionIds":[],"onlineServices":[],"childCriteriaItemList":[],"clientContextJson":""},{"keyOptionId":"8851","caption":"Research and Consulting Services","secondaryCaption":"","isDefault":true,"maskCriteriaOnly":false,"definition":"","keyProductQueryItem":"305790","comparisonOperation":0,"comparisonValue":"137","minimumVersion":"","maximumVersion":"","formOrder":0,"lowerBound":null,"enabled":true,"mask":"","largeMask":"","maskKey":"","keyItemMaskOfField":null,"keyOptionIdReplace":"","relatedOptionIds":[],"onlineServices":[],"childCriteriaItemList":[],"clientContextJson":""},{"keyOptionId":"8934","caption":"Data Processing and Outsourced Services","secondaryCaption":"","isDefault":true,"maskCriteriaOnly":false,"definition":"","keyProductQueryItem":"305790","comparisonOperation":0,"comparisonValue":"203","minimumVersion":"","maximumVersion":"","formOrder":0,"lowerBound":null,"enabled":true,"mask":"","largeMask":"","maskKey":"","keyItemMaskOfField":null,"keyOptionIdReplace":"","relatedOptionIds":[],"onlineServices":[],"childCriteriaItemList":[],"clientContextJson":""}],"clientContextJson":""},{"keyOptionId":"8852","caption":"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8853","caption":"Air Freight and Logistics","secondaryCaption":"","isDefault":true,"maskCriteriaOnly":false,"definition":"","keyProductQueryItem":"305790","comparisonOperation":0,"comparisonValue":"139","minimumVersion":"","maximumVersion":"","formOrder":0,"lowerBound":null,"enabled":true,"mask":"","largeMask":"","maskKey":"","keyItemMaskOfField":null,"keyOptionIdReplace":"","relatedOptionIds":[],"onlineServices":[],"childCriteriaItemList":[],"clientContextJson":""},{"keyOptionId":"8854","caption":"Passenger Airlines","secondaryCaption":"","isDefault":true,"maskCriteriaOnly":false,"definition":"","keyProductQueryItem":"305790","comparisonOperation":0,"comparisonValue":"140","minimumVersion":"","maximumVersion":"","formOrder":0,"lowerBound":null,"enabled":true,"mask":"","largeMask":"","maskKey":"","keyItemMaskOfField":null,"keyOptionIdReplace":"","relatedOptionIds":[],"onlineServices":[],"childCriteriaItemList":[],"clientContextJson":""},{"keyOptionId":"8855","caption":"Marine Transportation","secondaryCaption":"","isDefault":true,"maskCriteriaOnly":false,"definition":"","keyProductQueryItem":"305790","comparisonOperation":0,"comparisonValue":"141","minimumVersion":"","maximumVersion":"","formOrder":0,"lowerBound":null,"enabled":true,"mask":"","largeMask":"","maskKey":"","keyItemMaskOfField":null,"keyOptionIdReplace":"","relatedOptionIds":[],"onlineServices":[],"childCriteriaItemList":[],"clientContextJson":""},{"keyOptionId":"8856","caption":"Rail Transportation","secondaryCaption":"","isDefault":true,"maskCriteriaOnly":false,"definition":"","keyProductQueryItem":"305790","comparisonOperation":0,"comparisonValue":"142","minimumVersion":"","maximumVersion":"","formOrder":0,"lowerBound":null,"enabled":true,"mask":"","largeMask":"","maskKey":"","keyItemMaskOfField":null,"keyOptionIdReplace":"","relatedOptionIds":[],"onlineServices":[],"childCriteriaItemList":[],"clientContextJson":""},{"keyOptionId":"8857","caption":"Passenger Ground Transportation","secondaryCaption":"","isDefault":true,"maskCriteriaOnly":false,"definition":"","keyProductQueryItem":"305790","comparisonOperation":0,"comparisonValue":"143","minimumVersion":"","maximumVersion":"","formOrder":0,"lowerBound":null,"enabled":true,"mask":"","largeMask":"","maskKey":"","keyItemMaskOfField":null,"keyOptionIdReplace":"","relatedOptionIds":[],"onlineServices":[],"childCriteriaItemList":[],"clientContextJson":""},{"keyOptionId":"8858","caption":"Airport Services","secondaryCaption":"","isDefault":true,"maskCriteriaOnly":false,"definition":"","keyProductQueryItem":"305790","comparisonOperation":0,"comparisonValue":"144","minimumVersion":"","maximumVersion":"","formOrder":0,"lowerBound":null,"enabled":true,"mask":"","largeMask":"","maskKey":"","keyItemMaskOfField":null,"keyOptionIdReplace":"","relatedOptionIds":[],"onlineServices":[],"childCriteriaItemList":[],"clientContextJson":""},{"keyOptionId":"8859","caption":"Highways and Railtracks","secondaryCaption":"","isDefault":true,"maskCriteriaOnly":false,"definition":"","keyProductQueryItem":"305790","comparisonOperation":0,"comparisonValue":"145","minimumVersion":"","maximumVersion":"","formOrder":0,"lowerBound":null,"enabled":true,"mask":"","largeMask":"","maskKey":"","keyItemMaskOfField":null,"keyOptionIdReplace":"","relatedOptionIds":[],"onlineServices":[],"childCriteriaItemList":[],"clientContextJson":""},{"keyOptionId":"8860","caption":"Marine Ports and Services","secondaryCaption":"","isDefault":true,"maskCri</t>
  </si>
  <si>
    <t>teriaOnly":false,"definition":"","keyProductQueryItem":"305790","comparisonOperation":0,"comparisonValue":"146","minimumVersion":"","maximumVersion":"","formOrder":0,"lowerBound":null,"enabled":true,"mask":"","largeMask":"","maskKey":"","keyItemMaskOfField":null,"keyOptionIdReplace":"","relatedOptionIds":[],"onlineServices":[],"childCriteriaItemList":[],"clientContextJson":""},{"keyOptionId":"92893","caption":"Cargo Ground Transportation","secondaryCaption":"","isDefault":true,"maskCriteriaOnly":false,"definition":"","keyProductQueryItem":"305790","comparisonOperation":0,"comparisonValue":"2876","minimumVersion":"","maximumVersion":"","formOrder":0,"lowerBound":null,"enabled":true,"mask":"","largeMask":"","maskKey":"","keyItemMaskOfField":null,"keyOptionIdReplace":"","relatedOptionIds":[],"onlineServices":[],"childCriteriaItemList":[],"clientContextJson":""}],"clientContextJson":""}],"clientContextJson":""},{"keyOptionId":"8861","caption":"Consum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8862","caption":"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8863","caption":"Retailers: Food and Dru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8864","caption":"Drug Retail","secondaryCaption":"","isDefault":true,"maskCriteriaOnly":false,"definition":"","keyProductQueryItem":"305790","comparisonOperation":0,"comparisonValue":"150","minimumVersion":"","maximumVersion":"","formOrder":0,"lowerBound":null,"enabled":true,"mask":"","largeMask":"","maskKey":"","keyItemMaskOfField":null,"keyOptionIdReplace":"","relatedOptionIds":[],"onlineServices":[],"childCriteriaItemList":[],"clientContextJson":""},{"keyOptionId":"8865","caption":"Food Distributors","secondaryCaption":"","isDefault":true,"maskCriteriaOnly":false,"definition":"","keyProductQueryItem":"305790","comparisonOperation":0,"comparisonValue":"151","minimumVersion":"","maximumVersion":"","formOrder":0,"lowerBound":null,"enabled":true,"mask":"","largeMask":"","maskKey":"","keyItemMaskOfField":null,"keyOptionIdReplace":"","relatedOptionIds":[],"onlineServices":[],"childCriteriaItemList":[],"clientContextJson":""},{"keyOptionId":"8866","caption":"Food Retail","secondaryCaption":"","isDefault":true,"maskCriteriaOnly":false,"definition":"","keyProductQueryItem":"305790","comparisonOperation":0,"comparisonValue":"152","minimumVersion":"","maximumVersion":"","formOrder":0,"lowerBound":null,"enabled":true,"mask":"","largeMask":"","maskKey":"","keyItemMaskOfField":null,"keyOptionIdReplace":"","relatedOptionIds":[],"onlineServices":[],"childCriteriaItemList":[],"clientContextJson":""},{"keyOptionId":"8867","caption":"Consumer Staples Merchandise Retail","secondaryCaption":"","isDefault":true,"maskCriteriaOnly":false,"definition":"","keyProductQueryItem":"305790","comparisonOperation":0,"comparisonValue":"153","minimumVersion":"","maximumVersion":"","formOrder":0,"lowerBound":null,"enabled":true,"mask":"","largeMask":"","maskKey":"","keyItemMaskOfField":null,"keyOptionIdReplace":"","relatedOptionIds":[],"onlineServices":[],"childCriteriaItemList":[],"clientContextJson":""}],"clientContextJson":""},{"keyOptionId":"8868","caption":"Retailers: NonFood and NonDru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8872","caption":"Apparel Retail","secondaryCaption":"","isDefault":true,"maskCriteriaOnly":false,"definition":"","keyProductQueryItem":"305790","comparisonOperation":0,"comparisonValue":"158","minimumVersion":"","maximumVersion":"","formOrder":0,"lowerBound":null,"enabled":true,"mask":"","largeMask":"","maskKey":"","keyItemMaskOfField":null,"keyOptionIdReplace":"","relatedOptionIds":[],"onlineServices":[],"childCriteriaItemList":[],"clientContextJson":""},{"keyOptionId":"8873","caption":"Computer and Electronics Retail","secondaryCaption":"","isDefault":true,"maskCriteriaOnly":false,"definition":"","keyProductQueryItem":"305790","comparisonOperation":0,"comparisonValue":"159","minimumVersion":"","maximumVersion":"","formOrder":0,"lowerBound":null,"enabled":true,"mask":"","largeMask":"","maskKey":"","keyItemMaskOfField":null,"keyOptionIdReplace":"","relatedOptionIds":[],"onlineServices":[],"childCriteriaItemList":[],"clientContextJson":""},{"keyOptionId":"8874","caption":"Home Improvement Retail","secondaryCaption":"","isDefault":true,"maskCriteriaOnly":false,"definition":"","keyProductQueryItem":"305790","comparisonOperation":0,"comparisonValue":"160","minimumVersion":"","maximumVersion":"","formOrder":0,"lowerBound":null,"enabled":true,"mask":"","largeMask":"","maskKey":"","keyItemMaskOfField":null,"keyOptionIdReplace":"","relatedOptionIds":[],"onlineServices":[],"childCriteriaItemList":[],"clientContextJson":""},{"keyOptionId":"8875","caption":"Other Specialty Retail","secondaryCaption":"","isDefault":true,"maskCriteriaOnly":false,"definition":"","keyProductQueryItem":"305790","comparisonOperation":0,"comparisonValue":"161","minimumVersion":"","maximumVersion":"","formOrder":0,"lowerBound":null,"enabled":true,"mask":"","largeMask":"","maskKey":"","keyItemMaskOfField":null,"keyOptionIdReplace":"","relatedOptionIds":[],"onlineServices":[],"childCriteriaItemList":[],"clientContextJson":""},{"keyOptionId":"8876","caption":"Automotive Retail","secondaryCaption":"","isDefault":true,"maskCriteriaOnly":false,"definition":"","keyProductQueryItem":"305790","comparisonOperation":0,"comparisonValue":"162","minimumVersion":"","maximumVersion":"","formOrder":0,"lowerBound":null,"enabled":true,"mask":"","largeMask":"","maskKey":"","keyItemMaskOfField":null,"keyOptionIdReplace":"","relatedOptionIds":[],"onlineServices":[],"childCriteriaItemList":[],"clientContextJson":""},{"keyOptionId":"8877","caption":"Homefurnishing Retail","secondaryCaption":"","isDefault":true,"maskCriteriaOnly":false,"definition":"","keyProductQueryItem":"305790","comparisonOperation":0,"comparisonValue":"163","minimumVersion":"","maximumVersion":"","formOrder":0,"lowerBound":null,"enabled":true,"mask":"","largeMask":"","maskKey":"","keyItemMaskOfField":null,"keyOptionIdReplace":"","relatedOptionIds":[],"onlineServices":[],"childCriteriaItemList":[],"clientContextJson":""},{"keyOptionId":"8878","caption":"Other Distributors","secondaryCaption":"","isDefault":true,"maskCriteriaOnly":false,"definition</t>
  </si>
  <si>
    <t>":"","keyProductQueryItem":"305790","comparisonOperation":0,"comparisonValue":"164","minimumVersion":"","maximumVersion":"","formOrder":0,"lowerBound":null,"enabled":true,"mask":"","largeMask":"","maskKey":"","keyItemMaskOfField":null,"keyOptionIdReplace":"","relatedOptionIds":[],"onlineServices":[],"childCriteriaItemList":[],"clientContextJson":""},{"keyOptionId":"92894","caption":"Broadline Retail","secondaryCaption":"","isDefault":true,"maskCriteriaOnly":false,"definition":"","keyProductQueryItem":"305790","comparisonOperation":0,"comparisonValue":"2871","minimumVersion":"","maximumVersion":"","formOrder":0,"lowerBound":null,"enabled":true,"mask":"","largeMask":"","maskKey":"","keyItemMaskOfField":null,"keyOptionIdReplace":"","relatedOptionIds":[],"onlineServices":[],"childCriteriaItemList":[],"clientContextJson":""}],"clientContextJson":""}],"clientContextJson":""},{"keyOptionId":"8879","caption":"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8880","caption":"Beverage 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8881","caption":"Brewer: Beer and Malt Liquor","secondaryCaption":"","isDefault":true,"maskCriteriaOnly":false,"definition":"","keyProductQueryItem":"305790","comparisonOperation":0,"comparisonValue":"167","minimumVersion":"","maximumVersion":"","formOrder":0,"lowerBound":null,"enabled":true,"mask":"","largeMask":"","maskKey":"","keyItemMaskOfField":null,"keyOptionIdReplace":"","relatedOptionIds":[],"onlineServices":[],"childCriteriaItemList":[],"clientContextJson":""},{"keyOptionId":"8882","caption":"Distillers and Vintners","secondaryCaption":"","isDefault":true,"maskCriteriaOnly":false,"definition":"","keyProductQueryItem":"305790","comparisonOperation":0,"comparisonValue":"168","minimumVersion":"","maximumVersion":"","formOrder":0,"lowerBound":null,"enabled":true,"mask":"","largeMask":"","maskKey":"","keyItemMaskOfField":null,"keyOptionIdReplace":"","relatedOptionIds":[],"onlineServices":[],"childCriteriaItemList":[],"clientContextJson":""},{"keyOptionId":"8883","caption":"Soft Drinks and Non-alcoholic Beverages","secondaryCaption":"","isDefault":true,"maskCriteriaOnly":false,"definition":"","keyProductQueryItem":"305790","comparisonOperation":0,"comparisonValue":"169","minimumVersion":"","maximumVersion":"","formOrder":0,"lowerBound":null,"enabled":true,"mask":"","largeMask":"","maskKey":"","keyItemMaskOfField":null,"keyOptionIdReplace":"","relatedOptionIds":[],"onlineServices":[],"childCriteriaItemList":[],"clientContextJson":""}],"clientContextJson":""},{"keyOptionId":"8884","caption":"Consumer Durables 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8885","caption":"Consumer Electronics Producers","secondaryCaption":"","isDefault":true,"maskCriteriaOnly":false,"definition":"","keyProductQueryItem":"305790","comparisonOperation":0,"comparisonValue":"171","minimumVersion":"","maximumVersion":"","formOrder":0,"lowerBound":null,"enabled":true,"mask":"","largeMask":"","maskKey":"","keyItemMaskOfField":null,"keyOptionIdReplace":"","relatedOptionIds":[],"onlineServices":[],"childCriteriaItemList":[],"clientContextJson":""},{"keyOptionId":"8886","caption":"Home Furnishings Producers","secondaryCaption":"","isDefault":true,"maskCriteriaOnly":false,"definition":"","keyProductQueryItem":"305790","comparisonOperation":0,"comparisonValue":"172","minimumVersion":"","maximumVersion":"","formOrder":0,"lowerBound":null,"enabled":true,"mask":"","largeMask":"","maskKey":"","keyItemMaskOfField":null,"keyOptionIdReplace":"","relatedOptionIds":[],"onlineServices":[],"childCriteriaItemList":[],"clientContextJson":""},{"keyOptionId":"8887","caption":"Homebuilding Producers","secondaryCaption":"","isDefault":true,"maskCriteriaOnly":false,"definition":"","keyProductQueryItem":"305790","comparisonOperation":0,"comparisonValue":"173","minimumVersion":"","maximumVersion":"","formOrder":0,"lowerBound":null,"enabled":true,"mask":"","largeMask":"","maskKey":"","keyItemMaskOfField":null,"keyOptionIdReplace":"","relatedOptionIds":[],"onlineServices":[],"childCriteriaItemList":[],"clientContextJson":""},{"keyOptionId":"8888","caption":"Household Appliances Producers","secondaryCaption":"","isDefault":true,"maskCriteriaOnly":false,"definition":"","keyProductQueryItem":"305790","comparisonOperation":0,"comparisonValue":"174","minimumVersion":"","maximumVersion":"","formOrder":0,"lowerBound":null,"enabled":true,"mask":"","largeMask":"","maskKey":"","keyItemMaskOfField":null,"keyOptionIdReplace":"","relatedOptionIds":[],"onlineServices":[],"childCriteriaItemList":[],"clientContextJson":""},{"keyOptionId":"8889","caption":"Housewares and Specialties Producers","secondaryCaption":"","isDefault":true,"maskCriteriaOnly":false,"definition":"","keyProductQueryItem":"305790","comparisonOperation":0,"comparisonValue":"175","minimumVersion":"","maximumVersion":"","formOrder":0,"lowerBound":null,"enabled":true,"mask":"","largeMask":"","maskKey":"","keyItemMaskOfField":null,"keyOptionIdReplace":"","relatedOptionIds":[],"onlineServices":[],"childCriteriaItemList":[],"clientContextJson":""},{"keyOptionId":"8890","caption":"Leisure Products Producers","secondaryCaption":"","isDefault":true,"maskCriteriaOnly":false,"definition":"","keyProductQueryItem":"305790","comparisonOperation":0,"comparisonValue":"176","minimumVersion":"","maximumVersion":"","formOrder":0,"lowerBound":null,"enabled":true,"mask":"","largeMask":"","maskKey":"","keyItemMaskOfField":null,"keyOptionIdReplace":"","relatedOptionIds":[],"onlineServices":[],"childCriteriaItemList":[],"clientContextJson":""}],"clientContextJson":""},{"keyOptionId":"8891","caption":"Apparel, Footwear and Textile Produce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8892","caption":"Apparel, Accessories and Luxury Goods","secondaryCaption":"","isDefault":true,"maskCriteriaOnly":false,"definition":"","keyProductQueryItem":"305790","comparisonOperation":0,"comparisonValue":"178","minimumVersion":"","maximumVersion":"","formOrder":0,"lowerBound":null,"enabled":true,"mask":"","largeMask":"","maskKey":"","keyItemMaskOfField":null,"keyOptionIdReplace":"","relatedOptionIds":[],"onlineServices":[],"childCriteriaItemList":[],"clientContextJson":""},{"keyOptionId":"8893",</t>
  </si>
  <si>
    <t>"caption":"Footwear Producers","secondaryCaption":"","isDefault":true,"maskCriteriaOnly":false,"definition":"","keyProductQueryItem":"305790","comparisonOperation":0,"comparisonValue":"179","minimumVersion":"","maximumVersion":"","formOrder":0,"lowerBound":null,"enabled":true,"mask":"","largeMask":"","maskKey":"","keyItemMaskOfField":null,"keyOptionIdReplace":"","relatedOptionIds":[],"onlineServices":[],"childCriteriaItemList":[],"clientContextJson":""},{"keyOptionId":"8894","caption":"Textiles Producers","secondaryCaption":"","isDefault":true,"maskCriteriaOnly":false,"definition":"","keyProductQueryItem":"305790","comparisonOperation":0,"comparisonValue":"180","minimumVersion":"","maximumVersion":"","formOrder":0,"lowerBound":null,"enabled":true,"mask":"","largeMask":"","maskKey":"","keyItemMaskOfField":null,"keyOptionIdReplace":"","relatedOptionIds":[],"onlineServices":[],"childCriteriaItemList":[],"clientContextJson":""}],"clientContextJson":""},{"keyOptionId":"8895","caption":"Agricultural Products and Services","secondaryCaption":"","isDefault":true,"maskCriteriaOnly":false,"definition":"","keyProductQueryItem":"305790","comparisonOperation":0,"comparisonValue":"181","minimumVersion":"","maximumVersion":"","formOrder":0,"lowerBound":null,"enabled":true,"mask":"","largeMask":"","maskKey":"","keyItemMaskOfField":null,"keyOptionIdReplace":"","relatedOptionIds":[],"onlineServices":[],"childCriteriaItemList":[],"clientContextJson":""},{"keyOptionId":"8898","caption":"Packaged Foods and Meats Producers","secondaryCaption":"","isDefault":true,"maskCriteriaOnly":false,"definition":"","keyProductQueryItem":"305790","comparisonOperation":0,"comparisonValue":"182","minimumVersion":"","maximumVersion":"","formOrder":0,"lowerBound":null,"enabled":true,"mask":"","largeMask":"","maskKey":"","keyItemMaskOfField":null,"keyOptionIdReplace":"","relatedOptionIds":[],"onlineServices":[],"childCriteriaItemList":[],"clientContextJson":""},{"keyOptionId":"8914","caption":"Tobacco Producers","secondaryCaption":"","isDefault":true,"maskCriteriaOnly":false,"definition":"","keyProductQueryItem":"305790","comparisonOperation":0,"comparisonValue":"183","minimumVersion":"","maximumVersion":"","formOrder":0,"lowerBound":null,"enabled":true,"mask":"","largeMask":"","maskKey":"","keyItemMaskOfField":null,"keyOptionIdReplace":"","relatedOptionIds":[],"onlineServices":[],"childCriteriaItemList":[],"clientContextJson":""},{"keyOptionId":"8915","caption":"Household Products Producers","secondaryCaption":"","isDefault":true,"maskCriteriaOnly":false,"definition":"","keyProductQueryItem":"305790","comparisonOperation":0,"comparisonValue":"184","minimumVersion":"","maximumVersion":"","formOrder":0,"lowerBound":null,"enabled":true,"mask":"","largeMask":"","maskKey":"","keyItemMaskOfField":null,"keyOptionIdReplace":"","relatedOptionIds":[],"onlineServices":[],"childCriteriaItemList":[],"clientContextJson":""},{"keyOptionId":"8916","caption":"Personal Care and Beauty Products: Producers","secondaryCaption":"","isDefault":true,"maskCriteriaOnly":false,"definition":"","keyProductQueryItem":"305790","comparisonOperation":0,"comparisonValue":"185","minimumVersion":"","maximumVersion":"","formOrder":0,"lowerBound":null,"enabled":true,"mask":"","largeMask":"","maskKey":"","keyItemMaskOfField":null,"keyOptionIdReplace":"","relatedOptionIds":[],"onlineServices":[],"childCriteriaItemList":[],"clientContextJson":""},{"keyOptionId":"8917","caption":"Automobiles and Compon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8918","caption":"Automotive Parts and Equipment","secondaryCaption":"","isDefault":true,"maskCriteriaOnly":false,"definition":"","keyProductQueryItem":"305790","comparisonOperation":0,"comparisonValue":"187","minimumVersion":"","maximumVersion":"","formOrder":0,"lowerBound":null,"enabled":true,"mask":"","largeMask":"","maskKey":"","keyItemMaskOfField":null,"keyOptionIdReplace":"","relatedOptionIds":[],"onlineServices":[],"childCriteriaItemList":[],"clientContextJson":""},{"keyOptionId":"8919","caption":"Tires and Rubber","secondaryCaption":"","isDefault":true,"maskCriteriaOnly":false,"definition":"","keyProductQueryItem":"305790","comparisonOperation":0,"comparisonValue":"188","minimumVersion":"","maximumVersion":"","formOrder":0,"lowerBound":null,"enabled":true,"mask":"","largeMask":"","maskKey":"","keyItemMaskOfField":null,"keyOptionIdReplace":"","relatedOptionIds":[],"onlineServices":[],"childCriteriaItemList":[],"clientContextJson":""},{"keyOptionId":"8920","caption":"Automobile Manufacturers","secondaryCaption":"","isDefault":true,"maskCriteriaOnly":false,"definition":"","keyProductQueryItem":"305790","comparisonOperation":0,"comparisonValue":"189","minimumVersion":"","maximumVersion":"","formOrder":0,"lowerBound":null,"enabled":true,"mask":"","largeMask":"","maskKey":"","keyItemMaskOfField":null,"keyOptionIdReplace":"","relatedOptionIds":[],"onlineServices":[],"childCriteriaItemList":[],"clientContextJson":""},{"keyOptionId":"8921","caption":"Motorcycle Manufacturers","secondaryCaption":"","isDefault":true,"maskCriteriaOnly":false,"definition":"","keyProductQueryItem":"305790","comparisonOperation":0,"comparisonValue":"190","minimumVersion":"","maximumVersion":"","formOrder":0,"lowerBound":null,"enabled":true,"mask":"","largeMask":"","maskKey":"","keyItemMaskOfField":null,"keyOptionIdReplace":"","relatedOptionIds":[],"onlineServices":[],"childCriteriaItemList":[],"clientContextJson":""}],"clientContextJson":""}],"clientContextJson":""},{"keyOptionId":"8922","caption":"Hotels, Restaurants and Leis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8923","caption":"Casinos and Gaming","secondaryCaption":"","isDefault":true,"maskCriteriaOnly":false,"definition":"","keyProductQueryItem":"305790","comparisonOperation":0,"comparisonValue":"192","minimumVersion":"","maximumVersion":"","formOrder":0,"lowerBound":null,"enabled":true,"mask":"","largeMask":"","maskKey":"","keyItemMaskOfField":null,"keyOptionIdReplace":"","relatedOptionIds":[],"onlineServices":[],"childCriteriaItemList":[],"clientContextJson":""},{"keyOptionId":"8924","caption":"Hotels, Resorts and Cruise Lines","secondaryCaption":"","isDefault":true,"maskCriteriaOnly":false,"definition":"","keyProductQueryItem":"305790","comparisonOperation":0,"comparisonValue":"193","minimumVersion":"","maximumVersion":"","formOrder":0,"lowerBound":null,"enabled":true,"mask":"","largeMask":"","maskKey":"","keyItemMaskOfField":null,"keyOptionIdReplace":"","relatedOptionIds":[],"onlineServices":[],"childCriteriaItemList":[],"clientContextJson":""},{"keyOptionId":"8925","caption":"Leisure Facilities","secondaryCaption":"","isDefault":true,"maskCriteriaOnly":false,"definition":"","keyProductQueryItem":"305790","comparisonOperation":0,"comparisonValue":"194","minimumVersion":"","maximumVersion":"","formOrder":0,"lowerBound":null,"enabled":true,"mask":"","largeMask":"","maskKey":"","keyItemMaskOfField":null,"keyOpti</t>
  </si>
  <si>
    <t>onIdReplace":"","relatedOptionIds":[],"onlineServices":[],"childCriteriaItemList":[],"clientContextJson":""},{"keyOptionId":"8926","caption":"Restaurants","secondaryCaption":"","isDefault":true,"maskCriteriaOnly":false,"definition":"","keyProductQueryItem":"305790","comparisonOperation":0,"comparisonValue":"195","minimumVersion":"","maximumVersion":"","formOrder":0,"lowerBound":null,"enabled":true,"mask":"","largeMask":"","maskKey":"","keyItemMaskOfField":null,"keyOptionIdReplace":"","relatedOptionIds":[],"onlineServices":[],"childCriteriaItemList":[],"clientContextJson":""}],"clientContextJson":""},{"keyOptionId":"8927","caption":"Education Services","secondaryCaption":"","isDefault":true,"maskCriteriaOnly":false,"definition":"","keyProductQueryItem":"305790","comparisonOperation":0,"comparisonValue":"196","minimumVersion":"","maximumVersion":"","formOrder":0,"lowerBound":null,"enabled":true,"mask":"","largeMask":"","maskKey":"","keyItemMaskOfField":null,"keyOptionIdReplace":"","relatedOptionIds":[],"onlineServices":[],"childCriteriaItemList":[],"clientContextJson":""},{"keyOptionId":"8928","caption":"Specialized Consumer Services","secondaryCaption":"","isDefault":true,"maskCriteriaOnly":false,"definition":"","keyProductQueryItem":"305790","comparisonOperation":0,"comparisonValue":"197","minimumVersion":"","maximumVersion":"","formOrder":0,"lowerBound":null,"enabled":true,"mask":"","largeMask":"","maskKey":"","keyItemMaskOfField":null,"keyOptionIdReplace":"","relatedOptionIds":[],"onlineServices":[],"childCriteriaItemList":[],"clientContextJson":""}],"clientContextJson":""},{"keyOptionId":"8929","caption":"Technology, Media and Telecommunica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8930","caption":"Information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8931","caption":"Software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8933","caption":"IT Consulting and Other Services","secondaryCaption":"","isDefault":true,"maskCriteriaOnly":false,"definition":"","keyProductQueryItem":"305790","comparisonOperation":0,"comparisonValue":"202","minimumVersion":"","maximumVersion":"","formOrder":0,"lowerBound":null,"enabled":true,"mask":"","largeMask":"","maskKey":"","keyItemMaskOfField":null,"keyOptionIdReplace":"","relatedOptionIds":[],"onlineServices":[],"childCriteriaItemList":[],"clientContextJson":""},{"keyOptionId":"8935","caption":"Application Software","secondaryCaption":"","isDefault":true,"maskCriteriaOnly":false,"definition":"","keyProductQueryItem":"305790","comparisonOperation":0,"comparisonValue":"204","minimumVersion":"","maximumVersion":"","formOrder":0,"lowerBound":null,"enabled":true,"mask":"","largeMask":"","maskKey":"","keyItemMaskOfField":null,"keyOptionIdReplace":"","relatedOptionIds":[],"onlineServices":[],"childCriteriaItemList":[],"clientContextJson":""},{"keyOptionId":"8936","caption":"Systems Software","secondaryCaption":"","isDefault":true,"maskCriteriaOnly":false,"definition":"","keyProductQueryItem":"305790","comparisonOperation":0,"comparisonValue":"205","minimumVersion":"","maximumVersion":"","formOrder":0,"lowerBound":null,"enabled":true,"mask":"","largeMask":"","maskKey":"","keyItemMaskOfField":null,"keyOptionIdReplace":"","relatedOptionIds":[],"onlineServices":[],"childCriteriaItemList":[],"clientContextJson":""},{"keyOptionId":"92895","caption":"Internet Services and Infrastructure","secondaryCaption":"","isDefault":true,"maskCriteriaOnly":false,"definition":"","keyProductQueryItem":"305790","comparisonOperation":0,"comparisonValue":"2870","minimumVersion":"","maximumVersion":"","formOrder":0,"lowerBound":null,"enabled":true,"mask":"","largeMask":"","maskKey":"","keyItemMaskOfField":null,"keyOptionIdReplace":"","relatedOptionIds":[],"onlineServices":[],"childCriteriaItemList":[],"clientContextJson":""}],"clientContextJson":""},{"keyOptionId":"8938","caption":"Technology Hardware and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caption":"Communications Equipment","secondaryCaption":"","isDefault":true,"maskCriteriaOnly":false,"definition":"","keyProductQueryItem":"305790","comparisonOperation":0,"comparisonValue":"208","minimumVersion":"","maximumVersion":"","formOrder":0,"lowerBound":null,"enabled":true,"mask":"","largeMask":"","maskKey":"","keyItemMaskOfField":null,"keyOptionIdReplace":"","relatedOptionIds":[],"onlineServices":[],"childCriteriaItemList":[],"clientContextJson":""},{"keyOptionId":"8940","caption":"Technology Hardware, Storage and Peripherals","secondaryCaption":"","isDefault":true,"maskCriteriaOnly":false,"definition":"","keyProductQueryItem":"305790","comparisonOperation":0,"comparisonValue":"209","minimumVersion":"","maximumVersion":"","formOrder":0,"lowerBound":null,"enabled":true,"mask":"","largeMask":"","maskKey":"","keyItemMaskOfField":null,"keyOptionIdReplace":"","relatedOptionIds":[],"onlineServices":[],"childCriteriaItemList":[],"clientContextJson":""},{"keyOptionId":"8941","caption":"Electronic Equipment and Instruments","secondaryCaption":"","isDefault":true,"maskCriteriaOnly":false,"definition":"","keyProductQueryItem":"305790","comparisonOperation":0,"comparisonValue":"210","minimumVersion":"","maximumVersion":"","formOrder":0,"lowerBound":null,"enabled":true,"mask":"","largeMask":"","maskKey":"","keyItemMaskOfField":null,"keyOptionIdReplace":"","relatedOptionIds":[],"onlineServices":[],"childCriteriaItemList":[],"clientContextJson":""},{"keyOptionId":"8942","caption":"Electronic Components","secondaryCaption":"","isDefault":true,"maskCriteriaOnly":false,"definition":"","keyProductQueryItem":"305790","comparisonOperation":0,"comparisonValue":"211","minimumVersion":"","maximumVersion":"","formOrder":0,"lowerBound":null,"enabled":true,"mask":"","largeMask":"","maskKey":"","keyItemMaskOfField":null,"keyOptionIdReplace":"","relatedOptionIds":[],"onlineServices":[],"childCriteriaItemList":[],"clientContextJson":""},{"keyOptionId":"8943","caption":"Electronic Manufacturing Services","secondaryCaption":"","isDefault":true,"maskCriteriaOnly":false,"definition":"","keyProductQueryItem":"305790","comparisonOperation":0,"comparisonValue":"212","minimumVersion":"","maximumVersion":"","formOrder":0,"lowerBound"</t>
  </si>
  <si>
    <t>:null,"enabled":true,"mask":"","largeMask":"","maskKey":"","keyItemMaskOfField":null,"keyOptionIdReplace":"","relatedOptionIds":[],"onlineServices":[],"childCriteriaItemList":[],"clientContextJson":""},{"keyOptionId":"8944","caption":"Technology Distributors","secondaryCaption":"","isDefault":true,"maskCriteriaOnly":false,"definition":"","keyProductQueryItem":"305790","comparisonOperation":0,"comparisonValue":"213","minimumVersion":"","maximumVersion":"","formOrder":0,"lowerBound":null,"enabled":true,"mask":"","largeMask":"","maskKey":"","keyItemMaskOfField":null,"keyOptionIdReplace":"","relatedOptionIds":[],"onlineServices":[],"childCriteriaItemList":[],"clientContextJson":""},{"keyOptionId":"8945","caption":"Semiconductor Materials and Equipment","secondaryCaption":"","isDefault":true,"maskCriteriaOnly":false,"definition":"","keyProductQueryItem":"305790","comparisonOperation":0,"comparisonValue":"214","minimumVersion":"","maximumVersion":"","formOrder":0,"lowerBound":null,"enabled":true,"mask":"","largeMask":"","maskKey":"","keyItemMaskOfField":null,"keyOptionIdReplace":"","relatedOptionIds":[],"onlineServices":[],"childCriteriaItemList":[],"clientContextJson":""},{"keyOptionId":"8946","caption":"Semiconductors","secondaryCaption":"","isDefault":true,"maskCriteriaOnly":false,"definition":"","keyProductQueryItem":"305790","comparisonOperation":0,"comparisonValue":"215","minimumVersion":"","maximumVersion":"","formOrder":0,"lowerBound":null,"enabled":true,"mask":"","largeMask":"","maskKey":"","keyItemMaskOfField":null,"keyOptionIdReplace":"","relatedOptionIds":[],"onlineServices":[],"childCriteriaItemList":[],"clientContextJson":""}],"clientContextJson":""}],"clientContextJson":""},{"keyOptionId":"8947","caption":"Media and Entertain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8937","caption":"Interactive Home Entertainment","secondaryCaption":"","isDefault":true,"maskCriteriaOnly":false,"definition":"","keyProductQueryItem":"305790","comparisonOperation":0,"comparisonValue":"206","minimumVersion":"","maximumVersion":"","formOrder":0,"lowerBound":null,"enabled":true,"mask":"","largeMask":"","maskKey":"","keyItemMaskOfField":null,"keyOptionIdReplace":"","relatedOptionIds":[],"onlineServices":[],"childCriteriaItemList":[],"clientContextJson":""},{"keyOptionId":"8948","caption":"Advertising","secondaryCaption":"","isDefault":true,"maskCriteriaOnly":false,"definition":"","keyProductQueryItem":"305790","comparisonOperation":0,"comparisonValue":"217","minimumVersion":"","maximumVersion":"","formOrder":0,"lowerBound":null,"enabled":true,"mask":"","largeMask":"","maskKey":"","keyItemMaskOfField":null,"keyOptionIdReplace":"","relatedOptionIds":[],"onlineServices":[],"childCriteriaItemList":[],"clientContextJson":""},{"keyOptionId":"8949","caption":"Broadcasting","secondaryCaption":"","isDefault":true,"maskCriteriaOnly":false,"definition":"","keyProductQueryItem":"305790","comparisonOperation":0,"comparisonValue":"218","minimumVersion":"","maximumVersion":"","formOrder":0,"lowerBound":null,"enabled":true,"mask":"","largeMask":"","maskKey":"","keyItemMaskOfField":null,"keyOptionIdReplace":"","relatedOptionIds":[],"onlineServices":[],"childCriteriaItemList":[],"clientContextJson":""},{"keyOptionId":"8950","caption":"Cable and Satellite","secondaryCaption":"","isDefault":true,"maskCriteriaOnly":false,"definition":"","keyProductQueryItem":"305790","comparisonOperation":0,"comparisonValue":"219","minimumVersion":"","maximumVersion":"","formOrder":0,"lowerBound":null,"enabled":true,"mask":"","largeMask":"","maskKey":"","keyItemMaskOfField":null,"keyOptionIdReplace":"","relatedOptionIds":[],"onlineServices":[],"childCriteriaItemList":[],"clientContextJson":""},{"keyOptionId":"8951","caption":"Movies and Entertainment","secondaryCaption":"","isDefault":true,"maskCriteriaOnly":false,"definition":"","keyProductQueryItem":"305790","comparisonOperation":0,"comparisonValue":"220","minimumVersion":"","maximumVersion":"","formOrder":0,"lowerBound":null,"enabled":true,"mask":"","largeMask":"","maskKey":"","keyItemMaskOfField":null,"keyOptionIdReplace":"","relatedOptionIds":[],"onlineServices":[],"childCriteriaItemList":[],"clientContextJson":""},{"keyOptionId":"8952","caption":"Publishing","secondaryCaption":"","isDefault":true,"maskCriteriaOnly":false,"definition":"","keyProductQueryItem":"305790","comparisonOperation":0,"comparisonValue":"221","minimumVersion":"","maximumVersion":"","formOrder":0,"lowerBound":null,"enabled":true,"mask":"","largeMask":"","maskKey":"","keyItemMaskOfField":null,"keyOptionIdReplace":"","relatedOptionIds":[],"onlineServices":[],"childCriteriaItemList":[],"clientContextJson":""},{"keyOptionId":"92896","caption":"Interactive Media and Services","secondaryCaption":"","isDefault":true,"maskCriteriaOnly":false,"definition":"","keyProductQueryItem":"305790","comparisonOperation":0,"comparisonValue":"2869","minimumVersion":"","maximumVersion":"","formOrder":0,"lowerBound":null,"enabled":true,"mask":"","largeMask":"","maskKey":"","keyItemMaskOfField":null,"keyOptionIdReplace":"","relatedOptionIds":[],"onlineServices":[],"childCriteriaItemList":[],"clientContextJson":""}],"clientContextJson":""},{"keyOptionId":"8953","caption":"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8954","caption":"Alternative Carriers","secondaryCaption":"","isDefault":true,"maskCriteriaOnly":false,"definition":"","keyProductQueryItem":"305790","comparisonOperation":0,"comparisonValue":"223","minimumVersion":"","maximumVersion":"","formOrder":0,"lowerBound":null,"enabled":true,"mask":"","largeMask":"","maskKey":"","keyItemMaskOfField":null,"keyOptionIdReplace":"","relatedOptionIds":[],"onlineServices":[],"childCriteriaItemList":[],"clientContextJson":""},{"keyOptionId":"8955","caption":"Integrated Telecommunication Services","secondaryCaption":"","isDefault":true,"maskCriteriaOnly":false,"definition":"","keyProductQueryItem":"305790","comparisonOperation":0,"comparisonValue":"224","minimumVersion":"","maximumVersion":"","formOrder":0,"lowerBound":null,"enabled":true,"mask":"","largeMask":"","maskKey":"","keyItemMaskOfField":null,"keyOptionIdReplace":"","relatedOptionIds":[],"onlineServices":[],"childCriteriaItemList":[],"clientContextJson":""},{"keyOptionId":"8956","caption":"Wireless Telecommunication Services","secondaryCaption":"","isDefault":true,"maskCriteriaOnly":false,"definition":"","keyProductQueryItem":"305790","comparisonOperation":0,"comparisonValue":"225","minimumVersion":"","maximumVersion":"","formOrder":0,"lowerBound":null,"enabled":true,"mask":"","largeMask":"","maskKey":"","keyItemMaskOfField":null,"keyOptionIdReplace":"","relatedOptionIds":[],"onlineServices":[],"childCriteriaItemList":[],"clientContextJson":""}],"clientContextJson":""}],"clientContextJson":""},{"keyOptionId":"25123","caption":"Unclassified","secondaryCaption":"","isDefault":true,"maskCriteriaOnly":false,"definition":"","keyProduc</t>
  </si>
  <si>
    <t>tQueryItem":"305790","comparisonOperation":0,"comparisonValue":"2868","minimumVersion":"","maximumVersion":"","formOrder":0,"lowerBound":null,"enabled":true,"mask":"","largeMask":"","maskKey":"","keyItemMaskOfField":null,"keyOptionIdReplace":"","relatedOptionIds":[],"onlineServices":[],"childCriteriaItemList":[],"clientContextJson":""}],"clientContextJson":""}]},{"filterGroupId":"8161","filterGroupIdReplace":"","caption":"Target/Issuer Geography","groupType":2,"optionType":8,"formOrder":30,"minimumVersion":"","maximumVersion":"","onlineServicesEnabled":false,"onlineServices":null,"column":0,"columnFormOrder":30,"criteriaIdName":"","required":true,"dateDefaultType":"","criteriaItemList":[{"keyOptionId":"8162","caption":"All Geograph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8163","caption":"United States and Canad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8164","caption":"United Stat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8165","caption":"Mid Atlant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8166","caption":"Delaware","secondaryCaption":"","isDefault":true,"maskCriteriaOnly":false,"definition":"","keyProductQueryItem":"300051","comparisonOperation":0,"comparisonValue":"271","minimumVersion":"","maximumVersion":"","formOrder":0,"lowerBound":null,"enabled":true,"mask":"","largeMask":"","maskKey":"","keyItemMaskOfField":null,"keyOptionIdReplace":"","relatedOptionIds":[],"onlineServices":[],"childCriteriaItemList":[],"clientContextJson":""},{"keyOptionId":"8167","caption":"District of Columbia","secondaryCaption":"","isDefault":true,"maskCriteriaOnly":false,"definition":"","keyProductQueryItem":"300051","comparisonOperation":0,"comparisonValue":"270","minimumVersion":"","maximumVersion":"","formOrder":0,"lowerBound":null,"enabled":true,"mask":"","largeMask":"","maskKey":"","keyItemMaskOfField":null,"keyOptionIdReplace":"","relatedOptionIds":[],"onlineServices":[],"childCriteriaItemList":[],"clientContextJson":""},{"keyOptionId":"8168","caption":"Maryland","secondaryCaption":"","isDefault":true,"maskCriteriaOnly":false,"definition":"","keyProductQueryItem":"300051","comparisonOperation":0,"comparisonValue":"272","minimumVersion":"","maximumVersion":"","formOrder":0,"lowerBound":null,"enabled":true,"mask":"","largeMask":"","maskKey":"","keyItemMaskOfField":null,"keyOptionIdReplace":"","relatedOptionIds":[],"onlineServices":[],"childCriteriaItemList":[],"clientContextJson":""},{"keyOptionId":"8169","caption":"New Jersey","secondaryCaption":"","isDefault":true,"maskCriteriaOnly":false,"definition":"","keyProductQueryItem":"300051","comparisonOperation":0,"comparisonValue":"273","minimumVersion":"","maximumVersion":"","formOrder":0,"lowerBound":null,"enabled":true,"mask":"","largeMask":"","maskKey":"","keyItemMaskOfField":null,"keyOptionIdReplace":"","relatedOptionIds":[],"onlineServices":[],"childCriteriaItemList":[],"clientContextJson":""},{"keyOptionId":"8170","caption":"New York","secondaryCaption":"","isDefault":true,"maskCriteriaOnly":false,"definition":"","keyProductQueryItem":"300051","comparisonOperation":0,"comparisonValue":"274","minimumVersion":"","maximumVersion":"","formOrder":0,"lowerBound":null,"enabled":true,"mask":"","largeMask":"","maskKey":"","keyItemMaskOfField":null,"keyOptionIdReplace":"","relatedOptionIds":[],"onlineServices":[],"childCriteriaItemList":[],"clientContextJson":""},{"keyOptionId":"8171","caption":"Pennsylvania","secondaryCaption":"","isDefault":true,"maskCriteriaOnly":false,"definition":"","keyProductQueryItem":"300051","comparisonOperation":0,"comparisonValue":"275","minimumVersion":"","maximumVersion":"","formOrder":0,"lowerBound":null,"enabled":true,"mask":"","largeMask":"","maskKey":"","keyItemMaskOfField":null,"keyOptionIdReplace":"","relatedOptionIds":[],"onlineServices":[],"childCriteriaItemList":[],"clientContextJson":""},{"keyOptionId":"8172","caption":"Puerto Rico","secondaryCaption":"","isDefault":true,"maskCriteriaOnly":false,"definition":"","keyProductQueryItem":"300051","comparisonOperation":0,"comparisonValue":"276","minimumVersion":"","maximumVersion":"","formOrder":0,"lowerBound":null,"enabled":true,"mask":"","largeMask":"","maskKey":"","keyItemMaskOfField":null,"keyOptionIdReplace":"","relatedOptionIds":[],"onlineServices":[],"childCriteriaItemList":[],"clientContextJson":""}],"clientContextJson":""},{"keyOptionId":"8173","caption":"Midwe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8174","caption":"Illinois","secondaryCaption":"","isDefault":true,"maskCriteriaOnly":false,"definition":"","keyProductQueryItem":"300051","comparisonOperation":0,"comparisonValue":"278","minimumVersion":"","maximumVersion":"","formOrder":0,"lowerBound":null,"enabled":true,"mask":"","largeMask":"","maskKey":"","keyItemMaskOfField":null,"keyOptionIdReplace":"","relatedOptionIds":[],"onlineServices":[],"childCriteriaItemList":[],"clientContextJson":""},{"keyOptionId":"8175","caption":"Indiana","secondaryCaption":"","isDefault":true,"maskCriteriaOnly":false,"definition":"","keyProductQueryItem":"300051","comparisonOperation":0,"comparisonValue":"279","minimumVersion":"","maximumVersion":"","formOrder":0,"lowerBound":null,"enabled":true,"mask":"","largeMask":"","maskKey":"","keyItemMaskOfField":null,"keyOptionIdReplace":"","relatedOptionIds":[],"onlineServices":[],"childCriteriaItemList":[],"clientContextJson":""},{"keyOptionId":"8176","caption":"Iowa","secondaryCaption":"","isDefault":true,"maskCriteriaOnly":false,"definition":"","keyProductQueryItem":"300051","comparisonOperation":0,"comparisonValue":"277","minimumVersion":"","maximumVersion":"","formOrder":0,"lowerBound":null,"enabled":true,"mask":"","largeMask":"","maskKey":"","keyItemMaskOfField":null,"keyOptionIdReplace":"","relatedOptionIds":[],"onlineServices":[],"childCriteriaItemList":[],"clientContextJson":""},{"keyOptionId":"8177","cap</t>
  </si>
  <si>
    <t>tion":"Kansas","secondaryCaption":"","isDefault":true,"maskCriteriaOnly":false,"definition":"","keyProductQueryItem":"300051","comparisonOperation":0,"comparisonValue":"280","minimumVersion":"","maximumVersion":"","formOrder":0,"lowerBound":null,"enabled":true,"mask":"","largeMask":"","maskKey":"","keyItemMaskOfField":null,"keyOptionIdReplace":"","relatedOptionIds":[],"onlineServices":[],"childCriteriaItemList":[],"clientContextJson":""},{"keyOptionId":"8178","caption":"Kentucky","secondaryCaption":"","isDefault":true,"maskCriteriaOnly":false,"definition":"","keyProductQueryItem":"300051","comparisonOperation":0,"comparisonValue":"281","minimumVersion":"","maximumVersion":"","formOrder":0,"lowerBound":null,"enabled":true,"mask":"","largeMask":"","maskKey":"","keyItemMaskOfField":null,"keyOptionIdReplace":"","relatedOptionIds":[],"onlineServices":[],"childCriteriaItemList":[],"clientContextJson":""},{"keyOptionId":"8179","caption":"Michigan","secondaryCaption":"","isDefault":true,"maskCriteriaOnly":false,"definition":"","keyProductQueryItem":"300051","comparisonOperation":0,"comparisonValue":"282","minimumVersion":"","maximumVersion":"","formOrder":0,"lowerBound":null,"enabled":true,"mask":"","largeMask":"","maskKey":"","keyItemMaskOfField":null,"keyOptionIdReplace":"","relatedOptionIds":[],"onlineServices":[],"childCriteriaItemList":[],"clientContextJson":""},{"keyOptionId":"8180","caption":"Minnesota","secondaryCaption":"","isDefault":true,"maskCriteriaOnly":false,"definition":"","keyProductQueryItem":"300051","comparisonOperation":0,"comparisonValue":"283","minimumVersion":"","maximumVersion":"","formOrder":0,"lowerBound":null,"enabled":true,"mask":"","largeMask":"","maskKey":"","keyItemMaskOfField":null,"keyOptionIdReplace":"","relatedOptionIds":[],"onlineServices":[],"childCriteriaItemList":[],"clientContextJson":""},{"keyOptionId":"8181","caption":"Missouri","secondaryCaption":"","isDefault":true,"maskCriteriaOnly":false,"definition":"","keyProductQueryItem":"300051","comparisonOperation":0,"comparisonValue":"284","minimumVersion":"","maximumVersion":"","formOrder":0,"lowerBound":null,"enabled":true,"mask":"","largeMask":"","maskKey":"","keyItemMaskOfField":null,"keyOptionIdReplace":"","relatedOptionIds":[],"onlineServices":[],"childCriteriaItemList":[],"clientContextJson":""},{"keyOptionId":"8182","caption":"Nebraska","secondaryCaption":"","isDefault":true,"maskCriteriaOnly":false,"definition":"","keyProductQueryItem":"300051","comparisonOperation":0,"comparisonValue":"286","minimumVersion":"","maximumVersion":"","formOrder":0,"lowerBound":null,"enabled":true,"mask":"","largeMask":"","maskKey":"","keyItemMaskOfField":null,"keyOptionIdReplace":"","relatedOptionIds":[],"onlineServices":[],"childCriteriaItemList":[],"clientContextJson":""},{"keyOptionId":"8183","caption":"North Dakota","secondaryCaption":"","isDefault":true,"maskCriteriaOnly":false,"definition":"","keyProductQueryItem":"300051","comparisonOperation":0,"comparisonValue":"285","minimumVersion":"","maximumVersion":"","formOrder":0,"lowerBound":null,"enabled":true,"mask":"","largeMask":"","maskKey":"","keyItemMaskOfField":null,"keyOptionIdReplace":"","relatedOptionIds":[],"onlineServices":[],"childCriteriaItemList":[],"clientContextJson":""},{"keyOptionId":"8184","caption":"Ohio","secondaryCaption":"","isDefault":true,"maskCriteriaOnly":false,"definition":"","keyProductQueryItem":"300051","comparisonOperation":0,"comparisonValue":"287","minimumVersion":"","maximumVersion":"","formOrder":0,"lowerBound":null,"enabled":true,"mask":"","largeMask":"","maskKey":"","keyItemMaskOfField":null,"keyOptionIdReplace":"","relatedOptionIds":[],"onlineServices":[],"childCriteriaItemList":[],"clientContextJson":""},{"keyOptionId":"8185","caption":"South Dakota","secondaryCaption":"","isDefault":true,"maskCriteriaOnly":false,"definition":"","keyProductQueryItem":"300051","comparisonOperation":0,"comparisonValue":"288","minimumVersion":"","maximumVersion":"","formOrder":0,"lowerBound":null,"enabled":true,"mask":"","largeMask":"","maskKey":"","keyItemMaskOfField":null,"keyOptionIdReplace":"","relatedOptionIds":[],"onlineServices":[],"childCriteriaItemList":[],"clientContextJson":""},{"keyOptionId":"8186","caption":"Wisconsin","secondaryCaption":"","isDefault":true,"maskCriteriaOnly":false,"definition":"","keyProductQueryItem":"300051","comparisonOperation":0,"comparisonValue":"289","minimumVersion":"","maximumVersion":"","formOrder":0,"lowerBound":null,"enabled":true,"mask":"","largeMask":"","maskKey":"","keyItemMaskOfField":null,"keyOptionIdReplace":"","relatedOptionIds":[],"onlineServices":[],"childCriteriaItemList":[],"clientContextJson":""}],"clientContextJson":""},{"keyOptionId":"8187","caption":"Northea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8188","caption":"Connecticut","secondaryCaption":"","isDefault":true,"maskCriteriaOnly":false,"definition":"","keyProductQueryItem":"300051","comparisonOperation":0,"comparisonValue":"290","minimumVersion":"","maximumVersion":"","formOrder":0,"lowerBound":null,"enabled":true,"mask":"","largeMask":"","maskKey":"","keyItemMaskOfField":null,"keyOptionIdReplace":"","relatedOptionIds":[],"onlineServices":[],"childCriteriaItemList":[],"clientContextJson":""},{"keyOptionId":"8189","caption":"Maine","secondaryCaption":"","isDefault":true,"maskCriteriaOnly":false,"definition":"","keyProductQueryItem":"300051","comparisonOperation":0,"comparisonValue":"292","minimumVersion":"","maximumVersion":"","formOrder":0,"lowerBound":null,"enabled":true,"mask":"","largeMask":"","maskKey":"","keyItemMaskOfField":null,"keyOptionIdReplace":"","relatedOptionIds":[],"onlineServices":[],"childCriteriaItemList":[],"clientContextJson":""},{"keyOptionId":"8190","caption":"Massachusetts","secondaryCaption":"","isDefault":true,"maskCriteriaOnly":false,"definition":"","keyProductQueryItem":"300051","comparisonOperation":0,"comparisonValue":"291","minimumVersion":"","maximumVersion":"","formOrder":0,"lowerBound":null,"enabled":true,"mask":"","largeMask":"","maskKey":"","keyItemMaskOfField":null,"keyOptionIdReplace":"","relatedOptionIds":[],"onlineServices":[],"childCriteriaItemList":[],"clientContextJson":""},{"keyOptionId":"8191","caption":"New Hampshire","secondaryCaption":"","isDefault":true,"maskCriteriaOnly":false,"definition":"","keyProductQueryItem":"300051","comparisonOperation":0,"comparisonValue":"293","minimumVersion":"","maximumVersion":"","formOrder":0,"lowerBound":null,"enabled":true,"mask":"","largeMask":"","maskKey":"","keyItemMaskOfField":null,"keyOptionIdReplace":"","relatedOptionIds":[],"onlineServices":[],"childCriteriaItemList":[],"clientContextJson":""},{"keyOptionId":"8192","caption":"Rhode Island","secondaryCaption":"","isDefault":true,"maskCriteriaOnly":false,"definition":"","keyProductQueryItem":"300051","comparisonOperation":0,"comparisonValue":"294","minimumVersion":"","maximumVersion":"","formOrder":0,"lowerBound":null,"enabled":true,"mask":"","largeMask":"","maskKey":"","keyItemMaskOfField":null,"keyOptionIdReplace":"","relatedOptionIds":[],"onlineServices":[],"childCriteriaItemList":[],"clientContextJson":""},{"keyOptionId":"8193","caption":"Vermont","secondaryCaption":"","isDefault":true,"maskCriteriaOnly":false,"definition":"","keyProductQueryItem":"300051","comparisonOperation":0,"</t>
  </si>
  <si>
    <t>comparisonValue":"295","minimumVersion":"","maximumVersion":"","formOrder":0,"lowerBound":null,"enabled":true,"mask":"","largeMask":"","maskKey":"","keyItemMaskOfField":null,"keyOptionIdReplace":"","relatedOptionIds":[],"onlineServices":[],"childCriteriaItemList":[],"clientContextJson":""}],"clientContextJson":""},{"keyOptionId":"8194","caption":"Southea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8195","caption":"Alabama","secondaryCaption":"","isDefault":true,"maskCriteriaOnly":false,"definition":"","keyProductQueryItem":"300051","comparisonOperation":0,"comparisonValue":"296","minimumVersion":"","maximumVersion":"","formOrder":0,"lowerBound":null,"enabled":true,"mask":"","largeMask":"","maskKey":"","keyItemMaskOfField":null,"keyOptionIdReplace":"","relatedOptionIds":[],"onlineServices":[],"childCriteriaItemList":[],"clientContextJson":""},{"keyOptionId":"8196","caption":"Arkansas","secondaryCaption":"","isDefault":true,"maskCriteriaOnly":false,"definition":"","keyProductQueryItem":"300051","comparisonOperation":0,"comparisonValue":"297","minimumVersion":"","maximumVersion":"","formOrder":0,"lowerBound":null,"enabled":true,"mask":"","largeMask":"","maskKey":"","keyItemMaskOfField":null,"keyOptionIdReplace":"","relatedOptionIds":[],"onlineServices":[],"childCriteriaItemList":[],"clientContextJson":""},{"keyOptionId":"8197","caption":"Florida","secondaryCaption":"","isDefault":true,"maskCriteriaOnly":false,"definition":"","keyProductQueryItem":"300051","comparisonOperation":0,"comparisonValue":"298","minimumVersion":"","maximumVersion":"","formOrder":0,"lowerBound":null,"enabled":true,"mask":"","largeMask":"","maskKey":"","keyItemMaskOfField":null,"keyOptionIdReplace":"","relatedOptionIds":[],"onlineServices":[],"childCriteriaItemList":[],"clientContextJson":""},{"keyOptionId":"8198","caption":"Georgia","secondaryCaption":"","isDefault":true,"maskCriteriaOnly":false,"definition":"","keyProductQueryItem":"300051","comparisonOperation":0,"comparisonValue":"299","minimumVersion":"","maximumVersion":"","formOrder":0,"lowerBound":null,"enabled":true,"mask":"","largeMask":"","maskKey":"","keyItemMaskOfField":null,"keyOptionIdReplace":"","relatedOptionIds":[],"onlineServices":[],"childCriteriaItemList":[],"clientContextJson":""},{"keyOptionId":"8199","caption":"Mississippi","secondaryCaption":"","isDefault":true,"maskCriteriaOnly":false,"definition":"","keyProductQueryItem":"300051","comparisonOperation":0,"comparisonValue":"300","minimumVersion":"","maximumVersion":"","formOrder":0,"lowerBound":null,"enabled":true,"mask":"","largeMask":"","maskKey":"","keyItemMaskOfField":null,"keyOptionIdReplace":"","relatedOptionIds":[],"onlineServices":[],"childCriteriaItemList":[],"clientContextJson":""},{"keyOptionId":"8200","caption":"North Carolina","secondaryCaption":"","isDefault":true,"maskCriteriaOnly":false,"definition":"","keyProductQueryItem":"300051","comparisonOperation":0,"comparisonValue":"301","minimumVersion":"","maximumVersion":"","formOrder":0,"lowerBound":null,"enabled":true,"mask":"","largeMask":"","maskKey":"","keyItemMaskOfField":null,"keyOptionIdReplace":"","relatedOptionIds":[],"onlineServices":[],"childCriteriaItemList":[],"clientContextJson":""},{"keyOptionId":"8201","caption":"South Carolina","secondaryCaption":"","isDefault":true,"maskCriteriaOnly":false,"definition":"","keyProductQueryItem":"300051","comparisonOperation":0,"comparisonValue":"302","minimumVersion":"","maximumVersion":"","formOrder":0,"lowerBound":null,"enabled":true,"mask":"","largeMask":"","maskKey":"","keyItemMaskOfField":null,"keyOptionIdReplace":"","relatedOptionIds":[],"onlineServices":[],"childCriteriaItemList":[],"clientContextJson":""},{"keyOptionId":"8202","caption":"Tennessee","secondaryCaption":"","isDefault":true,"maskCriteriaOnly":false,"definition":"","keyProductQueryItem":"300051","comparisonOperation":0,"comparisonValue":"303","minimumVersion":"","maximumVersion":"","formOrder":0,"lowerBound":null,"enabled":true,"mask":"","largeMask":"","maskKey":"","keyItemMaskOfField":null,"keyOptionIdReplace":"","relatedOptionIds":[],"onlineServices":[],"childCriteriaItemList":[],"clientContextJson":""},{"keyOptionId":"8203","caption":"Virgin Islands, U.S.","secondaryCaption":"","isDefault":true,"maskCriteriaOnly":false,"definition":"","keyProductQueryItem":"300051","comparisonOperation":0,"comparisonValue":"305","minimumVersion":"","maximumVersion":"","formOrder":0,"lowerBound":null,"enabled":true,"mask":"","largeMask":"","maskKey":"","keyItemMaskOfField":null,"keyOptionIdReplace":"","relatedOptionIds":[],"onlineServices":[],"childCriteriaItemList":[],"clientContextJson":""},{"keyOptionId":"8204","caption":"Virginia","secondaryCaption":"","isDefault":true,"maskCriteriaOnly":false,"definition":"","keyProductQueryItem":"300051","comparisonOperation":0,"comparisonValue":"304","minimumVersion":"","maximumVersion":"","formOrder":0,"lowerBound":null,"enabled":true,"mask":"","largeMask":"","maskKey":"","keyItemMaskOfField":null,"keyOptionIdReplace":"","relatedOptionIds":[],"onlineServices":[],"childCriteriaItemList":[],"clientContextJson":""},{"keyOptionId":"8205","caption":"West Virginia","secondaryCaption":"","isDefault":true,"maskCriteriaOnly":false,"definition":"","keyProductQueryItem":"300051","comparisonOperation":0,"comparisonValue":"306","minimumVersion":"","maximumVersion":"","formOrder":0,"lowerBound":null,"enabled":true,"mask":"","largeMask":"","maskKey":"","keyItemMaskOfField":null,"keyOptionIdReplace":"","relatedOptionIds":[],"onlineServices":[],"childCriteriaItemList":[],"clientContextJson":""}],"clientContextJson":""},{"keyOptionId":"8206","caption":"Southwe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8207","caption":"Colorado","secondaryCaption":"","isDefault":true,"maskCriteriaOnly":false,"definition":"","keyProductQueryItem":"300051","comparisonOperation":0,"comparisonValue":"307","minimumVersion":"","maximumVersion":"","formOrder":0,"lowerBound":null,"enabled":true,"mask":"","largeMask":"","maskKey":"","keyItemMaskOfField":null,"keyOptionIdReplace":"","relatedOptionIds":[],"onlineServices":[],"childCriteriaItemList":[],"clientContextJson":""},{"keyOptionId":"8208","caption":"Louisiana","secondaryCaption":"","isDefault":true,"maskCriteriaOnly":false,"definition":"","keyProductQueryItem":"300051","comparisonOperation":0,"comparisonValue":"308","minimumVersion":"","maximumVersion":"","formOrder":0,"lowerBound":null,"enabled":true,"mask":"","largeMask":"","maskKey":"","keyItemMaskOfField":null,"keyOptionIdReplace":"","relatedOptionIds":[],"onlineServices":[],"childCriteriaItemList":[],"clientContextJson":""},{"keyOptionId":"8209","caption":"New Mexico","secondaryCaption":"","isDefault":true,"maskCriteriaOnly":false,"definition":"","keyProductQueryItem":"300051","comparisonOperation":0,"comparisonValue":"309","minimumVersion":"","maximumVersion":"","formOrder":0,"lowerBound":null,"enabled":true,"mask":"","largeMask":"","maskKey</t>
  </si>
  <si>
    <t>":"","keyItemMaskOfField":null,"keyOptionIdReplace":"","relatedOptionIds":[],"onlineServices":[],"childCriteriaItemList":[],"clientContextJson":""},{"keyOptionId":"8210","caption":"Oklahoma","secondaryCaption":"","isDefault":true,"maskCriteriaOnly":false,"definition":"","keyProductQueryItem":"300051","comparisonOperation":0,"comparisonValue":"310","minimumVersion":"","maximumVersion":"","formOrder":0,"lowerBound":null,"enabled":true,"mask":"","largeMask":"","maskKey":"","keyItemMaskOfField":null,"keyOptionIdReplace":"","relatedOptionIds":[],"onlineServices":[],"childCriteriaItemList":[],"clientContextJson":""},{"keyOptionId":"8211","caption":"Texas","secondaryCaption":"","isDefault":true,"maskCriteriaOnly":false,"definition":"","keyProductQueryItem":"300051","comparisonOperation":0,"comparisonValue":"311","minimumVersion":"","maximumVersion":"","formOrder":0,"lowerBound":null,"enabled":true,"mask":"","largeMask":"","maskKey":"","keyItemMaskOfField":null,"keyOptionIdReplace":"","relatedOptionIds":[],"onlineServices":[],"childCriteriaItemList":[],"clientContextJson":""},{"keyOptionId":"8212","caption":"Utah","secondaryCaption":"","isDefault":true,"maskCriteriaOnly":false,"definition":"","keyProductQueryItem":"300051","comparisonOperation":0,"comparisonValue":"312","minimumVersion":"","maximumVersion":"","formOrder":0,"lowerBound":null,"enabled":true,"mask":"","largeMask":"","maskKey":"","keyItemMaskOfField":null,"keyOptionIdReplace":"","relatedOptionIds":[],"onlineServices":[],"childCriteriaItemList":[],"clientContextJson":""}],"clientContextJson":""},{"keyOptionId":"8213","caption":"We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8214","caption":"Alaska","secondaryCaption":"","isDefault":true,"maskCriteriaOnly":false,"definition":"","keyProductQueryItem":"300051","comparisonOperation":0,"comparisonValue":"313","minimumVersion":"","maximumVersion":"","formOrder":0,"lowerBound":null,"enabled":true,"mask":"","largeMask":"","maskKey":"","keyItemMaskOfField":null,"keyOptionIdReplace":"","relatedOptionIds":[],"onlineServices":[],"childCriteriaItemList":[],"clientContextJson":""},{"keyOptionId":"8215","caption":"American Samoa","secondaryCaption":"","isDefault":true,"maskCriteriaOnly":false,"definition":"","keyProductQueryItem":"300051","comparisonOperation":0,"comparisonValue":"314","minimumVersion":"","maximumVersion":"","formOrder":0,"lowerBound":null,"enabled":true,"mask":"","largeMask":"","maskKey":"","keyItemMaskOfField":null,"keyOptionIdReplace":"","relatedOptionIds":[],"onlineServices":[],"childCriteriaItemList":[],"clientContextJson":""},{"keyOptionId":"8216","caption":"Arizona","secondaryCaption":"","isDefault":true,"maskCriteriaOnly":false,"definition":"","keyProductQueryItem":"300051","comparisonOperation":0,"comparisonValue":"315","minimumVersion":"","maximumVersion":"","formOrder":0,"lowerBound":null,"enabled":true,"mask":"","largeMask":"","maskKey":"","keyItemMaskOfField":null,"keyOptionIdReplace":"","relatedOptionIds":[],"onlineServices":[],"childCriteriaItemList":[],"clientContextJson":""},{"keyOptionId":"8217","caption":"California","secondaryCaption":"","isDefault":true,"maskCriteriaOnly":false,"definition":"","keyProductQueryItem":"300051","comparisonOperation":0,"comparisonValue":"316","minimumVersion":"","maximumVersion":"","formOrder":0,"lowerBound":null,"enabled":true,"mask":"","largeMask":"","maskKey":"","keyItemMaskOfField":null,"keyOptionIdReplace":"","relatedOptionIds":[],"onlineServices":[],"childCriteriaItemList":[],"clientContextJson":""},{"keyOptionId":"8218","caption":"Guam","secondaryCaption":"","isDefault":true,"maskCriteriaOnly":false,"definition":"","keyProductQueryItem":"300051","comparisonOperation":0,"comparisonValue":"318","minimumVersion":"","maximumVersion":"","formOrder":0,"lowerBound":null,"enabled":true,"mask":"","largeMask":"","maskKey":"","keyItemMaskOfField":null,"keyOptionIdReplace":"","relatedOptionIds":[],"onlineServices":[],"childCriteriaItemList":[],"clientContextJson":""},{"keyOptionId":"8219","caption":"Hawaii","secondaryCaption":"","isDefault":true,"maskCriteriaOnly":false,"definition":"","keyProductQueryItem":"300051","comparisonOperation":0,"comparisonValue":"319","minimumVersion":"","maximumVersion":"","formOrder":0,"lowerBound":null,"enabled":true,"mask":"","largeMask":"","maskKey":"","keyItemMaskOfField":null,"keyOptionIdReplace":"","relatedOptionIds":[],"onlineServices":[],"childCriteriaItemList":[],"clientContextJson":""},{"keyOptionId":"8220","caption":"Idaho","secondaryCaption":"","isDefault":true,"maskCriteriaOnly":false,"definition":"","keyProductQueryItem":"300051","comparisonOperation":0,"comparisonValue":"320","minimumVersion":"","maximumVersion":"","formOrder":0,"lowerBound":null,"enabled":true,"mask":"","largeMask":"","maskKey":"","keyItemMaskOfField":null,"keyOptionIdReplace":"","relatedOptionIds":[],"onlineServices":[],"childCriteriaItemList":[],"clientContextJson":""},{"keyOptionId":"8221","caption":"Montana","secondaryCaption":"","isDefault":true,"maskCriteriaOnly":false,"definition":"","keyProductQueryItem":"300051","comparisonOperation":0,"comparisonValue":"323","minimumVersion":"","maximumVersion":"","formOrder":0,"lowerBound":null,"enabled":true,"mask":"","largeMask":"","maskKey":"","keyItemMaskOfField":null,"keyOptionIdReplace":"","relatedOptionIds":[],"onlineServices":[],"childCriteriaItemList":[],"clientContextJson":""},{"keyOptionId":"8222","caption":"Nevada","secondaryCaption":"","isDefault":true,"maskCriteriaOnly":false,"definition":"","keyProductQueryItem":"300051","comparisonOperation":0,"comparisonValue":"324","minimumVersion":"","maximumVersion":"","formOrder":0,"lowerBound":null,"enabled":true,"mask":"","largeMask":"","maskKey":"","keyItemMaskOfField":null,"keyOptionIdReplace":"","relatedOptionIds":[],"onlineServices":[],"childCriteriaItemList":[],"clientContextJson":""},{"keyOptionId":"8223","caption":"Northern Mariana Islands","secondaryCaption":"","isDefault":true,"maskCriteriaOnly":false,"definition":"","keyProductQueryItem":"300051","comparisonOperation":0,"comparisonValue":"322","minimumVersion":"","maximumVersion":"","formOrder":0,"lowerBound":null,"enabled":true,"mask":"","largeMask":"","maskKey":"","keyItemMaskOfField":null,"keyOptionIdReplace":"","relatedOptionIds":[],"onlineServices":[],"childCriteriaItemList":[],"clientContextJson":""},{"keyOptionId":"8224","caption":"Oregon","secondaryCaption":"","isDefault":true,"maskCriteriaOnly":false,"definition":"","keyProductQueryItem":"300051","comparisonOperation":0,"comparisonValue":"325","minimumVersion":"","maximumVersion":"","formOrder":0,"lowerBound":null,"enabled":true,"mask":"","largeMask":"","maskKey":"","keyItemMaskOfField":null,"keyOptionIdReplace":"","relatedOptionIds":[],"onlineServices":[],"childCriteriaItemList":[],"clientContextJson":""},{"keyOptionId":"8225","caption":"United States Minor Outlying Islands","secondaryCaption":"","isDefault":true,"maskCriteriaOnly":false,"definition":"","keyProductQueryItem":"300051","comparisonOperation":0,"comparisonValue":"327","minimumVersion":"","maximumVersion":"","formOrder":0,"lowerBound":null,"enabled":true,"mask":"","largeMask":"","maskKey":"","keyItemMaskOfField":null,"keyOptionIdReplace":"","relatedOptionIds":[],"onlineServices":[],"childCriteriaItemList":[],"clientContextJson":""}</t>
  </si>
  <si>
    <t>,{"keyOptionId":"8226","caption":"Washington","secondaryCaption":"","isDefault":true,"maskCriteriaOnly":false,"definition":"","keyProductQueryItem":"300051","comparisonOperation":0,"comparisonValue":"328","minimumVersion":"","maximumVersion":"","formOrder":0,"lowerBound":null,"enabled":true,"mask":"","largeMask":"","maskKey":"","keyItemMaskOfField":null,"keyOptionIdReplace":"","relatedOptionIds":[],"onlineServices":[],"childCriteriaItemList":[],"clientContextJson":""},{"keyOptionId":"8227","caption":"Wyoming","secondaryCaption":"","isDefault":true,"maskCriteriaOnly":false,"definition":"","keyProductQueryItem":"300051","comparisonOperation":0,"comparisonValue":"329","minimumVersion":"","maximumVersion":"","formOrder":0,"lowerBound":null,"enabled":true,"mask":"","largeMask":"","maskKey":"","keyItemMaskOfField":null,"keyOptionIdReplace":"","relatedOptionIds":[],"onlineServices":[],"childCriteriaItemList":[],"clientContextJson":""}],"clientContextJson":""},{"keyOptionId":"8957","caption":"Unknown","secondaryCaption":"","isDefault":true,"maskCriteriaOnly":false,"definition":"","keyProductQueryItem":"300051","comparisonOperation":0,"comparisonValue":"33","minimumVersion":"","maximumVersion":"","formOrder":0,"lowerBound":null,"enabled":true,"mask":"","largeMask":"","maskKey":"","keyItemMaskOfField":null,"keyOptionIdReplace":"","relatedOptionIds":[],"onlineServices":[],"childCriteriaItemList":[],"clientContextJson":""}],"clientContextJson":""},{"keyOptionId":"8228","caption":"Canada","secondaryCaption":"","isDefault":true,"maskCriteriaOnly":false,"definition":"","keyProductQueryItem":"300051","comparisonOperation":0,"comparisonValue":"38","minimumVersion":"","maximumVersion":"","formOrder":0,"lowerBound":null,"enabled":true,"mask":"","largeMask":"","maskKey":"","keyItemMaskOfField":null,"keyOptionIdReplace":"","relatedOptionIds":[],"onlineServices":[],"childCriteriaItemList":[],"clientContextJson":""},{"keyOptionId":"8229","caption":"Bermuda","secondaryCaption":"","isDefault":true,"maskCriteriaOnly":false,"definition":"","keyProductQueryItem":"300051","comparisonOperation":0,"comparisonValue":"12","minimumVersion":"","maximumVersion":"","formOrder":0,"lowerBound":null,"enabled":true,"mask":"","largeMask":"","maskKey":"","keyItemMaskOfField":null,"keyOptionIdReplace":"","relatedOptionIds":[],"onlineServices":[],"childCriteriaItemList":[],"clientContextJson":""}],"clientContextJson":""},{"keyOptionId":"8230","caption":"Europ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8231","caption":"Developed Europ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8232","caption":"Andorra","secondaryCaption":"","isDefault":true,"maskCriteriaOnly":false,"definition":"","keyProductQueryItem":"300051","comparisonOperation":0,"comparisonValue":"170","minimumVersion":"","maximumVersion":"","formOrder":0,"lowerBound":null,"enabled":true,"mask":"","largeMask":"","maskKey":"","keyItemMaskOfField":null,"keyOptionIdReplace":"","relatedOptionIds":[],"onlineServices":[],"childCriteriaItemList":[],"clientContextJson":""},{"keyOptionId":"8233","caption":"Austria","secondaryCaption":"","isDefault":true,"maskCriteriaOnly":false,"definition":"","keyProductQueryItem":"300051","comparisonOperation":0,"comparisonValue":"206","minimumVersion":"","maximumVersion":"","formOrder":0,"lowerBound":null,"enabled":true,"mask":"","largeMask":"","maskKey":"","keyItemMaskOfField":null,"keyOptionIdReplace":"","relatedOptionIds":[],"onlineServices":[],"childCriteriaItemList":[],"clientContextJson":""},{"keyOptionId":"8234","caption":"Belgium","secondaryCaption":"","isDefault":true,"maskCriteriaOnly":false,"definition":"","keyProductQueryItem":"300051","comparisonOperation":0,"comparisonValue":"175","minimumVersion":"","maximumVersion":"","formOrder":0,"lowerBound":null,"enabled":true,"mask":"","largeMask":"","maskKey":"","keyItemMaskOfField":null,"keyOptionIdReplace":"","relatedOptionIds":[],"onlineServices":[],"childCriteriaItemList":[],"clientContextJson":""},{"keyOptionId":"8235","caption":"Cyprus","secondaryCaption":"","isDefault":true,"maskCriteriaOnly":false,"definition":"","keyProductQueryItem":"300051","comparisonOperation":0,"comparisonValue":"126","minimumVersion":"","maximumVersion":"","formOrder":0,"lowerBound":null,"enabled":true,"mask":"","largeMask":"","maskKey":"","keyItemMaskOfField":null,"keyOptionIdReplace":"","relatedOptionIds":[],"onlineServices":[],"childCriteriaItemList":[],"clientContextJson":""},{"keyOptionId":"8236","caption":"Czech Republic","secondaryCaption":"","isDefault":true,"maskCriteriaOnly":false,"definition":"","keyProductQueryItem":"300051","comparisonOperation":0,"comparisonValue":"207","minimumVersion":"","maximumVersion":"","formOrder":0,"lowerBound":null,"enabled":true,"mask":"","largeMask":"","maskKey":"","keyItemMaskOfField":null,"keyOptionIdReplace":"","relatedOptionIds":[],"onlineServices":[],"childCriteriaItemList":[],"clientContextJson":""},{"keyOptionId":"8237","caption":"Denmark","secondaryCaption":"","isDefault":true,"maskCriteriaOnly":false,"definition":"","keyProductQueryItem":"300051","comparisonOperation":0,"comparisonValue":"209","minimumVersion":"","maximumVersion":"","formOrder":0,"lowerBound":null,"enabled":true,"mask":"","largeMask":"","maskKey":"","keyItemMaskOfField":null,"keyOptionIdReplace":"","relatedOptionIds":[],"onlineServices":[],"childCriteriaItemList":[],"clientContextJson":""},{"keyOptionId":"8238","caption":"Finland","secondaryCaption":"","isDefault":true,"maskCriteriaOnly":false,"definition":"","keyProductQueryItem":"300051","comparisonOperation":0,"comparisonValue":"181","minimumVersion":"","maximumVersion":"","formOrder":0,"lowerBound":null,"enabled":true,"mask":"","largeMask":"","maskKey":"","keyItemMaskOfField":null,"keyOptionIdReplace":"","relatedOptionIds":[],"onlineServices":[],"childCriteriaItemList":[],"clientContextJson":""},{"keyOptionId":"8239","caption":"France","secondaryCaption":"","isDefault":true,"maskCriteriaOnly":false,"definition":"","keyProductQueryItem":"300051","comparisonOperation":0,"comparisonValue":"183","minimumVersion":"","maximumVersion":"","formOrder":0,"lowerBound":null,"enabled":true,"mask":"","largeMask":"","maskKey":"","keyItemMaskOfField":null,"keyOptionIdReplace":"","relatedOptionIds":[],"onlineServices":[],"childCriteriaItemList":[],"clientContextJson":""},{"keyOptionId":"8240","caption":"Germany","secondaryCaption":"","isDefault":true,"maskCriteriaOnly":false,"definition":"","keyProductQueryItem":"300051","comparisonOperation":0,"comparisonValue":"208","minimumVersion":"","maximumVersion":"","formOrder":0,"lowerBound":null,"enabled":true,"mask":"","largeMask":"","maskKey":"","keyItemMaskOfField":null,"keyOptionIdReplace":"","relatedOptionIds":[],"onlineServices":[],"childCriteriaItemList":[],"clientContextJson":""},{"keyOptionId":"8241","caption":"Gibraltar","secondaryCaption":"","isDefault":true,"maskCriteriaOnly":false,"definition":"","keyProductQueryItem":"300051","</t>
  </si>
  <si>
    <t>comparisonOperation":0,"comparisonValue":"185","minimumVersion":"","maximumVersion":"","formOrder":0,"lowerBound":null,"enabled":true,"mask":"","largeMask":"","maskKey":"","keyItemMaskOfField":null,"keyOptionIdReplace":"","relatedOptionIds":[],"onlineServices":[],"childCriteriaItemList":[],"clientContextJson":""},{"keyOptionId":"8242","caption":"Greece","secondaryCaption":"","isDefault":true,"maskCriteriaOnly":false,"definition":"","keyProductQueryItem":"300051","comparisonOperation":0,"comparisonValue":"186","minimumVersion":"","maximumVersion":"","formOrder":0,"lowerBound":null,"enabled":true,"mask":"","largeMask":"","maskKey":"","keyItemMaskOfField":null,"keyOptionIdReplace":"","relatedOptionIds":[],"onlineServices":[],"childCriteriaItemList":[],"clientContextJson":""},{"keyOptionId":"8243","caption":"Greenland","secondaryCaption":"","isDefault":true,"maskCriteriaOnly":false,"definition":"","keyProductQueryItem":"300051","comparisonOperation":0,"comparisonValue":"19","minimumVersion":"","maximumVersion":"","formOrder":0,"lowerBound":null,"enabled":true,"mask":"","largeMask":"","maskKey":"","keyItemMaskOfField":null,"keyOptionIdReplace":"","relatedOptionIds":[],"onlineServices":[],"childCriteriaItemList":[],"clientContextJson":""},{"keyOptionId":"8244","caption":"Iceland","secondaryCaption":"","isDefault":true,"maskCriteriaOnly":false,"definition":"","keyProductQueryItem":"300051","comparisonOperation":0,"comparisonValue":"189","minimumVersion":"","maximumVersion":"","formOrder":0,"lowerBound":null,"enabled":true,"mask":"","largeMask":"","maskKey":"","keyItemMaskOfField":null,"keyOptionIdReplace":"","relatedOptionIds":[],"onlineServices":[],"childCriteriaItemList":[],"clientContextJson":""},{"keyOptionId":"8245","caption":"Ireland","secondaryCaption":"","isDefault":true,"maskCriteriaOnly":false,"definition":"","keyProductQueryItem":"300051","comparisonOperation":0,"comparisonValue":"212","minimumVersion":"","maximumVersion":"","formOrder":0,"lowerBound":null,"enabled":true,"mask":"","largeMask":"","maskKey":"","keyItemMaskOfField":null,"keyOptionIdReplace":"","relatedOptionIds":[],"onlineServices":[],"childCriteriaItemList":[],"clientContextJson":""},{"keyOptionId":"8246","caption":"Italy","secondaryCaption":"","isDefault":true,"maskCriteriaOnly":false,"definition":"","keyProductQueryItem":"300051","comparisonOperation":0,"comparisonValue":"190","minimumVersion":"","maximumVersion":"","formOrder":0,"lowerBound":null,"enabled":true,"mask":"","largeMask":"","maskKey":"","keyItemMaskOfField":null,"keyOptionIdReplace":"","relatedOptionIds":[],"onlineServices":[],"childCriteriaItemList":[],"clientContextJson":""},{"keyOptionId":"8247","caption":"Liechtenstein","secondaryCaption":"","isDefault":true,"maskCriteriaOnly":false,"definition":"","keyProductQueryItem":"300051","comparisonOperation":0,"comparisonValue":"213","minimumVersion":"","maximumVersion":"","formOrder":0,"lowerBound":null,"enabled":true,"mask":"","largeMask":"","maskKey":"","keyItemMaskOfField":null,"keyOptionIdReplace":"","relatedOptionIds":[],"onlineServices":[],"childCriteriaItemList":[],"clientContextJson":""},{"keyOptionId":"8248","caption":"Luxembourg","secondaryCaption":"","isDefault":true,"maskCriteriaOnly":false,"definition":"","keyProductQueryItem":"300051","comparisonOperation":0,"comparisonValue":"214","minimumVersion":"","maximumVersion":"","formOrder":0,"lowerBound":null,"enabled":true,"mask":"","largeMask":"","maskKey":"","keyItemMaskOfField":null,"keyOptionIdReplace":"","relatedOptionIds":[],"onlineServices":[],"childCriteriaItemList":[],"clientContextJson":""},{"keyOptionId":"8249","caption":"Malta","secondaryCaption":"","isDefault":true,"maskCriteriaOnly":false,"definition":"","keyProductQueryItem":"300051","comparisonOperation":0,"comparisonValue":"195","minimumVersion":"","maximumVersion":"","formOrder":0,"lowerBound":null,"enabled":true,"mask":"","largeMask":"","maskKey":"","keyItemMaskOfField":null,"keyOptionIdReplace":"","relatedOptionIds":[],"onlineServices":[],"childCriteriaItemList":[],"clientContextJson":""},{"keyOptionId":"8250","caption":"Monaco","secondaryCaption":"","isDefault":true,"maskCriteriaOnly":false,"definition":"","keyProductQueryItem":"300051","comparisonOperation":0,"comparisonValue":"215","minimumVersion":"","maximumVersion":"","formOrder":0,"lowerBound":null,"enabled":true,"mask":"","largeMask":"","maskKey":"","keyItemMaskOfField":null,"keyOptionIdReplace":"","relatedOptionIds":[],"onlineServices":[],"childCriteriaItemList":[],"clientContextJson":""},{"keyOptionId":"8251","caption":"Netherlands","secondaryCaption":"","isDefault":true,"maskCriteriaOnly":false,"definition":"","keyProductQueryItem":"300051","comparisonOperation":0,"comparisonValue":"216","minimumVersion":"","maximumVersion":"","formOrder":0,"lowerBound":null,"enabled":true,"mask":"","largeMask":"","maskKey":"","keyItemMaskOfField":null,"keyOptionIdReplace":"","relatedOptionIds":[],"onlineServices":[],"childCriteriaItemList":[],"clientContextJson":""},{"keyOptionId":"8252","caption":"Norway","secondaryCaption":"","isDefault":true,"maskCriteriaOnly":false,"definition":"","keyProductQueryItem":"300051","comparisonOperation":0,"comparisonValue":"196","minimumVersion":"","maximumVersion":"","formOrder":0,"lowerBound":null,"enabled":true,"mask":"","largeMask":"","maskKey":"","keyItemMaskOfField":null,"keyOptionIdReplace":"","relatedOptionIds":[],"onlineServices":[],"childCriteriaItemList":[],"clientContextJson":""},{"keyOptionId":"8253","caption":"Portugal","secondaryCaption":"","isDefault":true,"maskCriteriaOnly":false,"definition":"","keyProductQueryItem":"300051","comparisonOperation":0,"comparisonValue":"218","minimumVersion":"","maximumVersion":"","formOrder":0,"lowerBound":null,"enabled":true,"mask":"","largeMask":"","maskKey":"","keyItemMaskOfField":null,"keyOptionIdReplace":"","relatedOptionIds":[],"onlineServices":[],"childCriteriaItemList":[],"clientContextJson":""},{"keyOptionId":"8254","caption":"San Marino","secondaryCaption":"","isDefault":true,"maskCriteriaOnly":false,"definition":"","keyProductQueryItem":"300051","comparisonOperation":0,"comparisonValue":"202","minimumVersion":"","maximumVersion":"","formOrder":0,"lowerBound":null,"enabled":true,"mask":"","largeMask":"","maskKey":"","keyItemMaskOfField":null,"keyOptionIdReplace":"","relatedOptionIds":[],"onlineServices":[],"childCriteriaItemList":[],"clientContextJson":""},{"keyOptionId":"8255","caption":"Slovakia","secondaryCaption":"","isDefault":true,"maskCriteriaOnly":false,"definition":"","keyProductQueryItem":"300051","comparisonOperation":0,"comparisonValue":"201","minimumVersion":"","maximumVersion":"","formOrder":0,"lowerBound":null,"enabled":true,"mask":"","largeMask":"","maskKey":"","keyItemMaskOfField":null,"keyOptionIdReplace":"","relatedOptionIds":[],"onlineServices":[],"childCriteriaItemList":[],"clientContextJson":""},{"keyOptionId":"8256","caption":"Slovenia","secondaryCaption":"","isDefault":true,"maskCriteriaOnly":false,"definition":"","keyProductQueryItem":"300051","comparisonOperation":0,"comparisonValue":"199","minimumVersion":"","maximumVersion":"","formOrder":0,"lowerBound":null,"enabled":true,"mask":"","largeMask":"","maskKey":"","keyItemMaskOfField":null,"keyOptionIdReplace":"","relatedOptionIds":[],"onlineServices":[],"childCriteriaItemList":[],"clientContextJson":""},{"keyOptionId":"8257","caption":"Spain","secondaryCaption":"","isDefault":true,"maskCriteriaOnly":false,"definition":"","keyProductQueryItem":"300051","comparisonOperation":0,"comparisonValue":"210","minimumVersion":"","maximumVersion":"","formOrder":0,"lowerBound":null,"enabled":true,"mask":"","largeMask":"","maskKey":</t>
  </si>
  <si>
    <t>"","keyItemMaskOfField":null,"keyOptionIdReplace":"","relatedOptionIds":[],"onlineServices":[],"childCriteriaItemList":[],"clientContextJson":""},{"keyOptionId":"8258","caption":"Sweden","secondaryCaption":"","isDefault":true,"maskCriteriaOnly":false,"definition":"","keyProductQueryItem":"300051","comparisonOperation":0,"comparisonValue":"219","minimumVersion":"","maximumVersion":"","formOrder":0,"lowerBound":null,"enabled":true,"mask":"","largeMask":"","maskKey":"","keyItemMaskOfField":null,"keyOptionIdReplace":"","relatedOptionIds":[],"onlineServices":[],"childCriteriaItemList":[],"clientContextJson":""},{"keyOptionId":"8259","caption":"Switzerland","secondaryCaption":"","isDefault":true,"maskCriteriaOnly":false,"definition":"","keyProductQueryItem":"300051","comparisonOperation":0,"comparisonValue":"178","minimumVersion":"","maximumVersion":"","formOrder":0,"lowerBound":null,"enabled":true,"mask":"","largeMask":"","maskKey":"","keyItemMaskOfField":null,"keyOptionIdReplace":"","relatedOptionIds":[],"onlineServices":[],"childCriteriaItemList":[],"clientContextJson":""},{"keyOptionId":"8260","caption":"United Kingdom","secondaryCaption":"","isDefault":true,"maskCriteriaOnly":false,"definition":"","keyProductQueryItem":"300051","comparisonOperation":0,"comparisonValue":"211","minimumVersion":"","maximumVersion":"","formOrder":0,"lowerBound":null,"enabled":true,"mask":"","largeMask":"","maskKey":"","keyItemMaskOfField":null,"keyOptionIdReplace":"","relatedOptionIds":[],"onlineServices":[],"childCriteriaItemList":[],"clientContextJson":""},{"keyOptionId":"8261","caption":"Vatican City","secondaryCaption":"","isDefault":true,"maskCriteriaOnly":false,"definition":"","keyProductQueryItem":"300051","comparisonOperation":0,"comparisonValue":"205","minimumVersion":"","maximumVersion":"","formOrder":0,"lowerBound":null,"enabled":true,"mask":"","largeMask":"","maskKey":"","keyItemMaskOfField":null,"keyOptionIdReplace":"","relatedOptionIds":[],"onlineServices":[],"childCriteriaItemList":[],"clientContextJson":""}],"clientContextJson":""},{"keyOptionId":"8262","caption":"Emerging Europ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8263","caption":"Åland Islands","secondaryCaption":"","isDefault":true,"maskCriteriaOnly":false,"definition":"","keyProductQueryItem":"300051","comparisonOperation":0,"comparisonValue":"172","minimumVersion":"","maximumVersion":"","formOrder":0,"lowerBound":null,"enabled":true,"mask":"","largeMask":"","maskKey":"","keyItemMaskOfField":null,"keyOptionIdReplace":"","relatedOptionIds":[],"onlineServices":[],"childCriteriaItemList":[],"clientContextJson":""},{"keyOptionId":"8264","caption":"Albania","secondaryCaption":"","isDefault":true,"maskCriteriaOnly":false,"definition":"","keyProductQueryItem":"300051","comparisonOperation":0,"comparisonValue":"171","minimumVersion":"","maximumVersion":"","formOrder":0,"lowerBound":null,"enabled":true,"mask":"","largeMask":"","maskKey":"","keyItemMaskOfField":null,"keyOptionIdReplace":"","relatedOptionIds":[],"onlineServices":[],"childCriteriaItemList":[],"clientContextJson":""},{"keyOptionId":"8265","caption":"Armenia","secondaryCaption":"","isDefault":true,"maskCriteriaOnly":false,"definition":"","keyProductQueryItem":"300051","comparisonOperation":0,"comparisonValue":"120","minimumVersion":"","maximumVersion":"","formOrder":0,"lowerBound":null,"enabled":true,"mask":"","largeMask":"","maskKey":"","keyItemMaskOfField":null,"keyOptionIdReplace":"","relatedOptionIds":[],"onlineServices":[],"childCriteriaItemList":[],"clientContextJson":""},{"keyOptionId":"8266","caption":"Azerbaijan","secondaryCaption":"","isDefault":true,"maskCriteriaOnly":false,"definition":"","keyProductQueryItem":"300051","comparisonOperation":0,"comparisonValue":"173","minimumVersion":"","maximumVersion":"","formOrder":0,"lowerBound":null,"enabled":true,"mask":"","largeMask":"","maskKey":"","keyItemMaskOfField":null,"keyOptionIdReplace":"","relatedOptionIds":[],"onlineServices":[],"childCriteriaItemList":[],"clientContextJson":""},{"keyOptionId":"8267","caption":"Belarus","secondaryCaption":"","isDefault":true,"maskCriteriaOnly":false,"definition":"","keyProductQueryItem":"300051","comparisonOperation":0,"comparisonValue":"177","minimumVersion":"","maximumVersion":"","formOrder":0,"lowerBound":null,"enabled":true,"mask":"","largeMask":"","maskKey":"","keyItemMaskOfField":null,"keyOptionIdReplace":"","relatedOptionIds":[],"onlineServices":[],"childCriteriaItemList":[],"clientContextJson":""},{"keyOptionId":"8268","caption":"Bosnia &amp; Herzegovina","secondaryCaption":"","isDefault":true,"maskCriteriaOnly":false,"definition":"","keyProductQueryItem":"300051","comparisonOperation":0,"comparisonValue":"174","minimumVersion":"","maximumVersion":"","formOrder":0,"lowerBound":null,"enabled":true,"mask":"","largeMask":"","maskKey":"","keyItemMaskOfField":null,"keyOptionIdReplace":"","relatedOptionIds":[],"onlineServices":[],"childCriteriaItemList":[],"clientContextJson":""},{"keyOptionId":"8269","caption":"Bulgaria","secondaryCaption":"","isDefault":true,"maskCriteriaOnly":false,"definition":"","keyProductQueryItem":"300051","comparisonOperation":0,"comparisonValue":"176","minimumVersion":"","maximumVersion":"","formOrder":0,"lowerBound":null,"enabled":true,"mask":"","largeMask":"","maskKey":"","keyItemMaskOfField":null,"keyOptionIdReplace":"","relatedOptionIds":[],"onlineServices":[],"childCriteriaItemList":[],"clientContextJson":""},{"keyOptionId":"8270","caption":"Croatia","secondaryCaption":"","isDefault":true,"maskCriteriaOnly":false,"definition":"","keyProductQueryItem":"300051","comparisonOperation":0,"comparisonValue":"187","minimumVersion":"","maximumVersion":"","formOrder":0,"lowerBound":null,"enabled":true,"mask":"","largeMask":"","maskKey":"","keyItemMaskOfField":null,"keyOptionIdReplace":"","relatedOptionIds":[],"onlineServices":[],"childCriteriaItemList":[],"clientContextJson":""},{"keyOptionId":"8271","caption":"Estonia","secondaryCaption":"","isDefault":true,"maskCriteriaOnly":false,"definition":"","keyProductQueryItem":"300051","comparisonOperation":0,"comparisonValue":"180","minimumVersion":"","maximumVersion":"","formOrder":0,"lowerBound":null,"enabled":true,"mask":"","largeMask":"","maskKey":"","keyItemMaskOfField":null,"keyOptionIdReplace":"","relatedOptionIds":[],"onlineServices":[],"childCriteriaItemList":[],"clientContextJson":""},{"keyOptionId":"8272","caption":"Faroe Islands","secondaryCaption":"","isDefault":true,"maskCriteriaOnly":false,"definition":"","keyProductQueryItem":"300051","comparisonOperation":0,"comparisonValue":"182","minimumVersion":"","maximumVersion":"","formOrder":0,"lowerBound":null,"enabled":true,"mask":"","largeMask":"","maskKey":"","keyItemMaskOfField":null,"keyOptionIdReplace":"","relatedOptionIds":[],"onlineServices":[],"childCriteriaItemList":[],"clientContextJson":""},{"keyOptionId":"8273","caption":"Georgia","secondaryCaption":"","isDefault":true,"maskCriteriaOnly":false,"definition":"","keyProductQueryItem":"300051","comparisonOperation":0,"comparisonValue":"184","minimumVersion":"","maximumVersion":"","formOrder":0,"lowerBound":null,"enabled":true,"mask":"","largeMask":"","maskKey":"","keyItemMaskOfField":null,"keyOptionIdReplace":"","relatedOptionIds":[],"onlineServices":[],"childCriteriaItemList":[],"clientContex</t>
  </si>
  <si>
    <t>tJson":""},{"keyOptionId":"8274","caption":"Hungary","secondaryCaption":"","isDefault":true,"maskCriteriaOnly":false,"definition":"","keyProductQueryItem":"300051","comparisonOperation":0,"comparisonValue":"188","minimumVersion":"","maximumVersion":"","formOrder":0,"lowerBound":null,"enabled":true,"mask":"","largeMask":"","maskKey":"","keyItemMaskOfField":null,"keyOptionIdReplace":"","relatedOptionIds":[],"onlineServices":[],"childCriteriaItemList":[],"clientContextJson":""},{"keyOptionId":"8275","caption":"Kazakhstan","secondaryCaption":"","isDefault":true,"maskCriteriaOnly":false,"definition":"","keyProductQueryItem":"300051","comparisonOperation":0,"comparisonValue":"138","minimumVersion":"","maximumVersion":"","formOrder":0,"lowerBound":null,"enabled":true,"mask":"","largeMask":"","maskKey":"","keyItemMaskOfField":null,"keyOptionIdReplace":"","relatedOptionIds":[],"onlineServices":[],"childCriteriaItemList":[],"clientContextJson":""},{"keyOptionId":"8276","caption":"Kyrgyzstan","secondaryCaption":"","isDefault":true,"maskCriteriaOnly":false,"definition":"","keyProductQueryItem":"300051","comparisonOperation":0,"comparisonValue":"134","minimumVersion":"","maximumVersion":"","formOrder":0,"lowerBound":null,"enabled":true,"mask":"","largeMask":"","maskKey":"","keyItemMaskOfField":null,"keyOptionIdReplace":"","relatedOptionIds":[],"onlineServices":[],"childCriteriaItemList":[],"clientContextJson":""},{"keyOptionId":"8277","caption":"Latvia","secondaryCaption":"","isDefault":true,"maskCriteriaOnly":false,"definition":"","keyProductQueryItem":"300051","comparisonOperation":0,"comparisonValue":"192","minimumVersion":"","maximumVersion":"","formOrder":0,"lowerBound":null,"enabled":true,"mask":"","largeMask":"","maskKey":"","keyItemMaskOfField":null,"keyOptionIdReplace":"","relatedOptionIds":[],"onlineServices":[],"childCriteriaItemList":[],"clientContextJson":""},{"keyOptionId":"8278","caption":"Lithuania","secondaryCaption":"","isDefault":true,"maskCriteriaOnly":false,"definition":"","keyProductQueryItem":"300051","comparisonOperation":0,"comparisonValue":"191","minimumVersion":"","maximumVersion":"","formOrder":0,"lowerBound":null,"enabled":true,"mask":"","largeMask":"","maskKey":"","keyItemMaskOfField":null,"keyOptionIdReplace":"","relatedOptionIds":[],"onlineServices":[],"childCriteriaItemList":[],"clientContextJson":""},{"keyOptionId":"8280","caption":"Moldova","secondaryCaption":"","isDefault":true,"maskCriteriaOnly":false,"definition":"","keyProductQueryItem":"300051","comparisonOperation":0,"comparisonValue":"193","minimumVersion":"","maximumVersion":"","formOrder":0,"lowerBound":null,"enabled":true,"mask":"","largeMask":"","maskKey":"","keyItemMaskOfField":null,"keyOptionIdReplace":"","relatedOptionIds":[],"onlineServices":[],"childCriteriaItemList":[],"clientContextJson":""},{"keyOptionId":"8281","caption":"Montenegro","secondaryCaption":"","isDefault":true,"maskCriteriaOnly":false,"definition":"","keyProductQueryItem":"300051","comparisonOperation":0,"comparisonValue":"997","minimumVersion":"","maximumVersion":"","formOrder":0,"lowerBound":null,"enabled":true,"mask":"","largeMask":"","maskKey":"","keyItemMaskOfField":null,"keyOptionIdReplace":"","relatedOptionIds":[],"onlineServices":[],"childCriteriaItemList":[],"clientContextJson":""},{"keyOptionId":"8279","caption":"North Macedonia","secondaryCaption":"","isDefault":true,"maskCriteriaOnly":false,"definition":"","keyProductQueryItem":"300051","comparisonOperation":0,"comparisonValue":"194","minimumVersion":"","maximumVersion":"","formOrder":0,"lowerBound":null,"enabled":true,"mask":"","largeMask":"","maskKey":"","keyItemMaskOfField":null,"keyOptionIdReplace":"","relatedOptionIds":[],"onlineServices":[],"childCriteriaItemList":[],"clientContextJson":""},{"keyOptionId":"8282","caption":"Poland","secondaryCaption":"","isDefault":true,"maskCriteriaOnly":false,"definition":"","keyProductQueryItem":"300051","comparisonOperation":0,"comparisonValue":"217","minimumVersion":"","maximumVersion":"","formOrder":0,"lowerBound":null,"enabled":true,"mask":"","largeMask":"","maskKey":"","keyItemMaskOfField":null,"keyOptionIdReplace":"","relatedOptionIds":[],"onlineServices":[],"childCriteriaItemList":[],"clientContextJson":""},{"keyOptionId":"8283","caption":"Romania","secondaryCaption":"","isDefault":true,"maskCriteriaOnly":false,"definition":"","keyProductQueryItem":"300051","comparisonOperation":0,"comparisonValue":"197","minimumVersion":"","maximumVersion":"","formOrder":0,"lowerBound":null,"enabled":true,"mask":"","largeMask":"","maskKey":"","keyItemMaskOfField":null,"keyOptionIdReplace":"","relatedOptionIds":[],"onlineServices":[],"childCriteriaItemList":[],"clientContextJson":""},{"keyOptionId":"8284","caption":"Russia","secondaryCaption":"","isDefault":true,"maskCriteriaOnly":false,"definition":"","keyProductQueryItem":"300051","comparisonOperation":0,"comparisonValue":"198","minimumVersion":"","maximumVersion":"","formOrder":0,"lowerBound":null,"enabled":true,"mask":"","largeMask":"","maskKey":"","keyItemMaskOfField":null,"keyOptionIdReplace":"","relatedOptionIds":[],"onlineServices":[],"childCriteriaItemList":[],"clientContextJson":""},{"keyOptionId":"8285","caption":"Serbia","secondaryCaption":"","isDefault":true,"maskCriteriaOnly":false,"definition":"","keyProductQueryItem":"300051","comparisonOperation":0,"comparisonValue":"179","minimumVersion":"","maximumVersion":"","formOrder":0,"lowerBound":null,"enabled":true,"mask":"","largeMask":"","maskKey":"","keyItemMaskOfField":null,"keyOptionIdReplace":"","relatedOptionIds":[],"onlineServices":[],"childCriteriaItemList":[],"clientContextJson":""},{"keyOptionId":"8286","caption":"Svalbard","secondaryCaption":"","isDefault":true,"maskCriteriaOnly":false,"definition":"","keyProductQueryItem":"300051","comparisonOperation":0,"comparisonValue":"200","minimumVersion":"","maximumVersion":"","formOrder":0,"lowerBound":null,"enabled":true,"mask":"","largeMask":"","maskKey":"","keyItemMaskOfField":null,"keyOptionIdReplace":"","relatedOptionIds":[],"onlineServices":[],"childCriteriaItemList":[],"clientContextJson":""},{"keyOptionId":"8287","caption":"Tajikistan","secondaryCaption":"","isDefault":true,"maskCriteriaOnly":false,"definition":"","keyProductQueryItem":"300051","comparisonOperation":0,"comparisonValue":"155","minimumVersion":"","maximumVersion":"","formOrder":0,"lowerBound":null,"enabled":true,"mask":"","largeMask":"","maskKey":"","keyItemMaskOfField":null,"keyOptionIdReplace":"","relatedOptionIds":[],"onlineServices":[],"childCriteriaItemList":[],"clientContextJson":""},{"keyOptionId":"8288","caption":"Turkey","secondaryCaption":"","isDefault":true,"maskCriteriaOnly":false,"definition":"","keyProductQueryItem":"300051","comparisonOperation":0,"comparisonValue":"203","minimumVersion":"","maximumVersion":"","formOrder":0,"lowerBound":null,"enabled":true,"mask":"","largeMask":"","maskKey":"","keyItemMaskOfField":null,"keyOptionIdReplace":"","relatedOptionIds":[],"onlineServices":[],"childCriteriaItemList":[],"clientContextJson":""},{"keyOptionId":"8289","caption":"Turkmenistan","secondaryCaption":"","isDefault":true,"maskCriteriaOnly":false,"definition":"","keyProductQueryItem":"300051","comparisonOperation":0,"comparisonValue":"156","minimumVersion":"","maximumVersion":"","formOrder":0,"lowerBound":null,"enabled":true,"mask":"","largeMask":"","maskKey":"","keyItemMaskOfField":null,"keyOptionIdReplace":"","relatedOptionIds":[],"onlineServices":[],"childCriteriaItemList":[],"clientContextJson":""},{"keyOptionId":"8290","caption":"Ukraine","secondaryCaption":"","isDefault":true,"maskCriteriaOnly":false,"definition":"","keyProductQueryItem":"3</t>
  </si>
  <si>
    <t>00051","comparisonOperation":0,"comparisonValue":"204","minimumVersion":"","maximumVersion":"","formOrder":0,"lowerBound":null,"enabled":true,"mask":"","largeMask":"","maskKey":"","keyItemMaskOfField":null,"keyOptionIdReplace":"","relatedOptionIds":[],"onlineServices":[],"childCriteriaItemList":[],"clientContextJson":""},{"keyOptionId":"8291","caption":"Uzbekistan","secondaryCaption":"","isDefault":true,"maskCriteriaOnly":false,"definition":"","keyProductQueryItem":"300051","comparisonOperation":0,"comparisonValue":"158","minimumVersion":"","maximumVersion":"","formOrder":0,"lowerBound":null,"enabled":true,"mask":"","largeMask":"","maskKey":"","keyItemMaskOfField":null,"keyOptionIdReplace":"","relatedOptionIds":[],"onlineServices":[],"childCriteriaItemList":[],"clientContextJson":""}],"clientContextJson":""}],"clientContextJson":""},{"keyOptionId":"8292","caption":"Asia-Pacif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8293","caption":"Developed Asia-Pacif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8294","caption":"Australia","secondaryCaption":"","isDefault":true,"maskCriteriaOnly":false,"definition":"","keyProductQueryItem":"300051","comparisonOperation":0,"comparisonValue":"239","minimumVersion":"","maximumVersion":"","formOrder":0,"lowerBound":null,"enabled":true,"mask":"","largeMask":"","maskKey":"","keyItemMaskOfField":null,"keyOptionIdReplace":"","relatedOptionIds":[],"onlineServices":[],"childCriteriaItemList":[],"clientContextJson":""},{"keyOptionId":"8295","caption":"Hong Kong","secondaryCaption":"Hong Kong, China","isDefault":true,"maskCriteriaOnly":false,"definition":"","keyProductQueryItem":"300051","comparisonOperation":0,"comparisonValue":"127","minimumVersion":"","maximumVersion":"","formOrder":0,"lowerBound":null,"enabled":true,"mask":"","largeMask":"","maskKey":"","keyItemMaskOfField":null,"keyOptionIdReplace":"","relatedOptionIds":[],"onlineServices":[],"childCriteriaItemList":[],"clientContextJson":""},{"keyOptionId":"8296","caption":"Japan","secondaryCaption":"","isDefault":true,"maskCriteriaOnly":false,"definition":"","keyProductQueryItem":"300051","comparisonOperation":0,"comparisonValue":"133","minimumVersion":"","maximumVersion":"","formOrder":0,"lowerBound":null,"enabled":true,"mask":"","largeMask":"","maskKey":"","keyItemMaskOfField":null,"keyOptionIdReplace":"","relatedOptionIds":[],"onlineServices":[],"childCriteriaItemList":[],"clientContextJson":""},{"keyOptionId":"8297","caption":"New Zealand","secondaryCaption":"","isDefault":true,"maskCriteriaOnly":false,"definition":"","keyProductQueryItem":"300051","comparisonOperation":0,"comparisonValue":"228","minimumVersion":"","maximumVersion":"","formOrder":0,"lowerBound":null,"enabled":true,"mask":"","largeMask":"","maskKey":"","keyItemMaskOfField":null,"keyOptionIdReplace":"","relatedOptionIds":[],"onlineServices":[],"childCriteriaItemList":[],"clientContextJson":""},{"keyOptionId":"8298","caption":"Singapore","secondaryCaption":"","isDefault":true,"maskCriteriaOnly":false,"definition":"","keyProductQueryItem":"300051","comparisonOperation":0,"comparisonValue":"152","minimumVersion":"","maximumVersion":"","formOrder":0,"lowerBound":null,"enabled":true,"mask":"","largeMask":"","maskKey":"","keyItemMaskOfField":null,"keyOptionIdReplace":"","relatedOptionIds":[],"onlineServices":[],"childCriteriaItemList":[],"clientContextJson":""},{"keyOptionId":"8299","caption":"South Korea","secondaryCaption":"","isDefault":true,"maskCriteriaOnly":false,"definition":"","keyProductQueryItem":"300051","comparisonOperation":0,"comparisonValue":"136","minimumVersion":"","maximumVersion":"","formOrder":0,"lowerBound":null,"enabled":true,"mask":"","largeMask":"","maskKey":"","keyItemMaskOfField":null,"keyOptionIdReplace":"","relatedOptionIds":[],"onlineServices":[],"childCriteriaItemList":[],"clientContextJson":""},{"keyOptionId":"8300","caption":"Taiwan","secondaryCaption":"Taiwan, China","isDefault":true,"maskCriteriaOnly":false,"definition":"","keyProductQueryItem":"300051","comparisonOperation":0,"comparisonValue":"169","minimumVersion":"","maximumVersion":"","formOrder":0,"lowerBound":null,"enabled":true,"mask":"","largeMask":"","maskKey":"","keyItemMaskOfField":null,"keyOptionIdReplace":"","relatedOptionIds":[],"onlineServices":[],"childCriteriaItemList":[],"clientContextJson":""}],"clientContextJson":""},{"keyOptionId":"8301","caption":"Emerging Asia-Pacific","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8302","caption":"Afghanistan","secondaryCaption":"","isDefault":true,"maskCriteriaOnly":false,"definition":"","keyProductQueryItem":"300051","comparisonOperation":0,"comparisonValue":"161","minimumVersion":"","maximumVersion":"","formOrder":0,"lowerBound":null,"enabled":true,"mask":"","largeMask":"","maskKey":"","keyItemMaskOfField":null,"keyOptionIdReplace":"","relatedOptionIds":[],"onlineServices":[],"childCriteriaItemList":[],"clientContextJson":""},{"keyOptionId":"8303","caption":"Bangladesh","secondaryCaption":"","isDefault":true,"maskCriteriaOnly":false,"definition":"","keyProductQueryItem":"300051","comparisonOperation":0,"comparisonValue":"121","minimumVersion":"","maximumVersion":"","formOrder":0,"lowerBound":null,"enabled":true,"mask":"","largeMask":"","maskKey":"","keyItemMaskOfField":null,"keyOptionIdReplace":"","relatedOptionIds":[],"onlineServices":[],"childCriteriaItemList":[],"clientContextJson":""},{"keyOptionId":"8304","caption":"Bhutan","secondaryCaption":"","isDefault":true,"maskCriteriaOnly":false,"definition":"","keyProductQueryItem":"300051","comparisonOperation":0,"comparisonValue":"123","minimumVersion":"","maximumVersion":"","formOrder":0,"lowerBound":null,"enabled":true,"mask":"","largeMask":"","maskKey":"","keyItemMaskOfField":null,"keyOptionIdReplace":"","relatedOptionIds":[],"onlineServices":[],"childCriteriaItemList":[],"clientContextJson":""},{"keyOptionId":"8305","caption":"Brunei","secondaryCaption":"","isDefault":true,"maskCriteriaOnly":false,"definition":"","keyProductQueryItem":"300051","comparisonOperation":0,"comparisonValue":"122","minimumVersion":"","maximumVersion":"","formOrder":0,"lowerBound":null,"enabled":true,"mask":"","largeMask":"","maskKey":"","keyItemMaskOfField":null,"keyOptionIdReplace":"","relatedOptionIds":[],"onlineServices":[],"childCriteriaItemList":[],"clientContextJson":""},{"keyOptionId":"8306","caption":"Cambodia","secondaryCaption":"","isDefault":true,"maskCriteriaOnly":false,"definition":"","keyProductQueryItem":"300051","comparisonOperation":0,"comparisonValue":"135","minimumVersion":"","maximumVersion":"","formOrder":0,"lowerBou</t>
  </si>
  <si>
    <t>nd":null,"enabled":true,"mask":"","largeMask":"","maskKey":"","keyItemMaskOfField":null,"keyOptionIdReplace":"","relatedOptionIds":[],"onlineServices":[],"childCriteriaItemList":[],"clientContextJson":""},{"keyOptionId":"8307","caption":"China","secondaryCaption":"","isDefault":true,"maskCriteriaOnly":false,"definition":"","keyProductQueryItem":"300051","comparisonOperation":0,"comparisonValue":"163","minimumVersion":"","maximumVersion":"","formOrder":0,"lowerBound":null,"enabled":true,"mask":"","largeMask":"","maskKey":"","keyItemMaskOfField":null,"keyOptionIdReplace":"","relatedOptionIds":[],"onlineServices":[],"childCriteriaItemList":[],"clientContextJson":""},{"keyOptionId":"8308","caption":"Cook Islands","secondaryCaption":"","isDefault":true,"maskCriteriaOnly":false,"definition":"","keyProductQueryItem":"300051","comparisonOperation":0,"comparisonValue":"220","minimumVersion":"","maximumVersion":"","formOrder":0,"lowerBound":null,"enabled":true,"mask":"","largeMask":"","maskKey":"","keyItemMaskOfField":null,"keyOptionIdReplace":"","relatedOptionIds":[],"onlineServices":[],"childCriteriaItemList":[],"clientContextJson":""},{"keyOptionId":"8309","caption":"Fiji","secondaryCaption":"","isDefault":true,"maskCriteriaOnly":false,"definition":"","keyProductQueryItem":"300051","comparisonOperation":0,"comparisonValue":"221","minimumVersion":"","maximumVersion":"","formOrder":0,"lowerBound":null,"enabled":true,"mask":"","largeMask":"","maskKey":"","keyItemMaskOfField":null,"keyOptionIdReplace":"","relatedOptionIds":[],"onlineServices":[],"childCriteriaItemList":[],"clientContextJson":""},{"keyOptionId":"8310","caption":"French Polynesia","secondaryCaption":"","isDefault":true,"maskCriteriaOnly":false,"definition":"","keyProductQueryItem":"300051","comparisonOperation":0,"comparisonValue":"229","minimumVersion":"","maximumVersion":"","formOrder":0,"lowerBound":null,"enabled":true,"mask":"","largeMask":"","maskKey":"","keyItemMaskOfField":null,"keyOptionIdReplace":"","relatedOptionIds":[],"onlineServices":[],"childCriteriaItemList":[],"clientContextJson":""},{"keyOptionId":"8311","caption":"India","secondaryCaption":"","isDefault":true,"maskCriteriaOnly":false,"definition":"","keyProductQueryItem":"300051","comparisonOperation":0,"comparisonValue":"128","minimumVersion":"","maximumVersion":"","formOrder":0,"lowerBound":null,"enabled":true,"mask":"","largeMask":"","maskKey":"","keyItemMaskOfField":null,"keyOptionIdReplace":"","relatedOptionIds":[],"onlineServices":[],"childCriteriaItemList":[],"clientContextJson":""},{"keyOptionId":"8312","caption":"Indonesia","secondaryCaption":"","isDefault":true,"maskCriteriaOnly":false,"definition":"","keyProductQueryItem":"300051","comparisonOperation":0,"comparisonValue":"164","minimumVersion":"","maximumVersion":"","formOrder":0,"lowerBound":null,"enabled":true,"mask":"","largeMask":"","maskKey":"","keyItemMaskOfField":null,"keyOptionIdReplace":"","relatedOptionIds":[],"onlineServices":[],"childCriteriaItemList":[],"clientContextJson":""},{"keyOptionId":"8313","caption":"Kiribati","secondaryCaption":"","isDefault":true,"maskCriteriaOnly":false,"definition":"","keyProductQueryItem":"300051","comparisonOperation":0,"comparisonValue":"222","minimumVersion":"","maximumVersion":"","formOrder":0,"lowerBound":null,"enabled":true,"mask":"","largeMask":"","maskKey":"","keyItemMaskOfField":null,"keyOptionIdReplace":"","relatedOptionIds":[],"onlineServices":[],"childCriteriaItemList":[],"clientContextJson":""},{"keyOptionId":"8314","caption":"Laos","secondaryCaption":"","isDefault":true,"maskCriteriaOnly":false,"definition":"","keyProductQueryItem":"300051","comparisonOperation":0,"comparisonValue":"139","minimumVersion":"","maximumVersion":"","formOrder":0,"lowerBound":null,"enabled":true,"mask":"","largeMask":"","maskKey":"","keyItemMaskOfField":null,"keyOptionIdReplace":"","relatedOptionIds":[],"onlineServices":[],"childCriteriaItemList":[],"clientContextJson":""},{"keyOptionId":"8315","caption":"Macau","secondaryCaption":"Macau, China","isDefault":true,"maskCriteriaOnly":false,"definition":"","keyProductQueryItem":"300051","comparisonOperation":0,"comparisonValue":"144","minimumVersion":"","maximumVersion":"","formOrder":0,"lowerBound":null,"enabled":true,"mask":"","largeMask":"","maskKey":"","keyItemMaskOfField":null,"keyOptionIdReplace":"","relatedOptionIds":[],"onlineServices":[],"childCriteriaItemList":[],"clientContextJson":""},{"keyOptionId":"8316","caption":"Malaysia","secondaryCaption":"","isDefault":true,"maskCriteriaOnly":false,"definition":"","keyProductQueryItem":"300051","comparisonOperation":0,"comparisonValue":"146","minimumVersion":"","maximumVersion":"","formOrder":0,"lowerBound":null,"enabled":true,"mask":"","largeMask":"","maskKey":"","keyItemMaskOfField":null,"keyOptionIdReplace":"","relatedOptionIds":[],"onlineServices":[],"childCriteriaItemList":[],"clientContextJson":""},{"keyOptionId":"8317","caption":"Maldives","secondaryCaption":"","isDefault":true,"maskCriteriaOnly":false,"definition":"","keyProductQueryItem":"300051","comparisonOperation":0,"comparisonValue":"145","minimumVersion":"","maximumVersion":"","formOrder":0,"lowerBound":null,"enabled":true,"mask":"","largeMask":"","maskKey":"","keyItemMaskOfField":null,"keyOptionIdReplace":"","relatedOptionIds":[],"onlineServices":[],"childCriteriaItemList":[],"clientContextJson":""},{"keyOptionId":"8318","caption":"Marshall Islands","secondaryCaption":"","isDefault":true,"maskCriteriaOnly":false,"definition":"","keyProductQueryItem":"300051","comparisonOperation":0,"comparisonValue":"240","minimumVersion":"","maximumVersion":"","formOrder":0,"lowerBound":null,"enabled":true,"mask":"","largeMask":"","maskKey":"","keyItemMaskOfField":null,"keyOptionIdReplace":"","relatedOptionIds":[],"onlineServices":[],"childCriteriaItemList":[],"clientContextJson":""},{"keyOptionId":"8319","caption":"Mongolia","secondaryCaption":"","isDefault":true,"maskCriteriaOnly":false,"definition":"","keyProductQueryItem":"300051","comparisonOperation":0,"comparisonValue":"143","minimumVersion":"","maximumVersion":"","formOrder":0,"lowerBound":null,"enabled":true,"mask":"","largeMask":"","maskKey":"","keyItemMaskOfField":null,"keyOptionIdReplace":"","relatedOptionIds":[],"onlineServices":[],"childCriteriaItemList":[],"clientContextJson":""},{"keyOptionId":"8320","caption":"Myanmar","secondaryCaption":"","isDefault":true,"maskCriteriaOnly":false,"definition":"","keyProductQueryItem":"300051","comparisonOperation":0,"comparisonValue":"142","minimumVersion":"","maximumVersion":"","formOrder":0,"lowerBound":null,"enabled":true,"mask":"","largeMask":"","maskKey":"","keyItemMaskOfField":null,"keyOptionIdReplace":"","relatedOptionIds":[],"onlineServices":[],"childCriteriaItemList":[],"clientContextJson":""},{"keyOptionId":"8321","caption":"Nauru","secondaryCaption":"","isDefault":true,"maskCriteriaOnly":false,"definition":"","keyProductQueryItem":"300051","comparisonOperation":0,"comparisonValue":"226","minimumVersion":"","maximumVersion":"","formOrder":0,"lowerBound":null,"enabled":true,"mask":"","largeMask":"","maskKey":"","keyItemMaskOfField":null,"keyOptionIdReplace":"","relatedOptionIds":[],"onlineServices":[],"childCriteriaItemList":[],"clientContextJson":""},{"keyOptionId":"8322","caption":"Nepal","secondaryCaption":"","isDefault":true,"maskCriteriaOnly":false,"definition":"","keyProductQueryItem":"300051","comparisonOperation":0,"comparisonValue":"147","minimumVersion":"","maximumVersion":"","formOrder":0,"lowerBound":null,"enabled":true,"mask":"","largeMask":"","maskKey":"","keyItemMaskOfField":null,"keyOptionIdReplace":"","relatedOptionIds":[],"onlineServices":[],"</t>
  </si>
  <si>
    <t>childCriteriaItemList":[],"clientContextJson":""},{"keyOptionId":"8323","caption":"New Caledonia","secondaryCaption":"","isDefault":true,"maskCriteriaOnly":false,"definition":"","keyProductQueryItem":"300051","comparisonOperation":0,"comparisonValue":"224","minimumVersion":"","maximumVersion":"","formOrder":0,"lowerBound":null,"enabled":true,"mask":"","largeMask":"","maskKey":"","keyItemMaskOfField":null,"keyOptionIdReplace":"","relatedOptionIds":[],"onlineServices":[],"childCriteriaItemList":[],"clientContextJson":""},{"keyOptionId":"8324","caption":"Niue","secondaryCaption":"","isDefault":true,"maskCriteriaOnly":false,"definition":"","keyProductQueryItem":"300051","comparisonOperation":0,"comparisonValue":"227","minimumVersion":"","maximumVersion":"","formOrder":0,"lowerBound":null,"enabled":true,"mask":"","largeMask":"","maskKey":"","keyItemMaskOfField":null,"keyOptionIdReplace":"","relatedOptionIds":[],"onlineServices":[],"childCriteriaItemList":[],"clientContextJson":""},{"keyOptionId":"8325","caption":"North Korea","secondaryCaption":"","isDefault":true,"maskCriteriaOnly":false,"definition":"","keyProductQueryItem":"300051","comparisonOperation":0,"comparisonValue":"166","minimumVersion":"","maximumVersion":"","formOrder":0,"lowerBound":null,"enabled":true,"mask":"","largeMask":"","maskKey":"","keyItemMaskOfField":null,"keyOptionIdReplace":"","relatedOptionIds":[],"onlineServices":[],"childCriteriaItemList":[],"clientContextJson":""},{"keyOptionId":"8326","caption":"Northern Mariana","secondaryCaption":"","isDefault":true,"maskCriteriaOnly":false,"definition":"","keyProductQueryItem":"300051","comparisonOperation":0,"comparisonValue":"223","minimumVersion":"","maximumVersion":"","formOrder":0,"lowerBound":null,"enabled":true,"mask":"","largeMask":"","maskKey":"","keyItemMaskOfField":null,"keyOptionIdReplace":"","relatedOptionIds":[],"onlineServices":[],"childCriteriaItemList":[],"clientContextJson":""},{"keyOptionId":"8327","caption":"Pakistan","secondaryCaption":"","isDefault":true,"maskCriteriaOnly":false,"definition":"","keyProductQueryItem":"300051","comparisonOperation":0,"comparisonValue":"149","minimumVersion":"","maximumVersion":"","formOrder":0,"lowerBound":null,"enabled":true,"mask":"","largeMask":"","maskKey":"","keyItemMaskOfField":null,"keyOptionIdReplace":"","relatedOptionIds":[],"onlineServices":[],"childCriteriaItemList":[],"clientContextJson":""},{"keyOptionId":"8328","caption":"Palau","secondaryCaption":"","isDefault":true,"maskCriteriaOnly":false,"definition":"","keyProductQueryItem":"300051","comparisonOperation":0,"comparisonValue":"232","minimumVersion":"","maximumVersion":"","formOrder":0,"lowerBound":null,"enabled":true,"mask":"","largeMask":"","maskKey":"","keyItemMaskOfField":null,"keyOptionIdReplace":"","relatedOptionIds":[],"onlineServices":[],"childCriteriaItemList":[],"clientContextJson":""},{"keyOptionId":"8329","caption":"Papua New Guinea","secondaryCaption":"","isDefault":true,"maskCriteriaOnly":false,"definition":"","keyProductQueryItem":"300051","comparisonOperation":0,"comparisonValue":"230","minimumVersion":"","maximumVersion":"","formOrder":0,"lowerBound":null,"enabled":true,"mask":"","largeMask":"","maskKey":"","keyItemMaskOfField":null,"keyOptionIdReplace":"","relatedOptionIds":[],"onlineServices":[],"childCriteriaItemList":[],"clientContextJson":""},{"keyOptionId":"8330","caption":"Philippines","secondaryCaption":"","isDefault":true,"maskCriteriaOnly":false,"definition":"","keyProductQueryItem":"300051","comparisonOperation":0,"comparisonValue":"167","minimumVersion":"","maximumVersion":"","formOrder":0,"lowerBound":null,"enabled":true,"mask":"","largeMask":"","maskKey":"","keyItemMaskOfField":null,"keyOptionIdReplace":"","relatedOptionIds":[],"onlineServices":[],"childCriteriaItemList":[],"clientContextJson":""},{"keyOptionId":"8331","caption":"Samoa","secondaryCaption":"","isDefault":true,"maskCriteriaOnly":false,"definition":"","keyProductQueryItem":"300051","comparisonOperation":0,"comparisonValue":"241","minimumVersion":"","maximumVersion":"","formOrder":0,"lowerBound":null,"enabled":true,"mask":"","largeMask":"","maskKey":"","keyItemMaskOfField":null,"keyOptionIdReplace":"","relatedOptionIds":[],"onlineServices":[],"childCriteriaItemList":[],"clientContextJson":""},{"keyOptionId":"8332","caption":"Solomon Islands","secondaryCaption":"","isDefault":true,"maskCriteriaOnly":false,"definition":"","keyProductQueryItem":"300051","comparisonOperation":0,"comparisonValue":"233","minimumVersion":"","maximumVersion":"","formOrder":0,"lowerBound":null,"enabled":true,"mask":"","largeMask":"","maskKey":"","keyItemMaskOfField":null,"keyOptionIdReplace":"","relatedOptionIds":[],"onlineServices":[],"childCriteriaItemList":[],"clientContextJson":""},{"keyOptionId":"8333","caption":"Sri Lanka","secondaryCaption":"","isDefault":true,"maskCriteriaOnly":false,"definition":"","keyProductQueryItem":"300051","comparisonOperation":0,"comparisonValue":"141","minimumVersion":"","maximumVersion":"","formOrder":0,"lowerBound":null,"enabled":true,"mask":"","largeMask":"","maskKey":"","keyItemMaskOfField":null,"keyOptionIdReplace":"","relatedOptionIds":[],"onlineServices":[],"childCriteriaItemList":[],"clientContextJson":""},{"keyOptionId":"8334","caption":"Thailand","secondaryCaption":"","isDefault":true,"maskCriteriaOnly":false,"definition":"","keyProductQueryItem":"300051","comparisonOperation":0,"comparisonValue":"154","minimumVersion":"","maximumVersion":"","formOrder":0,"lowerBound":null,"enabled":true,"mask":"","largeMask":"","maskKey":"","keyItemMaskOfField":null,"keyOptionIdReplace":"","relatedOptionIds":[],"onlineServices":[],"childCriteriaItemList":[],"clientContextJson":""},{"keyOptionId":"8335","caption":"Timor-Leste","secondaryCaption":"","isDefault":true,"maskCriteriaOnly":false,"definition":"","keyProductQueryItem":"300051","comparisonOperation":0,"comparisonValue":"157","minimumVersion":"","maximumVersion":"","formOrder":0,"lowerBound":null,"enabled":true,"mask":"","largeMask":"","maskKey":"","keyItemMaskOfField":null,"keyOptionIdReplace":"","relatedOptionIds":[],"onlineServices":[],"childCriteriaItemList":[],"clientContextJson":""},{"keyOptionId":"8336","caption":"Tokelau","secondaryCaption":"","isDefault":true,"maskCriteriaOnly":false,"definition":"","keyProductQueryItem":"300051","comparisonOperation":0,"comparisonValue":"234","minimumVersion":"","maximumVersion":"","formOrder":0,"lowerBound":null,"enabled":true,"mask":"","largeMask":"","maskKey":"","keyItemMaskOfField":null,"keyOptionIdReplace":"","relatedOptionIds":[],"onlineServices":[],"childCriteriaItemList":[],"clientContextJson":""},{"keyOptionId":"8337","caption":"Tonga","secondaryCaption":"","isDefault":true,"maskCriteriaOnly":false,"definition":"","keyProductQueryItem":"300051","comparisonOperation":0,"comparisonValue":"235","minimumVersion":"","maximumVersion":"","formOrder":0,"lowerBound":null,"enabled":true,"mask":"","largeMask":"","maskKey":"","keyItemMaskOfField":null,"keyOptionIdReplace":"","relatedOptionIds":[],"onlineServices":[],"childCriteriaItemList":[],"clientContextJson":""},{"keyOptionId":"8338","caption":"Tuvalu","secondaryCaption":"","isDefault":true,"maskCriteriaOnly":false,"definition":"","keyProductQueryItem":"300051","comparisonOperation":0,"comparisonValue":"236","minimumVersion":"","maximumVersion":"","formOrder":0,"lowerBound":null,"enabled":true,"mask":"","largeMask":"","maskKey":"","keyItemMaskOfField":null,"keyOptionIdReplace":"","relatedOptionIds":[],"onlineServices":[],"childCriteriaItemList":[],"clientContextJson":""},{"keyOptionId":"8339","caption":"Vanuatu","secondaryCaption":"","isDefault":true,"maskCriter</t>
  </si>
  <si>
    <t>iaOnly":false,"definition":"","keyProductQueryItem":"300051","comparisonOperation":0,"comparisonValue":"237","minimumVersion":"","maximumVersion":"","formOrder":0,"lowerBound":null,"enabled":true,"mask":"","largeMask":"","maskKey":"","keyItemMaskOfField":null,"keyOptionIdReplace":"","relatedOptionIds":[],"onlineServices":[],"childCriteriaItemList":[],"clientContextJson":""},{"keyOptionId":"8340","caption":"Vietnam","secondaryCaption":"","isDefault":true,"maskCriteriaOnly":false,"definition":"","keyProductQueryItem":"300051","comparisonOperation":0,"comparisonValue":"159","minimumVersion":"","maximumVersion":"","formOrder":0,"lowerBound":null,"enabled":true,"mask":"","largeMask":"","maskKey":"","keyItemMaskOfField":null,"keyOptionIdReplace":"","relatedOptionIds":[],"onlineServices":[],"childCriteriaItemList":[],"clientContextJson":""},{"keyOptionId":"8341","caption":"Wallis &amp; Futuna","secondaryCaption":"","isDefault":true,"maskCriteriaOnly":false,"definition":"","keyProductQueryItem":"300051","comparisonOperation":0,"comparisonValue":"238","minimumVersion":"","maximumVersion":"","formOrder":0,"lowerBound":null,"enabled":true,"mask":"","largeMask":"","maskKey":"","keyItemMaskOfField":null,"keyOptionIdReplace":"","relatedOptionIds":[],"onlineServices":[],"childCriteriaItemList":[],"clientContextJson":""}],"clientContextJson":""}],"clientContextJson":""},{"keyOptionId":"8342","caption":"Middle Ea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8343","caption":"Bahrain","secondaryCaption":"","isDefault":true,"maskCriteriaOnly":false,"definition":"","keyProductQueryItem":"300051","comparisonOperation":0,"comparisonValue":"162","minimumVersion":"","maximumVersion":"","formOrder":0,"lowerBound":null,"enabled":true,"mask":"","largeMask":"","maskKey":"","keyItemMaskOfField":null,"keyOptionIdReplace":"","relatedOptionIds":[],"onlineServices":[],"childCriteriaItemList":[],"clientContextJson":""},{"keyOptionId":"8344","caption":"Egypt","secondaryCaption":"","isDefault":true,"maskCriteriaOnly":false,"definition":"","keyProductQueryItem":"300051","comparisonOperation":0,"comparisonValue":"74","minimumVersion":"","maximumVersion":"","formOrder":0,"lowerBound":null,"enabled":true,"mask":"","largeMask":"","maskKey":"","keyItemMaskOfField":null,"keyOptionIdReplace":"","relatedOptionIds":[],"onlineServices":[],"childCriteriaItemList":[],"clientContextJson":""},{"keyOptionId":"8345","caption":"Iran","secondaryCaption":"","isDefault":true,"maskCriteriaOnly":false,"definition":"","keyProductQueryItem":"300051","comparisonOperation":0,"comparisonValue":"131","minimumVersion":"","maximumVersion":"","formOrder":0,"lowerBound":null,"enabled":true,"mask":"","largeMask":"","maskKey":"","keyItemMaskOfField":null,"keyOptionIdReplace":"","relatedOptionIds":[],"onlineServices":[],"childCriteriaItemList":[],"clientContextJson":""},{"keyOptionId":"8346","caption":"Iraq","secondaryCaption":"","isDefault":true,"maskCriteriaOnly":false,"definition":"","keyProductQueryItem":"300051","comparisonOperation":0,"comparisonValue":"130","minimumVersion":"","maximumVersion":"","formOrder":0,"lowerBound":null,"enabled":true,"mask":"","largeMask":"","maskKey":"","keyItemMaskOfField":null,"keyOptionIdReplace":"","relatedOptionIds":[],"onlineServices":[],"childCriteriaItemList":[],"clientContextJson":""},{"keyOptionId":"8347","caption":"Israel","secondaryCaption":"","isDefault":true,"maskCriteriaOnly":false,"definition":"","keyProductQueryItem":"300051","comparisonOperation":0,"comparisonValue":"165","minimumVersion":"","maximumVersion":"","formOrder":0,"lowerBound":null,"enabled":true,"mask":"","largeMask":"","maskKey":"","keyItemMaskOfField":null,"keyOptionIdReplace":"","relatedOptionIds":[],"onlineServices":[],"childCriteriaItemList":[],"clientContextJson":""},{"keyOptionId":"8348","caption":"Jordan","secondaryCaption":"","isDefault":true,"maskCriteriaOnly":false,"definition":"","keyProductQueryItem":"300051","comparisonOperation":0,"comparisonValue":"132","minimumVersion":"","maximumVersion":"","formOrder":0,"lowerBound":null,"enabled":true,"mask":"","largeMask":"","maskKey":"","keyItemMaskOfField":null,"keyOptionIdReplace":"","relatedOptionIds":[],"onlineServices":[],"childCriteriaItemList":[],"clientContextJson":""},{"keyOptionId":"8349","caption":"Kuwait","secondaryCaption":"","isDefault":true,"maskCriteriaOnly":false,"definition":"","keyProductQueryItem":"300051","comparisonOperation":0,"comparisonValue":"137","minimumVersion":"","maximumVersion":"","formOrder":0,"lowerBound":null,"enabled":true,"mask":"","largeMask":"","maskKey":"","keyItemMaskOfField":null,"keyOptionIdReplace":"","relatedOptionIds":[],"onlineServices":[],"childCriteriaItemList":[],"clientContextJson":""},{"keyOptionId":"8350","caption":"Lebanon","secondaryCaption":"","isDefault":true,"maskCriteriaOnly":false,"definition":"","keyProductQueryItem":"300051","comparisonOperation":0,"comparisonValue":"140","minimumVersion":"","maximumVersion":"","formOrder":0,"lowerBound":null,"enabled":true,"mask":"","largeMask":"","maskKey":"","keyItemMaskOfField":null,"keyOptionIdReplace":"","relatedOptionIds":[],"onlineServices":[],"childCriteriaItemList":[],"clientContextJson":""},{"keyOptionId":"8351","caption":"Oman","secondaryCaption":"","isDefault":true,"maskCriteriaOnly":false,"definition":"","keyProductQueryItem":"300051","comparisonOperation":0,"comparisonValue":"148","minimumVersion":"","maximumVersion":"","formOrder":0,"lowerBound":null,"enabled":true,"mask":"","largeMask":"","maskKey":"","keyItemMaskOfField":null,"keyOptionIdReplace":"","relatedOptionIds":[],"onlineServices":[],"childCriteriaItemList":[],"clientContextJson":""},{"keyOptionId":"8352","caption":"Palestine","secondaryCaption":"","isDefault":true,"maskCriteriaOnly":false,"definition":"","keyProductQueryItem":"300051","comparisonOperation":0,"comparisonValue":"150","minimumVersion":"","maximumVersion":"","formOrder":0,"lowerBound":null,"enabled":true,"mask":"","largeMask":"","maskKey":"","keyItemMaskOfField":null,"keyOptionIdReplace":"","relatedOptionIds":[],"onlineServices":[],"childCriteriaItemList":[],"clientContextJson":""},{"keyOptionId":"8353","caption":"Qatar","secondaryCaption":"","isDefault":true,"maskCriteriaOnly":false,"definition":"","keyProductQueryItem":"300051","comparisonOperation":0,"comparisonValue":"151","minimumVersion":"","maximumVersion":"","formOrder":0,"lowerBound":null,"enabled":true,"mask":"","largeMask":"","maskKey":"","keyItemMaskOfField":null,"keyOptionIdReplace":"","relatedOptionIds":[],"onlineServices":[],"childCriteriaItemList":[],"clientContextJson":""},{"keyOptionId":"8354","caption":"Saudi Arabia","secondaryCaption":"","isDefault":true,"maskCriteriaOnly":false,"definition":"","keyProductQueryItem":"300051","comparisonOperation":0,"comparisonValue":"168","minimumVersion":"","maximumVersion":"","formOrder":0,"lowerBound":null,"enabled":true,"mask":"","largeMask":"","maskKey":"","keyItemMaskOfField":null,"keyOptionIdReplace":"","relatedOptionIds":[],"onlineServices":[],"childCriteriaItemList":[],"clientContextJson":""},{"keyOptionId":"8355","caption":"Syria","secondaryCaption":"","isDefault":true,"maskCriteriaOnly":false,"definition":"","keyProductQueryItem":"300051","comparisonOperation":0,"comparisonValue":"153","minimumVersion":"","maximumVersion":"","formOrder":0</t>
  </si>
  <si>
    <t>,"lowerBound":null,"enabled":true,"mask":"","largeMask":"","maskKey":"","keyItemMaskOfField":null,"keyOptionIdReplace":"","relatedOptionIds":[],"onlineServices":[],"childCriteriaItemList":[],"clientContextJson":""},{"keyOptionId":"8356","caption":"United Arab Emirates","secondaryCaption":"","isDefault":true,"maskCriteriaOnly":false,"definition":"","keyProductQueryItem":"300051","comparisonOperation":0,"comparisonValue":"119","minimumVersion":"","maximumVersion":"","formOrder":0,"lowerBound":null,"enabled":true,"mask":"","largeMask":"","maskKey":"","keyItemMaskOfField":null,"keyOptionIdReplace":"","relatedOptionIds":[],"onlineServices":[],"childCriteriaItemList":[],"clientContextJson":""},{"keyOptionId":"8357","caption":"Yemen","secondaryCaption":"","isDefault":true,"maskCriteriaOnly":false,"definition":"","keyProductQueryItem":"300051","comparisonOperation":0,"comparisonValue":"160","minimumVersion":"","maximumVersion":"","formOrder":0,"lowerBound":null,"enabled":true,"mask":"","largeMask":"","maskKey":"","keyItemMaskOfField":null,"keyOptionIdReplace":"","relatedOptionIds":[],"onlineServices":[],"childCriteriaItemList":[],"clientContextJson":""}],"clientContextJson":""},{"keyOptionId":"8358","caption":"Latin America and Caribbea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8359","caption":"Anguilla","secondaryCaption":"","isDefault":true,"maskCriteriaOnly":false,"definition":"","keyProductQueryItem":"300051","comparisonOperation":0,"comparisonValue":"9","minimumVersion":"","maximumVersion":"","formOrder":0,"lowerBound":null,"enabled":true,"mask":"","largeMask":"","maskKey":"","keyItemMaskOfField":null,"keyOptionIdReplace":"","relatedOptionIds":[],"onlineServices":[],"childCriteriaItemList":[],"clientContextJson":""},{"keyOptionId":"8360","caption":"Antigua and Barbuda","secondaryCaption":"","isDefault":true,"maskCriteriaOnly":false,"definition":"","keyProductQueryItem":"300051","comparisonOperation":0,"comparisonValue":"8","minimumVersion":"","maximumVersion":"","formOrder":0,"lowerBound":null,"enabled":true,"mask":"","largeMask":"","maskKey":"","keyItemMaskOfField":null,"keyOptionIdReplace":"","relatedOptionIds":[],"onlineServices":[],"childCriteriaItemList":[],"clientContextJson":""},{"keyOptionId":"8361","caption":"Argentina","secondaryCaption":"","isDefault":true,"maskCriteriaOnly":false,"definition":"","keyProductQueryItem":"300051","comparisonOperation":0,"comparisonValue":"52","minimumVersion":"","maximumVersion":"","formOrder":0,"lowerBound":null,"enabled":true,"mask":"","largeMask":"","maskKey":"","keyItemMaskOfField":null,"keyOptionIdReplace":"","relatedOptionIds":[],"onlineServices":[],"childCriteriaItemList":[],"clientContextJson":""},{"keyOptionId":"8362","caption":"Aruba","secondaryCaption":"","isDefault":true,"maskCriteriaOnly":false,"definition":"","keyProductQueryItem":"300051","comparisonOperation":0,"comparisonValue":"10","minimumVersion":"","maximumVersion":"","formOrder":0,"lowerBound":null,"enabled":true,"mask":"","largeMask":"","maskKey":"","keyItemMaskOfField":null,"keyOptionIdReplace":"","relatedOptionIds":[],"onlineServices":[],"childCriteriaItemList":[],"clientContextJson":""},{"keyOptionId":"8363","caption":"Bahamas","secondaryCaption":"","isDefault":true,"maskCriteriaOnly":false,"definition":"","keyProductQueryItem":"300051","comparisonOperation":0,"comparisonValue":"37","minimumVersion":"","maximumVersion":"","formOrder":0,"lowerBound":null,"enabled":true,"mask":"","largeMask":"","maskKey":"","keyItemMaskOfField":null,"keyOptionIdReplace":"","relatedOptionIds":[],"onlineServices":[],"childCriteriaItemList":[],"clientContextJson":""},{"keyOptionId":"8364","caption":"Barbados","secondaryCaption":"","isDefault":true,"maskCriteriaOnly":false,"definition":"","keyProductQueryItem":"300051","comparisonOperation":0,"comparisonValue":"11","minimumVersion":"","maximumVersion":"","formOrder":0,"lowerBound":null,"enabled":true,"mask":"","largeMask":"","maskKey":"","keyItemMaskOfField":null,"keyOptionIdReplace":"","relatedOptionIds":[],"onlineServices":[],"childCriteriaItemList":[],"clientContextJson":""},{"keyOptionId":"8365","caption":"Belize","secondaryCaption":"","isDefault":true,"maskCriteriaOnly":false,"definition":"","keyProductQueryItem":"300051","comparisonOperation":0,"comparisonValue":"13","minimumVersion":"","maximumVersion":"","formOrder":0,"lowerBound":null,"enabled":true,"mask":"","largeMask":"","maskKey":"","keyItemMaskOfField":null,"keyOptionIdReplace":"","relatedOptionIds":[],"onlineServices":[],"childCriteriaItemList":[],"clientContextJson":""},{"keyOptionId":"8366","caption":"Bolivia","secondaryCaption":"","isDefault":true,"maskCriteriaOnly":false,"definition":"","keyProductQueryItem":"300051","comparisonOperation":0,"comparisonValue":"43","minimumVersion":"","maximumVersion":"","formOrder":0,"lowerBound":null,"enabled":true,"mask":"","largeMask":"","maskKey":"","keyItemMaskOfField":null,"keyOptionIdReplace":"","relatedOptionIds":[],"onlineServices":[],"childCriteriaItemList":[],"clientContextJson":""},{"keyOptionId":"8367","caption":"Bonaire","secondaryCaption":"","isDefault":true,"maskCriteriaOnly":false,"definition":"","keyProductQueryItem":"300051","comparisonOperation":0,"comparisonValue":"1119","minimumVersion":"","maximumVersion":"","formOrder":0,"lowerBound":null,"enabled":true,"mask":"","largeMask":"","maskKey":"","keyItemMaskOfField":null,"keyOptionIdReplace":"","relatedOptionIds":[],"onlineServices":[],"childCriteriaItemList":[],"clientContextJson":""},{"keyOptionId":"8368","caption":"Brazil","secondaryCaption":"","isDefault":true,"maskCriteriaOnly":false,"definition":"","keyProductQueryItem":"300051","comparisonOperation":0,"comparisonValue":"53","minimumVersion":"","maximumVersion":"","formOrder":0,"lowerBound":null,"enabled":true,"mask":"","largeMask":"","maskKey":"","keyItemMaskOfField":null,"keyOptionIdReplace":"","relatedOptionIds":[],"onlineServices":[],"childCriteriaItemList":[],"clientContextJson":""},{"keyOptionId":"8369","caption":"BVI","secondaryCaption":"","isDefault":true,"maskCriteriaOnly":false,"definition":"","keyProductQueryItem":"300051","comparisonOperation":0,"comparisonValue":"35","minimumVersion":"","maximumVersion":"","formOrder":0,"lowerBound":null,"enabled":true,"mask":"","largeMask":"","maskKey":"","keyItemMaskOfField":null,"keyOptionIdReplace":"","relatedOptionIds":[],"onlineServices":[],"childCriteriaItemList":[],"clientContextJson":""},{"keyOptionId":"8370","caption":"Cayman Islands","secondaryCaption":"","isDefault":true,"maskCriteriaOnly":false,"definition":"","keyProductQueryItem":"300051","comparisonOperation":0,"comparisonValue":"41","minimumVersion":"","maximumVersion":"","formOrder":0,"lowerBound":null,"enabled":true,"mask":"","largeMask":"","maskKey":"","keyItemMaskOfField":null,"keyOptionIdReplace":"","relatedOptionIds":[],"onlineServices":[],"childCriteriaItemList":[],"clientContextJson":""},{"keyOptionId":"8371","caption":"Chile","secondaryCaption":"","isDefault":true,"maskCriteriaOnly":false,"definition":"","keyProductQueryItem":"300051","comparisonOperation":0,"comparisonValue":"54","minimumVersion":"","maximumVersion":"","formOrder":0,"lowerBound":null,"enabled":true,"mask":"","largeMask":"","maskKey":"","keyItemMaskOfField":null,"keyOptionIdReplace":"","relatedOptionIds":[],"onlineServi</t>
  </si>
  <si>
    <t>ces":[],"childCriteriaItemList":[],"clientContextJson":""},{"keyOptionId":"8372","caption":"Cocos Islands","secondaryCaption":"","isDefault":true,"maskCriteriaOnly":false,"definition":"","keyProductQueryItem":"300051","comparisonOperation":0,"comparisonValue":"124","minimumVersion":"","maximumVersion":"","formOrder":0,"lowerBound":null,"enabled":true,"mask":"","largeMask":"","maskKey":"","keyItemMaskOfField":null,"keyOptionIdReplace":"","relatedOptionIds":[],"onlineServices":[],"childCriteriaItemList":[],"clientContextJson":""},{"keyOptionId":"8373","caption":"Colombia","secondaryCaption":"","isDefault":true,"maskCriteriaOnly":false,"definition":"","keyProductQueryItem":"300051","comparisonOperation":0,"comparisonValue":"44","minimumVersion":"","maximumVersion":"","formOrder":0,"lowerBound":null,"enabled":true,"mask":"","largeMask":"","maskKey":"","keyItemMaskOfField":null,"keyOptionIdReplace":"","relatedOptionIds":[],"onlineServices":[],"childCriteriaItemList":[],"clientContextJson":""},{"keyOptionId":"8374","caption":"Costa Rica","secondaryCaption":"","isDefault":true,"maskCriteriaOnly":false,"definition":"","keyProductQueryItem":"300051","comparisonOperation":0,"comparisonValue":"14","minimumVersion":"","maximumVersion":"","formOrder":0,"lowerBound":null,"enabled":true,"mask":"","largeMask":"","maskKey":"","keyItemMaskOfField":null,"keyOptionIdReplace":"","relatedOptionIds":[],"onlineServices":[],"childCriteriaItemList":[],"clientContextJson":""},{"keyOptionId":"8375","caption":"Cuba","secondaryCaption":"","isDefault":true,"maskCriteriaOnly":false,"definition":"","keyProductQueryItem":"300051","comparisonOperation":0,"comparisonValue":"15","minimumVersion":"","maximumVersion":"","formOrder":0,"lowerBound":null,"enabled":true,"mask":"","largeMask":"","maskKey":"","keyItemMaskOfField":null,"keyOptionIdReplace":"","relatedOptionIds":[],"onlineServices":[],"childCriteriaItemList":[],"clientContextJson":""},{"keyOptionId":"8376","caption":"Curaçao","secondaryCaption":"","isDefault":true,"maskCriteriaOnly":false,"definition":"","keyProductQueryItem":"300051","comparisonOperation":0,"comparisonValue":"1118","minimumVersion":"","maximumVersion":"","formOrder":0,"lowerBound":null,"enabled":true,"mask":"","largeMask":"","maskKey":"","keyItemMaskOfField":null,"keyOptionIdReplace":"","relatedOptionIds":[],"onlineServices":[],"childCriteriaItemList":[],"clientContextJson":""},{"keyOptionId":"8377","caption":"Dominica","secondaryCaption":"","isDefault":true,"maskCriteriaOnly":false,"definition":"","keyProductQueryItem":"300051","comparisonOperation":0,"comparisonValue":"16","minimumVersion":"","maximumVersion":"","formOrder":0,"lowerBound":null,"enabled":true,"mask":"","largeMask":"","maskKey":"","keyItemMaskOfField":null,"keyOptionIdReplace":"","relatedOptionIds":[],"onlineServices":[],"childCriteriaItemList":[],"clientContextJson":""},{"keyOptionId":"8378","caption":"Dominican Republic","secondaryCaption":"","isDefault":true,"maskCriteriaOnly":false,"definition":"","keyProductQueryItem":"300051","comparisonOperation":0,"comparisonValue":"17","minimumVersion":"","maximumVersion":"","formOrder":0,"lowerBound":null,"enabled":true,"mask":"","largeMask":"","maskKey":"","keyItemMaskOfField":null,"keyOptionIdReplace":"","relatedOptionIds":[],"onlineServices":[],"childCriteriaItemList":[],"clientContextJson":""},{"keyOptionId":"8379","caption":"Ecuador","secondaryCaption":"","isDefault":true,"maskCriteriaOnly":false,"definition":"","keyProductQueryItem":"300051","comparisonOperation":0,"comparisonValue":"55","minimumVersion":"","maximumVersion":"","formOrder":0,"lowerBound":null,"enabled":true,"mask":"","largeMask":"","maskKey":"","keyItemMaskOfField":null,"keyOptionIdReplace":"","relatedOptionIds":[],"onlineServices":[],"childCriteriaItemList":[],"clientContextJson":""},{"keyOptionId":"8380","caption":"El Salvador","secondaryCaption":"","isDefault":true,"maskCriteriaOnly":false,"definition":"","keyProductQueryItem":"300051","comparisonOperation":0,"comparisonValue":"42","minimumVersion":"","maximumVersion":"","formOrder":0,"lowerBound":null,"enabled":true,"mask":"","largeMask":"","maskKey":"","keyItemMaskOfField":null,"keyOptionIdReplace":"","relatedOptionIds":[],"onlineServices":[],"childCriteriaItemList":[],"clientContextJson":""},{"keyOptionId":"8381","caption":"Falkland Islands","secondaryCaption":"","isDefault":true,"maskCriteriaOnly":false,"definition":"","keyProductQueryItem":"300051","comparisonOperation":0,"comparisonValue":"45","minimumVersion":"","maximumVersion":"","formOrder":0,"lowerBound":null,"enabled":true,"mask":"","largeMask":"","maskKey":"","keyItemMaskOfField":null,"keyOptionIdReplace":"","relatedOptionIds":[],"onlineServices":[],"childCriteriaItemList":[],"clientContextJson":""},{"keyOptionId":"8382","caption":"French Guiana","secondaryCaption":"","isDefault":true,"maskCriteriaOnly":false,"definition":"","keyProductQueryItem":"300051","comparisonOperation":0,"comparisonValue":"46","minimumVersion":"","maximumVersion":"","formOrder":0,"lowerBound":null,"enabled":true,"mask":"","largeMask":"","maskKey":"","keyItemMaskOfField":null,"keyOptionIdReplace":"","relatedOptionIds":[],"onlineServices":[],"childCriteriaItemList":[],"clientContextJson":""},{"keyOptionId":"8383","caption":"Grenada","secondaryCaption":"","isDefault":true,"maskCriteriaOnly":false,"definition":"","keyProductQueryItem":"300051","comparisonOperation":0,"comparisonValue":"18","minimumVersion":"","maximumVersion":"","formOrder":0,"lowerBound":null,"enabled":true,"mask":"","largeMask":"","maskKey":"","keyItemMaskOfField":null,"keyOptionIdReplace":"","relatedOptionIds":[],"onlineServices":[],"childCriteriaItemList":[],"clientContextJson":""},{"keyOptionId":"8384","caption":"Guadeloupe","secondaryCaption":"","isDefault":true,"maskCriteriaOnly":false,"definition":"","keyProductQueryItem":"300051","comparisonOperation":0,"comparisonValue":"20","minimumVersion":"","maximumVersion":"","formOrder":0,"lowerBound":null,"enabled":true,"mask":"","largeMask":"","maskKey":"","keyItemMaskOfField":null,"keyOptionIdReplace":"","relatedOptionIds":[],"onlineServices":[],"childCriteriaItemList":[],"clientContextJson":""},{"keyOptionId":"8385","caption":"Guatemala","secondaryCaption":"","isDefault":true,"maskCriteriaOnly":false,"definition":"","keyProductQueryItem":"300051","comparisonOperation":0,"comparisonValue":"39","minimumVersion":"","maximumVersion":"","formOrder":0,"lowerBound":null,"enabled":true,"mask":"","largeMask":"","maskKey":"","keyItemMaskOfField":null,"keyOptionIdReplace":"","relatedOptionIds":[],"onlineServices":[],"childCriteriaItemList":[],"clientContextJson":""},{"keyOptionId":"8386","caption":"Guyana","secondaryCaption":"","isDefault":true,"maskCriteriaOnly":false,"definition":"","keyProductQueryItem":"300051","comparisonOperation":0,"comparisonValue":"47","minimumVersion":"","maximumVersion":"","formOrder":0,"lowerBound":null,"enabled":true,"mask":"","largeMask":"","maskKey":"","keyItemMaskOfField":null,"keyOptionIdReplace":"","relatedOptionIds":[],"onlineServices":[],"childCriteriaItemList":[],"clientContextJson":""},{"keyOptionId":"8387","caption":"Haiti","secondaryCaption":"","isDefault":true,"maskCriteriaOnly":false,"definition":"","keyProductQueryItem":"300051","comparisonOperation":0,"comparisonValue":"22","minimumVersion":"","maximumVersion":"","formOrder":0,"lowerBound":null,"enabled":true,"mask":"","largeMask":"","maskKey":"","keyItemMaskOfField":null,"keyOptionIdReplace":"","relatedOptionIds":[],"onlineServices":[],"childCriteriaItemList":[],"clientContextJson":""},{"keyOptionId":"8388","caption":"Honduras","secondaryCaption":"","isDefault":true,"maskCriteri</t>
  </si>
  <si>
    <t>aOnly":false,"definition":"","keyProductQueryItem":"300051","comparisonOperation":0,"comparisonValue":"21","minimumVersion":"","maximumVersion":"","formOrder":0,"lowerBound":null,"enabled":true,"mask":"","largeMask":"","maskKey":"","keyItemMaskOfField":null,"keyOptionIdReplace":"","relatedOptionIds":[],"onlineServices":[],"childCriteriaItemList":[],"clientContextJson":""},{"keyOptionId":"8389","caption":"Jamaica","secondaryCaption":"","isDefault":true,"maskCriteriaOnly":false,"definition":"","keyProductQueryItem":"300051","comparisonOperation":0,"comparisonValue":"23","minimumVersion":"","maximumVersion":"","formOrder":0,"lowerBound":null,"enabled":true,"mask":"","largeMask":"","maskKey":"","keyItemMaskOfField":null,"keyOptionIdReplace":"","relatedOptionIds":[],"onlineServices":[],"childCriteriaItemList":[],"clientContextJson":""},{"keyOptionId":"8390","caption":"Martinique","secondaryCaption":"","isDefault":true,"maskCriteriaOnly":false,"definition":"","keyProductQueryItem":"300051","comparisonOperation":0,"comparisonValue":"25","minimumVersion":"","maximumVersion":"","formOrder":0,"lowerBound":null,"enabled":true,"mask":"","largeMask":"","maskKey":"","keyItemMaskOfField":null,"keyOptionIdReplace":"","relatedOptionIds":[],"onlineServices":[],"childCriteriaItemList":[],"clientContextJson":""},{"keyOptionId":"8391","caption":"Mexico","secondaryCaption":"","isDefault":true,"maskCriteriaOnly":false,"definition":"","keyProductQueryItem":"300051","comparisonOperation":0,"comparisonValue":"27","minimumVersion":"","maximumVersion":"","formOrder":0,"lowerBound":null,"enabled":true,"mask":"","largeMask":"","maskKey":"","keyItemMaskOfField":null,"keyOptionIdReplace":"","relatedOptionIds":[],"onlineServices":[],"childCriteriaItemList":[],"clientContextJson":""},{"keyOptionId":"8392","caption":"Montserrat","secondaryCaption":"","isDefault":true,"maskCriteriaOnly":false,"definition":"","keyProductQueryItem":"300051","comparisonOperation":0,"comparisonValue":"26","minimumVersion":"","maximumVersion":"","formOrder":0,"lowerBound":null,"enabled":true,"mask":"","largeMask":"","maskKey":"","keyItemMaskOfField":null,"keyOptionIdReplace":"","relatedOptionIds":[],"onlineServices":[],"childCriteriaItemList":[],"clientContextJson":""},{"keyOptionId":"8393","caption":"Nicaragua","secondaryCaption":"","isDefault":true,"maskCriteriaOnly":false,"definition":"","keyProductQueryItem":"300051","comparisonOperation":0,"comparisonValue":"28","minimumVersion":"","maximumVersion":"","formOrder":0,"lowerBound":null,"enabled":true,"mask":"","largeMask":"","maskKey":"","keyItemMaskOfField":null,"keyOptionIdReplace":"","relatedOptionIds":[],"onlineServices":[],"childCriteriaItemList":[],"clientContextJson":""},{"keyOptionId":"8394","caption":"Panama","secondaryCaption":"","isDefault":true,"maskCriteriaOnly":false,"definition":"","keyProductQueryItem":"300051","comparisonOperation":0,"comparisonValue":"29","minimumVersion":"","maximumVersion":"","formOrder":0,"lowerBound":null,"enabled":true,"mask":"","largeMask":"","maskKey":"","keyItemMaskOfField":null,"keyOptionIdReplace":"","relatedOptionIds":[],"onlineServices":[],"childCriteriaItemList":[],"clientContextJson":""},{"keyOptionId":"8395","caption":"Paraguay","secondaryCaption":"","isDefault":true,"maskCriteriaOnly":false,"definition":"","keyProductQueryItem":"300051","comparisonOperation":0,"comparisonValue":"49","minimumVersion":"","maximumVersion":"","formOrder":0,"lowerBound":null,"enabled":true,"mask":"","largeMask":"","maskKey":"","keyItemMaskOfField":null,"keyOptionIdReplace":"","relatedOptionIds":[],"onlineServices":[],"childCriteriaItemList":[],"clientContextJson":""},{"keyOptionId":"8396","caption":"Peru","secondaryCaption":"","isDefault":true,"maskCriteriaOnly":false,"definition":"","keyProductQueryItem":"300051","comparisonOperation":0,"comparisonValue":"48","minimumVersion":"","maximumVersion":"","formOrder":0,"lowerBound":null,"enabled":true,"mask":"","largeMask":"","maskKey":"","keyItemMaskOfField":null,"keyOptionIdReplace":"","relatedOptionIds":[],"onlineServices":[],"childCriteriaItemList":[],"clientContextJson":""},{"keyOptionId":"8397","caption":"Saint Lucia","secondaryCaption":"","isDefault":true,"maskCriteriaOnly":false,"definition":"","keyProductQueryItem":"300051","comparisonOperation":0,"comparisonValue":"24","minimumVersion":"","maximumVersion":"","formOrder":0,"lowerBound":null,"enabled":true,"mask":"","largeMask":"","maskKey":"","keyItemMaskOfField":null,"keyOptionIdReplace":"","relatedOptionIds":[],"onlineServices":[],"childCriteriaItemList":[],"clientContextJson":""},{"keyOptionId":"8398","caption":"Saint Vincent","secondaryCaption":"","isDefault":true,"maskCriteriaOnly":false,"definition":"","keyProductQueryItem":"300051","comparisonOperation":0,"comparisonValue":"34","minimumVersion":"","maximumVersion":"","formOrder":0,"lowerBound":null,"enabled":true,"mask":"","largeMask":"","maskKey":"","keyItemMaskOfField":null,"keyOptionIdReplace":"","relatedOptionIds":[],"onlineServices":[],"childCriteriaItemList":[],"clientContextJson":""},{"keyOptionId":"8399","caption":"Sint Maarten","secondaryCaption":"","isDefault":true,"maskCriteriaOnly":false,"definition":"","keyProductQueryItem":"300051","comparisonOperation":0,"comparisonValue":"1117","minimumVersion":"","maximumVersion":"","formOrder":0,"lowerBound":null,"enabled":true,"mask":"","largeMask":"","maskKey":"","keyItemMaskOfField":null,"keyOptionIdReplace":"","relatedOptionIds":[],"onlineServices":[],"childCriteriaItemList":[],"clientContextJson":""},{"keyOptionId":"8400","caption":"South Georgia","secondaryCaption":"","isDefault":true,"maskCriteriaOnly":false,"definition":"","keyProductQueryItem":"300051","comparisonOperation":0,"comparisonValue":"59","minimumVersion":"","maximumVersion":"","formOrder":0,"lowerBound":null,"enabled":true,"mask":"","largeMask":"","maskKey":"","keyItemMaskOfField":null,"keyOptionIdReplace":"","relatedOptionIds":[],"onlineServices":[],"childCriteriaItemList":[],"clientContextJson":""},{"keyOptionId":"8401","caption":"St. Kitts and Nevis","secondaryCaption":"","isDefault":true,"maskCriteriaOnly":false,"definition":"","keyProductQueryItem":"300051","comparisonOperation":0,"comparisonValue":"40","minimumVersion":"","maximumVersion":"","formOrder":0,"lowerBound":null,"enabled":true,"mask":"","largeMask":"","maskKey":"","keyItemMaskOfField":null,"keyOptionIdReplace":"","relatedOptionIds":[],"onlineServices":[],"childCriteriaItemList":[],"clientContextJson":""},{"keyOptionId":"8402","caption":"St. Pierre, Miquelon","secondaryCaption":"","isDefault":true,"maskCriteriaOnly":false,"definition":"","keyProductQueryItem":"300051","comparisonOperation":0,"comparisonValue":"30","minimumVersion":"","maximumVersion":"","formOrder":0,"lowerBound":null,"enabled":true,"mask":"","largeMask":"","maskKey":"","keyItemMaskOfField":null,"keyOptionIdReplace":"","relatedOptionIds":[],"onlineServices":[],"childCriteriaItemList":[],"clientContextJson":""},{"keyOptionId":"8403","caption":"Suriname","secondaryCaption":"","isDefault":true,"maskCriteriaOnly":false,"definition":"","keyProductQueryItem":"300051","comparisonOperation":0,"comparisonValue":"50","minimumVersion":"","maximumVersion":"","formOrder":0,"lowerBound":null,"enabled":true,"mask":"","largeMask":"","maskKey":"","keyItemMaskOfField":null,"keyOptionIdReplace":"","relatedOptionIds":[],"onlineServices":[],"childCriteriaItemList":[],"clientContextJson":""},{"keyOptionId":"8404","caption":"Trinidad and Tobago","secondaryCaption":"","isDefault":true,"maskCriteriaOnly":false,"definition":"","keyProductQueryItem":"300051","comparisonOperation":0,"comparisonValue":"32","minimumVersion":"","max</t>
  </si>
  <si>
    <t>imumVersion":"","formOrder":0,"lowerBound":null,"enabled":true,"mask":"","largeMask":"","maskKey":"","keyItemMaskOfField":null,"keyOptionIdReplace":"","relatedOptionIds":[],"onlineServices":[],"childCriteriaItemList":[],"clientContextJson":""},{"keyOptionId":"8405","caption":"Turks &amp; Caicos","secondaryCaption":"","isDefault":true,"maskCriteriaOnly":false,"definition":"","keyProductQueryItem":"300051","comparisonOperation":0,"comparisonValue":"31","minimumVersion":"","maximumVersion":"","formOrder":0,"lowerBound":null,"enabled":true,"mask":"","largeMask":"","maskKey":"","keyItemMaskOfField":null,"keyOptionIdReplace":"","relatedOptionIds":[],"onlineServices":[],"childCriteriaItemList":[],"clientContextJson":""},{"keyOptionId":"8406","caption":"Uruguay","secondaryCaption":"","isDefault":true,"maskCriteriaOnly":false,"definition":"","keyProductQueryItem":"300051","comparisonOperation":0,"comparisonValue":"51","minimumVersion":"","maximumVersion":"","formOrder":0,"lowerBound":null,"enabled":true,"mask":"","largeMask":"","maskKey":"","keyItemMaskOfField":null,"keyOptionIdReplace":"","relatedOptionIds":[],"onlineServices":[],"childCriteriaItemList":[],"clientContextJson":""},{"keyOptionId":"8407","caption":"Venezuela","secondaryCaption":"","isDefault":true,"maskCriteriaOnly":false,"definition":"","keyProductQueryItem":"300051","comparisonOperation":0,"comparisonValue":"56","minimumVersion":"","maximumVersion":"","formOrder":0,"lowerBound":null,"enabled":true,"mask":"","largeMask":"","maskKey":"","keyItemMaskOfField":null,"keyOptionIdReplace":"","relatedOptionIds":[],"onlineServices":[],"childCriteriaItemList":[],"clientContextJson":""}],"clientContextJson":""},{"keyOptionId":"8408","caption":"Afric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8409","caption":"Algeria","secondaryCaption":"","isDefault":true,"maskCriteriaOnly":false,"definition":"","keyProductQueryItem":"300051","comparisonOperation":0,"comparisonValue":"73","minimumVersion":"","maximumVersion":"","formOrder":0,"lowerBound":null,"enabled":true,"mask":"","largeMask":"","maskKey":"","keyItemMaskOfField":null,"keyOptionIdReplace":"","relatedOptionIds":[],"onlineServices":[],"childCriteriaItemList":[],"clientContextJson":""},{"keyOptionId":"8410","caption":"Angola","secondaryCaption":"","isDefault":true,"maskCriteriaOnly":false,"definition":"","keyProductQueryItem":"300051","comparisonOperation":0,"comparisonValue":"62","minimumVersion":"","maximumVersion":"","formOrder":0,"lowerBound":null,"enabled":true,"mask":"","largeMask":"","maskKey":"","keyItemMaskOfField":null,"keyOptionIdReplace":"","relatedOptionIds":[],"onlineServices":[],"childCriteriaItemList":[],"clientContextJson":""},{"keyOptionId":"8411","caption":"Benin","secondaryCaption":"","isDefault":true,"maskCriteriaOnly":false,"definition":"","keyProductQueryItem":"300051","comparisonOperation":0,"comparisonValue":"65","minimumVersion":"","maximumVersion":"","formOrder":0,"lowerBound":null,"enabled":true,"mask":"","largeMask":"","maskKey":"","keyItemMaskOfField":null,"keyOptionIdReplace":"","relatedOptionIds":[],"onlineServices":[],"childCriteriaItemList":[],"clientContextJson":""},{"keyOptionId":"8412","caption":"Botswana","secondaryCaption":"","isDefault":true,"maskCriteriaOnly":false,"definition":"","keyProductQueryItem":"300051","comparisonOperation":0,"comparisonValue":"66","minimumVersion":"","maximumVersion":"","formOrder":0,"lowerBound":null,"enabled":true,"mask":"","largeMask":"","maskKey":"","keyItemMaskOfField":null,"keyOptionIdReplace":"","relatedOptionIds":[],"onlineServices":[],"childCriteriaItemList":[],"clientContextJson":""},{"keyOptionId":"8413","caption":"Bouvet Island","secondaryCaption":"","isDefault":true,"maskCriteriaOnly":false,"definition":"","keyProductQueryItem":"300051","comparisonOperation":0,"comparisonValue":"58","minimumVersion":"","maximumVersion":"","formOrder":0,"lowerBound":null,"enabled":true,"mask":"","largeMask":"","maskKey":"","keyItemMaskOfField":null,"keyOptionIdReplace":"","relatedOptionIds":[],"onlineServices":[],"childCriteriaItemList":[],"clientContextJson":""},{"keyOptionId":"8414","caption":"Burkina Faso","secondaryCaption":"","isDefault":true,"maskCriteriaOnly":false,"definition":"","keyProductQueryItem":"300051","comparisonOperation":0,"comparisonValue":"63","minimumVersion":"","maximumVersion":"","formOrder":0,"lowerBound":null,"enabled":true,"mask":"","largeMask":"","maskKey":"","keyItemMaskOfField":null,"keyOptionIdReplace":"","relatedOptionIds":[],"onlineServices":[],"childCriteriaItemList":[],"clientContextJson":""},{"keyOptionId":"8415","caption":"Burundi","secondaryCaption":"","isDefault":true,"maskCriteriaOnly":false,"definition":"","keyProductQueryItem":"300051","comparisonOperation":0,"comparisonValue":"64","minimumVersion":"","maximumVersion":"","formOrder":0,"lowerBound":null,"enabled":true,"mask":"","largeMask":"","maskKey":"","keyItemMaskOfField":null,"keyOptionIdReplace":"","relatedOptionIds":[],"onlineServices":[],"childCriteriaItemList":[],"clientContextJson":""},{"keyOptionId":"8416","caption":"Cameroon","secondaryCaption":"","isDefault":true,"maskCriteriaOnly":false,"definition":"","keyProductQueryItem":"300051","comparisonOperation":0,"comparisonValue":"70","minimumVersion":"","maximumVersion":"","formOrder":0,"lowerBound":null,"enabled":true,"mask":"","largeMask":"","maskKey":"","keyItemMaskOfField":null,"keyOptionIdReplace":"","relatedOptionIds":[],"onlineServices":[],"childCriteriaItemList":[],"clientContextJson":""},{"keyOptionId":"8417","caption":"Cape Verde","secondaryCaption":"","isDefault":true,"maskCriteriaOnly":false,"definition":"","keyProductQueryItem":"300051","comparisonOperation":0,"comparisonValue":"71","minimumVersion":"","maximumVersion":"","formOrder":0,"lowerBound":null,"enabled":true,"mask":"","largeMask":"","maskKey":"","keyItemMaskOfField":null,"keyOptionIdReplace":"","relatedOptionIds":[],"onlineServices":[],"childCriteriaItemList":[],"clientContextJson":""},{"keyOptionId":"8418","caption":"Central African Rep.","secondaryCaption":"","isDefault":true,"maskCriteriaOnly":false,"definition":"","keyProductQueryItem":"300051","comparisonOperation":0,"comparisonValue":"67","minimumVersion":"","maximumVersion":"","formOrder":0,"lowerBound":null,"enabled":true,"mask":"","largeMask":"","maskKey":"","keyItemMaskOfField":null,"keyOptionIdReplace":"","relatedOptionIds":[],"onlineServices":[],"childCriteriaItemList":[],"clientContextJson":""},{"keyOptionId":"8419","caption":"Chad","secondaryCaption":"","isDefault":true,"maskCriteriaOnly":false,"definition":"","keyProductQueryItem":"300051","comparisonOperation":0,"comparisonValue":"108","minimumVersion":"","maximumVersion":"","formOrder":0,"lowerBound":null,"enabled":true,"mask":"","largeMask":"","maskKey":"","keyItemMaskOfField":null,"keyOptionIdReplace":"","relatedOptionIds":[],"onlineServices":[],"childCriteriaItemList":[],"clientContextJson":""},{"keyOptionId":"8420","caption":"Comoros","secondaryCaption":"","isDefault":true,"maskCriteriaOnly":false,"definition":"","keyProductQueryItem":"300051","comparisonOperation":0,"comparisonValue":"117","minimumVersion":"","maximumVersion":"","formOrder":0,"lowerBound":null,"enabled":true,"mask":"","largeMask":"","maskKey":"","keyItemMaskOfField":null,"keyOptionIdReplace":"","relatedOptionIds"</t>
  </si>
  <si>
    <t>:[],"onlineServices":[],"childCriteriaItemList":[],"clientContextJson":""},{"keyOptionId":"8421","caption":"Cote d'Ivoire","secondaryCaption":"","isDefault":true,"maskCriteriaOnly":false,"definition":"","keyProductQueryItem":"300051","comparisonOperation":0,"comparisonValue":"69","minimumVersion":"","maximumVersion":"","formOrder":0,"lowerBound":null,"enabled":true,"mask":"","largeMask":"","maskKey":"","keyItemMaskOfField":null,"keyOptionIdReplace":"","relatedOptionIds":[],"onlineServices":[],"childCriteriaItemList":[],"clientContextJson":""},{"keyOptionId":"8422","caption":"Dem. Rep. Congo","secondaryCaption":"","isDefault":true,"maskCriteriaOnly":false,"definition":"","keyProductQueryItem":"300051","comparisonOperation":0,"comparisonValue":"115","minimumVersion":"","maximumVersion":"","formOrder":0,"lowerBound":null,"enabled":true,"mask":"","largeMask":"","maskKey":"","keyItemMaskOfField":null,"keyOptionIdReplace":"","relatedOptionIds":[],"onlineServices":[],"childCriteriaItemList":[],"clientContextJson":""},{"keyOptionId":"8423","caption":"Djibouti","secondaryCaption":"","isDefault":true,"maskCriteriaOnly":false,"definition":"","keyProductQueryItem":"300051","comparisonOperation":0,"comparisonValue":"72","minimumVersion":"","maximumVersion":"","formOrder":0,"lowerBound":null,"enabled":true,"mask":"","largeMask":"","maskKey":"","keyItemMaskOfField":null,"keyOptionIdReplace":"","relatedOptionIds":[],"onlineServices":[],"childCriteriaItemList":[],"clientContextJson":""},{"keyOptionId":"8424","caption":"Equatorial Guinea","secondaryCaption":"","isDefault":true,"maskCriteriaOnly":false,"definition":"","keyProductQueryItem":"300051","comparisonOperation":0,"comparisonValue":"82","minimumVersion":"","maximumVersion":"","formOrder":0,"lowerBound":null,"enabled":true,"mask":"","largeMask":"","maskKey":"","keyItemMaskOfField":null,"keyOptionIdReplace":"","relatedOptionIds":[],"onlineServices":[],"childCriteriaItemList":[],"clientContextJson":""},{"keyOptionId":"8425","caption":"Eritrea","secondaryCaption":"","isDefault":true,"maskCriteriaOnly":false,"definition":"","keyProductQueryItem":"300051","comparisonOperation":0,"comparisonValue":"76","minimumVersion":"","maximumVersion":"","formOrder":0,"lowerBound":null,"enabled":true,"mask":"","largeMask":"","maskKey":"","keyItemMaskOfField":null,"keyOptionIdReplace":"","relatedOptionIds":[],"onlineServices":[],"childCriteriaItemList":[],"clientContextJson":""},{"keyOptionId":"8458","caption":"Eswatini","secondaryCaption":"","isDefault":true,"maskCriteriaOnly":false,"definition":"","keyProductQueryItem":"300051","comparisonOperation":0,"comparisonValue":"107","minimumVersion":"","maximumVersion":"","formOrder":0,"lowerBound":null,"enabled":true,"mask":"","largeMask":"","maskKey":"","keyItemMaskOfField":null,"keyOptionIdReplace":"","relatedOptionIds":[],"onlineServices":[],"childCriteriaItemList":[],"clientContextJson":""},{"keyOptionId":"8426","caption":"Ethiopia","secondaryCaption":"","isDefault":true,"maskCriteriaOnly":false,"definition":"","keyProductQueryItem":"300051","comparisonOperation":0,"comparisonValue":"77","minimumVersion":"","maximumVersion":"","formOrder":0,"lowerBound":null,"enabled":true,"mask":"","largeMask":"","maskKey":"","keyItemMaskOfField":null,"keyOptionIdReplace":"","relatedOptionIds":[],"onlineServices":[],"childCriteriaItemList":[],"clientContextJson":""},{"keyOptionId":"8427","caption":"Gabon","secondaryCaption":"","isDefault":true,"maskCriteriaOnly":false,"definition":"","keyProductQueryItem":"300051","comparisonOperation":0,"comparisonValue":"78","minimumVersion":"","maximumVersion":"","formOrder":0,"lowerBound":null,"enabled":true,"mask":"","largeMask":"","maskKey":"","keyItemMaskOfField":null,"keyOptionIdReplace":"","relatedOptionIds":[],"onlineServices":[],"childCriteriaItemList":[],"clientContextJson":""},{"keyOptionId":"8428","caption":"Gambia","secondaryCaption":"","isDefault":true,"maskCriteriaOnly":false,"definition":"","keyProductQueryItem":"300051","comparisonOperation":0,"comparisonValue":"80","minimumVersion":"","maximumVersion":"","formOrder":0,"lowerBound":null,"enabled":true,"mask":"","largeMask":"","maskKey":"","keyItemMaskOfField":null,"keyOptionIdReplace":"","relatedOptionIds":[],"onlineServices":[],"childCriteriaItemList":[],"clientContextJson":""},{"keyOptionId":"8429","caption":"Ghana","secondaryCaption":"","isDefault":true,"maskCriteriaOnly":false,"definition":"","keyProductQueryItem":"300051","comparisonOperation":0,"comparisonValue":"79","minimumVersion":"","maximumVersion":"","formOrder":0,"lowerBound":null,"enabled":true,"mask":"","largeMask":"","maskKey":"","keyItemMaskOfField":null,"keyOptionIdReplace":"","relatedOptionIds":[],"onlineServices":[],"childCriteriaItemList":[],"clientContextJson":""},{"keyOptionId":"8430","caption":"Guinea","secondaryCaption":"","isDefault":true,"maskCriteriaOnly":false,"definition":"","keyProductQueryItem":"300051","comparisonOperation":0,"comparisonValue":"81","minimumVersion":"","maximumVersion":"","formOrder":0,"lowerBound":null,"enabled":true,"mask":"","largeMask":"","maskKey":"","keyItemMaskOfField":null,"keyOptionIdReplace":"","relatedOptionIds":[],"onlineServices":[],"childCriteriaItemList":[],"clientContextJson":""},{"keyOptionId":"8431","caption":"Guinea-Bissau","secondaryCaption":"","isDefault":true,"maskCriteriaOnly":false,"definition":"","keyProductQueryItem":"300051","comparisonOperation":0,"comparisonValue":"83","minimumVersion":"","maximumVersion":"","formOrder":0,"lowerBound":null,"enabled":true,"mask":"","largeMask":"","maskKey":"","keyItemMaskOfField":null,"keyOptionIdReplace":"","relatedOptionIds":[],"onlineServices":[],"childCriteriaItemList":[],"clientContextJson":""},{"keyOptionId":"8432","caption":"Kenya","secondaryCaption":"","isDefault":true,"maskCriteriaOnly":false,"definition":"","keyProductQueryItem":"300051","comparisonOperation":0,"comparisonValue":"84","minimumVersion":"","maximumVersion":"","formOrder":0,"lowerBound":null,"enabled":true,"mask":"","largeMask":"","maskKey":"","keyItemMaskOfField":null,"keyOptionIdReplace":"","relatedOptionIds":[],"onlineServices":[],"childCriteriaItemList":[],"clientContextJson":""},{"keyOptionId":"8433","caption":"Lesotho","secondaryCaption":"","isDefault":true,"maskCriteriaOnly":false,"definition":"","keyProductQueryItem":"300051","comparisonOperation":0,"comparisonValue":"86","minimumVersion":"","maximumVersion":"","formOrder":0,"lowerBound":null,"enabled":true,"mask":"","largeMask":"","maskKey":"","keyItemMaskOfField":null,"keyOptionIdReplace":"","relatedOptionIds":[],"onlineServices":[],"childCriteriaItemList":[],"clientContextJson":""},{"keyOptionId":"8434","caption":"Liberia","secondaryCaption":"","isDefault":true,"maskCriteriaOnly":false,"definition":"","keyProductQueryItem":"300051","comparisonOperation":0,"comparisonValue":"85","minimumVersion":"","maximumVersion":"","formOrder":0,"lowerBound":null,"enabled":true,"mask":"","largeMask":"","maskKey":"","keyItemMaskOfField":null,"keyOptionIdReplace":"","relatedOptionIds":[],"onlineServices":[],"childCriteriaItemList":[],"clientContextJson":""},{"keyOptionId":"8435","caption":"Libya","secondaryCaption":"","isDefault":true,"maskCriteriaOnly":false,"definition":"","keyProductQueryItem":"300051","comparisonOperation":0,"comparisonValue":"87","minimumVersion":"","maximumVersion":"","formOrder":0,"lowerBound":null,"enabled":true,"mask":"","largeMask":"","maskKey":"","keyItemMaskOfField":null,"keyOptionIdReplace":"","relatedOptionIds":[],"onlineServices":[],"childCriteriaItemList":[],"clientContextJson":""},{"keyOptionId":"8436","caption":"Madagascar","secondaryCaption":"","isDefault":true,"maskCriteri</t>
  </si>
  <si>
    <t>aOnly":false,"definition":"","keyProductQueryItem":"300051","comparisonOperation":0,"comparisonValue":"89","minimumVersion":"","maximumVersion":"","formOrder":0,"lowerBound":null,"enabled":true,"mask":"","largeMask":"","maskKey":"","keyItemMaskOfField":null,"keyOptionIdReplace":"","relatedOptionIds":[],"onlineServices":[],"childCriteriaItemList":[],"clientContextJson":""},{"keyOptionId":"8437","caption":"Malawi","secondaryCaption":"","isDefault":true,"maskCriteriaOnly":false,"definition":"","keyProductQueryItem":"300051","comparisonOperation":0,"comparisonValue":"93","minimumVersion":"","maximumVersion":"","formOrder":0,"lowerBound":null,"enabled":true,"mask":"","largeMask":"","maskKey":"","keyItemMaskOfField":null,"keyOptionIdReplace":"","relatedOptionIds":[],"onlineServices":[],"childCriteriaItemList":[],"clientContextJson":""},{"keyOptionId":"8438","caption":"Mali","secondaryCaption":"","isDefault":true,"maskCriteriaOnly":false,"definition":"","keyProductQueryItem":"300051","comparisonOperation":0,"comparisonValue":"90","minimumVersion":"","maximumVersion":"","formOrder":0,"lowerBound":null,"enabled":true,"mask":"","largeMask":"","maskKey":"","keyItemMaskOfField":null,"keyOptionIdReplace":"","relatedOptionIds":[],"onlineServices":[],"childCriteriaItemList":[],"clientContextJson":""},{"keyOptionId":"8439","caption":"Mauritania","secondaryCaption":"","isDefault":true,"maskCriteriaOnly":false,"definition":"","keyProductQueryItem":"300051","comparisonOperation":0,"comparisonValue":"91","minimumVersion":"","maximumVersion":"","formOrder":0,"lowerBound":null,"enabled":true,"mask":"","largeMask":"","maskKey":"","keyItemMaskOfField":null,"keyOptionIdReplace":"","relatedOptionIds":[],"onlineServices":[],"childCriteriaItemList":[],"clientContextJson":""},{"keyOptionId":"8440","caption":"Mauritius","secondaryCaption":"","isDefault":true,"maskCriteriaOnly":false,"definition":"","keyProductQueryItem":"300051","comparisonOperation":0,"comparisonValue":"92","minimumVersion":"","maximumVersion":"","formOrder":0,"lowerBound":null,"enabled":true,"mask":"","largeMask":"","maskKey":"","keyItemMaskOfField":null,"keyOptionIdReplace":"","relatedOptionIds":[],"onlineServices":[],"childCriteriaItemList":[],"clientContextJson":""},{"keyOptionId":"8441","caption":"Mayotte","secondaryCaption":"","isDefault":true,"maskCriteriaOnly":false,"definition":"","keyProductQueryItem":"300051","comparisonOperation":0,"comparisonValue":"113","minimumVersion":"","maximumVersion":"","formOrder":0,"lowerBound":null,"enabled":true,"mask":"","largeMask":"","maskKey":"","keyItemMaskOfField":null,"keyOptionIdReplace":"","relatedOptionIds":[],"onlineServices":[],"childCriteriaItemList":[],"clientContextJson":""},{"keyOptionId":"8442","caption":"Morocco","secondaryCaption":"","isDefault":true,"maskCriteriaOnly":false,"definition":"","keyProductQueryItem":"300051","comparisonOperation":0,"comparisonValue":"88","minimumVersion":"","maximumVersion":"","formOrder":0,"lowerBound":null,"enabled":true,"mask":"","largeMask":"","maskKey":"","keyItemMaskOfField":null,"keyOptionIdReplace":"","relatedOptionIds":[],"onlineServices":[],"childCriteriaItemList":[],"clientContextJson":""},{"keyOptionId":"8443","caption":"Mozambique","secondaryCaption":"","isDefault":true,"maskCriteriaOnly":false,"definition":"","keyProductQueryItem":"300051","comparisonOperation":0,"comparisonValue":"94","minimumVersion":"","maximumVersion":"","formOrder":0,"lowerBound":null,"enabled":true,"mask":"","largeMask":"","maskKey":"","keyItemMaskOfField":null,"keyOptionIdReplace":"","relatedOptionIds":[],"onlineServices":[],"childCriteriaItemList":[],"clientContextJson":""},{"keyOptionId":"8444","caption":"Namibia","secondaryCaption":"","isDefault":true,"maskCriteriaOnly":false,"definition":"","keyProductQueryItem":"300051","comparisonOperation":0,"comparisonValue":"95","minimumVersion":"","maximumVersion":"","formOrder":0,"lowerBound":null,"enabled":true,"mask":"","largeMask":"","maskKey":"","keyItemMaskOfField":null,"keyOptionIdReplace":"","relatedOptionIds":[],"onlineServices":[],"childCriteriaItemList":[],"clientContextJson":""},{"keyOptionId":"8445","caption":"Niger","secondaryCaption":"","isDefault":true,"maskCriteriaOnly":false,"definition":"","keyProductQueryItem":"300051","comparisonOperation":0,"comparisonValue":"96","minimumVersion":"","maximumVersion":"","formOrder":0,"lowerBound":null,"enabled":true,"mask":"","largeMask":"","maskKey":"","keyItemMaskOfField":null,"keyOptionIdReplace":"","relatedOptionIds":[],"onlineServices":[],"childCriteriaItemList":[],"clientContextJson":""},{"keyOptionId":"8446","caption":"Nigeria","secondaryCaption":"","isDefault":true,"maskCriteriaOnly":false,"definition":"","keyProductQueryItem":"300051","comparisonOperation":0,"comparisonValue":"97","minimumVersion":"","maximumVersion":"","formOrder":0,"lowerBound":null,"enabled":true,"mask":"","largeMask":"","maskKey":"","keyItemMaskOfField":null,"keyOptionIdReplace":"","relatedOptionIds":[],"onlineServices":[],"childCriteriaItemList":[],"clientContextJson":""},{"keyOptionId":"8447","caption":"Rep. Of the Congo","secondaryCaption":"","isDefault":true,"maskCriteriaOnly":false,"definition":"","keyProductQueryItem":"300051","comparisonOperation":0,"comparisonValue":"68","minimumVersion":"","maximumVersion":"","formOrder":0,"lowerBound":null,"enabled":true,"mask":"","largeMask":"","maskKey":"","keyItemMaskOfField":null,"keyOptionIdReplace":"","relatedOptionIds":[],"onlineServices":[],"childCriteriaItemList":[],"clientContextJson":""},{"keyOptionId":"8448","caption":"Reunion","secondaryCaption":"","isDefault":true,"maskCriteriaOnly":false,"definition":"","keyProductQueryItem":"300051","comparisonOperation":0,"comparisonValue":"98","minimumVersion":"","maximumVersion":"","formOrder":0,"lowerBound":null,"enabled":true,"mask":"","largeMask":"","maskKey":"","keyItemMaskOfField":null,"keyOptionIdReplace":"","relatedOptionIds":[],"onlineServices":[],"childCriteriaItemList":[],"clientContextJson":""},{"keyOptionId":"8449","caption":"Rwanda","secondaryCaption":"","isDefault":true,"maskCriteriaOnly":false,"definition":"","keyProductQueryItem":"300051","comparisonOperation":0,"comparisonValue":"99","minimumVersion":"","maximumVersion":"","formOrder":0,"lowerBound":null,"enabled":true,"mask":"","largeMask":"","maskKey":"","keyItemMaskOfField":null,"keyOptionIdReplace":"","relatedOptionIds":[],"onlineServices":[],"childCriteriaItemList":[],"clientContextJson":""},{"keyOptionId":"8450","caption":"Saint Helena","secondaryCaption":"","isDefault":true,"maskCriteriaOnly":false,"definition":"","keyProductQueryItem":"300051","comparisonOperation":0,"comparisonValue":"102","minimumVersion":"","maximumVersion":"","formOrder":0,"lowerBound":null,"enabled":true,"mask":"","largeMask":"","maskKey":"","keyItemMaskOfField":null,"keyOptionIdReplace":"","relatedOptionIds":[],"onlineServices":[],"childCriteriaItemList":[],"clientContextJson":""},{"keyOptionId":"8451","caption":"Sao Tome &amp; Principe","secondaryCaption":"","isDefault":true,"maskCriteriaOnly":false,"definition":"","keyProductQueryItem":"300051","comparisonOperation":0,"comparisonValue":"106","minimumVersion":"","maximumVersion":"","formOrder":0,"lowerBound":null,"enabled":true,"mask":"","largeMask":"","maskKey":"","keyItemMaskOfField":null,"keyOptionIdReplace":"","relatedOptionIds":[],"onlineServices":[],"childCriteriaItemList":[],"clientContextJson":""},{"keyOptionId":"8452","caption":"Senegal","secondaryCaption":"","isDefault":true,"maskCriteriaOnly":false,"definition":"","keyProductQueryItem":"300051","comparisonOperation":0,"comparisonValue":"104","minimumVersion":"","maximumVersion":"","formOrder":0,"lo</t>
  </si>
  <si>
    <t>{"clientContext":null,"committedRefresh":false,"conversionInformation":null,"enforceItemEntitlements":false,"extensionPropertiesJson":"{\"UserDefinedFormulas\":[],\"HideQueryFilter\":false,\"ChartDetails\":[]}","functionRequests":[{"conversionInfo":null,"displayConstituentKeys":null,"enableSourceTagging":false,"enforceItemEntitlements":false,"fields":null,"functionId":0,"groupBy":null,"groupByField":null,"ignoreCache":false,"keys":null,"keysAdded":null,"keysDeleted":null,"operationType":22,"perspective":"275259","propDataUserContext":null,"query":{"baseCompany":null,"keySavedSet":"07ade1ba-8b54-4250-949d-8e75b4205acc","conversionInformation":{"keyCurrency":"USD","measurementStandard":0,"conversionMode":0,"magnitudeOverride":null,"keyForeignLanguage":null,"keyForeignLanguageSecondary":null,"dataLanguage":"en-US","culture":null,"requestCulture":null,"reportingBasis":null,"nullValue":"NA","headerCurrency":null,"dataSource":null,"dateComparison":null,"industryClassification":null},"countsQuery":false,"dateCreated":"2023-06-27T00:19:53.267-04:00","extensionPropertiesJson":null,"keyPerspective":"275259","name":"WACC_PREFQ","queryFilters":[{"filterGroupId":"8085","filterGroupIdReplace":"","caption":"Transaction Type","groupType":2,"optionType":8,"formOrder":10,"minimumVersion":"","maximumVersion":"","onlineServicesEnabled":false,"onlineServices":null,"column":0,"columnFormOrder":10,"criteriaIdName":"","required":true,"dateDefaultType":"","criteriaItemList":[{"keyOptionId":"8086","caption":"All Transac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secondaryCaption":"","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secondaryCaption":"","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secondaryCaption":"","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secondaryCaption":"","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secondaryCaption":"","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secondaryCapti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secondaryCaption":"","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Security","secondaryCaption":"","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secondaryCaption":"","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t>
  </si>
  <si>
    <t>werBound":null,"enabled":true,"mask":"","largeMask":"","maskKey":"","keyItemMaskOfField":null,"keyOptionIdReplace":"","relatedOptionIds":[],"onlineServices":[],"childCriteriaItemList":[],"clientContextJson":""},{"keyOptionId":"8453","caption":"Seychelles","secondaryCaption":"","isDefault":true,"maskCriteriaOnly":false,"definition":"","keyProductQueryItem":"300051","comparisonOperation":0,"comparisonValue":"100","minimumVersion":"","maximumVersion":"","formOrder":0,"lowerBound":null,"enabled":true,"mask":"","largeMask":"","maskKey":"","keyItemMaskOfField":null,"keyOptionIdReplace":"","relatedOptionIds":[],"onlineServices":[],"childCriteriaItemList":[],"clientContextJson":""},{"keyOptionId":"8454","caption":"Sierra Leone","secondaryCaption":"","isDefault":true,"maskCriteriaOnly":false,"definition":"","keyProductQueryItem":"300051","comparisonOperation":0,"comparisonValue":"103","minimumVersion":"","maximumVersion":"","formOrder":0,"lowerBound":null,"enabled":true,"mask":"","largeMask":"","maskKey":"","keyItemMaskOfField":null,"keyOptionIdReplace":"","relatedOptionIds":[],"onlineServices":[],"childCriteriaItemList":[],"clientContextJson":""},{"keyOptionId":"8455","caption":"Somalia","secondaryCaption":"","isDefault":true,"maskCriteriaOnly":false,"definition":"","keyProductQueryItem":"300051","comparisonOperation":0,"comparisonValue":"105","minimumVersion":"","maximumVersion":"","formOrder":0,"lowerBound":null,"enabled":true,"mask":"","largeMask":"","maskKey":"","keyItemMaskOfField":null,"keyOptionIdReplace":"","relatedOptionIds":[],"onlineServices":[],"childCriteriaItemList":[],"clientContextJson":""},{"keyOptionId":"8456","caption":"South Africa","secondaryCaption":"","isDefault":true,"maskCriteriaOnly":false,"definition":"","keyProductQueryItem":"300051","comparisonOperation":0,"comparisonValue":"118","minimumVersion":"","maximumVersion":"","formOrder":0,"lowerBound":null,"enabled":true,"mask":"","largeMask":"","maskKey":"","keyItemMaskOfField":null,"keyOptionIdReplace":"","relatedOptionIds":[],"onlineServices":[],"childCriteriaItemList":[],"clientContextJson":""},{"keyOptionId":"8457","caption":"Sudan","secondaryCaption":"","isDefault":true,"maskCriteriaOnly":false,"definition":"","keyProductQueryItem":"300051","comparisonOperation":0,"comparisonValue":"101","minimumVersion":"","maximumVersion":"","formOrder":0,"lowerBound":null,"enabled":true,"mask":"","largeMask":"","maskKey":"","keyItemMaskOfField":null,"keyOptionIdReplace":"","relatedOptionIds":[],"onlineServices":[],"childCriteriaItemList":[],"clientContextJson":""},{"keyOptionId":"8459","caption":"Tanzania","secondaryCaption":"","isDefault":true,"maskCriteriaOnly":false,"definition":"","keyProductQueryItem":"300051","comparisonOperation":0,"comparisonValue":"111","minimumVersion":"","maximumVersion":"","formOrder":0,"lowerBound":null,"enabled":true,"mask":"","largeMask":"","maskKey":"","keyItemMaskOfField":null,"keyOptionIdReplace":"","relatedOptionIds":[],"onlineServices":[],"childCriteriaItemList":[],"clientContextJson":""},{"keyOptionId":"8460","caption":"Togo","secondaryCaption":"","isDefault":true,"maskCriteriaOnly":false,"definition":"","keyProductQueryItem":"300051","comparisonOperation":0,"comparisonValue":"109","minimumVersion":"","maximumVersion":"","formOrder":0,"lowerBound":null,"enabled":true,"mask":"","largeMask":"","maskKey":"","keyItemMaskOfField":null,"keyOptionIdReplace":"","relatedOptionIds":[],"onlineServices":[],"childCriteriaItemList":[],"clientContextJson":""},{"keyOptionId":"8461","caption":"Tunisia","secondaryCaption":"","isDefault":true,"maskCriteriaOnly":false,"definition":"","keyProductQueryItem":"300051","comparisonOperation":0,"comparisonValue":"110","minimumVersion":"","maximumVersion":"","formOrder":0,"lowerBound":null,"enabled":true,"mask":"","largeMask":"","maskKey":"","keyItemMaskOfField":null,"keyOptionIdReplace":"","relatedOptionIds":[],"onlineServices":[],"childCriteriaItemList":[],"clientContextJson":""},{"keyOptionId":"8462","caption":"Uganda","secondaryCaption":"","isDefault":true,"maskCriteriaOnly":false,"definition":"","keyProductQueryItem":"300051","comparisonOperation":0,"comparisonValue":"112","minimumVersion":"","maximumVersion":"","formOrder":0,"lowerBound":null,"enabled":true,"mask":"","largeMask":"","maskKey":"","keyItemMaskOfField":null,"keyOptionIdReplace":"","relatedOptionIds":[],"onlineServices":[],"childCriteriaItemList":[],"clientContextJson":""},{"keyOptionId":"8463","caption":"Western Sahara","secondaryCaption":"","isDefault":true,"maskCriteriaOnly":false,"definition":"","keyProductQueryItem":"300051","comparisonOperation":0,"comparisonValue":"75","minimumVersion":"","maximumVersion":"","formOrder":0,"lowerBound":null,"enabled":true,"mask":"","largeMask":"","maskKey":"","keyItemMaskOfField":null,"keyOptionIdReplace":"","relatedOptionIds":[],"onlineServices":[],"childCriteriaItemList":[],"clientContextJson":""},{"keyOptionId":"8464","caption":"Zambia","secondaryCaption":"","isDefault":true,"maskCriteriaOnly":false,"definition":"","keyProductQueryItem":"300051","comparisonOperation":0,"comparisonValue":"114","minimumVersion":"","maximumVersion":"","formOrder":0,"lowerBound":null,"enabled":true,"mask":"","largeMask":"","maskKey":"","keyItemMaskOfField":null,"keyOptionIdReplace":"","relatedOptionIds":[],"onlineServices":[],"childCriteriaItemList":[],"clientContextJson":""},{"keyOptionId":"8465","caption":"Zimbabwe","secondaryCaption":"","isDefault":true,"maskCriteriaOnly":false,"definition":"","keyProductQueryItem":"300051","comparisonOperation":0,"comparisonValue":"116","minimumVersion":"","maximumVersion":"","formOrder":0,"lowerBound":null,"enabled":true,"mask":"","largeMask":"","maskKey":"","keyItemMaskOfField":null,"keyOptionIdReplace":"","relatedOptionIds":[],"onlineServices":[],"childCriteriaItemList":[],"clientContextJson":""}],"clientContextJson":""}],"clientContextJson":""}]},{"filterGroupId":"8469","filterGroupIdReplace":"","caption":"Transaction Status","groupType":2,"optionType":1,"formOrder":50,"minimumVersion":"","maximumVersion":"","onlineServicesEnabled":false,"onlineServices":null,"column":0,"columnFormOrder":50,"criteriaIdName":"","required":true,"dateDefaultType":"","criteriaItemList":[{"keyOptionId":"8470","caption":"Announced","secondaryCaption":"","isDefault":true,"maskCriteriaOnly":false,"definition":"","keyProductQueryItem":"299103","comparisonOperation":0,"comparisonValue":"0","minimumVersion":"","maximumVersion":"","formOrder":0,"lowerBound":null,"enabled":true,"mask":"","largeMask":"","maskKey":"","keyItemMaskOfField":null,"keyOptionIdReplace":"","relatedOptionIds":[],"onlineServices":[],"childCriteriaItemList":[],"clientContextJson":""},{"keyOptionId":"8471","caption":"Completed","secondaryCaption":"","isDefault":true,"maskCriteriaOnly":false,"definition":"","keyProductQueryItem":"299103","comparisonOperation":0,"comparisonValue":"1","minimumVersion":"","maximumVersion":"","formOrder":0,"lowerBound":null,"enabled":true,"mask":"","largeMask":"","maskKey":"","keyItemMaskOfField":null,"keyOptionIdReplace":"","relatedOptionIds":[],"onlineServices":[],"childCriteriaItemList":[],"clientContextJson":""},{"keyOptionId":"8472","caption":"Terminated/Withdrawn","secondaryCaption":"","isDefault":false,"maskCriteriaOnly":false,"definition":"","keyProductQueryItem":"299103","comparisonOperation":0,"comparisonValue":"2","minimumVersion":"","maximumVersion":"","formOrder":0,"lowerBound":null,"enabled":true,"mask":"","largeMask":"","maskKey":"","keyItemMaskOfField":null,"keyOptionIdReplace":"","relatedOptionIds":[],"onlineServices":[],"childCriteriaItemList":[],"clientContextJson":""}]},{"filterGroupId":"89188","filter</t>
  </si>
  <si>
    <t>GroupIdReplace":"","caption":"Deal Responses","groupType":2,"optionType":8,"formOrder":10,"minimumVersion":"","maximumVersion":"","onlineServicesEnabled":false,"onlineServices":null,"column":0,"columnFormOrder":150,"criteriaIdName":"","required":false,"dateDefaultType":"","criteriaItemList":[{"keyOptionId":"89189","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89190","caption":"Approv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89191","caption":"Financi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89192","caption":"Approval by Tax Advisor","secondaryCaption":"","isDefault":false,"maskCriteriaOnly":false,"definition":"","keyProductQueryItem":"353261","comparisonOperation":0,"comparisonValue":"22","minimumVersion":"","maximumVersion":"","formOrder":0,"lowerBound":null,"enabled":true,"mask":"","largeMask":"","maskKey":"","keyItemMaskOfField":null,"keyOptionIdReplace":"","relatedOptionIds":[],"onlineServices":[],"childCriteriaItemList":[],"clientContextJson":""}],"clientContextJson":""},{"keyOptionId":"89193","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89404","caption":"Approval by Target Board","secondaryCaption":"","isDefault":false,"maskCriteriaOnly":false,"definition":"","keyProductQueryItem":"353261","comparisonOperation":0,"comparisonValue":"0","minimumVersion":"","maximumVersion":"","formOrder":0,"lowerBound":null,"enabled":true,"mask":"","largeMask":"","maskKey":"","keyItemMaskOfField":null,"keyOptionIdReplace":"","relatedOptionIds":[],"onlineServices":[],"childCriteriaItemList":[],"clientContextJson":""},{"keyOptionId":"89405","caption":"Approval by Special Committee","secondaryCaption":"","isDefault":false,"maskCriteriaOnly":false,"definition":"","keyProductQueryItem":"353261","comparisonOperation":0,"comparisonValue":"3","minimumVersion":"","maximumVersion":"","formOrder":0,"lowerBound":null,"enabled":true,"mask":"","largeMask":"","maskKey":"","keyItemMaskOfField":null,"keyOptionIdReplace":"","relatedOptionIds":[],"onlineServices":[],"childCriteriaItemList":[],"clientContextJson":""},{"keyOptionId":"89406","caption":"Approval by Buyer Board","secondaryCaption":"","isDefault":false,"maskCriteriaOnly":false,"definition":"","keyProductQueryItem":"353261","comparisonOperation":0,"comparisonValue":"16","minimumVersion":"","maximumVersion":"","formOrder":0,"lowerBound":null,"enabled":true,"mask":"","largeMask":"","maskKey":"","keyItemMaskOfField":null,"keyOptionIdReplace":"","relatedOptionIds":[],"onlineServices":[],"childCriteriaItemList":[],"clientContextJson":""},{"keyOptionId":"89197","caption":"Approval by Distributing Company Board","secondaryCaption":"","isDefault":false,"maskCriteriaOnly":false,"definition":"","keyProductQueryItem":"353261","comparisonOperation":0,"comparisonValue":"19","minimumVersion":"","maximumVersion":"","formOrder":0,"lowerBound":null,"enabled":true,"mask":"","largeMask":"","maskKey":"","keyItemMaskOfField":null,"keyOptionIdReplace":"","relatedOptionIds":[],"onlineServices":[],"childCriteriaItemList":[],"clientContextJson":""}],"clientContextJson":""},{"keyOptionId":"89198","caption":"Regulatory or Antitru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89199","caption":"Approval by Competition Authority","secondaryCaption":"","isDefault":false,"maskCriteriaOnly":false,"definition":"","keyProductQueryItem":"353261","comparisonOperation":0,"comparisonValue":"1","minimumVersion":"","maximumVersion":"","formOrder":0,"lowerBound":null,"enabled":true,"mask":"","largeMask":"","maskKey":"","keyItemMaskOfField":null,"keyOptionIdReplace":"","relatedOptionIds":[],"onlineServices":[],"childCriteriaItemList":[],"clientContextJson":""},{"keyOptionId":"89200","caption":"Approval by Regulatory Authority","secondaryCaption":"","isDefault":false,"maskCriteriaOnly":false,"definition":"","keyProductQueryItem":"353261","comparisonOperation":0,"comparisonValue":"5","minimumVersion":"","maximumVersion":"","formOrder":0,"lowerBound":null,"enabled":true,"mask":"","largeMask":"","maskKey":"","keyItemMaskOfField":null,"keyOptionIdReplace":"","relatedOptionIds":[],"onlineServices":[],"childCriteriaItemList":[],"clientContextJson":""},{"keyOptionId":"89201","caption":"Approval by Court or Bankruptcy Court","secondaryCaption":"","isDefault":false,"maskCriteriaOnly":false,"definition":"","keyProductQueryItem":"353261","comparisonOperation":0,"comparisonValue":"7","minimumVersion":"","maximumVersion":"","formOrder":0,"lowerBound":null,"enabled":true,"mask":"","largeMask":"","maskKey":"","keyItemMaskOfField":null,"keyOptionIdReplace":"","relatedOptionIds":[],"onlineServices":[],"childCriteriaItemList":[],"clientContextJson":""},{"keyOptionId":"89202","caption":"Approval by SEC","secondaryCaption":"","isDefault":false,"maskCriteriaOnly":false,"definition":"","keyProductQueryItem":"353261","comparisonOperation":0,"comparisonValue":"21","minimumVersion":"","maximumVersion":"","formOrder":0,"lowerBound":null,"enabled":true,"mask":"","largeMask":"","maskKey":"","keyItemMaskOfField":null,"keyOptionIdReplace":"","relatedOptionIds":[],"onlineServices":[],"childCriteriaItemList":[],"clientContextJson":""},{"keyOptionId":"89203","caption":"Approval by The Internal Revenue Service","secondaryCaption":"","isDefault":false,"maskCriteriaOnly":false,"definition":"","keyProductQueryItem":"353261","comparisonOperation":0,"comparisonValue":"23","minimumVersion":"","maximumVersion":"","formOrder":0,"lowerBound":null,"enabled":true,"mask":"","largeMask":"","maskKey":"","keyItemMaskOfField":null,"keyOptionIdReplace":"","relatedOptionIds":[],"onlineServices":[],"childCriteriaItemList":[],"clientContextJson":""},{"keyOptionId":"89204","caption":"Approval of Listing of Shares on Stock Exchange","secondaryCaption":"","isDefault":false,"maskCriteriaOnly":false,"definition":"","keyProductQueryItem":"353261","comparisonOperatio</t>
  </si>
  <si>
    <t>n":0,"comparisonValue":"24","minimumVersion":"","maximumVersion":"","formOrder":0,"lowerBound":null,"enabled":true,"mask":"","largeMask":"","maskKey":"","keyItemMaskOfField":null,"keyOptionIdReplace":"","relatedOptionIds":[],"onlineServices":[],"childCriteriaItemList":[],"clientContextJson":""}],"clientContextJson":""},{"keyOptionId":"89205","caption":"Sharehold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89206","caption":"Approval by Target's Shareholders","secondaryCaption":"","isDefault":false,"maskCriteriaOnly":false,"definition":"","keyProductQueryItem":"353261","comparisonOperation":0,"comparisonValue":"4","minimumVersion":"","maximumVersion":"","formOrder":0,"lowerBound":null,"enabled":true,"mask":"","largeMask":"","maskKey":"","keyItemMaskOfField":null,"keyOptionIdReplace":"","relatedOptionIds":[],"onlineServices":[],"childCriteriaItemList":[],"clientContextJson":""},{"keyOptionId":"89207","caption":"Approval by Buyer Shareholders","secondaryCaption":"","isDefault":false,"maskCriteriaOnly":false,"definition":"","keyProductQueryItem":"353261","comparisonOperation":0,"comparisonValue":"11","minimumVersion":"","maximumVersion":"","formOrder":0,"lowerBound":null,"enabled":true,"mask":"","largeMask":"","maskKey":"","keyItemMaskOfField":null,"keyOptionIdReplace":"","relatedOptionIds":[],"onlineServices":[],"childCriteriaItemList":[],"clientContextJson":""},{"keyOptionId":"89208","caption":"Approval by Distributing Company Shareholders","secondaryCaption":"","isDefault":false,"maskCriteriaOnly":false,"definition":"","keyProductQueryItem":"353261","comparisonOperation":0,"comparisonValue":"20","minimumVersion":"","maximumVersion":"","formOrder":0,"lowerBound":null,"enabled":true,"mask":"","largeMask":"","maskKey":"","keyItemMaskOfField":null,"keyOptionIdReplace":"","relatedOptionIds":[],"onlineServices":[],"childCriteriaItemList":[],"clientContextJson":""}],"clientContextJson":""}],"clientContextJson":""},{"keyOptionId":"89209","caption":"Neutr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89210","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89211","caption":"Neutral Position by Target Board","secondaryCaption":"","isDefault":false,"maskCriteriaOnly":false,"definition":"","keyProductQueryItem":"353261","comparisonOperation":0,"comparisonValue":"8","minimumVersion":"","maximumVersion":"","formOrder":0,"lowerBound":null,"enabled":true,"mask":"","largeMask":"","maskKey":"","keyItemMaskOfField":null,"keyOptionIdReplace":"","relatedOptionIds":[],"onlineServices":[],"childCriteriaItemList":[],"clientContextJson":""},{"keyOptionId":"89212","caption":"Neutral Position by Special Committee","secondaryCaption":"","isDefault":false,"maskCriteriaOnly":false,"definition":"","keyProductQueryItem":"353261","comparisonOperation":0,"comparisonValue":"10","minimumVersion":"","maximumVersion":"","formOrder":0,"lowerBound":null,"enabled":true,"mask":"","largeMask":"","maskKey":"","keyItemMaskOfField":null,"keyOptionIdReplace":"","relatedOptionIds":[],"onlineServices":[],"childCriteriaItemList":[],"clientContextJson":""}],"clientContextJson":""}],"clientContextJson":""},{"keyOptionId":"89213","caption":"Rejec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89214","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89215","caption":"Rejection by Target Board (Inadequate Offer Price)","secondaryCaption":"","isDefault":false,"maskCriteriaOnly":false,"definition":"","keyProductQueryItem":"353261","comparisonOperation":0,"comparisonValue":"13","minimumVersion":"","maximumVersion":"","formOrder":0,"lowerBound":null,"enabled":true,"mask":"","largeMask":"","maskKey":"","keyItemMaskOfField":null,"keyOptionIdReplace":"","relatedOptionIds":[],"onlineServices":[],"childCriteriaItemList":[],"clientContextJson":""},{"keyOptionId":"89216","caption":"Rejection by Target Board (Multiple Factors)","secondaryCaption":"","isDefault":false,"maskCriteriaOnly":false,"definition":"","keyProductQueryItem":"353261","comparisonOperation":0,"comparisonValue":"14","minimumVersion":"","maximumVersion":"","formOrder":0,"lowerBound":null,"enabled":true,"mask":"","largeMask":"","maskKey":"","keyItemMaskOfField":null,"keyOptionIdReplace":"","relatedOptionIds":[],"onlineServices":[],"childCriteriaItemList":[],"clientContextJson":""},{"keyOptionId":"89217","caption":"Rejection by Special Committee (Inadequate Offer Price)","secondaryCaption":"","isDefault":false,"maskCriteriaOnly":false,"definition":"","keyProductQueryItem":"353261","comparisonOperation":0,"comparisonValue":"17","minimumVersion":"","maximumVersion":"","formOrder":0,"lowerBound":null,"enabled":true,"mask":"","largeMask":"","maskKey":"","keyItemMaskOfField":null,"keyOptionIdReplace":"","relatedOptionIds":[],"onlineServices":[],"childCriteriaItemList":[],"clientContextJson":""},{"keyOptionId":"89218","caption":"Rejection by Special Committee (Multiple Factors)","secondaryCaption":"","isDefault":false,"maskCriteriaOnly":false,"definition":"","keyProductQueryItem":"353261","comparisonOperation":0,"comparisonValue":"18","minimumVersion":"","maximumVersion":"","formOrder":0,"lowerBound":null,"enabled":true,"mask":"","largeMask":"","maskKey":"","keyItemMaskOfField":null,"keyOptionIdReplace":"","relatedOptionIds":[],"onlineServices":[],"childCriteriaItemList":[],"clientContextJson":""},{"keyOptionId":"89219","caption":"Rejection by Distributing Company Board","secondaryCaption":"","isDefault":false,"maskCriteriaOnly":false,"definition":"","keyProductQueryItem":"353261","comparisonOperation":0,"comparisonValue":"25","minimumVersion":"","maximumVersion":"","formOrder":0,"lowerBound":null,"enabled":true,"mask":"","largeMask":"","maskKey":"","keyItemMaskOfField":null,"keyOptionIdReplace":"","relatedOptionIds":[],"onlineServices":[],"childCriteriaItemList":[],"clientContextJson":""}],"clientContextJson</t>
  </si>
  <si>
    <t>":""},{"keyOptionId":"89220","caption":"Regulatory or Antitrus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89221","caption":"Rejection by Competition Authority","secondaryCaption":"","isDefault":false,"maskCriteriaOnly":false,"definition":"","keyProductQueryItem":"353261","comparisonOperation":0,"comparisonValue":"2","minimumVersion":"","maximumVersion":"","formOrder":0,"lowerBound":null,"enabled":true,"mask":"","largeMask":"","maskKey":"","keyItemMaskOfField":null,"keyOptionIdReplace":"","relatedOptionIds":[],"onlineServices":[],"childCriteriaItemList":[],"clientContextJson":""},{"keyOptionId":"89222","caption":"Rejection by Regulatory Authority","secondaryCaption":"","isDefault":false,"maskCriteriaOnly":false,"definition":"","keyProductQueryItem":"353261","comparisonOperation":0,"comparisonValue":"6","minimumVersion":"","maximumVersion":"","formOrder":0,"lowerBound":null,"enabled":true,"mask":"","largeMask":"","maskKey":"","keyItemMaskOfField":null,"keyOptionIdReplace":"","relatedOptionIds":[],"onlineServices":[],"childCriteriaItemList":[],"clientContextJson":""},{"keyOptionId":"89223","caption":"Rejection by Court or Bankruptcy Court","secondaryCaption":"","isDefault":false,"maskCriteriaOnly":false,"definition":"","keyProductQueryItem":"353261","comparisonOperation":0,"comparisonValue":"9","minimumVersion":"","maximumVersion":"","formOrder":0,"lowerBound":null,"enabled":true,"mask":"","largeMask":"","maskKey":"","keyItemMaskOfField":null,"keyOptionIdReplace":"","relatedOptionIds":[],"onlineServices":[],"childCriteriaItemList":[],"clientContextJson":""}],"clientContextJson":""},{"keyOptionId":"89224","caption":"Sharehold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89225","caption":"Rejection by Buyer Shareholders","secondaryCaption":"","isDefault":false,"maskCriteriaOnly":false,"definition":"","keyProductQueryItem":"353261","comparisonOperation":0,"comparisonValue":"12","minimumVersion":"","maximumVersion":"","formOrder":0,"lowerBound":null,"enabled":true,"mask":"","largeMask":"","maskKey":"","keyItemMaskOfField":null,"keyOptionIdReplace":"","relatedOptionIds":[],"onlineServices":[],"childCriteriaItemList":[],"clientContextJson":""},{"keyOptionId":"89226","caption":"Rejection by Target Shareholders","secondaryCaption":"","isDefault":false,"maskCriteriaOnly":false,"definition":"","keyProductQueryItem":"353261","comparisonOperation":0,"comparisonValue":"15","minimumVersion":"","maximumVersion":"","formOrder":0,"lowerBound":null,"enabled":true,"mask":"","largeMask":"","maskKey":"","keyItemMaskOfField":null,"keyOptionIdReplace":"","relatedOptionIds":[],"onlineServices":[],"childCriteriaItemList":[],"clientContextJson":""},{"keyOptionId":"89227","caption":"Rejection by Distributing Company Shareholders","secondaryCaption":"","isDefault":false,"maskCriteriaOnly":false,"definition":"","keyProductQueryItem":"353261","comparisonOperation":0,"comparisonValue":"26","minimumVersion":"","maximumVersion":"","formOrder":0,"lowerBound":null,"enabled":true,"mask":"","largeMask":"","maskKey":"","keyItemMaskOfField":null,"keyOptionIdReplace":"","relatedOptionIds":[],"onlineServices":[],"childCriteriaItemList":[],"clientContextJson":""}],"clientContextJson":""}],"clientContextJson":""}],"clientContextJson":""}]},{"filterGroupId":"88085","filterGroupIdReplace":"","caption":"Adviser Role Type","groupType":2,"optionType":8,"formOrder":10,"minimumVersion":"","maximumVersion":"","onlineServicesEnabled":false,"onlineServices":null,"column":101,"columnFormOrder":1001,"criteriaIdName":"","required":false,"dateDefaultType":"","criteriaItemList":[{"keyOptionId":"88098","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88099","caption":"Financial Firm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88100","caption":"Financial Advisor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88104","caption":"Financial Adviser","secondaryCaption":"","isDefault":false,"maskCriteriaOnly":false,"definition":"","keyProductQueryItem":"339129","comparisonOperation":0,"comparisonValue":"6","minimumVersion":"","maximumVersion":"","formOrder":0,"lowerBound":null,"enabled":true,"mask":"","largeMask":"","maskKey":"","keyItemMaskOfField":null,"keyOptionIdReplace":"","relatedOptionIds":[],"onlineServices":[],"childCriteriaItemList":[],"clientContextJson":""},{"keyOptionId":"88105","caption":"Fairness Opinion Provider","secondaryCaption":"","isDefault":false,"maskCriteriaOnly":false,"definition":"","keyProductQueryItem":"339129","comparisonOperation":0,"comparisonValue":"7","minimumVersion":"","maximumVersion":"","formOrder":0,"lowerBound":null,"enabled":true,"mask":"","largeMask":"","maskKey":"","keyItemMaskOfField":null,"keyOptionIdReplace":"","relatedOptionIds":[],"onlineServices":[],"childCriteriaItemList":[],"clientContextJson":""},{"keyOptionId":"88106","caption":"Initiated Deal","secondaryCaption":"","isDefault":false,"maskCriteriaOnly":false,"definition":"","keyProductQueryItem":"339129","comparisonOperation":0,"comparisonValue":"8","minimumVersion":"","maximumVersion":"","formOrder":0,"lowerBound":null,"enabled":true,"mask":"","largeMask":"","maskKey":"","keyItemMaskOfField":null,"keyOptionIdReplace":"","relatedOptionIds":[],"onlineServices":[],"childCriteriaItemList":[],"clientContextJson":""},{"keyOptionId":"88108","caption":"Book Manager","secondaryCaption":"","isDefault":false,"maskCriteriaOnly":false,"definition":"","keyProductQueryItem":"339129","comparisonOperation":0,"comparisonValue":"19","minimumVersion":"","maximumVersion":"","formOrder":0,"lowerBound":null,"enabled":true,"mask":"","largeMask":"","maskKey":"","keyItemMaskOfField":null,"keyOptionIdReplace":"","relatedOptionIds":[],"onlineServices":[],"childCriteriaItemList":[],"clientContextJson":""}],"clientContextJson":""},{"keyOptionId":"88101","caption":"Underwriters","secondaryCaption":"","isDefault":false,"</t>
  </si>
  <si>
    <t>maskCriteriaOnly":true,"definition":"","keyProductQueryItem":"","comparisonOperation":null,"comparisonValue":"","minimumVersion":"","maximumVersion":"","formOrder":0,"lowerBound":null,"enabled":true,"mask":"","largeMask":"","maskKey":"","keyItemMaskOfField":null,"keyOptionIdReplace":"","relatedOptionIds":[],"onlineServices":[],"childCriteriaItemList":[{"keyOptionId":"88107","caption":"Global Coordinator","secondaryCaption":"","isDefault":false,"maskCriteriaOnly":false,"definition":"","keyProductQueryItem":"339129","comparisonOperation":0,"comparisonValue":"18","minimumVersion":"","maximumVersion":"","formOrder":0,"lowerBound":null,"enabled":true,"mask":"","largeMask":"","maskKey":"","keyItemMaskOfField":null,"keyOptionIdReplace":"","relatedOptionIds":[],"onlineServices":[],"childCriteriaItemList":[],"clientContextJson":""},{"keyOptionId":"88109","caption":"Non-book Lead Manager","secondaryCaption":"","isDefault":false,"maskCriteriaOnly":false,"definition":"","keyProductQueryItem":"339129","comparisonOperation":0,"comparisonValue":"20","minimumVersion":"","maximumVersion":"","formOrder":0,"lowerBound":null,"enabled":true,"mask":"","largeMask":"","maskKey":"","keyItemMaskOfField":null,"keyOptionIdReplace":"","relatedOptionIds":[],"onlineServices":[],"childCriteriaItemList":[],"clientContextJson":""},{"keyOptionId":"88110","caption":"Senior Co-manager","secondaryCaption":"","isDefault":false,"maskCriteriaOnly":false,"definition":"","keyProductQueryItem":"339129","comparisonOperation":0,"comparisonValue":"21","minimumVersion":"","maximumVersion":"","formOrder":0,"lowerBound":null,"enabled":true,"mask":"","largeMask":"","maskKey":"","keyItemMaskOfField":null,"keyOptionIdReplace":"","relatedOptionIds":[],"onlineServices":[],"childCriteriaItemList":[],"clientContextJson":""},{"keyOptionId":"88111","caption":"Co-Manager","secondaryCaption":"","isDefault":false,"maskCriteriaOnly":false,"definition":"","keyProductQueryItem":"339129","comparisonOperation":0,"comparisonValue":"22","minimumVersion":"","maximumVersion":"","formOrder":0,"lowerBound":null,"enabled":true,"mask":"","largeMask":"","maskKey":"","keyItemMaskOfField":null,"keyOptionIdReplace":"","relatedOptionIds":[],"onlineServices":[],"childCriteriaItemList":[],"clientContextJson":""},{"keyOptionId":"88112","caption":"Junior Co-manager","secondaryCaption":"","isDefault":false,"maskCriteriaOnly":false,"definition":"","keyProductQueryItem":"339129","comparisonOperation":0,"comparisonValue":"23","minimumVersion":"","maximumVersion":"","formOrder":0,"lowerBound":null,"enabled":true,"mask":"","largeMask":"","maskKey":"","keyItemMaskOfField":null,"keyOptionIdReplace":"","relatedOptionIds":[],"onlineServices":[],"childCriteriaItemList":[],"clientContextJson":""},{"keyOptionId":"88113","caption":"Placement Agent","secondaryCaption":"","isDefault":false,"maskCriteriaOnly":false,"definition":"","keyProductQueryItem":"339129","comparisonOperation":0,"comparisonValue":"24","minimumVersion":"","maximumVersion":"","formOrder":0,"lowerBound":null,"enabled":true,"mask":"","largeMask":"","maskKey":"","keyItemMaskOfField":null,"keyOptionIdReplace":"","relatedOptionIds":[],"onlineServices":[],"childCriteriaItemList":[],"clientContextJson":""},{"keyOptionId":"88114","caption":"Remarketing Agent","secondaryCaption":"","isDefault":false,"maskCriteriaOnly":false,"definition":"","keyProductQueryItem":"339129","comparisonOperation":0,"comparisonValue":"25","minimumVersion":"","maximumVersion":"","formOrder":0,"lowerBound":null,"enabled":true,"mask":"","largeMask":"","maskKey":"","keyItemMaskOfField":null,"keyOptionIdReplace":"","relatedOptionIds":[],"onlineServices":[],"childCriteriaItemList":[],"clientContextJson":""},{"keyOptionId":"88115","caption":"Selling Agent","secondaryCaption":"","isDefault":false,"maskCriteriaOnly":false,"definition":"","keyProductQueryItem":"339129","comparisonOperation":0,"comparisonValue":"26","minimumVersion":"","maximumVersion":"","formOrder":0,"lowerBound":null,"enabled":true,"mask":"","largeMask":"","maskKey":"","keyItemMaskOfField":null,"keyOptionIdReplace":"","relatedOptionIds":[],"onlineServices":[],"childCriteriaItemList":[],"clientContextJson":""},{"keyOptionId":"88116","caption":"Principal","secondaryCaption":"","isDefault":false,"maskCriteriaOnly":false,"definition":"","keyProductQueryItem":"339129","comparisonOperation":0,"comparisonValue":"28","minimumVersion":"","maximumVersion":"","formOrder":0,"lowerBound":null,"enabled":true,"mask":"","largeMask":"","maskKey":"","keyItemMaskOfField":null,"keyOptionIdReplace":"","relatedOptionIds":[],"onlineServices":[],"childCriteriaItemList":[],"clientContextJson":""},{"keyOptionId":"88117","caption":"Lead Agent","secondaryCaption":"","isDefault":false,"maskCriteriaOnly":false,"definition":"","keyProductQueryItem":"339129","comparisonOperation":0,"comparisonValue":"30","minimumVersion":"","maximumVersion":"","formOrder":0,"lowerBound":null,"enabled":true,"mask":"","largeMask":"","maskKey":"","keyItemMaskOfField":null,"keyOptionIdReplace":"","relatedOptionIds":[],"onlineServices":[],"childCriteriaItemList":[],"clientContextJson":""},{"keyOptionId":"88118","caption":"Agent","secondaryCaption":"","isDefault":false,"maskCriteriaOnly":false,"definition":"","keyProductQueryItem":"339129","comparisonOperation":0,"comparisonValue":"31","minimumVersion":"","maximumVersion":"","formOrder":0,"lowerBound":null,"enabled":true,"mask":"","largeMask":"","maskKey":"","keyItemMaskOfField":null,"keyOptionIdReplace":"","relatedOptionIds":[],"onlineServices":[],"childCriteriaItemList":[],"clientContextJson":""},{"keyOptionId":"88119","caption":"Exchange Agent","secondaryCaption":"","isDefault":false,"maskCriteriaOnly":false,"definition":"","keyProductQueryItem":"339129","comparisonOperation":0,"comparisonValue":"32","minimumVersion":"","maximumVersion":"","formOrder":0,"lowerBound":null,"enabled":true,"mask":"","largeMask":"","maskKey":"","keyItemMaskOfField":null,"keyOptionIdReplace":"","relatedOptionIds":[],"onlineServices":[],"childCriteriaItemList":[],"clientContextJson":""},{"keyOptionId":"88120","caption":"Dealer Manager","secondaryCaption":"","isDefault":false,"maskCriteriaOnly":false,"definition":"","keyProductQueryItem":"339129","comparisonOperation":0,"comparisonValue":"33","minimumVersion":"","maximumVersion":"","formOrder":0,"lowerBound":null,"enabled":true,"mask":"","largeMask":"","maskKey":"","keyItemMaskOfField":null,"keyOptionIdReplace":"","relatedOptionIds":[],"onlineServices":[],"childCriteriaItemList":[],"clientContextJson":""},{"keyOptionId":"88121","caption":"Purchasing Agent","secondaryCaption":"","isDefault":false,"maskCriteriaOnly":false,"definition":"","keyProductQueryItem":"339129","comparisonOperation":0,"comparisonValue":"34","minimumVersion":"","maximumVersion":"","formOrder":0,"lowerBound":null,"enabled":true,"mask":"","largeMask":"","maskKey":"","keyItemMaskOfField":null,"keyOptionIdReplace":"","relatedOptionIds":[],"onlineServices":[],"childCriteriaItemList":[],"clientContextJson":""}],"clientContextJson":""}],"clientContextJson":""},{"keyOptionId":"88102","caption":"Legal Firm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88122","caption":"Legal Adviser","secondaryCaption":"","isDefault":false,"maskCriteriaOnly":false,"definition":"","keyProductQueryItem":"339129"</t>
  </si>
  <si>
    <t>,"comparisonOperation":0,"comparisonValue":"5","minimumVersion":"","maximumVersion":"","formOrder":0,"lowerBound":null,"enabled":true,"mask":"","largeMask":"","maskKey":"","keyItemMaskOfField":null,"keyOptionIdReplace":"","relatedOptionIds":[],"onlineServices":[],"childCriteriaItemList":[],"clientContextJson":""},{"keyOptionId":"88123","caption":"Legal Counsel To Underwriters","secondaryCaption":"","isDefault":false,"maskCriteriaOnly":false,"definition":"","keyProductQueryItem":"339129","comparisonOperation":0,"comparisonValue":"37","minimumVersion":"","maximumVersion":"","formOrder":0,"lowerBound":null,"enabled":true,"mask":"","largeMask":"","maskKey":"","keyItemMaskOfField":null,"keyOptionIdReplace":"","relatedOptionIds":[],"onlineServices":[],"childCriteriaItemList":[],"clientContextJson":""}],"clientContextJson":""},{"keyOptionId":"88103","caption":"Other Firm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88124","caption":"Accountant","secondaryCaption":"","isDefault":false,"maskCriteriaOnly":false,"definition":"","keyProductQueryItem":"339129","comparisonOperation":0,"comparisonValue":"10","minimumVersion":"","maximumVersion":"","formOrder":0,"lowerBound":null,"enabled":true,"mask":"","largeMask":"","maskKey":"","keyItemMaskOfField":null,"keyOptionIdReplace":"","relatedOptionIds":[],"onlineServices":[],"childCriteriaItemList":[],"clientContextJson":""},{"keyOptionId":"88125","caption":"Clearing House","secondaryCaption":"","isDefault":false,"maskCriteriaOnly":false,"definition":"","keyProductQueryItem":"339129","comparisonOperation":0,"comparisonValue":"27","minimumVersion":"","maximumVersion":"","formOrder":0,"lowerBound":null,"enabled":true,"mask":"","largeMask":"","maskKey":"","keyItemMaskOfField":null,"keyOptionIdReplace":"","relatedOptionIds":[],"onlineServices":[],"childCriteriaItemList":[],"clientContextJson":""},{"keyOptionId":"88126","caption":"Transfer Agent or Registrar","secondaryCaption":"","isDefault":false,"maskCriteriaOnly":false,"definition":"","keyProductQueryItem":"339129","comparisonOperation":0,"comparisonValue":"13","minimumVersion":"","maximumVersion":"","formOrder":0,"lowerBound":null,"enabled":true,"mask":"","largeMask":"","maskKey":"","keyItemMaskOfField":null,"keyOptionIdReplace":"","relatedOptionIds":[],"onlineServices":[],"childCriteriaItemList":[],"clientContextJson":""},{"keyOptionId":"88127","caption":"Information Agent","secondaryCaption":"","isDefault":false,"maskCriteriaOnly":false,"definition":"","keyProductQueryItem":"339129","comparisonOperation":0,"comparisonValue":"12","minimumVersion":"","maximumVersion":"","formOrder":0,"lowerBound":null,"enabled":true,"mask":"","largeMask":"","maskKey":"","keyItemMaskOfField":null,"keyOptionIdReplace":"","relatedOptionIds":[],"onlineServices":[],"childCriteriaItemList":[],"clientContextJson":""},{"keyOptionId":"88128","caption":"Depository Bank","secondaryCaption":"","isDefault":false,"maskCriteriaOnly":false,"definition":"","keyProductQueryItem":"339129","comparisonOperation":0,"comparisonValue":"11","minimumVersion":"","maximumVersion":"","formOrder":0,"lowerBound":null,"enabled":true,"mask":"","largeMask":"","maskKey":"","keyItemMaskOfField":null,"keyOptionIdReplace":"","relatedOptionIds":[],"onlineServices":[],"childCriteriaItemList":[],"clientContextJson":""},{"keyOptionId":"88129","caption":"Trustee","secondaryCaption":"","isDefault":false,"maskCriteriaOnly":false,"definition":"","keyProductQueryItem":"339129","comparisonOperation":0,"comparisonValue":"29","minimumVersion":"","maximumVersion":"","formOrder":0,"lowerBound":null,"enabled":true,"mask":"","largeMask":"","maskKey":"","keyItemMaskOfField":null,"keyOptionIdReplace":"","relatedOptionIds":[],"onlineServices":[],"childCriteriaItemList":[],"clientContextJson":""},{"keyOptionId":"88130","caption":"Other","secondaryCaption":"","isDefault":false,"maskCriteriaOnly":false,"definition":"","keyProductQueryItem":"339129","comparisonOperation":0,"comparisonValue":"9","minimumVersion":"","maximumVersion":"","formOrder":0,"lowerBound":null,"enabled":true,"mask":"","largeMask":"","maskKey":"","keyItemMaskOfField":null,"keyOptionIdReplace":"","relatedOptionIds":[],"onlineServices":[],"childCriteriaItemList":[],"clientContextJson":""}],"clientContextJson":""}],"clientContextJson":""}]},{"filterGroupId":"89333","filterGroupIdReplace":"","caption":"Deal Condition","groupType":2,"optionType":8,"formOrder":10,"minimumVersion":"","maximumVersion":"","onlineServicesEnabled":false,"onlineServices":null,"column":0,"columnFormOrder":160,"criteriaIdName":"","required":false,"dateDefaultType":"","criteriaItemList":[{"keyOptionId":"89334","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89335","caption":"Audit or Due Dilige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89336","caption":"Consummation of Due Diligence","secondaryCaption":"","isDefault":false,"maskCriteriaOnly":false,"definition":"","keyProductQueryItem":"353260","comparisonOperation":0,"comparisonValue":"16","minimumVersion":"","maximumVersion":"","formOrder":0,"lowerBound":null,"enabled":true,"mask":"","largeMask":"","maskKey":"","keyItemMaskOfField":null,"keyOptionIdReplace":"","relatedOptionIds":[],"onlineServices":[],"childCriteriaItemList":[],"clientContextJson":""},{"keyOptionId":"89337","caption":"Consummation of Financial Audit","secondaryCaption":"","isDefault":false,"maskCriteriaOnly":false,"definition":"","keyProductQueryItem":"353260","comparisonOperation":0,"comparisonValue":"14","minimumVersion":"","maximumVersion":"","formOrder":0,"lowerBound":null,"enabled":true,"mask":"","largeMask":"","maskKey":"","keyItemMaskOfField":null,"keyOptionIdReplace":"","relatedOptionIds":[],"onlineServices":[],"childCriteriaItemList":[],"clientContextJson":""},{"keyOptionId":"89338","caption":"Obtaining Opinion Of Tax Advisor","secondaryCaption":"","isDefault":false,"maskCriteriaOnly":false,"definition":"","keyProductQueryItem":"353260","comparisonOperation":0,"comparisonValue":"64","minimumVersion":"","maximumVersion":"","formOrder":0,"lowerBound":null,"enabled":true,"mask":"","largeMask":"","maskKey":"","keyItemMaskOfField":null,"keyOptionIdReplace":"","relatedOptionIds":[],"onlineServices":[],"childCriteriaItemList":[],"clientContextJson":""}],"clientContextJson":""},{"keyOptionId":"89339","caption":"Completion or Termination of Separate Transaction","secondaryCaption":"","isDefault":false,"maskCriteriaOnly":true,"definition":"","keyProductQueryItem":"","comparisonOperation":null,"comparisonValue":"","minimumVersion":"","maximumVersion":"","formOrder":0,"lowerBound":</t>
  </si>
  <si>
    <t>null,"enabled":true,"mask":"","largeMask":"","maskKey":"","keyItemMaskOfField":null,"keyOptionIdReplace":"","relatedOptionIds":[],"onlineServices":[],"childCriteriaItemList":[{"keyOptionId":"89340","caption":"Approval or Completion of Separate Transaction","secondaryCaption":"","isDefault":false,"maskCriteriaOnly":false,"definition":"","keyProductQueryItem":"353260","comparisonOperation":0,"comparisonValue":"12","minimumVersion":"","maximumVersion":"","formOrder":0,"lowerBound":null,"enabled":true,"mask":"","largeMask":"","maskKey":"","keyItemMaskOfField":null,"keyOptionIdReplace":"","relatedOptionIds":[],"onlineServices":[],"childCriteriaItemList":[],"clientContextJson":""},{"keyOptionId":"89341","caption":"Buyer Divests Assets or Interests","secondaryCaption":"","isDefault":false,"maskCriteriaOnly":false,"definition":"","keyProductQueryItem":"353260","comparisonOperation":0,"comparisonValue":"0","minimumVersion":"","maximumVersion":"","formOrder":0,"lowerBound":null,"enabled":true,"mask":"","largeMask":"","maskKey":"","keyItemMaskOfField":null,"keyOptionIdReplace":"","relatedOptionIds":[],"onlineServices":[],"childCriteriaItemList":[],"clientContextJson":""},{"keyOptionId":"89342","caption":"Consummation of Another Deal","secondaryCaption":"","isDefault":false,"maskCriteriaOnly":false,"definition":"","keyProductQueryItem":"353260","comparisonOperation":0,"comparisonValue":"15","minimumVersion":"","maximumVersion":"","formOrder":0,"lowerBound":null,"enabled":true,"mask":"","largeMask":"","maskKey":"","keyItemMaskOfField":null,"keyOptionIdReplace":"","relatedOptionIds":[],"onlineServices":[],"childCriteriaItemList":[],"clientContextJson":""},{"keyOptionId":"89343","caption":"Consummation of Private Placement","secondaryCaption":"","isDefault":false,"maskCriteriaOnly":false,"definition":"","keyProductQueryItem":"353260","comparisonOperation":0,"comparisonValue":"18","minimumVersion":"","maximumVersion":"","formOrder":0,"lowerBound":null,"enabled":true,"mask":"","largeMask":"","maskKey":"","keyItemMaskOfField":null,"keyOptionIdReplace":"","relatedOptionIds":[],"onlineServices":[],"childCriteriaItemList":[],"clientContextJson":""},{"keyOptionId":"89344","caption":"Consummation of Public Offering","secondaryCaption":"","isDefault":false,"maskCriteriaOnly":false,"definition":"","keyProductQueryItem":"353260","comparisonOperation":0,"comparisonValue":"17","minimumVersion":"","maximumVersion":"","formOrder":0,"lowerBound":null,"enabled":true,"mask":"","largeMask":"","maskKey":"","keyItemMaskOfField":null,"keyOptionIdReplace":"","relatedOptionIds":[],"onlineServices":[],"childCriteriaItemList":[],"clientContextJson":""},{"keyOptionId":"89345","caption":"Consummation of Tender Offer","secondaryCaption":"","isDefault":false,"maskCriteriaOnly":false,"definition":"","keyProductQueryItem":"353260","comparisonOperation":0,"comparisonValue":"19","minimumVersion":"","maximumVersion":"","formOrder":0,"lowerBound":null,"enabled":true,"mask":"","largeMask":"","maskKey":"","keyItemMaskOfField":null,"keyOptionIdReplace":"","relatedOptionIds":[],"onlineServices":[],"childCriteriaItemList":[],"clientContextJson":""},{"keyOptionId":"89346","caption":"Execution or Completion of Reorganization","secondaryCaption":"","isDefault":false,"maskCriteriaOnly":false,"definition":"","keyProductQueryItem":"353260","comparisonOperation":0,"comparisonValue":"28","minimumVersion":"","maximumVersion":"","formOrder":0,"lowerBound":null,"enabled":true,"mask":"","largeMask":"","maskKey":"","keyItemMaskOfField":null,"keyOptionIdReplace":"","relatedOptionIds":[],"onlineServices":[],"childCriteriaItemList":[],"clientContextJson":""},{"keyOptionId":"89347","caption":"Target Divests Assets","secondaryCaption":"","isDefault":false,"maskCriteriaOnly":false,"definition":"","keyProductQueryItem":"353260","comparisonOperation":0,"comparisonValue":"49","minimumVersion":"","maximumVersion":"","formOrder":0,"lowerBound":null,"enabled":true,"mask":"","largeMask":"","maskKey":"","keyItemMaskOfField":null,"keyOptionIdReplace":"","relatedOptionIds":[],"onlineServices":[],"childCriteriaItemList":[],"clientContextJson":""},{"keyOptionId":"89348","caption":"Termination or Rejection of Another Deal","secondaryCaption":"","isDefault":false,"maskCriteriaOnly":false,"definition":"","keyProductQueryItem":"353260","comparisonOperation":0,"comparisonValue":"52","minimumVersion":"","maximumVersion":"","formOrder":0,"lowerBound":null,"enabled":true,"mask":"","largeMask":"","maskKey":"","keyItemMaskOfField":null,"keyOptionIdReplace":"","relatedOptionIds":[],"onlineServices":[],"childCriteriaItemList":[],"clientContextJson":""},{"keyOptionId":"89349","caption":"Termination or Rejection of Competing Offer","secondaryCaption":"","isDefault":false,"maskCriteriaOnly":false,"definition":"","keyProductQueryItem":"353260","comparisonOperation":0,"comparisonValue":"53","minimumVersion":"","maximumVersion":"","formOrder":0,"lowerBound":null,"enabled":true,"mask":"","largeMask":"","maskKey":"","keyItemMaskOfField":null,"keyOptionIdReplace":"","relatedOptionIds":[],"onlineServices":[],"childCriteriaItemList":[],"clientContextJson":""}],"clientContextJson":""},{"keyOptionId":"89350","caption":"Financi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89351","caption":"Cancellation of Debt","secondaryCaption":"","isDefault":false,"maskCriteriaOnly":false,"definition":"","keyProductQueryItem":"353260","comparisonOperation":0,"comparisonValue":"10","minimumVersion":"","maximumVersion":"","formOrder":0,"lowerBound":null,"enabled":true,"mask":"","largeMask":"","maskKey":"","keyItemMaskOfField":null,"keyOptionIdReplace":"","relatedOptionIds":[],"onlineServices":[],"childCriteriaItemList":[],"clientContextJson":""},{"keyOptionId":"89352","caption":"Cancellation of Options or Warrants","secondaryCaption":"","isDefault":false,"maskCriteriaOnly":false,"definition":"","keyProductQueryItem":"353260","comparisonOperation":0,"comparisonValue":"11","minimumVersion":"","maximumVersion":"","formOrder":0,"lowerBound":null,"enabled":true,"mask":"","largeMask":"","maskKey":"","keyItemMaskOfField":null,"keyOptionIdReplace":"","relatedOptionIds":[],"onlineServices":[],"childCriteriaItemList":[],"clientContextJson":""},{"keyOptionId":"89353","caption":"Contingent upon Reverse Stock Split of Shares","secondaryCaption":"","isDefault":false,"maskCriteriaOnly":false,"definition":"","keyProductQueryItem":"353260","comparisonOperation":0,"comparisonValue":"20","minimumVersion":"","maximumVersion":"","formOrder":0,"lowerBound":null,"enabled":true,"mask":"","largeMask":"","maskKey":"","keyItemMaskOfField":null,"keyOptionIdReplace":"","relatedOptionIds":[],"onlineServices":[],"childCriteriaItemList":[],"clientContextJson":""},{"keyOptionId":"89354","caption":"Conversion of Debt or Preferred Stock to Equity","secondaryCaption":"","isDefault":false,"maskCriteriaOnly":false,"definition":"","keyProductQueryItem":"353260","comparisonOperation":0,"comparisonValue":"22","minimumVersion":"","maximumVersion":"","formOrder":0,"lowerBound":null,"enabled":true,"mask":"","largeMask":"","maskKey":"","keyItemMaskOfField":null,"keyOptionIdReplace":"","relatedOptionIds":[],"onlineServices":[],"childCriteriaItemList":[],"clientContextJson":""},{"keyOptionId":"89355","caption":"Exercise of Options or Warrants","seco</t>
  </si>
  <si>
    <t>ndaryCaption":"","isDefault":false,"maskCriteriaOnly":false,"definition":"","keyProductQueryItem":"353260","comparisonOperation":0,"comparisonValue":"29","minimumVersion":"","maximumVersion":"","formOrder":0,"lowerBound":null,"enabled":true,"mask":"","largeMask":"","maskKey":"","keyItemMaskOfField":null,"keyOptionIdReplace":"","relatedOptionIds":[],"onlineServices":[],"childCriteriaItemList":[],"clientContextJson":""},{"keyOptionId":"89356","caption":"Maximum or Minimum Balance Sheet Requirements","secondaryCaption":"","isDefault":false,"maskCriteriaOnly":false,"definition":"","keyProductQueryItem":"353260","comparisonOperation":0,"comparisonValue":"35","minimumVersion":"","maximumVersion":"","formOrder":0,"lowerBound":null,"enabled":true,"mask":"","largeMask":"","maskKey":"","keyItemMaskOfField":null,"keyOptionIdReplace":"","relatedOptionIds":[],"onlineServices":[],"childCriteriaItemList":[],"clientContextJson":""},{"keyOptionId":"89357","caption":"Maximum or Minimum Income Statement Requirements","secondaryCaption":"","isDefault":false,"maskCriteriaOnly":false,"definition":"","keyProductQueryItem":"353260","comparisonOperation":0,"comparisonValue":"36","minimumVersion":"","maximumVersion":"","formOrder":0,"lowerBound":null,"enabled":true,"mask":"","largeMask":"","maskKey":"","keyItemMaskOfField":null,"keyOptionIdReplace":"","relatedOptionIds":[],"onlineServices":[],"childCriteriaItemList":[],"clientContextJson":""},{"keyOptionId":"89358","caption":"No Material Adverse Effect","secondaryCaption":"","isDefault":false,"maskCriteriaOnly":false,"definition":"","keyProductQueryItem":"353260","comparisonOperation":0,"comparisonValue":"63","minimumVersion":"","maximumVersion":"","formOrder":0,"lowerBound":null,"enabled":true,"mask":"","largeMask":"","maskKey":"","keyItemMaskOfField":null,"keyOptionIdReplace":"","relatedOptionIds":[],"onlineServices":[],"childCriteriaItemList":[],"clientContextJson":""},{"keyOptionId":"89359","caption":"Obtaining Financing","secondaryCaption":"","isDefault":false,"maskCriteriaOnly":false,"definition":"","keyProductQueryItem":"353260","comparisonOperation":0,"comparisonValue":"39","minimumVersion":"","maximumVersion":"","formOrder":0,"lowerBound":null,"enabled":true,"mask":"","largeMask":"","maskKey":"","keyItemMaskOfField":null,"keyOptionIdReplace":"","relatedOptionIds":[],"onlineServices":[],"childCriteriaItemList":[],"clientContextJson":""},{"keyOptionId":"89360","caption":"Obtaining Written Solvency Opinion","secondaryCaption":"","isDefault":false,"maskCriteriaOnly":false,"definition":"","keyProductQueryItem":"353260","comparisonOperation":0,"comparisonValue":"65","minimumVersion":"","maximumVersion":"","formOrder":0,"lowerBound":null,"enabled":true,"mask":"","largeMask":"","maskKey":"","keyItemMaskOfField":null,"keyOptionIdReplace":"","relatedOptionIds":[],"onlineServices":[],"childCriteriaItemList":[],"clientContextJson":""},{"keyOptionId":"89361","caption":"Payment of Cash Dividend","secondaryCaption":"","isDefault":false,"maskCriteriaOnly":false,"definition":"","keyProductQueryItem":"353260","comparisonOperation":0,"comparisonValue":"66","minimumVersion":"","maximumVersion":"","formOrder":0,"lowerBound":null,"enabled":true,"mask":"","largeMask":"","maskKey":"","keyItemMaskOfField":null,"keyOptionIdReplace":"","relatedOptionIds":[],"onlineServices":[],"childCriteriaItemList":[],"clientContextJson":""},{"keyOptionId":"89362","caption":"Repayment of Loans or Liabilties","secondaryCaption":"","isDefault":false,"maskCriteriaOnly":false,"definition":"","keyProductQueryItem":"353260","comparisonOperation":0,"comparisonValue":"42","minimumVersion":"","maximumVersion":"","formOrder":0,"lowerBound":null,"enabled":true,"mask":"","largeMask":"","maskKey":"","keyItemMaskOfField":null,"keyOptionIdReplace":"","relatedOptionIds":[],"onlineServices":[],"childCriteriaItemList":[],"clientContextJson":""},{"keyOptionId":"89363","caption":"Subject to closing sale price adjustments","secondaryCaption":"","isDefault":false,"maskCriteriaOnly":false,"definition":"","keyProductQueryItem":"353260","comparisonOperation":0,"comparisonValue":"46","minimumVersion":"","maximumVersion":"","formOrder":0,"lowerBound":null,"enabled":true,"mask":"","largeMask":"","maskKey":"","keyItemMaskOfField":null,"keyOptionIdReplace":"","relatedOptionIds":[],"onlineServices":[],"childCriteriaItemList":[],"clientContextJson":""}],"clientContextJson":""},{"keyOptionId":"89364","caption":"Lega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89365","caption":"Absence Of Any Law, Order Or Injunction","secondaryCaption":"","isDefault":false,"maskCriteriaOnly":false,"definition":"","keyProductQueryItem":"353260","comparisonOperation":0,"comparisonValue":"59","minimumVersion":"","maximumVersion":"","formOrder":0,"lowerBound":null,"enabled":true,"mask":"","largeMask":"","maskKey":"","keyItemMaskOfField":null,"keyOptionIdReplace":"","relatedOptionIds":[],"onlineServices":[],"childCriteriaItemList":[],"clientContextJson":""},{"keyOptionId":"89366","caption":"Amendment to Article or Certificate of Incorporation","secondaryCaption":"","isDefault":false,"maskCriteriaOnly":false,"definition":"","keyProductQueryItem":"353260","comparisonOperation":0,"comparisonValue":"1","minimumVersion":"","maximumVersion":"","formOrder":0,"lowerBound":null,"enabled":true,"mask":"","largeMask":"","maskKey":"","keyItemMaskOfField":null,"keyOptionIdReplace":"","relatedOptionIds":[],"onlineServices":[],"childCriteriaItemList":[],"clientContextJson":""},{"keyOptionId":"89367","caption":"Dismissal of Litigation or Lawsuit","secondaryCaption":"","isDefault":false,"maskCriteriaOnly":false,"definition":"","keyProductQueryItem":"353260","comparisonOperation":0,"comparisonValue":"25","minimumVersion":"","maximumVersion":"","formOrder":0,"lowerBound":null,"enabled":true,"mask":"","largeMask":"","maskKey":"","keyItemMaskOfField":null,"keyOptionIdReplace":"","relatedOptionIds":[],"onlineServices":[],"childCriteriaItemList":[],"clientContextJson":""},{"keyOptionId":"89368","caption":"Execution of Ancillary Agreements","secondaryCaption":"","isDefault":false,"maskCriteriaOnly":false,"definition":"","keyProductQueryItem":"353260","comparisonOperation":0,"comparisonValue":"27","minimumVersion":"","maximumVersion":"","formOrder":0,"lowerBound":null,"enabled":true,"mask":"","largeMask":"","maskKey":"","keyItemMaskOfField":null,"keyOptionIdReplace":"","relatedOptionIds":[],"onlineServices":[],"childCriteriaItemList":[],"clientContextJson":""},{"keyOptionId":"89369","caption":"Execution of Definitive Agreement","secondaryCaption":"","isDefault":false,"maskCriteriaOnly":false,"definition":"","keyProductQueryItem":"353260","comparisonOperation":0,"comparisonValue":"23","minimumVersion":"","maximumVersion":"","formOrder":0,"lowerBound":null,"enabled":true,"mask":"","largeMask":"","maskKey":"","keyItemMaskOfField":null,"keyOptionIdReplace":"","relatedOptionIds":[],"onlineServices":[],"childCriteriaItemList":[],"clientContextJson":""},{"keyOptionId":"89370","caption":"Lock-Up Agreement","secondaryCaption":"","isDefault":false,"maskCriteriaOnly":false,"definition":"","keyProductQueryItem":"353260","comparisonOperation":0,"comparisonValue":"58","minimumVersion":"","maximumVersion":"","formOrder":0,"lowerBound":null,"enabled":true,"mask":"","largeMask":""</t>
  </si>
  <si>
    <t>,"maskKey":"","keyItemMaskOfField":null,"keyOptionIdReplace":"","relatedOptionIds":[],"onlineServices":[],"childCriteriaItemList":[],"clientContextJson":""},{"keyOptionId":"89371","caption":"Termination of Ancillary Agreements","secondaryCaption":"","isDefault":false,"maskCriteriaOnly":false,"definition":"","keyProductQueryItem":"353260","comparisonOperation":0,"comparisonValue":"54","minimumVersion":"","maximumVersion":"","formOrder":0,"lowerBound":null,"enabled":true,"mask":"","largeMask":"","maskKey":"","keyItemMaskOfField":null,"keyOptionIdReplace":"","relatedOptionIds":[],"onlineServices":[],"childCriteriaItemList":[],"clientContextJson":""}],"clientContextJson":""},{"keyOptionId":"89372","caption":"Manage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89373","caption":"Approval By Distributing Company Board","secondaryCaption":"","isDefault":false,"maskCriteriaOnly":false,"definition":"","keyProductQueryItem":"353260","comparisonOperation":0,"comparisonValue":"61","minimumVersion":"","maximumVersion":"","formOrder":0,"lowerBound":null,"enabled":true,"mask":"","largeMask":"","maskKey":"","keyItemMaskOfField":null,"keyOptionIdReplace":"","relatedOptionIds":[],"onlineServices":[],"childCriteriaItemList":[],"clientContextJson":""},{"keyOptionId":"89374","caption":"Approval of Deal by Buyer Board","secondaryCaption":"","isDefault":false,"maskCriteriaOnly":false,"definition":"","keyProductQueryItem":"353260","comparisonOperation":0,"comparisonValue":"7","minimumVersion":"","maximumVersion":"","formOrder":0,"lowerBound":null,"enabled":true,"mask":"","largeMask":"","maskKey":"","keyItemMaskOfField":null,"keyOptionIdReplace":"","relatedOptionIds":[],"onlineServices":[],"childCriteriaItemList":[],"clientContextJson":""},{"keyOptionId":"89375","caption":"Approval of Deal by Target Board","secondaryCaption":"","isDefault":false,"maskCriteriaOnly":false,"definition":"","keyProductQueryItem":"353260","comparisonOperation":0,"comparisonValue":"4","minimumVersion":"","maximumVersion":"","formOrder":0,"lowerBound":null,"enabled":true,"mask":"","largeMask":"","maskKey":"","keyItemMaskOfField":null,"keyOptionIdReplace":"","relatedOptionIds":[],"onlineServices":[],"childCriteriaItemList":[],"clientContextJson":""},{"keyOptionId":"89376","caption":"Increase in Board Size","secondaryCaption":"","isDefault":false,"maskCriteriaOnly":false,"definition":"","keyProductQueryItem":"353260","comparisonOperation":0,"comparisonValue":"30","minimumVersion":"","maximumVersion":"","formOrder":0,"lowerBound":null,"enabled":true,"mask":"","largeMask":"","maskKey":"","keyItemMaskOfField":null,"keyOptionIdReplace":"","relatedOptionIds":[],"onlineServices":[],"childCriteriaItemList":[],"clientContextJson":""},{"keyOptionId":"89377","caption":"Redemption of Poison Pill Rights","secondaryCaption":"","isDefault":false,"maskCriteriaOnly":false,"definition":"","keyProductQueryItem":"353260","comparisonOperation":0,"comparisonValue":"40","minimumVersion":"","maximumVersion":"","formOrder":0,"lowerBound":null,"enabled":true,"mask":"","largeMask":"","maskKey":"","keyItemMaskOfField":null,"keyOptionIdReplace":"","relatedOptionIds":[],"onlineServices":[],"childCriteriaItemList":[],"clientContextJson":""},{"keyOptionId":"89378","caption":"Resignation of Target Directors","secondaryCaption":"","isDefault":false,"maskCriteriaOnly":false,"definition":"","keyProductQueryItem":"353260","comparisonOperation":0,"comparisonValue":"43","minimumVersion":"","maximumVersion":"","formOrder":0,"lowerBound":null,"enabled":true,"mask":"","largeMask":"","maskKey":"","keyItemMaskOfField":null,"keyOptionIdReplace":"","relatedOptionIds":[],"onlineServices":[],"childCriteriaItemList":[],"clientContextJson":""}],"clientContextJson":""},{"keyOptionId":"89379","caption":"Regulatory or Antitrust Approv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89380","caption":"All Consents, Approvals And Authorizations Of Governmental Entities Been Obtained","secondaryCaption":"","isDefault":false,"maskCriteriaOnly":false,"definition":"","keyProductQueryItem":"353260","comparisonOperation":0,"comparisonValue":"60","minimumVersion":"","maximumVersion":"","formOrder":0,"lowerBound":null,"enabled":true,"mask":"","largeMask":"","maskKey":"","keyItemMaskOfField":null,"keyOptionIdReplace":"","relatedOptionIds":[],"onlineServices":[],"childCriteriaItemList":[],"clientContextJson":""},{"keyOptionId":"89381","caption":"Approval By Court or Bankruptcy Court","secondaryCaption":"","isDefault":false,"maskCriteriaOnly":false,"definition":"","keyProductQueryItem":"353260","comparisonOperation":0,"comparisonValue":"3","minimumVersion":"","maximumVersion":"","formOrder":0,"lowerBound":null,"enabled":true,"mask":"","largeMask":"","maskKey":"","keyItemMaskOfField":null,"keyOptionIdReplace":"","relatedOptionIds":[],"onlineServices":[],"childCriteriaItemList":[],"clientContextJson":""},{"keyOptionId":"89382","caption":"Approval for De-listing of Company Stock","secondaryCaption":"","isDefault":false,"maskCriteriaOnly":false,"definition":"","keyProductQueryItem":"353260","comparisonOperation":0,"comparisonValue":"24","minimumVersion":"","maximumVersion":"","formOrder":0,"lowerBound":null,"enabled":true,"mask":"","largeMask":"","maskKey":"","keyItemMaskOfField":null,"keyOptionIdReplace":"","relatedOptionIds":[],"onlineServices":[],"childCriteriaItemList":[],"clientContextJson":""},{"keyOptionId":"89383","caption":"Listing or Approval of New Shares on Stock Exchange","secondaryCaption":"","isDefault":false,"maskCriteriaOnly":false,"definition":"","keyProductQueryItem":"353260","comparisonOperation":0,"comparisonValue":"31","minimumVersion":"","maximumVersion":"","formOrder":0,"lowerBound":null,"enabled":true,"mask":"","largeMask":"","maskKey":"","keyItemMaskOfField":null,"keyOptionIdReplace":"","relatedOptionIds":[],"onlineServices":[],"childCriteriaItemList":[],"clientContextJson":""},{"keyOptionId":"89384","caption":"Receipt Of A Favorable Ruling From The Internal Revenue Service","secondaryCaption":"","isDefault":false,"maskCriteriaOnly":false,"definition":"","keyProductQueryItem":"353260","comparisonOperation":0,"comparisonValue":"67","minimumVersion":"","maximumVersion":"","formOrder":0,"lowerBound":null,"enabled":true,"mask":"","largeMask":"","maskKey":"","keyItemMaskOfField":null,"keyOptionIdReplace":"","relatedOptionIds":[],"onlineServices":[],"childCriteriaItemList":[],"clientContextJson":""},{"keyOptionId":"89385","caption":"Registration Statement being Effective","secondaryCaption":"","isDefault":false,"maskCriteriaOnly":false,"definition":"","keyProductQueryItem":"353260","comparisonOperation":0,"comparisonValue":"41","minimumVersion":"","maximumVersion":"","formOrder":0,"lowerBound":null,"enabled":true,"mask":"","largeMask":"","maskKey":"","keyItemMaskOfField":null,"keyOptionIdReplace":"","relatedOptionIds":[],"onlineServices":[],"childCriteriaItemList":[],"clientContextJson":""},{"keyOptionId":"89386","c</t>
  </si>
  <si>
    <t>aption":"Subject to Approval by Regulatory Authority","secondaryCaption":"","isDefault":false,"maskCriteriaOnly":false,"definition":"","keyProductQueryItem":"353260","comparisonOperation":0,"comparisonValue":"2","minimumVersion":"","maximumVersion":"","formOrder":0,"lowerBound":null,"enabled":true,"mask":"","largeMask":"","maskKey":"","keyItemMaskOfField":null,"keyOptionIdReplace":"","relatedOptionIds":[],"onlineServices":[],"childCriteriaItemList":[],"clientContextJson":""},{"keyOptionId":"89387","caption":"Subject to Blue Sky Laws Approval","secondaryCaption":"","isDefault":false,"maskCriteriaOnly":false,"definition":"","keyProductQueryItem":"353260","comparisonOperation":0,"comparisonValue":"68","minimumVersion":"","maximumVersion":"","formOrder":0,"lowerBound":null,"enabled":true,"mask":"","largeMask":"","maskKey":"","keyItemMaskOfField":null,"keyOptionIdReplace":"","relatedOptionIds":[],"onlineServices":[],"childCriteriaItemList":[],"clientContextJson":""},{"keyOptionId":"89388","caption":"Subject to Competition Authority Approval","secondaryCaption":"","isDefault":false,"maskCriteriaOnly":false,"definition":"","keyProductQueryItem":"353260","comparisonOperation":0,"comparisonValue":"45","minimumVersion":"","maximumVersion":"","formOrder":0,"lowerBound":null,"enabled":true,"mask":"","largeMask":"","maskKey":"","keyItemMaskOfField":null,"keyOptionIdReplace":"","relatedOptionIds":[],"onlineServices":[],"childCriteriaItemList":[],"clientContextJson":""},{"keyOptionId":"89389","caption":"Subject to SEC Approval","secondaryCaption":"","isDefault":false,"maskCriteriaOnly":false,"definition":"","keyProductQueryItem":"353260","comparisonOperation":0,"comparisonValue":"69","minimumVersion":"","maximumVersion":"","formOrder":0,"lowerBound":null,"enabled":true,"mask":"","largeMask":"","maskKey":"","keyItemMaskOfField":null,"keyOptionIdReplace":"","relatedOptionIds":[],"onlineServices":[],"childCriteriaItemList":[],"clientContextJson":""},{"keyOptionId":"89390","caption":"Subject to Statutory Approval","secondaryCaption":"","isDefault":false,"maskCriteriaOnly":false,"definition":"","keyProductQueryItem":"353260","comparisonOperation":0,"comparisonValue":"48","minimumVersion":"","maximumVersion":"","formOrder":0,"lowerBound":null,"enabled":true,"mask":"","largeMask":"","maskKey":"","keyItemMaskOfField":null,"keyOptionIdReplace":"","relatedOptionIds":[],"onlineServices":[],"childCriteriaItemList":[],"clientContextJson":""}],"clientContextJson":""},{"keyOptionId":"89391","caption":"Related Party Approv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89392","caption":"Approval of Lenders or Creditors","secondaryCaption":"","isDefault":false,"maskCriteriaOnly":false,"definition":"","keyProductQueryItem":"353260","comparisonOperation":0,"comparisonValue":"9","minimumVersion":"","maximumVersion":"","formOrder":0,"lowerBound":null,"enabled":true,"mask":"","largeMask":"","maskKey":"","keyItemMaskOfField":null,"keyOptionIdReplace":"","relatedOptionIds":[],"onlineServices":[],"childCriteriaItemList":[],"clientContextJson":""},{"keyOptionId":"89393","caption":"Subject to Third Party Approval","secondaryCaption":"","isDefault":false,"maskCriteriaOnly":false,"definition":"","keyProductQueryItem":"353260","comparisonOperation":0,"comparisonValue":"55","minimumVersion":"","maximumVersion":"","formOrder":0,"lowerBound":null,"enabled":true,"mask":"","largeMask":"","maskKey":"","keyItemMaskOfField":null,"keyOptionIdReplace":"","relatedOptionIds":[],"onlineServices":[],"childCriteriaItemList":[],"clientContextJson":""}],"clientContextJson":""},{"keyOptionId":"89394","caption":"Shareholder Approv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89395","caption":"Approval By Distributing Company Shareholders","secondaryCaption":"","isDefault":false,"maskCriteriaOnly":false,"definition":"","keyProductQueryItem":"353260","comparisonOperation":0,"comparisonValue":"62","minimumVersion":"","maximumVersion":"","formOrder":0,"lowerBound":null,"enabled":true,"mask":"","largeMask":"","maskKey":"","keyItemMaskOfField":null,"keyOptionIdReplace":"","relatedOptionIds":[],"onlineServices":[],"childCriteriaItemList":[],"clientContextJson":""},{"keyOptionId":"89396","caption":"Approval of Deal by Buyer Shareholders","secondaryCaption":"","isDefault":false,"maskCriteriaOnly":false,"definition":"","keyProductQueryItem":"353260","comparisonOperation":0,"comparisonValue":"6","minimumVersion":"","maximumVersion":"","formOrder":0,"lowerBound":null,"enabled":true,"mask":"","largeMask":"","maskKey":"","keyItemMaskOfField":null,"keyOptionIdReplace":"","relatedOptionIds":[],"onlineServices":[],"childCriteriaItemList":[],"clientContextJson":""},{"keyOptionId":"89397","caption":"Approval of Deal by Parent Shareholders","secondaryCaption":"","isDefault":false,"maskCriteriaOnly":false,"definition":"","keyProductQueryItem":"353260","comparisonOperation":0,"comparisonValue":"5","minimumVersion":"","maximumVersion":"","formOrder":0,"lowerBound":null,"enabled":true,"mask":"","largeMask":"","maskKey":"","keyItemMaskOfField":null,"keyOptionIdReplace":"","relatedOptionIds":[],"onlineServices":[],"childCriteriaItemList":[],"clientContextJson":""},{"keyOptionId":"89398","caption":"Approval of Deal by Target Shareholders","secondaryCaption":"","isDefault":false,"maskCriteriaOnly":false,"definition":"","keyProductQueryItem":"353260","comparisonOperation":0,"comparisonValue":"8","minimumVersion":"","maximumVersion":"","formOrder":0,"lowerBound":null,"enabled":true,"mask":"","largeMask":"","maskKey":"","keyItemMaskOfField":null,"keyOptionIdReplace":"","relatedOptionIds":[],"onlineServices":[],"childCriteriaItemList":[],"clientContextJson":""},{"keyOptionId":"89399","caption":"Consent of Holders of Options or Warrants","secondaryCaption":"","isDefault":false,"maskCriteriaOnly":false,"definition":"","keyProductQueryItem":"353260","comparisonOperation":0,"comparisonValue":"13","minimumVersion":"","maximumVersion":"","formOrder":0,"lowerBound":null,"enabled":true,"mask":"","largeMask":"","maskKey":"","keyItemMaskOfField":null,"keyOptionIdReplace":"","relatedOptionIds":[],"onlineServices":[],"childCriteriaItemList":[],"clientContextJson":""},{"keyOptionId":"89400","caption":"Exercise Of Appraisal or Dissenters Rights","secondaryCaption":"","isDefault":false,"maskCriteriaOnly":false,"definition":"","keyProductQueryItem":"353260","comparisonOperation":0,"comparisonValue":"26","minimumVersion":"","maximumVersion":"","formOrder":0,"lowerBound":null,"enabled":true,"mask":"","largeMask":"","maskKey":"","keyItemMaskOfField":null,"keyOptionIdReplace":"","relatedOptionIds":[],"onlineServices":[],"childCriteriaItemList":[],"clientContextJson":""},{"keyOptionId":"89401","caption":"Minimum Tender","secondaryCaption":"","isDefault":false,"maskCriteriaOnly":false,"definition":"","keyProductQueryItem":"353260","comparisonOperation":0,"comparisonValue":"37","minimumVersion":"","maximumVersion":"","formOrder":0,</t>
  </si>
  <si>
    <t>"lowerBound":null,"enabled":true,"mask":"","largeMask":"","maskKey":"","keyItemMaskOfField":null,"keyOptionIdReplace":"","relatedOptionIds":[],"onlineServices":[],"childCriteriaItemList":[],"clientContextJson":""},{"keyOptionId":"89402","caption":"Subject to Shareholder Approval","secondaryCaption":"","isDefault":false,"maskCriteriaOnly":false,"definition":"","keyProductQueryItem":"353260","comparisonOperation":0,"comparisonValue":"47","minimumVersion":"","maximumVersion":"","formOrder":0,"lowerBound":null,"enabled":true,"mask":"","largeMask":"","maskKey":"","keyItemMaskOfField":null,"keyOptionIdReplace":"","relatedOptionIds":[],"onlineServices":[],"childCriteriaItemList":[],"clientContextJson":""},{"keyOptionId":"89403","caption":"Waiver of First Refusal or Pre-Emptive Rights","secondaryCaption":"","isDefault":false,"maskCriteriaOnly":false,"definition":"","keyProductQueryItem":"353260","comparisonOperation":0,"comparisonValue":"56","minimumVersion":"","maximumVersion":"","formOrder":0,"lowerBound":null,"enabled":true,"mask":"","largeMask":"","maskKey":"","keyItemMaskOfField":null,"keyOptionIdReplace":"","relatedOptionIds":[],"onlineServices":[],"childCriteriaItemList":[],"clientContextJson":""}],"clientContextJson":""}],"clientContextJson":""}]},{"filterGroupId":"8466","filterGroupIdReplace":"","caption":"Announcement Date Range","groupType":2,"optionType":4,"formOrder":40,"minimumVersion":"","maximumVersion":"","onlineServicesEnabled":false,"onlineServices":null,"column":0,"columnFormOrder":40,"criteriaIdName":"","required":false,"dateDefaultType":"","criteriaItemList":[{"keyOptionId":"8467","caption":"From","secondaryCaption":"","isDefault":false,"maskCriteriaOnly":true,"definition":"","keyProductQueryItem":"300056","comparisonOperation":6,"comparisonValue":"","minimumVersion":"","maximumVersion":"","formOrder":0,"lowerBound":null,"enabled":true,"mask":"","largeMask":"","maskKey":"","keyItemMaskOfField":null,"keyOptionIdReplace":"","relatedOptionIds":[],"onlineServices":[],"childCriteriaItemList":[],"clientContextJson":""},{"keyOptionId":"8468","caption":"To","secondaryCaption":"","isDefault":false,"maskCriteriaOnly":true,"definition":"","keyProductQueryItem":"300056","comparisonOperation":5,"comparisonValue":"","minimumVersion":"","maximumVersion":"","formOrder":0,"lowerBound":null,"enabled":true,"mask":"","largeMask":"","maskKey":"","keyItemMaskOfField":null,"keyOptionIdReplace":"","relatedOptionIds":[],"onlineServices":[],"childCriteriaItemList":[],"clientContextJson":""}]},{"filterGroupId":"8473","filterGroupIdReplace":"","caption":"Deal Value/Transaction Value","groupType":2,"optionType":3,"formOrder":60,"minimumVersion":"","maximumVersion":"","onlineServicesEnabled":false,"onlineServices":null,"column":0,"columnFormOrder":60,"criteriaIdName":"","required":false,"dateDefaultType":"","criteriaItemList":[{"keyOptionId":"8474","caption":"From","secondaryCaption":"","isDefault":false,"maskCriteriaOnly":true,"definition":"","keyProductQueryItem":"300057","comparisonOperation":6,"comparisonValue":"","minimumVersion":"","maximumVersion":"","formOrder":0,"lowerBound":null,"enabled":true,"mask":"","largeMask":"","maskKey":"","keyItemMaskOfField":null,"keyOptionIdReplace":"","relatedOptionIds":[],"onlineServices":[],"childCriteriaItemList":[],"clientContextJson":""},{"keyOptionId":"8475","caption":"To","secondaryCaption":"","isDefault":false,"maskCriteriaOnly":true,"definition":"","keyProductQueryItem":"300057","comparisonOperation":5,"comparisonValue":"","minimumVersion":"","maximumVersion":"","formOrder":0,"lowerBound":null,"enabled":true,"mask":"","largeMask":"","maskKey":"","keyItemMaskOfField":null,"keyOptionIdReplace":"","relatedOptionIds":[],"onlineServices":[],"childCriteriaItemList":[],"clientContextJson":""}]},{"filterGroupId":"9696","filterGroupIdReplace":"","caption":"Transaction Feature","groupType":2,"optionType":1,"formOrder":70,"minimumVersion":"","maximumVersion":"","onlineServicesEnabled":false,"onlineServices":null,"column":0,"columnFormOrder":70,"criteriaIdName":"","required":false,"dateDefaultType":"","criteriaItemList":[{"keyOptionId":"9735","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9697","caption":"M&amp;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9698","caption":"Asset Acquisition","secondaryCaption":"","isDefault":false,"maskCriteriaOnly":false,"definition":"","keyProductQueryItem":"311833","comparisonOperation":0,"comparisonValue":"0","minimumVersion":"","maximumVersion":"","formOrder":0,"lowerBound":null,"enabled":true,"mask":"","largeMask":"","maskKey":"","keyItemMaskOfField":null,"keyOptionIdReplace":"","relatedOptionIds":[],"onlineServices":[],"childCriteriaItemList":[],"clientContextJson":""},{"keyOptionId":"9699","caption":"Bankruptcy Sale","secondaryCaption":"","isDefault":false,"maskCriteriaOnly":false,"definition":"","keyProductQueryItem":"311833","comparisonOperation":0,"comparisonValue":"3","minimumVersion":"","maximumVersion":"","formOrder":0,"lowerBound":null,"enabled":true,"mask":"","largeMask":"","maskKey":"","keyItemMaskOfField":null,"keyOptionIdReplace":"","relatedOptionIds":[],"onlineServices":[],"childCriteriaItemList":[],"clientContextJson":""},{"keyOptionId":"9700","caption":"Government Assisted Deal","secondaryCaption":"","isDefault":false,"maskCriteriaOnly":false,"definition":"","keyProductQueryItem":"311833","comparisonOperation":0,"comparisonValue":"4","minimumVersion":"","maximumVersion":"","formOrder":0,"lowerBound":null,"enabled":true,"mask":"","largeMask":"","maskKey":"","keyItemMaskOfField":null,"keyOptionIdReplace":"","relatedOptionIds":[],"onlineServices":[],"childCriteriaItemList":[],"clientContextJson":""},{"keyOptionId":"9701","caption":"Thrift Merger Conversion","secondaryCaption":"","isDefault":false,"maskCriteriaOnly":false,"definition":"","keyProductQueryItem":"311833","comparisonOperation":0,"comparisonValue":"5","minimumVersion":"","maximumVersion":"","formOrder":0,"lowerBound":null,"enabled":true,"mask":"","largeMask":"","maskKey":"","keyItemMaskOfField":null,"keyOptionIdReplace":"","relatedOptionIds":[],"onlineServices":[],"childCriteriaItemList":[],"clientContextJson":""},{"keyOptionId":"9702","caption":"Merger of Equals","secondaryCaption":"","isDefault":false,"maskCriteriaOnly":false,"definition":"","keyProductQueryItem":"311833","comparisonOperation":0,"comparisonValue":"6","minimumVersion":"","maximumVersion":"","formOrder":0,"lowerBound":null,"enabled":true,"mask":"","largeMask":"","maskKey":"","keyItemMaskOfField":null,"keyOptionIdReplace":"","relatedOptionIds":[],"onlineServices":[],"childCriteriaItemList":[],"clientContextJson":""},{"keyOptionId":"9703","caption":"Merger of Mutuals","secondaryCaption":"","isDefault":false,"maskCriteriaOnly":false,"definition":"","keyProductQueryItem":"311833","comparisonOperation":0,"comparisonValue":"7","minimumVersion":"","maximumVersion":"","formOrder":0,"lowerBound":null,"enabled":true,"ma</t>
  </si>
  <si>
    <t>sk":"","largeMask":"","maskKey":"","keyItemMaskOfField":null,"keyOptionIdReplace":"","relatedOptionIds":[],"onlineServices":[],"childCriteriaItemList":[],"clientContextJson":""},{"keyOptionId":"9704","caption":"Reverse Merger","secondaryCaption":"","isDefault":false,"maskCriteriaOnly":false,"definition":"","keyProductQueryItem":"311833","comparisonOperation":0,"comparisonValue":"10","minimumVersion":"","maximumVersion":"","formOrder":0,"lowerBound":null,"enabled":true,"mask":"","largeMask":"","maskKey":"","keyItemMaskOfField":null,"keyOptionIdReplace":"","relatedOptionIds":[],"onlineServices":[],"childCriteriaItemList":[],"clientContextJson":""},{"keyOptionId":"9705","caption":"Tender Offer","secondaryCaption":"","isDefault":false,"maskCriteriaOnly":false,"definition":"","keyProductQueryItem":"311833","comparisonOperation":0,"comparisonValue":"11","minimumVersion":"","maximumVersion":"","formOrder":0,"lowerBound":null,"enabled":true,"mask":"","largeMask":"","maskKey":"","keyItemMaskOfField":null,"keyOptionIdReplace":"","relatedOptionIds":[],"onlineServices":[],"childCriteriaItemList":[],"clientContextJson":""},{"keyOptionId":"9706","caption":"Reverse Morris Trust","secondaryCaption":"","isDefault":false,"maskCriteriaOnly":false,"definition":"","keyProductQueryItem":"311833","comparisonOperation":0,"comparisonValue":"29","minimumVersion":"","maximumVersion":"","formOrder":0,"lowerBound":null,"enabled":true,"mask":"","largeMask":"","maskKey":"","keyItemMaskOfField":null,"keyOptionIdReplace":"","relatedOptionIds":[],"onlineServices":[],"childCriteriaItemList":[],"clientContextJson":""},{"keyOptionId":"9707","caption":"Branch Acquisition","secondaryCaption":"","isDefault":false,"maskCriteriaOnly":false,"definition":"","keyProductQueryItem":"311833","comparisonOperation":0,"comparisonValue":"45","minimumVersion":"","maximumVersion":"","formOrder":0,"lowerBound":null,"enabled":true,"mask":"","largeMask":"","maskKey":"","keyItemMaskOfField":null,"keyOptionIdReplace":"","relatedOptionIds":[],"onlineServices":[],"childCriteriaItemList":[],"clientContextJson":""},{"keyOptionId":"9708","caption":"Property Acquisition","secondaryCaption":"","isDefault":false,"maskCriteriaOnly":false,"definition":"","keyProductQueryItem":"311833","comparisonOperation":0,"comparisonValue":"46","minimumVersion":"","maximumVersion":"","formOrder":0,"lowerBound":null,"enabled":true,"mask":"","largeMask":"","maskKey":"","keyItemMaskOfField":null,"keyOptionIdReplace":"","relatedOptionIds":[],"onlineServices":[],"childCriteriaItemList":[],"clientContextJson":""},{"keyOptionId":"9709","caption":"Franchise Acquisition","secondaryCaption":"","isDefault":false,"maskCriteriaOnly":false,"definition":"","keyProductQueryItem":"311833","comparisonOperation":0,"comparisonValue":"47","minimumVersion":"","maximumVersion":"","formOrder":0,"lowerBound":null,"enabled":true,"mask":"","largeMask":"","maskKey":"","keyItemMaskOfField":null,"keyOptionIdReplace":"","relatedOptionIds":[],"onlineServices":[],"childCriteriaItemList":[],"clientContextJson":""},{"keyOptionId":"9710","caption":"Going Private Transaction","secondaryCaption":"","isDefault":false,"maskCriteriaOnly":false,"definition":"","keyProductQueryItem":"311833","comparisonOperation":0,"comparisonValue":"57","minimumVersion":"","maximumVersion":"","formOrder":0,"lowerBound":null,"enabled":true,"mask":"","largeMask":"","maskKey":"","keyItemMaskOfField":null,"keyOptionIdReplace":"","relatedOptionIds":[],"onlineServices":[],"childCriteriaItemList":[],"clientContextJson":""},{"keyOptionId":"9711","caption":"Leveraged Buyout (LBO)","secondaryCaption":"","isDefault":false,"maskCriteriaOnly":false,"definition":"","keyProductQueryItem":"311833","comparisonOperation":0,"comparisonValue":"71","minimumVersion":"","maximumVersion":"","formOrder":0,"lowerBound":null,"enabled":true,"mask":"","largeMask":"","maskKey":"","keyItemMaskOfField":null,"keyOptionIdReplace":"","relatedOptionIds":[],"onlineServices":[],"childCriteriaItemList":[],"clientContextJson":""},{"keyOptionId":"9712","caption":"Management Buyout (MBO)","secondaryCaption":"","isDefault":false,"maskCriteriaOnly":false,"definition":"","keyProductQueryItem":"311833","comparisonOperation":0,"comparisonValue":"74","minimumVersion":"","maximumVersion":"","formOrder":0,"lowerBound":null,"enabled":true,"mask":"","largeMask":"","maskKey":"","keyItemMaskOfField":null,"keyOptionIdReplace":"","relatedOptionIds":[],"onlineServices":[],"childCriteriaItemList":[],"clientContextJson":""}],"clientContextJson":""},{"keyOptionId":"9713","caption":"Offering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9714","caption":"New Market Listing","secondaryCaption":"","isDefault":fals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keyOptionId":"9715","caption":"At the Market Offering","secondaryCaption":"","isDefault":fals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9716","caption":"Best Efforts Basis","secondaryCaption":"","isDefault":fals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9717","caption":"Carve Out","secondaryCaption":"","isDefault":fals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9718","caption":"Mutual Conversion","secondaryCaption":"","isDefault":false,"maskCriteriaOnly":false,"definition":"","keyProductQueryItem":"311834","comparisonOperation":0,"comparisonValue":"98","minimumVersion":"","maximumVersion":"","formOrder":0,"lowerBound":null,"enabled":true,"mask":"","largeMask":"","maskKey":"","keyItemMaskOfField":null,"keyOptionIdReplace":"","relatedOptionIds":[],"onlineServices":[],"childCriteriaItemList":[],"clientContextJson":""},{"keyOptionId":"9719","caption":"Sponsor Backed Offering","secondaryCaption":"","isDefault":false,"maskCriteriaOnly":false,"definition":"","keyProductQueryItem":"311834","comparisonOperation":0,"comparisonValue":"100","minimumVersion":"","maximumVersion":"","formOrder":0,"lowerBound":null,"enabled":true,"mask":"",</t>
  </si>
  <si>
    <t>"largeMask":"","maskKey":"","keyItemMaskOfField":null,"keyOptionIdReplace":"","relatedOptionIds":[],"onlineServices":[],"childCriteriaItemList":[],"clientContextJson":""},{"keyOptionId":"9720","caption":"Direct Listing","secondaryCaption":"","isDefault":fals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9721","caption":"Exchange Offer","secondaryCaption":"","isDefault":fals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9722","caption":"Registered Direct Offering","secondaryCaption":"","isDefault":fals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9723","caption":"Regulation S","secondaryCaption":"","isDefault":fals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9724","caption":"Rights Offering","secondaryCaption":"","isDefault":fals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9725","caption":"Rule 144A","secondaryCaption":"","isDefault":fals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9726","caption":"Incubation","secondaryCaption":"","isDefault":fals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9727","caption":"Bought Deal","secondaryCaption":"","isDefault":false,"maskCriteriaOnly":false,"definition":"","keyProductQueryItem":"311834","comparisonOperation":0,"comparisonValue":"143","minimumVersion":"","maximumVersion":"","formOrder":0,"lowerBound":null,"enabled":true,"mask":"","largeMask":"","maskKey":"","keyItemMaskOfField":null,"keyOptionIdReplace":"","relatedOptionIds":[],"onlineServices":[],"childCriteriaItemList":[],"clientContextJson":""},{"keyOptionId":"9728","caption":"Regulation D","secondaryCaption":"","isDefault":fals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9729","caption":"Growth Capital","secondaryCaption":"","isDefault":false,"maskCriteriaOnly":false,"definition":"","keyProductQueryItem":"311834","comparisonOperation":0,"comparisonValue":"148","minimumVersion":"","maximumVersion":"","formOrder":0,"lowerBound":null,"enabled":true,"mask":"","largeMask":"","maskKey":"","keyItemMaskOfField":null,"keyOptionIdReplace":"","relatedOptionIds":[],"onlineServices":[],"childCriteriaItemList":[],"clientContextJson":""},{"keyOptionId":"9730","caption":"Venture Capital","secondaryCaption":"","isDefault":false,"maskCriteriaOnly":false,"definition":"","keyProductQueryItem":"311834","comparisonOperation":0,"comparisonValue":"149","minimumVersion":"","maximumVersion":"","formOrder":0,"lowerBound":null,"enabled":true,"mask":"","largeMask":"","maskKey":"","keyItemMaskOfField":null,"keyOptionIdReplace":"","relatedOptionIds":[],"onlineServices":[],"childCriteriaItemList":[],"clientContextJson":""},{"keyOptionId":"9731","caption":"PIPE","secondaryCaption":"","isDefault":fals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9732","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keyOptionId":"9733","caption":"Sales Agency Agreement","secondaryCaption":"","isDefault":fals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9734","caption":"De Novo Offering","secondaryCaption":"","isDefault":fals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clientContextJson":""}],"clientContextJson":""}]},{"filterGroupId":"3605000","filterGroupIdReplace":"","caption":"GICS Transaction Industry Tree","groupType":2,"optionType":8,"formOrder":80,"minimumVersion":"","maximumVersion":"","onlineServicesEnabled":false,"onlineServices":null,"column":0,"columnFormOrder":80,"criteriaIdName":"","required":false,</t>
  </si>
  <si>
    <t>"dateDefaultType":"","criteriaItemList":[{"keyOptionId":"3605001","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3605002","caption":"Ener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3605003","caption":"Ener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3605004","caption":"Energy Equipment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3605005","caption":"Oil and Gas Drilling","secondaryCaption":"","isDefault":false,"maskCriteriaOnly":false,"definition":"","keyProductQueryItem":"329082","comparisonOperation":0,"comparisonValue":"4","minimumVersion":"","maximumVersion":"","formOrder":0,"lowerBound":null,"enabled":true,"mask":"","largeMask":"","maskKey":"","keyItemMaskOfField":null,"keyOptionIdReplace":"","relatedOptionIds":[],"onlineServices":[],"childCriteriaItemList":[],"clientContextJson":""},{"keyOptionId":"3605006","caption":"Oil and Gas Equipment and Services","secondaryCaption":"","isDefault":false,"maskCriteriaOnly":false,"definition":"","keyProductQueryItem":"329082","comparisonOperation":0,"comparisonValue":"6","minimumVersion":"","maximumVersion":"","formOrder":0,"lowerBound":null,"enabled":true,"mask":"","largeMask":"","maskKey":"","keyItemMaskOfField":null,"keyOptionIdReplace":"","relatedOptionIds":[],"onlineServices":[],"childCriteriaItemList":[],"clientContextJson":""}],"clientContextJson":""},{"keyOptionId":"3605007","caption":"Oil, Gas and Consumable Fue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3605008","caption":"Integrated Oil and Gas","secondaryCaption":"","isDefault":false,"maskCriteriaOnly":false,"definition":"","keyProductQueryItem":"329082","comparisonOperation":0,"comparisonValue":"16","minimumVersion":"","maximumVersion":"","formOrder":0,"lowerBound":null,"enabled":true,"mask":"","largeMask":"","maskKey":"","keyItemMaskOfField":null,"keyOptionIdReplace":"","relatedOptionIds":[],"onlineServices":[],"childCriteriaItemList":[],"clientContextJson":""},{"keyOptionId":"3605009","caption":"Oil and Gas Exploration and Production","secondaryCaption":"","isDefault":false,"maskCriteriaOnly":false,"definition":"","keyProductQueryItem":"329082","comparisonOperation":0,"comparisonValue":"17","minimumVersion":"","maximumVersion":"","formOrder":0,"lowerBound":null,"enabled":true,"mask":"","largeMask":"","maskKey":"","keyItemMaskOfField":null,"keyOptionIdReplace":"","relatedOptionIds":[],"onlineServices":[],"childCriteriaItemList":[],"clientContextJson":""},{"keyOptionId":"3605010","caption":"Oil and Gas Refining and Marketing","secondaryCaption":"","isDefault":false,"maskCriteriaOnly":false,"definition":"","keyProductQueryItem":"329082","comparisonOperation":0,"comparisonValue":"22","minimumVersion":"","maximumVersion":"","formOrder":0,"lowerBound":null,"enabled":true,"mask":"","largeMask":"","maskKey":"","keyItemMaskOfField":null,"keyOptionIdReplace":"","relatedOptionIds":[],"onlineServices":[],"childCriteriaItemList":[],"clientContextJson":""},{"keyOptionId":"3605011","caption":"Oil and Gas Storage and Transportation","secondaryCaption":"","isDefault":false,"maskCriteriaOnly":false,"definition":"","keyProductQueryItem":"329082","comparisonOperation":0,"comparisonValue":"30","minimumVersion":"","maximumVersion":"","formOrder":0,"lowerBound":null,"enabled":true,"mask":"","largeMask":"","maskKey":"","keyItemMaskOfField":null,"keyOptionIdReplace":"","relatedOptionIds":[],"onlineServices":[],"childCriteriaItemList":[],"clientContextJson":""},{"keyOptionId":"3605012","caption":"Coal and Consumable Fuels","secondaryCaption":"","isDefault":false,"maskCriteriaOnly":false,"definition":"","keyProductQueryItem":"329082","comparisonOperation":0,"comparisonValue":"43","minimumVersion":"","maximumVersion":"","formOrder":0,"lowerBound":null,"enabled":true,"mask":"","largeMask":"","maskKey":"","keyItemMaskOfField":null,"keyOptionIdReplace":"","relatedOptionIds":[],"onlineServices":[],"childCriteriaItemList":[],"clientContextJson":""}],"clientContextJson":""}],"clientContextJson":""}],"clientContextJson":""},{"keyOptionId":"3605013","caption":"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3605014","caption":"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3605015","caption":"Chemic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3605016","caption":"Commodity Chemicals","secondaryCaption":"","isDefault":false,"maskCriteriaOnly":false,"definition":"","keyProductQueryItem":"329082","comparisonOperation":0,"comparisonValue":"54","minimumVersion":"","maximumVersion":"","formOrder":0,"lowerBound":null,"enabled":true,"mask":"","largeMask":"","maskKey":"","keyItemMaskOfField":null,"keyOptionIdReplace":"","relatedOptionIds":[],"onlineServices":[],"childCriteriaItemList":[],"clientContextJson":""},{"keyOptionId":"3605017","capti</t>
  </si>
  <si>
    <t>on":"Diversified Chemicals","secondaryCaption":"","isDefault":false,"maskCriteriaOnly":false,"definition":"","keyProductQueryItem":"329082","comparisonOperation":0,"comparisonValue":"92","minimumVersion":"","maximumVersion":"","formOrder":0,"lowerBound":null,"enabled":true,"mask":"","largeMask":"","maskKey":"","keyItemMaskOfField":null,"keyOptionIdReplace":"","relatedOptionIds":[],"onlineServices":[],"childCriteriaItemList":[],"clientContextJson":""},{"keyOptionId":"3605018","caption":"Fertilizers and Agricultural Chemicals","secondaryCaption":"","isDefault":false,"maskCriteriaOnly":false,"definition":"","keyProductQueryItem":"329082","comparisonOperation":0,"comparisonValue":"93","minimumVersion":"","maximumVersion":"","formOrder":0,"lowerBound":null,"enabled":true,"mask":"","largeMask":"","maskKey":"","keyItemMaskOfField":null,"keyOptionIdReplace":"","relatedOptionIds":[],"onlineServices":[],"childCriteriaItemList":[],"clientContextJson":""},{"keyOptionId":"3605019","caption":"Industrial Gases","secondaryCaption":"","isDefault":false,"maskCriteriaOnly":false,"definition":"","keyProductQueryItem":"329082","comparisonOperation":0,"comparisonValue":"96","minimumVersion":"","maximumVersion":"","formOrder":0,"lowerBound":null,"enabled":true,"mask":"","largeMask":"","maskKey":"","keyItemMaskOfField":null,"keyOptionIdReplace":"","relatedOptionIds":[],"onlineServices":[],"childCriteriaItemList":[],"clientContextJson":""},{"keyOptionId":"3605020","caption":"Specialty Chemicals","secondaryCaption":"","isDefault":false,"maskCriteriaOnly":false,"definition":"","keyProductQueryItem":"329082","comparisonOperation":0,"comparisonValue":"100","minimumVersion":"","maximumVersion":"","formOrder":0,"lowerBound":null,"enabled":true,"mask":"","largeMask":"","maskKey":"","keyItemMaskOfField":null,"keyOptionIdReplace":"","relatedOptionIds":[],"onlineServices":[],"childCriteriaItemList":[],"clientContextJson":""}],"clientContextJson":""},{"keyOptionId":"3605021","caption":"Construction Mate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3605022","caption":"Construction Materials","secondaryCaption":"","isDefault":false,"maskCriteriaOnly":false,"definition":"","keyProductQueryItem":"329082","comparisonOperation":0,"comparisonValue":"112","minimumVersion":"","maximumVersion":"","formOrder":0,"lowerBound":null,"enabled":true,"mask":"","largeMask":"","maskKey":"","keyItemMaskOfField":null,"keyOptionIdReplace":"","relatedOptionIds":[],"onlineServices":[],"childCriteriaItemList":[],"clientContextJson":""}],"clientContextJson":""},{"keyOptionId":"3605023","caption":"Containers and Packag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3605024","caption":"Metal, Glass and Plastic Containers","secondaryCaption":"","isDefault":false,"maskCriteriaOnly":false,"definition":"","keyProductQueryItem":"329082","comparisonOperation":0,"comparisonValue":"141","minimumVersion":"","maximumVersion":"","formOrder":0,"lowerBound":null,"enabled":true,"mask":"","largeMask":"","maskKey":"","keyItemMaskOfField":null,"keyOptionIdReplace":"","relatedOptionIds":[],"onlineServices":[],"childCriteriaItemList":[],"clientContextJson":""},{"keyOptionId":"3605025","caption":"Paper and Plastic Packaging Products and Materials","secondaryCaption":"","isDefault":false,"maskCriteriaOnly":false,"definition":"","keyProductQueryItem":"329082","comparisonOperation":0,"comparisonValue":"156","minimumVersion":"","maximumVersion":"","formOrder":0,"lowerBound":null,"enabled":true,"mask":"","largeMask":"","maskKey":"","keyItemMaskOfField":null,"keyOptionIdReplace":"","relatedOptionIds":[],"onlineServices":[],"childCriteriaItemList":[],"clientContextJson":""}],"clientContextJson":""},{"keyOptionId":"3605026","caption":"Metals and Min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3605027","caption":"Aluminum","secondaryCaption":"","isDefault":false,"maskCriteriaOnly":false,"definition":"","keyProductQueryItem":"329082","comparisonOperation":0,"comparisonValue":"169","minimumVersion":"","maximumVersion":"","formOrder":0,"lowerBound":null,"enabled":true,"mask":"","largeMask":"","maskKey":"","keyItemMaskOfField":null,"keyOptionIdReplace":"","relatedOptionIds":[],"onlineServices":[],"childCriteriaItemList":[],"clientContextJson":""},{"keyOptionId":"3605028","caption":"Diversified Metals and Mining","secondaryCaption":"","isDefault":false,"maskCriteriaOnly":false,"definition":"","keyProductQueryItem":"329082","comparisonOperation":0,"comparisonValue":"181","minimumVersion":"","maximumVersion":"","formOrder":0,"lowerBound":null,"enabled":true,"mask":"","largeMask":"","maskKey":"","keyItemMaskOfField":null,"keyOptionIdReplace":"","relatedOptionIds":[],"onlineServices":[],"childCriteriaItemList":[],"clientContextJson":""},{"keyOptionId":"3605029","caption":"Copper","secondaryCaption":"","isDefault":false,"maskCriteriaOnly":false,"definition":"","keyProductQueryItem":"329082","comparisonOperation":0,"comparisonValue":"219","minimumVersion":"","maximumVersion":"","formOrder":0,"lowerBound":null,"enabled":true,"mask":"","largeMask":"","maskKey":"","keyItemMaskOfField":null,"keyOptionIdReplace":"","relatedOptionIds":[],"onlineServices":[],"childCriteriaItemList":[],"clientContextJson":""},{"keyOptionId":"3605030","caption":"Gold","secondaryCaption":"","isDefault":false,"maskCriteriaOnly":false,"definition":"","keyProductQueryItem":"329082","comparisonOperation":0,"comparisonValue":"226","minimumVersion":"","maximumVersion":"","formOrder":0,"lowerBound":null,"enabled":true,"mask":"","largeMask":"","maskKey":"","keyItemMaskOfField":null,"keyOptionIdReplace":"","relatedOptionIds":[],"onlineServices":[],"childCriteriaItemList":[],"clientContextJson":""},{"keyOptionId":"3605031","caption":"Precious Metals and Minerals","secondaryCaption":"","isDefault":false,"maskCriteriaOnly":false,"definition":"","keyProductQueryItem":"329082","comparisonOperation":0,"comparisonValue":"228","minimumVersion":"","maximumVersion":"","formOrder":0,"lowerBound":null,"enabled":true,"mask":"","largeMask":"","maskKey":"","keyItemMaskOfField":null,"keyOptionIdReplace":"","relatedOptionIds":[],"onlineServices":[],"childCriteriaItemList":[],"clientContextJson":""},{"keyOptionId":"3605032","caption":"Silver","secondaryCaption":"","isDefault":false,"maskCriteriaOnly":false,"definition":"","keyProductQueryItem":"329082","comparisonOperation":0,"comparisonValue":"241","minimumVersion":"","maximumVersion":"","formOrder":0,"lowerBound":null,"enabled":true,"mask":"","largeMask":"","maskKey":"","keyItemMaskOfField":null,"keyOptionIdReplace":"","relatedOptionIds":[],"onlineServi</t>
  </si>
  <si>
    <t>ces":[],"childCriteriaItemList":[],"clientContextJson":""},{"keyOptionId":"3605033","caption":"Steel","secondaryCaption":"","isDefault":false,"maskCriteriaOnly":false,"definition":"","keyProductQueryItem":"329082","comparisonOperation":0,"comparisonValue":"243","minimumVersion":"","maximumVersion":"","formOrder":0,"lowerBound":null,"enabled":true,"mask":"","largeMask":"","maskKey":"","keyItemMaskOfField":null,"keyOptionIdReplace":"","relatedOptionIds":[],"onlineServices":[],"childCriteriaItemList":[],"clientContextJson":""}],"clientContextJson":""},{"keyOptionId":"3605034","caption":"Paper and Forest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3605035","caption":"Forest Products","secondaryCaption":"","isDefault":false,"maskCriteriaOnly":false,"definition":"","keyProductQueryItem":"329082","comparisonOperation":0,"comparisonValue":"264","minimumVersion":"","maximumVersion":"","formOrder":0,"lowerBound":null,"enabled":true,"mask":"","largeMask":"","maskKey":"","keyItemMaskOfField":null,"keyOptionIdReplace":"","relatedOptionIds":[],"onlineServices":[],"childCriteriaItemList":[],"clientContextJson":""},{"keyOptionId":"3605036","caption":"Paper Products","secondaryCaption":"","isDefault":false,"maskCriteriaOnly":false,"definition":"","keyProductQueryItem":"329082","comparisonOperation":0,"comparisonValue":"283","minimumVersion":"","maximumVersion":"","formOrder":0,"lowerBound":null,"enabled":true,"mask":"","largeMask":"","maskKey":"","keyItemMaskOfField":null,"keyOptionIdReplace":"","relatedOptionIds":[],"onlineServices":[],"childCriteriaItemList":[],"clientContextJson":""}],"clientContextJson":""}],"clientContextJson":""}],"clientContextJson":""},{"keyOptionId":"3605037","caption":"Industr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3605038","caption":"Capital Good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3605039","caption":"Aerospace and Defens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3605040","caption":"Aerospace and Defense","secondaryCaption":"","isDefault":false,"maskCriteriaOnly":false,"definition":"","keyProductQueryItem":"329082","comparisonOperation":0,"comparisonValue":"313","minimumVersion":"","maximumVersion":"","formOrder":0,"lowerBound":null,"enabled":true,"mask":"","largeMask":"","maskKey":"","keyItemMaskOfField":null,"keyOptionIdReplace":"","relatedOptionIds":[],"onlineServices":[],"childCriteriaItemList":[],"clientContextJson":""}],"clientContextJson":""},{"keyOptionId":"3605041","caption":"Building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3605042","caption":"Building Products","secondaryCaption":"","isDefault":false,"maskCriteriaOnly":false,"definition":"","keyProductQueryItem":"329082","comparisonOperation":0,"comparisonValue":"366","minimumVersion":"","maximumVersion":"","formOrder":0,"lowerBound":null,"enabled":true,"mask":"","largeMask":"","maskKey":"","keyItemMaskOfField":null,"keyOptionIdReplace":"","relatedOptionIds":[],"onlineServices":[],"childCriteriaItemList":[],"clientContextJson":""}],"clientContextJson":""},{"keyOptionId":"3605043","caption":"Construction and Engineering","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3605044","caption":"Construction and Engineering","secondaryCaption":"","isDefault":false,"maskCriteriaOnly":false,"definition":"","keyProductQueryItem":"329082","comparisonOperation":0,"comparisonValue":"415","minimumVersion":"","maximumVersion":"","formOrder":0,"lowerBound":null,"enabled":true,"mask":"","largeMask":"","maskKey":"","keyItemMaskOfField":null,"keyOptionIdReplace":"","relatedOptionIds":[],"onlineServices":[],"childCriteriaItemList":[],"clientContextJson":""}],"clientContextJson":""},{"keyOptionId":"3605045","caption":"Electrical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3605046","caption":"Electrical Components and Equipment","secondaryCaption":"","isDefault":false,"maskCriteriaOnly":false,"definition":"","keyProductQueryItem":"329082","comparisonOperation":0,"comparisonValue":"458","minimumVersion":"","maximumVersion":"","formOrder":0,"lowerBound":null,"enabled":true,"mask":"","largeMask":"","maskKey":"","keyItemMaskOfField":null,"keyOptionIdReplace":"","relatedOptionIds":[],"onlineServices":[],"childCriteriaItemList":[],"clientContextJson":""},{"keyOptionId":"3605047","caption":"Heavy Electrical Equipment","secondaryCaption":"","isDefault":false,"maskCriteriaOnly":false,"definition":"","keyProductQueryItem":"329082","comparisonOperation":0,"comparisonValue":"475","minimumVersion":"","maximumVersion":"","formOrder":0,"lowerBound":null,"enabled":true,"mask":"","largeMask":"","maskKey":"","keyItemMaskOfField":null,"keyOptionIdReplace":"","relatedOptionIds":[],"onlineServices":[],"childCriteriaItemList":[],"clientContextJson":""}],"clientContextJson":""},{"keyOptionId":"3605048","caption":"Industrial Conglomerates","secondaryCaption":"","isDefault":false,"maskCriteriaOnly":true,"definition":"","keyProductQueryItem":"","comparisonOperation":null,"comparisonValue":"","minimumVersion":"","maximumVersion":"","formOrder":0,"lowerBound":null,"enabled":true,"mask":"","largeMask":"","maskKey":"","keyItemMaskOfField":null,"key</t>
  </si>
  <si>
    <t>OptionIdReplace":"","relatedOptionIds":[],"onlineServices":[],"childCriteriaItemList":[{"keyOptionId":"3605049","caption":"Industrial Conglomerates","secondaryCaption":"","isDefault":false,"maskCriteriaOnly":false,"definition":"","keyProductQueryItem":"329082","comparisonOperation":0,"comparisonValue":"490","minimumVersion":"","maximumVersion":"","formOrder":0,"lowerBound":null,"enabled":true,"mask":"","largeMask":"","maskKey":"","keyItemMaskOfField":null,"keyOptionIdReplace":"","relatedOptionIds":[],"onlineServices":[],"childCriteriaItemList":[],"clientContextJson":""}],"clientContextJson":""},{"keyOptionId":"3605050","caption":"Machiner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3605051","caption":"Construction Machinery and Heavy Transportation Equipment","secondaryCaption":"","isDefault":false,"maskCriteriaOnly":false,"definition":"","keyProductQueryItem":"329082","comparisonOperation":0,"comparisonValue":"492","minimumVersion":"","maximumVersion":"","formOrder":0,"lowerBound":null,"enabled":true,"mask":"","largeMask":"","maskKey":"","keyItemMaskOfField":null,"keyOptionIdReplace":"","relatedOptionIds":[],"onlineServices":[],"childCriteriaItemList":[],"clientContextJson":""},{"keyOptionId":"3605052","caption":"Agricultural and Farm Machinery","secondaryCaption":"","isDefault":false,"maskCriteriaOnly":false,"definition":"","keyProductQueryItem":"329082","comparisonOperation":0,"comparisonValue":"513","minimumVersion":"","maximumVersion":"","formOrder":0,"lowerBound":null,"enabled":true,"mask":"","largeMask":"","maskKey":"","keyItemMaskOfField":null,"keyOptionIdReplace":"","relatedOptionIds":[],"onlineServices":[],"childCriteriaItemList":[],"clientContextJson":""},{"keyOptionId":"3605053","caption":"Industrial Machinery and Supplies and Components","secondaryCaption":"","isDefault":false,"maskCriteriaOnly":false,"definition":"","keyProductQueryItem":"329082","comparisonOperation":0,"comparisonValue":"519","minimumVersion":"","maximumVersion":"","formOrder":0,"lowerBound":null,"enabled":true,"mask":"","largeMask":"","maskKey":"","keyItemMaskOfField":null,"keyOptionIdReplace":"","relatedOptionIds":[],"onlineServices":[],"childCriteriaItemList":[],"clientContextJson":""}],"clientContextJson":""},{"keyOptionId":"3605054","caption":"Trading Companies and Distributo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3605055","caption":"Trading Companies and Distributors","secondaryCaption":"","isDefault":false,"maskCriteriaOnly":false,"definition":"","keyProductQueryItem":"329082","comparisonOperation":0,"comparisonValue":"575","minimumVersion":"","maximumVersion":"","formOrder":0,"lowerBound":null,"enabled":true,"mask":"","largeMask":"","maskKey":"","keyItemMaskOfField":null,"keyOptionIdReplace":"","relatedOptionIds":[],"onlineServices":[],"childCriteriaItemList":[],"clientContextJson":""}],"clientContextJson":""}],"clientContextJson":""},{"keyOptionId":"3605056","caption":"Commercial and Professional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3605057","caption":"Commercial Services and Suppl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3605058","caption":"Commercial Printing","secondaryCaption":"","isDefault":false,"maskCriteriaOnly":false,"definition":"","keyProductQueryItem":"329082","comparisonOperation":0,"comparisonValue":"604","minimumVersion":"","maximumVersion":"","formOrder":0,"lowerBound":null,"enabled":true,"mask":"","largeMask":"","maskKey":"","keyItemMaskOfField":null,"keyOptionIdReplace":"","relatedOptionIds":[],"onlineServices":[],"childCriteriaItemList":[],"clientContextJson":""},{"keyOptionId":"3605059","caption":"Environmental and Facilities Services","secondaryCaption":"","isDefault":false,"maskCriteriaOnly":false,"definition":"","keyProductQueryItem":"329082","comparisonOperation":0,"comparisonValue":"631","minimumVersion":"","maximumVersion":"","formOrder":0,"lowerBound":null,"enabled":true,"mask":"","largeMask":"","maskKey":"","keyItemMaskOfField":null,"keyOptionIdReplace":"","relatedOptionIds":[],"onlineServices":[],"childCriteriaItemList":[],"clientContextJson":""},{"keyOptionId":"3605060","caption":"Office Services and Supplies","secondaryCaption":"","isDefault":false,"maskCriteriaOnly":false,"definition":"","keyProductQueryItem":"329082","comparisonOperation":0,"comparisonValue":"663","minimumVersion":"","maximumVersion":"","formOrder":0,"lowerBound":null,"enabled":true,"mask":"","largeMask":"","maskKey":"","keyItemMaskOfField":null,"keyOptionIdReplace":"","relatedOptionIds":[],"onlineServices":[],"childCriteriaItemList":[],"clientContextJson":""},{"keyOptionId":"3605061","caption":"Diversified Support Services","secondaryCaption":"","isDefault":false,"maskCriteriaOnly":false,"definition":"","keyProductQueryItem":"329082","comparisonOperation":0,"comparisonValue":"703","minimumVersion":"","maximumVersion":"","formOrder":0,"lowerBound":null,"enabled":true,"mask":"","largeMask":"","maskKey":"","keyItemMaskOfField":null,"keyOptionIdReplace":"","relatedOptionIds":[],"onlineServices":[],"childCriteriaItemList":[],"clientContextJson":""},{"keyOptionId":"3605062","caption":"Security and Alarm Services","secondaryCaption":"","isDefault":false,"maskCriteriaOnly":false,"definition":"","keyProductQueryItem":"329082","comparisonOperation":0,"comparisonValue":"760","minimumVersion":"","maximumVersion":"","formOrder":0,"lowerBound":null,"enabled":true,"mask":"","largeMask":"","maskKey":"","keyItemMaskOfField":null,"keyOptionIdReplace":"","relatedOptionIds":[],"onlineServices":[],"childCriteriaItemList":[],"clientContextJson":""}],"clientContextJson":""},{"keyOptionId":"3605063","caption":"Profession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3605064","caption":"Human Resource and Employment Services","secondaryCaption":"","isDefault":false,"maskCriteriaOnly":false,"definition":"","keyProductQueryItem":"32</t>
  </si>
  <si>
    <t>9082","comparisonOperation":0,"comparisonValue":"772","minimumVersion":"","maximumVersion":"","formOrder":0,"lowerBound":null,"enabled":true,"mask":"","largeMask":"","maskKey":"","keyItemMaskOfField":null,"keyOptionIdReplace":"","relatedOptionIds":[],"onlineServices":[],"childCriteriaItemList":[],"clientContextJson":""},{"keyOptionId":"3605065","caption":"Research and Consulting Services","secondaryCaption":"","isDefault":false,"maskCriteriaOnly":false,"definition":"","keyProductQueryItem":"329082","comparisonOperation":0,"comparisonValue":"781","minimumVersion":"","maximumVersion":"","formOrder":0,"lowerBound":null,"enabled":true,"mask":"","largeMask":"","maskKey":"","keyItemMaskOfField":null,"keyOptionIdReplace":"","relatedOptionIds":[],"onlineServices":[],"childCriteriaItemList":[],"clientContextJson":""},{"keyOptionId":"3605198","caption":"Data Processing and Outsourced Services","secondaryCaption":"","isDefault":false,"maskCriteriaOnly":false,"definition":"","keyProductQueryItem":"329082","comparisonOperation":0,"comparisonValue":"2431","minimumVersion":"","maximumVersion":"","formOrder":0,"lowerBound":null,"enabled":true,"mask":"","largeMask":"","maskKey":"","keyItemMaskOfField":null,"keyOptionIdReplace":"","relatedOptionIds":[],"onlineServices":[],"childCriteriaItemList":[],"clientContextJson":""}],"clientContextJson":""}],"clientContextJson":""},{"keyOptionId":"3605066","caption":"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3605067","caption":"Air Freight and Logistic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3605068","caption":"Air Freight and Logistics","secondaryCaption":"","isDefault":false,"maskCriteriaOnly":false,"definition":"","keyProductQueryItem":"329082","comparisonOperation":0,"comparisonValue":"810","minimumVersion":"","maximumVersion":"","formOrder":0,"lowerBound":null,"enabled":true,"mask":"","largeMask":"","maskKey":"","keyItemMaskOfField":null,"keyOptionIdReplace":"","relatedOptionIds":[],"onlineServices":[],"childCriteriaItemList":[],"clientContextJson":""}],"clientContextJson":""},{"keyOptionId":"3605069","caption":"Passenger Airlin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3605070","caption":"Passenger Airlines","secondaryCaption":"","isDefault":false,"maskCriteriaOnly":false,"definition":"","keyProductQueryItem":"329082","comparisonOperation":0,"comparisonValue":"824","minimumVersion":"","maximumVersion":"","formOrder":0,"lowerBound":null,"enabled":true,"mask":"","largeMask":"","maskKey":"","keyItemMaskOfField":null,"keyOptionIdReplace":"","relatedOptionIds":[],"onlineServices":[],"childCriteriaItemList":[],"clientContextJson":""}],"clientContextJson":""},{"keyOptionId":"3605071","caption":"Marine 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3605072","caption":"Marine Transportation","secondaryCaption":"","isDefault":false,"maskCriteriaOnly":false,"definition":"","keyProductQueryItem":"329082","comparisonOperation":0,"comparisonValue":"830","minimumVersion":"","maximumVersion":"","formOrder":0,"lowerBound":null,"enabled":true,"mask":"","largeMask":"","maskKey":"","keyItemMaskOfField":null,"keyOptionIdReplace":"","relatedOptionIds":[],"onlineServices":[],"childCriteriaItemList":[],"clientContextJson":""}],"clientContextJson":""},{"keyOptionId":"3605073","caption":"Ground Transportation","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3605074","caption":"Rail Transportation","secondaryCaption":"","isDefault":false,"maskCriteriaOnly":false,"definition":"","keyProductQueryItem":"329082","comparisonOperation":0,"comparisonValue":"847","minimumVersion":"","maximumVersion":"","formOrder":0,"lowerBound":null,"enabled":true,"mask":"","largeMask":"","maskKey":"","keyItemMaskOfField":null,"keyOptionIdReplace":"","relatedOptionIds":[],"onlineServices":[],"childCriteriaItemList":[],"clientContextJson":""},{"keyOptionId":"92913","caption":"Cargo Ground Transportation","secondaryCaption":"","isDefault":false,"maskCriteriaOnly":false,"definition":"","keyProductQueryItem":"329082","comparisonOperation":0,"comparisonValue":"2946","minimumVersion":"","maximumVersion":"","formOrder":0,"lowerBound":null,"enabled":true,"mask":"","largeMask":"","maskKey":"","keyItemMaskOfField":null,"keyOptionIdReplace":"","relatedOptionIds":[],"onlineServices":[],"childCriteriaItemList":[],"clientContextJson":""},{"keyOptionId":"3605075","caption":"Passenger Ground Transportation","secondaryCaption":"","isDefault":false,"maskCriteriaOnly":false,"definition":"","keyProductQueryItem":"329082","comparisonOperation":0,"comparisonValue":"855","minimumVersion":"","maximumVersion":"","formOrder":0,"lowerBound":null,"enabled":true,"mask":"","largeMask":"","maskKey":"","keyItemMaskOfField":null,"keyOptionIdReplace":"","relatedOptionIds":[],"onlineServices":[],"childCriteriaItemList":[],"clientContextJson":""}],"clientContextJson":""},{"keyOptionId":"3605076","caption":"Transportation Infrastruct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3605077","caption":"Airport Services","secondaryCaption":"","isDefault":false,"maskCriteriaOnly":false,"definition":"","keyProductQueryItem":"329082","comparisonOperation":0,"comparisonValue":"880","minimumVersion":"","maximumVersion":"","formOrder":0,"lowerBound":null,"enabled":true,"mask":"","largeMask":"","maskKey":"","keyItemMaskOfField":null,"keyOptionIdReplace":"","relatedOptionIds":[],"onlineServices":[],"childCriteriaItemList":[],"clientContextJson":""},{"keyOptionId":"3605078","caption":"Highways and Railtracks","se</t>
  </si>
  <si>
    <t>condaryCaption":"","isDefault":false,"maskCriteriaOnly":false,"definition":"","keyProductQueryItem":"329082","comparisonOperation":0,"comparisonValue":"885","minimumVersion":"","maximumVersion":"","formOrder":0,"lowerBound":null,"enabled":true,"mask":"","largeMask":"","maskKey":"","keyItemMaskOfField":null,"keyOptionIdReplace":"","relatedOptionIds":[],"onlineServices":[],"childCriteriaItemList":[],"clientContextJson":""},{"keyOptionId":"3605079","caption":"Marine Ports and Services","secondaryCaption":"","isDefault":false,"maskCriteriaOnly":false,"definition":"","keyProductQueryItem":"329082","comparisonOperation":0,"comparisonValue":"886","minimumVersion":"","maximumVersion":"","formOrder":0,"lowerBound":null,"enabled":true,"mask":"","largeMask":"","maskKey":"","keyItemMaskOfField":null,"keyOptionIdReplace":"","relatedOptionIds":[],"onlineServices":[],"childCriteriaItemList":[],"clientContextJson":""}],"clientContextJson":""}],"clientContextJson":""}],"clientContextJson":""},{"keyOptionId":"3605080","caption":"Consumer Discretionar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3605081","caption":"Automobiles and Compon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3605082","caption":"Automobile Componen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3605083","caption":"Automotive Parts and Equipment","secondaryCaption":"","isDefault":false,"maskCriteriaOnly":false,"definition":"","keyProductQueryItem":"329082","comparisonOperation":0,"comparisonValue":"896","minimumVersion":"","maximumVersion":"","formOrder":0,"lowerBound":null,"enabled":true,"mask":"","largeMask":"","maskKey":"","keyItemMaskOfField":null,"keyOptionIdReplace":"","relatedOptionIds":[],"onlineServices":[],"childCriteriaItemList":[],"clientContextJson":""},{"keyOptionId":"3605084","caption":"Tires and Rubber","secondaryCaption":"","isDefault":false,"maskCriteriaOnly":false,"definition":"","keyProductQueryItem":"329082","comparisonOperation":0,"comparisonValue":"947","minimumVersion":"","maximumVersion":"","formOrder":0,"lowerBound":null,"enabled":true,"mask":"","largeMask":"","maskKey":"","keyItemMaskOfField":null,"keyOptionIdReplace":"","relatedOptionIds":[],"onlineServices":[],"childCriteriaItemList":[],"clientContextJson":""}],"clientContextJson":""},{"keyOptionId":"3605085","caption":"Automobil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3605086","caption":"Automobile Manufacturers","secondaryCaption":"","isDefault":false,"maskCriteriaOnly":false,"definition":"","keyProductQueryItem":"329082","comparisonOperation":0,"comparisonValue":"955","minimumVersion":"","maximumVersion":"","formOrder":0,"lowerBound":null,"enabled":true,"mask":"","largeMask":"","maskKey":"","keyItemMaskOfField":null,"keyOptionIdReplace":"","relatedOptionIds":[],"onlineServices":[],"childCriteriaItemList":[],"clientContextJson":""},{"keyOptionId":"3605087","caption":"Motorcycle Manufacturers","secondaryCaption":"","isDefault":false,"maskCriteriaOnly":false,"definition":"","keyProductQueryItem":"329082","comparisonOperation":0,"comparisonValue":"969","minimumVersion":"","maximumVersion":"","formOrder":0,"lowerBound":null,"enabled":true,"mask":"","largeMask":"","maskKey":"","keyItemMaskOfField":null,"keyOptionIdReplace":"","relatedOptionIds":[],"onlineServices":[],"childCriteriaItemList":[],"clientContextJson":""}],"clientContextJson":""}],"clientContextJson":""},{"keyOptionId":"3605088","caption":"Consumer Durables and Appare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3605089","caption":"Household Durabl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3605090","caption":"Consumer Electronics","secondaryCaption":"","isDefault":false,"maskCriteriaOnly":false,"definition":"","keyProductQueryItem":"329082","comparisonOperation":0,"comparisonValue":"977","minimumVersion":"","maximumVersion":"","formOrder":0,"lowerBound":null,"enabled":true,"mask":"","largeMask":"","maskKey":"","keyItemMaskOfField":null,"keyOptionIdReplace":"","relatedOptionIds":[],"onlineServices":[],"childCriteriaItemList":[],"clientContextJson":""},{"keyOptionId":"3605091","caption":"Home Furnishings","secondaryCaption":"","isDefault":false,"maskCriteriaOnly":false,"definition":"","keyProductQueryItem":"329082","comparisonOperation":0,"comparisonValue":"1012","minimumVersion":"","maximumVersion":"","formOrder":0,"lowerBound":null,"enabled":true,"mask":"","largeMask":"","maskKey":"","keyItemMaskOfField":null,"keyOptionIdReplace":"","relatedOptionIds":[],"onlineServices":[],"childCriteriaItemList":[],"clientContextJson":""},{"keyOptionId":"3605092","caption":"Homebuilding","secondaryCaption":"","isDefault":false,"maskCriteriaOnly":false,"definition":"","keyProductQueryItem":"329082","comparisonOperation":0,"comparisonValue":"1055","minimumVersion":"","maximumVersion":"","formOrder":0,"lowerBound":null,"enabled":true,"mask":"","largeMask":"","maskKey":"","keyItemMaskOfField":null,"keyOptionIdReplace":"","relatedOptionIds":[],"onlineServices":[],"childCriteriaItemList":[],"clientContextJson":""},{"keyOptionId":"3605093","caption":"Household Appliances","secondaryCaption":"","isDefault":false,"maskCriteriaOnly":false,"definition":"","keyProductQueryItem":"329082","comparisonOperation":0,"comparisonValue":"1059","minimumVersion":"","maximumVersion":"","formOrder":0,"lowerBound":null,"enabled":true,"mask":"","largeMask":"","maskKey":"","keyItemMaskOfField":null,"keyOptionIdReplace":"","relatedOptionIds":[],"onlineServices":[],"childCriteriaItemList":[],"clientContextJson":""},</t>
  </si>
  <si>
    <t>{"keyOptionId":"3605094","caption":"Housewares and Specialties","secondaryCaption":"","isDefault":false,"maskCriteriaOnly":false,"definition":"","keyProductQueryItem":"329082","comparisonOperation":0,"comparisonValue":"1105","minimumVersion":"","maximumVersion":"","formOrder":0,"lowerBound":null,"enabled":true,"mask":"","largeMask":"","maskKey":"","keyItemMaskOfField":null,"keyOptionIdReplace":"","relatedOptionIds":[],"onlineServices":[],"childCriteriaItemList":[],"clientContextJson":""}],"clientContextJson":""},{"keyOptionId":"3605095","caption":"Leisure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3605096","caption":"Leisure Products","secondaryCaption":"","isDefault":false,"maskCriteriaOnly":false,"definition":"","keyProductQueryItem":"329082","comparisonOperation":0,"comparisonValue":"1125","minimumVersion":"","maximumVersion":"","formOrder":0,"lowerBound":null,"enabled":true,"mask":"","largeMask":"","maskKey":"","keyItemMaskOfField":null,"keyOptionIdReplace":"","relatedOptionIds":[],"onlineServices":[],"childCriteriaItemList":[],"clientContextJson":""}],"clientContextJson":""},{"keyOptionId":"3605097","caption":"Textiles, Apparel and Luxury Good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3605098","caption":"Apparel, Accessories and Luxury Goods","secondaryCaption":"","isDefault":false,"maskCriteriaOnly":false,"definition":"","keyProductQueryItem":"329082","comparisonOperation":0,"comparisonValue":"1169","minimumVersion":"","maximumVersion":"","formOrder":0,"lowerBound":null,"enabled":true,"mask":"","largeMask":"","maskKey":"","keyItemMaskOfField":null,"keyOptionIdReplace":"","relatedOptionIds":[],"onlineServices":[],"childCriteriaItemList":[],"clientContextJson":""},{"keyOptionId":"3605099","caption":"Footwear","secondaryCaption":"","isDefault":false,"maskCriteriaOnly":false,"definition":"","keyProductQueryItem":"329082","comparisonOperation":0,"comparisonValue":"1246","minimumVersion":"","maximumVersion":"","formOrder":0,"lowerBound":null,"enabled":true,"mask":"","largeMask":"","maskKey":"","keyItemMaskOfField":null,"keyOptionIdReplace":"","relatedOptionIds":[],"onlineServices":[],"childCriteriaItemList":[],"clientContextJson":""},{"keyOptionId":"3605100","caption":"Textiles","secondaryCaption":"","isDefault":false,"maskCriteriaOnly":false,"definition":"","keyProductQueryItem":"329082","comparisonOperation":0,"comparisonValue":"1251","minimumVersion":"","maximumVersion":"","formOrder":0,"lowerBound":null,"enabled":true,"mask":"","largeMask":"","maskKey":"","keyItemMaskOfField":null,"keyOptionIdReplace":"","relatedOptionIds":[],"onlineServices":[],"childCriteriaItemList":[],"clientContextJson":""}],"clientContextJson":""}],"clientContextJson":""},{"keyOptionId":"3605101","caption":"Consumer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3605102","caption":"Hotels, Restaurants and Leisu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3605103","caption":"Casinos and Gaming","secondaryCaption":"","isDefault":false,"maskCriteriaOnly":false,"definition":"","keyProductQueryItem":"329082","comparisonOperation":0,"comparisonValue":"1310","minimumVersion":"","maximumVersion":"","formOrder":0,"lowerBound":null,"enabled":true,"mask":"","largeMask":"","maskKey":"","keyItemMaskOfField":null,"keyOptionIdReplace":"","relatedOptionIds":[],"onlineServices":[],"childCriteriaItemList":[],"clientContextJson":""},{"keyOptionId":"3605104","caption":"Hotels, Resorts and Cruise Lines","secondaryCaption":"","isDefault":false,"maskCriteriaOnly":false,"definition":"","keyProductQueryItem":"329082","comparisonOperation":0,"comparisonValue":"1318","minimumVersion":"","maximumVersion":"","formOrder":0,"lowerBound":null,"enabled":true,"mask":"","largeMask":"","maskKey":"","keyItemMaskOfField":null,"keyOptionIdReplace":"","relatedOptionIds":[],"onlineServices":[],"childCriteriaItemList":[],"clientContextJson":""},{"keyOptionId":"3605105","caption":"Leisure Facilities","secondaryCaption":"","isDefault":false,"maskCriteriaOnly":false,"definition":"","keyProductQueryItem":"329082","comparisonOperation":0,"comparisonValue":"1337","minimumVersion":"","maximumVersion":"","formOrder":0,"lowerBound":null,"enabled":true,"mask":"","largeMask":"","maskKey":"","keyItemMaskOfField":null,"keyOptionIdReplace":"","relatedOptionIds":[],"onlineServices":[],"childCriteriaItemList":[],"clientContextJson":""},{"keyOptionId":"3605106","caption":"Restaurants","secondaryCaption":"","isDefault":false,"maskCriteriaOnly":false,"definition":"","keyProductQueryItem":"329082","comparisonOperation":0,"comparisonValue":"1359","minimumVersion":"","maximumVersion":"","formOrder":0,"lowerBound":null,"enabled":true,"mask":"","largeMask":"","maskKey":"","keyItemMaskOfField":null,"keyOptionIdReplace":"","relatedOptionIds":[],"onlineServices":[],"childCriteriaItemList":[],"clientContextJson":""}],"clientContextJson":""},{"keyOptionId":"3605107","caption":"Diversified Consumer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3605108","caption":"Education Services","secondaryCaption":"","isDefault":false,"maskCriteriaOnly":false,"definition":"","keyProductQueryItem":"329082","comparisonOperation":0,"comparisonValue":"1373","minimumVersion":"","maximumVersion":"","formOrder":0,"lowerBound":null,"enabled":true,"mask":"","largeMask":"","maskKey":"","keyItemMaskOfField":null,"keyOptionIdReplace":"","relatedOptionIds":[],"onlineServices":[],"childCriteriaItemList":[],"clientContextJson":""},{"keyOptionId":"3605109","caption":"Specialized Consumer Services","secondaryCaption":"","isDefault":false,"maskCriteriaOnly":false,"definition":"","keyProductQueryItem":"329082","comparisonOperation":0,"comparisonValue":"1386","minimumVersion":"","maximumVersion":"","formOrder":0,"lowerBound":null,"enabled":true,"mask":"","largeMask":"","maskKey":"","keyItemMaskOfField":null,"keyOptionIdReplace":"","r</t>
  </si>
  <si>
    <t>elatedOptionIds":[],"onlineServices":[],"childCriteriaItemList":[],"clientContextJson":""}],"clientContextJson":""}],"clientContextJson":""},{"keyOptionId":"3605110","caption":"Consumer Discretionary Distribution and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3605111","caption":"Distributor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3605112","caption":"Distributors","secondaryCaption":"","isDefault":false,"maskCriteriaOnly":false,"definition":"","keyProductQueryItem":"329082","comparisonOperation":0,"comparisonValue":"1566","minimumVersion":"","maximumVersion":"","formOrder":0,"lowerBound":null,"enabled":true,"mask":"","largeMask":"","maskKey":"","keyItemMaskOfField":null,"keyOptionIdReplace":"","relatedOptionIds":[],"onlineServices":[],"childCriteriaItemList":[],"clientContextJson":""}],"clientContextJson":""},{"keyOptionId":"3605115","caption":"Broadline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92914","caption":"Broadline Retail","secondaryCaption":"","isDefault":false,"maskCriteriaOnly":false,"definition":"","keyProductQueryItem":"329082","comparisonOperation":0,"comparisonValue":"2932","minimumVersion":"","maximumVersion":"","formOrder":0,"lowerBound":null,"enabled":true,"mask":"","largeMask":"","maskKey":"","keyItemMaskOfField":null,"keyOptionIdReplace":"","relatedOptionIds":[],"onlineServices":[],"childCriteriaItemList":[],"clientContextJson":""}],"clientContextJson":""},{"keyOptionId":"3605118","caption":"Specialty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3605119","caption":"Apparel Retail","secondaryCaption":"","isDefault":false,"maskCriteriaOnly":false,"definition":"","keyProductQueryItem":"329082","comparisonOperation":0,"comparisonValue":"1683","minimumVersion":"","maximumVersion":"","formOrder":0,"lowerBound":null,"enabled":true,"mask":"","largeMask":"","maskKey":"","keyItemMaskOfField":null,"keyOptionIdReplace":"","relatedOptionIds":[],"onlineServices":[],"childCriteriaItemList":[],"clientContextJson":""},{"keyOptionId":"3605120","caption":"Computer and Electronics Retail","secondaryCaption":"","isDefault":false,"maskCriteriaOnly":false,"definition":"","keyProductQueryItem":"329082","comparisonOperation":0,"comparisonValue":"1699","minimumVersion":"","maximumVersion":"","formOrder":0,"lowerBound":null,"enabled":true,"mask":"","largeMask":"","maskKey":"","keyItemMaskOfField":null,"keyOptionIdReplace":"","relatedOptionIds":[],"onlineServices":[],"childCriteriaItemList":[],"clientContextJson":""},{"keyOptionId":"3605121","caption":"Home Improvement Retail","secondaryCaption":"","isDefault":false,"maskCriteriaOnly":false,"definition":"","keyProductQueryItem":"329082","comparisonOperation":0,"comparisonValue":"1704","minimumVersion":"","maximumVersion":"","formOrder":0,"lowerBound":null,"enabled":true,"mask":"","largeMask":"","maskKey":"","keyItemMaskOfField":null,"keyOptionIdReplace":"","relatedOptionIds":[],"onlineServices":[],"childCriteriaItemList":[],"clientContextJson":""},{"keyOptionId":"3605122","caption":"Other Specialty Retail","secondaryCaption":"","isDefault":false,"maskCriteriaOnly":false,"definition":"","keyProductQueryItem":"329082","comparisonOperation":0,"comparisonValue":"1711","minimumVersion":"","maximumVersion":"","formOrder":0,"lowerBound":null,"enabled":true,"mask":"","largeMask":"","maskKey":"","keyItemMaskOfField":null,"keyOptionIdReplace":"","relatedOptionIds":[],"onlineServices":[],"childCriteriaItemList":[],"clientContextJson":""},{"keyOptionId":"3605123","caption":"Automotive Retail","secondaryCaption":"","isDefault":false,"maskCriteriaOnly":false,"definition":"","keyProductQueryItem":"329082","comparisonOperation":0,"comparisonValue":"1736","minimumVersion":"","maximumVersion":"","formOrder":0,"lowerBound":null,"enabled":true,"mask":"","largeMask":"","maskKey":"","keyItemMaskOfField":null,"keyOptionIdReplace":"","relatedOptionIds":[],"onlineServices":[],"childCriteriaItemList":[],"clientContextJson":""},{"keyOptionId":"3605124","caption":"Homefurnishing Retail","secondaryCaption":"","isDefault":false,"maskCriteriaOnly":false,"definition":"","keyProductQueryItem":"329082","comparisonOperation":0,"comparisonValue":"1750","minimumVersion":"","maximumVersion":"","formOrder":0,"lowerBound":null,"enabled":true,"mask":"","largeMask":"","maskKey":"","keyItemMaskOfField":null,"keyOptionIdReplace":"","relatedOptionIds":[],"onlineServices":[],"childCriteriaItemList":[],"clientContextJson":""}],"clientContextJson":""}],"clientContextJson":""}],"clientContextJson":""},{"keyOptionId":"3605125","caption":"Consumer Stapl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3605126","caption":"Consumer Staples Distribution and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3605127","caption":"Consumer Staples Distribution and Retai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3605128","caption":"Drug Retail","secondaryCaption":"","isDefault":false,"maskCriteriaOnly":false,"definition":"","keyProductQueryItem":"329082","comparisonOperation":0,"comparisonValue":"1759","minimumVersion":"","maximumVersion":"","formOrder":0,"lowerBound":null,"enabled":true,"mask":"","lar</t>
  </si>
  <si>
    <t>geMask":"","maskKey":"","keyItemMaskOfField":null,"keyOptionIdReplace":"","relatedOptionIds":[],"onlineServices":[],"childCriteriaItemList":[],"clientContextJson":""},{"keyOptionId":"3605129","caption":"Food Distributors","secondaryCaption":"","isDefault":false,"maskCriteriaOnly":false,"definition":"","keyProductQueryItem":"329082","comparisonOperation":0,"comparisonValue":"1761","minimumVersion":"","maximumVersion":"","formOrder":0,"lowerBound":null,"enabled":true,"mask":"","largeMask":"","maskKey":"","keyItemMaskOfField":null,"keyOptionIdReplace":"","relatedOptionIds":[],"onlineServices":[],"childCriteriaItemList":[],"clientContextJson":""},{"keyOptionId":"3605130","caption":"Food Retail","secondaryCaption":"","isDefault":false,"maskCriteriaOnly":false,"definition":"","keyProductQueryItem":"329082","comparisonOperation":0,"comparisonValue":"1766","minimumVersion":"","maximumVersion":"","formOrder":0,"lowerBound":null,"enabled":true,"mask":"","largeMask":"","maskKey":"","keyItemMaskOfField":null,"keyOptionIdReplace":"","relatedOptionIds":[],"onlineServices":[],"childCriteriaItemList":[],"clientContextJson":""},{"keyOptionId":"3605131","caption":"Consumer Staples Merchandise Retail","secondaryCaption":"","isDefault":false,"maskCriteriaOnly":false,"definition":"","keyProductQueryItem":"329082","comparisonOperation":0,"comparisonValue":"1780","minimumVersion":"","maximumVersion":"","formOrder":0,"lowerBound":null,"enabled":true,"mask":"","largeMask":"","maskKey":"","keyItemMaskOfField":null,"keyOptionIdReplace":"","relatedOptionIds":[],"onlineServices":[],"childCriteriaItemList":[],"clientContextJson":""}],"clientContextJson":""}],"clientContextJson":""},{"keyOptionId":"3605132","caption":"Food, Beverage and Tobacco","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3605133","caption":"Beverag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3605134","caption":"Brewers","secondaryCaption":"","isDefault":false,"maskCriteriaOnly":false,"definition":"","keyProductQueryItem":"329082","comparisonOperation":0,"comparisonValue":"1785","minimumVersion":"","maximumVersion":"","formOrder":0,"lowerBound":null,"enabled":true,"mask":"","largeMask":"","maskKey":"","keyItemMaskOfField":null,"keyOptionIdReplace":"","relatedOptionIds":[],"onlineServices":[],"childCriteriaItemList":[],"clientContextJson":""},{"keyOptionId":"3605135","caption":"Distillers and Vintners","secondaryCaption":"","isDefault":false,"maskCriteriaOnly":false,"definition":"","keyProductQueryItem":"329082","comparisonOperation":0,"comparisonValue":"1787","minimumVersion":"","maximumVersion":"","formOrder":0,"lowerBound":null,"enabled":true,"mask":"","largeMask":"","maskKey":"","keyItemMaskOfField":null,"keyOptionIdReplace":"","relatedOptionIds":[],"onlineServices":[],"childCriteriaItemList":[],"clientContextJson":""},{"keyOptionId":"3605136","caption":"Soft Drinks and Non-alcoholic Beverages","secondaryCaption":"","isDefault":false,"maskCriteriaOnly":false,"definition":"","keyProductQueryItem":"329082","comparisonOperation":0,"comparisonValue":"1792","minimumVersion":"","maximumVersion":"","formOrder":0,"lowerBound":null,"enabled":true,"mask":"","largeMask":"","maskKey":"","keyItemMaskOfField":null,"keyOptionIdReplace":"","relatedOptionIds":[],"onlineServices":[],"childCriteriaItemList":[],"clientContextJson":""}],"clientContextJson":""},{"keyOptionId":"3605137","caption":"Food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3605138","caption":"Agricultural Products and Services","secondaryCaption":"","isDefault":false,"maskCriteriaOnly":false,"definition":"","keyProductQueryItem":"329082","comparisonOperation":0,"comparisonValue":"1804","minimumVersion":"","maximumVersion":"","formOrder":0,"lowerBound":null,"enabled":true,"mask":"","largeMask":"","maskKey":"","keyItemMaskOfField":null,"keyOptionIdReplace":"","relatedOptionIds":[],"onlineServices":[],"childCriteriaItemList":[],"clientContextJson":""},{"keyOptionId":"3605139","caption":"Packaged Foods and Meats","secondaryCaption":"","isDefault":false,"maskCriteriaOnly":false,"definition":"","keyProductQueryItem":"329082","comparisonOperation":0,"comparisonValue":"1834","minimumVersion":"","maximumVersion":"","formOrder":0,"lowerBound":null,"enabled":true,"mask":"","largeMask":"","maskKey":"","keyItemMaskOfField":null,"keyOptionIdReplace":"","relatedOptionIds":[],"onlineServices":[],"childCriteriaItemList":[],"clientContextJson":""}],"clientContextJson":""},{"keyOptionId":"3605140","caption":"Tobacco","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3605141","caption":"Tobacco","secondaryCaption":"","isDefault":false,"maskCriteriaOnly":false,"definition":"","keyProductQueryItem":"329082","comparisonOperation":0,"comparisonValue":"1949","minimumVersion":"","maximumVersion":"","formOrder":0,"lowerBound":null,"enabled":true,"mask":"","largeMask":"","maskKey":"","keyItemMaskOfField":null,"keyOptionIdReplace":"","relatedOptionIds":[],"onlineServices":[],"childCriteriaItemList":[],"clientContextJson":""}],"clientContextJson":""}],"clientContextJson":""},{"keyOptionId":"3605142","caption":"Household and Personal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3605143","caption":"Household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3605144","caption":"Household Products","secondaryCaption":"","isDefault":false,"maskCriteriaOnly":false,"definition":"","keyProductQueryItem":"329082","comparisonOperation":0,"comparisonValue":"1956","minimumVersion":"","maximumVersion":"","formOrd</t>
  </si>
  <si>
    <t>er":0,"lowerBound":null,"enabled":true,"mask":"","largeMask":"","maskKey":"","keyItemMaskOfField":null,"keyOptionIdReplace":"","relatedOptionIds":[],"onlineServices":[],"childCriteriaItemList":[],"clientContextJson":""}],"clientContextJson":""},{"keyOptionId":"3605145","caption":"Personal Care Produc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3605146","caption":"Personal Care Products","secondaryCaption":"","isDefault":false,"maskCriteriaOnly":false,"definition":"","keyProductQueryItem":"329082","comparisonOperation":0,"comparisonValue":"1982","minimumVersion":"","maximumVersion":"","formOrder":0,"lowerBound":null,"enabled":true,"mask":"","largeMask":"","maskKey":"","keyItemMaskOfField":null,"keyOptionIdReplace":"","relatedOptionIds":[],"onlineServices":[],"childCriteriaItemList":[],"clientContextJson":""}],"clientContextJson":""}],"clientContextJson":""}],"clientContextJson":""},{"keyOptionId":"3605147","caption":"Health Ca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3605148","caption":"Health Care Equipment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3605149","caption":"Health Care Equipment and Suppl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3605150","caption":"Health Care Equipment","secondaryCaption":"","isDefault":false,"maskCriteriaOnly":false,"definition":"","keyProductQueryItem":"329082","comparisonOperation":0,"comparisonValue":"2003","minimumVersion":"","maximumVersion":"","formOrder":0,"lowerBound":null,"enabled":true,"mask":"","largeMask":"","maskKey":"","keyItemMaskOfField":null,"keyOptionIdReplace":"","relatedOptionIds":[],"onlineServices":[],"childCriteriaItemList":[],"clientContextJson":""},{"keyOptionId":"3605151","caption":"Health Care Supplies","secondaryCaption":"","isDefault":false,"maskCriteriaOnly":false,"definition":"","keyProductQueryItem":"329082","comparisonOperation":0,"comparisonValue":"2063","minimumVersion":"","maximumVersion":"","formOrder":0,"lowerBound":null,"enabled":true,"mask":"","largeMask":"","maskKey":"","keyItemMaskOfField":null,"keyOptionIdReplace":"","relatedOptionIds":[],"onlineServices":[],"childCriteriaItemList":[],"clientContextJson":""}],"clientContextJson":""},{"keyOptionId":"3605152","caption":"Health Care Providers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3605153","caption":"Health Care Distributors","secondaryCaption":"","isDefault":false,"maskCriteriaOnly":false,"definition":"","keyProductQueryItem":"329082","comparisonOperation":0,"comparisonValue":"2085","minimumVersion":"","maximumVersion":"","formOrder":0,"lowerBound":null,"enabled":true,"mask":"","largeMask":"","maskKey":"","keyItemMaskOfField":null,"keyOptionIdReplace":"","relatedOptionIds":[],"onlineServices":[],"childCriteriaItemList":[],"clientContextJson":""},{"keyOptionId":"3605154","caption":"Health Care Services","secondaryCaption":"","isDefault":false,"maskCriteriaOnly":false,"definition":"","keyProductQueryItem":"329082","comparisonOperation":0,"comparisonValue":"2088","minimumVersion":"","maximumVersion":"","formOrder":0,"lowerBound":null,"enabled":true,"mask":"","largeMask":"","maskKey":"","keyItemMaskOfField":null,"keyOptionIdReplace":"","relatedOptionIds":[],"onlineServices":[],"childCriteriaItemList":[],"clientContextJson":""},{"keyOptionId":"3605155","caption":"Health Care Facilities","secondaryCaption":"","isDefault":false,"maskCriteriaOnly":false,"definition":"","keyProductQueryItem":"329082","comparisonOperation":0,"comparisonValue":"2124","minimumVersion":"","maximumVersion":"","formOrder":0,"lowerBound":null,"enabled":true,"mask":"","largeMask":"","maskKey":"","keyItemMaskOfField":null,"keyOptionIdReplace":"","relatedOptionIds":[],"onlineServices":[],"childCriteriaItemList":[],"clientContextJson":""},{"keyOptionId":"3605156","caption":"Managed Health Care","secondaryCaption":"","isDefault":false,"maskCriteriaOnly":false,"definition":"","keyProductQueryItem":"329082","comparisonOperation":0,"comparisonValue":"2145","minimumVersion":"","maximumVersion":"","formOrder":0,"lowerBound":null,"enabled":true,"mask":"","largeMask":"","maskKey":"","keyItemMaskOfField":null,"keyOptionIdReplace":"","relatedOptionIds":[],"onlineServices":[],"childCriteriaItemList":[],"clientContextJson":""}],"clientContextJson":""},{"keyOptionId":"3605157","caption":"Health Care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3605158","caption":"Health Care Technology","secondaryCaption":"","isDefault":false,"maskCriteriaOnly":false,"definition":"","keyProductQueryItem":"329082","comparisonOperation":0,"comparisonValue":"2150","minimumVersion":"","maximumVersion":"","formOrder":0,"lowerBound":null,"enabled":true,"mask":"","largeMask":"","maskKey":"","keyItemMaskOfField":null,"keyOptionIdReplace":"","relatedOptionIds":[],"onlineServices":[],"childCriteriaItemList":[],"clientContextJson":""}],"clientContextJson":""}],"clientContextJson":""},{"keyOptionId":"3605159","caption":"Pharmaceuticals, Biotechnology and Life Scien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3605160","caption":"Biotechnology","secondaryCaption":"","isDefault":false,"maskCriteriaOnly":true,"defini</t>
  </si>
  <si>
    <t>tion":"","keyProductQueryItem":"","comparisonOperation":null,"comparisonValue":"","minimumVersion":"","maximumVersion":"","formOrder":0,"lowerBound":null,"enabled":true,"mask":"","largeMask":"","maskKey":"","keyItemMaskOfField":null,"keyOptionIdReplace":"","relatedOptionIds":[],"onlineServices":[],"childCriteriaItemList":[{"keyOptionId":"3605161","caption":"Biotechnology","secondaryCaption":"","isDefault":false,"maskCriteriaOnly":false,"definition":"","keyProductQueryItem":"329082","comparisonOperation":0,"comparisonValue":"2154","minimumVersion":"","maximumVersion":"","formOrder":0,"lowerBound":null,"enabled":true,"mask":"","largeMask":"","maskKey":"","keyItemMaskOfField":null,"keyOptionIdReplace":"","relatedOptionIds":[],"onlineServices":[],"childCriteriaItemList":[],"clientContextJson":""}],"clientContextJson":""},{"keyOptionId":"3605162","caption":"Pharmaceutic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3605163","caption":"Pharmaceuticals","secondaryCaption":"","isDefault":false,"maskCriteriaOnly":false,"definition":"","keyProductQueryItem":"329082","comparisonOperation":0,"comparisonValue":"2169","minimumVersion":"","maximumVersion":"","formOrder":0,"lowerBound":null,"enabled":true,"mask":"","largeMask":"","maskKey":"","keyItemMaskOfField":null,"keyOptionIdReplace":"","relatedOptionIds":[],"onlineServices":[],"childCriteriaItemList":[],"clientContextJson":""}],"clientContextJson":""},{"keyOptionId":"3605164","caption":"Life Sciences Tools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3605165","caption":"Life Sciences Tools and Services","secondaryCaption":"","isDefault":false,"maskCriteriaOnly":false,"definition":"","keyProductQueryItem":"329082","comparisonOperation":0,"comparisonValue":"2194","minimumVersion":"","maximumVersion":"","formOrder":0,"lowerBound":null,"enabled":true,"mask":"","largeMask":"","maskKey":"","keyItemMaskOfField":null,"keyOptionIdReplace":"","relatedOptionIds":[],"onlineServices":[],"childCriteriaItemList":[],"clientContextJson":""}],"clientContextJson":""}],"clientContextJson":""}],"clientContextJson":""},{"keyOptionId":"3605166","caption":"Financi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3605167","caption":"Bank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3605168","caption":"Bank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3605169","caption":"Diversified Banks","secondaryCaption":"","isDefault":false,"maskCriteriaOnly":false,"definition":"","keyProductQueryItem":"329082","comparisonOperation":0,"comparisonValue":"2198","minimumVersion":"","maximumVersion":"","formOrder":0,"lowerBound":null,"enabled":true,"mask":"","largeMask":"","maskKey":"","keyItemMaskOfField":null,"keyOptionIdReplace":"","relatedOptionIds":[],"onlineServices":[],"childCriteriaItemList":[],"clientContextJson":""},{"keyOptionId":"3605170","caption":"Regional Banks","secondaryCaption":"","isDefault":false,"maskCriteriaOnly":false,"definition":"","keyProductQueryItem":"329082","comparisonOperation":0,"comparisonValue":"2206","minimumVersion":"","maximumVersion":"","formOrder":0,"lowerBound":null,"enabled":true,"mask":"","largeMask":"","maskKey":"","keyItemMaskOfField":null,"keyOptionIdReplace":"","relatedOptionIds":[],"onlineServices":[],"childCriteriaItemList":[],"clientContextJson":""}],"clientContextJson":""}],"clientContextJson":""},{"keyOptionId":"3605173","caption":"Financi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3605174","caption":"Financial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3605175","caption":"Diversified Financial Services","secondaryCaption":"","isDefault":false,"maskCriteriaOnly":false,"definition":"","keyProductQueryItem":"329082","comparisonOperation":0,"comparisonValue":"2224","minimumVersion":"","maximumVersion":"","formOrder":0,"lowerBound":null,"enabled":true,"mask":"","largeMask":"","maskKey":"","keyItemMaskOfField":null,"keyOptionIdReplace":"","relatedOptionIds":[],"onlineServices":[],"childCriteriaItemList":[],"clientContextJson":""},{"keyOptionId":"3605176","caption":"Multi-Sector Holdings","secondaryCaption":"","isDefault":false,"maskCriteriaOnly":false,"definition":"","keyProductQueryItem":"329082","comparisonOperation":0,"comparisonValue":"2226","minimumVersion":"","maximumVersion":"","formOrder":0,"lowerBound":null,"enabled":true,"mask":"","largeMask":"","maskKey":"","keyItemMaskOfField":null,"keyOptionIdReplace":"","relatedOptionIds":[],"onlineServices":[],"childCriteriaItemList":[],"clientContextJson":""},{"keyOptionId":"3605177","caption":"Specialized Finance","secondaryCaption":"","isDefault":false,"maskCriteriaOnly":false,"definition":"","keyProductQueryItem":"329082","comparisonOperation":0,"comparisonValue":"2235","minimumVersion":"","maximumVersion":"","formOrder":0,"lowerBound":null,"enabled":true,"mask":"","largeMask":"","maskKey":"","keyItemMaskOfField":null,"keyOptionIdReplace":"","relatedOptionIds":[],"onlineServices":[],"childCriteriaItemList":[],"clientContextJson":""},{"keyOptionId":"3605172","caption":"Commercial and Residential Mortgage Finance","secondaryCaption":"","isDefault":false,"maskCriteriaOnly":false,"definit</t>
  </si>
  <si>
    <t>ion":"","keyProductQueryItem":"329082","comparisonOperation":0,"comparisonValue":"2212","minimumVersion":"","maximumVersion":"","formOrder":0,"lowerBound":null,"enabled":true,"mask":"","largeMask":"","maskKey":"","keyItemMaskOfField":null,"keyOptionIdReplace":"","relatedOptionIds":[],"onlineServices":[],"childCriteriaItemList":[],"clientContextJson":""},{"keyOptionId":"92915","caption":"Transaction and Payment Processing Services","secondaryCaption":"","isDefault":false,"maskCriteriaOnly":false,"definition":"","keyProductQueryItem":"329082","comparisonOperation":0,"comparisonValue":"2933","minimumVersion":"","maximumVersion":"","formOrder":0,"lowerBound":null,"enabled":true,"mask":"","largeMask":"","maskKey":"","keyItemMaskOfField":null,"keyOptionIdReplace":"","relatedOptionIds":[],"onlineServices":[],"childCriteriaItemList":[],"clientContextJson":""}],"clientContextJson":""},{"keyOptionId":"3605178","caption":"Consumer Fin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3605179","caption":"Consumer Finance","secondaryCaption":"","isDefault":false,"maskCriteriaOnly":false,"definition":"","keyProductQueryItem":"329082","comparisonOperation":0,"comparisonValue":"2254","minimumVersion":"","maximumVersion":"","formOrder":0,"lowerBound":null,"enabled":true,"mask":"","largeMask":"","maskKey":"","keyItemMaskOfField":null,"keyOptionIdReplace":"","relatedOptionIds":[],"onlineServices":[],"childCriteriaItemList":[],"clientContextJson":""}],"clientContextJson":""},{"keyOptionId":"3605180","caption":"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3605181","caption":"Asset Management and Custody Banks","secondaryCaption":"","isDefault":false,"maskCriteriaOnly":false,"definition":"","keyProductQueryItem":"329082","comparisonOperation":0,"comparisonValue":"2270","minimumVersion":"","maximumVersion":"","formOrder":0,"lowerBound":null,"enabled":true,"mask":"","largeMask":"","maskKey":"","keyItemMaskOfField":null,"keyOptionIdReplace":"","relatedOptionIds":[],"onlineServices":[],"childCriteriaItemList":[],"clientContextJson":""},{"keyOptionId":"3605182","caption":"Investment Banking and Brokerage","secondaryCaption":"","isDefault":false,"maskCriteriaOnly":false,"definition":"","keyProductQueryItem":"329082","comparisonOperation":0,"comparisonValue":"2279","minimumVersion":"","maximumVersion":"","formOrder":0,"lowerBound":null,"enabled":true,"mask":"","largeMask":"","maskKey":"","keyItemMaskOfField":null,"keyOptionIdReplace":"","relatedOptionIds":[],"onlineServices":[],"childCriteriaItemList":[],"clientContextJson":""},{"keyOptionId":"3605183","caption":"Diversified Capital Markets","secondaryCaption":"","isDefault":false,"maskCriteriaOnly":false,"definition":"","keyProductQueryItem":"329082","comparisonOperation":0,"comparisonValue":"2298","minimumVersion":"","maximumVersion":"","formOrder":0,"lowerBound":null,"enabled":true,"mask":"","largeMask":"","maskKey":"","keyItemMaskOfField":null,"keyOptionIdReplace":"","relatedOptionIds":[],"onlineServices":[],"childCriteriaItemList":[],"clientContextJson":""},{"keyOptionId":"3605184","caption":"Financial Exchanges and Data","secondaryCaption":"","isDefault":false,"maskCriteriaOnly":false,"definition":"","keyProductQueryItem":"329082","comparisonOperation":0,"comparisonValue":"2299","minimumVersion":"","maximumVersion":"","formOrder":0,"lowerBound":null,"enabled":true,"mask":"","largeMask":"","maskKey":"","keyItemMaskOfField":null,"keyOptionIdReplace":"","relatedOptionIds":[],"onlineServices":[],"childCriteriaItemList":[],"clientContextJson":""}],"clientContextJson":""},{"keyOptionId":"3605185","caption":"Mortgage Real Estate Investment Trusts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3605186","caption":"Mortgage REITs","secondaryCaption":"","isDefault":false,"maskCriteriaOnly":false,"definition":"","keyProductQueryItem":"329082","comparisonOperation":0,"comparisonValue":"2303","minimumVersion":"","maximumVersion":"","formOrder":0,"lowerBound":null,"enabled":true,"mask":"","largeMask":"","maskKey":"","keyItemMaskOfField":null,"keyOptionIdReplace":"","relatedOptionIds":[],"onlineServices":[],"childCriteriaItemList":[],"clientContextJson":""}],"clientContextJson":""}],"clientContextJson":""},{"keyOptionId":"3605187","caption":"Insur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3605188","caption":"Insuranc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3605189","caption":"Insurance Brokers","secondaryCaption":"","isDefault":false,"maskCriteriaOnly":false,"definition":"","keyProductQueryItem":"329082","comparisonOperation":0,"comparisonValue":"2306","minimumVersion":"","maximumVersion":"","formOrder":0,"lowerBound":null,"enabled":true,"mask":"","largeMask":"","maskKey":"","keyItemMaskOfField":null,"keyOptionIdReplace":"","relatedOptionIds":[],"onlineServices":[],"childCriteriaItemList":[],"clientContextJson":""},{"keyOptionId":"3605190","caption":"Life and Health Insurance","secondaryCaption":"","isDefault":false,"maskCriteriaOnly":false,"definition":"","keyProductQueryItem":"329082","comparisonOperation":0,"comparisonValue":"2309","minimumVersion":"","maximumVersion":"","formOrder":0,"lowerBound":null,"enabled":true,"mask":"","largeMask":"","maskKey":"","keyItemMaskOfField":null,"keyOptionIdReplace":"","relatedOptionIds":[],"onlineServices":[],"childCriteriaItemList":[],"clientContextJson":""},{"keyOptionId":"3605191","caption":"Multi-line Insurance","secondaryCaption":"","isDefault":false,"maskCriteriaOnly":false,"definition":"","keyProductQueryItem":"329082","comparisonOperation":0,"comparisonValue":"2315","minimumVersion":"","maximumVersion":"","formOrder":0,"lowerBound":null,"enabled":true,"mask":"","largeMask":"","maskKey":"","keyItemMaskOfField":null,"keyOptionIdReplace":"","relatedOptionIds":[],"onlineServices":[],"childCriteriaItemList":[],"clientContextJson":""},{"keyOptionId":"360</t>
  </si>
  <si>
    <t>5192","caption":"Property and Casualty Insurance","secondaryCaption":"","isDefault":false,"maskCriteriaOnly":false,"definition":"","keyProductQueryItem":"329082","comparisonOperation":0,"comparisonValue":"2316","minimumVersion":"","maximumVersion":"","formOrder":0,"lowerBound":null,"enabled":true,"mask":"","largeMask":"","maskKey":"","keyItemMaskOfField":null,"keyOptionIdReplace":"","relatedOptionIds":[],"onlineServices":[],"childCriteriaItemList":[],"clientContextJson":""},{"keyOptionId":"3605193","caption":"Reinsurance","secondaryCaption":"","isDefault":false,"maskCriteriaOnly":false,"definition":"","keyProductQueryItem":"329082","comparisonOperation":0,"comparisonValue":"2332","minimumVersion":"","maximumVersion":"","formOrder":0,"lowerBound":null,"enabled":true,"mask":"","largeMask":"","maskKey":"","keyItemMaskOfField":null,"keyOptionIdReplace":"","relatedOptionIds":[],"onlineServices":[],"childCriteriaItemList":[],"clientContextJson":""}],"clientContextJson":""}],"clientContextJson":""}],"clientContextJson":""},{"keyOptionId":"3605194","caption":"Information Technology","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3605195","caption":"Software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3605196","caption":"IT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3605197","caption":"IT Consulting and Other Services","secondaryCaption":"","isDefault":false,"maskCriteriaOnly":false,"definition":"","keyProductQueryItem":"329082","comparisonOperation":0,"comparisonValue":"2409","minimumVersion":"","maximumVersion":"","formOrder":0,"lowerBound":null,"enabled":true,"mask":"","largeMask":"","maskKey":"","keyItemMaskOfField":null,"keyOptionIdReplace":"","relatedOptionIds":[],"onlineServices":[],"childCriteriaItemList":[],"clientContextJson":""},{"keyOptionId":"3605199","caption":"Internet Services and Infrastructure","secondaryCaption":"","isDefault":false,"maskCriteriaOnly":false,"definition":"","keyProductQueryItem":"329082","comparisonOperation":0,"comparisonValue":"2931","minimumVersion":"","maximumVersion":"","formOrder":0,"lowerBound":null,"enabled":true,"mask":"","largeMask":"","maskKey":"","keyItemMaskOfField":null,"keyOptionIdReplace":"","relatedOptionIds":[],"onlineServices":[],"childCriteriaItemList":[],"clientContextJson":""}],"clientContextJson":""},{"keyOptionId":"3605200","caption":"Softwar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3605201","caption":"Application Software","secondaryCaption":"","isDefault":false,"maskCriteriaOnly":false,"definition":"","keyProductQueryItem":"329082","comparisonOperation":0,"comparisonValue":"2459","minimumVersion":"","maximumVersion":"","formOrder":0,"lowerBound":null,"enabled":true,"mask":"","largeMask":"","maskKey":"","keyItemMaskOfField":null,"keyOptionIdReplace":"","relatedOptionIds":[],"onlineServices":[],"childCriteriaItemList":[],"clientContextJson":""},{"keyOptionId":"3605202","caption":"Systems Software","secondaryCaption":"","isDefault":false,"maskCriteriaOnly":false,"definition":"","keyProductQueryItem":"329082","comparisonOperation":0,"comparisonValue":"2581","minimumVersion":"","maximumVersion":"","formOrder":0,"lowerBound":null,"enabled":true,"mask":"","largeMask":"","maskKey":"","keyItemMaskOfField":null,"keyOptionIdReplace":"","relatedOptionIds":[],"onlineServices":[],"childCriteriaItemList":[],"clientContextJson":""}],"clientContextJson":""}],"clientContextJson":""},{"keyOptionId":"3605203","caption":"Technology Hardware and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3605204","caption":"Communications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3605205","caption":"Communications Equipment","secondaryCaption":"","isDefault":false,"maskCriteriaOnly":false,"definition":"","keyProductQueryItem":"329082","comparisonOperation":0,"comparisonValue":"2643","minimumVersion":"","maximumVersion":"","formOrder":0,"lowerBound":null,"enabled":true,"mask":"","largeMask":"","maskKey":"","keyItemMaskOfField":null,"keyOptionIdReplace":"","relatedOptionIds":[],"onlineServices":[],"childCriteriaItemList":[],"clientContextJson":""}],"clientContextJson":""},{"keyOptionId":"3605206","caption":"Technology Hardware, Storage and Peripheral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3605207","caption":"Technology Hardware, Storage and Peripherals","secondaryCaption":"","isDefault":false,"maskCriteriaOnly":false,"definition":"","keyProductQueryItem":"329082","comparisonOperation":0,"comparisonValue":"2693","minimumVersion":"","maximumVersion":"","formOrder":0,"lowerBound":null,"enabled":true,"mask":"","largeMask":"","maskKey":"","keyItemMaskOfField":null,"keyOptionIdReplace":"","relatedOptionIds":[],"onlineServices":[],"childCriteriaItemList":[],"clientContextJson":""}],"clientContextJson":""},{"keyOptionId":"3605208","caption":"Electronic Equipment, Instruments and Components","secondaryCaption":"","isDefault":false,"maskCriteriaOnly":true,"definition":"","keyProductQueryItem":"","comparisonOperation":null,"comparisonValue":"","minimumVersion":"","maximumVersion":"","formOrder":0,"lowerBound":null,"enabled":true,"mask":"","largeMask":"","maskKey</t>
  </si>
  <si>
    <t>":"","keyItemMaskOfField":null,"keyOptionIdReplace":"","relatedOptionIds":[],"onlineServices":[],"childCriteriaItemList":[{"keyOptionId":"3605209","caption":"Electronic Equipment and Instruments","secondaryCaption":"","isDefault":false,"maskCriteriaOnly":false,"definition":"","keyProductQueryItem":"329082","comparisonOperation":0,"comparisonValue":"2736","minimumVersion":"","maximumVersion":"","formOrder":0,"lowerBound":null,"enabled":true,"mask":"","largeMask":"","maskKey":"","keyItemMaskOfField":null,"keyOptionIdReplace":"","relatedOptionIds":[],"onlineServices":[],"childCriteriaItemList":[],"clientContextJson":""},{"keyOptionId":"3605210","caption":"Electronic Components","secondaryCaption":"","isDefault":false,"maskCriteriaOnly":false,"definition":"","keyProductQueryItem":"329082","comparisonOperation":0,"comparisonValue":"2757","minimumVersion":"","maximumVersion":"","formOrder":0,"lowerBound":null,"enabled":true,"mask":"","largeMask":"","maskKey":"","keyItemMaskOfField":null,"keyOptionIdReplace":"","relatedOptionIds":[],"onlineServices":[],"childCriteriaItemList":[],"clientContextJson":""},{"keyOptionId":"3605211","caption":"Electronic Manufacturing Services","secondaryCaption":"","isDefault":false,"maskCriteriaOnly":false,"definition":"","keyProductQueryItem":"329082","comparisonOperation":0,"comparisonValue":"2774","minimumVersion":"","maximumVersion":"","formOrder":0,"lowerBound":null,"enabled":true,"mask":"","largeMask":"","maskKey":"","keyItemMaskOfField":null,"keyOptionIdReplace":"","relatedOptionIds":[],"onlineServices":[],"childCriteriaItemList":[],"clientContextJson":""},{"keyOptionId":"3605212","caption":"Technology Distributors","secondaryCaption":"","isDefault":false,"maskCriteriaOnly":false,"definition":"","keyProductQueryItem":"329082","comparisonOperation":0,"comparisonValue":"2790","minimumVersion":"","maximumVersion":"","formOrder":0,"lowerBound":null,"enabled":true,"mask":"","largeMask":"","maskKey":"","keyItemMaskOfField":null,"keyOptionIdReplace":"","relatedOptionIds":[],"onlineServices":[],"childCriteriaItemList":[],"clientContextJson":""}],"clientContextJson":""}],"clientContextJson":""},{"keyOptionId":"3605213","caption":"Semiconductors and Semiconductor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3605214","caption":"Semiconductors and Semiconductor Equi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3605215","caption":"Semiconductor Materials and Equipment","secondaryCaption":"","isDefault":false,"maskCriteriaOnly":false,"definition":"","keyProductQueryItem":"329082","comparisonOperation":0,"comparisonValue":"2798","minimumVersion":"","maximumVersion":"","formOrder":0,"lowerBound":null,"enabled":true,"mask":"","largeMask":"","maskKey":"","keyItemMaskOfField":null,"keyOptionIdReplace":"","relatedOptionIds":[],"onlineServices":[],"childCriteriaItemList":[],"clientContextJson":""},{"keyOptionId":"3605216","caption":"Semiconductors","secondaryCaption":"","isDefault":false,"maskCriteriaOnly":false,"definition":"","keyProductQueryItem":"329082","comparisonOperation":0,"comparisonValue":"2808","minimumVersion":"","maximumVersion":"","formOrder":0,"lowerBound":null,"enabled":true,"mask":"","largeMask":"","maskKey":"","keyItemMaskOfField":null,"keyOptionIdReplace":"","relatedOptionIds":[],"onlineServices":[],"childCriteriaItemList":[],"clientContextJson":""}],"clientContextJson":""}],"clientContextJson":""}],"clientContextJson":""},{"keyOptionId":"3605217","caption":"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3605229","caption":"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3605230","caption":"Diversified 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3605231","caption":"Alternative Carriers","secondaryCaption":"","isDefault":false,"maskCriteriaOnly":false,"definition":"","keyProductQueryItem":"329082","comparisonOperation":0,"comparisonValue":"2823","minimumVersion":"","maximumVersion":"","formOrder":0,"lowerBound":null,"enabled":true,"mask":"","largeMask":"","maskKey":"","keyItemMaskOfField":null,"keyOptionIdReplace":"","relatedOptionIds":[],"onlineServices":[],"childCriteriaItemList":[],"clientContextJson":""},{"keyOptionId":"3605232","caption":"Integrated Telecommunication Services","secondaryCaption":"","isDefault":false,"maskCriteriaOnly":false,"definition":"","keyProductQueryItem":"329082","comparisonOperation":0,"comparisonValue":"2833","minimumVersion":"","maximumVersion":"","formOrder":0,"lowerBound":null,"enabled":true,"mask":"","largeMask":"","maskKey":"","keyItemMaskOfField":null,"keyOptionIdReplace":"","relatedOptionIds":[],"onlineServices":[],"childCriteriaItemList":[],"clientContextJson":""}],"clientContextJson":""},{"keyOptionId":"3605233","caption":"Wireless Telecommunication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3605234","caption":"Wireless Telecommunication Services","secondaryCaption":"","isDefault":false,"maskCriteriaOnly":false,"definition":"","keyProductQueryItem":"329082","comparisonOperation":0,"comparisonValue":"2848","minimumVersion":"","maximumVersion":"","formOrder":0,"lowerBound":null,"enabled":true,"mask":"","largeMask":"","maskKey":"","keyItemMaskOfField":null,"keyOptionIdReplace":"","relatedOptionIds":[],"onlineServices":[],"childCriteriaItemList":[],"clientContextJson":""}],"clientContextJson":""}],"clientContextJson":""},{"keyOptionId":"3605218","caption":"Media and Entertainment","secondaryCaption":"","isDefault":false</t>
  </si>
  <si>
    <t>,"maskCriteriaOnly":true,"definition":"","keyProductQueryItem":"","comparisonOperation":null,"comparisonValue":"","minimumVersion":"","maximumVersion":"","formOrder":0,"lowerBound":null,"enabled":true,"mask":"","largeMask":"","maskKey":"","keyItemMaskOfField":null,"keyOptionIdReplace":"","relatedOptionIds":[],"onlineServices":[],"childCriteriaItemList":[{"keyOptionId":"3605219","caption":"Medi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3605220","caption":"Advertising","secondaryCaption":"","isDefault":false,"maskCriteriaOnly":false,"definition":"","keyProductQueryItem":"329082","comparisonOperation":0,"comparisonValue":"1447","minimumVersion":"","maximumVersion":"","formOrder":0,"lowerBound":null,"enabled":true,"mask":"","largeMask":"","maskKey":"","keyItemMaskOfField":null,"keyOptionIdReplace":"","relatedOptionIds":[],"onlineServices":[],"childCriteriaItemList":[],"clientContextJson":""},{"keyOptionId":"3605221","caption":"Broadcasting","secondaryCaption":"","isDefault":false,"maskCriteriaOnly":false,"definition":"","keyProductQueryItem":"329082","comparisonOperation":0,"comparisonValue":"1470","minimumVersion":"","maximumVersion":"","formOrder":0,"lowerBound":null,"enabled":true,"mask":"","largeMask":"","maskKey":"","keyItemMaskOfField":null,"keyOptionIdReplace":"","relatedOptionIds":[],"onlineServices":[],"childCriteriaItemList":[],"clientContextJson":""},{"keyOptionId":"3605222","caption":"Cable and Satellite","secondaryCaption":"","isDefault":false,"maskCriteriaOnly":false,"definition":"","keyProductQueryItem":"329082","comparisonOperation":0,"comparisonValue":"1481","minimumVersion":"","maximumVersion":"","formOrder":0,"lowerBound":null,"enabled":true,"mask":"","largeMask":"","maskKey":"","keyItemMaskOfField":null,"keyOptionIdReplace":"","relatedOptionIds":[],"onlineServices":[],"childCriteriaItemList":[],"clientContextJson":""},{"keyOptionId":"3605223","caption":"Publishing","secondaryCaption":"","isDefault":false,"maskCriteriaOnly":false,"definition":"","keyProductQueryItem":"329082","comparisonOperation":0,"comparisonValue":"1526","minimumVersion":"","maximumVersion":"","formOrder":0,"lowerBound":null,"enabled":true,"mask":"","largeMask":"","maskKey":"","keyItemMaskOfField":null,"keyOptionIdReplace":"","relatedOptionIds":[],"onlineServices":[],"childCriteriaItemList":[],"clientContextJson":""}],"clientContextJson":""},{"keyOptionId":"3605224","caption":"Entertain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3605225","caption":"Movies and Entertainment","secondaryCaption":"","isDefault":false,"maskCriteriaOnly":false,"definition":"","keyProductQueryItem":"329082","comparisonOperation":0,"comparisonValue":"1487","minimumVersion":"","maximumVersion":"","formOrder":0,"lowerBound":null,"enabled":true,"mask":"","largeMask":"","maskKey":"","keyItemMaskOfField":null,"keyOptionIdReplace":"","relatedOptionIds":[],"onlineServices":[],"childCriteriaItemList":[],"clientContextJson":""},{"keyOptionId":"3605226","caption":"Interactive Home Entertainment","secondaryCaption":"","isDefault":false,"maskCriteriaOnly":false,"definition":"","keyProductQueryItem":"329082","comparisonOperation":0,"comparisonValue":"2633","minimumVersion":"","maximumVersion":"","formOrder":0,"lowerBound":null,"enabled":true,"mask":"","largeMask":"","maskKey":"","keyItemMaskOfField":null,"keyOptionIdReplace":"","relatedOptionIds":[],"onlineServices":[],"childCriteriaItemList":[],"clientContextJson":""}],"clientContextJson":""},{"keyOptionId":"3605227","caption":"Interactive Media and Servic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3605228","caption":"Interactive Media and Services","secondaryCaption":"","isDefault":false,"maskCriteriaOnly":false,"definition":"","keyProductQueryItem":"329082","comparisonOperation":0,"comparisonValue":"2930","minimumVersion":"","maximumVersion":"","formOrder":0,"lowerBound":null,"enabled":true,"mask":"","largeMask":"","maskKey":"","keyItemMaskOfField":null,"keyOptionIdReplace":"","relatedOptionIds":[],"onlineServices":[],"childCriteriaItemList":[],"clientContextJson":""}],"clientContextJson":""}],"clientContextJson":""}],"clientContextJson":""},{"keyOptionId":"3605235","caption":"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3605236","caption":"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3605237","caption":"Electric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3605238","caption":"Electric Utilities","secondaryCaption":"","isDefault":false,"maskCriteriaOnly":false,"definition":"","keyProductQueryItem":"329082","comparisonOperation":0,"comparisonValue":"2859","minimumVersion":"","maximumVersion":"","formOrder":0,"lowerBound":null,"enabled":true,"mask":"","largeMask":"","maskKey":"","keyItemMaskOfField":null,"keyOptionIdReplace":"","relatedOptionIds":[],"onlineServices":[],"childCriteriaItemList":[],"clientContextJson":""}],"clientContextJson":""},{"keyOptionId":"3605239","caption":"Gas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3605240","caption":"Gas Utilities","secondaryCaption":"","isDefault":false,"maskCriteriaOnly":false,"definition":"","keyProductQueryItem":"32908</t>
  </si>
  <si>
    <t>2","comparisonOperation":0,"comparisonValue":"2865","minimumVersion":"","maximumVersion":"","formOrder":0,"lowerBound":null,"enabled":true,"mask":"","largeMask":"","maskKey":"","keyItemMaskOfField":null,"keyOptionIdReplace":"","relatedOptionIds":[],"onlineServices":[],"childCriteriaItemList":[],"clientContextJson":""}],"clientContextJson":""},{"keyOptionId":"3605241","caption":"Multi-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3605242","caption":"Multi-Utilities","secondaryCaption":"","isDefault":false,"maskCriteriaOnly":false,"definition":"","keyProductQueryItem":"329082","comparisonOperation":0,"comparisonValue":"2869","minimumVersion":"","maximumVersion":"","formOrder":0,"lowerBound":null,"enabled":true,"mask":"","largeMask":"","maskKey":"","keyItemMaskOfField":null,"keyOptionIdReplace":"","relatedOptionIds":[],"onlineServices":[],"childCriteriaItemList":[],"clientContextJson":""}],"clientContextJson":""},{"keyOptionId":"3605243","caption":"Water Utilitie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3605244","caption":"Water Utilities","secondaryCaption":"","isDefault":false,"maskCriteriaOnly":false,"definition":"","keyProductQueryItem":"329082","comparisonOperation":0,"comparisonValue":"2871","minimumVersion":"","maximumVersion":"","formOrder":0,"lowerBound":null,"enabled":true,"mask":"","largeMask":"","maskKey":"","keyItemMaskOfField":null,"keyOptionIdReplace":"","relatedOptionIds":[],"onlineServices":[],"childCriteriaItemList":[],"clientContextJson":""}],"clientContextJson":""},{"keyOptionId":"3605245","caption":"Independent Power &amp; Renewable Electricity Producer","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3605246","caption":"Independent Power Producers and Energy Traders","secondaryCaption":"","isDefault":false,"maskCriteriaOnly":false,"definition":"","keyProductQueryItem":"329082","comparisonOperation":0,"comparisonValue":"2879","minimumVersion":"","maximumVersion":"","formOrder":0,"lowerBound":null,"enabled":true,"mask":"","largeMask":"","maskKey":"","keyItemMaskOfField":null,"keyOptionIdReplace":"","relatedOptionIds":[],"onlineServices":[],"childCriteriaItemList":[],"clientContextJson":""},{"keyOptionId":"3605247","caption":"Renewable Electricity","secondaryCaption":"","isDefault":false,"maskCriteriaOnly":false,"definition":"","keyProductQueryItem":"329082","comparisonOperation":0,"comparisonValue":"2880","minimumVersion":"","maximumVersion":"","formOrder":0,"lowerBound":null,"enabled":true,"mask":"","largeMask":"","maskKey":"","keyItemMaskOfField":null,"keyOptionIdReplace":"","relatedOptionIds":[],"onlineServices":[],"childCriteriaItemList":[],"clientContextJson":""}],"clientContextJson":""}],"clientContextJson":""}],"clientContextJson":""},{"keyOptionId":"3605248","caption":"Real Estate","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3605249","caption":"Equity Real Estate Investment Trusts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3605250","caption":"Diversified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3605251","caption":"Diversified REITs","secondaryCaption":"","isDefault":false,"maskCriteriaOnly":false,"definition":"","keyProductQueryItem":"329082","comparisonOperation":0,"comparisonValue":"2891","minimumVersion":"","maximumVersion":"","formOrder":0,"lowerBound":null,"enabled":true,"mask":"","largeMask":"","maskKey":"","keyItemMaskOfField":null,"keyOptionIdReplace":"","relatedOptionIds":[],"onlineServices":[],"childCriteriaItemList":[],"clientContextJson":""}],"clientContextJson":""},{"keyOptionId":"92918","caption":"Industrial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3605252","caption":"Industrial REITs","secondaryCaption":"","isDefault":false,"maskCriteriaOnly":false,"definition":"","keyProductQueryItem":"329082","comparisonOperation":0,"comparisonValue":"2892","minimumVersion":"","maximumVersion":"","formOrder":0,"lowerBound":null,"enabled":true,"mask":"","largeMask":"","maskKey":"","keyItemMaskOfField":null,"keyOptionIdReplace":"","relatedOptionIds":[],"onlineServices":[],"childCriteriaItemList":[],"clientContextJson":""}],"clientContextJson":""},{"keyOptionId":"92919","caption":"Hotel and Resorts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3605253","caption":"Hotel and Resort REITs","secondaryCaption":"","isDefault":false,"maskCriteriaOnly":false,"definition":"","keyProductQueryItem":"329082","comparisonOperation":0,"comparisonValue":"2893","minimumVersion":"","maximumVersion":"","formOrder":0,"lowerBound":null,"enabled":true,"mask":"","largeMask":"","maskKey":"","keyItemMaskOfField":null,"keyOptionIdReplace":"","relatedOptionIds":[],"onlineServices":[],"childCriteriaItemList":[],"clientContextJson":""}],"clientContextJson":""},{"keyOptionId":"92920","caption":"Office REITs","secondaryCaption":</t>
  </si>
  <si>
    <t>"","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3605254","caption":"Office REITs","secondaryCaption":"","isDefault":false,"maskCriteriaOnly":false,"definition":"","keyProductQueryItem":"329082","comparisonOperation":0,"comparisonValue":"2894","minimumVersion":"","maximumVersion":"","formOrder":0,"lowerBound":null,"enabled":true,"mask":"","largeMask":"","maskKey":"","keyItemMaskOfField":null,"keyOptionIdReplace":"","relatedOptionIds":[],"onlineServices":[],"childCriteriaItemList":[],"clientContextJson":""}],"clientContextJson":""},{"keyOptionId":"92921","caption":"Health Care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3605255","caption":"Health Care REITs","secondaryCaption":"","isDefault":false,"maskCriteriaOnly":false,"definition":"","keyProductQueryItem":"329082","comparisonOperation":0,"comparisonValue":"2895","minimumVersion":"","maximumVersion":"","formOrder":0,"lowerBound":null,"enabled":true,"mask":"","largeMask":"","maskKey":"","keyItemMaskOfField":null,"keyOptionIdReplace":"","relatedOptionIds":[],"onlineServices":[],"childCriteriaItemList":[],"clientContextJson":""}],"clientContextJson":""},{"keyOptionId":"92916","caption":"Residential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3605256","caption":"Multi-Family Residential REITs","secondaryCaption":"","isDefault":false,"maskCriteriaOnly":false,"definition":"","keyProductQueryItem":"329082","comparisonOperation":0,"comparisonValue":"2896","minimumVersion":"","maximumVersion":"","formOrder":0,"lowerBound":null,"enabled":true,"mask":"","largeMask":"","maskKey":"","keyItemMaskOfField":null,"keyOptionIdReplace":"","relatedOptionIds":[],"onlineServices":[],"childCriteriaItemList":[],"clientContextJson":""},{"keyOptionId":"92917","caption":"Single-Family Residential REITs","secondaryCaption":"","isDefault":false,"maskCriteriaOnly":false,"definition":"","keyProductQueryItem":"329082","comparisonOperation":0,"comparisonValue":"2935","minimumVersion":"","maximumVersion":"","formOrder":0,"lowerBound":null,"enabled":true,"mask":"","largeMask":"","maskKey":"","keyItemMaskOfField":null,"keyOptionIdReplace":"","relatedOptionIds":[],"onlineServices":[],"childCriteriaItemList":[],"clientContextJson":""}],"clientContextJson":""},{"keyOptionId":"92922","caption":"Retail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3605257","caption":"Retail REITs","secondaryCaption":"","isDefault":false,"maskCriteriaOnly":false,"definition":"","keyProductQueryItem":"329082","comparisonOperation":0,"comparisonValue":"2897","minimumVersion":"","maximumVersion":"","formOrder":0,"lowerBound":null,"enabled":true,"mask":"","largeMask":"","maskKey":"","keyItemMaskOfField":null,"keyOptionIdReplace":"","relatedOptionIds":[],"onlineServices":[],"childCriteriaItemList":[],"clientContextJson":""}],"clientContextJson":""},{"keyOptionId":"92923","caption":"Specialized REI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3605258","caption":"Other Specialized REITs","secondaryCaption":"","isDefault":false,"maskCriteriaOnly":false,"definition":"","keyProductQueryItem":"329082","comparisonOperation":0,"comparisonValue":"2898","minimumVersion":"","maximumVersion":"","formOrder":0,"lowerBound":null,"enabled":true,"mask":"","largeMask":"","maskKey":"","keyItemMaskOfField":null,"keyOptionIdReplace":"","relatedOptionIds":[],"onlineServices":[],"childCriteriaItemList":[],"clientContextJson":""},{"keyOptionId":"92924","caption":"Self-Storage REITs","secondaryCaption":"","isDefault":false,"maskCriteriaOnly":false,"definition":"","keyProductQueryItem":"329082","comparisonOperation":0,"comparisonValue":"2899","minimumVersion":"","maximumVersion":"","formOrder":0,"lowerBound":null,"enabled":true,"mask":"","largeMask":"","maskKey":"","keyItemMaskOfField":null,"keyOptionIdReplace":"","relatedOptionIds":[],"onlineServices":[],"childCriteriaItemList":[],"clientContextJson":""},{"keyOptionId":"92925","caption":"Telecom Tower REITs","secondaryCaption":"","isDefault":false,"maskCriteriaOnly":false,"definition":"","keyProductQueryItem":"329082","comparisonOperation":0,"comparisonValue":"2942","minimumVersion":"","maximumVersion":"","formOrder":0,"lowerBound":null,"enabled":true,"mask":"","largeMask":"","maskKey":"","keyItemMaskOfField":null,"keyOptionIdReplace":"","relatedOptionIds":[],"onlineServices":[],"childCriteriaItemList":[],"clientContextJson":""},{"keyOptionId":"92926","caption":"Timber REITs","secondaryCaption":"","isDefault":false,"maskCriteriaOnly":false,"definition":"","keyProductQueryItem":"329082","comparisonOperation":0,"comparisonValue":"2943","minimumVersion":"","maximumVersion":"","formOrder":0,"lowerBound":null,"enabled":true,"mask":"","largeMask":"","maskKey":"","keyItemMaskOfField":null,"keyOptionIdReplace":"","relatedOptionIds":[],"onlineServices":[],"childCriteriaItemList":[],"clientContextJson":""},{"keyOptionId":"92927","caption":"Data Center REITs","secondaryCaption":"","isDefault":false,"maskCriteriaOnly":false,"definition":"","keyProductQueryItem":"329082","comparisonOperation":0,"comparisonValue":"2944","minimumVersion":"","maximumVersion":"","formOrder":0,"lowerBound":null,"enabled":true,"mask":"","largeMask":"","maskKey":"","keyItemMaskOfField":null,"keyOptionIdReplace":"","relatedOptionIds":[],"onlineServices":[],"childCriteriaItemList":[],"clientContextJson":""}],"clientContextJson":""}],"clientContextJson":""},{"keyOptionId":"92928","caption":"Real Estate Management and Develo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3605259","caption":"Real Estate Man</t>
  </si>
  <si>
    <t>agement and Development","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3605260","caption":"Diversified Real Estate Activities","secondaryCaption":"","isDefault":false,"maskCriteriaOnly":false,"definition":"","keyProductQueryItem":"329082","comparisonOperation":0,"comparisonValue":"2901","minimumVersion":"","maximumVersion":"","formOrder":0,"lowerBound":null,"enabled":true,"mask":"","largeMask":"","maskKey":"","keyItemMaskOfField":null,"keyOptionIdReplace":"","relatedOptionIds":[],"onlineServices":[],"childCriteriaItemList":[],"clientContextJson":""},{"keyOptionId":"3605261","caption":"Real Estate Operating Companies","secondaryCaption":"","isDefault":false,"maskCriteriaOnly":false,"definition":"","keyProductQueryItem":"329082","comparisonOperation":0,"comparisonValue":"2902","minimumVersion":"","maximumVersion":"","formOrder":0,"lowerBound":null,"enabled":true,"mask":"","largeMask":"","maskKey":"","keyItemMaskOfField":null,"keyOptionIdReplace":"","relatedOptionIds":[],"onlineServices":[],"childCriteriaItemList":[],"clientContextJson":""},{"keyOptionId":"3605262","caption":"Real Estate Development","secondaryCaption":"","isDefault":false,"maskCriteriaOnly":false,"definition":"","keyProductQueryItem":"329082","comparisonOperation":0,"comparisonValue":"2919","minimumVersion":"","maximumVersion":"","formOrder":0,"lowerBound":null,"enabled":true,"mask":"","largeMask":"","maskKey":"","keyItemMaskOfField":null,"keyOptionIdReplace":"","relatedOptionIds":[],"onlineServices":[],"childCriteriaItemList":[],"clientContextJson":""},{"keyOptionId":"3605263","caption":"Real Estate Services","secondaryCaption":"","isDefault":false,"maskCriteriaOnly":false,"definition":"","keyProductQueryItem":"329082","comparisonOperation":0,"comparisonValue":"2923","minimumVersion":"","maximumVersion":"","formOrder":0,"lowerBound":null,"enabled":true,"mask":"","largeMask":"","maskKey":"","keyItemMaskOfField":null,"keyOptionIdReplace":"","relatedOptionIds":[],"onlineServices":[],"childCriteriaItemList":[],"clientContextJson":""}],"clientContextJson":""}],"clientContextJson":""}],"clientContextJson":""}],"clientContextJson":""}]},{"filterGroupId":"25368","filterGroupIdReplace":"","caption":"M&amp;A Feature Type","groupType":2,"optionType":8,"formOrder":90,"minimumVersion":"","maximumVersion":"","onlineServicesEnabled":false,"onlineServices":null,"column":0,"columnFormOrder":90,"criteriaIdName":"","required":false,"dateDefaultType":"","criteriaItemList":[{"keyOptionId":"25291","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25312","caption":"Add-on/Bolt-on/Consolidation/Tuck-in","secondaryCaption":"","isDefault":false,"maskCriteriaOnly":false,"definition":"","keyProductQueryItem":"330794","comparisonOperation":0,"comparisonValue":"21","minimumVersion":"","maximumVersion":"","formOrder":0,"lowerBound":null,"enabled":true,"mask":"","largeMask":"","maskKey":"","keyItemMaskOfField":null,"keyOptionIdReplace":"","relatedOptionIds":[],"onlineServices":[],"childCriteriaItemList":[],"clientContextJson":""},{"keyOptionId":"25292","caption":"Asset Acquisition","secondaryCaption":"","isDefault":false,"maskCriteriaOnly":false,"definition":"","keyProductQueryItem":"330794","comparisonOperation":0,"comparisonValue":"0","minimumVersion":"","maximumVersion":"","formOrder":0,"lowerBound":null,"enabled":true,"mask":"","largeMask":"","maskKey":"","keyItemMaskOfField":null,"keyOptionIdReplace":"","relatedOptionIds":[],"onlineServices":[],"childCriteriaItemList":[{"keyOptionId":"25293","caption":"Asset Swap","secondaryCaption":"","isDefault":false,"maskCriteriaOnly":false,"definition":"","keyProductQueryItem":"330794","comparisonOperation":0,"comparisonValue":"48","minimumVersion":"","maximumVersion":"","formOrder":0,"lowerBound":null,"enabled":true,"mask":"","largeMask":"","maskKey":"","keyItemMaskOfField":null,"keyOptionIdReplace":"","relatedOptionIds":[],"onlineServices":[],"childCriteriaItemList":[],"clientContextJson":""},{"keyOptionId":"25294","caption":"Branch Acquisition","secondaryCaption":"","isDefault":false,"maskCriteriaOnly":false,"definition":"","keyProductQueryItem":"330794","comparisonOperation":0,"comparisonValue":"45","minimumVersion":"","maximumVersion":"","formOrder":0,"lowerBound":null,"enabled":true,"mask":"","largeMask":"","maskKey":"","keyItemMaskOfField":null,"keyOptionIdReplace":"","relatedOptionIds":[],"onlineServices":[],"childCriteriaItemList":[],"clientContextJson":""},{"keyOptionId":"25295","caption":"Donation","secondaryCaption":"","isDefault":false,"maskCriteriaOnly":false,"definition":"","keyProductQueryItem":"330794","comparisonOperation":0,"comparisonValue":"49","minimumVersion":"","maximumVersion":"","formOrder":0,"lowerBound":null,"enabled":true,"mask":"","largeMask":"","maskKey":"","keyItemMaskOfField":null,"keyOptionIdReplace":"","relatedOptionIds":[],"onlineServices":[],"childCriteriaItemList":[],"clientContextJson":""},{"keyOptionId":"25296","caption":"Franchise Acquisition","secondaryCaption":"","isDefault":false,"maskCriteriaOnly":false,"definition":"","keyProductQueryItem":"330794","comparisonOperation":0,"comparisonValue":"47","minimumVersion":"","maximumVersion":"","formOrder":0,"lowerBound":null,"enabled":true,"mask":"","largeMask":"","maskKey":"","keyItemMaskOfField":null,"keyOptionIdReplace":"","relatedOptionIds":[],"onlineServices":[],"childCriteriaItemList":[],"clientContextJson":""},{"keyOptionId":"25297","caption":"Property Acquisition","secondaryCaption":"","isDefault":false,"maskCriteriaOnly":false,"definition":"","keyProductQueryItem":"330794","comparisonOperation":0,"comparisonValue":"46","minimumVersion":"","maximumVersion":"","formOrder":0,"lowerBound":null,"enabled":true,"mask":"","largeMask":"","maskKey":"","keyItemMaskOfField":null,"keyOptionIdReplace":"","relatedOptionIds":[],"onlineServices":[],"childCriteriaItemList":[],"clientContextJson":""}],"clientContextJson":""},{"keyOptionId":"25298","caption":"Bankruptcy Sale","secondaryCaption":"","isDefault":false,"maskCriteriaOnly":false,"definition":"","keyProductQueryItem":"330794","comparisonOperation":0,"comparisonValue":"3","minimumVersion":"","maximumVersion":"","formOrder":0,"lowerBound":null,"enabled":true,"mask":"","largeMask":"","maskKey":"","keyItemMaskOfField":null,"keyOptionIdReplace":"","relatedOptionIds":[],"onlineServices":[],"childCriteriaItemList":[],"clientContextJson":""},{"keyOptionId":"25299","caption":"Change in Control","secondaryCaption":"","isDefault":false,"maskCriteriaOnly":false,"definition":"","keyProductQueryItem":"330794","comparisonOperation":0,"comparisonValue":"2","minimumVersion":"","maximumVersion":"","formOrder":0,"lowerBound":null,"enabled":true,"mask":"","largeMask":"","maskKey":"","keyItemMaskOfField":null,"keyOptionIdReplace":"","relatedOptionIds":[],"onlineServices":[],"childCriteriaItemList":[{"keyOptionId":"25367","caption":"Minority Shareholder Gaining Majority Control","secondaryCaption":"","isDefault":false,"maskC</t>
  </si>
  <si>
    <t>riteriaOnly":false,"definition":"","keyProductQueryItem":"330794","comparisonOperation":0,"comparisonValue":"53","minimumVersion":"","maximumVersion":"","formOrder":0,"lowerBound":null,"enabled":true,"mask":"","largeMask":"","maskKey":"","keyItemMaskOfField":null,"keyOptionIdReplace":"","relatedOptionIds":[],"onlineServices":[],"childCriteriaItemList":[],"clientContextJson":""},{"keyOptionId":"25300","caption":"Minority Shareholder Purchasing Remaining Shares","secondaryCaption":"","isDefault":false,"maskCriteriaOnly":false,"definition":"","keyProductQueryItem":"330794","comparisonOperation":0,"comparisonValue":"55","minimumVersion":"","maximumVersion":"","formOrder":0,"lowerBound":null,"enabled":true,"mask":"","largeMask":"","maskKey":"","keyItemMaskOfField":null,"keyOptionIdReplace":"","relatedOptionIds":[],"onlineServices":[],"childCriteriaItemList":[],"clientContextJson":""},{"keyOptionId":"25301","caption":"New Shareholder Gaining Majority Control","secondaryCaption":"","isDefault":false,"maskCriteriaOnly":false,"definition":"","keyProductQueryItem":"330794","comparisonOperation":0,"comparisonValue":"54","minimumVersion":"","maximumVersion":"","formOrder":0,"lowerBound":null,"enabled":true,"mask":"","largeMask":"","maskKey":"","keyItemMaskOfField":null,"keyOptionIdReplace":"","relatedOptionIds":[],"onlineServices":[],"childCriteriaItemList":[],"clientContextJson":""}],"clientContextJson":""},{"keyOptionId":"25302","caption":"Change in Control (Asset Deals)","secondaryCaption":"","isDefault":false,"maskCriteriaOnly":false,"definition":"","keyProductQueryItem":"330794","comparisonOperation":0,"comparisonValue":"177","minimumVersion":"","maximumVersion":"","formOrder":0,"lowerBound":null,"enabled":true,"mask":"","largeMask":"","maskKey":"","keyItemMaskOfField":null,"keyOptionIdReplace":"","relatedOptionIds":[],"onlineServices":[],"childCriteriaItemList":[{"keyOptionId":"25303","caption":"Minority Owner Gaining Majority Control","secondaryCaption":"","isDefault":false,"maskCriteriaOnly":false,"definition":"","keyProductQueryItem":"330794","comparisonOperation":0,"comparisonValue":"184","minimumVersion":"","maximumVersion":"","formOrder":0,"lowerBound":null,"enabled":true,"mask":"","largeMask":"","maskKey":"","keyItemMaskOfField":null,"keyOptionIdReplace":"","relatedOptionIds":[],"onlineServices":[],"childCriteriaItemList":[],"clientContextJson":""},{"keyOptionId":"25304","caption":"Minority Owner Purchasing Remaining Stake","secondaryCaption":"","isDefault":false,"maskCriteriaOnly":false,"definition":"","keyProductQueryItem":"330794","comparisonOperation":0,"comparisonValue":"185","minimumVersion":"","maximumVersion":"","formOrder":0,"lowerBound":null,"enabled":true,"mask":"","largeMask":"","maskKey":"","keyItemMaskOfField":null,"keyOptionIdReplace":"","relatedOptionIds":[],"onlineServices":[],"childCriteriaItemList":[],"clientContextJson":""},{"keyOptionId":"25305","caption":"New Owner Gaining Majority Control","secondaryCaption":"","isDefault":false,"maskCriteriaOnly":false,"definition":"","keyProductQueryItem":"330794","comparisonOperation":0,"comparisonValue":"186","minimumVersion":"","maximumVersion":"","formOrder":0,"lowerBound":null,"enabled":true,"mask":"","largeMask":"","maskKey":"","keyItemMaskOfField":null,"keyOptionIdReplace":"","relatedOptionIds":[],"onlineServices":[],"childCriteriaItemList":[],"clientContextJson":""}],"clientContextJson":""},{"keyOptionId":"25306","caption":"Consideration Related","secondaryCaption":"","isDefault":false,"maskCriteriaOnly":false,"definition":"","keyProductQueryItem":"330794","comparisonOperation":0,"comparisonValue":"15","minimumVersion":"","maximumVersion":"","formOrder":0,"lowerBound":null,"enabled":true,"mask":"","largeMask":"","maskKey":"","keyItemMaskOfField":null,"keyOptionIdReplace":"","relatedOptionIds":[],"onlineServices":[],"childCriteriaItemList":[{"keyOptionId":"25307","caption":"Cash Deal","secondaryCaption":"","isDefault":false,"maskCriteriaOnly":false,"definition":"","keyProductQueryItem":"330794","comparisonOperation":0,"comparisonValue":"80","minimumVersion":"","maximumVersion":"","formOrder":0,"lowerBound":null,"enabled":true,"mask":"","largeMask":"","maskKey":"","keyItemMaskOfField":null,"keyOptionIdReplace":"","relatedOptionIds":[],"onlineServices":[],"childCriteriaItemList":[],"clientContextJson":""},{"keyOptionId":"25308","caption":"Collar Consideration Structure","secondaryCaption":"","isDefault":false,"maskCriteriaOnly":false,"definition":"","keyProductQueryItem":"330794","comparisonOperation":0,"comparisonValue":"82","minimumVersion":"","maximumVersion":"","formOrder":0,"lowerBound":null,"enabled":true,"mask":"","largeMask":"","maskKey":"","keyItemMaskOfField":null,"keyOptionIdReplace":"","relatedOptionIds":[],"onlineServices":[],"childCriteriaItemList":[],"clientContextJson":""},{"keyOptionId":"25309","caption":"Earnout Payment","secondaryCaption":"","isDefault":false,"maskCriteriaOnly":false,"definition":"","keyProductQueryItem":"330794","comparisonOperation":0,"comparisonValue":"83","minimumVersion":"","maximumVersion":"","formOrder":0,"lowerBound":null,"enabled":true,"mask":"","largeMask":"","maskKey":"","keyItemMaskOfField":null,"keyOptionIdReplace":"","relatedOptionIds":[],"onlineServices":[],"childCriteriaItemList":[],"clientContextJson":""},{"keyOptionId":"25310","caption":"Stock Deal","secondaryCaption":"","isDefault":false,"maskCriteriaOnly":false,"definition":"","keyProductQueryItem":"330794","comparisonOperation":0,"comparisonValue":"81","minimumVersion":"","maximumVersion":"","formOrder":0,"lowerBound":null,"enabled":true,"mask":"","largeMask":"","maskKey":"","keyItemMaskOfField":null,"keyOptionIdReplace":"","relatedOptionIds":[],"onlineServices":[],"childCriteriaItemList":[],"clientContextJson":""},{"keyOptionId":"25311","caption":"Terms Not Disclosed","secondaryCaption":"","isDefault":false,"maskCriteriaOnly":false,"definition":"","keyProductQueryItem":"330794","comparisonOperation":0,"comparisonValue":"84","minimumVersion":"","maximumVersion":"","formOrder":0,"lowerBound":null,"enabled":true,"mask":"","largeMask":"","maskKey":"","keyItemMaskOfField":null,"keyOptionIdReplace":"","relatedOptionIds":[],"onlineServices":[],"childCriteriaItemList":[],"clientContextJson":""}],"clientContextJson":""},{"keyOptionId":"25313","caption":"Corporate Divestiture","secondaryCaption":"","isDefault":false,"maskCriteriaOnly":false,"definition":"","keyProductQueryItem":"330794","comparisonOperation":0,"comparisonValue":"22","minimumVersion":"","maximumVersion":"","formOrder":0,"lowerBound":null,"enabled":true,"mask":"","largeMask":"","maskKey":"","keyItemMaskOfField":null,"keyOptionIdReplace":"","relatedOptionIds":[],"onlineServices":[],"childCriteriaItemList":[],"clientContextJson":""},{"keyOptionId":"25314","caption":"Cross-Border","secondaryCaption":"","isDefault":false,"maskCriteriaOnly":false,"definition":"","keyProductQueryItem":"330794","comparisonOperation":0,"comparisonValue":"27","minimumVersion":"","maximumVersion":"","formOrder":0,"lowerBound":null,"enabled":true,"mask":"","largeMask":"","maskKey":"","keyItemMaskOfField":null,"keyOptionIdReplace":"","relatedOptionIds":[],"onlineServices":[],"childCriteriaItemList":[],"clientContextJson":""},{"keyOptionId":"25315","caption":"Equity Reinvestment","secondaryCaption":"","isDefault":false,"maskCriteriaOnly":false,"definition":"","keyProductQueryItem":"330794","comparisonOperation":0,"comparisonValue":"17","minimumVersion":"","maximumVersion":"","formOrder":0,"lowerBound":null,"enabled":true,"mask":"","largeMask":"","maskKey":"","keyItemMaskOfField":null,"keyOptionIdReplace":"","relatedOptionIds":[],"onlineServic</t>
  </si>
  <si>
    <t>es":[],"childCriteriaItemList":[],"clientContextJson":""},{"keyOptionId":"25316","caption":"Family Succession","secondaryCaption":"","isDefault":false,"maskCriteriaOnly":false,"definition":"","keyProductQueryItem":"330794","comparisonOperation":0,"comparisonValue":"28","minimumVersion":"","maximumVersion":"","formOrder":0,"lowerBound":null,"enabled":true,"mask":"","largeMask":"","maskKey":"","keyItemMaskOfField":null,"keyOptionIdReplace":"","relatedOptionIds":[],"onlineServices":[],"childCriteriaItemList":[],"clientContextJson":""},{"keyOptionId":"25317","caption":"Go Shop Provision","secondaryCaption":"","isDefault":false,"maskCriteriaOnly":false,"definition":"","keyProductQueryItem":"330794","comparisonOperation":0,"comparisonValue":"25","minimumVersion":"","maximumVersion":"","formOrder":0,"lowerBound":null,"enabled":true,"mask":"","largeMask":"","maskKey":"","keyItemMaskOfField":null,"keyOptionIdReplace":"","relatedOptionIds":[],"onlineServices":[],"childCriteriaItemList":[],"clientContextJson":""},{"keyOptionId":"25318","caption":"Government Assisted Deal","secondaryCaption":"","isDefault":false,"maskCriteriaOnly":false,"definition":"","keyProductQueryItem":"330794","comparisonOperation":0,"comparisonValue":"4","minimumVersion":"","maximumVersion":"","formOrder":0,"lowerBound":null,"enabled":true,"mask":"","largeMask":"","maskKey":"","keyItemMaskOfField":null,"keyOptionIdReplace":"","relatedOptionIds":[],"onlineServices":[],"childCriteriaItemList":[],"clientContextJson":""},{"keyOptionId":"25319","caption":"Government Decreasing Ownership Stake","secondaryCaption":"","isDefault":false,"maskCriteriaOnly":false,"definition":"","keyProductQueryItem":"330794","comparisonOperation":0,"comparisonValue":"26","minimumVersion":"","maximumVersion":"","formOrder":0,"lowerBound":null,"enabled":true,"mask":"","largeMask":"","maskKey":"","keyItemMaskOfField":null,"keyOptionIdReplace":"","relatedOptionIds":[],"onlineServices":[],"childCriteriaItemList":[],"clientContextJson":""},{"keyOptionId":"25320","caption":"Joint Venture Related","secondaryCaption":"","isDefault":false,"maskCriteriaOnly":false,"definition":"","keyProductQueryItem":"330794","comparisonOperation":0,"comparisonValue":"12","minimumVersion":"","maximumVersion":"","formOrder":0,"lowerBound":null,"enabled":true,"mask":"","largeMask":"","maskKey":"","keyItemMaskOfField":null,"keyOptionIdReplace":"","relatedOptionIds":[],"onlineServices":[],"childCriteriaItemList":[{"keyOptionId":"25321","caption":"Acquisition of Joint Venture","secondaryCaption":"","isDefault":false,"maskCriteriaOnly":false,"definition":"","keyProductQueryItem":"330794","comparisonOperation":0,"comparisonValue":"66","minimumVersion":"","maximumVersion":"","formOrder":0,"lowerBound":null,"enabled":true,"mask":"","largeMask":"","maskKey":"","keyItemMaskOfField":null,"keyOptionIdReplace":"","relatedOptionIds":[],"onlineServices":[],"childCriteriaItemList":[],"clientContextJson":""},{"keyOptionId":"25322","caption":"Acquisition of Joint Venture Interests","secondaryCaption":"","isDefault":false,"maskCriteriaOnly":false,"definition":"","keyProductQueryItem":"330794","comparisonOperation":0,"comparisonValue":"67","minimumVersion":"","maximumVersion":"","formOrder":0,"lowerBound":null,"enabled":true,"mask":"","largeMask":"","maskKey":"","keyItemMaskOfField":null,"keyOptionIdReplace":"","relatedOptionIds":[],"onlineServices":[],"childCriteriaItemList":[],"clientContextJson":""},{"keyOptionId":"25323","caption":"Acquisition of Joint Venture Partner","secondaryCaption":"","isDefault":false,"maskCriteriaOnly":false,"definition":"","keyProductQueryItem":"330794","comparisonOperation":0,"comparisonValue":"68","minimumVersion":"","maximumVersion":"","formOrder":0,"lowerBound":null,"enabled":true,"mask":"","largeMask":"","maskKey":"","keyItemMaskOfField":null,"keyOptionIdReplace":"","relatedOptionIds":[],"onlineServices":[],"childCriteriaItemList":[],"clientContextJson":""},{"keyOptionId":"25324","caption":"Acquisition of JV (Direct PE involvement)","secondaryCaption":"","isDefault":false,"maskCriteriaOnly":false,"definition":"","keyProductQueryItem":"330794","comparisonOperation":0,"comparisonValue":"70","minimumVersion":"","maximumVersion":"","formOrder":0,"lowerBound":null,"enabled":true,"mask":"","largeMask":"","maskKey":"","keyItemMaskOfField":null,"keyOptionIdReplace":"","relatedOptionIds":[],"onlineServices":[],"childCriteriaItemList":[],"clientContextJson":""},{"keyOptionId":"25444","caption":"Creation of Joint Venture","secondaryCaption":"","isDefault":false,"maskCriteriaOnly":false,"definition":"","keyProductQueryItem":"330794","comparisonOperation":0,"comparisonValue":"69","minimumVersion":"","maximumVersion":"","formOrder":0,"lowerBound":null,"enabled":true,"mask":"","largeMask":"","maskKey":"","keyItemMaskOfField":null,"keyOptionIdReplace":"","relatedOptionIds":[],"onlineServices":[],"childCriteriaItemList":[],"clientContextJson":""}],"clientContextJson":""},{"keyOptionId":"25325","caption":"LBO Related","secondaryCaption":"","isDefault":false,"maskCriteriaOnly":false,"definition":"","keyProductQueryItem":"330794","comparisonOperation":0,"comparisonValue":"13","minimumVersion":"","maximumVersion":"","formOrder":0,"lowerBound":null,"enabled":true,"mask":"","largeMask":"","maskKey":"","keyItemMaskOfField":null,"keyOptionIdReplace":"","relatedOptionIds":[],"onlineServices":[],"childCriteriaItemList":[{"keyOptionId":"25326","caption":"Leveraged Buyout (LBO)","secondaryCaption":"","isDefault":false,"maskCriteriaOnly":false,"definition":"","keyProductQueryItem":"330794","comparisonOperation":0,"comparisonValue":"71","minimumVersion":"","maximumVersion":"","formOrder":0,"lowerBound":null,"enabled":true,"mask":"","largeMask":"","maskKey":"","keyItemMaskOfField":null,"keyOptionIdReplace":"","relatedOptionIds":[],"onlineServices":[],"childCriteriaItemList":[],"clientContextJson":""},{"keyOptionId":"25327","caption":"Platform","secondaryCaption":"","isDefault":false,"maskCriteriaOnly":false,"definition":"","keyProductQueryItem":"330794","comparisonOperation":0,"comparisonValue":"72","minimumVersion":"","maximumVersion":"","formOrder":0,"lowerBound":null,"enabled":true,"mask":"","largeMask":"","maskKey":"","keyItemMaskOfField":null,"keyOptionIdReplace":"","relatedOptionIds":[],"onlineServices":[],"childCriteriaItemList":[],"clientContextJson":""},{"keyOptionId":"25328","caption":"Secondary LBO","secondaryCaption":"","isDefault":false,"maskCriteriaOnly":false,"definition":"","keyProductQueryItem":"330794","comparisonOperation":0,"comparisonValue":"73","minimumVersion":"","maximumVersion":"","formOrder":0,"lowerBound":null,"enabled":true,"mask":"","largeMask":"","maskKey":"","keyItemMaskOfField":null,"keyOptionIdReplace":"","relatedOptionIds":[],"onlineServices":[],"childCriteriaItemList":[],"clientContextJson":""}],"clientContextJson":""},{"keyOptionId":"25329","caption":"Management or Investor Related","secondaryCaption":"","isDefault":false,"maskCriteriaOnly":false,"definition":"","keyProductQueryItem":"330794","comparisonOperation":0,"comparisonValue":"14","minimumVersion":"","maximumVersion":"","formOrder":0,"lowerBound":null,"enabled":true,"mask":"","largeMask":"","maskKey":"","keyItemMaskOfField":null,"keyOptionIdReplace":"","relatedOptionIds":[],"onlineServices":[],"childCriteriaItemList":[{"keyOptionId":"25330","caption":"Individual Investors Participated","secondaryCaption":"","isDefault":false,"maskCriteriaOnly":false,"definition":"","keyProductQueryItem":"330794","comparisonOperation":0,"comparisonValue":"77","minimumVersion":"","maximumVersion":"","formOrder":0,"lowerBound":null,"enabled":true,"mask":"","largeMask":"","m</t>
  </si>
  <si>
    <t>askKey":"","keyItemMaskOfField":null,"keyOptionIdReplace":"","relatedOptionIds":[],"onlineServices":[],"childCriteriaItemList":[],"clientContextJson":""},{"keyOptionId":"25331","caption":"Management Buy-in (MBI)","secondaryCaption":"","isDefault":false,"maskCriteriaOnly":false,"definition":"","keyProductQueryItem":"330794","comparisonOperation":0,"comparisonValue":"75","minimumVersion":"","maximumVersion":"","formOrder":0,"lowerBound":null,"enabled":true,"mask":"","largeMask":"","maskKey":"","keyItemMaskOfField":null,"keyOptionIdReplace":"","relatedOptionIds":[],"onlineServices":[],"childCriteriaItemList":[],"clientContextJson":""},{"keyOptionId":"25332","caption":"Management Buyout (MBO)","secondaryCaption":"","isDefault":false,"maskCriteriaOnly":false,"definition":"","keyProductQueryItem":"330794","comparisonOperation":0,"comparisonValue":"74","minimumVersion":"","maximumVersion":"","formOrder":0,"lowerBound":null,"enabled":true,"mask":"","largeMask":"","maskKey":"","keyItemMaskOfField":null,"keyOptionIdReplace":"","relatedOptionIds":[],"onlineServices":[],"childCriteriaItemList":[],"clientContextJson":""},{"keyOptionId":"25333","caption":"Management Participated","secondaryCaption":"","isDefault":false,"maskCriteriaOnly":false,"definition":"","keyProductQueryItem":"330794","comparisonOperation":0,"comparisonValue":"76","minimumVersion":"","maximumVersion":"","formOrder":0,"lowerBound":null,"enabled":true,"mask":"","largeMask":"","maskKey":"","keyItemMaskOfField":null,"keyOptionIdReplace":"","relatedOptionIds":[],"onlineServices":[],"childCriteriaItemList":[],"clientContextJson":""}],"clientContextJson":""},{"keyOptionId":"25334","caption":"Merger of Equals","secondaryCaption":"","isDefault":false,"maskCriteriaOnly":false,"definition":"","keyProductQueryItem":"330794","comparisonOperation":0,"comparisonValue":"6","minimumVersion":"","maximumVersion":"","formOrder":0,"lowerBound":null,"enabled":true,"mask":"","largeMask":"","maskKey":"","keyItemMaskOfField":null,"keyOptionIdReplace":"","relatedOptionIds":[],"onlineServices":[],"childCriteriaItemList":[],"clientContextJson":""},{"keyOptionId":"25335","caption":"Merger of Mutuals","secondaryCaption":"","isDefault":false,"maskCriteriaOnly":false,"definition":"","keyProductQueryItem":"330794","comparisonOperation":0,"comparisonValue":"7","minimumVersion":"","maximumVersion":"","formOrder":0,"lowerBound":null,"enabled":true,"mask":"","largeMask":"","maskKey":"","keyItemMaskOfField":null,"keyOptionIdReplace":"","relatedOptionIds":[],"onlineServices":[],"childCriteriaItemList":[],"clientContextJson":""},{"keyOptionId":"25336","caption":"Minority Equity Acquisition","secondaryCaption":"","isDefault":false,"maskCriteriaOnly":false,"definition":"","keyProductQueryItem":"330794","comparisonOperation":0,"comparisonValue":"1","minimumVersion":"","maximumVersion":"","formOrder":0,"lowerBound":null,"enabled":true,"mask":"","largeMask":"","maskKey":"","keyItemMaskOfField":null,"keyOptionIdReplace":"","relatedOptionIds":[],"onlineServices":[],"childCriteriaItemList":[{"keyOptionId":"25337","caption":"Majority Shareholder Increasing Ownership Stake","secondaryCaption":"","isDefault":false,"maskCriteriaOnly":false,"definition":"","keyProductQueryItem":"330794","comparisonOperation":0,"comparisonValue":"51","minimumVersion":"","maximumVersion":"","formOrder":0,"lowerBound":null,"enabled":true,"mask":"","largeMask":"","maskKey":"","keyItemMaskOfField":null,"keyOptionIdReplace":"","relatedOptionIds":[],"onlineServices":[],"childCriteriaItemList":[],"clientContextJson":""},{"keyOptionId":"25338","caption":"Majority Shareholder Purchasing Remaining Shares","secondaryCaption":"","isDefault":false,"maskCriteriaOnly":false,"definition":"","keyProductQueryItem":"330794","comparisonOperation":0,"comparisonValue":"52","minimumVersion":"","maximumVersion":"","formOrder":0,"lowerBound":null,"enabled":true,"mask":"","largeMask":"","maskKey":"","keyItemMaskOfField":null,"keyOptionIdReplace":"","relatedOptionIds":[],"onlineServices":[],"childCriteriaItemList":[],"clientContextJson":""},{"keyOptionId":"25339","caption":"Minority Shareholder Increasing Ownership Stake","secondaryCaption":"","isDefault":false,"maskCriteriaOnly":false,"definition":"","keyProductQueryItem":"330794","comparisonOperation":0,"comparisonValue":"50","minimumVersion":"","maximumVersion":"","formOrder":0,"lowerBound":null,"enabled":true,"mask":"","largeMask":"","maskKey":"","keyItemMaskOfField":null,"keyOptionIdReplace":"","relatedOptionIds":[],"onlineServices":[],"childCriteriaItemList":[],"clientContextJson":""}],"clientContextJson":""},{"keyOptionId":"25340","caption":"Minority Ownership Acquisition","secondaryCaption":"","isDefault":false,"maskCriteriaOnly":false,"definition":"","keyProductQueryItem":"330794","comparisonOperation":0,"comparisonValue":"176","minimumVersion":"","maximumVersion":"","formOrder":0,"lowerBound":null,"enabled":true,"mask":"","largeMask":"","maskKey":"","keyItemMaskOfField":null,"keyOptionIdReplace":"","relatedOptionIds":[],"onlineServices":[],"childCriteriaItemList":[{"keyOptionId":"25341","caption":"Majority Owner Increasing Ownership","secondaryCaption":"","isDefault":false,"maskCriteriaOnly":false,"definition":"","keyProductQueryItem":"330794","comparisonOperation":0,"comparisonValue":"181","minimumVersion":"","maximumVersion":"","formOrder":0,"lowerBound":null,"enabled":true,"mask":"","largeMask":"","maskKey":"","keyItemMaskOfField":null,"keyOptionIdReplace":"","relatedOptionIds":[],"onlineServices":[],"childCriteriaItemList":[],"clientContextJson":""},{"keyOptionId":"25342","caption":"Majority Owner Purchasing Remaining Stake","secondaryCaption":"","isDefault":false,"maskCriteriaOnly":false,"definition":"","keyProductQueryItem":"330794","comparisonOperation":0,"comparisonValue":"182","minimumVersion":"","maximumVersion":"","formOrder":0,"lowerBound":null,"enabled":true,"mask":"","largeMask":"","maskKey":"","keyItemMaskOfField":null,"keyOptionIdReplace":"","relatedOptionIds":[],"onlineServices":[],"childCriteriaItemList":[],"clientContextJson":""},{"keyOptionId":"25343","caption":"Minority Owner Increasing Ownership Stake","secondaryCaption":"","isDefault":false,"maskCriteriaOnly":false,"definition":"","keyProductQueryItem":"330794","comparisonOperation":0,"comparisonValue":"183","minimumVersion":"","maximumVersion":"","formOrder":0,"lowerBound":null,"enabled":true,"mask":"","largeMask":"","maskKey":"","keyItemMaskOfField":null,"keyOptionIdReplace":"","relatedOptionIds":[],"onlineServices":[],"childCriteriaItemList":[],"clientContextJson":""}],"clientContextJson":""},{"keyOptionId":"25344","caption":"Privatization Related","secondaryCaption":"","isDefault":false,"maskCriteriaOnly":false,"definition":"","keyProductQueryItem":"330794","comparisonOperation":0,"comparisonValue":"9","minimumVersion":"","maximumVersion":"","formOrder":0,"lowerBound":null,"enabled":true,"mask":"","largeMask":"","maskKey":"","keyItemMaskOfField":null,"keyOptionIdReplace":"","relatedOptionIds":[],"onlineServices":[],"childCriteriaItemList":[{"keyOptionId":"25345","caption":"Going Private Transaction","secondaryCaption":"","isDefault":false,"maskCriteriaOnly":false,"definition":"","keyProductQueryItem":"330794","comparisonOperation":0,"comparisonValue":"57","minimumVersion":"","maximumVersion":"","formOrder":0,"lowerBound":null,"enabled":true,"mask":"","largeMask":"","maskKey":"","keyItemMaskOfField":null,"keyOptionIdReplace":"","relatedOptionIds":[],"onlineServices":[],"childCriteriaItemList":[],"clientContextJson":""},{"keyOptionId":"25346","caption":"Privatization of Government Entity","secondaryCaption":"","isDefault":false,"maskCriteriaO</t>
  </si>
  <si>
    <t>nly":false,"definition":"","keyProductQueryItem":"330794","comparisonOperation":0,"comparisonValue":"56","minimumVersion":"","maximumVersion":"","formOrder":0,"lowerBound":null,"enabled":true,"mask":"","largeMask":"","maskKey":"","keyItemMaskOfField":null,"keyOptionIdReplace":"","relatedOptionIds":[],"onlineServices":[],"childCriteriaItemList":[],"clientContextJson":""}],"clientContextJson":""},{"keyOptionId":"25347","caption":"Recapitalization","secondaryCaption":"","isDefault":false,"maskCriteriaOnly":false,"definition":"","keyProductQueryItem":"330794","comparisonOperation":0,"comparisonValue":"8","minimumVersion":"","maximumVersion":"","formOrder":0,"lowerBound":null,"enabled":true,"mask":"","largeMask":"","maskKey":"","keyItemMaskOfField":null,"keyOptionIdReplace":"","relatedOptionIds":[],"onlineServices":[],"childCriteriaItemList":[],"clientContextJson":""},{"keyOptionId":"25348","caption":"Reverse Merger","secondaryCaption":"","isDefault":false,"maskCriteriaOnly":false,"definition":"","keyProductQueryItem":"330794","comparisonOperation":0,"comparisonValue":"10","minimumVersion":"","maximumVersion":"","formOrder":0,"lowerBound":null,"enabled":true,"mask":"","largeMask":"","maskKey":"","keyItemMaskOfField":null,"keyOptionIdReplace":"","relatedOptionIds":[],"onlineServices":[],"childCriteriaItemList":[{"keyOptionId":"25349","caption":"Backdoor IPO","secondaryCaption":"","isDefault":false,"maskCriteriaOnly":false,"definition":"","keyProductQueryItem":"330794","comparisonOperation":0,"comparisonValue":"58","minimumVersion":"","maximumVersion":"","formOrder":0,"lowerBound":null,"enabled":true,"mask":"","largeMask":"","maskKey":"","keyItemMaskOfField":null,"keyOptionIdReplace":"","relatedOptionIds":[],"onlineServices":[],"childCriteriaItemList":[],"clientContextJson":""},{"keyOptionId":"25350","caption":"Reverse Merger of Equals","secondaryCaption":"","isDefault":false,"maskCriteriaOnly":false,"definition":"","keyProductQueryItem":"330794","comparisonOperation":0,"comparisonValue":"59","minimumVersion":"","maximumVersion":"","formOrder":0,"lowerBound":null,"enabled":true,"mask":"","largeMask":"","maskKey":"","keyItemMaskOfField":null,"keyOptionIdReplace":"","relatedOptionIds":[],"onlineServices":[],"childCriteriaItemList":[],"clientContextJson":""},{"keyOptionId":"25351","caption":"Reverse Merger Other","secondaryCaption":"","isDefault":false,"maskCriteriaOnly":false,"definition":"","keyProductQueryItem":"330794","comparisonOperation":0,"comparisonValue":"60","minimumVersion":"","maximumVersion":"","formOrder":0,"lowerBound":null,"enabled":true,"mask":"","largeMask":"","maskKey":"","keyItemMaskOfField":null,"keyOptionIdReplace":"","relatedOptionIds":[],"onlineServices":[],"childCriteriaItemList":[],"clientContextJson":""},{"keyOptionId":"25352","caption":"Reverse Morris Trust","secondaryCaption":"","isDefault":false,"maskCriteriaOnly":false,"definition":"","keyProductQueryItem":"330794","comparisonOperation":0,"comparisonValue":"29","minimumVersion":"","maximumVersion":"","formOrder":0,"lowerBound":null,"enabled":true,"mask":"","largeMask":"","maskKey":"","keyItemMaskOfField":null,"keyOptionIdReplace":"","relatedOptionIds":[],"onlineServices":[],"childCriteriaItemList":[],"clientContextJson":""}],"clientContextJson":""},{"keyOptionId":"25353","caption":"Spinoff or Splitoff","secondaryCaption":"","isDefault":false,"maskCriteriaOnly":false,"definition":"","keyProductQueryItem":"330794","comparisonOperation":0,"comparisonValue":"187","minimumVersion":"","maximumVersion":"","formOrder":0,"lowerBound":null,"enabled":true,"mask":"","largeMask":"","maskKey":"","keyItemMaskOfField":null,"keyOptionIdReplace":"","relatedOptionIds":[],"onlineServices":[],"childCriteriaItemList":[{"keyOptionId":"25356","caption":"Demerger","secondaryCaption":"","isDefault":false,"maskCriteriaOnly":false,"definition":"","keyProductQueryItem":"330794","comparisonOperation":0,"comparisonValue":"40","minimumVersion":"","maximumVersion":"","formOrder":0,"lowerBound":null,"enabled":true,"mask":"","largeMask":"","maskKey":"","keyItemMaskOfField":null,"keyOptionIdReplace":"","relatedOptionIds":[],"onlineServices":[],"childCriteriaItemList":[],"clientContextJson":""},{"keyOptionId":"25357","caption":"Reverse Spinoff","secondaryCaption":"","isDefault":false,"maskCriteriaOnly":false,"definition":"","keyProductQueryItem":"330794","comparisonOperation":0,"comparisonValue":"41","minimumVersion":"","maximumVersion":"","formOrder":0,"lowerBound":null,"enabled":true,"mask":"","largeMask":"","maskKey":"","keyItemMaskOfField":null,"keyOptionIdReplace":"","relatedOptionIds":[],"onlineServices":[],"childCriteriaItemList":[],"clientContextJson":""},{"keyOptionId":"25358","caption":"Spinoff","secondaryCaption":"","isDefault":false,"maskCriteriaOnly":false,"definition":"","keyProductQueryItem":"330794","comparisonOperation":0,"comparisonValue":"38","minimumVersion":"","maximumVersion":"","formOrder":0,"lowerBound":null,"enabled":true,"mask":"","largeMask":"","maskKey":"","keyItemMaskOfField":null,"keyOptionIdReplace":"","relatedOptionIds":[],"onlineServices":[],"childCriteriaItemList":[],"clientContextJson":""},{"keyOptionId":"25359","caption":"Splitoff","secondaryCaption":"","isDefault":false,"maskCriteriaOnly":false,"definition":"","keyProductQueryItem":"330794","comparisonOperation":0,"comparisonValue":"39","minimumVersion":"","maximumVersion":"","formOrder":0,"lowerBound":null,"enabled":true,"mask":"","largeMask":"","maskKey":"","keyItemMaskOfField":null,"keyOptionIdReplace":"","relatedOptionIds":[],"onlineServices":[],"childCriteriaItemList":[],"clientContextJson":""}],"clientContextJson":""},{"keyOptionId":"25362","caption":"Successor Issuer Merger","secondaryCaption":"","isDefault":false,"maskCriteriaOnly":false,"definition":"","keyProductQueryItem":"330794","comparisonOperation":0,"comparisonValue":"180","minimumVersion":"","maximumVersion":"","formOrder":0,"lowerBound":null,"enabled":true,"mask":"","largeMask":"","maskKey":"","keyItemMaskOfField":null,"keyOptionIdReplace":"","relatedOptionIds":[],"onlineServices":[],"childCriteriaItemList":[],"clientContextJson":""},{"keyOptionId":"25363","caption":"Tender Offer","secondaryCaption":"","isDefault":false,"maskCriteriaOnly":false,"definition":"","keyProductQueryItem":"330794","comparisonOperation":0,"comparisonValue":"11","minimumVersion":"","maximumVersion":"","formOrder":0,"lowerBound":null,"enabled":true,"mask":"","largeMask":"","maskKey":"","keyItemMaskOfField":null,"keyOptionIdReplace":"","relatedOptionIds":[],"onlineServices":[],"childCriteriaItemList":[{"keyOptionId":"25364","caption":"Tender Offer (Full Bid)","secondaryCaption":"","isDefault":false,"maskCriteriaOnly":false,"definition":"","keyProductQueryItem":"330794","comparisonOperation":0,"comparisonValue":"62","minimumVersion":"","maximumVersion":"","formOrder":0,"lowerBound":null,"enabled":true,"mask":"","largeMask":"","maskKey":"","keyItemMaskOfField":null,"keyOptionIdReplace":"","relatedOptionIds":[],"onlineServices":[],"childCriteriaItemList":[],"clientContextJson":""},{"keyOptionId":"25365","caption":"Tender Offer (Partial Bid)","secondaryCaption":"","isDefault":false,"maskCriteriaOnly":false,"definition":"","keyProductQueryItem":"330794","comparisonOperation":0,"comparisonValue":"63","minimumVersion":"","maximumVersion":"","formOrder":0,"lowerBound":null,"enabled":true,"mask":"","largeMask":"","maskKey":"","keyItemMaskOfField":null,"keyOptionIdReplace":"","relatedOptionIds":[],"onlineServices":[],"childCriteriaItemList":[],"clientContextJson":""},{"keyOptionId":"25366","caption":"Tender Offer (Squeeze Out)","secondaryCaption":"","isDefault":false,"maskCriteriaOnly":</t>
  </si>
  <si>
    <t>false,"definition":"","keyProductQueryItem":"330794","comparisonOperation":0,"comparisonValue":"64","minimumVersion":"","maximumVersion":"","formOrder":0,"lowerBound":null,"enabled":true,"mask":"","largeMask":"","maskKey":"","keyItemMaskOfField":null,"keyOptionIdReplace":"","relatedOptionIds":[],"onlineServices":[],"childCriteriaItemList":[],"clientContextJson":""}],"clientContextJson":""},{"keyOptionId":"25370","caption":"Thrift Merger Conversion","secondaryCaption":"","isDefault":false,"maskCriteriaOnly":false,"definition":"","keyProductQueryItem":"330794","comparisonOperation":0,"comparisonValue":"5","minimumVersion":"","maximumVersion":"","formOrder":0,"lowerBound":null,"enabled":true,"mask":"","largeMask":"","maskKey":"","keyItemMaskOfField":null,"keyOptionIdReplace":"","relatedOptionIds":[],"onlineServices":[],"childCriteriaItemList":[],"clientContextJson":""}],"clientContextJson":""}]},{"filterGroupId":"25371","filterGroupIdReplace":"","caption":"Offerings Feature Type","groupType":2,"optionType":8,"formOrder":100,"minimumVersion":"","maximumVersion":"","onlineServicesEnabled":false,"onlineServices":null,"column":0,"columnFormOrder":100,"criteriaIdName":"","required":false,"dateDefaultType":"","criteriaItemList":[{"keyOptionId":"25372","caption":"All","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25373","caption":"At the Market Offering","secondaryCaption":"","isDefault":false,"maskCriteriaOnly":false,"definition":"","keyProductQueryItem":"311834","comparisonOperation":0,"comparisonValue":"91","minimumVersion":"","maximumVersion":"","formOrder":0,"lowerBound":null,"enabled":true,"mask":"","largeMask":"","maskKey":"","keyItemMaskOfField":null,"keyOptionIdReplace":"","relatedOptionIds":[],"onlineServices":[],"childCriteriaItemList":[],"clientContextJson":""},{"keyOptionId":"25374","caption":"Best Efforts Basis","secondaryCaption":"","isDefault":false,"maskCriteriaOnly":false,"definition":"","keyProductQueryItem":"311834","comparisonOperation":0,"comparisonValue":"92","minimumVersion":"","maximumVersion":"","formOrder":0,"lowerBound":null,"enabled":true,"mask":"","largeMask":"","maskKey":"","keyItemMaskOfField":null,"keyOptionIdReplace":"","relatedOptionIds":[],"onlineServices":[],"childCriteriaItemList":[],"clientContextJson":""},{"keyOptionId":"25375","caption":"Blank Check Blind Pool Company","secondaryCaption":"","isDefault":false,"maskCriteriaOnly":false,"definition":"","keyProductQueryItem":"311834","comparisonOperation":0,"comparisonValue":"115","minimumVersion":"","maximumVersion":"","formOrder":0,"lowerBound":null,"enabled":true,"mask":"","largeMask":"","maskKey":"","keyItemMaskOfField":null,"keyOptionIdReplace":"","relatedOptionIds":[],"onlineServices":[],"childCriteriaItemList":[],"clientContextJson":""},{"keyOptionId":"25397","caption":"Bought Deal","secondaryCaption":"","isDefault":false,"maskCriteriaOnly":false,"definition":"","keyProductQueryItem":"311834","comparisonOperation":0,"comparisonValue":"143","minimumVersion":"","maximumVersion":"","formOrder":0,"lowerBound":null,"enabled":true,"mask":"","largeMask":"","maskKey":"","keyItemMaskOfField":null,"keyOptionIdReplace":"","relatedOptionIds":[],"onlineServices":[],"childCriteriaItemList":[],"clientContextJson":""},{"keyOptionId":"25376","caption":"Carve Out","secondaryCaption":"","isDefault":false,"maskCriteriaOnly":false,"definition":"","keyProductQueryItem":"311834","comparisonOperation":0,"comparisonValue":"97","minimumVersion":"","maximumVersion":"","formOrder":0,"lowerBound":null,"enabled":true,"mask":"","largeMask":"","maskKey":"","keyItemMaskOfField":null,"keyOptionIdReplace":"","relatedOptionIds":[],"onlineServices":[],"childCriteriaItemList":[],"clientContextJson":""},{"keyOptionId":"25377","caption":"De Novo Offering","secondaryCaption":"","isDefault":false,"maskCriteriaOnly":false,"definition":"","keyProductQueryItem":"311834","comparisonOperation":0,"comparisonValue":"162","minimumVersion":"","maximumVersion":"","formOrder":0,"lowerBound":null,"enabled":true,"mask":"","largeMask":"","maskKey":"","keyItemMaskOfField":null,"keyOptionIdReplace":"","relatedOptionIds":[],"onlineServices":[],"childCriteriaItemList":[],"clientContextJson":""},{"keyOptionId":"25378","caption":"Direct Listing","secondaryCaption":"","isDefault":false,"maskCriteriaOnly":false,"definition":"","keyProductQueryItem":"311834","comparisonOperation":0,"comparisonValue":"101","minimumVersion":"","maximumVersion":"","formOrder":0,"lowerBound":null,"enabled":true,"mask":"","largeMask":"","maskKey":"","keyItemMaskOfField":null,"keyOptionIdReplace":"","relatedOptionIds":[],"onlineServices":[],"childCriteriaItemList":[],"clientContextJson":""},{"keyOptionId":"25379","caption":"Dividend Reinvestment Plan","secondaryCaption":"","isDefault":false,"maskCriteriaOnly":false,"definition":"","keyProductQueryItem":"311834","comparisonOperation":0,"comparisonValue":"102","minimumVersion":"","maximumVersion":"","formOrder":0,"lowerBound":null,"enabled":true,"mask":"","largeMask":"","maskKey":"","keyItemMaskOfField":null,"keyOptionIdReplace":"","relatedOptionIds":[],"onlineServices":[],"childCriteriaItemList":[],"clientContextJson":""},{"keyOptionId":"25380","caption":"Employee Stock Ownership Plan Related Offering","secondaryCaption":"","isDefault":false,"maskCriteriaOnly":false,"definition":"","keyProductQueryItem":"311834","comparisonOperation":0,"comparisonValue":"103","minimumVersion":"","maximumVersion":"","formOrder":0,"lowerBound":null,"enabled":true,"mask":"","largeMask":"","maskKey":"","keyItemMaskOfField":null,"keyOptionIdReplace":"","relatedOptionIds":[],"onlineServices":[],"childCriteriaItemList":[],"clientContextJson":""},{"keyOptionId":"25381","caption":"Exchange Offer","secondaryCaption":"","isDefault":false,"maskCriteriaOnly":false,"definition":"","keyProductQueryItem":"311834","comparisonOperation":0,"comparisonValue":"104","minimumVersion":"","maximumVersion":"","formOrder":0,"lowerBound":null,"enabled":true,"mask":"","largeMask":"","maskKey":"","keyItemMaskOfField":null,"keyOptionIdReplace":"","relatedOptionIds":[],"onlineServices":[],"childCriteriaItemList":[],"clientContextJson":""},{"keyOptionId":"25382","caption":"Forward Sale Offering","secondaryCaption":"","isDefault":false,"maskCriteriaOnly":false,"definition":"","keyProductQueryItem":"311834","comparisonOperation":0,"comparisonValue":"151","minimumVersion":"","maximumVersion":"","formOrder":0,"lowerBound":null,"enabled":true,"mask":"","largeMask":"","maskKey":"","keyItemMaskOfField":null,"keyOptionIdReplace":"","relatedOptionIds":[],"onlineServices":[],"childCriteriaItemList":[],"clientContextJson":""},{"keyOptionId":"25383","caption":"Multiclass Serial Offering","secondaryCaption":"","isDefault":false,"maskCriteriaOnly":false,"definition":"","keyProductQueryItem":"311834","comparisonOperation":0,"comparisonValue":"119","minimumVersion":"","maximumVersion":"","formOrder":0,"lowerBound":null,"enabled":true,"mask":"","largeMask":"","maskKey":"","keyItemMaskOfField":null,"keyOptionIdReplace":"","relatedOptionIds":[],"onlineServices":[],"childCriteriaItemList":[],"clientContextJson":""},{"keyOptionId":"25384","caption":"Mutual Conversion","secondaryCaption":"","isDefault":false,"maskCriteriaOnly":false,"definition":"","keyProductQueryItem":"311834","comparisonOperation":0,"co</t>
  </si>
  <si>
    <t>mparisonValue":"98","minimumVersion":"","maximumVersion":"","formOrder":0,"lowerBound":null,"enabled":true,"mask":"","largeMask":"","maskKey":"","keyItemMaskOfField":null,"keyOptionIdReplace":"","relatedOptionIds":[],"onlineServices":[],"childCriteriaItemList":[{"keyOptionId":"25385","caption":"Bank Conversion","secondaryCaption":"","isDefault":false,"maskCriteriaOnly":false,"definition":"","keyProductQueryItem":"311834","comparisonOperation":0,"comparisonValue":"96","minimumVersion":"","maximumVersion":"","formOrder":0,"lowerBound":null,"enabled":true,"mask":"","largeMask":"","maskKey":"","keyItemMaskOfField":null,"keyOptionIdReplace":"","relatedOptionIds":[],"onlineServices":[],"childCriteriaItemList":[],"clientContextJson":""},{"keyOptionId":"25386","caption":"Merger Mutual Conversion","secondaryCaption":"","isDefault":false,"maskCriteriaOnly":false,"definition":"","keyProductQueryItem":"311834","comparisonOperation":0,"comparisonValue":"161","minimumVersion":"","maximumVersion":"","formOrder":0,"lowerBound":null,"enabled":true,"mask":"","largeMask":"","maskKey":"","keyItemMaskOfField":null,"keyOptionIdReplace":"","relatedOptionIds":[],"onlineServices":[],"childCriteriaItemList":[],"clientContextJson":""},{"keyOptionId":"25387","caption":"Mutual Holding Company Mutual Conversion","secondaryCaption":"","isDefault":false,"maskCriteriaOnly":false,"definition":"","keyProductQueryItem":"311834","comparisonOperation":0,"comparisonValue":"159","minimumVersion":"","maximumVersion":"","formOrder":0,"lowerBound":null,"enabled":true,"mask":"","largeMask":"","maskKey":"","keyItemMaskOfField":null,"keyOptionIdReplace":"","relatedOptionIds":[],"onlineServices":[],"childCriteriaItemList":[],"clientContextJson":""},{"keyOptionId":"25388","caption":"Second Stage  Mutual Conversion","secondaryCaption":"","isDefault":false,"maskCriteriaOnly":false,"definition":"","keyProductQueryItem":"311834","comparisonOperation":0,"comparisonValue":"160","minimumVersion":"","maximumVersion":"","formOrder":0,"lowerBound":null,"enabled":true,"mask":"","largeMask":"","maskKey":"","keyItemMaskOfField":null,"keyOptionIdReplace":"","relatedOptionIds":[],"onlineServices":[],"childCriteriaItemList":[],"clientContextJson":""},{"keyOptionId":"25389","caption":"Standard Mutual Conversion","secondaryCaption":"","isDefault":false,"maskCriteriaOnly":false,"definition":"","keyProductQueryItem":"311834","comparisonOperation":0,"comparisonValue":"158","minimumVersion":"","maximumVersion":"","formOrder":0,"lowerBound":null,"enabled":true,"mask":"","largeMask":"","maskKey":"","keyItemMaskOfField":null,"keyOptionIdReplace":"","relatedOptionIds":[],"onlineServices":[],"childCriteriaItemList":[],"clientContextJson":""}],"clientContextJson":""},{"keyOptionId":"25390","caption":"Offering Jurisdiction","secondaryCaption":"","isDefault":false,"maskCriteriaOnly":false,"definition":"","keyProductQueryItem":"311834","comparisonOperation":0,"comparisonValue":"188","minimumVersion":"","maximumVersion":"","formOrder":0,"lowerBound":null,"enabled":true,"mask":"","largeMask":"","maskKey":"","keyItemMaskOfField":null,"keyOptionIdReplace":"","relatedOptionIds":[],"onlineServices":[],"childCriteriaItemList":[{"keyOptionId":"25391","caption":"Domestic Offering Only","secondaryCaption":"","isDefault":false,"maskCriteriaOnly":false,"definition":"","keyProductQueryItem":"311834","comparisonOperation":0,"comparisonValue":"87","minimumVersion":"","maximumVersion":"","formOrder":0,"lowerBound":null,"enabled":true,"mask":"","largeMask":"","maskKey":"","keyItemMaskOfField":null,"keyOptionIdReplace":"","relatedOptionIds":[],"onlineServices":[],"childCriteriaItemList":[],"clientContextJson":""},{"keyOptionId":"25392","caption":"Global and Domestic Offering","secondaryCaption":"","isDefault":false,"maskCriteriaOnly":false,"definition":"","keyProductQueryItem":"311834","comparisonOperation":0,"comparisonValue":"88","minimumVersion":"","maximumVersion":"","formOrder":0,"lowerBound":null,"enabled":true,"mask":"","largeMask":"","maskKey":"","keyItemMaskOfField":null,"keyOptionIdReplace":"","relatedOptionIds":[],"onlineServices":[],"childCriteriaItemList":[],"clientContextJson":""},{"keyOptionId":"25393","caption":"International Offering Only","secondaryCaption":"","isDefault":false,"maskCriteriaOnly":false,"definition":"","keyProductQueryItem":"311834","comparisonOperation":0,"comparisonValue":"89","minimumVersion":"","maximumVersion":"","formOrder":0,"lowerBound":null,"enabled":true,"mask":"","largeMask":"","maskKey":"","keyItemMaskOfField":null,"keyOptionIdReplace":"","relatedOptionIds":[],"onlineServices":[],"childCriteriaItemList":[],"clientContextJson":""},{"keyOptionId":"25394","caption":"New Market Listing","secondaryCaption":"","isDefault":false,"maskCriteriaOnly":false,"definition":"","keyProductQueryItem":"311834","comparisonOperation":0,"comparisonValue":"90","minimumVersion":"","maximumVersion":"","formOrder":0,"lowerBound":null,"enabled":true,"mask":"","largeMask":"","maskKey":"","keyItemMaskOfField":null,"keyOptionIdReplace":"","relatedOptionIds":[],"onlineServices":[],"childCriteriaItemList":[],"clientContextJson":""}],"clientContextJson":""},{"keyOptionId":"25395","caption":"Partially Underwritten","secondaryCaption":"","isDefault":false,"maskCriteriaOnly":false,"definition":"","keyProductQueryItem":"311834","comparisonOperation":0,"comparisonValue":"93","minimumVersion":"","maximumVersion":"","formOrder":0,"lowerBound":null,"enabled":true,"mask":"","largeMask":"","maskKey":"","keyItemMaskOfField":null,"keyOptionIdReplace":"","relatedOptionIds":[],"onlineServices":[],"childCriteriaItemList":[],"clientContextJson":""},{"keyOptionId":"25396","caption":"PIPE or Funding Round Related","secondaryCaption":"","isDefault":false,"maskCriteriaOnly":false,"definition":"","keyProductQueryItem":"311834","comparisonOperation":0,"comparisonValue":"189","minimumVersion":"","maximumVersion":"","formOrder":0,"lowerBound":null,"enabled":true,"mask":"","largeMask":"","maskKey":"","keyItemMaskOfField":null,"keyOptionIdReplace":"","relatedOptionIds":[],"onlineServices":[],"childCriteriaItemList":[{"keyOptionId":"25398","caption":"Change in Control","secondaryCaption":"","isDefault":false,"maskCriteriaOnly":false,"definition":"","keyProductQueryItem":"311834","comparisonOperation":0,"comparisonValue":"130","minimumVersion":"","maximumVersion":"","formOrder":0,"lowerBound":null,"enabled":true,"mask":"","largeMask":"","maskKey":"","keyItemMaskOfField":null,"keyOptionIdReplace":"","relatedOptionIds":[],"onlineServices":[],"childCriteriaItemList":[],"clientContextJson":""},{"keyOptionId":"25399","caption":"Convertible Debt","secondaryCaption":"","isDefault":false,"maskCriteriaOnly":false,"definition":"","keyProductQueryItem":"311834","comparisonOperation":0,"comparisonValue":"133","minimumVersion":"","maximumVersion":"","formOrder":0,"lowerBound":null,"enabled":true,"mask":"","largeMask":"","maskKey":"","keyItemMaskOfField":null,"keyOptionIdReplace":"","relatedOptionIds":[],"onlineServices":[],"childCriteriaItemList":[],"clientContextJson":""},{"keyOptionId":"25400","caption":"Convertible Equity","secondaryCaption":"","isDefault":false,"maskCriteriaOnly":false,"definition":"","keyProductQueryItem":"311834","comparisonOperation":0,"comparisonValue":"134","minimumVersion":"","maximumVersion":"","formOrder":0,"lowerBound":null,"enabled":true,"mask":"","largeMask":"","maskKey":"","keyItemMaskOfField":null,"keyOptionIdReplace":"","relatedOptionIds":[],"onlineServices":[],"childCriteriaItemList":[],"clientContextJson":""},{"keyOptionId":"25401","caption":"Equity Line","secondaryCaption":"","isDefault":false,"maskCriteriaOnly":false,"def</t>
  </si>
  <si>
    <t>inition":"","keyProductQueryItem":"311834","comparisonOperation":0,"comparisonValue":"128","minimumVersion":"","maximumVersion":"","formOrder":0,"lowerBound":null,"enabled":true,"mask":"","largeMask":"","maskKey":"","keyItemMaskOfField":null,"keyOptionIdReplace":"","relatedOptionIds":[],"onlineServices":[],"childCriteriaItemList":[],"clientContextJson":""},{"keyOptionId":"25402","caption":"Flow Through Share","secondaryCaption":"","isDefault":false,"maskCriteriaOnly":false,"definition":"","keyProductQueryItem":"311834","comparisonOperation":0,"comparisonValue":"155","minimumVersion":"","maximumVersion":"","formOrder":0,"lowerBound":null,"enabled":true,"mask":"","largeMask":"","maskKey":"","keyItemMaskOfField":null,"keyOptionIdReplace":"","relatedOptionIds":[],"onlineServices":[],"childCriteriaItemList":[],"clientContextJson":""},{"keyOptionId":"25403","caption":"Foreign Investment","secondaryCaption":"","isDefault":false,"maskCriteriaOnly":false,"definition":"","keyProductQueryItem":"311834","comparisonOperation":0,"comparisonValue":"142","minimumVersion":"","maximumVersion":"","formOrder":0,"lowerBound":null,"enabled":true,"mask":"","largeMask":"","maskKey":"","keyItemMaskOfField":null,"keyOptionIdReplace":"","relatedOptionIds":[],"onlineServices":[],"childCriteriaItemList":[],"clientContextJson":""},{"keyOptionId":"25404","caption":"Government Support","secondaryCaption":"","isDefault":false,"maskCriteriaOnly":false,"definition":"","keyProductQueryItem":"311834","comparisonOperation":0,"comparisonValue":"141","minimumVersion":"","maximumVersion":"","formOrder":0,"lowerBound":null,"enabled":true,"mask":"","largeMask":"","maskKey":"","keyItemMaskOfField":null,"keyOptionIdReplace":"","relatedOptionIds":[],"onlineServices":[],"childCriteriaItemList":[],"clientContextJson":""},{"keyOptionId":"25405","caption":"Incubation","secondaryCaption":"","isDefault":false,"maskCriteriaOnly":false,"definition":"","keyProductQueryItem":"311834","comparisonOperation":0,"comparisonValue":"127","minimumVersion":"","maximumVersion":"","formOrder":0,"lowerBound":null,"enabled":true,"mask":"","largeMask":"","maskKey":"","keyItemMaskOfField":null,"keyOptionIdReplace":"","relatedOptionIds":[],"onlineServices":[],"childCriteriaItemList":[],"clientContextJson":""},{"keyOptionId":"25406","caption":"Individual Investors Participated","secondaryCaption":"","isDefault":false,"maskCriteriaOnly":false,"definition":"","keyProductQueryItem":"311834","comparisonOperation":0,"comparisonValue":"139","minimumVersion":"","maximumVersion":"","formOrder":0,"lowerBound":null,"enabled":true,"mask":"","largeMask":"","maskKey":"","keyItemMaskOfField":null,"keyOptionIdReplace":"","relatedOptionIds":[],"onlineServices":[],"childCriteriaItemList":[],"clientContextJson":""},{"keyOptionId":"25407","caption":"Majority Stake Investment","secondaryCaption":"","isDefault":false,"maskCriteriaOnly":false,"definition":"","keyProductQueryItem":"311834","comparisonOperation":0,"comparisonValue":"132","minimumVersion":"","maximumVersion":"","formOrder":0,"lowerBound":null,"enabled":true,"mask":"","largeMask":"","maskKey":"","keyItemMaskOfField":null,"keyOptionIdReplace":"","relatedOptionIds":[],"onlineServices":[],"childCriteriaItemList":[],"clientContextJson":""},{"keyOptionId":"25408","caption":"Management Participated","secondaryCaption":"","isDefault":false,"maskCriteriaOnly":false,"definition":"","keyProductQueryItem":"311834","comparisonOperation":0,"comparisonValue":"140","minimumVersion":"","maximumVersion":"","formOrder":0,"lowerBound":null,"enabled":true,"mask":"","largeMask":"","maskKey":"","keyItemMaskOfField":null,"keyOptionIdReplace":"","relatedOptionIds":[],"onlineServices":[],"childCriteriaItemList":[],"clientContextJson":""},{"keyOptionId":"25409","caption":"Mezzanine","secondaryCaption":"","isDefault":false,"maskCriteriaOnly":false,"definition":"","keyProductQueryItem":"311834","comparisonOperation":0,"comparisonValue":"137","minimumVersion":"","maximumVersion":"","formOrder":0,"lowerBound":null,"enabled":true,"mask":"","largeMask":"","maskKey":"","keyItemMaskOfField":null,"keyOptionIdReplace":"","relatedOptionIds":[],"onlineServices":[],"childCriteriaItemList":[],"clientContextJson":""},{"keyOptionId":"25410","caption":"Minority Stake Investment","secondaryCaption":"","isDefault":false,"maskCriteriaOnly":false,"definition":"","keyProductQueryItem":"311834","comparisonOperation":0,"comparisonValue":"131","minimumVersion":"","maximumVersion":"","formOrder":0,"lowerBound":null,"enabled":true,"mask":"","largeMask":"","maskKey":"","keyItemMaskOfField":null,"keyOptionIdReplace":"","relatedOptionIds":[],"onlineServices":[],"childCriteriaItemList":[],"clientContextJson":""},{"keyOptionId":"25411","caption":"Multiple Tranches","secondaryCaption":"","isDefault":false,"maskCriteriaOnly":false,"definition":"","keyProductQueryItem":"311834","comparisonOperation":0,"comparisonValue":"144","minimumVersion":"","maximumVersion":"","formOrder":0,"lowerBound":null,"enabled":true,"mask":"","largeMask":"","maskKey":"","keyItemMaskOfField":null,"keyOptionIdReplace":"","relatedOptionIds":[],"onlineServices":[],"childCriteriaItemList":[],"clientContextJson":""},{"keyOptionId":"25412","caption":"PIPE","secondaryCaption":"","isDefault":false,"maskCriteriaOnly":false,"definition":"","keyProductQueryItem":"311834","comparisonOperation":0,"comparisonValue":"150","minimumVersion":"","maximumVersion":"","formOrder":0,"lowerBound":null,"enabled":true,"mask":"","largeMask":"","maskKey":"","keyItemMaskOfField":null,"keyOptionIdReplace":"","relatedOptionIds":[],"onlineServices":[],"childCriteriaItemList":[],"clientContextJson":""},{"keyOptionId":"25413","caption":"Pre-IPO","secondaryCaption":"","isDefault":false,"maskCriteriaOnly":false,"definition":"","keyProductQueryItem":"311834","comparisonOperation":0,"comparisonValue":"129","minimumVersion":"","maximumVersion":"","formOrder":0,"lowerBound":null,"enabled":true,"mask":"","largeMask":"","maskKey":"","keyItemMaskOfField":null,"keyOptionIdReplace":"","relatedOptionIds":[],"onlineServices":[],"childCriteriaItemList":[],"clientContextJson":""},{"keyOptionId":"25414","caption":"Recapitalization","secondaryCaption":"","isDefault":false,"maskCriteriaOnly":false,"definition":"","keyProductQueryItem":"311834","comparisonOperation":0,"comparisonValue":"121","minimumVersion":"","maximumVersion":"","formOrder":0,"lowerBound":null,"enabled":true,"mask":"","largeMask":"","maskKey":"","keyItemMaskOfField":null,"keyOptionIdReplace":"","relatedOptionIds":[],"onlineServices":[],"childCriteriaItemList":[],"clientContextJson":""},{"keyOptionId":"25415","caption":"Regulation D","secondaryCaption":"","isDefault":false,"maskCriteriaOnly":false,"definition":"","keyProductQueryItem":"311834","comparisonOperation":0,"comparisonValue":"145","minimumVersion":"","maximumVersion":"","formOrder":0,"lowerBound":null,"enabled":true,"mask":"","largeMask":"","maskKey":"","keyItemMaskOfField":null,"keyOptionIdReplace":"","relatedOptionIds":[],"onlineServices":[],"childCriteriaItemList":[],"clientContextJson":""},{"keyOptionId":"25416","caption":"Terms not Disclosed","secondaryCaption":"","isDefault":false,"maskCriteriaOnly":false,"definition":"","keyProductQueryItem":"311834","comparisonOperation":0,"comparisonValue":"136","minimumVersion":"","maximumVersion":"","formOrder":0,"lowerBound":null,"enabled":true,"mask":"","largeMask":"","maskKey":"","keyItemMaskOfField":null,"keyOptionIdReplace":"","relatedOptionIds":[],"onlineServices":[],"childCriteriaItemList":[],"clientContextJson":""},{"keyOptionId":"25417","caption":"Venture Debt","secondaryCaption":"","isDefault":false,"maskCriteriaOnly":fals</t>
  </si>
  <si>
    <t>e,"definition":"","keyProductQueryItem":"311834","comparisonOperation":0,"comparisonValue":"138","minimumVersion":"","maximumVersion":"","formOrder":0,"lowerBound":null,"enabled":true,"mask":"","largeMask":"","maskKey":"","keyItemMaskOfField":null,"keyOptionIdReplace":"","relatedOptionIds":[],"onlineServices":[],"childCriteriaItemList":[],"clientContextJson":""},{"keyOptionId":"25418","caption":"Warrants","secondaryCaption":"","isDefault":false,"maskCriteriaOnly":false,"definition":"","keyProductQueryItem":"311834","comparisonOperation":0,"comparisonValue":"135","minimumVersion":"","maximumVersion":"","formOrder":0,"lowerBound":null,"enabled":true,"mask":"","largeMask":"","maskKey":"","keyItemMaskOfField":null,"keyOptionIdReplace":"","relatedOptionIds":[],"onlineServices":[],"childCriteriaItemList":[],"clientContextJson":""}],"clientContextJson":""},{"keyOptionId":"25419","caption":"Private Placement","secondaryCaption":"","isDefault":false,"maskCriteriaOnly":false,"definition":"","keyProductQueryItem":"311834","comparisonOperation":0,"comparisonValue":"175","minimumVersion":"","maximumVersion":"","formOrder":0,"lowerBound":null,"enabled":true,"mask":"","largeMask":"","maskKey":"","keyItemMaskOfField":null,"keyOptionIdReplace":"","relatedOptionIds":[],"onlineServices":[],"childCriteriaItemList":[],"clientContextJson":""},{"keyOptionId":"25445","caption":"Private Placement (ex. 144a and Reg S)","secondaryCaption":"","isDefault":false,"maskCriteriaOnly":false,"definition":"","keyProductQueryItem":"311834","comparisonOperation":0,"comparisonValue":"191","minimumVersion":"","maximumVersion":"","formOrder":0,"lowerBound":null,"enabled":true,"mask":"","largeMask":"","maskKey":"","keyItemMaskOfField":null,"keyOptionIdReplace":"","relatedOptionIds":[],"onlineServices":[],"childCriteriaItemList":[],"clientContextJson":""},{"keyOptionId":"25420","caption":"Privatization of Government Entity","secondaryCaption":"","isDefault":false,"maskCriteriaOnly":false,"definition":"","keyProductQueryItem":"311834","comparisonOperation":0,"comparisonValue":"99","minimumVersion":"","maximumVersion":"","formOrder":0,"lowerBound":null,"enabled":true,"mask":"","largeMask":"","maskKey":"","keyItemMaskOfField":null,"keyOptionIdReplace":"","relatedOptionIds":[],"onlineServices":[],"childCriteriaItemList":[],"clientContextJson":""},{"keyOptionId":"25421","caption":"Prospectus Delivered Under Rule 434","secondaryCaption":"","isDefault":false,"maskCriteriaOnly":false,"definition":"","keyProductQueryItem":"311834","comparisonOperation":0,"comparisonValue":"120","minimumVersion":"","maximumVersion":"","formOrder":0,"lowerBound":null,"enabled":true,"mask":"","largeMask":"","maskKey":"","keyItemMaskOfField":null,"keyOptionIdReplace":"","relatedOptionIds":[],"onlineServices":[],"childCriteriaItemList":[],"clientContextJson":""},{"keyOptionId":"25422","caption":"Registered Direct Offering","secondaryCaption":"","isDefault":false,"maskCriteriaOnly":false,"definition":"","keyProductQueryItem":"311834","comparisonOperation":0,"comparisonValue":"105","minimumVersion":"","maximumVersion":"","formOrder":0,"lowerBound":null,"enabled":true,"mask":"","largeMask":"","maskKey":"","keyItemMaskOfField":null,"keyOptionIdReplace":"","relatedOptionIds":[],"onlineServices":[],"childCriteriaItemList":[],"clientContextJson":""},{"keyOptionId":"25423","caption":"Regulation S","secondaryCaption":"","isDefault":false,"maskCriteriaOnly":false,"definition":"","keyProductQueryItem":"311834","comparisonOperation":0,"comparisonValue":"106","minimumVersion":"","maximumVersion":"","formOrder":0,"lowerBound":null,"enabled":true,"mask":"","largeMask":"","maskKey":"","keyItemMaskOfField":null,"keyOptionIdReplace":"","relatedOptionIds":[],"onlineServices":[],"childCriteriaItemList":[],"clientContextJson":""},{"keyOptionId":"25424","caption":"Re-IPO","secondaryCaption":"","isDefault":false,"maskCriteriaOnly":false,"definition":"","keyProductQueryItem":"311834","comparisonOperation":0,"comparisonValue":"174","minimumVersion":"","maximumVersion":"","formOrder":0,"lowerBound":null,"enabled":true,"mask":"","largeMask":"","maskKey":"","keyItemMaskOfField":null,"keyOptionIdReplace":"","relatedOptionIds":[],"onlineServices":[],"childCriteriaItemList":[],"clientContextJson":""},{"keyOptionId":"25425","caption":"Reserved Share Offering","secondaryCaption":"","isDefault":false,"maskCriteriaOnly":false,"definition":"","keyProductQueryItem":"311834","comparisonOperation":0,"comparisonValue":"107","minimumVersion":"","maximumVersion":"","formOrder":0,"lowerBound":null,"enabled":true,"mask":"","largeMask":"","maskKey":"","keyItemMaskOfField":null,"keyOptionIdReplace":"","relatedOptionIds":[],"onlineServices":[],"childCriteriaItemList":[],"clientContextJson":""},{"keyOptionId":"25426","caption":"Rights Offering","secondaryCaption":"","isDefault":false,"maskCriteriaOnly":false,"definition":"","keyProductQueryItem":"311834","comparisonOperation":0,"comparisonValue":"108","minimumVersion":"","maximumVersion":"","formOrder":0,"lowerBound":null,"enabled":true,"mask":"","largeMask":"","maskKey":"","keyItemMaskOfField":null,"keyOptionIdReplace":"","relatedOptionIds":[],"onlineServices":[],"childCriteriaItemList":[],"clientContextJson":""},{"keyOptionId":"25427","caption":"Rule 144A","secondaryCaption":"","isDefault":false,"maskCriteriaOnly":false,"definition":"","keyProductQueryItem":"311834","comparisonOperation":0,"comparisonValue":"109","minimumVersion":"","maximumVersion":"","formOrder":0,"lowerBound":null,"enabled":true,"mask":"","largeMask":"","maskKey":"","keyItemMaskOfField":null,"keyOptionIdReplace":"","relatedOptionIds":[],"onlineServices":[],"childCriteriaItemList":[],"clientContextJson":""},{"keyOptionId":"25428","caption":"Sales Agency Agreement","secondaryCaption":"","isDefault":false,"maskCriteriaOnly":false,"definition":"","keyProductQueryItem":"311834","comparisonOperation":0,"comparisonValue":"157","minimumVersion":"","maximumVersion":"","formOrder":0,"lowerBound":null,"enabled":true,"mask":"","largeMask":"","maskKey":"","keyItemMaskOfField":null,"keyOptionIdReplace":"","relatedOptionIds":[],"onlineServices":[],"childCriteriaItemList":[],"clientContextJson":""},{"keyOptionId":"25429","caption":"Securities Registered Under Rule 462(b)","secondaryCaption":"","isDefault":false,"maskCriteriaOnly":false,"definition":"","keyProductQueryItem":"311834","comparisonOperation":0,"comparisonValue":"125","minimumVersion":"","maximumVersion":"","formOrder":0,"lowerBound":null,"enabled":true,"mask":"","largeMask":"","maskKey":"","keyItemMaskOfField":null,"keyOptionIdReplace":"","relatedOptionIds":[],"onlineServices":[],"childCriteriaItemList":[],"clientContextJson":""},{"keyOptionId":"25430","caption":"Self Underwritten","secondaryCaption":"","isDefault":false,"maskCriteriaOnly":false,"definition":"","keyProductQueryItem":"311834","comparisonOperation":0,"comparisonValue":"94","minimumVersion":"","maximumVersion":"","formOrder":0,"lowerBound":null,"enabled":true,"mask":"","largeMask":"","maskKey":"","keyItemMaskOfField":null,"keyOptionIdReplace":"","relatedOptionIds":[],"onlineServices":[],"childCriteriaItemList":[],"clientContextJson":""},{"keyOptionId":"25431","caption":"Securities Offered by Company","secondaryCaption":"","isDefault":false,"maskCriteriaOnly":false,"definition":"","keyProductQueryItem":"311834","comparisonOperation":0,"comparisonValue":"113","minimumVersion":"","maximumVersion":"","formOrder":0,"lowerBound":null,"enabled":true,"mask":"","largeMask":"","maskKey":"","keyItemMaskOfField":null,"keyOptionIdReplace":"","relatedOptionIds":[],"onlineServices":[],"childCriteriaItemList":[],"clientContextJson":""},{"keyO</t>
  </si>
  <si>
    <t>ull,"operator":7,"queryItemId":"00000000-0000-0000-0000-000000000000","relativeOperation":false,"sortOrder":null,"sortStyle":null,"supressSelect":false,"value":"'0'","valueField":null},{"rankingMappingGUID":null,"rankingSubVQAlias":null,"beginGroup":false,"connector":0,"displayText":null,"endGroup":false,"field":{"displayName":null,"displayType":null,"displayUnits":null,"exportFieldKey":null,"fieldKey":"301818","foreignPerspective":null,"originalRequestField":null,"secondaryKeys":[]},"functionName":null,"invariantValue":null,"isRankScreeningQueryLine":false,"listKey":null,"mathOperator":0,"mathValue":null,"operator":22,"queryItemId":"00000000-0000-0000-0000-000000000000","relativeOperation":false,"sortOrder":null,"sortStyle":null,"supressSelect":false,"value":"","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</si>
  <si>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clientContext":null,"committedRefresh":false,"conversionInformation":null,"enforceItemEntitlements":false,"extensionPropertiesJson":"{\"UserDefinedFormulas\":[],\"HideQueryFilter\":false,\"ChartDetails\":[]}","functionRequests":[{"conversionInfo":null,"displayConstituentKeys":null,"enableSourceTagging":false,"enforceItemEntitlements":false,"fields":null,"functionId":0,"groupBy":null,"groupByField":null,"ignoreCache":false,"keys":null,"keysAdded":null,"keysDeleted":null,"operationType":22,"perspective":"275259","propDataUserContext":null,"query":{"baseCompany":null,"keySavedSet":"e05f018a-a001-4ec2-bedc-04a656d05803","conversionInformation":{"keyCurrency":"USD","measurementStandard":0,"conversionMode":0,"magnitudeOverride":null,"keyForeignLanguage":null,"keyForeignLanguageSecondary":null,"dataLanguage":"en-US","culture":null,"requestCulture":null,"reportingBasis":null,"nullValue":"NA","headerCurrency":null,"dataSource":null,"dateComparison":null,"industryClassification":null},"countsQuery":false,"dateCreated":"2023-06-27T00:19:11.977-04:00","extensionPropertiesJson":null,"keyPerspective":"275259","name":"WACC_DEBTQ","queryFilters":[{"filterGroupId":"8085","filterGroupIdReplace":"","caption":"Transaction Type","groupType":2,"optionType":8,"formOrder":10,"minimumVersion":"","maximumVersion":"","onlineServicesEnabled":false,"onlineServices":null,"column":0,"columnFormOrder":10,"criteriaIdName":"","required":true,"dateDefaultType":"","criteriaItemList":[{"keyOptionId":"8086","caption":"All Transaction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8087","caption":"M&amp;A","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8088","caption":"Acquisition of Whole Company (incl. Majority Stake)","secondaryCaption":"","isDefault":true,"maskCriteriaOnly":false,"definition":"","keyProductQueryItem":"299101","comparisonOperation":0,"comparisonValue":"5","minimumVersion":"","maximumVersion":"","formOrder":0,"lowerBound":null,"enabled":true,"mask":"","largeMask":"","maskKey":"","keyItemMaskOfField":null,"keyOptionIdReplace":"","relatedOptionIds":[],"onlineServices":[],"childCriteriaItemList":[],"clientContextJson":""},{"keyOptionId":"8089","caption":"Acquisition of Minority Stake","secondaryCaption":"","isDefault":true,"maskCriteriaOnly":false,"definition":"","keyProductQueryItem":"299101","comparisonOperation":0,"comparisonValue":"6","minimumVersion":"","maximumVersion":"","formOrder":0,"lowerBound":null,"enabled":true,"mask":"","largeMask":"","maskKey":"","keyItemMaskOfField":null,"keyOptionIdReplace":"","relatedOptionIds":[],"onlineServices":[],"childCriteriaItemList":[],"clientContextJson":""},{"keyOptionId":"8090","caption":"Acquisition of Asset or Branch","secondaryCaption":"","isDefault":true,"maskCriteriaOnly":false,"definition":"","keyProductQueryItem":"299101","comparisonOperation":0,"comparisonValue":"7","minimumVersion":"","maximumVersion":"","formOrder":0,"lowerBound":null,"enabled":true,"mask":"","largeMask":"","maskKey":"","keyItemMaskOfField":null,"keyOptionIdReplace":"","relatedOptionIds":[],"onlineServices":[],"childCriteriaItemList":[],"clientContextJson":""},{"keyOptionId":"9742","caption":"Spinoff or Splitoff","secondaryCaption":"","isDefault":true,"maskCriteriaOnly":false,"definition":"","keyProductQueryItem":"299101","comparisonOperation":0,"comparisonValue":"21","minimumVersion":"","maximumVersion":"","formOrder":0,"lowerBound":null,"enabled":true,"mask":"","largeMask":"","maskKey":"","keyItemMaskOfField":null,"keyOptionIdReplace":"","relatedOptionIds":[],"onlineServices":[],"childCriteriaItemList":[],"clientContextJson":""}],"clientContextJson":""},{"keyOptionId":"8091","caption":"Equity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8092","caption":"Initial Public Offering","secondaryCaption":"","isDefault":true,"maskCriteriaOnly":false,"definition":"","keyProductQueryItem":"299101","comparisonOperation":0,"comparisonValue":"8","minimumVersion":"","maximumVersion":"","formOrder":0,"lowerBound":null,"enabled":true,"mask":"","largeMask":"","maskKey":"","keyItemMaskOfField":null,"keyOptionIdReplace":"","relatedOptionIds":[],"onlineServices":[],"childCriteriaItemList":[],"clientContextJson":""},{"keyOptionId":"8093","caption":"Follow-on","secondaryCaption":"","isDefault":true,"maskCriteriaOnly":false,"definition":"","keyProductQueryItem":"299101","comparisonOperation":0,"comparisonValue":"9","minimumVersion":"","maximumVersion":"","formOrder":0,"lowerBound":null,"enabled":true,"mask":"","largeMask":"","maskKey":"","keyItemMaskOfField":null,"keyOptionIdReplace":"","relatedOptionIds":[],"onlineServices":[],"childCriteriaItemList":[],"clientContextJson":""},{"keyOptionId":"8094","caption":"Convertible","secondaryCaption":"","isDefault":true,"maskCriteriaOnly":false,"definition":"","keyProductQueryItem":"299101","comparisonOperation":0,"comparisonValue":"10","minimumVersion":"","maximumVersion":"","formOrder":0,"lowerBound":null,"enabled":true,"mask":"","largeMask":"","maskKey":"","keyItemMaskOfField":null,"keyOptionIdReplace":"","relatedOptionIds":[],"onlineServices":[],"childCriteriaItemList":[],"clientContextJson":""}],"clientContextJson":""},{"keyOptionId":"8095","caption":"Debt Capital Markets","secondaryCaption":"","isDefault":false,"maskCriteriaOnly":true,"definition":"","keyProductQueryItem":"","comparisonOperation":null,"comparisonValue":"","minimumVersion":"","maximumVersion":"","formOrder":0,"lowerBound":null,"enabled":true,"mask":"","largeMask":"","maskKey":"","keyItemMaskOfField":null,"keyOptionIdReplace":"","relatedOptionIds":[],"onlineServices":[],"childCriteriaItemList":[{"keyOptionId":"8096","caption":"Preferred Security","secondaryCaption":"","isDefault":true,"maskCriteriaOnly":false,"definition":"","keyProductQueryItem":"299101","comparisonOperation":0,"comparisonValue":"11","minimumVersion":"","maximumVersion":"","formOrder":0,"lowerBound":null,"enabled":true,"mask":"","largeMask":"","maskKey":"","keyItemMaskOfField":null,"keyOptionIdReplace":"","relatedOptionIds":[],"onlineServices":[],"childCriteriaItemList":[],"clientContextJson":""},{"keyOptionId":"8097","caption":"Non-convertible Debt","secondaryCaption":"","isDefault":true,"maskCriteriaOnly":false,"definition":"","keyProductQueryItem":"299101","comparisonOperation":0,"comparisonValue":"12","minimumVersion":"","maximumVersion":"","formOrder":0,"lowerBound":null,"enabled":true,"mask":"","largeMask":"","maskKey":"","keyItemMaskOfField":null,"keyOptionIdReplace":"","relatedOptionIds":[],"onlineServices":[],"childCriteriaItemList":[],"clientContextJson":""}],"clientContextJson":""}</t>
  </si>
  <si>
    <t>yKeys":[]},"functionName":null,"invariantValue":null,"isRankScreeningQueryLine":false,"listKey":null,"mathOperator":0,"mathValue":null,"operator":7,"queryItemId":"00000000-0000-0000-0000-000000000000","relativeOperation":false,"sortOrder":null,"sortStyle":null,"supressSelect":false,"value":"'0'","valueField":null},{"rankingMappingGUID":null,"rankingSubVQAlias":null,"beginGroup":false,"connector":0,"displayText":null,"endGroup":false,"field":{"displayName":null,"displayType":null,"displayUnits":null,"exportFieldKey":null,"fieldKey":"301818","foreignPerspective":null,"originalRequestField":null,"secondaryKeys":[]},"functionName":null,"invariantValue":null,"isRankScreeningQueryLine":false,"listKey":null,"mathOperator":0,"mathValue":null,"operator":22,"queryItemId":"00000000-0000-0000-0000-000000000000","relativeOperation":false,"sortOrder":null,"sortStyle":null,"supressSelect":false,"value":"","valueField":null}]},{"groupName":"WhiteAndBlackListCriteria","queryLines":[]}],"saveQueryType":0,"standardDeviationQuery":false,"version":null},"reports":null,"showProductMagnitude":false,"skip":0,"sortBy":null,"sortDesc":false,"sourceTimeZoneIDItemKey":null,"timeoutOverride":0,"top":0,"useNewOnPremDomain":false}],"saveQueryType":0,"sourceTimeZoneIDItemKey":null}</t>
  </si>
  <si>
    <t>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DUMMY_KEY","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Preferred Security','Preferred Security'","valueField":null},{"rankingMappingGUID":null,"rankingSubVQAlias":null,"beginGroup":false,"connector":0,"displayText":null,"endGroup":false,"field":{"displayName":null,"displayType":null,"displayUnits":null,"exportFieldKey":null,"fieldKey":"301857","foreignPerspective":null,"originalRequestField":null,"secondaryKeys":[]},"functionName":null,"invariantValue":null,"isRankScreeningQueryLine":false,"listKey":null,"mathOperator":0,"mathValue":n</t>
  </si>
  <si>
    <t>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DUMMY_KEY","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Subsidiary Trust Preferred','Senior Debt','GIC-backed Note','Subordinated Debt','Senior Subordinated Debt','Junior Subordinated Debt','Subsidiary Pfd Partnership Interest'","valueField":null},{"rankingMappingGUID":null,"rankingSubVQAlias":null,"beginGroup":false,"connector":0,"displayText":null,"endGroup":false,"field":{"displayName":null,"displayType":null,"displayUnits":null,"exportFieldKey":null,"fieldKey":"301857","foreignPerspective":null,"originalRequestField":null,"secondar</t>
  </si>
  <si>
    <t>Cost of Preferred Equity, and Market Return.</t>
  </si>
  <si>
    <t xml:space="preserve">4) Manual override options are provided for Risk-free rate, Cost of Debt, </t>
  </si>
  <si>
    <t>在说明的第 2 步中输入。</t>
  </si>
  <si>
    <t>在說明的第 2 步中輸入。</t>
  </si>
  <si>
    <t>手順のステップ 2 に入力します。</t>
  </si>
  <si>
    <t>introducido en el Paso 2 de las Instrucciones.</t>
  </si>
  <si>
    <t>entrée à l'étape 2 des Instructions.</t>
  </si>
  <si>
    <t>inserito al Passo 2 delle Istruzioni.</t>
  </si>
  <si>
    <t>지침의 2단계에 입력했습니다.</t>
  </si>
  <si>
    <t>введенный в Шаге 2 Инструкций.</t>
  </si>
  <si>
    <t>inserido no Passo 2 das Instruções.</t>
  </si>
  <si>
    <t>2) 如果截至期末日尚未发行债券，则平均</t>
  </si>
  <si>
    <t>2) 如果截至期末日尚未發行債券，則平均</t>
  </si>
  <si>
    <t>2) 期末日時点で社債発行がない場合、平均</t>
  </si>
  <si>
    <t>2) Si no hay emisiones de bonos disponibles a la fecha de cierre del período, entonces el promedio de</t>
  </si>
  <si>
    <t>2) Wenn zum Periodenenddatum keine Anleiheemissionen verfügbar sind, beträgt der Durchschnitt</t>
  </si>
  <si>
    <t>2) Si aucune émission d'obligations n'est disponible à la date de clôture de la période, alors la moyenne des</t>
  </si>
  <si>
    <t>2) Se non sono disponibili emissioni obbligazionarie alla data di fine periodo, la media di</t>
  </si>
  <si>
    <t>2) 기간종료일 현재 사채발행이 없는 경우의 평균</t>
  </si>
  <si>
    <t>2) Если на дату окончания периода нет выпусков облигаций, то среднее</t>
  </si>
  <si>
    <t>2) Se nenhuma emissão de títulos estiver disponível na data final do período, a média de</t>
  </si>
  <si>
    <t>最近发行的5只债券以最近发行的债券为准。</t>
  </si>
  <si>
    <t>最近發行的5只債券以最近發行的債券為準。</t>
  </si>
  <si>
    <t>最近発行された 5 つの債券は最新の発行に基づいています。</t>
  </si>
  <si>
    <t>los últimos 5 bonos emitidos se basa en la emisión más reciente.</t>
  </si>
  <si>
    <t>Die Berechnung der letzten 5 ausgegebenen Anleihen basiert auf der jüngsten Emission.</t>
  </si>
  <si>
    <t>les 5 dernières obligations émises sont basées sur l'émission la plus récente.</t>
  </si>
  <si>
    <t>le ultime 5 obbligazioni emesse si basano sull'emissione più recente.</t>
  </si>
  <si>
    <t>마지막으로 발행된 5개의 채권은 가장 최근에 발행된 채권을 기반으로 합니다.</t>
  </si>
  <si>
    <t>последние 5 выпущенных облигаций основаны на самой последней эмиссии.</t>
  </si>
  <si>
    <t>os últimos 5 títulos emitidos são baseados na emissão mais recente.</t>
  </si>
  <si>
    <t>3) 该模型仅包括焦点公司发行的证券。</t>
  </si>
  <si>
    <t>3) 該模型僅包括焦點公司發行的證券。</t>
  </si>
  <si>
    <t>3) このモデルには、焦点会社が発行した証券のみが含まれています。</t>
  </si>
  <si>
    <t>3) El modelo incluye únicamente los valores emitidos por la empresa foco.</t>
  </si>
  <si>
    <t>3) Das Modell berücksichtigt nur die vom Fokusunternehmen ausgegebenen Wertpapiere.</t>
  </si>
  <si>
    <t>3) Le modèle ne comprend que les titres émis par la société cible.</t>
  </si>
  <si>
    <t>3) Il modello include solo i titoli emessi dalla società focus.</t>
  </si>
  <si>
    <t>3) 모델에는 포커스 회사가 발행한 증권만 포함됩니다.</t>
  </si>
  <si>
    <t>3) Модель включает только ценные бумаги, выпущенные фокусной компанией.</t>
  </si>
  <si>
    <t>3) O modelo inclui apenas os títulos emitidos pela empresa foco.</t>
  </si>
  <si>
    <t>4) 为无风险利率、债务成本、</t>
  </si>
  <si>
    <t>4) 為無風險利率、債務成本、</t>
  </si>
  <si>
    <t>4) リスクフリーレート、負債コスト、</t>
  </si>
  <si>
    <t>4) Se proporcionan opciones de anulación manual para tasa libre de riesgo, costo de la deuda,</t>
  </si>
  <si>
    <t>4) Es stehen manuelle Überschreibungsoptionen für den risikofreien Zinssatz, die Schuldenkosten usw. zur Verfügung.</t>
  </si>
  <si>
    <t>4) Des options de remplacement manuel sont fournies pour le taux sans risque, le coût de la dette,</t>
  </si>
  <si>
    <t>4) Sono previste opzioni di override manuale per tasso privo di rischio, costo del debito,</t>
  </si>
  <si>
    <t>4) 무위험 금리, 부채 비용,</t>
  </si>
  <si>
    <t>4) Предусмотрены варианты ручной коррекции для безрисковой ставки, стоимости долга,</t>
  </si>
  <si>
    <t>4) Opções de substituição manual são fornecidas para taxa livre de risco, custo da dívida,</t>
  </si>
  <si>
    <t>优先股成本和市场回报。</t>
  </si>
  <si>
    <t>優先股成本和市場回報。</t>
  </si>
  <si>
    <t>優先株式のコストと市場収益。</t>
  </si>
  <si>
    <t>Costo de acciones preferentes y rentabilidad del mercado.</t>
  </si>
  <si>
    <t>Kosten des Vorzugskapitals und Marktrendite.</t>
  </si>
  <si>
    <t>Coût des actions privilégiées et rendement du marché.</t>
  </si>
  <si>
    <t>Costo dell'equità privilegiata e rendimento di mercato.</t>
  </si>
  <si>
    <t>우선주 비용 및 시장 수익률.</t>
  </si>
  <si>
    <t>Стоимость привилегированного капитала и рыночная доходность.</t>
  </si>
  <si>
    <t>Custo de ações preferenciais e retorno de mercado.</t>
  </si>
  <si>
    <t>无风险利率手动覆盖 ►</t>
  </si>
  <si>
    <t>無風險利率手動覆蓋 ►</t>
  </si>
  <si>
    <t>リスクフリーレートの手動オーバーライド ►</t>
  </si>
  <si>
    <t>Cambio manual de tasa libre de riesgo ►</t>
  </si>
  <si>
    <t>Manuelle Überschreibung des risikofreien Zinssatzes ►</t>
  </si>
  <si>
    <t>Annulation manuelle du taux sans risque ►</t>
  </si>
  <si>
    <t>무위험 비율 수동 오버라이드 ►</t>
  </si>
  <si>
    <t>Ручной обход безрисковой ставки ►</t>
  </si>
  <si>
    <t>Substituição manual de taxa sem risco ►</t>
  </si>
  <si>
    <t>市场回报手动覆盖 ►</t>
  </si>
  <si>
    <t>市場回報手動覆蓋 ►</t>
  </si>
  <si>
    <t>マーケットリターンマニュアルオーバーライド ►</t>
  </si>
  <si>
    <t>Reemplazo manual de retorno de mercado ►</t>
  </si>
  <si>
    <t>Marktrendite-Handbuch überschreiben ►</t>
  </si>
  <si>
    <t>Remplacement manuel du rendement du marché ►</t>
  </si>
  <si>
    <t>시장 수익률 수동 오버라이드 ►</t>
  </si>
  <si>
    <t>Рыночная доходность вручную ►</t>
  </si>
  <si>
    <t>Substituição manual de retorno de mercado ►</t>
  </si>
  <si>
    <t>债务成本手动覆盖 ►</t>
  </si>
  <si>
    <t>債務成本手動覆蓋 ►</t>
  </si>
  <si>
    <t>負債コストの手動上書き ►</t>
  </si>
  <si>
    <t>Anulación del Manual del Costo de la Deuda ►</t>
  </si>
  <si>
    <t>Manuelle Überschreibung der Schuldenkosten ►</t>
  </si>
  <si>
    <t>Annulation manuelle du coût de la dette ►</t>
  </si>
  <si>
    <t>부채 수동 재정의 비용 ►</t>
  </si>
  <si>
    <t>Стоимость долга в ручном режиме ►</t>
  </si>
  <si>
    <t>Custo da Dívida Substituição Manual ►</t>
  </si>
  <si>
    <t>优先股成本手动覆盖 ►</t>
  </si>
  <si>
    <t>優先股成本手動覆蓋 ►</t>
  </si>
  <si>
    <t>優先株式のコストの手動上書き ►</t>
  </si>
  <si>
    <t>Costo de anulación del manual de capital preferente ►</t>
  </si>
  <si>
    <t>Kosten des Vorzugsaktienhandbuchs ►</t>
  </si>
  <si>
    <t>Remplacement manuel du coût des actions privilégiées ►</t>
  </si>
  <si>
    <t>우선주 비용 수동 대체 ►</t>
  </si>
  <si>
    <t>Ручная корректировка стоимости привилегированных акций ►</t>
  </si>
  <si>
    <t>Custo de Substituição Manual de Capital Preferencial ►</t>
  </si>
  <si>
    <t>Step 3: Select an Index for market return.</t>
  </si>
  <si>
    <t>^DJIA</t>
  </si>
  <si>
    <t>^IBrX</t>
  </si>
  <si>
    <t>TUNINDEX</t>
  </si>
  <si>
    <t>Cyprus General Index</t>
  </si>
  <si>
    <t>IGBC General Index</t>
  </si>
  <si>
    <t>Jordan General</t>
  </si>
  <si>
    <t>Kenya NSE 20</t>
  </si>
  <si>
    <t>FY-1</t>
  </si>
  <si>
    <t>FY-2</t>
  </si>
  <si>
    <t>FY-3</t>
  </si>
  <si>
    <t>FY-4</t>
  </si>
  <si>
    <t>FQ0</t>
  </si>
  <si>
    <t>Step 2: Enter date for analysis.</t>
  </si>
  <si>
    <t>步骤 2：输入分析日期。</t>
  </si>
  <si>
    <t>步驟 2：輸入分析日期。</t>
  </si>
  <si>
    <t>ステップ 2: 分析する日付を入力します。</t>
  </si>
  <si>
    <t>Paso 2: Ingrese la fecha para el análisis.</t>
  </si>
  <si>
    <t>Schritt 2: Geben Sie das Datum für die Analyse ein.</t>
  </si>
  <si>
    <t>Étape 2 : Saisissez la date d'analyse.</t>
  </si>
  <si>
    <t>Passaggio 2: inserire la data per l'analisi.</t>
  </si>
  <si>
    <t>2단계: 분석 날짜를 입력합니다.</t>
  </si>
  <si>
    <t>Шаг 2: Введите дату анализа.</t>
  </si>
  <si>
    <t>Passo 2: Insira a data para análise.</t>
  </si>
  <si>
    <t>Passaggio 6: Fai clic sul pulsante "AGGIORNARE".</t>
  </si>
  <si>
    <t>Costo del debito ante imposte - Passaggio</t>
  </si>
  <si>
    <t>D / (D + P + C) - Passaggio</t>
  </si>
  <si>
    <t>Costo del capitale - Passaggio</t>
  </si>
  <si>
    <t>E / (D + P + C) - Passaggio</t>
  </si>
  <si>
    <t>Passaggio 2: Inserire il periodo più recente.</t>
  </si>
  <si>
    <t>Passaggio 2: Inserisci il periodo per i dati finanziari di fine periodo e la data finale per il clacolo del beta a 5 anni.</t>
  </si>
  <si>
    <t>Passaggio 3: Seleziona un Indice del rendimento di mercato.</t>
  </si>
  <si>
    <t>Passaggio 4: Seleziona i pari per la generazione di beta.</t>
  </si>
  <si>
    <t>Passaggio 5: Selezionare la valuta e la grandezza.</t>
  </si>
  <si>
    <t>Passaggio 6: Seleziona il fattore di sconto.</t>
  </si>
  <si>
    <t>Passaggio 7: Seleziona l metodo di calcolo del Δ capitale circolante.</t>
  </si>
  <si>
    <t>Passaggio 8: Fai clic sul pulsante "RICARICA FOGLIO".</t>
  </si>
  <si>
    <t>Passaggio</t>
  </si>
  <si>
    <t>Passaggio CMPC</t>
  </si>
  <si>
    <t>Passaggio del multiplo di uscita</t>
  </si>
  <si>
    <t>Passaggio 1: Dal menu a discesa, selezionare la terminologia da utilizzare nel modello.</t>
  </si>
  <si>
    <t>6 단계: 할인 계수를 선택합니다.</t>
  </si>
  <si>
    <t>5단계 : 통화, 단위 및 환율 적용률 선택.</t>
  </si>
  <si>
    <t>Passo 1: Insira Troca de Símbolo de Negociação / ID da Entidade / ID CIQ na Célula E13.</t>
  </si>
  <si>
    <t>Button_1</t>
  </si>
  <si>
    <t>Button_2</t>
  </si>
  <si>
    <t>Select Beta for Calculation ►</t>
  </si>
  <si>
    <t>选择贝塔系数进行计算 ►</t>
  </si>
  <si>
    <t>選擇貝塔係數進行計算 ►</t>
  </si>
  <si>
    <t>計算用のベータ選択 ►</t>
  </si>
  <si>
    <t>Seleccione Beta para el cálculo ►</t>
  </si>
  <si>
    <t>Wählen Sie Beta zur Berechnung ►</t>
  </si>
  <si>
    <t>Sélectionnez Beta pour le calcul ►</t>
  </si>
  <si>
    <t>Selezionare Beta per il calcolo ►</t>
  </si>
  <si>
    <t>계산을 위해 베타를 선택하세요 ►</t>
  </si>
  <si>
    <t>Выберите Бета для расчета ►</t>
  </si>
  <si>
    <t>Selecione Beta para cálculo ►</t>
  </si>
  <si>
    <t>Auto-generated Peers</t>
  </si>
  <si>
    <t>自动生成的可比公司</t>
  </si>
  <si>
    <t>自動產生的可比公司</t>
  </si>
  <si>
    <t>自動生成されたピア</t>
  </si>
  <si>
    <t>Pares generados automáticamente</t>
  </si>
  <si>
    <t>Automatisch generierte Peers</t>
  </si>
  <si>
    <t>Pairs générés automatiquement</t>
  </si>
  <si>
    <t>Peer generati automaticamente</t>
  </si>
  <si>
    <t>자동 생성된 피어</t>
  </si>
  <si>
    <t>Автоматически сгенерированные пиры</t>
  </si>
  <si>
    <t>Pares gerados automaticamente</t>
  </si>
  <si>
    <t>Exclude or Override Peers</t>
  </si>
  <si>
    <t>排除或覆盖可比公司</t>
  </si>
  <si>
    <t>排除或覆蓋可比公司</t>
  </si>
  <si>
    <t>ピアを除外または上書き</t>
  </si>
  <si>
    <t>Excluir o anular pares</t>
  </si>
  <si>
    <t>Peers ausschließen oder überschreiben</t>
  </si>
  <si>
    <t>Exclure ou remplacer des pairs</t>
  </si>
  <si>
    <t>Escludi o sostituisci i peer</t>
  </si>
  <si>
    <t>피어 제외 또는 재정의</t>
  </si>
  <si>
    <t>Исключить или переопределить пиры</t>
  </si>
  <si>
    <t>Excluir ou substituir pares</t>
  </si>
  <si>
    <t>&gt;To exclude, put an asterisk (*) in their corresponding adjacent yellow cells.</t>
  </si>
  <si>
    <t>&gt;若要排除，请在其对应的相邻黄色单元格中输入星号 (*)。</t>
  </si>
  <si>
    <t>&gt;若要排除，請在其對應的相鄰黃色單元格中輸入星號 (*)。</t>
  </si>
  <si>
    <t>&gt;除外するには、対応する隣接する黄色のセルにアスタリスク (*) を入力します。</t>
  </si>
  <si>
    <t>&gt;Para excluir, coloque un asterisco (*) en las celdas amarillas adyacentes correspondientes.</t>
  </si>
  <si>
    <t>&gt;Zum Ausschließen setzen Sie ein Sternchen (*) in die entsprechenden angrenzenden gelben Zellen.</t>
  </si>
  <si>
    <t>&gt;Pour exclure, mettez un astérisque (*) dans les cellules jaunes adjacentes correspondantes.</t>
  </si>
  <si>
    <t>&gt;Per escludere, inserisci un asterisco (*) nelle celle gialle adiacenti corrispondenti.</t>
  </si>
  <si>
    <t>&gt;제외하려면 해당 인접한 노란색 셀에 별표(*)를 입력합니다.</t>
  </si>
  <si>
    <t>&gt;Чтобы исключить, поставьте звездочку (*) в соответствующих им соседних желтых ячейках.</t>
  </si>
  <si>
    <t>&gt;Para excluir, coloque um asterisco (*) nas células amarelas adjacentes correspondentes.</t>
  </si>
  <si>
    <t>&gt;To override, enter Trading Symbol &amp; Exchange of desired peers in their corresponding adjacent yellow cells.</t>
  </si>
  <si>
    <t>&gt;若要覆盖，请在其对应的相邻黄色单元格中输入所需同行的交易代码和交易所。</t>
  </si>
  <si>
    <t>&gt;若要覆蓋，請在其對應的相鄰黃色單元格中輸入所需同業的交易代碼和交易所。</t>
  </si>
  <si>
    <t>&gt;上書きするには、対応する隣接する黄色のセルに希望するピアの取引シンボルと取引所を入力します。</t>
  </si>
  <si>
    <t>&gt;Para anular, ingrese el símbolo comercial y la bolsa de los pares deseados en las celdas amarillas adyacentes correspondientes.</t>
  </si>
  <si>
    <t>&gt;Zum Überschreiben geben Sie das Handelssymbol und die Börse der gewünschten Peers in die entsprechenden angrenzenden gelben Zellen ein.</t>
  </si>
  <si>
    <t>&gt;Pour remplacer, entrez le symbole boursier et la bourse des pairs souhaités dans les cellules jaunes adjacentes correspondantes.</t>
  </si>
  <si>
    <t>&gt;Per sostituirli, inserisci il simbolo di trading e la borsa dei peer desiderati nelle celle gialle adiacenti corrispondenti.</t>
  </si>
  <si>
    <t>&gt;재정의하려면 해당 인접한 노란색 셀에 원하는 피어의 거래 기호 및 거래소를 입력합니다.</t>
  </si>
  <si>
    <t>&gt;Чтобы переопределить, введите торговый символ и биржу желаемых пиров в соответствующих им соседних желтых ячейках.</t>
  </si>
  <si>
    <t>&gt;Para substituir, insira o símbolo de negociação e a bolsa dos pares desejados nas células amarelas adjacentes correspondentes.</t>
  </si>
  <si>
    <t>(Sample format: NYSE:ORCL or BARC-LSE)</t>
  </si>
  <si>
    <t>（格式：NYSE:ORCL 或 BARC-LSE）</t>
  </si>
  <si>
    <t>(形式: NYSE:ORCL または BARC-LSE)</t>
  </si>
  <si>
    <t>(Formato: NYSE:ORCL o BARC-LSE)</t>
  </si>
  <si>
    <t>(Format: NYSE:ORCL oder BARC-LSE)</t>
  </si>
  <si>
    <t>(Format : NYSE:ORCL ou BARC-LSE)</t>
  </si>
  <si>
    <t>(형식: NYSE:ORCL 또는 BARC-LSE)</t>
  </si>
  <si>
    <t>(формата: NYSE:ORCL или BARC-LSE)</t>
  </si>
  <si>
    <t>(Formato: NYSE:ORCL ou BARC-LSE)</t>
  </si>
  <si>
    <t xml:space="preserve">(EUA e Canadá)  </t>
  </si>
  <si>
    <t>Step 1: Enter Exchange:Trading Symbol / Entity ID / CIQ ID in Cell E13.</t>
  </si>
  <si>
    <t>步骤 1：在单元格 E13 中输入交易所:交易代码/实体 ID/CIQ ID。</t>
  </si>
  <si>
    <t>步驟 1：在單元格 E13 中輸入交易所:交易代碼/實體 ID/CIQ ID。</t>
  </si>
  <si>
    <t>ステップ1：セルE13に取引所:取引記号/エンティティID / CIQIDを入力します。</t>
  </si>
  <si>
    <t>1단계: E13 셀에 Exchange:Trading Symbol / Entity ID / CIQ ID를 입력합니다.</t>
  </si>
  <si>
    <t>于</t>
  </si>
  <si>
    <t>千</t>
  </si>
  <si>
    <t>Miles</t>
  </si>
  <si>
    <t>Tausende</t>
  </si>
  <si>
    <t>Milliers</t>
  </si>
  <si>
    <t>Migliaia</t>
  </si>
  <si>
    <t>수천</t>
  </si>
  <si>
    <t>Тысячи</t>
  </si>
  <si>
    <t>Millionen</t>
  </si>
  <si>
    <t>Milliarden</t>
  </si>
  <si>
    <t>万亿</t>
  </si>
  <si>
    <t>萬億</t>
  </si>
  <si>
    <t>兆</t>
  </si>
  <si>
    <t>Billones</t>
  </si>
  <si>
    <t>Billionen</t>
  </si>
  <si>
    <t>Milliers de milliards</t>
  </si>
  <si>
    <t>Trilioni</t>
  </si>
  <si>
    <t>조</t>
  </si>
  <si>
    <t>Триллионы</t>
  </si>
  <si>
    <t>Risk-free Rate Manual Override ►</t>
  </si>
  <si>
    <t>Override manuale del tasso privo di rischio ►</t>
  </si>
  <si>
    <t>Market Return Manual Override ►</t>
  </si>
  <si>
    <t>Rendimento di mercato Override manuale ►</t>
  </si>
  <si>
    <t>Cost of Debt Manual Override ►</t>
  </si>
  <si>
    <t>Override manuale del costo del debito ►</t>
  </si>
  <si>
    <t>Cost of Preferred Equity Manual Override ►</t>
  </si>
  <si>
    <t>Costo dell'equità privilegiata Override manuale ►</t>
  </si>
  <si>
    <t>Bottom-Up-Beta</t>
  </si>
  <si>
    <t>Bêta ascendante</t>
  </si>
  <si>
    <t xml:space="preserve">Beta bottom-up </t>
  </si>
  <si>
    <t>바텀업 (Bottom-Up) 베타</t>
  </si>
  <si>
    <t>Regression Beta</t>
  </si>
  <si>
    <t>Bêta de régression</t>
  </si>
  <si>
    <t>Beta di regressione</t>
  </si>
  <si>
    <t>회기분석 Beta</t>
  </si>
  <si>
    <t>Initial check:</t>
  </si>
  <si>
    <t>初步检查：</t>
  </si>
  <si>
    <t>初步檢查：</t>
  </si>
  <si>
    <t>初期確認:</t>
  </si>
  <si>
    <t>Comprobación inicial:</t>
  </si>
  <si>
    <t>Erstkontrolle:</t>
  </si>
  <si>
    <t>Vérification initiale:</t>
  </si>
  <si>
    <t>Controllo iniziale:</t>
  </si>
  <si>
    <t>초기 확인:</t>
  </si>
  <si>
    <t>Первичная проверка:</t>
  </si>
  <si>
    <t>Verificação inicial:</t>
  </si>
  <si>
    <t>Final Peer List:</t>
  </si>
  <si>
    <t>最终可比公司名单：</t>
  </si>
  <si>
    <t>最終可比公司名單：</t>
  </si>
  <si>
    <t>最終ピアリスト:</t>
  </si>
  <si>
    <t>Lista final de pares:</t>
  </si>
  <si>
    <t>Endgültige Peer-Liste:</t>
  </si>
  <si>
    <t>Liste finale des pairs :</t>
  </si>
  <si>
    <t>Elenco finale dei pari:</t>
  </si>
  <si>
    <t>최종 피어 리스트:</t>
  </si>
  <si>
    <t>Окончательный список коллег:</t>
  </si>
  <si>
    <t>Issue Date</t>
  </si>
  <si>
    <t>Coupon</t>
  </si>
  <si>
    <t>Rank</t>
  </si>
  <si>
    <t>As of today</t>
  </si>
  <si>
    <t>As of input date</t>
  </si>
  <si>
    <t>BONDS</t>
  </si>
  <si>
    <t>PREFERRED</t>
  </si>
  <si>
    <t>Final Cost of Debt</t>
  </si>
  <si>
    <t>Final Cost of Pref</t>
  </si>
  <si>
    <t>SPT313329942</t>
  </si>
  <si>
    <t>SPT32199760</t>
  </si>
  <si>
    <t>SPT46518931</t>
  </si>
  <si>
    <t>SPT20246648</t>
  </si>
  <si>
    <t>SPT50960038</t>
  </si>
  <si>
    <t>SPT313329945</t>
  </si>
  <si>
    <t>SPT128679647</t>
  </si>
  <si>
    <t>SPT316513090</t>
  </si>
  <si>
    <t>SPT20246501</t>
  </si>
  <si>
    <t>SPT50959996</t>
  </si>
  <si>
    <t>SPT36315062</t>
  </si>
  <si>
    <t>SPT316510417</t>
  </si>
  <si>
    <t>SPT313329951</t>
  </si>
  <si>
    <t>SPT54808132</t>
  </si>
  <si>
    <t>SPT61940193</t>
  </si>
  <si>
    <t>SPT714907055</t>
  </si>
  <si>
    <t>SPT267186009</t>
  </si>
  <si>
    <t>SPT50960014</t>
  </si>
  <si>
    <t>SPT49951630</t>
  </si>
  <si>
    <t>SPT39658826</t>
  </si>
  <si>
    <t>SPT20923777</t>
  </si>
  <si>
    <t>SPT183805277</t>
  </si>
  <si>
    <t>SPT59644231</t>
  </si>
  <si>
    <t>SPT133201717</t>
  </si>
  <si>
    <t>SPT32199814</t>
  </si>
  <si>
    <t>SPT20246513</t>
  </si>
  <si>
    <t>SPT20246537</t>
  </si>
  <si>
    <t>SPT20246462</t>
  </si>
  <si>
    <t>SPT45746929</t>
  </si>
  <si>
    <t>SPT20246531</t>
  </si>
  <si>
    <t>SPT20246636</t>
  </si>
  <si>
    <t>SPT61995469</t>
  </si>
  <si>
    <t>SPT20246504</t>
  </si>
  <si>
    <t>SPT32199976</t>
  </si>
  <si>
    <t>SPT50960044</t>
  </si>
  <si>
    <t>SPT333998460</t>
  </si>
  <si>
    <t>SPT50960035</t>
  </si>
  <si>
    <t>SPT33154426</t>
  </si>
  <si>
    <t>SPT316748793</t>
  </si>
  <si>
    <t>SPT62097165</t>
  </si>
  <si>
    <t>SPT228282419</t>
  </si>
  <si>
    <t>SPT50960008</t>
  </si>
  <si>
    <t>SPT316748545</t>
  </si>
  <si>
    <t>SPT380400690</t>
  </si>
  <si>
    <t>SPT380401372</t>
  </si>
  <si>
    <t>SPT380401515</t>
  </si>
  <si>
    <t>SPT380326020</t>
  </si>
  <si>
    <t>SPT380401179</t>
  </si>
  <si>
    <t>SPT50960026</t>
  </si>
  <si>
    <t>SPT2632568</t>
  </si>
  <si>
    <t>SPT2634362</t>
  </si>
  <si>
    <t>SPT9777507</t>
  </si>
  <si>
    <t>SPT62111226</t>
  </si>
  <si>
    <t>SPT20246492</t>
  </si>
  <si>
    <t>SPT20246585</t>
  </si>
  <si>
    <t>SPT49951591</t>
  </si>
  <si>
    <t>SPT20246639</t>
  </si>
  <si>
    <t>SPT49951588</t>
  </si>
  <si>
    <t>SPT20246627</t>
  </si>
  <si>
    <t>SPT62504296</t>
  </si>
  <si>
    <t>SPT316748991</t>
  </si>
  <si>
    <t>SPT61940088</t>
  </si>
  <si>
    <t>SPT20246555</t>
  </si>
  <si>
    <t>SPT273484572</t>
  </si>
  <si>
    <t>SPT50960050</t>
  </si>
  <si>
    <t>SPT50026349</t>
  </si>
  <si>
    <t>SPT7653251</t>
  </si>
  <si>
    <t>SPT2596108</t>
  </si>
  <si>
    <t>SPT7674218</t>
  </si>
  <si>
    <t>SPT2589761</t>
  </si>
  <si>
    <t>SPT2633671</t>
  </si>
  <si>
    <t>SPT2653595</t>
  </si>
  <si>
    <t>SPT2596138</t>
  </si>
  <si>
    <t>SPT20246597</t>
  </si>
  <si>
    <t>SPT2658555</t>
  </si>
  <si>
    <t>SPT38807259</t>
  </si>
  <si>
    <t>SPT38807262</t>
  </si>
  <si>
    <t>SPT20246573</t>
  </si>
  <si>
    <t>SPT50960005</t>
  </si>
  <si>
    <t>SPT140310543</t>
  </si>
  <si>
    <t>SPT36315065</t>
  </si>
  <si>
    <t>SPT226680644</t>
  </si>
  <si>
    <t>SPT20246540</t>
  </si>
  <si>
    <t>SPT20246522</t>
  </si>
  <si>
    <t>SPT313322890</t>
  </si>
  <si>
    <t>SPT316748687</t>
  </si>
  <si>
    <t>SPT545618100</t>
  </si>
  <si>
    <t>SPT228282347</t>
  </si>
  <si>
    <t>SPT50960047</t>
  </si>
  <si>
    <t>SPT20246534</t>
  </si>
  <si>
    <t>SPT316510882</t>
  </si>
  <si>
    <t>SPT50959981</t>
  </si>
  <si>
    <t>SPT274615812</t>
  </si>
  <si>
    <t>ISE National All Shares 100</t>
  </si>
  <si>
    <t>SPT50960032</t>
  </si>
  <si>
    <t>SPT50026361</t>
  </si>
  <si>
    <t>SPT50959999</t>
  </si>
  <si>
    <t>Ghana GSE Composite Index</t>
  </si>
  <si>
    <t>Jamaica JSE All Share Index</t>
  </si>
  <si>
    <t>Nigeria Stock Exchange All Shares Index</t>
  </si>
  <si>
    <t>SPT2632586</t>
  </si>
  <si>
    <t>NASDAQ Financial</t>
  </si>
  <si>
    <t>%</t>
  </si>
  <si>
    <t>%SPT368</t>
  </si>
  <si>
    <t>%SPT377</t>
  </si>
  <si>
    <t>%SPT389</t>
  </si>
  <si>
    <t>%SPT2602</t>
  </si>
  <si>
    <t>%SPT415</t>
  </si>
  <si>
    <t>%SPT434</t>
  </si>
  <si>
    <t>%SPT443</t>
  </si>
  <si>
    <t>%SPT455</t>
  </si>
  <si>
    <t>%SPT467</t>
  </si>
  <si>
    <t>%SPT479</t>
  </si>
  <si>
    <t>%SPT491</t>
  </si>
  <si>
    <t>%SPT506</t>
  </si>
  <si>
    <t>%SPT516</t>
  </si>
  <si>
    <t>%SPT642</t>
  </si>
  <si>
    <t>%SPT529</t>
  </si>
  <si>
    <t>%SPT545</t>
  </si>
  <si>
    <t>%SPT555</t>
  </si>
  <si>
    <t>%SPT562</t>
  </si>
  <si>
    <t>%SPT569</t>
  </si>
  <si>
    <t>%SPT578</t>
  </si>
  <si>
    <t>%SPT592</t>
  </si>
  <si>
    <t>%SPT605</t>
  </si>
  <si>
    <t>%SPT622</t>
  </si>
  <si>
    <t>%SPT631</t>
  </si>
  <si>
    <t>%SPT653</t>
  </si>
  <si>
    <t>%SPT659</t>
  </si>
  <si>
    <t>%SPT668</t>
  </si>
  <si>
    <t>%SPT685</t>
  </si>
  <si>
    <t>%SPT427</t>
  </si>
  <si>
    <t>%SPT696</t>
  </si>
  <si>
    <t>%SPT703</t>
  </si>
  <si>
    <t>%SPT617</t>
  </si>
  <si>
    <t>%SPT727</t>
  </si>
  <si>
    <t>%SPT741</t>
  </si>
  <si>
    <t>%SPT747</t>
  </si>
  <si>
    <t>%SPT757</t>
  </si>
  <si>
    <t>%SPT761</t>
  </si>
  <si>
    <t>%SPT769</t>
  </si>
  <si>
    <t>%SPT777</t>
  </si>
  <si>
    <t>%SPT6</t>
  </si>
  <si>
    <t>%SPT801</t>
  </si>
  <si>
    <t>%SPT371</t>
  </si>
  <si>
    <t>%SPT382</t>
  </si>
  <si>
    <t>%SPT394</t>
  </si>
  <si>
    <t>%SPT402</t>
  </si>
  <si>
    <t>%SPT417</t>
  </si>
  <si>
    <t>%SPT435</t>
  </si>
  <si>
    <t>%SPT447</t>
  </si>
  <si>
    <t>%SPT457</t>
  </si>
  <si>
    <t>%SPT472</t>
  </si>
  <si>
    <t>%SPT482</t>
  </si>
  <si>
    <t>%SPT496</t>
  </si>
  <si>
    <t>%SPT511</t>
  </si>
  <si>
    <t>%SPT517</t>
  </si>
  <si>
    <t>%SPT647</t>
  </si>
  <si>
    <t>%SPT531</t>
  </si>
  <si>
    <t>%SPT550</t>
  </si>
  <si>
    <t>%SPT556</t>
  </si>
  <si>
    <t>%SPT564</t>
  </si>
  <si>
    <t>%SPT570</t>
  </si>
  <si>
    <t>%SPT583</t>
  </si>
  <si>
    <t>%SPT597</t>
  </si>
  <si>
    <t>%SPT610</t>
  </si>
  <si>
    <t>%SPT623</t>
  </si>
  <si>
    <t>%SPT633</t>
  </si>
  <si>
    <t>%SPT655</t>
  </si>
  <si>
    <t>%SPT660</t>
  </si>
  <si>
    <t>%SPT670</t>
  </si>
  <si>
    <t>%SPT689</t>
  </si>
  <si>
    <t>%SPT429</t>
  </si>
  <si>
    <t>%SPT697</t>
  </si>
  <si>
    <t>%SPT704</t>
  </si>
  <si>
    <t>%SPT618</t>
  </si>
  <si>
    <t>%SPT732</t>
  </si>
  <si>
    <t>%SPT742</t>
  </si>
  <si>
    <t>%SPT752</t>
  </si>
  <si>
    <t>%SPT758</t>
  </si>
  <si>
    <t>%SPT763</t>
  </si>
  <si>
    <t>%SPT770</t>
  </si>
  <si>
    <t>%SPT782</t>
  </si>
  <si>
    <t>%SPT7</t>
  </si>
  <si>
    <t>%SPT803</t>
  </si>
  <si>
    <t>5Y China Benchmark Bond</t>
  </si>
  <si>
    <t>10y China Benchmark Bond</t>
  </si>
  <si>
    <t>INTERMEDIATE SHEET (PLEASE DO NOT TOUCH / MODIFY)</t>
  </si>
  <si>
    <t>DAX (Performance)</t>
  </si>
  <si>
    <t>SPT20923780</t>
  </si>
  <si>
    <t>경쟁사 2</t>
  </si>
  <si>
    <t>경쟁사 3</t>
  </si>
  <si>
    <t>경쟁사 4</t>
  </si>
  <si>
    <t>경쟁사 5</t>
  </si>
  <si>
    <t>경쟁사 6</t>
  </si>
  <si>
    <t>YTW/YTM</t>
  </si>
  <si>
    <t>YTW</t>
  </si>
  <si>
    <t>YTM</t>
  </si>
  <si>
    <t>税引前負債コスト</t>
  </si>
  <si>
    <t xml:space="preserve">세전부채비용 </t>
  </si>
  <si>
    <t>стоимость заемного капитала до уплаты налогов.</t>
  </si>
  <si>
    <t xml:space="preserve">债务/(债务+优先股+权益) </t>
  </si>
  <si>
    <t xml:space="preserve">債務/(債務+優先股+權益) </t>
  </si>
  <si>
    <t>有利子負債／（有利子負債＋優先株式＋株主資本）</t>
  </si>
  <si>
    <t>D / (D + P + C)</t>
  </si>
  <si>
    <t>S / (S + V + E)</t>
  </si>
  <si>
    <t xml:space="preserve">D/(D + P + C) </t>
  </si>
  <si>
    <t>自己資本コスト</t>
  </si>
  <si>
    <t xml:space="preserve">자본비용 </t>
  </si>
  <si>
    <t>стоимости собственного капитала</t>
  </si>
  <si>
    <t xml:space="preserve">权益/(债务+优先股+权益) </t>
  </si>
  <si>
    <t xml:space="preserve">權益/(債務+優先股+權益) </t>
  </si>
  <si>
    <t>株主資本 / (有利子負債 + 優先株式 + 株主資本)</t>
  </si>
  <si>
    <t>C / (D + P + C)</t>
  </si>
  <si>
    <t>E / (S + V + E)</t>
  </si>
  <si>
    <t>E/(D+P+C)</t>
  </si>
  <si>
    <t>E / (D + P + C)</t>
  </si>
  <si>
    <t>Sensitivity Analysis Steps</t>
  </si>
  <si>
    <t>敏感性分析步骤</t>
  </si>
  <si>
    <t>敏感度分析步驟</t>
  </si>
  <si>
    <t>感度分析のステップ</t>
  </si>
  <si>
    <t>Pasos del análisis de sensibilidad</t>
  </si>
  <si>
    <t>Schritte der Sensitivitätsanalyse</t>
  </si>
  <si>
    <t>Étapes de l'analyse de sensibilité</t>
  </si>
  <si>
    <t>Fasi dell'analisi di sensibilità</t>
  </si>
  <si>
    <t>민감도 분석 단계</t>
  </si>
  <si>
    <t>Шаг анализа чувствительности</t>
  </si>
  <si>
    <t>Etapas da Análise de Sensibilidade</t>
  </si>
  <si>
    <t>1) S&amp;P Capital IQ Pro calculates WACC based on the annual/quarterly period end date</t>
  </si>
  <si>
    <t>1) S&amp;P Capital IQ Pro 根据年度/季度结束日期计算 WACC</t>
  </si>
  <si>
    <t>1) S&amp;P Capital IQ Pro 根據年度/季度結束日期計算 WACC</t>
  </si>
  <si>
    <t>1) S&amp;P Capital IQ Pro は、年次/四半期期間の終了日に基づいて WACC を計算します</t>
  </si>
  <si>
    <t>1) S&amp;P Capital IQ Pro calcula el WACC en función de la fecha de finalización del período anual/trimestral</t>
  </si>
  <si>
    <t>1) S&amp;P Capital IQ Pro berechnet den WACC auf Grundlage des Jahres-/Quartalsenddatums</t>
  </si>
  <si>
    <t>1) S&amp;P Capital IQ Pro calcule le WACC en fonction de la date de fin de la période annuelle/trimestrielle</t>
  </si>
  <si>
    <t>1) S&amp;P Capital IQ Pro calcola il WACC in base alla data di fine periodo annuale/trimestrale</t>
  </si>
  <si>
    <t>1) S&amp;P Capital IQ Pro는 연간/분기 기간 종료일을 기준으로 WACC를 계산합니다</t>
  </si>
  <si>
    <t>1) S&amp;P Capital IQ Pro рассчитывает WACC на основе даты окончания годового/квартального периода</t>
  </si>
  <si>
    <t>1) S&amp;P Capital IQ Pro calcula o WACC com base na data final do período anual/trimestral</t>
  </si>
  <si>
    <t>This model contains VBA macros, which require specific settings to be enabled to function.</t>
  </si>
  <si>
    <t>此模型包含 VBA 宏，需要启用特定设置才能正常运行。</t>
  </si>
  <si>
    <t>此模型包含 VBA 巨集，需要啟用特定設定才能正常運作。</t>
  </si>
  <si>
    <t>このモデルには VBA マクロが含まれており、機能させるには特定の設定を有効にする必要があります。</t>
  </si>
  <si>
    <t>Este modelo contiene macros de VBA, que requieren que se habiliten configuraciones específicas para funcionar.</t>
  </si>
  <si>
    <t>Dieses Modell enthält VBA-Makros, für deren Funktion bestimmte Einstellungen aktiviert werden müssen.</t>
  </si>
  <si>
    <t>Ce modèle contient des macros VBA, qui nécessitent l’activation de paramètres spécifiques pour fonctionner.</t>
  </si>
  <si>
    <t>Questo modello contiene macro VBA, che richiedono l’abilitazione di impostazioni specifiche per funzionare.</t>
  </si>
  <si>
    <t>이 모델에는 VBA 매크로가 포함되어 있으며, 정상적으로 작동하려면 특정 설정을 활성화해야 합니다.</t>
  </si>
  <si>
    <t>Эта модель содержит макросы VBA, для работы которых необходимо включить определённые параметры.</t>
  </si>
  <si>
    <t>Este modelo contém macros VBA, que exigem que configurações específicas sejam habilitadas para funcionar.</t>
  </si>
  <si>
    <t>This model contains ActiveX components, which require specific settings to be enabled to function.</t>
  </si>
  <si>
    <t>此模型包含 ActiveX 组件，需要启用特定设置才能正常运行。</t>
  </si>
  <si>
    <t>此模型包含 ActiveX 元件，需要啟用特定設定才能正常運作。</t>
  </si>
  <si>
    <t>このモデルには ActiveX コンポーネントが含まれており、機能させるには特定の設定を有効にする必要があります</t>
  </si>
  <si>
    <t>Este modelo contiene componentes ActiveX, que requieren que se habiliten configuraciones específicas para funcionar.</t>
  </si>
  <si>
    <t>Dieses Modell enthält ActiveX-Komponenten, für deren Funktion bestimmte Einstellungen aktiviert werden müssen.</t>
  </si>
  <si>
    <t>Ce modèle contient des composants ActiveX, qui nécessitent l’activation de paramètres spécifiques pour fonctionner.</t>
  </si>
  <si>
    <t>Questo modello contiene componenti ActiveX, che richiedono l’abilitazione di impostazioni specifiche per funzionare.</t>
  </si>
  <si>
    <t>이 모델에는 ActiveX 구성 요소가 포함되어 있으며, 정상적으로 작동하려면 특정 설정을 활성화해야 합니다.</t>
  </si>
  <si>
    <t>Эта модель содержит компоненты ActiveX, для работы которых необходимо включить определённые параметры.</t>
  </si>
  <si>
    <t>Este modelo contém componentes ActiveX, que exigem que configurações específicas sejam habilitadas para funcionar.</t>
  </si>
  <si>
    <t>This model contains ActiveX components and VBA macros, which require specific settings to be enabled to function.</t>
  </si>
  <si>
    <t>此模型包含 ActiveX 组件和 VBA 宏，需要启用特定设置才能正常运行。</t>
  </si>
  <si>
    <t>此模型包含 ActiveX 元件和 VBA 巨集，需要啟用特定設定才能正常運作。</t>
  </si>
  <si>
    <t>このモデルには ActiveX コンポーネントと VBA マクロが含まれており、機能させるには特定の設定を有効にする必要があります。</t>
  </si>
  <si>
    <t>Este modelo contiene componentes ActiveX y macros de VBA, que requieren que se habiliten configuraciones específicas para funcionar.</t>
  </si>
  <si>
    <t>Dieses Modell enthält ActiveX-Komponenten und VBA-Makros, für deren Funktion bestimmte Einstellungen aktiviert werden müssen.</t>
  </si>
  <si>
    <t>Ce modèle contient des composants ActiveX et des macros VBA, qui nécessitent l’activation de paramètres spécifiques pour fonctionner.</t>
  </si>
  <si>
    <t>Questo modello contiene componenti ActiveX e macro VBA, che richiedono l’abilitazione di impostazioni specifiche per funzionare.</t>
  </si>
  <si>
    <t>이 모델에는 ActiveX 구성 요소와 VBA 매크로가 포함되어 있으며, 정상적으로 작동하려면 특정 설정을 활성화해야 합니다.</t>
  </si>
  <si>
    <t>Эта модель содержит компоненты ActiveX и макросы VBA, для работы которых необходимо включить определённые параметры.</t>
  </si>
  <si>
    <t>Este modelo contém componentes ActiveX e macros VBA, que exigem que configurações específicas sejam habilitadas para funcionar.</t>
  </si>
  <si>
    <r>
      <t xml:space="preserve">Go to </t>
    </r>
    <r>
      <rPr>
        <b/>
        <sz val="8"/>
        <color rgb="FF000000"/>
        <rFont val="Arial"/>
        <family val="2"/>
      </rPr>
      <t>File → Options → Trust Center → Trust Center Settings → Macro Settings</t>
    </r>
    <r>
      <rPr>
        <sz val="8"/>
        <color rgb="FF000000"/>
        <rFont val="Arial"/>
        <family val="2"/>
      </rPr>
      <t xml:space="preserve">, select </t>
    </r>
    <r>
      <rPr>
        <b/>
        <sz val="8"/>
        <color rgb="FF000000"/>
        <rFont val="Arial"/>
        <family val="2"/>
      </rPr>
      <t>Enable VBA macros</t>
    </r>
    <r>
      <rPr>
        <sz val="8"/>
        <color rgb="FF000000"/>
        <rFont val="Arial"/>
        <family val="2"/>
      </rPr>
      <t xml:space="preserve"> </t>
    </r>
    <r>
      <rPr>
        <b/>
        <sz val="8"/>
        <color rgb="FF000000"/>
        <rFont val="Arial"/>
        <family val="2"/>
      </rPr>
      <t>→ OK</t>
    </r>
    <r>
      <rPr>
        <sz val="8"/>
        <color rgb="FF000000"/>
        <rFont val="Arial"/>
        <family val="2"/>
      </rPr>
      <t>, then restart Excel and reopen the file.</t>
    </r>
  </si>
  <si>
    <t>Total Preferred Equity</t>
  </si>
  <si>
    <t>总优先股权</t>
  </si>
  <si>
    <t>總優先股權</t>
  </si>
  <si>
    <t>Total des capitaux propres privilégiés</t>
  </si>
  <si>
    <t>Totale equity preferito</t>
  </si>
  <si>
    <t>Всего привилегированных акций</t>
  </si>
  <si>
    <t>優先株式合計</t>
  </si>
  <si>
    <t>Total participación preferente</t>
  </si>
  <si>
    <t>총 우선주</t>
  </si>
  <si>
    <t xml:space="preserve">
total de ações preferenciais</t>
  </si>
  <si>
    <t>Manual Override</t>
  </si>
  <si>
    <t>手动覆写</t>
  </si>
  <si>
    <t>手動覆寫</t>
  </si>
  <si>
    <t>手動上書き</t>
  </si>
  <si>
    <t>Anulación manual</t>
  </si>
  <si>
    <t>Manuelle Übersteuerung</t>
  </si>
  <si>
    <t>Annulation manuelle</t>
  </si>
  <si>
    <t>Override manuale</t>
  </si>
  <si>
    <t>수동 덮어쓰기</t>
  </si>
  <si>
    <t>Ручное переопределение</t>
  </si>
  <si>
    <t>Controle/Mudança manual</t>
  </si>
  <si>
    <t>&gt;Automatic peers are generated in Cells E22:E31.</t>
  </si>
  <si>
    <t>Peer 7</t>
  </si>
  <si>
    <t>ピア7</t>
  </si>
  <si>
    <t>Pares 7</t>
  </si>
  <si>
    <t>Vergleichsunternehmen 7</t>
  </si>
  <si>
    <t>homologues 7</t>
  </si>
  <si>
    <t>pari 7</t>
  </si>
  <si>
    <t>경쟁사 7</t>
  </si>
  <si>
    <t>Аналогичные компании 7</t>
  </si>
  <si>
    <t>Par 7</t>
  </si>
  <si>
    <t>Peer 8</t>
  </si>
  <si>
    <t>ピア8</t>
  </si>
  <si>
    <t>Pares 8</t>
  </si>
  <si>
    <t>Vergleichsunternehmen 8</t>
  </si>
  <si>
    <t>homologues 8</t>
  </si>
  <si>
    <t>pari 8</t>
  </si>
  <si>
    <t>경쟁사 8</t>
  </si>
  <si>
    <t>Аналогичные компании 8</t>
  </si>
  <si>
    <t>Par 8</t>
  </si>
  <si>
    <t>Peer 9</t>
  </si>
  <si>
    <t>ピア9</t>
  </si>
  <si>
    <t>Pares 9</t>
  </si>
  <si>
    <t>Vergleichsunternehmen 9</t>
  </si>
  <si>
    <t>homologues 9</t>
  </si>
  <si>
    <t>pari 9</t>
  </si>
  <si>
    <t>경쟁사 9</t>
  </si>
  <si>
    <t>Аналогичные компании 9</t>
  </si>
  <si>
    <t>Par 9</t>
  </si>
  <si>
    <t>Peer 10</t>
  </si>
  <si>
    <t>ピア10</t>
  </si>
  <si>
    <t>Pares 10</t>
  </si>
  <si>
    <t>Vergleichsunternehmen 10</t>
  </si>
  <si>
    <t>homologues 10</t>
  </si>
  <si>
    <t>pari 10</t>
  </si>
  <si>
    <t>경쟁사 10</t>
  </si>
  <si>
    <t>Аналогичные компании 10</t>
  </si>
  <si>
    <t>Par 10</t>
  </si>
  <si>
    <t>&gt;自动可比公司在单元格 E22:E31 中生成。</t>
  </si>
  <si>
    <t>&gt;自動可比公司在單元格 E22:E31 中產生。</t>
  </si>
  <si>
    <t>&gt;自動ピアはセル E22:E31 に生成されます。</t>
  </si>
  <si>
    <t>&gt;Los pares automáticos se generan en las celdas E22:E31.</t>
  </si>
  <si>
    <t>&gt;Automatische Peers werden in den Zellen E22:E31 generiert.</t>
  </si>
  <si>
    <t>&gt;Les pairs automatiques sont générés dans les cellules E22:E31.</t>
  </si>
  <si>
    <t>&gt;I peer automatici vengono generati nelle celle E22:E31.</t>
  </si>
  <si>
    <t>&gt;자동 피어는 셀 E22:E31에 생성됩니다.</t>
  </si>
  <si>
    <t>&gt;Автоматически пиры генерируются в ячейках E22:E31.</t>
  </si>
  <si>
    <t>&gt;Os pares automáticos são gerados nas células E22:E31.</t>
  </si>
  <si>
    <t>同行 7</t>
  </si>
  <si>
    <t>同行 8</t>
  </si>
  <si>
    <t>同行 9</t>
  </si>
  <si>
    <t>同行 10</t>
  </si>
  <si>
    <t xml:space="preserve">Налоговая ставка </t>
  </si>
  <si>
    <t>Бета</t>
  </si>
  <si>
    <t>Задолженность</t>
  </si>
  <si>
    <t>Собственный капитал</t>
  </si>
  <si>
    <t>SPS407492674</t>
  </si>
  <si>
    <t>SPS417918882</t>
  </si>
  <si>
    <t>SPS600068468</t>
  </si>
  <si>
    <t>SPS1823898001</t>
  </si>
  <si>
    <t>SPS1769564778</t>
  </si>
  <si>
    <t>SPS666114596</t>
  </si>
  <si>
    <t>SPS1792659797</t>
  </si>
  <si>
    <t>SPS14045660</t>
  </si>
  <si>
    <t>SPS32213306</t>
  </si>
  <si>
    <t>SPS14051290</t>
  </si>
  <si>
    <t>SPS1981440741</t>
  </si>
  <si>
    <t>SPS1823878171</t>
  </si>
  <si>
    <t>SPS1930256087</t>
  </si>
  <si>
    <t>SPS653475722</t>
  </si>
  <si>
    <t>SPS327015841</t>
  </si>
  <si>
    <t>SPS1981440742</t>
  </si>
  <si>
    <t>SPS612847426</t>
  </si>
  <si>
    <t>SPS431158997</t>
  </si>
  <si>
    <t>SPS1769667241</t>
  </si>
  <si>
    <t>SPS1930256088</t>
  </si>
  <si>
    <t>SPS1930021695</t>
  </si>
  <si>
    <t>SPS666114595</t>
  </si>
  <si>
    <t>SPS600068469</t>
  </si>
  <si>
    <t>SPS1981407909</t>
  </si>
  <si>
    <t>SPS1981440743</t>
  </si>
  <si>
    <t>SPS1823898002</t>
  </si>
  <si>
    <t>SPS1769564779</t>
  </si>
  <si>
    <t>SPS1930256089</t>
  </si>
  <si>
    <t>SPS653475284</t>
  </si>
  <si>
    <t>SPS1792659798</t>
  </si>
  <si>
    <t>SPS14127392</t>
  </si>
  <si>
    <t>SPS1981440744</t>
  </si>
  <si>
    <t>SPS1823878172</t>
  </si>
  <si>
    <t>SPS1930021696</t>
  </si>
  <si>
    <t>SPS1981407908</t>
  </si>
  <si>
    <t>SPS1769667242</t>
  </si>
  <si>
    <t>SPS1823898003</t>
  </si>
  <si>
    <t>SPS1930256090</t>
  </si>
  <si>
    <t>SPS1981440745</t>
  </si>
  <si>
    <t>SPS1930021697</t>
  </si>
  <si>
    <t>SPS1981407907</t>
  </si>
  <si>
    <t>SPS1824045454</t>
  </si>
  <si>
    <t>SPS49510182</t>
  </si>
  <si>
    <t>SPS612847427</t>
  </si>
  <si>
    <t>SPS84497624</t>
  </si>
  <si>
    <t>SPS653475285</t>
  </si>
  <si>
    <t>SPS666114597</t>
  </si>
  <si>
    <t>SPS207141795</t>
  </si>
  <si>
    <t>SPS1823920721</t>
  </si>
  <si>
    <t>SPS1930021698</t>
  </si>
  <si>
    <t>SPS14026442</t>
  </si>
  <si>
    <t>SPS325818560</t>
  </si>
  <si>
    <t>SPS612847428</t>
  </si>
  <si>
    <t>SPS666114598</t>
  </si>
  <si>
    <t>SPS1769564780</t>
  </si>
  <si>
    <t>SPS1792659799</t>
  </si>
  <si>
    <t>SPS1823878173</t>
  </si>
  <si>
    <t>SPS1930256091</t>
  </si>
  <si>
    <t>SPS1981440746</t>
  </si>
  <si>
    <t>SPS14038705</t>
  </si>
  <si>
    <t>SPS1792606805</t>
  </si>
  <si>
    <t>, кроме данных в расчете на одну акцию)</t>
  </si>
  <si>
    <t>允䅁䅁䥑䅁捁䅁䅁睕兂䙁䅍免㑁䑁䅉睍㑁䑁䅫䅏睁䑁䅁免䅁佁䙫䅁潁䅁䅁睉䩂䕁䄴杖䉂䕁䅷兓䕂䍁䅁睑偂䕁䄰䅕䉂䕁䄴兗杁䕁䅫䅒䅁乁䅑䅁允䅁䅁杒剂䑁䅑杍睁䑁䅅䅏䅁䑁䍉䅁允䅁䅁兊呂䙁䅁䅖ぁ䑁䅣兏䅁䙁䙉䅁浂䅁䅁睗卂䝁䅕杤灂䡁䅍党歂䕁䅑杣桂䝁䅙䅤時䙁䅍䅕䡂䙁䄸睖䉂䕁䅍睑䉂䝁䄴兙獂䡁䅫督灂䡁䅍睘㉂䑁䅅杌㑂䝁䅷督瑂䙁䄰睖䉂䕁䅍睑桁䍁䅑兑䕂䍁䅑兎祁䅁䅁睺䅣䙁䅧䅁湁䙁䅳兔䩂䙁䄸䅒䑂䕁䅙兑畂䝁䅅䅢㕂䡁䅍兡穂䙁䄸杤硁䍁䅁兌杁䕁䅍睢睂䡁䅫杌㑂䝁䅷督瑂䙁䄰䅒䑂䕁䅙睊桁䍁䅑村歁䑁䅉䅍祁䅁䅁睴䅉䝁䅙䅁湁䙁䅳䅒䑂䕁䅙䅉䑂䝁䄸杢㉂䝁䅕杣穂䝁䅫睢畂䍁䅁䅋㉂䝁䅕杣穂䝁䅫睢畂䍁䅁免灁䍁䄴䅥獂䡁䅍杙摂䕁䅑睑䝂䍁䅣光歁䙁䅉䅊㑁䑁䅫杏歁䙁䅙䅊㑁䑁䅫䅁桁允䅁䅇䅁䙁䅑睔啂䕁䅅䅔卂䕁䅕䅖噂䙁䅉杔䅁䉁䅕䅁楂䅁䅁睊扂䙁䅍䅕䡂䙁䄸䅒䑂䕁䅙兑畂䝁䅅䅢㕂䡁䅍兡穂䙁䄸杤硁䍁䅁䅋穁䍁䅫杌㑂䝁䅷督瑂䙁䄰䅒䑂䕁䅙睊桁䍁䅑兒歁䑁䅉免穁䑁䅯䅊䙂䍁䅑杍穁䑁䅍䅁療睁䅁杁䅁䅁䅁䅉䅁䉁䅯䅁佂䕁䅅睕䕂䕁䅅兕䡂䙁䅍杏塂䕁䄰睒䅁䱁䝉䅁允䅁䅁兊呂䙁䅁䅖ぁ䑁䅣杍䅁䡁䙑䅁流䅁䅁睉佂䕁䄸䅉䕂䕁䅅䅖䉂䍁䅁兑坂䕁䅅兓䵂䕁䅅村䵂䕁䅕䅁求杂䅁杕䅁䍁䅣睗䕂䕁䅍杒杁䕁䅍睢畂䡁䅙党祂䡁䅍兡療䝁䄴杌㑂䝁䅷督瑂䙁䄰䅒䑂䕁䅙睊桁䍁䅑兑䡂䍁䅑䅎ㅁ䑁䅯䅊䉂䕁䅣䅊ㅁ䑁䅙䅁歁允䅁䅈䅁䕁䅫兕啂䑁䅅睎㕁䑁䅉李睁䑁䅙䅏㉁䑁䅑䅁佁䅂䅁杕䅁䍁䅣睗乂䕁䅫睘䕂䕁䅍杒䉂䝁䄴兙獂䡁䅫督灂䡁䅍睘㉂䑁䅅䅉潁䑁䅉克畁䡁䅧䅢穂䝁䄰兘䕂䕁䅍杒湁䍁䅅䅊䑂䙁䅕䅊ㅁ䑁䅅䅁偁睁䅁杙䅁䙁䅳兔䩂䙁䄸兓佂䙁䅍睘䡂䕁䅷睔䍂䕁䅅䅔時䙁䅣兑䑂䕁䅍杌䉂䝁䄴兙獂䡁䅫督灂䡁䅍睘㉂䑁䅅杌㑂䝁䅷督瑂䙁䄰睖䉂䕁䅍睑桁䍁䅑兑䙂䍁䅑䅎睁䅁䅁关䅁䝁䅙䅁湁䙁䅳兔䩂䙁䄸䅒䑂䕁䅙兑畂䝁䅅䅢㕂䡁䅍兡穂䙁䄸杤硁䍁䅁兌杁䕁䅍睢睂䡁䅫杌㑂䝁䅷督瑂䙁䄰䅒䑂䕁䅙睊桁䍁䅑䅗歁䑁䅅䅎穁䑁䅯䅊奂䍁䅑免ぁ䑁䅧䅁ㅃ杁䅁杄䅁䍁䅍兒卂䙁䅉睔卂䅁䅁朰䅁䝁䅁䅁湁䙁䅳兔䩂䙁䄸䅒䑂䕁䅙兑畂䝁䅅䅢㕂䡁䅍兡穂䙁䄸杤硁䍁䅁䅋祁䍁䅫杌㑂䝁䅷督瑂䙁䄰䅒䑂䕁䅙睊桁䍁䅑睒歁䑁䅅䅍穁䑁䅯䅊䡂䍁䅑免穁䑁䅁䅁坁睁䅁杌䅁䍁䅍䅒噂䙁䅁䅔䩂䕁䅍兑啂䕁䅕䅉偂䙁䅁䅖䩂䕁䄸杔杁䕁䅳兒婂䙁䅍䅁い䅂䅁杒䅁䍁䅣睗䕂䕁䅍杒杁䕁䅍睢畂䡁䅙党祂䡁䅍兡療䝁䄴杌㑂䝁䅷督瑂䙁䄰睖䉂䕁䅍睑湁䍁䅅䅊䉂䕁䅕䅊ぁ䑁䅁䅁呁允䅁䅅䅁䍁䅕睕兂䙁䅑李ㅁ䑁䅕䅁㝁兂䅁䅖䅁䙁䅳兔䩂䙁䄸䅒䑂䕁䅙兑畂䝁䅅䅢㕂䡁䅍兡穂䙁䄸杤硁䍁䄴䅥獂䡁䅍兢摂䕁䅑睑䝂䍁䅅䅊婂䍁䅑免ぁ䑁䅕杏歁䙁䅫䅊硁䑁䅕䅍䅁䙁䍧䅁允䅁䅁兊呂䙁䅁䅖ぁ䑁䅕睎䅁䕁䘸䅁慁䅁䅁睕兂䙁䅍杍㑁䑁䅧睎硁䑁䅧兏㕁䑁䅁䅁祄杂䅁䅅䅁䍁䅕睕兂䙁䅑兎祁䑁䅫䅁䑂兂䅁䅈䅁䕁䅫兕啂䑁䅅䅏ぁ䑁䅣兏㕁䑁䅕杍㉁䑁䅍䅁ㅁ䅂䅁䅕䅁䍁䅣睗乂䕁䅫睘䕂䕁䅍杒䉂䝁䄴兙獂䡁䅫督灂䡁䅍睘㉂䑁䅅䅉潁䑁䅉克畁䡁䅧䅢穂䝁䄰兘䕂䕁䅍杒湁䍁䅅䅊坂䍁䅑䅎㍁䅁䅁权䅍䉁䅉䅁汁䙁䅍䅕啂䑁䅉李睁䑁䅉䅁㑁兂䅁䅇䅁䙁䅍䅕呂䑁䅑䅍ㅁ䑁䅕兏睁䑁䅍杍䅁䕁䡷䅁允䅁䅁兊呂䙁䅁䅖ㅁ䑁䅫杍䅁䙁䘰䅁杁䅁䅁兓剂䙁䄸䅖偂䙁䅑兑䵂䙁䄸杕䙂䕁䅍兒䩂䙁䅙䅁䙃杂䅁䅒䅁䍁䅣睗䕂䕁䅍杒杁䕁䅍睢畂䡁䅙党祂䡁䅍兡療䝁䄴杌㑂䝁䅷督瑂䙁䄰䅒䑂䕁䅙睊桁䍁䅑䅗歁䑁䅅免㍁䅁䅁兣䅅䉁䅁䅁汁䙁䅍䅕啂䑁䅍兏ぁ䅁䅁杗䅕䉁䅷䅁䩂䙁䅅䅖硁䑁䅧䅎㍁䑁䅫兏ㅁ䑁䅉免ぁ䅁䅁䅌䅑䅁䅷䅁橁䙁䅁兒佂䕁䅑䅁硃睁䅁䅖䅁䙁䅳兔䩂䙁䄸䅒䑂䕁䅙兑畂䝁䅅䅢㕂䡁䅍兡穂䙁䄸杤硁䍁䄴䅥獂䡁䅍兢摂䕁䅑睑䝂䍁䅅䅊䕂䕁䄴䅊ぁ䑁䅫杏歁䕁䅑杔歁䑁䅕䅎䅁䑁䍫䅁兂䅁䅁睊扂䕁䅑睑䝂䍁䅁睑療䝁䄴杤求䡁䅉督灂䝁䄸杢畁䡁䅧䅢穂䝁䄰兘呂䝁䅧党求䡁䅑免湁䍁䅅䅊乂䍁䅑䅎㙁䍁䅑睔歁䑁䅑䅁䱂允䅁杇䅁䙁䅍䅕呂䑁䅕兏ぁ䑁䅕䅍穁䑁䅍䅏㕁䅁䅁朲䅙䉁䅯䅁呂䙁䅁睕祁䑁䅧䅏㍁䑁䅅䅏㕁䑁䅫睍䅁偁䝕䅁允䅁䅁兊呂䙁䅁䅖ㅁ䑁䅅免䅁䝁䘸䅁捁䅁䅁杔䉂䙁䅍䅒䉂䙁䅅睒乂䑁䅯杒䩂䙁䅙杔䅁䭁䠴䅁奂䅁䅁睊扂䕁䄰兓時䕁䅑睑䝂䕁䅅杢桂䝁䅷入穂䝁䅫督時䡁䅙免杁䍁䄰䅉䑂䝁䄸䅣㕂䍁䄴䅥獂䡁䅍兢摂䕁䅑睑䝂䍁䅣光歁䙁䅫䅊硁䑁䅉睎䅁䭁䌸䅁捁䅁䅁兓剂䙁䅑免㑁䑁䅍睎ぁ䑁䅕杍睁䑁䅅䅎䅁䅁䕙䅁䕂䅁䅁睊扂䕁䅑睑䝂䍁䅁睑療䝁䄴杤求䡁䅉督灂䝁䄸杢畁䡁䅧䅢穂䝁䄰兘䕂䕁䅍杒湁䍁䅅䅊呂䍁䅑免㑁䑁䅙䅁㕁允䅁䅅䅁䍁䅕睕兂䙁䅑睍㉁䑁䅧䅁睁兂䅁䅈䅁䕁䅫兕啂䑁䅅䅏㉁䑁䅑䅍ぁ䑁䅕䅎㍁䑁䅉䅁ぃ䅂䅁䅓䅁䙁䅳睕兂䕁䅣睘䕂䕁䅍杒䉂䝁䄴兙獂䡁䅫督灂䡁䅍睘㉂䑁䅅杌㑂䝁䅷督瑂䙁䄰䅒䑂䕁䅙光歁䕁䅅睒歁䑁䅑睎䅁䑁䑑䅁慁䅁䅁杔䉂䙁䅍䅒䉂䙁䅅睒呂䑁䅯睖䍂䕁䅑䅁潃杂䅁䅈䅁䕁䅫兕啂䑁䅅䅏ぁ䑁䅣兏㕁䑁䅕杍ぁ䑁䅉䅁䭄䅂䅁杕䅁䍁䅣睗乂䕁䅫睘䕂䕁䅍杒䉂䝁䄴兙獂䡁䅫督灂䡁䅍睘㉂䑁䅅䅉潁䑁䅉克畁䡁䅧䅢穂䝁䄰兘䕂䕁䅍杒湁䍁䅅䅊䕂䕁䄴䅊ぁ䑁䅧䅁㥄杁䅁䅈䅁䙁䅍䅕呂䑁䅅睎㕁䑁䅉睎㍁䑁䅕䅎穁䑁䅁䅁噁杂䅁杒䅁䍁䅣睗䕂䕁䅍杒杁䕁䅍睢畂䡁䅙党祂䡁䅍兡療䝁䄴杌㑂䝁䅷督瑂䙁䄰睕潂䝁䅕党あ䑁䅅睊桁䍁䅑杒歁䑁䅕䅁䅂允䅁䅣䅁䕁䄸䅣あ䝁䅫睢畂䡁䅍杏䑂䡁䅕杣祂䑁䄰兖呂䕁䅑䅌乂䝁䅅睚㥁䙁䅑䅡療䡁䅕督桂䝁䄴䅚穂䍁䅷睑療䝁䄴杤乂䝁䅕䅤潂䝁䄸䅚㥁䕁䄰兓祂䝁䅕睙療䝁䄰兢求䝁䄴䅚求䝁䅑䅁剁睁䅁杖䅁䙁䅳兔䩂䙁䄸睒䵂䕁䄸村䉂䕁䅷睘塂䕁䅅睑䑂䕁䅅杢桂䝁䅷入穂䝁䅫督時䡁䅙免畁䡁䅧䅢穂䝁䄰兘塂䕁䅅睑䑂䍁䅅䅊兂䍁䅑睍祁䅁䅁睶䅁䉁䅷䅁䩂䙁䅅䅖硁䑁䅣兏祁䑁䅣睎ㅁ䑁䅑李㕁䅁䅁杮䅑䉁䅁䅁汁䙁䅍䅕啂䑁䅍睎硁䅁䅁督䅕䕁䅙䅁扂䕁䄰兓時䕁䅑睑䝂䕁䅅杢桂䝁䅷入穂䝁䅫督時䡁䅙免畁䡁䅧䅢穂䝁䄰兘䕂䕁䅍杒桁䍁䅑兗歁䑁䅅杍㕁䅁䅁兕䅉䉁䅁䅁汁䙁䅍䅕啂䑁䅍睎㍁䅁䅁杏䅕䙁䅑䅁湁䙁䅳睕兂䕁䅣睘䕂䕁䅍杒䉂䝁䄴兙獂䡁䅫督灂䡁䅍睘㉂䑁䅅䅉潁䑁䅍克畁䡁䅧䅢穂䝁䄰兘䕂䕁䅍杒湁䍁䅅䅊婂䍁䅑免穁䑁䅉䅁求睁䅁䅅䅁䍁䅕睕兂䙁䅑睍㑁䑁䅉䅁婂兂䅁村䅁䍁䅣睗䕂䕁䅍杒杁䕁䅍睢畂䡁䅙党祂䡁䅍兡療䝁䄴杌㑂䝁䅷督瑂䙁䄰䅒䑂䕁䅙睊桁䍁䅑睕歁䑁䅫杍䅁䭁䉫䅁䕁䅁䅁睑䅁䕁䕫䅁䕂䅁䅁睊扂䙁䅣兑䑂䕁䅍䅉呂䕁䄴䅔畁䡁䅧䅢穂䝁䄰兘塂䕁䅅睑䑂䍁䅣光歁䕁䅷䅊穁䑁䅕杏歁䕁䅷䅊ぁ䑁䅫䅁桃䅁䅁䅒䅁䍁䅣睗䕂䕁䅍杒杁䕁䅍睢畂䡁䅙党祂䡁䅍兡療䝁䄴杌㑂䝁䅷督瑂䙁䄰䅒䑂䕁䅙睊桁䍁䅑兗歁䑁䅅杍祁䅁䅁杣䅅䝁䅉䅁湁䙁䅳睕兂䕁䅣睘䕂䕁䅍杒䉂䝁䄴兙獂䡁䅫督灂䡁䅍睘㉂䑁䅅䅉潁䑁䅍克畁䡁䅧䅢穂䝁䄰兘䕂䕁䅍杒湁䍁䅅䅊䕂䙁䅁䅊ぁ䑁䅫杏歁䕁䅑兕歁䑁䅑兏䅁䕁䐴䅁楂䅁䅁睊扂䙁䅍䅕䡂䙁䄸䅒䑂䕁䅙兑畂䝁䅅䅢㕂䡁䅍兡穂䙁䄸杤硁䍁䅁䅋穁䍁䅫杌㑂䝁䅷督瑂䙁䄰䅒䑂䕁䅙睊桁䍁䅑䅗歁䑁䅅䅎㑁䑁䅯䅊奂䍁䅑免ㅁ䑁䅍䅁牂睁䅁䅅䅁䍁䅕睕兂䙁䅑兎㍁䑁䅧䅁䍂兂䅁䅣䅁䕁䄸䅣あ䝁䅫睢畂䡁䅍杏䑂䡁䅕杣祂䑁䄰兖呂䕁䅑䅌乂䝁䅅睚㥁䕁䄰兡獂䝁䅷兡療䝁䄴督獁䕁䅍睢畂䡁䅙兔求䡁䅑䅡療䝁䅑児呂䕁䄴䅔祂䝁䅕睙療䝁䄰兢求䝁䄴䅚求䝁䅑䅁晃䅁䅁䅅䅁䍁䅕睕兂䙁䅑睍㑁䑁䅫䅁ㅁ兂䅁䅒䅁䍁䅣睗䕂䕁䅍杒杁䕁䅍睢畂䡁䅙党祂䡁䅍兡療䝁䄴杌㑂䝁䅷督瑂䙁䄰䅒䑂䕁䅙睊桁䍁䅑杖歁䑁䅅免㕁䅁䅁兤䅅䉁䅁䅁汁䙁䅍䅕啂䑁䅑䅍祁䅁䅁兤䅕䙁䅑䅁湁䙁䅳睕兂䕁䅣睘䕂䕁䅍杒䉂䝁䄴兙獂䡁䅫督灂䡁䅍睘㉂䑁䅅䅉潁䑁䅍克畁䡁䅧䅢穂䝁䄰兘䕂䕁䅍杒湁䍁䅅䅊塂䍁䅑免ぁ䑁䅁䅁浂睁䅁䅅䅁䍁䅕睕兂䙁䅑李硁䑁䅣䅁䙂兂䅁䅉䅁䕁䅑党求䡁䅉党杁䍁䅙䅉䑂䝁䄸兢睂䝁䅅杢㕂䅁䅁眱䅑䉁䅯䅁䍂䝁䄸杢歂䍁䅁睢祂䍁䅁杔療䡁䅑党䅁䙁䌴䅁捁䅁䅁睕兂䙁䅍免㑁䑁䅑睎㕁䑁䅫兎穁䑁䅣兏䅁䅁䝅䅁允䅁䅁兊呂䙁䅁䅖ぁ䑁䅅兎䅁䕁䙑䅁捁䅁䅁兓剂䙁䅑免㍁䑁䅫杍㉁䑁䅁李㑁䑁䅙兎䅁䭁䕣䅁允䅁䅁兊呂䙁䅁䅖ㅁ䑁䅕䅍䅁䡁䙳䅁浂䅁䅁睊扂䕁䄰兓時䕁䅑睑䝂䕁䅅杢桂䝁䅷入穂䝁䅫督時䡁䅙免杁䍁䄰䅉䑂䝁䄸䅣㕂䍁䄴䅥獂䡁䅍兢摂䕁䅑睑䝂䍁䅣光歁䕁䅕䅊祁䑁䅁䅏㙁䍁䅑兒歁䑁䅉杍㑁䅁䅁兵䅉䙁䅁䅁湁䙁䅳睕兂䕁䅣睘䕂䕁䅍杒䉂䝁䄴兙獂䡁䅫督灂䡁䅍睘㉂䑁䅅䅉ぁ䍁䄴䅥獂䡁䅍兢摂䕁䅑睑䝂䍁䅣光歁䙁䅣䅊硁䑁䅍免䅁䅁䘰䅁奁䅁䅁睕兂䙁䅍免ぁ䑁䅁兎硁䑁䅉兏睁䅁䅁眵䅕䉁䅁䅁汁䙁䅍䅕啂䑁䅣兎祁䅁䅁內䅕䉁䅷䅁呂䙁䅁睕硁䑁䅧䅏㍁䑁䅧䅏㍁䑁䅕兏㍁䅁䅁䅑䅣䝁䅁䅁湁䙁䅳兔䩂䙁䄸䅒䑂䕁䅙兑畂䝁䅅䅢㕂䡁䅍兡穂䙁䄸杤硁䍁䅁䅋祁䍁䅫杌㑂䝁䅷督瑂䙁䄰䅒䑂䕁䅙睊桁䍁䅑兑乂䍁䅑兎㕁䑁䅯䅊䉂䕁䄰䅊㍁䑁䅉䅁䙁睁䅁䅅䅁䍁䅕睕兂䙁䅑兎㉁䑁䅫䅁䡂兂䅁䅅䅁䑁䅑䅎穁䑁䅁䅍㉁䑁䅕䅁浃睂䅁杇䅁䙁䅍䅕啂䙁䅉睔硁䑁䅙兏祁䑁䅙睍穁䅁䅁䅘䅉䉁䅁䅁汁䙁䅍䅕啂䑁䅑免㍁䅁䅁兕䅕䉁䅁䅁汁䙁䅍䅕啂䑁䅑杍㍁䅁䅁䅎䅕䝁䅉䅁湁䙁䅳兔䩂䙁䄸䅒䑂䕁䅙兑畂䝁䅅䅢㕂䡁䅍兡穂䙁䄸杤硁䍁䅁兌杁䕁䅍睢睂䡁䅫杌㑂䝁䅷督瑂䙁䄰䅒䑂䕁䅙睊桁䍁䅑䅓歁䑁䅫睍㙁䍁䅑兔歁䑁䅫睍䅁䭁䍫䅁敂䅁䅁睊扂䙁䅍䅕䡂䙁䄸䅒䑂䕁䅙兑畂䝁䅅䅢㕂䡁䅍兡穂䙁䄸杤硁䍁䅁䅎畁䡁䅧䅢穂䝁䄰兘䕂䕁䅍杒湁䍁䅅䅊婂䍁䅑免ㅁ䑁䅉杏歁䙁䅫䅊硁䑁䅕睍䅁䉁䙧䅁允䅁䅁兊呂䙁䅁䅖ㅁ䑁䅍免䅁䙁䙧䅁允䅁䅁兊呂䙁䅁䅖ぁ䑁䅉兏䅁䡁䙙䅁捁䅁䅁睕兂䙁䅍免㍁䑁䅫杍㍁䑁䅣兎ぁ䑁䅍杍䅁䱁䘰䅁奂䅁䅁睖桂䡁䅉杢求䡁䅉䅉䍂䡁䅉睢穂䍁䄴䅉䕂䝁䅫督橂䝁䄸杤求䡁䅉入獁䍁䅁兓畂䝁䅍杌杁䍁䅧杔䉂䙁䅍䅒䉂䙁䅅睒呂䑁䅯睖䍂䕁䅑克䅁䱁䝕䅁兂䅁䅁睊扂䕁䅑睑䝂䍁䅁睑療䝁䄴杤求䡁䅉督灂䝁䄸杢畁䡁䅧䅢穂䝁䄰兘呂䝁䅧党求䡁䅑免湁䍁䅅䅊佂䍁䅑睍㙁䍁䅑兕歁䑁䅍䅁佂允䅁䅅䅁䍁䅕睕兂䙁䅑䅎穁䑁䅑䅁䭂兂䅁杙䅁䍁䅣睗呂䙁䅁睒時䕁䅑睑䝂䕁䅅杢桂䝁䅷入穂䝁䅫督時䡁䅙免杁䍁䅧免灁䍁䄴䅥獂䡁䅍兢摂䕁䅑睑䝂䍁䅣光歁䕁䅉䅗歁䑁䅕睍㙁䍁䅑睑䉂䍁䅑兎穁䅁䅁杮䅍䉁䅁䅁汁䙁䅍䅕啂䑁䅕睎睁䅁䅁䅥䅕䙁䅉䅁湁䙁䅳兔䩂䙁䄸䅒䑂䕁䅙兑畂䝁䅅䅢㕂䡁䅍兡穂䙁䄸杤硁䍁䅁䅋祁䍁䅫杌㑂䝁䅷督瑂䙁䄰䅒䑂䕁䅙睊桁䍁䅑兗歁䑁䅅睍祁䅁䅁睇䅍䉁䅯䅁偂䡁䅁䅤灂䝁䄸杢穂䑁䅯杔䉂䑁䄰䅍䅁偁䕅䅁捁䅁䅁睕兂䙁䅍免㑁䑁䅧睎睁䑁䅍䅍㕁䑁䅕兏䅁偁䘴䅁捁䅁䅁兓剂䙁䅑免㑁䑁䅑睎㕁䑁䅫兎ぁ䑁䅁睎䅁䅁䔸䅁䕂䅁䅁睊扂䕁䅑睑䝂䍁䅁睑療䝁䄴杤求䡁䅉督灂䝁䄸杢畁䡁䅧䅢穂䝁䄰兘䕂䕁䅍杒湁䍁䅅䅊啂䍁䅑免㑁䑁䅙䅁㉁允䅁杒䅁䙁䅳兔䩂䙁䄸䅒䑂䕁䅙兑畂䝁䅅䅢㕂䡁䅍兡穂䙁䄸杤硁䍁䄴䅥獂䡁䅍兢摂䕁䅑睑䝂䍁䅅䅊婂䍁䅑免穁䑁䅅䅁婄杁䅁杙䅁䍁䅣睗呂䙁䅁睒時䕁䅑睑䝂䕁䅅杢桂䝁䅷入穂䝁䅫督時䡁䅙免杁䍁䅧睍灁䍁䄴䅥獂䡁䅍兢摂䕁䅑睑䝂䍁䅣光歁䕁䅑䅒歁䑁䅕睍㙁䍁䅑䅒䝂䍁䅑兎穁䅁䅁兘䅍䉁䅁䅁汁䙁䅍䅕啂䑁䅑睍ㅁ䅁䅁材䅕䉁䅷䅁呂䙁䅁睕硁䑁䅧杍穁䑁䅧睎㑁䑁䅅睎睁䅁䅁䄶䅕䉁䅷䅁䩂䙁䅅䅖硁䑁䅧李ぁ䑁䅁䅎㉁䑁䅑兎ㅁ䅁䅁䅐䅑䉁䅁䅁汁䙁䅍䅕啂䑁䅑兏㉁䅁䅁入䅕䙁䅙䅁扂䙁䅍䅕䡂䙁䄸䅒䑂䕁䅙兑畂䝁䅅䅢㕂䡁䅍兡穂䙁䄸杤硁䍁䄴䅥獂䡁䅍兢摂䕁䅑睑䝂䍁䅅䅊䕂䙁䅁䅊ぁ䑁䅫杏歁䕁䅑兕歁䑁䅑兏䅁䍁䑫䅁允䅁䅁兊呂䙁䅁䅖ぁ䑁䅑睍䅁䕁䙷䅁捁䅁䅁兓剂䙁䅑免㑁䑁䅧睎睁䑁䅍䅍㕁䑁䅣杍䅁䅁䕉䅁捁䅁䅁睕兂䙁䅍免㑁䑁䅑睎㕁䑁䅫兎穁䑁䅣李䅁䍁䝧䅁䝂䅁䅁睗乂䕁䅫睘䕂䕁䅍杒䉂䝁䄴兙獂䡁䅫督灂䡁䅍睘㉂䑁䅅杌㑂䝁䅷督瑂䙁䄰䅒䑂䕁䅙光歁䙁䅯䅊硁䑁䅑䅍䅁䅁䍑䅁允䅁䅁兊呂䙁䅁䅖㉁䑁䅅䅏䅁䝁䙳䅁兂䅁䅁睗乂䕁䅫睘䕂䕁䅍杒䉂䝁䄴兙獂䡁䅫督灂䡁䅍睘㉂䑁䅅杌㑂䝁䅷督瑂䙁䄰䅒䑂䕁䅙光歁䕁䅧䅊㕁䑁䅫杏歁䕁䄰䅊㕁䑁䅫䅁塄杁䅁䅅䅁䍁䅕睕兂䙁䅑䅎ぁ䑁䅣䅁䉂兂䅁杒䅁䍁䅣睗䕂䕁䅍杒杁䕁䅍睢畂䡁䅙党祂䡁䅍兡療䝁䄴杌㑂䝁䅷督瑂䙁䄰睕潂䝁䅕党あ䑁䅅睊桁䍁䅑睓歁䑁䅉䅁䩂允䅁䅅䅁䍁䅕睕兂䙁䅑兎㉁䑁䅑䅁時兂䅁䅅䅁䍁䅕睕兂䙁䅑䅎ㅁ䑁䅕䅁佂兂䅁杇䅁䙁䅍䅕呂䑁䅉䅏㑁䑁䅣免㑁䑁䅫兏祁䅁䅁䄹䅙䉁䅁䅁汁䙁䅍䅕啂䑁䅑李㍁䅁䅁杒䅕䙁䄴䅁湁䙁䅳睕兂䕁䅣睘䕂䕁䅍杒䉂䝁䄴兙獂䡁䅫督灂䡁䅍睘㉂䑁䅅䅉潁䑁䅍克畁䡁䅧䅢穂䝁䄰兘䕂䕁䅍杒湁䍁䅅䅊䥂䍁䅑兏㑁䑁䅯䅊乂䍁䅑兏㑁䅁䅁睘䅍䉁䅯䅁呂䙁䅁睕祁䑁䅧䅏㍁䑁䅅䅏㕁䑁䅧杍䅁䵁䝉䅁䝂䅁䅁睊扂䕁䅑睑䝂䍁䅁睑療䝁䄴杤求䡁䅉督灂䝁䄸杢畁䡁䅧䅢穂䝁䄰兘呂䝁䅧党求䡁䅑免湁䍁䅅䅊䥂䍁䅑睍䅁䕁䉅䅁允䅁䅁兊呂䙁䅁䅖ㅁ䑁䅧睍䅁䝁䙫䅁䭁䅁䅁杒婂䍁䄰李䅁䝁䝧䅁允䅁䅁兊呂䙁䅁䅖ぁ䑁䅧杍䅁䙁䙑䅁敂䅁䅁睊扂䙁䅍䅕䡂䙁䄸䅒䑂䕁䅙兑畂䝁䅅䅢㕂䡁䅍兡穂䙁䄸杤硁䍁䅁䅎畁䡁䅧䅢穂䝁䄰兘䕂䕁䅍杒湁䍁䅅䅊䡂䍁䅑杍ぁ䑁䅧杏歁䕁䄰䅊祁䑁䅑䅏䅁䅁䙯䅁允䅁䅁兊呂䙁䅁䅖ぁ䑁䅫免䅁䙁䙕䅁捁䅁䅁兓剂䙁䅑免㑁䑁䅑睎㕁䑁䅫兎祁䑁䅁䅏䅁偁䑁䅁慁䅁䅁睕兂䙁䅍杍㑁䑁䅧睎硁䑁䅧兏㑁䑁䅑䅁䕄杂䅁䅈䅁䕁䅙兤畂䝁䅑兡畂䝁䅣䅉啂䡁䅫䅣求䍁䅁䅁灁䅁䅁䅅䅁䍁䅕睕兂䙁䅑兎睁䑁䅙䅁䩂兂䅁䅉䅁䑁䅅兢杁䙁䅍䅣桂䝁䄴兡穂䝁䅧䅉䍂䝁䅫䅢獂䅁䅁睹䅉䉁䅁䅁汁䙁䅍䅕啂䑁䅣䅍ぁ䅁䅁䅧䅕䍁䅙䅁扂䕁䅉睢療䝁䅳免摂䙁䅍䅡求䝁䅕䅤硁䍁䅅䅊䉂䍁䅑免䅁䉁䅁䅁坂䅁䅁睗乂䕁䅫睘塂䕁䅅睑䑂䕁䅅杢桂䝁䅷入穂䝁䅫督時䡁䅙免畁䡁䅧䅢穂䝁䄰兘塂䕁䅅睑䑂䍁䅅䅊剂䍁䅑睍穁䑁䅯䅊䉂䕁䅅䅊穁䑁䅍䅁乁允䅁杇䅁䙁䅍䅕呂䑁䅉䅏㑁䑁䅣免㑁䑁䅫兏ぁ䅁䅁朹䅙䉁䅁䅁汁䙁䅍䅕啂䑁䅕免㉁䅁䅁睖䅕䉁䅯䅁䩂䙁䅅䅖祁䑁䅕䅎㕁䑁䅍兎睁䑁䅫䅏䅁䅁䕫䅁慁䅁䅁睕兂䙁䅍杍㑁䑁䅧睎硁䑁䅧兏㕁䑁䅕䅁㍄杂䅁䅅䅁䍁䅕睕兂䙁䅑兎硁䑁䅣䅁䅂兂䅁䅅䅁䍁䅕睕兂䙁䅑睎ぁ䑁䅣䅁煂兂䅁杔䅁䕁䅯兙牂䝁䅅杣あ䝁䅅䅉呂䡁䅑睢橂䝁䅳䅉䙂䡁䅧睙潂䝁䅅杢湂䝁䅕䅉䑂䝁䄸兢睂䝁䄸督灂䡁䅑党杁䕁䅫杢歂䝁䅕䅥䅁䙁䅅䅁捁䅁䅁兓剂䙁䅑免㍁䑁䅫杍㉁䑁䅁李㑁䑁䅕杍䅁䱁䕅䅁允䅁䅁兊呂䙁䅁䅖ㅁ䑁䅑兎䅁䑁䘰䅁䕂䅁䅁睗乂䕁䅫睘䕂䕁䅍杒䉂䝁䄴兙獂䡁䅫督灂䡁䅍睘㉂䑁䅅杌㑂䝁䅷督瑂䙁䄰䅒䑂䕁䅙光歁䙁䅙䅊ぁ䑁䅙䅁汄杁䅁䅈䅁䕁䅫兕啂䑁䅅睎㕁䑁䅉李睁䑁䅙䅏㉁䑁䅁䅁偃䅂䅁䅅䅁䍁䅕睕兂䙁䅑兎ㅁ䑁䅕䅁㕁兂䅁䅅䅁䍁䅕睕兂䙁䅑睎ㅁ䑁䅣䅁歂兂䅁杈䅁䕁䅫兕時䙁䅁杕䙂䕁䅙睘䙂䙁䅅兖䩂䙁䅑兗䅁䕁䕙䅁捁䅁䅁兓剂䙁䅑免㍁䑁䅫杍㉁䑁䅁李㑁䑁䅙睍䅁䙁䕍䅁允䅁䅁兊呂䙁䅁䅖ㅁ䑁䅕李䅁䝁䙧䅁歂䅁䅁睔睂䡁䅑兡療䝁䄴督㙁䕁䅍兤祂䡁䅉児噂䙁䅍䅒獁䍁䅁兔桂䝁䅣児㉁䍁䅷䅉䑂䝁䄸杢㉂䕁䄰党あ䝁䅧睢歂䑁䄰兔䩂䡁䅉党橂䝁䄸兢瑂䝁䅕杢歂䝁䅕䅚䅁乁䅫䅁奁䅁䅁睕兂䙁䅍免ぁ䑁䅁睍㑁䑁䅣䅍ㅁ䅁䅁眳䅕䉁䅷䅁䩂䙁䅅䅖硁䑁䅧李ぁ䑁䅁䅎㉁䑁䅑兎㑁䅁䅁条䅑䙁䅑䅁扂䕁䄰兓時䕁䅑睑䝂䕁䅅杢桂䝁䅷入穂䝁䅫督時䡁䅙免畁䡁䅧䅢穂䝁䄰兘䕂䕁䅍杒桁䍁䅑䅗歁䑁䅅䅎穁䑁䅯䅊奂䍁䅑免ぁ䑁䅧䅁千杁䅁䅅䅁䍁䅕睕兂䙁䅑兎㉁䑁䅉䅁扂兂䅁杕䅁䍁䅣睗䕂䕁䅍杒杁䕁䅍睢畂䡁䅙党祂䡁䅍兡療䝁䄴杌㑂䝁䅷督瑂䙁䄰䅒䑂䕁䅙睊桁䍁䅑兑䥂䍁䅑兎祁䑁䅯䅊䉂䕁䅧䅊㉁䑁䅍䅁权允䅁䅅䅁䍁䅕睕兂䙁䅑兎㕁䑁䅣䅁㡂兂䅁䅅䅁䍁䅕睕兂䙁䅑李祁䑁䅉䅁穁兂䅁䅄䅁䍁䅕睕兂䙁䅑李䅁䝁䘰䅁慁䅁䅁睕兂䙁䅍杍㑁䑁䅧睎硁䑁䅧兏㑁䑁䅅䅁䉄杂䅁䅕䅁䍁䅣睗呂䙁䅁睒時䕁䅑睑䝂䕁䅅杢桂䝁䅷入穂䝁䅫督時䡁䅙免杁䑁䅑杌㑂䝁䅷督瑂䙁䄰䅒䑂䕁䅙睊桁䍁䅑睖歁䑁䅅䅎睁䅁䅁充䅕䉁䅁䅁汁䙁䅍䅕啂䑁䅙䅍ㅁ䅁䅁睓䅕䉁䅁䅁汁䙁䅍䅕啂䑁䅙免睁䅁䅁杙䅕䝁䄴䅁偂䡁䅁䅤灂䝁䄸杢穂䑁䅯睑ㅂ䡁䅉杣㥁䙁䅕睕䕂䍁䅷兔桂䝁䅣児乂䝁䅫䅢獂䝁䅫睢畂䡁䅍䅌䑂䝁䄸杢㉂䕁䄰党あ䝁䅧睢歂䑁䄰兔䩂䡁䅉党橂䝁䄸兢瑂䝁䅕杢歂䝁䅕䅚䅁佁䅍䅁十䅁䅁杔婂䙁䅍兒㙁䕁䅫村乂䅁䅁朸䅑䙁䅁䅁湁䙁䅳䅒䑂䕁䅙䅉䑂䝁䄸杢㉂䝁䅕杣穂䝁䅫睢畂䍁䄴䅥獂䡁䅍兢摂䙁䅍䅡求䝁䅕䅤硁䍁䅣光歁䕁䄴䅊ぁ䑁䅯䅊噂䍁䅑䅎䅁䙁䉙䅁䭂䅁䅁睗乂䕁䅫睘塂䕁䅅睑䑂䕁䅅杢桂䝁䅷入穂䝁䅫督時䡁䅙免畁䡁䅧䅢穂䝁䄰兘塂䕁䅅睑䑂䍁䅅䅊䑂䙁䅧䅊穁䑁䅣䅁剁允䅁䅅䅁䍁䅕睕兂䙁䅑李祁䑁䅍䅁㥂兂䅁杇䅁䙁䅍䅕呂䑁䅑睍硁䑁䅅兎㑁䑁䅫兏㍁䅁䅁睌䅙䅁䅷䅁汁䙁䅍䅕啂䑁䅣䅁浂兂䅁杇䅁䙁䅍䅕呂䑁䅉䅏㑁䑁䅣免㑁䑁䅫䅏睁䅁䅁䅷䅙䉁䅉䅁佂䙁䅫睕䙂䑁䅯村偂䙁䅧䅁潄睂䅁杙䅁䍁䅣睗呂䙁䅁睒時䕁䅑睑䝂䕁䅅杢桂䝁䅷入穂䝁䅫督時䡁䅙免杁䑁䅅䅉潁䑁䅅克畁䡁䅧䅢穂䝁䄰兘䕂䕁䅍杒湁䍁䅅䅊坂䍁䅑兎硁䑁䅯䅊坂䍁䅑兎㉁䅁䅁睷䅍䉁䅯䅁䩂䙁䅅䅖祁䑁䅑李㍁䑁䅑睍㉁䑁䅍睎䅁䝁䕳䅁允䅁䅁兊呂䙁䅁䅖㉁䑁䅍免䅁䝁䙁䅁楂䅁䅁睊扂䕁䄰兓時䕁䅑睑䝂䕁䅅杢桂䝁䅷入穂䝁䅫督時䡁䅙免杁䍁䄰䅉䑂䝁䄸䅣㕂䍁䄴䅥獂䡁䅍兢摂䕁䅑睑䝂䍁䅣光歁䙁䅙䅊ぁ䑁䅙杏歁䙁䅙䅊ㅁ䑁䅅䅁晃杁䅁䅙䅁䍁䅣睗呂䙁䅁睒時䕁䅑睑䝂䕁䅅杢桂䝁䅷入穂䝁䅫督時䡁䅙免杁䍁䅧免灁䍁䄴䅥獂䡁䅍兢摂䕁䅑睑䝂䍁䅣光歁䙁䅧䅊ぁ䑁䅣杏歁䕁䅅兒歁䑁䅑睎䅁䩁䑫䅁捂䅁䅁䅕桂䡁䅫䅢療䝁䅍兡あ䡁䅫䅉䥂䝁䄸䅢歂䝁䅫杢湂䍁䅁睑療䡁䅉䅣療䡁䅉兙あ䝁䅫睢畂䍁䅁䅋佂䕁䅅睕䕂䕁䅅兕䡂䙁䅍杏兂䕁䅍䅖婂䍁䅫䅁穃睂䅁䅅䅁䍁䅕睕兂䙁䅑李穁䑁䅍䅁⭂兂䅁䅅䅁䕁䄴兗呂䕁䅕杏䕂䕁䅕䅁慁䅂䅁䅅䅁䍁䅕睕兂䙁䅑李ぁ䑁䅉䅁⽁兂䅁杇䅁䕁䅫兕啂䑁䅉䅎㉁䑁䅣䅎穁䑁䅙䅍ㅁ䅁䅁䅱䅑䕁䅙䅁扂䕁䄰兓時䕁䅑睑䝂䕁䅅杢桂䝁䅷入穂䝁䅫督時䡁䅙免畁䡁䅧䅢穂䝁䄰兘䕂䕁䅍杒桁䍁䅑睑塂䍁䅑䅎ㅁ䅁䅁权䅉䉁䅁䅁㉁䑁䅉免㉁䑁䅍睎睁䅁䅁杯䅣䅁䄴䅁䉂䕁䅍杔瑁䙁䅕睕䅁佁䅕䅁允䅁䅁兊呂䙁䅁䅖㉁䑁䅑睎䅁䡁䙣䅁捁䅁䅁杔䉂䙁䅍䅒䉂䙁䅅睒乂䑁䅯兑兂䙁䅁杒䅁䱁䠴䅁奁䅁䅁睕兂䙁䅍睎㕁䑁䅅䅎硁䑁䅉兏穁䅁䅁六䅕䕁䅯䅁䑂䝁䄸兢橂䝁䅅督あ䍁䅁睑療䡁䅉䅣療䡁䅉兙あ䝁䅫睢畂䍁䅁䅋佂䕁䅅睕䕂䕁䅅兕䡂䙁䅍杏䑂䕁䄰睑呂䕁䅅克䅁䱁䝁䅁慁䅁䅁睕兂䙁䅍杍㑁䑁䅧睎硁䑁䅧兏㕁䑁䅙䅁㑄杂䅁䅗䅁䍁䅣睗乂䕁䅫睘䕂䕁䅍杒䉂䝁䄴兙獂䡁䅫督灂䡁䅍睘㉂䑁䅅䅉瑁䍁䅁睑療䡁䅁入畁䡁䅧䅢穂䝁䄰兘䕂䕁䅍杒湁䍁䅅䅊塂䍁䅑免穁䑁䅕䅁睃杁䅁䅕䅁䙁䅳兔䩂䙁䄸睖塂䙁䄸睖䉂䕁䅍睑䉂䝁䄴兙獂䡁䅫督灂䡁䅍睘㉂䑁䅅杌㑂䝁䅷督瑂䙁䄰睖䉂䕁䅍睑桁䍁䅑睑奂䍁䅑睍㍁䅁䅁术䅁䉁䅁䅁汁䙁䅍䅕啂䑁䅙兎穁䅁䅁兙䅕䉁䅁䅁汁䙁䅍䅕啂䑁䅙兎㕁䅁䅁李䅕䅁䅧䅁䵂䕁䅙杕䅁䕁䕣䅁捁䅁䅁兓剂䙁䅑免㍁䑁䅫杍㉁䑁䅁李㑁䑁䅕李䅁䉁䔰䅁捁䅁䅁睕兂䙁䅍免㍁䑁䅫杍㉁䑁䅁李㍁䑁䅧䅏䅁䩁䘸䅁䕂䅁䅁睗乂䕁䅫睘䕂䕁䅍杒䉂䝁䄴兙獂䡁䅫督灂䡁䅍睘㉂䑁䅅杌㑂䝁䅷督瑂䙁䄰䅒䑂䕁䅙光歁䙁䅙䅊ぁ䑁䅉䅁䉃杁䅁䅙䅁䍁䅣睗乂䕁䅫睘䕂䕁䅍杒䉂䝁䄴兙獂䡁䅫督灂䡁䅍睘㉂䑁䅅䅉潁䑁䅉克畁䡁䅧䅢穂䝁䄰兘䕂䕁䅍杒湁䍁䅅䅊奂䍁䅑免穁䑁䅑杏歁䙁䅧䅊硁䑁䅍兎䅁䉁䑯䅁捁䅁䅁睕兂䙁䅍免㉁䑁䅣免㍁䑁䅍䅎硁䑁䅍兏䅁䙁䝕䅁允䅁䅁兊呂䙁䅁䅖㉁䑁䅙䅍䅁䑁䙷䅁䕂䅁䅁睊扂䕁䅑睑䝂䍁䅁睑療䝁䄴杤求䡁䅉督灂䝁䄸杢畁䡁䅧䅢穂䝁䄰兘䕂䕁䅍杒湁䍁䅅䅊呂䍁䅑免硁䑁䅉䅁㑂允䅁䅆䅁䙁䅧䅖卂䕁䅅杏㑁䙁䅑杕䉂䅁䅁睘䅣䉁䅁䅁坂䕁䅕杕奂䍁䄰兖呂䅁䅁睰䅣䉁䅁䅁汁䙁䅍䅕啂䑁䅙李㑁䅁䅁睙䅕䉁䅁䅁汁䙁䅍䅕啂䑁䅙睎睁䅁䅁睦䅕䙁䅉䅁湁䙁䅳兔䩂䙁䄸䅒䑂䕁䅙兑畂䝁䅅䅢㕂䡁䅍兡穂䙁䄸杤硁䍁䅁䅋祁䍁䅫杌㑂䝁䅷督瑂䙁䄰䅒䑂䕁䅙睊桁䍁䅑兗歁䑁䅅睍硁䅁䅁兇䅍䉁䅷䅁䩂䙁䅅䅖硁䑁䅧䅎㍁䑁䅫兏ㅁ䑁䅑䅍ぁ䅁䅁杓䅑䙁䅉䅁湁䙁䅳兔䩂䙁䄸䅒䑂䕁䅙兑畂䝁䅅䅢㕂䡁䅍兡穂䙁䄸杤硁䍁䅁䅋祁䍁䅫杌㑂䝁䅷督瑂䙁䄰䅒䑂䕁䅙睊桁䍁䅑睖歁䑁䅅䅎睁䅁䅁䅈䅍䝁䅉䅁偂䡁䅁䅤灂䝁䄸杢穂䑁䅯睑ㅂ䡁䅉杣㥁䙁䅕睕䕂䍁䅷兔桂䝁䅣児㉁䍁䅷睑療䝁䄴杤乂䝁䅕䅤潂䝁䄸䅚㥁䙁䅍杔䵂䡁䅉党橂䝁䄸兢瑂䝁䅕杢歂䝁䅕䅚䅁乁䅣䅁允䅁䅁兊呂䙁䅁䅖㉁䑁䅧兎䅁䕁䘰䅁允䅁䅁杒剂䑁䅉杍睁䑁䅉䅍䅁䑁䍣䅁允䅁䅁兊呂䙁䅁䅖㉁䑁䅧兏䅁䙁䘴䅁允䅁䅁兊呂䙁䅁䅖㉁䑁䅫李䅁䝁䙕䅁捁䅁䅁睕兂䙁䅍免㑁䑁䅉睍㑁䑁䅣䅏硁䑁䅣杍䅁䙁䝣䅁捁䅁䅁兓剂䙁䅑免㑁䑁䅙䅎睁䑁䅑李ぁ䑁䅕睎䅁䵁䕍䅁卂䅁䅁睊扂䕁䅑睑䝂䍁䅁睑療䝁䄴杤求䡁䅉督灂䝁䄸杢畁䡁䅧䅢穂䝁䄰兘䕂䕁䅍杒湁䍁䅅䅊䕂䕁䅅䅊穁䑁䅫杏歁䕁䅑睑歁䑁䅍兏䅁䍁䈰䅁允䅁䅁兊呂䙁䅁䅖㉁䑁䅫睎䅁䙁䙁䅁捁䅁䅁睕兂䙁䅍免㑁䑁䅉睍㑁䑁䅣䅏硁䑁䅣睍䅁䵁䙣䅁兂䅁䅁睊扂䕁䄰兓時䕁䅑睑䝂䕁䅅杢桂䝁䅷入穂䝁䅫督時䡁䅙免杁䍁䅧杍灁䍁䄴䅥獂䡁䅍兢摂䕁䅑睑䝂䍁䅣光歁䕁䅉䅊㕁䑁䅧䅁啁睁䅁杒䅁䙁䅳兔䩂䙁䄸䅒䑂䕁䅙兑畂䝁䅅䅢㕂䡁䅍兡穂䙁䄸杤硁䍁䄴䅥獂䡁䅍兢摂䕁䅑睑䝂䍁䅅䅊塂䍁䅑免穁䑁䅕䅁乃杁䅁䅅䅁䕁䅉兒䵂䕁䅕䅗硁䑁䅕䅁㡁䅁䅁杔䅁䍁䅣睗䕂䕁䅍杒杁䕁䅍睢畂䡁䅙党祂䡁䅍兡療䝁䄴杌㑂䝁䅷督瑂䙁䄰䅒䑂䕁䅙睊桁䍁䅑杕歁䑁䅑睍㙁䍁䅑杕歁䑁䅑䅏䅁䭁䉍䅁流䅁䅁免㕂䍁䅁兑ㅂ䡁䅍䅤祂䝁䅅䅢灂䝁䅅杢杁䕁䄴睢あ䝁䅕䅁䑄杁䅁䅅䅁䍁䅕睕兂䙁䅑睎睁䑁䅍䅁坂兂䅁杒䅁䍁䅣睗䕂䕁䅍杒杁䕁䅍睢畂䡁䅙党祂䡁䅍兡療䝁䄴杌㑂䝁䅷督瑂䙁䄰睕潂䝁䅕党あ䑁䅅睊桁䍁䅑䅓歁䑁䅉䅁⽁允䅁䅅䅁䍁䅕睕兂䙁䅑睎祁䑁䅣䅁獂兂䅁䅗䅁䍁䅣睗乂䕁䅫睘䕂䕁䅍杒䉂䝁䄴兙獂䡁䅫督灂䡁䅍睘㉂䑁䅅䅉瑁䍁䅁睑療䡁䅁入畁䡁䅧䅢穂䝁䄰兘䕂䕁䅍杒湁䍁䅅䅊塂䍁䅑免祁䑁䅙䅁獃杁䅁杉䅁䙁䅍党畂䝁䅫睢祂䍁䅁兖畂䡁䅍党橂䡁䅕杣求䝁䅑䅁癄睁䅁杇䅁䕁䅫兕時䙁䅉兖䉂䙁䄸睒卂䕁䄸睕呂䅁䅁䅨䅍䉁䅁䅁汁䙁䅍䅕啂䑁䅣睍祁䅁䅁䅓䅕䉁䅧䅁呂䙁䅁睕穁䑁䅉杍硁䑁䅍睍睁䑁䅙䅁汁杂䅁䅈䅁䙁䅍䅕呂䑁䅅䅏ぁ䑁䅣兏㕁䑁䅕睍㑁䑁䅧䅁剄兂䅁䅈䅁䕁䅫兕啂䑁䅅睎㕁䑁䅉李睁䑁䅙䅏ㅁ䑁䅑䅁乁䅂䅁䅒䅁䙁䅳兔䩂䙁䄸䅒䑂䕁䅙兑畂䝁䅅䅢㕂䡁䅍兡穂䙁䄸杤硁䍁䄴䅥獂䡁䅍兢摂䕁䅑睑䝂䍁䅅䅊坂䍁䅑䅎睁䅁䅁睂䅉䉁䅁䅁汁䙁䅍䅕啂䑁䅣䅎硁䅁䅁杢䅕䉁䅷䅁呂䙁䅁睕硁䑁䅙䅏祁䑁䅕李硁䑁䅁䅏ぁ䅁䅁兵䅣䉁䅷䅁佂䕁䅅睕䕂䕁䅅兕䡂䙁䅍杏䑂䕁䅧䅖卂䅁䅁東䅙䕁䅑䅁湁䙁䅳睖䉂䕁䅍睑杁䙁䅍杔䵂䍁䄴䅥獂䡁䅍䅥摂䙁䅣兑䑂䕁䅍睊桁䍁䅑䅔歁䑁䅍䅎㙁䍁䅑䅔歁䑁䅑兎䅁䑁䅙䅁䥂䅁䅁睗乂䕁䅫睘塂䕁䅅睑䑂䕁䅅杢桂䝁䅷入穂䝁䅫督時䡁䅙免畁䡁䅧䅢穂䝁䄰兘塂䕁䅅睑䑂䍁䅅䅊兂䍁䅑睍祁䅁䅁睃䅅䉁䅷䅁䩂䙁䅅䅖硁䑁䅧䅎㍁䑁䅫兏ㅁ䑁䅑免ㅁ䅁䅁兘䅑䉁䅷䅁䩂䙁䅅䅖硁䑁䅣兏祁䑁䅙䅍㉁䑁䅧兎㍁䅁䅁䄶䅍䉁䅷䅁呂䙁䅁睕硁䑁䅣兏祁䑁䅙䅍㉁䑁䅣䅏㕁䅁䅁䅎䅙䕁䅑䅁扂䕁䄰兓時䕁䅑睑䝂䕁䅅杢桂䝁䅷入穂䝁䅫督時䡁䅙免畁䡁䅧䅢穂䝁䄰兘䕂䕁䅍杒桁䍁䅑杖歁䑁䅑睍䅁䕁䍁䅁十䅁䅁免硁䑁䅉睍ㅁ䑁䅑李ㅁ䅁䅁兣䅣䅁䄴䅁啂䕁䅍睔瑁䙁䅕睕䅁䅁䉕䅁允䅁䅁兊呂䙁䅁䅖㍁䑁䅑杍䅁䡁䙯䅁捁䅁䅁睕兂䙁䅍免㉁䑁䅣免㍁䑁䅍䅎硁䑁䅍䅏䅁䭁䙯䅁䝂䅁䅁睗乂䕁䅫睘䕂䕁䅍杒䉂䝁䄴兙獂䡁䅫督灂䡁䅍睘㉂䑁䅅杌㑂䝁䅷督瑂䙁䄰䅒䑂䕁䅙光歁䙁䅣䅊硁䑁䅍睎䅁䙁䍉䅁卂䅁䅁睊扂䕁䅑睑䝂䍁䅁睑療䝁䄴杤求䡁䅉督灂䝁䄸杢畁䡁䅧䅢穂䝁䄰兘䕂䕁䅍杒湁䍁䅅䅊啂䍁䅑免祁䑁䅑杏歁䙁䅑䅊硁䑁䅉兎䅁䱁䉉䅁捁䅁䅁睕兂䙁䅍免㑁䑁䅉睍㑁䑁䅣䅏硁䑁䅣免䅁䱁䙁䅁允䅁䅁兊呂䙁䅁䅖㍁䑁䅕䅏䅁䝁䙣䅁慁䅁䅁睕兂䙁䅍兎㕁䑁䅑兎睁䑁䅍䅎硁䑁䅫䅁楁睂䅁权䅁䑁䅉䅍祁䑁䅉䅁睂杂䅁䅅䅁䍁䅕睕兂䙁䅑睎㉁䑁䅅䅁睂兂䅁杉䅁䙁䅍䅕時䕁䅷兑呂䙁䅑睕䉂䕁䅷兒兂䙁䅉兓䑂䕁䅕䅁癁兂䅁杇䅁䕁䅫兕啂䑁䅉兎ぁ䑁䅫杍㑁䑁䅕杍穁䅁䅁䅂䅑䉁䅁䅁䩂䕁䅉兒奂䍁䅁睍ㅁ䅁䅁杔䅁䅁䅯䅁祁䑁䅁杍睁䅁䅁䅢䅙䉁䅁䅁汁䙁䅍䅕啂䑁䅣李穁䅁䅁睕䅕䉁䅯䅁呂䙁䅁睕ㅁ䑁䅫䅎㉁䑁䅉䅍祁䑁䅣兏䅁偁䝁䅁卂䅁䅁睊扂䕁䅑睑䝂䍁䅁睑療䝁䄴杤求䡁䅉督灂䝁䄸杢畁䡁䅧䅢穂䝁䄰兘䕂䕁䅍杒湁䍁䅅䅊啂䍁䅑免㕁䑁䅁杏歁䙁䅑䅊祁䑁䅁免䅁䩁䉷䅁允䅁䅁兊呂䙁䅁䅖㍁䑁䅙兏䅁䡁䙅䅁䕂䅁䅁睊扂䕁䅑睑䝂䍁䅁睑療䝁䄴杤求䡁䅉督灂䝁䄸杢畁䡁䅧䅢穂䝁䄰兘䕂䕁䅍杒湁䍁䅅䅊䑂䙁䅯䅊ぁ䑁䅑䅁湃允䅁杇䅁䙁䅍䅕呂䑁䅕兏ぁ䑁䅙杍睁䑁䅉睎穁䅁䅁䄷䅙䉁䅯䅁呂䙁䅁睕ㅁ䑁䅫䅎ㅁ䑁䅁睍ぁ䑁䅅免䅁䉁䡳䅁䕂䅁䅁睊扂䕁䅑睑䝂䍁䅁睑療䝁䄴杤求䡁䅉督灂䝁䄸杢畁䡁䅧䅢穂䝁䄰兘䕂䕁䅍杒湁䍁䅅䅊䉂䕁䅯䅊穁䑁䅫䅁橁允䅁䅅䅁䍁䅕睕兂䙁䅑睎㍁䑁䅁䅁㍁兂䅁䅃䅁䕁䅷䅖乂䅁䅁䄵䅍䉁䅁䅁汁䙁䅍䅕啂䑁䅣睎㍁䅁䅁杣䅕䝁䅙䅁扂䕁䄰兓時䕁䅣䅔偂䕁䅉兑䵂䙁䄸睖䉂䕁䅍睑䉂䝁䄴兙獂䡁䅫督灂䡁䅍睘㉂䑁䅉杌㑂䝁䅷督瑂䙁䄰睖䉂䕁䅍睑桁䍁䅑兑䡂䍁䅑䅎ㅁ䑁䅯䅊䉂䕁䅣䅊ㅁ䑁䅙䅁瑄䅁䅁权䅁䕁䅙兗瑁䑁䅕䅁灂杂䅁䅅䅁䍁䅕睕兂䙁䅑睎㑁䑁䅉䅁䍃兂䅁杙䅁䍁䅣睗呂䙁䅁睒時䕁䅑睑䝂䕁䅅杢桂䝁䅷入穂䝁䅫督時䡁䅙免杁䍁䅧睍灁䍁䄴䅥獂䡁䅍兢摂䕁䅑睑䝂䍁䅣光歁䙁䅧䅊硁䑁䅍䅎㙁䍁䅑䅗歁䑁䅅睍ㅁ䅁䅁䅚䅍䉁䅷䅁呂䙁䅁睕硁䑁䅫䅏硁䑁䅑䅍㍁䑁䅫䅍㑁䅁䅁杨䅣䉁䅑䅁䝂䝁䅫杤求䍁䅁兗求䝁䅅杣䅁䅁䅫䅁啂䅁䅁睗乂䕁䅫睘䕂䕁䅍杒䉂䝁䄴兙獂䡁䅫督灂䡁䅍睘㉂䑁䅅杌㑂䝁䅷督瑂䙁䄰䅒䑂䕁䅙光歁䕁䅙䅊祁䑁䅁睍㙁䍁䅑兔歁䑁䅉䅍穁䅁䅁眰䅅䉁䅁䅁汁䙁䅍䅕啂䑁䅧䅍硁䅁䅁䅘䅕䉁䅁䅁汁䙁䅍䅕啂䑁䅧䅍穁䅁䅁睧䅕䙁䅯䅁湁䙁䅳䅒䑂䕁䅙䅉䑂䝁䄸杢㉂䝁䅕杣穂䝁䅫睢畂䍁䅁䅋㉂䝁䅕杣穂䝁䅫睢畂䍁䅁免灁䍁䄴䅥獂䡁䅍杙摂䕁䅑睑䝂䍁䅣光歁䙁䅁䅊㑁䑁䅧䅁敁允䅁䅈䅁䕁䅫兕啂䑁䅅睎㕁䑁䅉睎㍁䑁䅕䅎㉁䑁䅧䅁獄睁䅁䅓䅁䙁䅳睕兂䕁䅣睘䕂䕁䅍杒䉂䝁䄴兙獂䡁䅫督灂䡁䅍睘㉂䑁䅅杌㑂䝁䅷督瑂䙁䄰䅒䑂䕁䅙光歁䙁䅫䅊硁䑁䅑䅍䅁䕁䑉䅁䕂䅁䅁睊扂䕁䅑睑䝂䍁䅁睑療䝁䄴杤求䡁䅉督灂䝁䄸杢畁䡁䅧䅢穂䝁䄰兘䕂䕁䅍杒湁䍁䅅䅊卂䍁䅑免㑁䑁䅙䅁ㅁ允䅁䅓䅁䍁䅣睗塂䕁䅅睑䑂䍁䅁睕佂䕁䅷杌㑂䝁䅷督瑂䙁䄰睖䉂䕁䅍睑湁䍁䅅䅊䉂䙁䅧䅊穁䑁䅉杏歁䕁䅉兑歁䑁䅍杍䅁䩁䅣䅁潂䅁䅁睊扂䕁䅑睑䝂䍁䅁睑療䝁䄴杤求䡁䅉督灂䝁䄸杢杁䍁䅧杤求䡁䅉督灂䝁䄸杢杁䑁䅅克畁䡁䅧䅢穂䝁䅉兘䕂䕁䅍杒湁䍁䅅䅊剂䍁䅑兏硁䑁䅯䅊剂䍁䅑免睁䑁䅣䅁杁允䅁杢䅁䙁䅳兔䩂䙁䄸兓佂䙁䅍睘䡂䕁䅷睔䍂䕁䅅䅔時䙁䅣兑䑂䕁䅍杌䉂䝁䄴兙獂䡁䅫督灂䡁䅍睘㉂䑁䅅杌㑂䝁䅷督瑂䙁䄰睖䉂䕁䅍睑桁䍁䅑兕歁䑁䅍睍㙁䍁䅑兑䉂䍁䅑睍穁䅁䅁睰䅁䝁䄴䅁䩂䝁䄴䅤求䡁䅉杢桂䡁䅑兡療䝁䄴兙獂䍁䅁村ㅂ䡁䅍兡畂䝁䅕督穂䍁䅁兔桂䝁䅍䅡灂䝁䄴党穂䍁䅁睑療䡁䅉䅣療䡁䅉兙あ䝁䅫睢畂䍁䅁䅋佂䙁䅫睕䙂䑁䅯兓䍂䕁䄰克䅁䩁䝅䅁啂䅁䅁睊扂䙁䅍䅕䡂䙁䄸䅒䑂䕁䅙兑畂䝁䅅䅢㕂䡁䅍兡穂䙁䄸杤硁䍁䅁䅋穁䍁䅫杌㑂䝁䅷督瑂䙁䄰䅒䑂䕁䅙睊桁䍁䅑兑偂䍁䅑兎穁䅁䅁兕䅍䝁䅙䅁湁䙁䅳䅒䑂䕁䅙䅉䑂䝁䄸杢㉂䝁䅕杣穂䝁䅫睢畂䍁䅁䅋㉂䝁䅕杣穂䝁䅫睢畂䍁䅁免灁䍁䄴䅥獂䡁䅍杙摂䕁䅑睑䝂䍁䅣光歁䙁䅉䅊㑁䑁䅧杏歁䙁䅙䅊㑁䑁䅧䅁晁允䅁杚䅁䍁䅣睗呂䙁䅁睒時䕁䅑睑䝂䕁䅅杢桂䝁䅷入穂䝁䅫督時䡁䅙免杁䑁䅅䅉潁䑁䅅克畁䡁䅧䅢穂䝁䄰兘䕂䕁䅍杒湁䍁䅅䅊奂䍁䅑免ぁ䑁䅉杏歁䙁䅧䅊硁䑁䅑睍䅁乁䑯䅁䕂䅁䅁睊扂䕁䅑睑䝂䍁䅁睑療䝁䄴杤求䡁䅉督灂䝁䄸杢畁䡁䅧䅢穂䝁䄰兘䕂䕁䅍杒湁䍁䅅䅊䉂䕁䅙䅊ぁ䑁䅁䅁楁允䅁䅕䅁䍁䅣睗䕂䕁䅍杒杁䕁䅍睢畂䡁䅙党祂䡁䅍兡療䝁䄴杌㑂䝁䅷督瑂䙁䄰䅒䑂䕁䅙睊桁䍁䅑睕歁䑁䅍睍㙁䍁䅑兑䑂䍁䅑睍穁䅁䅁杙䅅䉁䅯䅁呂䙁䅁睕ㅁ䑁䅫䅎ㅁ䑁䅁睍穁䑁䅧䅎䅁乁䝕䅁捁䅁䅁兓剂䙁䅑免㑁䑁䅑睎㕁䑁䅫兎祁䑁䅅兏䅁偁䑕䅁兂䅁䅁睊扂䕁䅑睑䝂䍁䅁睑療䝁䄴杤求䡁䅉督灂䝁䄸杢畁䡁䅧䅢穂䝁䄰兘呂䝁䅧党求䡁䅑免湁䍁䅅䅊䱂䍁䅑李㙁䍁䅑睓歁䑁䅫䅁䵂允䅁䅒䅁䍁䅣睗䕂䕁䅍杒杁䕁䅍睢畂䡁䅙党祂䡁䅍兡療䝁䄴杌㑂䝁䅷督瑂䙁䄰䅒䑂䕁䅙睊桁䍁䅑兑䡂䍁䅑䅎睁䅁䅁兘䅅䉁䅯䅁呂䙁䅁睕ㅁ䑁䅫䅎ㅁ䑁䅁睍穁䑁䅧睍䅁乁䝑䅁捂䅁䅁睊扂䕁䄰兓時䕁䅑睑䝂䕁䅅杢桂䝁䅷入穂䝁䅫督時䡁䅙免杁䍁䅧杍灁䍁䄴䅥獂䡁䅍兢摂䕁䅑睑䝂䍁䅣光歁䕁䅧䅊㕁䑁䅫杏歁䕁䄰䅊㕁䑁䅫䅁塁睁䅁䅈䅁䙁䅍䅕呂䑁䅅睎㕁䑁䅉李睁䑁䅙䅏睁䑁䅍䅁牁杂䅁权䅁䕁䅑杓䩂䕁䅅䅁䝂䅁䅁䅈䅁䕁䄴兑呂䕁䅑兑剂䕁䅣睕㙁䙁䅁兑佂䙁䅣䅁坃睂䅁䅒䅁䍁䅣睗䕂䕁䅍杒杁䕁䅍睢畂䡁䅙党祂䡁䅍兡療䝁䄴杌㑂䝁䅷督瑂䙁䄰䅒䑂䕁䅙睊桁䍁䅑兑䡂䍁䅑䅎㍁䅁䅁杮䅅䉁䅷䅁䩂䙁䅅䅖硁䑁䅧䅎㍁䑁䅫兏ㅁ䑁䅉免硁䅁䅁睵䅑䝁䅁䅁湁䙁䅳兔䩂䙁䄸䅒䑂䕁䅙兑畂䝁䅅䅢㕂䡁䅍兡穂䙁䄸杤硁䍁䅁䅋祁䍁䅫杌㑂䝁䅷督瑂䙁䄰䅒䑂䕁䅙睊桁䍁䅑兗歁䑁䅅䅎㑁䑁䅯䅊婂䍁䅑免ㅁ䑁䅍䅁楁睁䅁杇䅁䙁䅍䅕呂䑁䅅李ㅁ䑁䅕睎祁䑁䅑兎祁䅁䅁睒䅣䕁䅑䅁湁䙁䅳䅒䑂䕁䅙䅉䑂䝁䄸杢㉂䝁䅕杣穂䝁䅫睢畂䍁䄴䅥獂䡁䅍兢摂䕁䅑睑䝂䍁䅣光歁䕁䅅睒歁䑁䅑䅏䅁䱁䉍䅁坂䅁䅁睗呂䙁䅁睒時䕁䅑睑䝂䕁䅅杢桂䝁䅷入穂䝁䅫督時䡁䅙免畁䡁䅧䅢穂䝁䄰兘䕂䕁䅍杒桁䍁䅑䅗歁䑁䅅兎祁䑁䅯䅊奂䍁䅑免ㅁ䑁䅍䅁橄䅂䅁杖䅁䙁䅳睕兂䕁䅣睘䕂䕁䅍杒䉂䝁䄴兙獂䡁䅫督灂䡁䅍睘㉂䑁䅅杌㑂䝁䅷督瑂䙁䄰䅒䑂䕁䅙光歁䕁䅍兕歁䑁䅕䅍㙁䍁䅑睑卂䍁䅑兎睁䅁䅁杤䅍䉁䅯䅁㡁䑁䄴䅍㕁䍁䄸杍睁䍁䄸杍睁䑁䅅兏䅁䡁䉁䅁卂䅁䅁睊扂䕁䅑睑䝂䍁䅁睑療䝁䄴杤求䡁䅉督灂䝁䄸杢畁䡁䅧䅢穂䝁䄰兘䕂䕁䅍杒湁䍁䅅䅊䉂䕁䅧䅊ぁ䑁䅕杏歁䕁䅅䅓歁䑁䅕李䅁䍁䉕䅁敂䅁䅁睊扂䙁䅍䅕䡂䙁䄸䅒䑂䕁䅙兑畂䝁䅅䅢㕂䡁䅍兡穂䙁䄸杤硁䍁䅁䅎畁䡁䅧䅢穂䝁䄰兘䕂䕁䅍杒湁䍁䅅䅊奂䍁䅑免ぁ䑁䅉杏歁䙁䅧䅊硁䑁䅑睍䅁䉁䙍䅁慁䅁䅁睕兂䙁䅍杍㑁䑁䅧睎硁䑁䅧兏㑁䑁䅧䅁䥄杂䅁䅆䅁䕁䄴兗呂䕁䅕杏䉂䕁䄴兒啂䅁䅁末䅣䙁䅉䅁湁䙁䅳䅒䑂䕁䅙䅉䑂䝁䄸杢㉂䝁䅕杣穂䝁䅫睢畂䍁䄴䅥獂䡁䅍兢摂䕁䅑睑䝂䍁䅣光歁䕁䅅䅓歁䑁䅕睍㙁䍁䅑兑䥂䍁䅑李ぁ䅁䅁兴䅅䙁䅉䅁湁䙁䅳䅒䑂䕁䅙䅉䑂䝁䄸杢㉂䝁䅕杣穂䝁䅫睢畂䍁䄴䅥獂䡁䅍兢摂䕁䅑睑䝂䍁䅣光歁䕁䅅兓歁䑁䅑兎㙁䍁䅑兑䩂䍁䅑兎㉁䅁䅁睘䅅䙁䅉䅁湁䙁䅳䅒䑂䕁䅙䅉䑂䝁䄸杢㉂䝁䅕杣穂䝁䅫睢畂䍁䄴䅥獂䡁䅍兢摂䕁䅑睑䝂䍁䅣光歁䙁䅑䅊硁䑁䅁兏㙁䍁䅑䅖歁䑁䅅免祁䅁䅁杪䅅䑁䅁䅁啂䡁䅉兙歂䝁䅕䅉䕂䝁䅅䅤求䍁䅁䅋瑂䝁䄰睌歂䝁䅑睌㕂䡁䅫入㕂䍁䅫䅁煁䅁䅁䅅䅁䑁䅑睍睁䑁䅕兎㉁䑁䅉䅁元睂䅁杙䅁䍁䅣睗呂䙁䅁睒時䕁䅑睑䝂䕁䅅杢桂䝁䅷入穂䝁䅫督時䡁䅙免杁䍁䅧睍灁䍁䄴䅥獂䡁䅍兢摂䕁䅑睑䝂䍁䅣光歁䕁䅅䅔歁䑁䅕兏㙁䍁䅑兑䵂䍁䅑睎祁䅁䅁杕䅍䕁䅑䅁湁䙁䅳䅒䑂䕁䅙䅉䑂䝁䄸杢㉂䝁䅕杣穂䝁䅫睢畂䍁䄴䅥獂䡁䅍兢摂䕁䅑睑䝂䍁䅣光歁䕁䅍睕歁䑁䅑䅎䅁䭁䉕䅁卂䅁䅁睊扂䕁䅑睑䝂䍁䅁睑療䝁䄴杤求䡁䅉督灂䝁䄸杢畁䡁䅧䅢穂䝁䄰兘䕂䕁䅍杒湁䍁䅅䅊䉂䕁䅫䅊ㅁ䑁䅉杏歁䕁䅅兓歁䑁䅙睍䅁䭁䉅䅁卂䅁䅁睊扂䕁䅑睑䝂䍁䅁睑療䝁䄴杤求䡁䅉督灂䝁䄸杢畁䡁䅧䅢穂䝁䄰兘䕂䕁䅍杒湁䍁䅅䅊䉂䕁䅫䅊ㅁ䑁䅍杏歁䕁䅅兓歁䑁䅙䅎䅁䱁䉙䅁捁䅁䅁兓剂䙁䅑免㑁䑁䅑睎㕁䑁䅫兎祁䑁䅅睍䅁䑁䕉䅁䕂䅁䅁睊扂䕁䅑睑䝂䍁䅁睑療䝁䄴杤求䡁䅉督灂䝁䄸杢畁䡁䅧䅢穂䝁䄰兘䕂䕁䅍杒湁䍁䅅䅊䉂䕁䅳䅊穁䑁䅫䅁敂允䅁䅇䅁䙁䅍䅕呂䑁䅙杍硁䑁䅑睍ㅁ䑁䅍睎䅁䕁䡍䅁坂䅁䅁睗呂䙁䅁睒時䕁䅑睑䝂䕁䅅杢桂䝁䅷入穂䝁䅫督時䡁䅙免畁䡁䅧䅢穂䝁䄰兘䕂䕁䅍杒桁䍁䅑兒歁䑁䅉兎穁䑁䅯䅊䙂䍁䅑杍ㅁ䑁䅧䅁㑃睁䅁杗䅁䍁䅣睗呂䙁䅁睒時䕁䅑睑䝂䕁䅅杢桂䝁䅷入穂䝁䅫督時䡁䅙免杁䑁䅑杌㑂䝁䅷督瑂䙁䄰䅒䑂䕁䅙睊桁䍁䅑杖歁䑁䅕免㙁䍁䅑杖歁䑁䅕李䅁偁䔰䅁杁䅁䅁睍瑂䍁䅁睕睂䝁䅅杢灂䡁䅍䅡杁䕁䅉兡獂䝁䅷䅁䵄杁䅁䅒䅁䍁䅣睗䕂䕁䅍杒杁䕁䅍睢畂䡁䅙党祂䡁䅍兡療䝁䄴杌㑂䝁䅷督瑂䙁䄰䅒䑂䕁䅙睊桁䍁䅑兑䱂䍁䅑䅎㉁䅁䅁睮䅅䉁䅷䅁䩂䙁䅅䅖硁䑁䅧睍㍁䑁䅑兎祁䑁䅁杍祁䅁䅁䅙䅑䕁䅙䅁湁䙁䅳䅒䑂䕁䅙䅉䑂䝁䄸杢㉂䝁䅕杣穂䝁䅫睢畂䍁䄴䅥獂䡁䅍兢摂䙁䅣兑䑂䕁䅍睊桁䍁䅑睑剂䍁䅑睍㍁䅁䅁杇䅅䙁䅑䅁扂䕁䄰兓時䕁䅑睑䝂䕁䅅杢桂䝁䅷入穂䝁䅫督時䡁䅙免畁䡁䅧䅢穂䝁䄰兘䕂䕁䅍杒桁䍁䅑䅒䕂䍁䅑兎睁䑁䅯䅊䕂䕁䅙䅊ㅁ䑁䅁䅁䩂杁䅁杋䅁䙁䅍杔䵂䍁䅁兓畂䡁䅍䅤灂䡁䅑兤あ䝁䅫睢畂䍁䅁睓求䡁䅫䅉䅁䍁䅉䅁䥁䅁䅁兒噂䙁䅉䅁杂睂䅁䅒䅁䍁䅣睗䕂䕁䅍杒杁䕁䅍睢畂䡁䅙党祂䡁䅍兡療䝁䄴杌㑂䝁䅷督瑂䙁䄰䅒䑂䕁䅙睊桁䍁䅑兑䱂䍁䅑䅎㍁䅁䅁䅴䅅䕁䅑䅁湁䙁䅳䅒䑂䕁䅙䅉䑂䝁䄸杢㉂䝁䅕杣穂䝁䅫睢畂䍁䄴䅥獂䡁䅍兢摂䕁䅑睑䝂䍁䅣光歁䕁䅍杕歁䑁䅍睎䅁䍁䉯䅁捁䅁䅁睕兂䙁䅍免㑁䑁䅑睎㕁䑁䅫兎穁䑁䅧睍䅁䉁䝳䅁䕂䅁䅁睊扂䕁䅑睑䝂䍁䅁睑療䝁䄴杤求䡁䅉督灂䝁䄸杢畁䡁䅧䅢穂䝁䄰兘䕂䕁䅍杒湁䍁䅅䅊䑂䙁䅍䅊穁䑁䅣䅁橂允䅁杄䅁䕁䅧睔佂䍁䄰兖呂䅁䅁䅹䅁䙁䅉䅁湁䙁䅳䅒䑂䕁䅙䅉䑂䝁䄸杢㉂䝁䅕杣穂䝁䅫睢畂䍁䄴䅥獂䡁䅍兢摂䕁䅑睑䝂䍁䅣光歁䙁䅑䅊硁䑁䅉免㙁䍁䅑䅖歁䑁䅅杍祁䅁䅁杤䅅䕁䅑䅁湁䙁䅳䅒䑂䕁䅙䅉䑂䝁䄸杢㉂䝁䅕杣穂䝁䅫睢畂䍁䄴䅥獂䡁䅍兢摂䕁䅑睑䝂䍁䅣光歁䕁䅍睕歁䑁䅑兎䅁䱁䉯䅁卂䅁䅁睊扂䕁䅑睑䝂䍁䅁睑療䝁䄴杤求䡁䅉督灂䝁䄸杢畁䡁䅧䅢穂䝁䄰兘䕂䕁䅍杒湁䍁䅅䅊䑂䙁䅑䅊穁䑁䅫杏歁䕁䅍睖歁䑁䅍兏䅁䍁䉳䅁卂䅁䅁睊扂䕁䅑睑䝂䍁䅁睑療䝁䄴杤求䡁䅉督灂䝁䄸杢畁䡁䅧䅢穂䝁䄰兘䕂䕁䅍杒湁䍁䅅䅊䑂䙁䅕䅊穁䑁䅫杏歁䕁䅍䅗歁䑁䅍兏䅁䝁䉑䅁兂䅁䅁睊扂䕁䅑睑䝂䍁䅁睑療䝁䄴杤求䡁䅉督灂䝁䄸杢畁䡁䅧䅢穂䝁䄰兘呂䝁䅧党求䡁䅑免湁䍁䅅䅊䡂䍁䅑兎㙁䍁䅑睒歁䑁䅣䅁䝂允䅁䅕䅁䕁䄸杚浂䝁䅕杣灂䝁䄴睚杁䕁䅅杢畂䝁䄸兤畂䝁䅍党瑂䝁䅕杢あ䍁䅁䅒桂䡁䅑党杁䍁䅧兢瑂䍁䄸䅚歂䍁䄸入㕂䡁䅫入灁䅁䅁睋䅁䉁䅷䅁䩂䙁䅅䅖硁䑁䅧䅎㍁䑁䅫兏ㅁ䑁䅉䅎硁䅁䅁䅶䅑䉁䅷䅁呂䙁䅁睕硁䑁䅣兏祁䑁䅣睎ㅁ䑁䅑睍穁䅁䅁䅒䅙䉁䅷䅁佂䕁䅅睕䕂䕁䅅兕䡂䙁䅍杏䉂䕁䅑村䙂䅁䅁克䅕䙁䅉䅁湁䙁䅳䅒䑂䕁䅙䅉䑂䝁䄸杢㉂䝁䅕杣穂䝁䅫睢畂䍁䄴䅥獂䡁䅍兢摂䕁䅑睑䝂䍁䅣光歁䕁䅍兖歁䑁䅑李㙁䍁䅑睑奂䍁䅑䅎㉁䅁䅁杰䅅䙁䅉䅁湁䙁䅳䅒䑂䕁䅙䅉䑂䝁䄸杢㉂䝁䅕杣穂䝁䅫睢畂䍁䄴䅥獂䡁䅍兢摂䕁䅑睑䝂䍁䅣光歁䕁䅍兖歁䑁䅑睎㙁䍁䅑睑奂䍁䅑䅎㍁䅁䅁睵䅅䝁䅉䅁湁䙁䅳睕兂䕁䅣睘䕂䕁䅍杒䉂䝁䄴兙獂䡁䅫督灂䡁䅍睘㉂䑁䅅䅉硁䍁䅁䅋硁䍁䅫杌㑂䝁䅷督瑂䙁䄰䅒䑂䕁䅙睊桁䍁䅑䅓歁䑁䅫䅏㙁䍁䅑兔歁䑁䅫䅏䅁䵁䐰䅁捁䅁䅁兓剂䙁䅑免㑁䑁䅑睎㕁䑁䅫兎硁䑁䅧李䅁乁䕯䅁奂䅁䅁睊扂䕁䄰兓時䕁䅑睑䝂䕁䅅杢桂䝁䅷入穂䝁䅫督時䡁䅙免杁䍁䄰䅉䑂䝁䄸䅣㕂䍁䄴䅥獂䡁䅍兢摂䕁䅑睑䝂䍁䅣光歁䙁䅫䅊硁䑁䅍兎䅁䱁䍅䅁奂䅁䅁睔睂䡁䅑兡療䝁䄴督㙁䕁䅍兤祂䡁䅉児獁䕁䅍睢畂䡁䅙兔求䡁䅑䅡療䝁䅑児乂䕁䅫杣求䝁䅍睢瑂䝁䄰党畂䝁䅑党歂䍁䅷杔䉂䑁䄰䅍䅁䩁䝧䅁捁䅁䅁杔䉂䙁䅍䅒䉂䙁䅅睒呂䑁䅯䅕䉂䙁䅉兑䅁䭁䝕䅁杂䅁䅁睊扂䙁䅍䅕䡂䙁䄸䅒䑂䕁䅙兑畂䝁䅅䅢㕂䡁䅍兡穂䙁䄸杤硁䍁䅁䅋硁䍁䅫杌㑂䝁䅷督瑂䙁䄰䅒䑂䕁䅙睊桁䍁䅑䅗歁䑁䅑䅏㙁䍁䅑兑䙂䍁䅑䅎㑁䅁䅁杭䅍䉁䅯䅁呂䙁䅁睕穁䑁䅉兎㑁䑁䅅䅏ㅁ䑁䅕兏䅁偁䘸䅁十䅁䅁睑乂䕁䅍睕䉂䍁䄰兖呂䅁䅁兲䅙䅁䄴䅁佂䕁䄸睖瑁䙁䅕睕䅁䝁䌰䅁䕂䅁䅁睊扂䕁䅑睑䝂䍁䅁睑療䝁䄴杤求䡁䅉督灂䝁䄸杢畁䡁䅧䅢穂䝁䄰兘䕂䕁䅍杒湁䍁䅅䅊䑂䙁䅫䅊穁䑁䅣䅁獁允䅁䅈䅁䕁䅫兕啂䑁䅅䅏㑁䑁䅣䅍穁䑁䅁兏㉁䑁䅍䅁䑂䅂䅁杕䅁䍁䅣睗䕂䕁䅍杒杁䕁䅍睢畂䡁䅙党祂䡁䅍兡療䝁䄴杌㑂䝁䅷督瑂䙁䄰䅒䑂䕁䅙睊桁䍁䅑䅖歁䑁䅅免㉁䑁䅯䅊啂䍁䅑免硁䑁䅫䅁癃允䅁杒䅁䙁䅳兔䩂䙁䄸䅒䑂䕁䅙兑畂䝁䅅䅢㕂䡁䅍兡穂䙁䄸杤硁䍁䄴䅥獂䡁䅍兢摂䕁䅑睑䝂䍁䅅䅊䉂䕁䄴䅊ぁ䑁䅣䅁敄允䅁䅒䅁䍁䅣睗䕂䕁䅍杒杁䕁䅍睢畂䡁䅙党祂䡁䅍兡療䝁䄴杌㑂䝁䅷督瑂䙁䄰䅒䑂䕁䅙睊桁䍁䅑睑慂䍁䅑睍㍁䅁䅁党䅅䉁䅯䅁呂䙁䅁睕ㅁ䑁䅫䅎㉁䑁䅉䅍祁䑁䅙李䅁䑁䡍䅁䕂䅁䅁睊扂䕁䅑睑䝂䍁䅁睑療䝁䄴杤求䡁䅉督灂䝁䄸杢畁䡁䅧䅢穂䝁䄰兘䕂䕁䅍杒湁䍁䅅䅊䑂䙁䅯䅊ぁ䑁䅕䅁㡃允䅁䅖䅁䍁䅣睗䕂䕁䅍杒杁䕁䅍睢畂䡁䅙党祂䡁䅍兡療䝁䄴杌㑂䝁䅷督瑂䙁䄰睖䉂䕁䅍睑湁䍁䅅䅊䑂䙁䅍䅊穁䑁䅫杏歁䕁䅍杖歁䑁䅍兏䅁䉁䉳䅁慁䅁䅁睕兂䙁䅍兎㕁䑁䅑李祁䑁䅁杍㍁䑁䅉䅁牄杂䅁䅘䅁䙁䅳杕求䡁䅙兡穂䝁䅕䅚時䙁䅍䅕䡂䙁䄸睖䉂䕁䅍睑䉂䝁䄴兙獂䡁䅫督灂䡁䅍睘㉂䑁䅅杌㑂䝁䅷督瑂䙁䄰睖䉂䕁䅍睑桁䍁䅑兑卂䍁䅑兎祁䅁䅁睭䅣䙁䅉䅁湁䙁䅳䅒䑂䕁䅙䅉䑂䝁䄸杢㉂䝁䅕杣穂䝁䅫睢畂䍁䄴䅥獂䡁䅍兢摂䕁䅑睑䝂䍁䅣光歁䙁䅑䅊硁䑁䅫䅍㙁䍁䅑䅖歁䑁䅉䅍睁䅁䅁䅦䅅䙁䅉䅁湁䙁䅳䅒䑂䕁䅙䅉䑂䝁䄸杢㉂䝁䅕杣穂䝁䅫睢畂䍁䄴䅥獂䡁䅍兢摂䕁䅑睑䝂䍁䅣光歁䕁䅑村歁䑁䅍兏㙁䍁䅑䅒䕂䍁䅑睍㕁䅁䅁杚䅅䝁䅑䅁湁䙁䅳兔䩂䙁䄸䅒䑂䕁䅙兑畂䝁䅅䅢㕂䡁䅍兡穂䙁䄸杤硁䍁䅁兌杁䕁䅍睢睂䡁䅫杌㑂䝁䅷督瑂䙁䄰䅒䑂䕁䅙睊桁䍁䅑睒歁䑁䅫䅏㙁䍁䅑睒歁䑁䅅杍ㅁ䅁䅁東䅉䙁䅉䅁湁䙁䅳䅒䑂䕁䅙䅉䑂䝁䄸杢㉂䝁䅕杣穂䝁䅫睢畂䍁䄴䅥獂䡁䅍兢摂䕁䅑睑䝂䍁䅣光歁䕁䅑村歁䑁䅑李㙁䍁䅑䅒䕂䍁䅑䅎㉁䅁䅁䅱䅅䙁䅉䅁湁䙁䅳䅒䑂䕁䅙䅉䑂䝁䄸杢㉂䝁䅕杣穂䝁䅫睢畂䍁䄴䅥獂䡁䅍兢摂䙁䅣兑䑂䕁䅍睊桁䍁䅑兕歁䑁䅍睍㙁䍁䅑兑䉂䍁䅑睍穁䅁䅁兇䅅䙁䅉䅁湁䙁䅳䅒䑂䕁䅙䅉䑂䝁䄸杢㉂䝁䅕杣穂䝁䅫睢畂䍁䄴䅥獂䡁䅍兢摂䕁䅑睑䝂䍁䅣光歁䕁䅑村歁䑁䅑睎㙁䍁䅑䅒䕂䍁䅑䅎㍁䅁䅁其䅅䕁䅉䅁湁䙁䅳䅒䑂䕁䅙䅉䑂䝁䄸杢㉂䝁䅕杣穂䝁䅫睢畂䍁䄴䅥獂䡁䅍兢摂䕁䅑睑䝂䍁䅣光歁䙁䅅䅊穁䑁䅉䅁流允䅁䅎䅁䙁䅣兙祂䡁䅍兙㍂䍁䅁睕あ䝁䄸睙牂䍁䅁兒㑂䝁䅍䅡桂䝁䄴睚求䍁䅁睖䩂䕁䅣䅁䝃䅁䅁䅈䅁䕁䅫兕啂䑁䅅睎㕁䑁䅉李睁䑁䅙䅏ㅁ䑁䅕䅁浃䅂䅁䅒䅁䙁䅳兔䩂䙁䄸䅒䑂䕁䅙兑畂䝁䅅䅢㕂䡁䅍兡穂䙁䄸杤硁䍁䄴䅥獂䡁䅍兢摂䕁䅑睑䝂䍁䅅䅊坂䍁䅑䅎硁䅁䅁兦䅉䕁䄴䅁湁䙁䅳䅒䑂䕁䅙䅉䑂䝁䄸杢㉂䝁䅕杣穂䝁䅫睢畂䍁䄴䅥獂䡁䅍兢摂䕁䅑睑䝂䍁䅣光歁䙁䅅䅊穁䑁䅙杏歁䙁䅅䅊ぁ䑁䅅䅁湁允䅁䅅䅁䙁䅑睑呂䍁䄰杔呂䕁䅕䅁佄杁䅁杕䅁䍁䅣睗乂䕁䅫睘䕂䕁䅍杒䉂䝁䄴兙獂䡁䅫督灂䡁䅍睘㉂䑁䅅䅉潁䑁䅉克畁䡁䅧䅢穂䝁䄰兘䕂䕁䅍杒湁䍁䅅䅊䉂䕁䄸䅊ㅁ䑁䅍䅁䑁睁䅁䅗䅁䍁䅣睗乂䕁䅫睘䕂䕁䅍杒䉂䝁䄴兙獂䡁䅫督灂䡁䅍睘㉂䑁䅅䅉瑁䍁䅁睑療䡁䅁入畁䡁䅧䅢穂䝁䄰兘䕂䕁䅍杒湁䍁䅅䅊塂䍁䅑免ぁ䑁䅅䅁穃杁䅁杒䅁䙁䅳兔䩂䙁䄸䅒䑂䕁䅙兑畂䝁䅅䅢㕂䡁䅍兡穂䙁䄸杤硁䍁䄴䅥獂䡁䅍兢摂䕁䅑睑䝂䍁䅅䅊䉂䕁䅳䅊ㅁ䑁䅑䅁祄杁䅁䅖䅁䙁䅳睕兂䕁䅣睘䕂䕁䅍杒䉂䝁䄴兙獂䡁䅫督灂䡁䅍睘㉂䑁䅅杌㑂䝁䅷督瑂䙁䄰䅒䑂䕁䅙光歁䙁䅧䅊ぁ䑁䅣杏歁䕁䅅䅓歁䑁䅑睎䅁佁䔴䅁坂䅁䅁睗呂䙁䅁睒時䕁䅑睑䝂䕁䅅杢桂䝁䅷入穂䝁䅫督時䡁䅙免畁䡁䅧䅢穂䝁䄰兘䕂䕁䅍杒桁䍁䅑䅗歁䑁䅅睍ぁ䑁䅯䅊奂䍁䅑免穁䑁䅕䅁⽁睁䅁䅒䅁䍁䅣睗䕂䕁䅍杒杁䕁䅍睢畂䡁䅙党祂䡁䅍兡療䝁䄴杌㑂䝁䅷督瑂䙁䄰䅒䑂䕁䅙睊桁䍁䅑睕歁䑁䅅免㕁䅁䅁䅤䅅䉁䅷䅁䩂䙁䅅䅖硁䑁䅧䅎㍁䑁䅫兏ㅁ䑁䅑免㍁䅁䅁䅅䅑䕁䅉䅁湁䙁䅳䅒䑂䕁䅙䅉䑂䝁䄸杢㉂䝁䅕杣穂䝁䅫睢畂䍁䄴䅥獂䡁䅍兢摂䕁䅑睑䝂䍁䅣光歁䙁䅉䅊穁䑁䅉䅁杂允䅁䅆䅁䙁䅕杢穂䝁䅕睙ㅂ䡁䅉党歂䅁䅁儶䅍䉁䅁䅁䱂䙁䅉䅗杁䑁䅅䅍睁䅁䅁睕䅁䙁䅷䅁䥂䝁䅕睤獂䝁䅕䅤あ䍁䅁䅕桂䝁䅍睡桂䡁䅉䅚杁䕁䅕杢あ䝁䅕杣睂䡁䅉兡穂䝁䅕䅉䑂䝁䄸兢睂䝁䅅杢㕂䍁䅁䅋佂䙁䅫睕䙂䑁䅯䅓兂䕁䅕克䅁䥁䘸䅁楂䅁䅁睊扂䙁䅍䅕䡂䙁䄸䅒䑂䕁䅙兑畂䝁䅅䅢㕂䡁䅍兡穂䙁䄸杤硁䍁䅁䅋穁䍁䅫杌㑂䝁䅷督瑂䙁䄰䅒䑂䕁䅙睊桁䍁䅑兗歁䑁䅅䅎㑁䑁䅯䅊婂䍁䅑免ㅁ䑁䅍䅁獂睁䅁杸䅁䕁䄸䅣あ䝁䅫睢畂䡁䅍杏䑂䡁䅕杣祂䑁䄰兖呂䕁䅑䅌乂䝁䅅睚㥁䕁䄰兡獂䝁䅷兡療䝁䄴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佁䅙䅁兂䅁䅁睊扂䕁䅑睑䝂䍁䅁睑療䝁䄴杤求䡁䅉督灂䝁䄸杢畁䡁䅧䅢穂䝁䄰兘䕂䕁䅍杒湁䍁䅅䅊卂䍁䅑睍穁䑁䅯䅊䉂䕁䅉䅊穁䑁䅍䅁潁允䅁䅙䅁䍁䅣睗乂䕁䅫睘䕂䕁䅍杒䉂䝁䄴兙獂䡁䅫督灂䡁䅍睘㉂䑁䅅䅉潁䑁䅉克畁䡁䅧䅢穂䝁䄰兘䕂䕁䅍杒湁䍁䅅䅊䝂䍁䅑杍睁䑁䅧杏歁䕁䄰䅊祁䑁䅁䅏䅁䍁䑙䅁䝂䅁䅁睗乂䕁䅫睘䕂䕁䅍杒䉂䝁䄴兙獂䡁䅫督灂䡁䅍睘㉂䑁䅅杌㑂䝁䅷督瑂䙁䄰䅒䑂䕁䅙光歁䕁䅍兖歁䑁䅑䅏䅁䕁䍙䅁䭁䅁䅁杍睁䑁䅉免䅁䝁䜴䅁佂䅁䅁睊扂䕁䅑睑䝂䍁䅁睑療䝁䄴杤求䡁䅉督灂䝁䄸杢畁䡁䅧䅢穂䝁䄰兘䕂䕁䅍杒湁䍁䅅䅊卂䍁䅑睍㉁䑁䅯䅊卂䍁䅑䅎硁䅁䅁兙䅅乁䅑䅁偂䡁䅁䅤灂䝁䄸杢穂䑁䅯杔䉂䑁䄰杔䉂䍁䅷睑ㅂ䡁䅉杣㥁䙁䅕睕䕂䍁䅷兔桂䝁䅣児啂䝁䅧睢ㅂ䡁䅍兙畂䝁䅑督獁䕁䅍睢畂䡁䅙兔求䡁䅑䅡療䝁䅑児乂䕁䅫杣求䝁䅍睢瑂䝁䄰党畂䝁䅑党歂䍁䅷䅕桂䝁䅑児偂䝁䅙杚獁䕁䅙兡獂䝁䅷児乂䝁䄸杢あ䝁䅧䅢㕂䍁䅷䅒桂䡁䅑党穂䑁䄰村求䝁䅙睢祂䝁䅕䅌呂䝁䄸杣あ䑁䄰䅒求䡁䅍睙䅁䅁䐴䅁楂䅁䅁睊扂䙁䅍䅕䡂䙁䄸䅒䑂䕁䅙兑畂䝁䅅䅢㕂䡁䅍兡穂䙁䄸杤硁䍁䅁䅋穁䍁䅫杌㑂䝁䅷督瑂䙁䄰䅒䑂䕁䅙睊桁䍁䅑兑乂䍁䅑兎㕁䑁䅯䅊䉂䕁䄰䅊㍁䑁䅉䅁呂睁䅁䅅䅁䕁䅫杔啂䕁䅍兌噂䙁䅍䅁⭂睂䅁䅅䅁䙁䅁兑佂䙁䅣兌噂䙁䅍䅁婃睂䅁村䅁䍁䅣睗䕂䕁䅍杒杁䕁䅍睢畂䡁䅙党祂䡁䅍兡療䝁䄴杌㑂䝁䅷督瑂䙁䄰䅒䑂䕁䅙睊桁䍁䅑杕歁䑁䅍兏䅁䭁䉉䅁䍂䅁䅁睊扂䕁䅑睑䝂䍁䅁睑療䝁䄴杤求䡁䅉督灂䝁䄸杢畁䡁䅧䅢穂䝁䄰兘䕂䕁䅍杒湁䍁䅅䅊卂䍁䅑䅎睁䅁䅁睴䅅䙁䄴䅁湁䙁䅳睕兂䕁䅣睘䕂䕁䅍杒䉂䝁䄴兙獂䡁䅫督灂䡁䅍睘㉂䑁䅅䅉潁䑁䅅克畁䡁䅧䅢穂䝁䄰兘䕂䕁䅍杒湁䍁䅅䅊䥂䍁䅑兏㑁䑁䅯䅊乂䍁䅑兏㑁䅁䅁睨䅍䉁䅷䅁呂䙁䅁睕硁䑁䅣兏祁䑁䅙䅍㉁䑁䅣兏㉁䅁䅁杈䅙䕁䅯䅁扂䙁䅍䅕䡂䙁䄸睖䉂䕁䅍睑䉂䝁䄴兙獂䡁䅫督灂䡁䅍睘㉂䑁䅅杌㑂䝁䅷督瑂䙁䄰睖䉂䕁䅍睑桁䍁䅑兒歁䑁䅅睍䅁䕁䠴䅁佂䅁䅁睊扂䕁䅑睑䝂䍁䅁睑療䝁䄴杤求䡁䅉督灂䝁䄸杢畁䡁䅧䅢穂䝁䄰兘䕂䕁䅍杒湁䍁䅅䅊卂䍁䅑䅎ぁ䑁䅯䅊卂䍁䅑䅎㕁䅁䅁䅵䅅䕁䅑䅁湁䙁䅳䅒䑂䕁䅙䅉䑂䝁䄸杢㉂䝁䅕杣穂䝁䅫睢畂䍁䄴䅥獂䡁䅍兢摂䕁䅑睑䝂䍁䅣光歁䙁䅍䅊硁䑁䅁李䅁䥁䉷䅁坂䅁䅁睑療䝁䅣杢灂䡁䅯兙畂䡁䅑䅉啂䝁䅕睙潂䝁䄴睢獂䝁䄸睚㕂䍁䅁睕療䝁䅷兤あ䝁䅫睢畂䡁䅍䅉䑂䝁䄸杣睂䝁䄸杣桂䡁䅑兡療䝁䄴䅁瑂䅂䅁䅒䅁䍁䅣睗䕂䕁䅍杒杁䕁䅍睢畂䡁䅙党祂䡁䅍兡療䝁䄴杌㑂䝁䅷督瑂䙁䄰䅒䑂䕁䅙睊桁䍁䅑睕歁䑁䅅免穁䅁䅁兲䅅䑁䅯䅁湁䙁䅳睖䉂䕁䅍睑杁䙁䅍杔䵂䍁䄴䅥獂䡁䅍兢摂䙁䅣兑䑂䕁䅍睊桁䍁䅑村䙂䍁䅑睍祁䅁䅁杫䅁䉁䅷䅁䩂䙁䅅䅖硁䑁䅣兏祁䑁䅙䅍㉁䑁䅧兎㑁䅁䅁儯䅍䝁䅁䅁湁䙁䅳兔䩂䙁䄸睖䉂䕁䅍睑䉂䝁䄴兙獂䡁䅫督灂䡁䅍睘㉂䑁䅅䅉潁䑁䅕克畁䡁䅧䅢穂䝁䄰兘塂䕁䅅睑䑂䍁䅣光歁䙁䅁䅊穁䑁䅙杏歁䙁䅁䅊ぁ䑁䅅䅁䝃允䅁䅒䅁䍁䅣睗䕂䕁䅍杒杁䕁䅍睢畂䡁䅙党祂䡁䅍兡療䝁䄴杌㑂䝁䅷督瑂䙁䄰䅒䑂䕁䅙睊桁䍁䅑睕歁䑁䅅免ぁ䅁䅁䅫䅅䕁䅑䅁湁䙁䅳䅒䑂䕁䅙䅉䑂䝁䄸杢㉂䝁䅕杣穂䝁䅫睢畂䍁䄴䅥獂䡁䅍兢摂䕁䅑睑䝂䍁䅣光歁䙁䅍䅊硁䑁䅉免䅁䩁䉙䅁奂䅁䅁睗乂䕁䅫睘塂䕁䅅睑䑂䕁䅅杢桂䝁䅷入穂䝁䅫督時䡁䅙免畁䡁䅧䅢穂䝁䄰兘塂䕁䅅睑䑂䍁䅅䅊䉂䕁䅣䅊ぁ䑁䅕杏歁䕁䅅睒歁䑁䅕李䅁䅁䉯䅁卂䅁䅁睊扂䕁䅑睑䝂䍁䅁睑療䝁䄴杤求䡁䅉督灂䝁䄸杢畁䡁䅧䅢穂䝁䄰兘呂䝁䅧党求䡁䅑免湁䍁䅅䅊佂䍁䅑䅎㙁䍁䅑兑䑂䍁䅑䅎䅁䙁䉷䅁慁䅁䅁睕兂䙁䅍兎㕁䑁䅑兎睁䑁䅍䅎祁䑁䅅䅁呁睂䅁杚䅁䍁䅣睗乂䕁䅫睘䕂䕁䅍杒䉂䝁䄴兙獂䡁䅫督灂䡁䅍睘㉂䑁䅅䅉瑁䍁䅁睑療䡁䅁入畁䡁䅧䅢穂䝁䄰兘䕂䕁䅍杒湁䍁䅅䅊䉂䕁䄰䅊ㅁ䑁䅑杏歁䕁䅅兔歁䑁䅙李䅁䩁䌰䅁䕂䅁䅁睊扂䕁䅑睑䝂䍁䅁睑療䝁䄴杤求䡁䅉督灂䝁䄸杢畁䡁䅧䅢穂䝁䄰兘䕂䕁䅍杒湁䍁䅅䅊呂䍁䅑免祁䑁䅉䅁䍄允䅁䅓䅁䙁䅳睕兂䕁䅣睘䕂䕁䅍杒䉂䝁䄴兙獂䡁䅫督灂䡁䅍睘㉂䑁䅅杌㑂䝁䅷督瑂䙁䄰䅒䑂䕁䅙光歁䕁䅉䅊祁䑁䅑睎䅁䱁䑉䅁杂䅁䅁睊扂䕁䄰兓時䕁䅑睑䝂䕁䅅杢桂䝁䅷入穂䝁䅫督時䡁䅙免杁䍁䅧杍灁䍁䄴䅥獂䡁䅍兢摂䕁䅑睑䝂䍁䅣光歁䕁䅑䅒歁䑁䅕睍㙁䍁䅑䅒䝂䍁䅑兎穁䅁䅁睅䅍䙁䅑䅁扂䕁䄰兓時䕁䅑睑䝂䕁䅅杢桂䝁䅷入穂䝁䅫督時䡁䅙免畁䡁䅧䅢穂䝁䄰兘䕂䕁䅍杒桁䍁䅑兑乂䍁䅑兎㕁䑁䅯䅊䉂䕁䄰䅊㍁䑁䅉䅁ㅄ杁䅁䅙䅁䕁䄸䅣求䡁䅉兙あ䝁䅫杢湂䍁䅁䅔求䝁䅅督求䍁䅁杕灂䝁䅣䅡あ䍁䄰睢浂䍁䄰兖穂䝁䅕䅉䉂䡁䅍督求䡁䅑督㙁䍁䅁睒祂䝁䄸督穂䍁䅁䅋歁䕁䄰克䅁䥁䑅䅁奁䅁䅁兓剂䙁䅑睍祁䑁䅉兎硁䑁䅑兎㑁䅁䅁睲䅑䕁䅑䅁湁䙁䅳䅒䑂䕁䅙䅉䑂䝁䄸杢㉂䝁䅕杣穂䝁䅫睢畂䍁䄴䅥獂䡁䅍兢摂䕁䅑睑䝂䍁䅣光歁䙁䅍䅊硁䑁䅉兏䅁䵁䉕䅁慁䅁䅁睕兂䙁䅍李㉁䑁䅣李ㅁ䑁䅍免ぁ䑁䅁䅁婁睂䅁䅈䅁䕁䄴兑呂䕁䅑兑剂䕁䅣睕㙁䕁䄴杒䵂䙁䅧䅁畃杂䅁䅈䅁䕁䅫兕啂䑁䅅䅏㑁䑁䅣䅍穁䑁䅁兏㉁䑁䅑䅁坁䅂䅁䅊䅁䙁䅍䅕時䙁䅁杕䙂䕁䅙兒卂䙁䅉兒䕂䙁䄸䅔䩂䙁䅍䅖䅁䝁䝑䅁䝂䅁䅁睗乂䕁䅫睘䕂䕁䅍杒䉂䝁䄴兙獂䡁䅫督灂䡁䅍睘㉂䑁䅅杌㑂䝁䅷督瑂䙁䄰䅒䑂䕁䅙光歁䕁䅅睓歁䑁䅑䅏䅁偁䉧䅁奁䅁䅁兓剂䙁䅑䅎祁䑁䅉睍睁䑁䅧杍ㅁ䅁䅁杬䅑䕁䅧䅁湁䙁䅳睖䉂䕁䅍睑杁䙁䅍杔䵂䍁䄴䅥獂䡁䅍兢摂䙁䅣兑䑂䕁䅍睊桁䍁䅑村䕂䍁䅑睍ㅁ䑁䅯䅊䍂䕁䅑䅊穁䑁䅫䅁楃䅁䅁杕䅁䍁䅣睗䕂䕁䅍杒杁䕁䅍睢畂䡁䅙党祂䡁䅍兡療䝁䄴杌㑂䝁䅷督瑂䙁䄰䅒䑂䕁䅙睊桁䍁䅑睕歁䑁䅅兏睁䑁䅯䅊呂䍁䅑免㕁䑁䅕䅁㍁允䅁䅒䅁䍁䅣睗䕂䕁䅍杒杁䕁䅍睢畂䡁䅙党祂䡁䅍兡療䝁䄴杌㑂䝁䅷督瑂䙁䄰䅒䑂䕁䅙睊桁䍁䅑睕歁䑁䅅兏ぁ䅁䅁兹䅅䉁䅷䅁呂䙁䅁睕硁䑁䅧䅎㍁䑁䅫兏ㅁ䑁䅅睍硁䅁䅁末䅕䝁䅑䅁湁䙁䅳兔䩂䙁䄸䅒䑂䕁䅙兑畂䝁䅅䅢㕂䡁䅍兡穂䙁䄸杤硁䍁䅁兌杁䕁䅍睢睂䡁䅫杌㑂䝁䅷督瑂䙁䄰䅒䑂䕁䅙睊桁䍁䅑䅗歁䑁䅑睍㙁䍁䅑兑䙂䍁䅑䅎穁䅁䅁兯䅉䙁䅁䅁湁䙁䅳䅒䑂䕁䅙䅉䑂䝁䄸杢㉂䝁䅕杣穂䝁䅫睢畂䍁䄴䅥獂䡁䅍兢摂䕁䅑睑䝂䍁䅣光歁䙁䅍䅊ぁ䑁䅁杏歁䕁䅅睑歁䑁䅑䅍䅁䭁䉑䅁兂䅁䅁睊扂䕁䅑睑䝂䍁䅁睑療䝁䄴杤求䡁䅉督灂䝁䄸杢畁䡁䅧䅢穂䝁䄰兘䕂䕁䅍杒湁䍁䅅䅊呂䍁䅑䅎硁䑁䅯䅊䉂䕁䅍䅊ぁ䑁䅅䅁㕃允䅁杒䅁䍁䅣睗䕂䕁䅍杒杁䕁䅍睢畂䡁䅙党祂䡁䅍兡療䝁䄴杌㑂䝁䅷督瑂䙁䄰睕潂䝁䅕党あ䑁䅅睊桁䍁䅑杒歁䑁䅉䅁⭁允䅁杒䅁䙁䅳兔䩂䙁䄸䅒䑂䕁䅙兑畂䝁䅅䅢㕂䡁䅍兡穂䙁䄸杤硁䍁䄴䅥獂䡁䅍兢摂䕁䅑睑䝂䍁䅅䅊婂䍁䅑免祁䑁䅧䅁偂杁䅁杚䅁䍁䅣睗呂䙁䅁睒時䕁䅑睑䝂䕁䅅杢桂䝁䅷入穂䝁䅫督時䡁䅙免杁䑁䅅䅉潁䑁䅅克畁䡁䅧䅢穂䝁䄰兘䕂䕁䅍杒湁䍁䅅䅊䉂䕁䅷䅊ㅁ䑁䅫杏歁䕁䅅䅔歁䑁䅣杍䅁䵁䑁䅁捁䅁䅁睕兂䙁䅍免㑁䑁䅑睎㕁䑁䅫兎穁䑁䅫䅏䅁乁䙉䅁䵁䅁䅁村䵂䍁䄰兖呂䅁䅁䅰䅣䕁䅉䅁湁䙁䅳䅒䑂䕁䅙䅉䑂䝁䄸杢㉂䝁䅕杣穂䝁䅫睢畂䍁䄴䅥獂䡁䅍兢摂䕁䅑睑䝂䍁䅣光歁䙁䅍䅊㑁䑁䅕䅁湂允䅁䅒䅁䍁䅣睗塂䕁䅅睑䑂䍁䅁睕佂䕁䅷杌㑂䝁䅷督瑂䙁䄰睖䉂䕁䅍睑湁䍁䅅䅊䵂䍁䅑睍ㅁ䑁䅯䅊䵂䍁䅑䅎㑁䅁䅁睫䅁䕁䅉䅁湁䙁䅳䅒䑂䕁䅙䅉䑂䝁䄸杢㉂䝁䅕杣穂䝁䅫睢畂䍁䄴䅥獂䡁䅍兢摂䕁䅑睑䝂䍁䅣光歁䙁䅍䅊㕁䑁䅍䅁⭃允䅁杋䅁䕁䅫兕時䕁䅍兖卂䙁䅉兒佂䙁䅑睘兂䕁䄸杕啂䙁䄸䅒䙂䕁䅉䅖䅁䥁䝣䅁㉂䅁䅁睔睂䡁䅑兡療䝁䄴督㙁䕁䅍兤祂䡁䅉児噂䙁䅍䅒獁䕁䄰兙湂䑁䄰兔灂䝁䅷䅢灂䝁䄸杢穂䍁䅷睑療䝁䄴杤乂䝁䅕䅤潂䝁䄸䅚㥁䙁䅉党橂䝁䄸兢瑂䝁䅕杢歂䝁䅕䅚獁䕁䄴兑㥁䕁䄴兑䅁䕁䠸䅁䕁䅁䅁䅍䅁䅁䅁䅁䕂䅁䅁睊扂䕁䅑睑䝂䍁䅁睑療䝁䄴杤求䡁䅉督灂䝁䄸杢畁䡁䅧䅢穂䝁䄰兘䕂䕁䅍杒湁䍁䅅䅊啂䍁䅑免硁䑁䅣䅁㕂允䅁杕䅁䍁䅣睗䕂䕁䅍杒杁䕁䅍睢畂䡁䅙党祂䡁䅍兡療䝁䄴杌㑂䝁䅷督瑂䙁䄰䅒䑂䕁䅙睊桁䍁䅑䅖歁䑁䅅免㍁䑁䅯䅊啂䍁䅑免硁䑁䅧䅁千允䅁杕䅁䍁䅣睗䕂䕁䅍杒杁䕁䅍睢畂䡁䅙党祂䡁䅍兡療䝁䄴杌㑂䝁䅷督瑂䙁䄰䅒䑂䕁䅙睊桁䍁䅑䅖歁䑁䅅免㍁䑁䅯䅊啂䍁䅑免祁䑁䅁䅁䉄允䅁杕䅁䍁䅣睗䕂䕁䅍杒杁䕁䅍睢畂䡁䅙党祂䡁䅍兡療䝁䄴杌㑂䝁䅷督瑂䙁䄰䅒䑂䕁䅙睊桁䍁䅑䅖歁䑁䅅杍穁䑁䅯䅊啂䍁䅑免祁䑁䅑䅁奃允䅁杮䅁䕁䄸䅣あ䝁䅫睢畂䡁䅍杏䑂䡁䅕杣祂䑁䄰兖呂䕁䅑䅌乂䝁䅅睚㥁䑁䅙䅌䑂䝁䄸杢㉂䕁䄰党あ䝁䅧睢歂䑁䄰兔䩂䡁䅉党橂䝁䄸兢瑂䝁䅕杢歂䝁䅕䅚獁䙁䅁兙歂䑁䄰睔浂䝁䅙䅌䕂䝁䅅䅤求䡁䅍児䍂䝁䅕杚療䡁䅉党獁䙁䅍睢祂䡁䅑児䕂䝁䅕督橂䅁䅁䄳䅁䙁䅑䅁扂䕁䄰兓時䕁䅑睑䝂䕁䅅杢桂䝁䅷入穂䝁䅫督時䡁䅙免畁䡁䅧䅢穂䝁䄰兘䕂䕁䅍杒桁䍁䅑兗歁䑁䅅䅎㑁䑁䅯䅊婂䍁䅑免ㅁ䑁䅍䅁癄杁䅁杕䅁䍁䅣睗䕂䕁䅍杒杁䕁䅍睢畂䡁䅙党祂䡁䅍兡療䝁䄴杌㑂䝁䅷督瑂䙁䄰䅒䑂䕁䅙睊桁䍁䅑䅖歁䑁䅅杍ㅁ䑁䅯䅊啂䍁䅑免祁䑁䅙䅁䕄允䅁䅅䅁䙁䅁杕呂䙁䅁兌噂䙁䅍䅁橁杁䅁杕䅁䍁䅣睗䕂䕁䅍杒杁䕁䅍睢畂䡁䅙党祂䡁䅍兡療䝁䄴杌㑂䝁䅷督瑂䙁䄰䅒䑂䕁䅙睊桁䍁䅑䅖歁䑁䅅睍硁䑁䅯䅊啂䍁䅑免穁䑁䅉䅁䡄允䅁杋䅁䕁䅫兕時䙁䅑睔啂䕁䅅䅔時䙁䅁杕䙂䕁䅙睘䙂䙁䅅兖䩂䙁䅑兗䅁䑁䍑䅁坂䅁䅁睗呂䙁䅁睒時䕁䅑睑䝂䕁䅅杢桂䝁䅷入穂䝁䅫督時䡁䅙免畁䡁䅧䅢穂䝁䄰兘䕂䕁䅍杒桁䍁䅑睒歁䑁䅅䅍祁䑁䅯䅊䡂䍁䅑免穁䑁䅁䅁湄䅂䅁杖䅁䍁䅣睗乂䕁䅫睘䕂䕁䅍杒䉂䝁䄴兙獂䡁䅫督灂䡁䅍睘㉂䑁䅅䅉瑁䍁䅁睑療䡁䅁入畁䡁䅧䅢穂䝁䄰兘䕂䕁䅍杒湁䍁䅅䅊坂䍁䅑䅎硁䅁䅁杮䅉䅁䅧䅁呂䕁䄴䅔䅁䅁䄸䅁允䅁䅁䅎㕁䑁䅫䅎ㅁ䑁䅧䅎䅁䝁䠴䅁捁䅁䅁睕兂䙁䅍免㑁䑁䅧睎睁䑁䅍䅍㕁䑁䅕䅏䅁䕁䝅䅁捁䅁䅁兓剂䙁䅑免㑁䑁䅑睎㕁䑁䅫兎ぁ䑁䅁李䅁䉁䔸䅁䕂䅁䅁睊扂䕁䅑睑䝂䍁䅁睑療䝁䄴杤求䡁䅉督灂䝁䄸杢畁䡁䅧䅢穂䝁䄰兘䕂䕁䅍杒湁䍁䅅䅊啂䍁䅑免㑁䑁䅣䅁㑁允䅁杕䅁䍁䅣睗䕂䕁䅍杒杁䕁䅍睢畂䡁䅙党祂䡁䅍兡療䝁䄴杌㑂䝁䅷督瑂䙁䄰䅒䑂䕁䅙睊桁䍁䅑䅖歁䑁䅅兏睁䑁䅯䅊啂䍁䅑免㕁䑁䅕䅁㝁允䅁杄䅁䕁䄰兔乂䍁䄰兖呂䅁䅁杄䅅䙁䅑䅁湁䙁䅳睕兂䕁䅣睘䕂䕁䅍杒䉂䝁䄴兙獂䡁䅫督灂䡁䅍睘㉂䑁䅅䅉潁䑁䅅克畁䡁䅧䅢穂䝁䄰兘䕂䕁䅍杒湁䍁䅅䅊塂䍁䅑免ぁ䑁䅙䅁潃睁䅁杕䅁䍁䅣睗䕂䕁䅍杒杁䕁䅍睢畂䡁䅙党祂䡁䅍兡療䝁䄴杌㑂䝁䅷督瑂䙁䄰䅒䑂䕁䅙睊桁䍁䅑䅖歁䑁䅅兏睁䑁䅯䅊啂䍁䅑免㕁䑁䅣䅁㥁允䅁杕䅁䍁䅣睗䕂䕁䅍杒杁䕁䅍睢畂䡁䅙党祂䡁䅍兡療䝁䄴杌㑂䝁䅷督瑂䙁䄰䅒䑂䕁䅙睊桁䍁䅑䅖歁䑁䅅兏睁䑁䅯䅊啂䍁䅑免㕁䑁䅫䅁㝂允䅁杕䅁䍁䅣睗䕂䕁䅍杒杁䕁䅍睢畂䡁䅙党祂䡁䅍兡療䝁䄴杌㑂䝁䅷督瑂䙁䄰䅒䑂䕁䅙睊桁䍁䅑䅖歁䑁䅅兏㑁䑁䅯䅊啂䍁䅑杍睁䑁䅫䅁䱄允䅁䅆䅁䕁䄴兗呂䕁䅕杏偂䙁䅉睑䵂䅁䅁睢䅑䍁䄴䅁佂䕁䅅睕䕂䕁䅅兕杁䕁䄸兔奂䍁䅁睒療䡁䅙䅤杁䙁䅉党獂䝁䅫党浂䅁䅁兘䅁䙁䅁䅁湁䙁䅳䅒䑂䕁䅙䅉䑂䝁䄸杢㉂䝁䅕杣穂䝁䅫睢畂䍁䄴䅥獂䡁䅍兢摂䕁䅑睑䝂䍁䅣光歁䙁䅑䅊㑁䑁䅧杏歁䙁䅑䅊硁䑁䅁兏䅁䝁䉫䅁奂䅁䅁睊扂䙁䅍䅕䡂䙁䄸䅒䑂䕁䅙兑畂䝁䅅䅢㕂䡁䅍兡穂䙁䄸杤硁䍁䅁免杁䍁䅧免灁䍁䄴䅥獂䡁䅍兢摂䕁䅑睑䝂䍁䅣光歁䙁䅫䅊硁䑁䅍免䅁乁䑕䅁兂䅁䅁睊扂䕁䅑睑䝂䍁䅁睑療䝁䄴杤求䡁䅉督灂䝁䄸杢畁䡁䅧䅢穂䝁䄰兘䕂䕁䅍杒湁䍁䅅䅊啂䍁䅑䅏㑁䑁䅯䅊啂䍁䅑免硁䑁䅁䅁牂允䅁䅇䅁䙁䅍䅕呂䑁䅅䅎睁䑁䅉李ぁ䑁䅑䅍䅁䙁䝑䅁兂䅁䅁睊扂䕁䅑睑䝂䍁䅁睑療䝁䄴杤求䡁䅉督灂䝁䄸杢畁䡁䅧䅢穂䝁䄰兘䕂䕁䅍杒湁䍁䅅䅊啂䍁䅑䅏㑁䑁䅯䅊啂䍁䅑免硁䑁䅅䅁獂允䅁杉䅁䕁䅫睕䙂䍁䅁杔桂䡁䅑兡療䝁䄴兙獂䍁䅁免睁䑁䅁䅁偂䅁䅁䅕䅁䍁䅣睗䕂䕁䅍杒杁䕁䅍睢畂䡁䅙党祂䡁䅍兡療䝁䄴杌㑂䝁䅷督瑂䙁䄰䅒䑂䕁䅙睊桁䍁䅑䅖歁䑁䅧䅏㙁䍁䅑䅖歁䑁䅅免祁䅁䅁公䅅䉁䅧䅁呂䙁䅁睕硁䑁䅑䅍祁䑁䅙䅎ぁ䑁䅉䅁偁杂䅁䅅䅁䑁䅑䅍㕁䑁䅍兏㕁䑁䅕䅁獄睂䅁䅖䅁䍁䅣睗呂䙁䅁睒時䕁䅑睑䝂䕁䅅杢桂䝁䅷入穂䝁䅫督時䡁䅙免杁䍁䅧睍灁䍁䄴䅥獂䡁䅍兢摂䕁䅑睑䝂䍁䅣光歁䕁䅅睓歁䑁䅕䅎䅁䙁䑁䅁慁䅁䅁睕兂䙁䅍兎㕁䑁䅑兎睁䑁䅍䅎祁䑁䅕䅁塁睂䅁䅘䅁䍁䅣睗呂䙁䅁睒時䕁䅑睑䝂䕁䅅杢桂䝁䅷入穂䝁䅫督時䡁䅙免杁䑁䅑杌㑂䝁䅷督瑂䙁䄰䅒䑂䕁䅙睊桁䍁䅑䅗歁䑁䅑睎㙁䍁䅑兑䥂䍁䅑䅎㍁䅁䅁术䅑䑁䅧䅁湁䙁䅳睖䉂䕁䅍睑杁䙁䅍杔䵂䍁䄴䅥獂䡁䅍䅥摂䙁䅣兑䑂䕁䅍睊桁䍁䅑杓歁䑁䅍睍䅁䑁䅑䅁啂䅁䅁睗乂䕁䅫睘䕂䕁䅍杒䉂䝁䄴兙獂䡁䅫督灂䡁䅍睘㉂䑁䅅杌㑂䝁䅷督瑂䙁䄰䅒䑂䕁䅙光歁䕁䅅兔歁䑁䅕睍㙁䍁䅑兑乂䍁䅑李ㅁ䅁䅁杁䅉䙁䅁䅁湁䙁䅳䅒䑂䕁䅙䅉䑂䝁䄸杢㉂䝁䅕杣穂䝁䅫睢畂䍁䄴䅥獂䡁䅍兢摂䕁䅑睑䝂䍁䅣光歁䙁䅑䅊㕁䑁䅕杏歁䙁䅑䅊硁䑁䅅䅍䅁䭁䉳䅁慁䅁䅁兓剂䙁䅑杍ぁ䑁䅙兏硁䑁䅣睍睁䑁䅣䅁㕁䅂䅁䅅䅁䑁䅑李ぁ䑁䅅睍㑁䑁䅍䅁奂睂䅁䅕䅁䍁䅣睗䕂䕁䅍杒杁䕁䅍睢畂䡁䅙党祂䡁䅍兡療䝁䄴杌㑂䝁䅷督瑂䙁䄰䅒䑂䕁䅙睊桁䍁䅑䅖歁䑁䅫李㙁䍁䅑䅖歁䑁䅅免硁䅁䅁睶䅅䕁䅑䅁湁䙁䅳䅒䑂䕁䅙䅉䑂䝁䄸杢㉂䝁䅕杣穂䝁䅫睢畂䍁䄴䅥獂䡁䅍兢摂䕁䅑睑䝂䍁䅣光歁䙁䅕䅊硁䑁䅁李䅁䥁䈰䅁䕂䅁䅁睊扂䕁䅑睑䝂䍁䅁睑療䝁䄴杤求䡁䅉督灂䝁䄸杢畁䡁䅧䅢穂䝁䄰兘䕂䕁䅍杒湁䍁䅅䅊噂䍁䅑免睁䑁䅣䅁偃允䅁朱䅁䕁䄸䅣あ䝁䅫睢畂䡁䅍杏佂䕁䅅児佂䙁䅕䅔䵂䍁䅷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坁杁䅁杚䅁䙁䅳杕求䡁䅙兡穂䝁䅕䅚䕂䡁䅉兙浂䡁䅑睘呂䙁䅁睒時䙁䅣兑䑂䕁䅍兑畂䝁䅅䅢㕂䡁䅍兡穂䙁䄸杤ぁ䍁䄴䅥獂䡁䅍兢摂䙁䅣兑䑂䕁䅍光歁䕁䅅䅒歁䑁䅕杍䅁偁䡅䅁浂䅁䅁睊扂䕁䄰兓時䕁䅑睑䝂䕁䅅杢桂䝁䅷入穂䝁䅫督時䡁䅙免杁䍁䄰䅉䑂䝁䄸䅣㕂䍁䄴䅥獂䡁䅍兢摂䕁䅑睑䝂䍁䅣光歁䕁䅑杔歁䑁䅑李㙁䍁䅑䅒佂䍁䅑兎祁䅁䅁睬䅉䙁䅑䅁扂䕁䄰兓時䕁䅑睑䝂䕁䅅杢桂䝁䅷入穂䝁䅫督時䡁䅙免畁䡁䅧䅢穂䝁䄰兘䕂䕁䅍杒桁䍁䅑兑䵂䍁䅑兎㉁䑁䅯䅊䉂䕁䅷䅊㉁䑁䅧䅁⭁杁䅁䅈䅁䕁䅫兕啂䑁䅅䅏ぁ䑁䅣兏㕁䑁䅕杍ㅁ䑁䅫䅁㉄睁䅁䅖䅁䙁䅳兔䩂䙁䄸䅒䑂䕁䅙兑畂䝁䅅䅢㕂䡁䅍兡穂䙁䄸杤硁䍁䄴䅥獂䡁䅍兢摂䕁䅑睑䝂䍁䅅䅊䑂䙁䅣䅊ぁ䑁䅧杏歁䕁䅍杗歁䑁䅑䅏䅁䥁䍑䅁䕂䅁䅁睊扂䕁䅑睑䝂䍁䅁睑療䝁䄴杤求䡁䅉督灂䝁䄸杢畁䡁䅧䅢穂䝁䄰兘䕂䕁䅍杒湁䍁䅅䅊噂䍁䅑免硁䑁䅍䅁畃允䅁杇䅁䙁䅍䅕呂䑁䅕兏ぁ䑁䅕䅍穁䑁䅍睎㍁䅁䅁䅅䅣䙁䅧䅁扂䕁䄰兓時䙁䅣兑䑂䕁䅍兑畂䝁䅅䅢㕂䡁䅍兡穂䙁䄸杤硁䍁䄴䅥獂䡁䅍兢摂䙁䅣兑䑂䕁䅍光歁䕁䅅杒歁䑁䅑兎㙁䍁䅑兑䝂䍁䅑兎㉁䅁䅁元䅅䉁䅁䅁ぁ䑁䅫睎睁䑁䅫䅏硁䅁䅁眫䅣䕁䅑䅁湁䙁䅳䅒䑂䕁䅙䅉䑂䝁䄸杢㉂䝁䅕杣穂䝁䅫睢畂䍁䄴䅥獂䡁䅍兢摂䕁䅑睑䝂䍁䅣光歁䙁䅕䅊硁䑁䅅䅎䅁䱁䉁䅁敁䅁䅁睕兂䙁䅑睘䩂䙁䅍睕噂䕁䅕睘䕂䕁䅅䅖䙂䅁䅁杮䅕䙁䅉䅁湁䙁䅳䅒䑂䕁䅙䅉䑂䝁䄸杢㉂䝁䅕杣穂䝁䅫睢畂䍁䄴䅥獂䡁䅍兢摂䕁䅑睑䝂䍁䅣光歁䙁䅕䅊硁䑁䅅䅎㙁䍁䅑杖歁䑁䅅免ぁ䅁䅁来䅅䉁䅷䅁呂䙁䅁睕硁䑁䅧䅏㍁䑁䅁睍睁䑁䅫兎穁䅁䅁元䅙䉁䅁䅁䕂䕁䅕䅔䵂䍁䄰兖呂䅁䅁䅚䅉䝁䅙䅁湁䙁䅳睕兂䕁䅣睘䕂䕁䅍杒䉂䝁䄴兙獂䡁䅫督灂䡁䅍睘㉂䑁䅅䅉硁䍁䅁䅋硁䍁䅫杌㑂䝁䅷督瑂䙁䄰䅒䑂䕁䅙睊桁䍁䅑睑䙂䍁䅑兎穁䑁䅯䅊䑂䕁䅣䅊ㅁ䑁䅍䅁䱄睁䅁䅒䅁䍁䅣睗䕂䕁䅍杒杁䕁䅍睢畂䡁䅙党祂䡁䅍兡療䝁䄴杌㑂䝁䅷督瑂䙁䄰䅒䑂䕁䅙睊桁䍁䅑兖歁䑁䅅免ㅁ䅁䅁八䅅䝁䅙䅁湁䙁䅳睕兂䕁䅣睘䕂䕁䅍杒䉂䝁䄴兙獂䡁䅫督灂䡁䅍睘㉂䑁䅅䅉硁䍁䅁䅋硁䍁䅫杌㑂䝁䅷督瑂䙁䄰䅒䑂䕁䅙睊桁䍁䅑睒歁䑁䅉䅎㑁䑁䅯䅊乂䍁䅑杍ぁ䑁䅧䅁呄睁䅁䅊䅁䕁䅫兕時䕁䅍兑呂䕁䅧睘呂䙁䅑睘䩂䕁䄴杖䙂䙁䅍䅖䅁䥁䜰䅁卂䅁䅁睊扂䕁䅑睑䝂䍁䅁睑療䝁䄴杤求䡁䅉督灂䝁䄸杢畁䡁䅧䅢穂䝁䄰兘䕂䕁䅍杒湁䍁䅅䅊噂䍁䅑免祁䑁䅅杏歁䙁䅕䅊硁䑁䅉杍䅁䡁䉣䅁䕂䅁䅁睊扂䕁䅑睑䝂䍁䅁睑療䝁䄴杤求䡁䅉督灂䝁䄸杢畁䡁䅧䅢穂䝁䄰兘䕂䕁䅍杒湁䍁䅅䅊噂䍁䅑免祁䑁䅉䅁硃允䅁䅈䅁䕁䅫兕啂䑁䅅䅏ぁ䑁䅣兏㕁䑁䅕免㑁䑁䅕䅁晃䅂䅁杏䅁䙁䅙党祂䡁䅑党㑂䍁䅷䅉䩂䝁䄴睙畁䍁䅁䅋佂䕁䅅睕䕂䕁䅅兕䡂䕁䄰杏坂䕁䅕杕奂䍁䅫䅁桃睂䅁杊䅁䙁䅍党畂䝁䅫睢祂䍁䅁睕ㅂ䝁䅉睢祂䝁䅑兡畂䝁䅅䅤求䅁䅁眵䅍䝁䅁䅁湁䙁䅳睕兂䕁䅣睘䕂䕁䅍杒䉂䝁䄴兙獂䡁䅫督灂䡁䅍睘㉂䑁䅅䅉潁䑁䅍克畁䡁䅧䅢穂䝁䄰兘䕂䕁䅍杒湁䍁䅅䅊奂䍁䅑䅎㑁䑁䅯䅊䉂䕁䅕䅊ぁ䑁䅧䅁塂睁䅁䅈䅁䕁䅫兕啂䑁䅅䅏㉁䑁䅑䅍ぁ䑁䅙䅎㉁䑁䅫䅁楄䅂䅁䅒䅁䍁䅣睗䕂䕁䅍杒杁䕁䅍睢畂䡁䅙党祂䡁䅍兡療䝁䄴杌㑂䝁䅷督瑂䙁䄰䅒䑂䕁䅙睊桁䍁䅑兖歁䑁䅅杍穁䅁䅁睷䅅䙁䅉䅁湁䙁䅳䅒䑂䕁䅙䅉䑂䝁䄸杢㉂䝁䅕杣穂䝁䅫睢畂䍁䄴䅥獂䡁䅍兢摂䕁䅑睑䝂䍁䅣光歁䙁䅕䅊硁䑁䅉睍㙁䍁䅑兖歁䑁䅅杍ぁ䅁䅁六䅅䙁䅉䅁湁䙁䅳䅒䑂䕁䅙䅉䑂䝁䄸杢㉂䝁䅕杣穂䝁䅫睢畂䍁䄴䅥獂䡁䅍兢摂䕁䅑睑䝂䍁䅣光歁䙁䅕䅊硁䑁䅫兎㙁䍁䅑杗歁䑁䅅兏ㅁ䅁䅁䅺䅅䕁䅙䅁扂䕁䄰兓時䕁䅑睑䝂䕁䅅杢桂䝁䅷入穂䝁䅫督時䡁䅙免畁䡁䅧䅢穂䝁䄰兘䕂䕁䅍杒桁䍁䅑睑噂䍁䅑䅎㉁䅁䅁睧䅉䙁䅉䅁湁䙁䅳䅒䑂䕁䅙䅉䑂䝁䄸杢㉂䝁䅕杣穂䝁䅫睢畂䍁䄴䅥獂䡁䅍兢摂䕁䅑睑䝂䍁䅣光歁䙁䅕䅊硁䑁䅍免㙁䍁䅑兖歁䑁䅅睍祁䅁䅁䅹䅅䝁䅉䅁湁䙁䅳睕兂䕁䅣睘䕂䕁䅍杒䉂䝁䄴兙獂䡁䅫督灂䡁䅍睘㉂䑁䅅䅉潁䑁䅅克畁䡁䅧䅢穂䝁䄰兘䕂䕁䅍杒湁䍁䅅䅊婂䍁䅑免ぁ䑁䅧杏歁䙁䅫䅊硁䑁䅕睍䅁䭁䑳䅁楂䅁䅁睊扂䕁䄰兓時䙁䅣兑䑂䕁䅍兑畂䝁䅅䅢㕂䡁䅍兡穂䙁䄸杤硁䍁䅁䅋ㅁ䍁䅫杌㑂䝁䅷督瑂䙁䄰睖䉂䕁䅍睑湁䍁䅅䅊剂䍁䅑睍穁䑁䅯䅊䉂䕁䅅䅊穁䑁䅍䅁䡃允䅁杕䅁䍁䅣睗䕂䕁䅍杒杁䕁䅍睢畂䡁䅙党祂䡁䅍兡療䝁䄴杌㑂䝁䅷督瑂䙁䄰䅒䑂䕁䅙睊桁䍁䅑兖歁䑁䅅䅏㉁䑁䅯䅊婂䍁䅑免㑁䑁䅙䅁㙁允䅁杕䅁䍁䅣睗䕂䕁䅍杒杁䕁䅍睢畂䡁䅙党祂䡁䅍兡療䝁䄴杌㑂䝁䅷督瑂䙁䄰䅒䑂䕁䅙睊桁䍁䅑兖歁䑁䅅䅏㉁䑁䅯䅊慂䍁䅑免㑁䑁䅙䅁㥂允䅁杋䅁䕁䅫兕時䕁䄰兓佂䕁䄸杕䩂䙁䅑兗時䕁䅫杔啂䕁䅕杕䙂䙁䅍䅖䅁䡁䜴䅁卂䅁䅁睊扂䕁䅑睑䝂䍁䅁睑療䝁䄴杤求䡁䅉督灂䝁䄸杢畁䡁䅧䅢穂䝁䄰兘䕂䕁䅍杒湁䍁䅅䅊噂䍁䅑免㑁䑁䅣杏歁䙁䅫䅊硁䑁䅧睎䅁䑁䉷䅁啁䅁䅁村療䝁䄴䅚杁䕁䅷兡穂䡁䅑䅁奃兂䅁杙䅁䍁䅣睗呂䙁䅁睒時䕁䅑睑䝂䕁䅅杢桂䝁䅷入穂䝁䅫督時䡁䅙免杁䍁䅧免灁䍁䄴䅥獂䡁䅍兢摂䕁䅑睑䝂䍁䅣光歁䕁䅕䅊祁䑁䅑李㙁䍁䅑兒歁䑁䅉兎硁䅁䅁䅳䅍䉁䅷䅁䩂䙁䅅䅖硁䑁䅙睎硁䑁䅣睍ぁ䑁䅉䅍㕁䅁䅁儷䅍䙁䅉䅁湁䙁䅳䅒䑂䕁䅙䅉䑂䝁䄸杢㉂䝁䅕杣穂䝁䅫睢畂䍁䄴䅥獂䡁䅍兢摂䕁䅑睑䝂䍁䅣光歁䙁䅕䅊硁䑁䅧睎㙁䍁䅑杗歁䑁䅅䅏㍁䅁䅁杦䅅䉁䅷䅁呂䙁䅁睕硁䑁䅣兏祁䑁䅣睎ㅁ䑁䅑杍㑁䅁䅁睒䅙䕁䄴䅁湁䙁䅳䅒䑂䕁䅙䅉䑂䝁䄸杢㉂䝁䅕杣穂䝁䅫睢畂䍁䄴䅥獂䡁䅍兢摂䕁䅑睑䝂䍁䅣光歁䙁䅕䅊㕁䑁䅉杏歁䙁䅯䅊㕁䑁䅉䅁煃允䅁杔䅁䍁䅣睗䕂䕁䅍杒杁䕁䅍睢畂䡁䅙党祂䡁䅍兡療䝁䄴杌㑂䝁䅷督瑂䙁䄰䅒䑂䕁䅙睊桁䍁䅑兖歁䑁䅧兎㙁䍁䅑杗歁䑁䅧兎䅁䡁䈸䅁卂䅁䅁睊扂䕁䅑睑䝂䍁䅁睑療䝁䄴杤求䡁䅉督灂䝁䄸杢畁䡁䅧䅢穂䝁䄰兘䕂䕁䅍杒湁䍁䅅䅊噂䍁䅑免㕁䑁䅑杏歁䙁䅯䅊硁䑁䅫䅎䅁䵁䉯䅁佂䅁䅁睊扂䕁䅑睑䝂䍁䅁睑療䝁䄴杤求䡁䅉督灂䝁䄸杢畁䡁䅧䅢穂䝁䄰兘䕂䕁䅍杒湁䍁䅅䅊噂䍁䅑䅏ㅁ䑁䅯䅊婂䍁䅑䅏ㅁ䅁䅁䅡䅅䙁䄴䅁湁䙁䅳睕兂䕁䅣睘䕂䕁䅍杒䉂䝁䄴兙獂䡁䅫督灂䡁䅍睘㉂䑁䅅䅉潁䑁䅅克畁䡁䅧䅢穂䝁䄰兘䕂䕁䅍杒湁䍁䅅䅊䥂䍁䅑兏㕁䑁䅯䅊乂䍁䅑兏㕁䅁䅁兩䅍䉁䅉䅁佂䙁䅫睕䙂䑁䅯䅒䩂䙁䅍䅁湃杂䅁䅙䅁䍁䅣睗乂䕁䅫睘䕂䕁䅍杒䉂䝁䄴兙獂䡁䅫督灂䡁䅍睘㉂䑁䅅䅉潁䑁䅉克畁䡁䅧䅢穂䝁䄰兘䕂䕁䅍杒湁䍁䅅䅊䕂䕁䄴䅊ㅁ䑁䅅杏歁䕁䅑杔歁䑁䅕睎䅁偁䌴䅁捁䅁䅁睕兂䙁䅍免㑁䑁䅑睎㕁䑁䅫兎硁䑁䅧睍䅁䭁䘸䅁捁䅁䅁兓剂䙁䅑免㍁䑁䅫杍㉁䑁䅁李㑁䑁䅑䅏䅁偁䑷䅁佂䅁䅁睊扂䕁䅑睑䝂䍁䅁睑療䝁䄴杤求䡁䅉督灂䝁䄸杢畁䡁䅧䅢穂䝁䄰兘䕂䕁䅍杒湁䍁䅅䅊噂䍁䅑䅏㉁䑁䅯䅊婂䍁䅑䅏㉁䅁䅁条䅅䕁䄴䅁湁䙁䅳䅒䑂䕁䅙䅉䑂䝁䄸杢㉂䝁䅕杣穂䝁䅫睢畂䍁䄴䅥獂䡁䅍兢摂䕁䅑睑䝂䍁䅣光歁䙁䅕䅊㑁䑁䅙杏歁䙁䅯䅊㑁䑁䅙䅁䅃允䅁䅈䅁䕁䅫兕啂䑁䅅䅏穁䑁䅣䅎ㅁ䑁䅉䅍硁䑁䅕䅁噃䅂䅁杔䅁䍁䅣睗䕂䕁䅍杒杁䕁䅍睢畂䡁䅙党祂䡁䅍兡療䝁䄴杌㑂䝁䅷督瑂䙁䄰䅒䑂䕁䅙睊桁䍁䅑兖歁䑁䅫睍㙁䍁䅑杗歁䑁䅫睍䅁䭁䉷䅁奂䅁䅁睊扂䙁䅍䅕䡂䙁䄸䅒䑂䕁䅙兑畂䝁䅅䅢㕂䡁䅍兡穂䙁䄸杤硁䍁䅁免杁䍁䅧免灁䍁䄴䅥獂䡁䅍兢摂䕁䅑睑䝂䍁䅣光歁䕁䅅睒歁䑁䅑睎䅁䵁䑣䅁允䅁䅁兑䕂䙁䅍睓瑁䙁䅕睕䅁䝁䌸䅁奂䅁䅁睊扂䕁䄰兓時䕁䅑睑䝂䕁䅅杢桂䝁䅷入穂䝁䅫督時䡁䅙免杁䍁䄰䅉䑂䝁䄸䅣㕂䍁䄴䅥獂䡁䅍兢摂䕁䅑睑䝂䍁䅣光歁䙁䅫䅊硁䑁䅉李䅁䭁䌰䅁佂䅁䅁睊扂䕁䅑睑䝂䍁䅁睑療䝁䄴杤求䡁䅉督灂䝁䄸杢畁䡁䅧䅢穂䝁䄰兘䕂䕁䅍杒湁䍁䅅䅊噂䍁䅑兏ぁ䑁䅯䅊慂䍁䅑兏ぁ䅁䅁䅷䅅䙁䅑䅁湁䙁䅳睕兂䕁䅣睘䕂䕁䅍杒䉂䝁䄴兙獂䡁䅫督灂䡁䅍睘㉂䑁䅅䅉潁䑁䅅克畁䡁䅧䅢穂䝁䄰兘䕂䕁䅍杒湁䍁䅅䅊䉂䕁䅣䅊ぁ䑁䅣䅁捃睁䅁䅒䅁䍁䅣睗䕂䕁䅍杒杁䕁䅍睢畂䡁䅙党祂䡁䅍兡療䝁䄴杌㑂䝁䅷督瑂䙁䄰䅒䑂䕁䅙睊桁䍁䅑杖歁䑁䅅杍硁䅁䅁睬䅅䅁䅷䅁塂䕁䅳兌噂䙁䅍䅁䝄睂䅁杪䅁䕁䄸䅣あ䝁䅫睢畂䡁䅍杏䑂䡁䅕杣祂䑁䄰杕求䡁䅁睢祂䡁䅑党歂䍁䅁睙ㅂ䡁䅉杣求䝁䄴睙㕂䍁䅷兔桂䝁䅣児乂䕁䅫睕あ䝁䅅杢歂䝁䅅杣歂䍁䅷睑療䝁䄴杤乂䝁䅕䅤潂䝁䄸䅚㥁䕁䄰兓祂䝁䅕睙療䝁䄰兢求䝁䄴䅚求䝁䅑䅁捄允䅁䅕䅁䙁䅳兔䩂䙁䄸䅒䑂䕁䅙兑畂䝁䅅䅢㕂䡁䅍兡穂䙁䄸杤硁䍁䄴䅥獂䡁䅍兢摂䕁䅑睑䝂䍁䅅䅊坂䍁䅑兎硁䑁䅯䅊坂䍁䅑兎㉁䅁䅁眴䅉䕁䅑䅁湁䙁䅳䅒䑂䕁䅙䅉䑂䝁䄸杢㉂䝁䅕杣穂䝁䅫睢畂䍁䄴䅥獂䡁䅍兢摂䕁䅑睑䝂䍁䅣光歁䙁䅙䅊硁䑁䅉兏䅁䵁䉙䅁捁䅁䅁睕兂䙁䅍免㍁䑁䅫杍㉁䑁䅁李㑁䑁䅁杍䅁偁䙍䅁捁䅁䅁睕兂䙁䅍免㑁䑁䅑睎㕁䑁䅫兎硁䑁䅙睎䅁佁䙷䅁䕂䅁䅁睊扂䕁䅑睑䝂䍁䅁睑療䝁䄴杤求䡁䅉督灂䝁䄸杢畁䡁䅧䅢穂䝁䄰兘䕂䕁䅍杒湁䍁䅅䅊慂䍁䅑免硁䑁䅫䅁穂允䅁杒䅁䙁䅳兔䩂䙁䄸䅒䑂䕁䅙兑畂䝁䅅䅢㕂䡁䅍兡穂䙁䄸杤硁䍁䄴䅥獂䡁䅍兢摂䕁䅑睑䝂䍁䅅䅊坂䍁䅑免祁䑁䅣䅁獄允䅁杚䅁䍁䅣睗呂䙁䅁睒時䕁䅑睑䝂䕁䅅杢桂䝁䅷入穂䝁䅫督時䡁䅙免杁䑁䅅䅉潁䑁䅅克畁䡁䅧䅢穂䝁䄰兘䕂䕁䅍杒湁䍁䅅䅊䡂䍁䅑免睁䑁䅍杏歁䕁䅣䅊硁䑁䅍䅍䅁䵁䐴䅁啂䅁䅁睊扂䕁䅑睑䝂䍁䅁睑療䝁䄴杤求䡁䅉督灂䝁䄸杢畁䡁䅧䅢穂䝁䄰兘呂䝁䅧党求䡁䅑免湁䍁䅅䅊䝂䍁䅑兎㙁䍁䅑杒歁䑁䅉兎ㅁ䅁䅁睒䅅䍁䄴䅁乂䙁䅍睑䩂䍁䅁兖呂䍁䅁兓乂䕁䅫䅉䝂䝁䅫杢桂䝁䄴睙灂䝁䅅䅢穂䅁䅁兗䅁䉁䅯䅁呂䙁䅁睕㍁䑁䅁䅍㕁䑁䅁李㕁䑁䅍睎䅁䝁䝅䅁兂䅁䅁睗乂䕁䅫睘䕂䕁䅍杒䉂䝁䄴兙獂䡁䅫督灂䡁䅍睘㉂䑁䅅杌㑂䝁䅷督瑂䙁䄰䅒䑂䕁䅙光歁䕁䅧䅊㕁䑁䅑杏歁䕁䄰䅊㕁䑁䅑䅁䩃杁䅁䅕䅁䍁䅣睗䕂䕁䅍杒杁䕁䅍睢畂䡁䅙党祂䡁䅍兡療䝁䄴杌㑂䝁䅷督瑂䙁䄰睕潂䝁䅕党あ䑁䅅睊桁䍁䅑杒歁䑁䅕杏歁䕁䅙䅊㉁䅁䅁睑䅅䉁䅁䅁ぁ䑁䅕李ぁ䑁䅕李ㅁ䅁䅁典䅣䙁䅑䅁扂䙁䅍䅕䡂䙁䄸䅒䑂䕁䅙兑畂䝁䅅䅢㕂䡁䅍兡穂䙁䄸杤硁䍁䄴䅥獂䡁䅍兢摂䕁䅑睑䝂䍁䅅䅊奂䍁䅑䅎㍁䑁䅯䅊䉂䕁䅕䅊ぁ䑁䅣䅁硁睁䅁权䅁䑁䅉䅍祁䑁䅑䅁佃杂䅁䅕䅁䍁䅣睗䕂䕁䅍杒杁䕁䅍睢畂䡁䅙党祂䡁䅍兡療䝁䄴杌㑂䝁䅷督瑂䙁䄰睕潂䝁䅕党あ䑁䅅睊桁䍁䅑杒歁䑁䅕杏歁䕁䅙䅊㍁䅁䅁兒䅅䉁䅁䅁䙂䕁䅷兒瑁䕁䄰兑䕂䅁䅁杹䅉䑁䅁䅁偂䡁䅍䅢療䍁䅁睕あ䝁䄸睙牂䍁䅁兒㑂䝁䅍䅡桂䝁䄴睚求䍁䅁睔䍂䙁䅧䅁浂䅁䅁䅖䅁䍁䅣睗䕂䕁䅍杒杁䕁䅍睢畂䡁䅙党祂䡁䅍兡療䝁䄴杌㑂䝁䅷督瑂䙁䄰睕潂䝁䅕党あ䑁䅅睊桁䍁䅑睒歁䑁䅕杏歁䕁䅣䅊祁䑁䅕兎䅁䕁䉧䅁歂䅁䅁睗乂䕁䅫睘䡂䕁䅷睔䍂䕁䅅䅔時䙁䅣兑䑂䕁䅍兑畂䝁䅅䅢㕂䡁䅍兡穂䙁䄸杤硁䍁䄴䅥獂䡁䅍兢摂䙁䅣兑䑂䕁䅍光歁䙁䅅䅊穁䑁䅍杏歁䕁䅅兑歁䑁䅍睍䅁䵁䅅䅁歂䅁䅁睊扂䙁䅍䅕䡂䙁䄸䅒䑂䕁䅙兑畂䝁䅅䅢㕂䡁䅍兡穂䙁䄸杤硁䍁䅁免杁䍁䅧免灁䍁䄴䅥獂䡁䅍兢摂䕁䅑睑䝂䍁䅣光歁䙁䅧䅊ぁ䑁䅧杏歁䕁䅅兒歁䑁䅑䅏䅁䵁䑕䅁啂䅁䅁睗乂䕁䅫睘䕂䕁䅍杒䉂䝁䄴兙獂䡁䅫督灂䡁䅍睘㉂䑁䅅杌㑂䝁䅷督瑂䙁䄰䅒䑂䕁䅙光歁䕁䅣䅊硁䑁䅁䅍㙁䍁䅑睒歁䑁䅅杍㍁䅁䅁䅔䅉䙁䅁䅁湁䙁䅳䅒䑂䕁䅙䅉䑂䝁䄸杢㉂䝁䅕杣穂䝁䅫睢畂䍁䄴䅥獂䡁䅍兢摂䙁䅍䅡求䝁䅕䅤硁䍁䅣光歁䕁䅣䅊ㅁ䑁䅯䅊䡂䍁䅑李䅁䕁䉑䅁䝂䅁䅁睊扂䕁䅑睑䝂䍁䅁睑療䝁䄴杤求䡁䅉督灂䝁䄸杢畁䡁䅧䅢穂䝁䄰兘呂䝁䅧党求䡁䅑免湁䍁䅅䅊䩂䍁䅑杍䅁䕁䉉䅁浂䅁䅁睊扂䙁䅍䅕䡂䙁䄸䅒䑂䕁䅙兑畂䝁䅅䅢㕂䡁䅍兡穂䙁䄸杤硁䍁䅁免杁䍁䅧免灁䍁䄴䅥獂䡁䅍兢摂䕁䅑睑䝂䍁䅣光歁䙁䅧䅊硁䑁䅍䅎㙁䍁䅑䅗歁䑁䅅睍ㅁ䅁䅁朱䅍䉁䅷䅁呂䙁䅁睕硁䑁䅧䅎㍁䑁䅫兏ㅁ䑁䅅䅍㉁䅁䅁兵䅕䉁䅷䅁呂䙁䅁睕硁䑁䅫睍睁䑁䅁杍硁䑁䅙兏㍁䅁䅁杮䅙䉁䅑䅁䭂䙁䅕杔穁䍁䄰䅗啂䙁䅉兑䅁䝁䡧䅁卂䅁䅁睊扂䕁䅑睑䝂䍁䅁睑療䝁䄴杤求䡁䅉督灂䝁䄸杢畁䡁䅧䅢穂䝁䄰兘呂䝁䅧党求䡁䅑免湁䍁䅅䅊䵂䍁䅑李㙁䍁䅑䅔歁䑁䅅免䅁䙁䉉䅁啂䅁䅁睊扂䙁䅍䅕䡂䙁䄸䅒䑂䕁䅙兑畂䝁䅅䅢㕂䡁䅍兡穂䙁䄸杤硁䍁䅁䅋硁䍁䅫杌㑂䝁䅷督瑂䙁䄰䅒䑂䕁䅙睊桁䍁䅑睖歁䑁䅅䅎睁䅁䅁兰䅍䙁䅉䅁湁䙁䅳䅒䑂䕁䅙䅉䑂䝁䄸杢㉂䝁䅕杣穂䝁䅫睢畂䍁䄴䅥獂䡁䅍兢摂䙁䅍䅡求䝁䅕䅤硁䍁䅣光歁䕁䅷䅊㉁䑁䅯䅊䵂䍁䅑免祁䅁䅁睕䅅䙁䅉䅁湁䙁䅳䅒䑂䕁䅙䅉䑂䝁䄸杢㉂䝁䅕杣穂䝁䅫睢畂䍁䄴䅥獂䡁䅍兢摂䙁䅍䅡求䝁䅕䅤硁䍁䅣光歁䕁䅷䅊㉁䑁䅯䅊䵂䍁䅑免ぁ䅁䅁兖䅅䉁䅷䅁呂䙁䅁睕硁䑁䅙睎硁䑁䅣睍ぁ䑁䅅䅎㕁䅁䅁杖䅙䙁䅷䅁湁䙁䅳睕兂䕁䅣睘䕂䕁䅍杒䉂䝁䄴兙獂䡁䅫督灂䡁䅍睘㉂䑁䅅䅉ぁ䍁䄴䅥獂䡁䅍兢摂䕁䅑睑䝂䍁䅣光歁䙁䅧䅊ぁ䑁䅧杏歁䕁䅅䅓歁䑁䅑䅏䅁偁䔸䅁杂䅁䅁睊扂䕁䄰兓時䕁䅑睑䝂䕁䅅杢桂䝁䅷入穂䝁䅫督時䡁䅙免杁䍁䅧杍灁䍁䄴䅥獂䡁䅍兢摂䕁䅑睑䝂䍁䅣光歁䕁䅙䅊祁䑁䅁睎㙁䍁䅑兔歁䑁䅉䅍㍁䅁䅁䅊䅍䝁䅙䅁湁䙁䅳兔䩂䙁䄸䅒䑂䕁䅙兑畂䝁䅅䅢㕂䡁䅍兡穂䙁䄸杤硁䍁䅁兌杁䕁䅍睢睂䡁䅫杌㑂䝁䅷督瑂䙁䄰䅒䑂䕁䅙睊桁䍁䅑䅗歁䑁䅅杍㕁䑁䅯䅊奂䍁䅑免穁䑁䅁䅁畃杁䅁䅗䅁䙁䅳兔䩂䙁䄸睒䵂䕁䄸村䉂䕁䅷睘塂䕁䅅睑䑂䕁䅅杢桂䝁䅷入穂䝁䅫督時䡁䅙免畁䡁䅧䅢穂䝁䄰兘塂䕁䅅睑䑂䍁䅅䅊䉂䕁䅕䅊穁䑁䅫䅁㙃䅁䅁䅕䅁䍁䅣睗䕂䕁䅍杒杁䕁䅍睢畂䡁䅙党祂䡁䅍兡療䝁䄴杌㑂䝁䅷督瑂䙁䄰睕潂䝁䅕党あ䑁䅅睊桁䍁䅑䅔歁䑁䅙杏歁䕁䅷䅊㑁䅁䅁兔䅅䙁䅯䅁䑂䝁䅧兙祂䡁䅑党祂䍁䅁睑療䝁䄰兢ㅂ䝁䄴兡橂䝁䅅䅤灂䝁䄸杢穂䍁䅷䅉䩂䝁䄴睙畁䍁䅁䅋佂䕁䅅睕䕂䕁䅅兕䡂䙁䅍杏䑂䕁䅧䅖卂䍁䅫䅁牃杂䅁杇䅁䙁䅍䅕呂䑁䅉䅏㑁䑁䅣免㑁䑁䅫䅏㕁䅁䅁兹䅙䕁䅯䅁扂䙁䅍䅕䡂䙁䄸睖䉂䕁䅍睑䉂䝁䄴兙獂䡁䅫督灂䡁䅍睘㉂䑁䅅杌㑂䝁䅷督瑂䙁䄰睖䉂䕁䅍睑桁䍁䅑兒歁䑁䅉免䅁䕁䠰䅁佁䅁䅁杓兂䕁䄰兌噂䙁䅍䅁呃允䅁杚䅁䍁䅣睗呂䙁䅁睒時䕁䅑睑䝂䕁䅅杢桂䝁䅷入穂䝁䅫督時䡁䅙免杁䑁䅅䅉潁䑁䅅克畁䡁䅧䅢穂䝁䄰兘䕂䕁䅍杒湁䍁䅅䅊䙂䍁䅑杍ㅁ䑁䅁杏歁䕁䅕䅊祁䑁䅕兎䅁乁䑉䅁兂䅁䅁睊扂䕁䅑睑䝂䍁䅁睑療䝁䄴杤求䡁䅉督灂䝁䄸杢畁䡁䅧䅢穂䝁䄰兘呂䝁䅧党求䡁䅑免湁䍁䅅䅊乂䍁䅑睍㙁䍁䅑睔歁䑁䅍䅁䭂允䅁杕䅁䍁䅣睗䕂䕁䅍杒杁䕁䅍睢畂䡁䅙党祂䡁䅍兡療䝁䄴杌㑂䝁䅷督瑂䙁䄰睕潂䝁䅕党あ䑁䅅睊桁䍁䅑杔歁䑁䅍杏歁䕁䅅睑歁䑁䅍䅁扂允䅁䅕䅁䍁䅣睗䕂䕁䅍杒杁䕁䅍睢畂䡁䅙党祂䡁䅍兡療䝁䄴杌㑂䝁䅷督瑂䙁䄰睕潂䝁䅕党あ䑁䅅睊桁䍁䅑杔歁䑁䅍杏歁䙁䅍䅊穁䅁䅁䅕䅅䙁䅧䅁湁䙁䅳睕兂䕁䅣睘䕂䕁䅍杒䉂䝁䄴兙獂䡁䅫督灂䡁䅍睘㉂䑁䅅䅉硁䍁䅁䅋硁䍁䅫杌㑂䝁䅷督瑂䙁䄰䅒䑂䕁䅙睊桁䍁䅑兑偂䍁䅑兎穁䅁䅁睶䅍䙁䅁䅁湁䙁䅳䅒䑂䕁䅙䅉䑂䝁䄸杢㉂䝁䅕杣穂䝁䅫睢畂䍁䄴䅥獂䡁䅍兢摂䙁䅍䅡求䝁䅕䅤硁䍁䅣光歁䕁䄴䅊穁䑁䅯䅊啂䍁䅑睍䅁䙁䉣䅁啂䅁䅁睗乂䕁䅫睘䕂䕁䅍杒䉂䝁䄴兙獂䡁䅫督灂䡁䅍睘㉂䑁䅅杌㑂䝁䅷督瑂䙁䄰䅒䑂䕁䅙光歁䕁䅑睖歁䑁䅑兏㙁䍁䅑䅒塂䍁䅑兎ぁ䅁䅁䅌䅉䙁䅁䅁湁䙁䅳䅒䑂䕁䅙䅉䑂䝁䄸杢㉂䝁䅕杣穂䝁䅫睢畂䍁䄴䅥獂䡁䅍兢摂䙁䅍䅡求䝁䅕䅤硁䍁䅣光歁䕁䄴䅊穁䑁䅯䅊噂䍁䅑睍䅁䙁䉑䅁敂䅁䅁睊扂䙁䅍䅕䡂䙁䄸䅒䑂䕁䅙兑畂䝁䅅䅢㕂䡁䅍兡穂䙁䄸杤硁䍁䅁䅎畁䡁䅧䅢穂䝁䄰兘䕂䕁䅍杒湁䍁䅅䅊䡂䍁䅑免睁䑁䅉杏歁䕁䅣䅊硁䑁䅍䅍䅁䅁䙣䅁兂䅁䅁睊扂䕁䅑睑䝂䍁䅁睑療䝁䄴杤求䡁䅉督灂䝁䄸杢畁䡁䅧䅢穂䝁䄰兘呂䝁䅧党求䡁䅑免湁䍁䅅䅊佂䍁䅑睍㙁䍁䅑睖歁䑁䅍䅁婂允䅁杦䅁䕁䄸䅣あ䝁䅫睢畂䡁䅍杏䑂䡁䅕杣祂䑁䄰兖呂䕁䅑䅌杁䕁䄰兙湂䑁䄰䅖潂䝁䄸兤穂䝁䅅杢歂䡁䅍䅌杁䕁䅍睢畂䡁䅙兔求䡁䅑䅡療䝁䅑児乂䕁䅫杣求䝁䅍睢瑂䝁䄰党畂䝁䅑党歂䍁䅷杔䉂䑁䄰䅍䅁䥁䐴䅁兂䅁䅁睊扂䕁䅑睑䝂䍁䅁睑療䝁䄴杤求䡁䅉督灂䝁䄸杢畁䡁䅧䅢穂䝁䄰兘呂䝁䅧党求䡁䅑免湁䍁䅅䅊佂䍁䅑䅎㙁䍁䅑兕歁䑁䅑䅁偂允䅁䅖䅁䙁䅳兔䩂䙁䄸䅒䑂䕁䅙兑畂䝁䅅䅢㕂䡁䅍兡穂䙁䄸杤硁䍁䄴䅥獂䡁䅍兢摂䕁䅑睑䝂䍁䅅䅊䝂䍁䅑杍睁䑁䅉杏歁䕁䄰䅊祁䑁䅁杍䅁䅁䍁䅁䭁䅁䅁杍睁䑁䅅䅏䅁䝁䜰䅁卂䅁䅁睊扂䕁䄰兓時䕁䅑睑䝂䕁䅅杢桂䝁䅷入穂䝁䅫督時䡁䅙免杁䍁䅧杍灁䍁䄴䅥獂䡁䅍兢摂䕁䅑睑䝂䍁䅣光歁䕁䅑村歁䑁䅕免䅁䉁䑉䅁佁䅁䅁杒卂䙁䅑兌噂䙁䅍䅁䕁允䅁杒䅁䙁䅳兔䩂䙁䄸䅒䑂䕁䅙兑畂䝁䅅䅢㕂䡁䅍兡穂䙁䄸杤硁䍁䄴䅥獂䡁䅍兢摂䕁䅑睑䝂䍁䅅䅊坂䍁䅑免穁䑁䅕䅁塄允䅁䅕䅁䍁䅣睗䕂䕁䅍杒杁䕁䅍睢畂䡁䅙党祂䡁䅍兡療䝁䄴杌㑂䝁䅷督瑂䙁䄰睕潂䝁䅕党あ䑁䅅睊桁䍁䅑杔歁䑁䅑杏歁䙁䅍䅊ぁ䅁䅁兕䅅䉁䅷䅁䩂䙁䅅䅖硁䑁䅧䅏㍁䑁䅁睍睁䑁䅫睎穁䅁䅁䅒䅑䙁䅁䅁湁䙁䅳䅒䑂䕁䅙䅉䑂䝁䄸杢㉂䝁䅕杣穂䝁䅫睢畂䍁䄴䅥獂䡁䅍兢摂䙁䅍䅡求䝁䅕䅤硁䍁䅣光歁䕁䄴䅊ぁ䑁䅯䅊啂䍁䅑䅎䅁䙁䉧䅁捁䅁䅁睕兂䙁䅍免㑁䑁䅑睎㕁䑁䅫兎穁䑁䅣睎䅁䱁䙅䅁兂䅁䅁睊扂䕁䅑睑䝂䍁䅁睑療䝁䄴杤求䡁䅉督灂䝁䄸杢畁䡁䅧䅢穂䝁䄰兘呂䝁䅧党求䡁䅑免湁䍁䅅䅊佂䍁䅑䅎㙁䍁䅑睖歁䑁䅑䅁慂允䅁杉䅁䙁䅁兙牂䝁䅫督あ䝁䅅杢杁䕁䅳睕䙂䍁䅁免睁䑁䅁䅁湂䅁䅁䅖䅁䍁䅣睗䕂䕁䅍杒杁䕁䅍睢畂䡁䅙党祂䡁䅍兡療䝁䄴杌㑂䝁䅷督瑂䙁䄰睖䉂䕁䅍睑湁䍁䅅䅊䉂䕁䅙䅊ぁ䑁䅕杏歁䕁䅅杒歁䑁䅕李䅁䉁䉕䅁啂䅁䅁睊扂䕁䅑睑䝂䍁䅁睑療䝁䄴杤求䡁䅉督灂䝁䄸杢畁䡁䅧䅢穂䝁䄰兘塂䕁䅅睑䑂䍁䅣光歁䕁䅅睒歁䑁䅑兎㙁䍁䅑兑䡂䍁䅑兎㉁䅁䅁杆䅅䉁䅁䅁䑂䕁䅧䅖卂䍁䄰兖呂䅁䅁䅴䅙䉁䅷䅁呂䙁䅁睕硁䑁䅣兏祁䑁䅙䅍㉁䑁䅣兎㕁䅁䅁睍䅙䝁䅑䅁湁䙁䅳兔䩂䙁䄸睖䉂䕁䅍睑䉂䝁䄴兙獂䡁䅫督灂䡁䅍睘㉂䑁䅅䅉潁䑁䅕克畁䡁䅧䅢穂䝁䄰兘塂䕁䅅睑䑂䍁䅣光歁䕁䅅睒歁䑁䅑兎㙁䍁䅑兑䡂䍁䅑兎㉁䅁䅁䅨䅅䉁䅷䅁䩂䙁䅅䅖硁䑁䅣兏㉁䑁䅑免睁䑁䅕䅎㍁䅁䅁朷䅍䕁䅙䅁湁䙁䅳䅒䑂䕁䅙䅉䑂䝁䄸杢㉂䝁䅕杣穂䝁䅫睢畂䍁䄴䅥獂䡁䅍兢摂䙁䅣兑䑂䕁䅍睊桁䍁䅑兑䩂䍁䅑睍㕁䅁䅁䅆䅅䉁䅯䅁呂䙁䅁睕㉁䑁䅕兏ぁ䑁䅑睎硁䑁䅣兎䅁䱁䝳䅁允䅁䅁杒剂䑁䅍杍睁䑁䅅兏䅁䑁䍅䅁楁䅁䅁村求䡁䅑兙杁䙁䅑䅡祂䝁䅕党杁䙁䅫党桂䡁䅉䅉䅁䅁䅍䅁浂䅁䅁睊扂䙁䅍䅕䡂䙁䄸䅒䑂䕁䅙兑畂䝁䅅䅢㕂䡁䅍兡穂䙁䄸杤硁䍁䅁免杁䍁䅧免灁䍁䄴䅥獂䡁䅍兢摂䕁䅑睑䝂䍁䅣光歁䕁䅕䅊祁䑁䅅睍㙁䍁䅑兒歁䑁䅉睍穁䅁䅁儴䅍䭁䅷䅁偂䡁䅁䅤灂䝁䄸杢穂䑁䅯睑ㅂ䡁䅉杣㥁䙁䅕睕䕂䍁䅷兔桂䝁䅣児乂䝁䅫䅢獂䝁䅫睢畂䡁䅍䅌䑂䝁䄸杢㉂䕁䄰党あ䝁䅧睢歂䑁䄰兔䩂䡁䅉党橂䝁䄸兢瑂䝁䅕杢歂䝁䅕䅚獁䙁䅁兙歂䑁䄰睔浂䝁䅙䅌䕂䝁䅅䅤求䡁䅍児䍂䝁䅕杚療䡁䅉党獁䙁䅍睢祂䡁䅑児䕂䝁䅕督橂䅁䅁䄴䅁䉁䅷䅁䩂䙁䅅䅖硁䑁䅧睍㍁䑁䅑兎祁䑁䅁免㑁䅁䅁䅫䅑䙁䅑䅁扂䕁䄰兓時䕁䅑睑䝂䕁䅅杢桂䝁䅷入穂䝁䅫督時䡁䅙免畁䡁䅧䅢穂䝁䄰兘䕂䕁䅍杒桁䍁䅑睖歁䑁䅅睍睁䑁䅯䅊塂䍁䅑免穁䑁䅍䅁畄允䅁䅓䅁䕁䅑兙灂䝁䄰䅢求䡁䅉䅉啂䡁䅉兤橂䝁䅳䅉䥂䝁䄸䅢歂䝁䅫杢湂䍁䅁兑䡂䍁䅁䅋奂䙁䅑杕䉂䑁䅯䅒啂䕁䅣克䅁䡁䡁䅁慁䅁䅁兓剂䙁䅑杍ぁ䑁䅙睎㍁䑁䅍䅏㍁䑁䅍䅁睂䅂䅁杒䅁䍁䅣睗䕂䕁䅍杒杁䕁䅍睢畂䡁䅙党祂䡁䅍兡療䝁䄴杌㑂䝁䅷督瑂䙁䄰睖䉂䕁䅍睑湁䍁䅅䅊䑂䙁䅧䅊穁䑁䅣䅁捁允䅁䅖䅁䍁䅣睗䕂䕁䅍杒杁䕁䅍睢畂䡁䅙党祂䡁䅍兡療䝁䄴杌㑂䝁䅷督瑂䙁䄰睖䉂䕁䅍睑湁䍁䅅䅊䑂䙁䅯䅊穁䑁䅫杏歁䕁䅑村歁䑁䅍兏䅁䉁䈰䅁䕂䅁䅁睊扂䕁䅑睑䝂䍁䅁睑療䝁䄴杤求䡁䅉督灂䝁䄸杢畁䡁䅧䅢穂䝁䄰兘塂䕁䅅睑䑂䍁䅣光歁䙁䅁䅊穁䑁䅉䅁塁允䅁杇䅁䕁䅫兕時䕁䅫杔坂䕁䅕杔啂䕁䄸杕婂䅁䅁睩䅙䙁䅁䅁湁䙁䅳䅒䑂䕁䅙䅉䑂䝁䄸杢㉂䝁䅕杣穂䝁䅫睢畂䍁䄴䅥獂䡁䅍兢摂䙁䅣兑䑂䕁䅍睊桁䍁䅑䅕歁䑁䅍李㙁䍁䅑䅕歁䑁䅑免䅁䉁䉧䅁捁䅁䅁兓剂䙁䅑免㍁䑁䅫李ぁ䑁䅁睎㍁䑁䅙免䅁䙁䕑䅁佂䅁䅁睗乂䕁䅫睘塂䙁䅣睘塂䕁䅅睑䑂䕁䅅杢桂䝁䅷入穂䝁䅫督時䡁䅙免畁䡁䅧䅢穂䝁䄰兘塂䕁䅅睑䑂䍁䅅䅊兂䍁䅑睍祁䅁䅁儫䅁䉁䅯䅁䙂䝁䄴䅤灂䡁䅑入杁䕁䄴兙瑂䝁䅕䅉䅁䑁䉉䅁卂䅁䅁睊扂䕁䄰兓時䕁䅑睑䝂䕁䅅杢桂䝁䅷入穂䝁䅫督時䡁䅙免杁䍁䅧杍灁䍁䄴䅥獂䡁䅍兢摂䕁䅑睑䝂䍁䅣光歁䕁䅅睒歁䑁䅑睎䅁䅁䑳䅁敂䅁䅁睊扂䙁䅍䅕䡂䙁䄸䅒䑂䕁䅙兑畂䝁䅅䅢㕂䡁䅍兡穂䙁䄸杤硁䍁䅁䅋硁䍁䅫杌㑂䝁䅷督瑂䙁䄰䅒䑂䕁䅙睊桁䍁䅑睒歁䑁䅫兏㙁䍁䅑兔歁䑁䅫兏䅁䥁䐰䅁慁䅁䅁睕兂䙁䅍李睁䑁䅁䅍㉁䑁䅧䅎㉁䑁䅧䅁ぃ兂䅁杕䅁䍁䅣睗乂䕁䅫睘䕂䕁䅍杒䉂䝁䄴兙獂䡁䅫督灂䡁䅍睘㉂䑁䅅䅉潁䑁䅉克畁䡁䅧䅢穂䝁䄰兘䕂䕁䅍杒湁䍁䅅䅊䉂䕁䅳䅊ㅁ䑁䅑䅁䍁睁䅁杅䅁䕁䅙䅖呂䕁䅕䅉乂䕁䅫村䅁䕁䅯䅁杂䅁䅁睊扂䕁䄰兓時䕁䅑睑䝂䕁䅅杢桂䝁䅷入穂䝁䅫督時䡁䅙免杁䍁䅧杍灁䍁䄴䅥獂䡁䅍兢摂䕁䅑睑䝂䍁䅣光歁䕁䅅䅔歁䑁䅕兏㙁䍁䅑兑䵂䍁䅑睎祁䅁䅁䅂䅍䉁䅯䅁呂䙁䅁睕ㅁ䑁䅫䅎ㅁ䑁䅁睍穁䑁䅫李䅁佁䝁䅁捁䅁䅁睍睁䡁䅫䅉噂䙁䅍䅉啂䍁䄰村療䝁䄴䅚䅁䱁䌸䅁卂䅁䅁睊扂䕁䄰兓時䕁䅑睑䝂䕁䅅杢桂䝁䅷入穂䝁䅫督時䡁䅙免杁䍁䅧杍灁䍁䄴䅥獂䡁䅍兢摂䕁䅑睑䝂䍁䅣光歁䕁䅉䅊祁䑁䅁睎䅁䍁䑍䅁杂䅁䅁睊扂䕁䄰兓時䕁䅑睑䝂䕁䅅杢桂䝁䅷入穂䝁䅫督時䡁䅙免杁䍁䅧杍灁䍁䄴䅥獂䡁䅍兢摂䕁䅑睑䝂䍁䅣光歁䕁䅍睖歁䑁䅕睍㙁䍁䅑睑慂䍁䅑兎穁䅁䅁䅅䅍䭁䅷䅁偂䡁䅁䅤灂䝁䄸杢穂䑁䅯睑ㅂ䡁䅉杣㥁䕁䅯䅕婂䍁䅷兔桂䝁䅣児乂䝁䅫䅢獂䝁䅫睢畂䡁䅍䅌䑂䝁䄸杢㉂䕁䄰党あ䝁䅧睢歂䑁䄰兔䩂䡁䅉党橂䝁䄸兢瑂䝁䅕杢歂䝁䅕䅚獁䙁䅁兙歂䑁䄰睔浂䝁䅙䅌䕂䝁䅅䅤求䡁䅍児䍂䝁䅕杚療䡁䅉党獁䙁䅍睢祂䡁䅑児䕂䝁䅕督橂䅁䅁睈䅉䝁䅁䅁湁䙁䅳兔䩂䙁䄸䅒䑂䕁䅙兑畂䝁䅅䅢㕂䡁䅍兡穂䙁䄸杤硁䍁䅁䅋祁䍁䅫杌㑂䝁䅷督瑂䙁䄰䅒䑂䕁䅙睊桁䍁䅑䅒兂䍁䅑兎睁䑁䅯䅊䕂䙁䅅䅊ㅁ䑁䅁䅁䅁睁䅁杊䅁䙁䅍杊兂䍁䅁兎睁䑁䅁䅉䝂䝁䅫杢桂䝁䄴睙灂䝁䅅䅢穂䅁䅁杣䅁䝁䅁䅁湁䙁䅳兔䩂䙁䄸䅒䑂䕁䅙兑畂䝁䅅䅢㕂䡁䅍兡穂䙁䄸杤硁䍁䅁䅋祁䍁䅫杌㑂䝁䅷督瑂䙁䄰䅒䑂䕁䅙睊桁䍁䅑䅒兂䍁䅑䅎㕁䑁䅯䅊䕂䙁䅅䅊ぁ䑁䅫䅁⽄杁䅁杄䅁䙁䅕䅖奂䍁䄰兖呂䅁䅁条䅉䝁䅁䅁湁䙁䅳兔䩂䙁䄸䅒䑂䕁䅙兑畂䝁䅅䅢㕂䡁䅍兡穂䙁䄸杤硁䍁䅁䅋祁䍁䅫杌㑂䝁䅷督瑂䙁䄰䅒䑂䕁䅙睊桁䍁䅑兒歁䑁䅉免穁䑁䅯䅊䙂䍁䅑杍穁䑁䅍䅁汁睁䅁䅖䅁䙁䅳兔䩂䙁䄸䅒䑂䕁䅙兑畂䝁䅅䅢㕂䡁䅍兡穂䙁䄸杤硁䍁䄴䅥獂䡁䅍兢摂䕁䅑睑䝂䍁䅅䅊䕂䙁䅁䅊ぁ䑁䅣杏歁䕁䅑兕歁䑁䅑睎䅁䑁䍳䅁䥂䅁䅁睗呂䙁䅁睒時䕁䅑睑䝂䕁䅅杢桂䝁䅷入穂䝁䅫督時䡁䅙免畁䡁䅧䅢穂䝁䄰兘䕂䕁䅍杒桁䍁䅑兑䱂䍁䅑兎ぁ䅁䅁睋䅍䵁䅑䅁偂䡁䅁䅤灂䝁䄸杢穂䑁䅯睑ㅂ䡁䅉杣㥁䙁䅕睕䕂䍁䅷兔桂䝁䅣児乂䝁䅫䅢獂䝁䅫睢畂䡁䅍䅌䑂䝁䄸杢㉂䕁䄰党あ䝁䅧睢歂䑁䄰睕佂䕁䅷杣求䝁䅍睢瑂䝁䄰党畂䝁䅑党歂䍁䅷䅕桂䝁䅑児偂䝁䅙杚獁䕁䅙兡獂䝁䅷児䕂䝁䅅兡獂䡁䅫䅌䕂䝁䅅䅤求䡁䅍児䍂䝁䅕杚療䡁䅉党獁䙁䅍睢祂䡁䅑児䕂䝁䅕督橂䅁䅁䅳䅁䙁䅉䅁湁䙁䅳睕兂䕁䅣睘䕂䕁䅍杒䉂䝁䄴兙獂䡁䅫督灂䡁䅍睘㉂䑁䅅䅉潁䑁䅅克畁䡁䅧䅢穂䝁䄰兘䕂䕁䅍杒湁䍁䅅䅊䍂䍁䅑兏㑁䅁䅁杩䅍䙁䅷䅁湁䙁䅳兔䩂䙁䄸䅒䑂䕁䅙兑畂䝁䅅䅢㕂䡁䅍兡穂䙁䄸杤硁䍁䅁䅋祁䍁䅫杌㑂䝁䅷督瑂䙁䄰䅒䑂䕁䅙睊桁䍁䅑䅓歁䑁䅫䅏㙁䍁䅑兔歁䑁䅫䅏䅁䉁䑕䅁楂䅁䅁睊扂䙁䅍䅕䡂䙁䄸䅒䑂䕁䅙兑畂䝁䅅䅢㕂䡁䅍兡穂䙁䄸杤硁䍁䅁䅋硁䍁䅫杌㑂䝁䅷督瑂䙁䄰䅒䑂䕁䅙睊桁䍁䅑睑偂䍁䅑兎硁䑁䅯䅊䑂䕁䄸䅊ㅁ䑁䅣䅁元睁䅁䅇䅁䙁䅍䅕呂䑁䅙䅎穁䑁䅅兎睁䑁䅍䅏䅁偁䝅䅁捁䅁䅁睕兂䙁䅍免㑁䑁䅑睎㕁䑁䅫兎穁䑁䅫睍䅁䉁䝷䅁兂䅁䅁睊扂䕁䄰兓時䕁䅑睑䝂䕁䅅杢桂䝁䅷入穂䝁䅫督時䡁䅙免杁䍁䅧杍灁䍁䄴䅥獂䡁䅍兢摂䕁䅑睑䝂䍁䅣光歁䙁䅙䅊ぁ䑁䅙䅁䝁睁䅁䅘䅁䍁䅣睗乂䕁䅫睘䕂䕁䅍杒䉂䝁䄴兙獂䡁䅫督灂䡁䅍睘㉂䑁䅅䅉潁䑁䅉克畁䡁䅧䅢穂䝁䄰兘䕂䕁䅍杒湁䍁䅅䅊坂䍁䅑兎硁䑁䅯䅊坂䍁䅑兎㉁䅁䅁睂䅍䙁䅁䅁扂䕁䄰兓時䕁䅑睑䝂䕁䅅杢桂䝁䅷入穂䝁䅫督時䡁䅙免畁䡁䅧䅢穂䝁䄰兘䕂䕁䅍杒桁䍁䅑兖歁䑁䅑䅎㙁䍁䅑兖歁䑁䅑兏䅁佁䉉䅁敂䅁䅁睊扂䙁䅍䅕䡂䙁䄸䅒䑂䕁䅙兑畂䝁䅅䅢㕂䡁䅍兡穂䙁䄸杤硁䍁䅁䅎畁䡁䅧䅢穂䝁䄰兘䕂䕁䅍杒湁䍁䅅䅊婂䍁䅑免ぁ䑁䅉杏歁䙁䅫䅊硁䑁䅑睍䅁䉁䙑䅁卂䅁䅁睊扂䕁䄰兓時䕁䅑睑䝂䕁䅅杢桂䝁䅷入穂䝁䅫督時䡁䅙免杁䍁䅧杍灁䍁䄴䅥獂䡁䅍兢摂䕁䅑睑䝂䍁䅣光歁䙁䅣䅊硁䑁䅍免䅁䉁䑧䅁慁䅁䅁睕兂䙁䄸兒佂䙁䅑兓啂䙁䅫睘䩂䕁䅑䅁穁允䅁杙䅁䍁䅣睗乂䕁䅫睘䕂䕁䅍杒䉂䝁䄴兙獂䡁䅫督灂䡁䅍睘㉂䑁䅅䅉瑁䍁䅁睑療䡁䅁入畁䡁䅧䅢穂䝁䄰兘䕂䕁䅍杒湁䍁䅅䅊䥂䍁䅑兏ぁ䑁䅯䅊乂䍁䅑兏ぁ䅁䅁睱䅉䉁䅷䅁呂䙁䅁睕硁䑁䅧䅎㍁䑁䅫兏ㅁ䑁䅍䅏㕁䅁䅁杁䅙䙁䅉䅁湁䙁䅳兔䩂䙁䄸䅒䑂䕁䅙兑畂䝁䅅䅢㕂䡁䅍兡穂䙁䄸杤硁䍁䅁䅋祁䍁䅫杌㑂䝁䅷督瑂䙁䄰䅒䑂䕁䅙睊桁䍁䅑睖歁䑁䅅䅎㉁䅁䅁睈䅍䅁䄴䅁塂䕁䅉䅒瑁䙁䅕睕䅁䭁䝫䅁杂䅁䅁睊扂䕁䄰兓時䕁䅑睑䝂䕁䅅杢桂䝁䅷入穂䝁䅫督時䡁䅙免杁䍁䅧杍灁䍁䄴䅥獂䡁䅍兢摂䕁䅑睑䝂䍁䅣光歁䙁䅧䅊硁䑁䅑杍㙁䍁䅑䅗歁䑁䅅䅎穁䅁䅁杈䅍䝁䅉䅁湁䙁䅳睕兂䕁䅣睘䕂䕁䅍杒䉂䝁䄴兙獂䡁䅫督灂䡁䅍睘㉂䑁䅅䅉潁䑁䅍克畁䡁䅧䅢穂䝁䄰兘䕂䕁䅍杒湁䍁䅅䅊䝂䍁䅑杍睁䑁䅣杏歁䕁䄰䅊祁䑁䅁睎䅁䝁䐴䅁浂䅁䅁睊扂䕁䄰兓時䕁䅑睑䝂䕁䅅杢桂䝁䅷入穂䝁䅫督時䡁䅙免杁䍁䄰䅉䑂䝁䄸䅣㕂䍁䄴䅥獂䡁䅍兢摂䕁䅑睑䝂䍁䅣光歁䕁䅑䅕歁䑁䅑䅎㙁䍁䅑䅒剂䍁䅑䅎ぁ䅁䅁䅭䅉䝁䅙䅁偂䡁䅁䅤灂䝁䄸杢穂䑁䅯睑ㅂ䡁䅉杣㥁䍁䅷兔桂䝁䅣児睁䍁䅷睑療䝁䄴杤乂䝁䅕䅤潂䝁䄸䅚㥁䕁䄰兓祂䝁䅕睙療䝁䄰兢求䝁䄴䅚求䝁䅑䅌佂䕁䅅児佂䕁䅅䅁塃杂䅁䅙䅁䍁䅣睗乂䕁䅫睘䕂䕁䅍杒䉂䝁䄴兙獂䡁䅫督灂䡁䅍睘㉂䑁䅅䅉潁䑁䅉克畁䡁䅧䅢穂䝁䄰兘䕂䕁䅍杒湁䍁䅅䅊奂䍁䅑免ぁ䑁䅧杏歁䙁䅧䅊硁䑁䅕睍䅁䍁䑅䅁奂䅁䅁睊扂䙁䅍䅕䡂䙁䄸䅒䑂䕁䅙兑畂䝁䅅䅢㕂䡁䅍兡穂䙁䄸杤硁䍁䅁免杁䍁䅧免灁䍁䄴䅥獂䡁䅍兢摂䕁䅑睑䝂䍁䅣光歁䙁䅫䅊硁䑁䅑䅍䅁乁䑫䅁啂䅁䅁睗乂䕁䅫睘䕂䕁䅍杒䉂䝁䄴兙獂䡁䅫督灂䡁䅍睘㉂䑁䅅杌㑂䝁䅷督瑂䙁䄰䅒䑂䕁䅙光歁䕁䅕䅊祁䑁䅅免㙁䍁䅑兒歁䑁䅉杍ㅁ䅁䅁䄱䅅䙁䄴䅁湁䙁䅳兔䩂䙁䄸䅒䑂䕁䅙兑畂䝁䅅䅢㕂䡁䅍兡穂䙁䄸杤硁䍁䅁䅋祁䍁䅫杌㑂䝁䅷督瑂䙁䄰䅒䑂䕁䅙睊桁䍁䅑䅗歁䑁䅑睎㙁䍁䅑兑䙂䍁䅑䅎㍁䅁䅁䅃䅍䙁䄴䅁湁䙁䅳兔䩂䙁䄸䅒䑂䕁䅙兑畂䝁䅅䅢㕂䡁䅍兡穂䙁䄸杤硁䍁䅁䅋祁䍁䅫杌㑂䝁䅷督瑂䙁䄰䅒䑂䕁䅙睊桁䍁䅑䅗歁䑁䅑䅏㙁䍁䅑兑䙂䍁䅑䅎㑁䅁䅁元䅍䙁䅉䅁湁䙁䅳睕兂䕁䅣睘䕂䕁䅍杒䉂䝁䄴兙獂䡁䅫督灂䡁䅍睘㉂䑁䅅䅉潁䑁䅅克畁䡁䅧䅢穂䝁䄰兘䕂䕁䅍杒湁䍁䅅䅊坂䍁䅑䅎㍁䅁䅁睭䅍䉁䅯䅁呂䙁䅁䅖卂䕁䄸免㉁䑁䅧兏㍁䑁䅕兏䅁䝁䍁䅁捁䅁䅁兓剂䙁䅑免㑁䑁䅑睎㕁䑁䅫兎祁䑁䅑䅏䅁偁䑉䅁杁䅁䅁䅔ㅂ䡁䅧党瑂䝁䅉睢ㅂ䡁䅉睚杁䕁䅷兤㑂䙁䅧䅁啂䅁䅁杘䅁䍁䅣睗呂䙁䅁睒時䕁䅑睑䝂䕁䅅杢桂䝁䅷入穂䝁䅫督時䡁䅙免杁䑁䅑杌㑂䝁䅷督瑂䙁䄰䅒䑂䕁䅙睊桁䍁䅑兑䵂䍁䅑兎㕁䑁䅯䅊䉂䕁䅷䅊㍁䑁䅉䅁㙄䅂䅁杕䅁䍁䅣睗乂䕁䅫睘䕂䕁䅍杒䉂䝁䄴兙獂䡁䅫督灂䡁䅍睘㉂䑁䅅䅉潁䑁䅉克畁䡁䅧䅢穂䝁䄰兘䕂䕁䅍杒湁䍁䅅䅊婂䍁䅑免ぁ䑁䅁䅁摁睁䅁杕䅁䍁䅣睗乂䕁䅫睘䕂䕁䅍杒䉂䝁䄴兙獂䡁䅫督灂䡁䅍睘㉂䑁䅅䅉潁䑁䅉克畁䡁䅧䅢穂䝁䄰兘䕂䕁䅍杒湁䍁䅅䅊慂䍁䅑免ぁ䑁䅙䅁杁睁䅁䅗䅁䍁䅣睗乂䕁䅫睘䕂䕁䅍杒䉂䝁䄴兙獂䡁䅫督灂䡁䅍睘㉂䑁䅅䅉瑁䍁䅁睑療䡁䅁入畁䡁䅧䅢穂䝁䄰兘䕂䕁䅍杒湁䍁䅅䅊䉂䕁䅣䅊ぁ䑁䅉䅁橃杁䅁杒䅁䙁䅳兔䩂䙁䄸䅒䑂䕁䅙兑畂䝁䅅䅢㕂䡁䅍兡穂䙁䄸杤硁䍁䄴䅥獂䡁䅍兢摂䕁䅑睑䝂䍁䅅䅊䉂䕁䅯䅊ぁ䑁䅧䅁摄允䅁䅈䅁䕁䅫兕啂䑁䅅䅏穁䑁䅣䅎ㅁ䑁䅉䅍硁䑁䅙䅁⽄睁䅁䅕䅁䍁䅣睗呂䙁䅁睒時䕁䅑睑䝂䕁䅅杢桂䝁䅷入穂䝁䅫督時䡁䅙免杁䑁䅑杌㑂䝁䅷督瑂䙁䄰䅒䑂䕁䅙睊桁䍁䅑兑䱂䍁䅑兎ぁ䅁䅁䄫䅑䙁䅧䅁湁䙁䅳兔䩂䙁䄸䅒䑂䕁䅙兑畂䝁䅅䅢㕂䡁䅍兡穂䙁䄸杤硁䍁䅁兌杁䕁䅍睢睂䡁䅫杌㑂䝁䅷督瑂䙁䄰䅒䑂䕁䅙睊桁䍁䅑兑䱂䍁䅑䅎㕁䅁䅁杭䅉䉁䅯䅁呂䙁䅁睕ぁ䑁䅁兏㍁䑁䅕免穁䑁䅅兏䅁乁䝁䅁䭁䅁䅁杔婂䙁䅍兒䅁䙁䄸䅁浂䅁䅁睊扂䕁䄰兓時䕁䅑睑䝂䕁䅅杢桂䝁䅷入穂䝁䅫督時䡁䅙免杁䍁䄰䅉䑂䝁䄸䅣㕂䍁䄴䅥獂䡁䅍兢摂䕁䅑睑䝂䍁䅣光歁䕁䅅䅔歁䑁䅕䅎㙁䍁䅑兑䵂䍁䅑李㉁䅁䅁䅮䅉䉁䅁䅁ぁ䑁䅉李穁䑁䅅䅏祁䅁䅁入䅣䝁䅙䅁湁䙁䅳兔䩂䙁䄸䅒䑂䕁䅙兑畂䝁䅅䅢㕂䡁䅍兡穂䙁䄸杤硁䍁䅁兌杁䕁䅍睢睂䡁䅫杌㑂䝁䅷督瑂䙁䄰䅒䑂䕁䅙睊桁䍁䅑兑䵂䍁䅑兎ぁ䑁䅯䅊䉂䕁䅷䅊㉁䑁䅣䅁㝃杁䅁杚䅁䍁䅣睗乂䕁䅫睘䕂䕁䅍杒䉂䝁䄴兙獂䡁䅫督灂䡁䅍睘㉂䑁䅅䅉瑁䍁䅁睑療䡁䅁入畁䡁䅧䅢穂䝁䄰兘䕂䕁䅍杒湁䍁䅅䅊䉂䕁䄰䅊ㅁ䑁䅑杏歁䕁䅅兔歁䑁䅙睎䅁䱁䍷䅁㙁䅁䅁睊扂䙁䅣兑䑂䕁䅍䅉呂䕁䄴䅔畁䡁䅧䅢穂䝁䄰兘塂䕁䅅睑䑂䍁䅣光歁䕁䅉睑歁䑁䅍䅍䅁䩁䅁䅁捂䅁䅁睗卂䝁䅕杤灂䡁䅍党歂䙁䄸睕兂䕁䅣睘塂䕁䅅睑䑂䕁䅅杢桂䝁䅷入穂䝁䅫督時䡁䅙免畁䡁䅧䅢穂䝁䄰兘塂䕁䅅睑䑂䍁䅅䅊䉂䙁䅉䅊ぁ䑁䅧䅁䱃睂䅁䅗䅁䍁䅣睗乂䕁䅫睘䕂䕁䅍杒䉂䝁䄴兙獂䡁䅫督灂䡁䅍睘㉂䑁䅅䅉瑁䍁䅁睑療䡁䅁入畁䡁䅧䅢穂䝁䄰兘䕂䕁䅍杒湁䍁䅅䅊䉂䕁䄸䅊ぁ䑁䅧䅁扃杁䅁杇䅁䙁䅍䅕呂䑁䅕兏ぁ䑁䅙杍睁䑁䅉李㑁䅁䅁兎䅣䙁䅙䅁湁䙁䅳睕兂䕁䅣睘䕂䕁䅍杒䉂䝁䄴兙獂䡁䅫督灂䡁䅍睘㉂䑁䅅䅉硁䍁䅁䅋硁䍁䅫杌㑂䝁䅷督瑂䙁䄰䅒䑂䕁䅙睊桁䍁䅑村歁䑁䅫䅏䅁䵁䑷䅁捁䅁䅁兓剂䙁䅑免㑁䑁䅑睎㕁䑁䅫兎硁䑁䅧䅏䅁䵁䔰䅁浂䅁䅁睊扂䙁䅍䅕䡂䙁䄸䅒䑂䕁䅙兑畂䝁䅅䅢㕂䡁䅍兡穂䙁䄸杤硁䍁䅁免杁䍁䅧免灁䍁䄴䅥獂䡁䅍兢摂䕁䅑睑䝂䍁䅣光歁䕁䅙䅊祁䑁䅁睎㙁䍁䅑兔歁䑁䅉䅍㍁䅁䅁䄴䅍䙁䅙䅁扂䙁䅍䅕䡂䙁䄸䅒䑂䕁䅙兑畂䝁䅅䅢㕂䡁䅍兡穂䙁䄸杤硁䍁䄴䅥獂䡁䅍兢摂䕁䅑睑䝂䍁䅅䅊䡂䍁䅑杍ぁ䑁䅣杏歁䕁䄰䅊祁䑁䅑睎䅁䱁䑣䅁䥁䅁䅁䅐⭁䑁䅁䅁䕁䅁䅁䅋䅁䕁䅧兙畂䝁䅣䅉呂䝁䅕杢湂䍁䅁睑療䝁䄰䅣療䡁䅍兡あ䝁䅕䅁䵂䅁䅁杖䅁䍁䅣睗乂䕁䅫睘䕂䕁䅍杒䉂䝁䄴兙獂䡁䅫督灂䡁䅍睘㉂䑁䅅䅉瑁䍁䅁睑療䡁䅁入畁䡁䅧䅢穂䝁䄰兘䕂䕁䅍杒湁䍁䅅䅊䍂䍁䅑兏穁䅁䅁䅱䅉䙁䅧䅁湁䙁䅳兔䩂䙁䄸䅒䑂䕁䅙兑畂䝁䅅䅢㕂䡁䅍兡穂䙁䄸杤硁䍁䅁兌杁䕁䅍睢睂䡁䅫杌㑂䝁䅷督瑂䙁䄰䅒䑂䕁䅙睊桁䍁䅑睑噂䍁䅑䅎㉁䅁䅁䅰䅉䙁䅑䅁扂䕁䄰兓時䕁䅑睑䝂䕁䅅杢桂䝁䅷入穂䝁䅫督時䡁䅙免畁䡁䅧䅢穂䝁䄰兘䕂䕁䅍杒桁䍁䅑䅒佂䍁䅑兎硁䑁䅯䅊䕂䕁䄴䅊ㅁ䑁䅣䅁灄杁䅁杚䅁䍁䅣睗乂䕁䅫睘䕂䕁䅍杒䉂䝁䄴兙獂䡁䅫督灂䡁䅍睘㉂䑁䅅䅉瑁䍁䅁睑療䡁䅁入畁䡁䅧䅢穂䝁䄰兘䕂䕁䅍杒湁䍁䅅䅊䑂䙁䅣䅊ぁ䑁䅧杏歁䕁䅍杗歁䑁䅑䅏䅁䭁䍕䅁奂䅁䅁睊扂䕁䄰兓時䕁䅑睑䝂䕁䅅杢桂䝁䅷入穂䝁䅫督時䡁䅙免杁䍁䄰䅉䑂䝁䄸䅣㕂䍁䄴䅥獂䡁䅍兢摂䕁䅑睑䝂䍁䅣光歁䕁䅑村歁䑁䅑李䅁䭁䍙䅁浂䅁䅁睊扂䕁䄰兓時䕁䅑睑䝂䕁䅅杢桂䝁䅷入穂䝁䅫督時䡁䅙免杁䍁䄰䅉䑂䝁䄸䅣㕂䍁䄴䅥獂䡁䅍兢摂䕁䅑睑䝂䍁䅣光歁䕁䅑䅒歁䑁䅑䅏㙁䍁䅑䅒䝂䍁䅑䅎㑁䅁䅁睰䅉䉁䅷䅁呂䙁䅁睕硁䑁䅫免㑁䑁䅅䅎睁䑁䅫李㕁䅁䅁允䅣䙁䅧䅁湁䙁䅳兔䩂䙁䄸䅒䑂䕁䅙兑畂䝁䅅䅢㕂䡁䅍兡穂䙁䄸杤硁䍁䅁兌杁䕁䅍睢睂䡁䅫杌㑂䝁䅷督瑂䙁䄰䅒䑂䕁䅙睊桁䍁䅑䅒佂䍁䅑䅎穁䅁䅁杬䅉䉁䅯䅁䩂䙁䅅䅖㍁䑁䅁䅍㕁䑁䅁李㕁䑁䅕免䅁䝁䕧䅁捁䅁䅁兓剂䙁䅑免㍁䑁䅫杍㍁䑁䅣兎ぁ䑁䅙睎䅁䥁䕁䅁浂䅁䅁睊扂䕁䄰兓時䕁䅑睑䝂䕁䅅杢桂䝁䅷入穂䝁䅫督時䡁䅙免杁䍁䄰䅉䑂䝁䄸䅣㕂䍁䄴䅥獂䡁䅍兢摂䕁䅑睑䝂䍁䅣光歁䕁䅑䅕歁䑁䅑兎㙁䍁䅑䅒剂䍁䅑䅎ㅁ䅁䅁六䅉䉁䄴䅁䍂䝁䅕䅤桂䍁䅁睔畂䝁䅕䅉婂䝁䅕兙祂䍁䅁䅁䍁䅁䅁䅖䅁䍁䅣睗呂䙁䅁睒時䕁䅑睑䝂䕁䅅杢桂䝁䅷入穂䝁䅫督時䡁䅙免杁䍁䅧免灁䍁䄴䅥獂䡁䅍兢摂䕁䅑睑䝂䍁䅣光歁䙁䅫䅊硁䑁䅍杍䅁䭁䑑䅁䥂䅁䅁睗呂䙁䅁睒時䕁䅑睑䝂䕁䅅杢桂䝁䅷入穂䝁䅫督時䡁䅙免畁䡁䅧䅢穂䝁䄰兘䕂䕁䅍杒桁䍁䅑杗歁䑁䅅䅎㉁䅁䅁兒䅍䝁䅙䅁湁䙁䅳兔䩂䙁䄸䅒䑂䕁䅙兑畂䝁䅅䅢㕂䡁䅍兡穂䙁䄸杤硁䍁䅁兌杁䕁䅍睢睂䡁䅫杌㑂䝁䅷督瑂䙁䄰䅒䑂䕁䅙睊桁䍁䅑杒歁䑁䅉䅍祁䑁䅯䅊乂䍁䅑杍睁䑁䅉䅁㑃杁䅁杙䅁䍁䅣睗呂䙁䅁睒時䕁䅑睑䝂䕁䅅杢桂䝁䅷入穂䝁䅫督時䡁䅙免杁䍁䅧睍灁䍁䄴䅥獂䡁䅍兢摂䕁䅑睑䝂䍁䅣光歁䙁䅧䅊硁䑁䅑杍㙁䍁䅑䅗歁䑁䅅䅎穁䅁䅁䅡䅍䍁䅑䅁䩂䙁䅅睘䑂䕁䅧兑佂䕁䅣兒時䕁䅑兒䝂䙁䄸䅖䉂䙁䅧䅁㝂杂䅁䅔䅁䙁䅳睕兂䕁䅣睘塂䕁䅅睑䑂䕁䅅杢桂䝁䅷入穂䝁䅫督時䡁䅙免畁䡁䅧䅢穂䝁䄰兘塂䕁䅅睑䑂䍁䅅䅊䉂䕁䅑䅊ぁ䑁䅧䅁慂睂䅁杚䅁䍁䅣睗乂䕁䅫睘䕂䕁䅍杒䉂䝁䄴兙獂䡁䅫督灂䡁䅍睘㉂䑁䅅䅉瑁䍁䅁睑療䡁䅁入畁䡁䅧䅢穂䝁䄰兘䕂䕁䅍杒湁䍁䅅䅊䝂䍁䅑杍睁䑁䅍杏歁䕁䄰䅊祁䑁䅁睍䅁䱁䍯䅁坂䅁䅁睊扂䕁䄰兓時䕁䅑睑䝂䕁䅅杢桂䝁䅷入穂䝁䅫督時䡁䅙免杁䍁䄰䅉䑂䝁䄸䅣㕂䍁䄴䅥獂䡁䅍兢摂䕁䅑睑䝂䍁䅣光歁䙁䅙䅊ぁ䑁䅉䅁楃杁䅁杈䅁䙁䅍䅕時䕁䅕杔啂䕁䅫䅖婂䙁䄸杔䉂䕁䄰兒䅁䑁䉅䅁浂䅁䅁睊扂䕁䄰兓時䕁䅑睑䝂䕁䅅杢桂䝁䅷入穂䝁䅫督時䡁䅙免杁䍁䄰䅉䑂䝁䄸䅣㕂䍁䄴䅥獂䡁䅍兢摂䕁䅑睑䝂䍁䅣光歁䙁䅧䅊硁䑁䅍睎㙁䍁䅑䅗歁䑁䅅睍㑁䅁䅁杳䅉䝁䅑䅁湁䙁䅳兔䩂䙁䄸䅒䑂䕁䅙兑畂䝁䅅䅢㕂䡁䅍兡穂䙁䄸杤硁䍁䅁兌杁䕁䅍睢睂䡁䅫杌㑂䝁䅷督瑂䙁䄰䅒䑂䕁䅙睊桁䍁䅑䅗歁䑁䅑杍㙁䍁䅑兑䙂䍁䅑䅎祁䅁䅁䅯䅉䉁䅷䅁䩂䙁䅅䅖硁䑁䅙睎硁䑁䅣睍ぁ䑁䅉䅍ぁ䅁䅁八䅑䙁䅑䅁扂䕁䄰兓時䕁䅑睑䝂䕁䅅杢桂䝁䅷入穂䝁䅫督時䡁䅙免畁䡁䅧䅢穂䝁䄰兘䕂䕁䅍杒桁䍁䅑䅒婂䍁䅑䅎㍁䑁䅯䅊䕂䙁䅯䅊ぁ䑁䅣䅁畁杁䅁䅈䅁䙁䅍䅕呂䑁䅅兏㑁䑁䅅䅎ぁ䑁䅁睎ぁ䑁䅅䅁䙃睂䅁杕䅁䍁䅣睗呂䙁䅁睒時䕁䅑睑䝂䕁䅅杢桂䝁䅷入穂䝁䅫督時䡁䅙免杁䑁䅑杌㑂䝁䅷督瑂䙁䄰䅒䑂䕁䅙睊桁䍁䅑兑䉂䍁䅑免ぁ䑁䅁䅁十兂䅁䅓䅁䙁䅳睕兂䕁䅣睘䕂䕁䅍杒䉂䝁䄴兙獂䡁䅫督灂䡁䅍睘㉂䑁䅅杌㑂䝁䅷督瑂䙁䄰䅒䑂䕁䅙光歁䙁䅫䅊硁䑁䅍杍䅁䕁䑁䅁捁䅁䅁兓剂䙁䅑免㑁䑁䅑睎㕁䑁䅫兎祁䑁䅕睎䅁䩁䕷䅁慁䅁䅁兎㕂䍁䅁兖呂䍁䅁䅖瑁䕁䄴睢あ䝁䅕䅁乁䅁䅁䅈䅁䙁䅍䅕呂䑁䅅睎㕁䑁䅉睎㍁䑁䅕䅎祁䑁䅕䅁歃兂䅁杇䅁䙁䅍䅕呂䑁䅕兏ぁ</t>
  </si>
  <si>
    <t>䑁䅕䅍穁䑁䅍睎㕁䅁䅁杅䅣䝁䅙䅁湁䙁䅳兔䩂䙁䄸䅒䑂䕁䅙兑畂䝁䅅䅢㕂䡁䅍兡穂䙁䄸杤硁䍁䅁兌杁䕁䅍睢睂䡁䅫杌㑂䝁䅷督瑂䙁䄰䅒䑂䕁䅙睊桁䍁䅑兗歁䑁䅅䅎穁䑁䅯䅊婂䍁䅑免ぁ䑁䅧䅁㉃杁䅁䅗䅁䍁䅣睗乂䕁䅫睘䕂䕁䅍杒䉂䝁䄴兙獂䡁䅫督灂䡁䅍睘㉂䑁䅅䅉瑁䍁䅁睑療䡁䅁入畁䡁䅧䅢穂䝁䄰兘䕂䕁䅍杒湁䍁䅅䅊慂䍁䅑免ぁ䑁䅅䅁ぃ杁䅁杇䅁䕁䅫兕啂䑁䅉兎穁䑁䅙兏硁䑁䅧睎ㅁ䅁䅁杊䅑䙁䅙䅁湁䙁䅳兔䩂䙁䄸睖䉂䕁䅍睑䉂䝁䄴兙獂䡁䅫督灂䡁䅍睘㉂䑁䅅䅉潁䑁䅕克畁䡁䅧䅢穂䝁䄰兘塂䕁䅅睑䑂䍁䅣光歁䕁䅅兒歁䑁䅑䅍䅁䥁䉅䅁⭁䅁䅁睕佂䕁䅷䅉䉂䝁䅷䅢杁䕁䅙兡畂䝁䅅杢橂䝁䅫兙獂䍁䅁兓畂䡁䅍䅤灂䡁䅑兤あ䝁䅫睢畂䡁䅍䅁㡂䅁䅁䅕䅁䍁䅣睗呂䙁䅁睒時䕁䅑睑䝂䕁䅅杢桂䝁䅷入穂䝁䅫督時䡁䅙免杁䑁䅑杌㑂䝁䅷督瑂䙁䄰䅒䑂䕁䅙睊桁䍁䅑兑偂䍁䅑兎穁䅁䅁儫䅑䅁䅷䅁䩂䙁䅅睘䉂䙁䅁䅁䝃杂䅁杇䅁䙁䅍䅕呂䑁䅅李ㅁ䑁䅕睎祁䑁䅑䅎ぁ䅁䅁䄵䅙䉁䅷䅁䩂䙁䅅䅖硁䑁䅧李ぁ䑁䅁䅎ㅁ䑁䅑免ㅁ䅁䅁睏䅑䕁䅑䅁扂䕁䄰兓時䕁䅑睑䝂䕁䅅杢桂䝁䅷入穂䝁䅫督時䡁䅙免畁䡁䅧䅢穂䝁䄰兘䕂䕁䅍杒桁䍁䅑杖歁䑁䅉䅏䅁䍁䍫䅁歂䅁䅁睊扂䕁䄰兓時䙁䅣兑䑂䕁䅍兑畂䝁䅅䅢㕂䡁䅍兡穂䙁䄸杤硁䍁䅁䅋ㅁ䍁䅫杌㑂䝁䅷督瑂䙁䄰睖䉂䕁䅍睑湁䍁䅅䅊䉂䕁䅙䅊ぁ䑁䅕杏歁䕁䅅杒歁䑁䅕李䅁䥁䉍䅁坂䅁䅁睊扂䕁䄰兓時䙁䅣兑䑂䕁䅍兑畂䝁䅅䅢㕂䡁䅍兡穂䙁䄸杤硁䍁䅁䅋ㅁ䍁䅫杌㑂䝁䅷督瑂䙁䄰睖䉂䕁䅍睑湁䍁䅅䅊䉂䕁䅫䅊穁䑁䅫䅁䍃允䅁䅈䅁䕁䅫兕啂䑁䅅䅏穁䑁䅣䅎ㅁ䑁䅉䅍祁䑁䅁䅁奄䅂䅁杖䅁䍁䅣睗乂䕁䅫睘塂䕁䅅睑䑂䕁䅅杢桂䝁䅷入穂䝁䅫督時䡁䅙免杁䍁䅧兎灁䍁䄴䅥獂䡁䅍兢摂䙁䅣兑䑂䕁䅍睊桁䍁䅑睑剂䍁䅑睍㍁䅁䅁䅩䅅䙁䅯䅁湁䙁䅳睕兂䕁䅣睘䕂䕁䅍杒䉂䝁䄴兙獂䡁䅫督灂䡁䅍睘㉂䑁䅅䅉ぁ䍁䄴䅥獂䡁䅍兢摂䕁䅑睑䝂䍁䅣光歁䕁䅧䅊㕁䑁䅧杏歁䕁䄰䅊㕁䑁䅧䅁䝁兂䅁䅚䅁䍁䅣睗乂䕁䅫睘塂䕁䅅睑䑂䕁䅅杢桂䝁䅷入穂䝁䅫督時䡁䅙免杁䍁䅧兎灁䍁䄴䅥獂䡁䅍兢摂䙁䅣兑䑂䕁䅍睊桁䍁䅑睑呂䍁䅑睍㕁䑁䅯䅊䑂䙁䅙䅊穁䑁䅫䅁䩃允䅁村䅁䙁䅁兙祂䝁䅅兢療䡁䅕杢あ䍁䅁睒獂䝁䄸杙桂䝁䅷䅉潁䕁䄴兑呂䕁䅑兑剂䕁䅣睕㙁䙁䅁兑卂䕁䅅克䅁䭁䝙䅁敁䅁䅁杔䉂䙁䅍䅒䉂䙁䅅睒呂䑁䅯睑乂䕁䅍睕䉂䅁䅁䅲䅙䉁䅷䅁呂䙁䅁睕硁䑁䅧䅏㍁䑁䅁睍睁䑁䅫䅎㕁䅁䅁儯䅕䙁䅉䅁扂䕁䄰兓時䕁䅑睑䝂䕁䅅杢桂䝁䅷入穂䝁䅫督時䡁䅙免畁䡁䅧䅢穂䝁䄰兘䕂䕁䅍杒桁䍁䅑睖歁䑁䅑免㙁䍁䅑兑䡂䍁䅑䅎硁䅁䅁元䅉䙁䅙䅁湁䙁䅳兔䩂䙁䄸睖䉂䕁䅍睑䉂䝁䄴兙獂䡁䅫督灂䡁䅍睘㉂䑁䅅䅉潁䑁䅕克畁䡁䅧䅢穂䝁䄰兘塂䕁䅅睑䑂䍁䅣光歁䕁䅍䅗歁䑁䅍睎䅁䥁䉯䅁歂䅁䅁睊扂䕁䄰兓時䙁䅣兑䑂䕁䅍兑畂䝁䅅䅢㕂䡁䅍兡穂䙁䄸杤硁䍁䅁䅋ㅁ䍁䅫杌㑂䝁䅷督瑂䙁䄰睖䉂䕁䅍睑湁䍁䅅䅊䑂䙁䅯䅊穁䑁䅫杏歁䕁䅑村歁䑁䅍兏䅁䥁䉳䅁潁䅁䅁兔呂䕁䅍兓杁䕁䅅睑杁䙁䅣睢祂䝁䅷䅚杁䍁䅧兖呂䕁䅑克䅁䙁䅙䅁啂䅁䅁睊扂䕁䄰兓時䙁䅣兑䑂䕁䅍兑畂䝁䅅䅢㕂䡁䅍兡穂䙁䄸杤硁䍁䅁䅋ㅁ䍁䅫杌㑂䝁䅷督瑂䙁䄰睖䉂䕁䅍睑湁䍁䅅䅊兂䍁䅑睍祁䅁䅁全䅅䕁䅁䅁䩂䙁䅅睘䑂䕁䅧兑佂䕁䅣兒時䕁䄸䅖䥂䕁䅕杕時䕁䄴兒啂䙁䄸睔兂䕁䅕杕時䕁䅅睕呂䕁䅕䅖呂䅁䅁兦䅙䙁䅑䅁湁䙁䅳睕兂䕁䅣睘䕂䕁䅍杒䉂䝁䄴兙獂䡁䅫督灂䡁䅍睘㉂䑁䅅䅉潁䑁䅅克畁䡁䅧䅢穂䝁䄰兘䕂䕁䅍杒湁䍁䅅䅊䉂䕁䅳䅊ㅁ䑁䅑䅁呃睁䅁杍䅁䕁䅅兢穂䡁䅑党祂䝁䅑兙瑂䍁䅁兒㑂䝁䅍䅡桂䝁䄴睚求䍁䅁兓畂䝁䅑党㑂䅁䅁睎䅁䉁䅷䅁呂䙁䅁睕硁䑁䅫睍睁䑁䅁杍硁䑁䅙兏㉁䅁䅁睮䅙䉁䅷䅁呂䙁䅁睕硁䑁䅣兏㉁䑁䅑睎ㅁ䑁䅍兏ぁ䅁䅁睺䅕䝁䅙䅁湁䙁䅳睕兂䕁䅣睘䕂䕁䅍杒䉂䝁䄴兙獂䡁䅫督灂䡁䅍睘㉂䑁䅅䅉硁䍁䅁䅋硁䍁䅫杌㑂䝁䅷督瑂䙁䄰䅒䑂䕁䅙睊桁䍁䅑村奂䍁䅑兎穁䑁䅯䅊䑂䕁䅅䅊ㅁ䑁䅍䅁䩄睁䅁杙䅁䍁䅣睗呂䙁䅁睒時䕁䅑睑䝂䕁䅅杢桂䝁䅷入穂䝁䅫督時䡁䅙免杁䍁䅧免灁䍁䄴䅥獂䡁䅍兢摂䕁䅑睑䝂䍁䅣光歁䕁䅅䅔歁䑁䅕兏㙁䍁䅑兑䵂䍁䅑睎祁䅁䅁公䅍䙁䅙䅁扂䙁䅍䅕䡂䙁䄸䅒䑂䕁䅙兑畂䝁䅅䅢㕂䡁䅍兡穂䙁䄸杤硁䍁䄴䅥獂䡁䅍兢摂䕁䅑睑䝂䍁䅅䅊䕂䙁䅁䅊ㅁ䑁䅁杏歁䕁䅑兕歁䑁䅕䅍䅁䍁䑯䅁楂䅁䅁睊扂䙁䅍䅕䡂䙁䄸䅒䑂䕁䅙兑畂䝁䅅䅢㕂䡁䅍兡穂䙁䄸杤硁䍁䅁䅋硁䍁䅫杌㑂䝁䅷督瑂䙁䄰䅒䑂䕁䅙睊桁䍁䅑兑乂䍁䅑兎㕁䑁䅯䅊䉂䕁䄰䅊㍁䑁䅉䅁坃睁䅁䅖䅁䍁䅣睗呂䙁䅁睒時䕁䅑睑䝂䕁䅅杢桂䝁䅷入穂䝁䅫督時䡁䅙免杁䍁䅧免灁䍁䄴䅥獂䡁䅍兢摂䕁䅑睑䝂䍁䅣光歁䕁䅅睔歁䑁䅕睍䅁䩁䑑䅁慁䅁䅁睕兂䙁䅍杍㑁䑁䅧睎硁䑁䅧兏㑁䑁䅣䅁䡄杂䅁䅖䅁䙁䅳兔䩂䙁䄸䅒䑂䕁䅙兑畂䝁䅅䅢㕂䡁䅍兡穂䙁䄸杤硁䍁䄴䅥獂䡁䅍兢摂䕁䅑睑䝂䍁䅅䅊䙂䍁䅑杍硁䑁䅅杏歁䕁䅕䅊祁䑁䅉䅏䅁乁䉙䅁兂䅁䅁睊扂䙁䅍䅕䡂䙁䄸䅒䑂䕁䅙兑畂䝁䅅䅢㕂䡁䅍兡穂䙁䄸杤硁䍁䅁䅎畁䡁䅧䅢穂䝁䄰兘䕂䕁䅍杒湁䍁䅅䅊塂䍁䅑免ぁ䑁䅙䅁噁兂䅁杌䅁䕁䅫兕時䕁䅍兖卂䙁䅉兒佂䕁䅍兗時䕁䅙兓佂䕁䅅杔䑂䕁䅫兑䵂䙁䅍䅁元杂䅁李䅁䕁䅉兤橂䝁䅧兙祂䝁䅕督あ䍁䅁兒㑂䝁䅍䅡桂䝁䄴睚求䍁䅁䅖祂䝁䅅䅚灂䝁䄴睚䅁䑁䄴䅁䵁䅁䅁兗䩂䕁䅕䅔䕂䅁䅁䅄䅁䙁䅑䅁湁䙁䅳睕兂䕁䅣睘䕂䕁䅍杒䉂䝁䄴兙獂䡁䅫督灂䡁䅍睘㉂䑁䅅䅉潁䑁䅅克畁䡁䅧䅢穂䝁䄰兘䕂䕁䅍杒湁䍁䅅䅊䍂䍁䅑杍睁䑁䅣䅁獃睁䅁杇䅁䙁䅍䅕呂䑁䅉䅏㑁䑁䅣免㑁䑁䅫兏硁䅁䅁眸䅙䙁䅑䅁湁䙁䅳睕兂䕁䅣睘䕂䕁䅍杒䉂䝁䄴兙獂䡁䅫督灂䡁䅍睘㉂䑁䅅䅉潁䑁䅅克畁䡁䅧䅢穂䝁䄰兘䕂䕁䅍杒湁䍁䅅䅊䍂䍁䅑杍ぁ䑁䅕䅁䝃睁䅁䅖䅁䙁䅳兔䩂䙁䄸䅒䑂䕁䅙兑畂䝁䅅䅢㕂䡁䅍兡穂䙁䄸杤硁䍁䄴䅥獂䡁䅍兢摂䕁䅑睑䝂䍁䅅䅊婂䍁䅑免ぁ䑁䅍杏歁䙁䅫䅊硁䑁䅑䅏䅁䩁䍍䅁捁䅁䅁睕兂䙁䅍免㑁䑁䅑睎㕁䑁䅫兎穁䑁䅣䅏䅁乁䙁䅁楂䅁䅁睊扂䙁䅍䅕䡂䙁䄸䅒䑂䕁䅙兑畂䝁䅅䅢㕂䡁䅍兡穂䙁䄸杤硁䍁䅁䅋硁䍁䅫杌㑂䝁䅷督瑂䙁䄰䅒䑂䕁䅙睊桁䍁䅑䅗歁䑁䅅䅎㑁䑁䅯䅊奂䍁䅑免ㅁ䑁䅍䅁煃睁䅁杚䅁䍁䅣睗呂䙁䅁睒時䕁䅑睑䝂䕁䅅杢桂䝁䅷入穂䝁䅫督時䡁䅙免杁䑁䅅䅉潁䑁䅅克畁䡁䅧䅢穂䝁䄰兘䕂䕁䅍杒湁䍁䅅䅊䝂䍁䅑杍睁䑁䅧杏歁䕁䄰䅊祁䑁䅁䅏䅁佁䑉䅁慁䅁䅁睕兂䙁䅍兎㕁䑁䅑兎睁䑁䅍䅎睁䑁䅁䅁䍁睂䅁䅅䅁䙁䅍䅕啂䙁䄸兗啂䙁䅣䅁捂睂䅁䅖䅁䍁䅣睗呂䙁䅁睒時䕁䅑睑䝂䕁䅅杢桂䝁䅷入穂䝁䅫督時䡁䅙免杁䍁䅧免灁䍁䄴䅥獂䡁䅍兢摂䕁䅑睑䝂䍁䅣光歁䕁䅉杖歁䑁䅕免䅁䩁䐰䅁啂䅁䅁睊扂䙁䅍䅕䡂䙁䄸䅒䑂䕁䅙兑畂䝁䅅䅢㕂䡁䅍兡穂䙁䄸杤硁䍁䅁䅋硁䍁䅫杌㑂䝁䅷督瑂䙁䄰䅒䑂䕁䅙睊桁䍁䅑睑䑂䍁䅑兎硁䅁䅁睮䅍䝁䅉䅁湁䙁䅳睕兂䕁䅣睘䕂䕁䅍杒䉂䝁䄴兙獂䡁䅫督灂䡁䅍睘㉂䑁䅅䅉潁䑁䅅克畁䡁䅧䅢穂䝁䄰兘䕂䕁䅍杒湁䍁䅅䅊䑂䕁䅕䅊ㅁ䑁䅍杏歁䕁䅍睒歁䑁䅕睍䅁䭁䑁䅁佂䅁䅁睊扂䙁䅍䅕䡂䙁䄸䅒䑂䕁䅙兑畂䝁䅅䅢㕂䡁䅍兡穂䙁䄸杤硁䍁䅁䅎畁䡁䅧䅢穂䝁䄰兘䕂䕁䅍杒湁䍁䅅䅊坂䍁䅑䅎㉁䅁䅁䄯䅑䍁䄴䅁䩂䙁䅅睘䑂䙁䅕杕卂䕁䅕杔啂䙁䄸䅕偂䙁䅉䅖時䕁䅷兒䉂䙁䅍兒呂䅁䅁兩䅙䙁䅑䅁湁䙁䅳睕兂䕁䅣睘䕂䕁䅍杒䉂䝁䄴兙獂䡁䅫督灂䡁䅍睘㉂䑁䅅䅉潁䑁䅅克畁䡁䅧䅢穂䝁䄰兘䕂䕁䅍杒湁䍁䅅䅊䑂䕁䄸䅊ぁ䑁䅧䅁偃睁䅁杊䅁䕁䄸兔奂䍁䅁杕灂䝁䅣兙杁䕁䅅䅢獂䍁䅁睕潂䝁䅅杣求䅁䅁睙䅁䍁䅧䅁扂䕁䅉睢療䝁䅳免摂䙁䅍䅡求䝁䅕䅤硁䍁䅅䅊䩂䍁䅑免祁䅁䅁先䅁䉁䅷䅁䩂䙁䅅䅖硁䑁䅧睎ぁ䑁䅍睍㉁䑁䅍兏硁䅁䅁兵䅑䉁䅷䅁䩂䙁䅅䅖硁䑁䅧䅎㍁䑁䅫兏ㅁ䑁䅑杍㉁䅁䅁光䅑䙁䄴䅁湁䙁䅳睕兂䕁䅣睘䕂䕁䅍杒䉂䝁䄴兙獂䡁䅫督灂䡁䅍睘㉂䑁䅅䅉ぁ䍁䄴䅥獂䡁䅍兢摂䕁䅑睑䝂䍁䅣光歁䕁䅕䅊祁䑁䅕免㙁䍁䅑兒歁䑁䅉兎㉁䅁䅁睃䅕䝁䅙䅁扂䕁䄰兓時䕁䅣䅔偂䕁䅉兑䵂䙁䄸睖䉂䕁䅍睑䉂䝁䄴兙獂䡁䅫督灂䡁䅍睘㉂䑁䅅杌㑂䝁䅷督瑂䙁䄰睖䉂䕁䅍睑桁䍁䅑睑慂䍁䅑睍㕁䑁䅯䅊䕂䕁䅉䅊穁䑁䅫䅁偄䅁䅁杇䅁䕁䅫兕時䙁䅑睔啂䕁䅅䅔時䙁䅉兒坂䅁䅁杣䅙䝁䅉䅁湁䙁䅳睕兂䕁䅣睘䕂䕁䅍杒䉂䝁䄴兙獂䡁䅫督灂䡁䅍睘㉂䑁䅅䅉潁䑁䅅克畁䡁䅧䅢穂䝁䄰兘䕂䕁䅍杒湁䍁䅅䅊䑂䙁䅅䅊ぁ䑁䅫杏歁䕁䅍杕歁䑁䅑兏䅁䩁䑅䅁慁䅁䅁睕兂䙁䅍杍㑁䑁䅧睎硁䑁䅧兏㕁䑁䅣䅁㕄杂䅁杙䅁䍁䅣睗呂䙁䅁睒時䕁䅑睑䝂䕁䅅杢桂䝁䅷入穂䝁䅫督時䡁䅙免杁䍁䅧免灁䍁䄴䅥獂䡁䅍兢摂䕁䅑睑䝂䍁䅣光歁䕁䅍兕歁䑁䅕䅍㙁䍁䅑睑卂䍁䅑兎睁䅁䅁杫䅍䝁䅉䅁湁䙁䅳睕兂䕁䅣睘䕂䕁䅍杒䉂䝁䄴兙獂䡁䅫督灂䡁䅍睘㉂䑁䅅䅉潁䑁䅅克畁䡁䅧䅢穂䝁䄰兘䕂䕁䅍杒湁䍁䅅䅊䙂䍁䅑杍硁䑁䅍杏歁䕁䅕䅊祁䑁䅍睍䅁䭁䐴䅁捁䅁䅁兓剂䙁䅑免㑁䑁䅑睎㕁䑁䅫兎祁䑁䅁兏䅁偁䑑䅁慁䅁䅁睕兂䙁䅍杍㑁䑁䅧睎硁䑁䅧兏㑁䑁䅕䅁䙄杂䅁杙䅁䍁䅣睗呂䙁䅁睒時䕁䅑睑䝂䕁䅅杢桂䝁䅷入穂䝁䅫督時䡁䅙免杁䍁䅧免灁䍁䄴䅥獂䡁䅍兢摂䕁䅑睑䝂䍁䅣光歁䕁䅕䅊祁䑁䅑䅏㙁䍁䅑兒歁䑁䅉兎硁䅁䅁䅩䅍䝁䅉䅁湁䙁䅳睕兂䕁䅣睘䕂䕁䅍杒䉂䝁䄴兙獂䡁䅫督灂䡁䅍睘㉂䑁䅅䅉潁䑁䅅克畁䡁䅧䅢穂䝁䄰兘䕂䕁䅍杒湁䍁䅅䅊䝂䍁䅑杍睁䑁䅣杏歁䕁䄰䅊祁䑁䅁睎䅁䭁䐰䅁捁䅁䅁兓剂䙁䅑免㑁䑁䅧睎睁䑁䅍䅍㕁䑁䅧睍䅁䕁䕕䅁浂䅁䅁睊扂䙁䅍䅕䡂䙁䄸䅒䑂䕁䅙兑畂䝁䅅䅢㕂䡁䅍兡穂䙁䄸杤硁䍁䅁免杁䍁䅧免灁䍁䄴䅥獂䡁䅍兢摂䕁䅑睑䝂䍁䅣光歁䕁䅣䅊祁䑁䅑睎㙁䍁䅑兔歁䑁䅉䅎㍁䅁䅁儰䅍䝁䅉䅁湁䙁䅳睕兂䕁䅣睘䕂䕁䅍杒䉂䝁䄴兙獂䡁䅫督灂䡁䅍睘㉂䑁䅅䅉潁䑁䅅克畁䡁䅧䅢穂䝁䄰兘䕂䕁䅍杒湁䍁䅅䅊䝂䍁䅑杍睁䑁䅧杏歁䕁䄰䅊祁䑁䅁䅏䅁䭁䐸䅁奂䅁䅁睗乂䕁䅫睘䡂䕁䅷睔䍂䕁䅅䅔時䙁䅣兑䑂䕁䅍兑畂䝁䅅䅢㕂䡁䅍兡穂䙁䄸杤祁䍁䄴䅥獂䡁䅍兢摂䙁䅣兑䑂䕁䅍光歁䕁䅍兕歁䑁䅍睎䅁偁䅅䅁歁䅁䅁兓剂䙁䄸睑䥂䕁䅅杔䡂䕁䅕睘䩂䕁䄴睑時䙁䅑兑奂䅁䅁睤䅙䉁䅧䅁呂䙁䅁睕穁䑁䅉杍硁䑁䅫兏㕁䑁䅍䅁⭁睂䅁杇䅁䕁䅫兕啂䑁䅑免㍁䑁䅫兏硁䑁䅍杍㉁䅁䅁杯䅑䝁䅉䅁湁䙁䅳睕兂䕁䅣睘䕂䕁䅍杒䉂䝁䄴兙獂䡁䅫督灂䡁䅍睘㉂䑁䅅䅉潁䑁䅅克畁䡁䅧䅢穂䝁䄰兘䕂䕁䅍杒湁䍁䅅䅊䡂䍁䅑免睁䑁䅍杏歁䕁䅣䅊硁䑁䅍䅍䅁䥁䑳䅁十䅁䅁睕兂䕁䅣䅖桂䝁䅉䅢求䅁䅁杰䅁䉁䅷䅁䩂䙁䅅睘兂䕁䅕杕䩂䕁䄸䅒時䕁䅕杔䕂䅁䅁睧䅙䙁䄴䅁湁䙁䅳睕兂䕁䅣睘䕂䕁䅍杒䉂䝁䄴兙獂䡁䅫督灂䡁䅍睘㉂䑁䅅䅉潁䑁䅅克畁䡁䅧䅢穂䝁䄰兘䕂䕁䅍杒湁䍁䅅䅊䡂䍁䅑兏㑁䑁䅯䅊乂䍁䅑兏㑁䅁䅁䅪䅍䉁䅁䅁啂䙁䅣䅖卂䍁䄰兖呂䅁䅁兺䅅䙁䅉䅁湁䙁䅳睕兂䕁䅣睘䕂䕁䅍杒䉂䝁䄴兙獂䡁䅫督灂䡁䅍睘㉂䑁䅅䅉潁䑁䅅克畁䡁䅧䅢穂䝁䄰兘䕂䕁䅍杒湁䍁䅅䅊坂䍁䅑䅎㉁䅁䅁睬䅍䉁䅷䅁䩂䙁䅅䅖硁䑁䅧䅎㍁䑁䅫兏ㅁ䑁䅑免㕁䅁䅁杺䅑䙁䄴䅁湁䙁䅳睕兂䕁䅣睘䕂䕁䅍杒䉂䝁䄴兙獂䡁䅫督灂䡁䅍睘㉂䑁䅅䅉潁䑁䅅克畁䡁䅧䅢穂䝁䄰兘䕂䕁䅍杒湁䍁䅅䅊坂䍁䅑兎硁䑁䅯䅊坂䍁䅑兎㉁䅁䅁䅭䅍䑁䄴䅁䉂䝁䅣兡獂䡁䅫督㕂䡁䅍䅌杁䕁䅫杢橂䍁䄴䅉潁䕁䄴兑呂䕁䅑兑剂䕁䅣睕㙁䕁䅅睒婂䙁䅍克䅁䵁䡁䅁啂䅁䅁睊扂䙁䅍䅕䡂䙁䄸䅒䑂䕁䅙兑畂䝁䅅䅢㕂䡁䅍兡穂䙁䄸杤硁䍁䅁䅋硁䍁䅫杌㑂䝁䅷督瑂䙁䄰䅒䑂䕁䅙睊桁䍁䅑睖歁䑁䅅睍硁䅁䅁兯䅍䅁䅯䅁䝂䙁䅫兌穁䅁䅁䅪䅕䙁䅯䅁湁䙁䅳睕兂䕁䅣睘䕂䕁䅍杒䉂䝁䄴兙獂䡁䅫督灂䡁䅍睘㉂䑁䅅䅉ぁ䍁䄴䅥獂䡁䅍兢摂䕁䅑睑䝂䍁䅣光歁䕁䅧䅊㕁䑁䅫杏歁䕁䄰䅊㕁䑁䅫䅁䥁兂䅁杙䅁䍁䅣睗呂䙁䅁睒時䕁䅑睑䝂䕁䅅杢桂䝁䅷入穂䝁䅫督時䡁䅙免杁䍁䅧免灁䍁䄴䅥獂䡁䅍兢摂䕁䅑睑䝂䍁䅣光歁䙁䅧䅊硁䑁䅍䅎㙁䍁䅑䅗歁䑁䅅睍ㅁ䅁䅁睯䅍䝁䅉䅁湁䙁䅳睕兂䕁䅣睘䕂䕁䅍杒䉂䝁䄴兙獂䡁䅫督灂䡁䅍睘㉂䑁䅅䅉潁䑁䅅克畁䡁䅧䅢穂䝁䄰兘䕂䕁䅍杒湁䍁䅅䅊奂䍁䅑免ぁ䑁䅉杏歁䙁䅧䅊硁䑁䅑睍䅁䭁䑣䅁慁䅁䅁睕兂䙁䅍兎㕁䑁䅑兎睁䑁䅍䅎睁䑁䅍䅁䙁睂䅁李䅁䕁䅫兕時䕁䅷兒䉂䙁䅍兒時䕁䅅䅒䭂䙁䅕睕啂䕁䄰兒佂䙁䅑睘䙂䕁䅉兓啂䕁䅑兑䅁䡁䐴䅁啂䅁䅁睊扂䙁䅍䅕䡂䙁䄸䅒䑂䕁䅙兑畂䝁䅅䅢㕂䡁䅍兡穂䙁䄸杤硁䍁䅁䅋穁䍁䅫杌㑂䝁䅷督瑂䙁䄰䅒䑂䕁䅙睊桁䍁䅑杗歁䑁䅅䅎㉁䅁䅁条䅍䉁䅷䅁䩂䙁䅅䅖硁䑁䅧䅏㍁䑁䅁睍睁䑁䅫李㉁䅁䅁兑䅑䙁䅧䅁湁䙁䅳睕兂䕁䅣睘䕂䕁䅍杒䉂䝁䄴兙獂䡁䅫督灂䡁䅍睘㉂䑁䅅䅉硁䍁䅁䅋硁䍁䅫杌㑂䝁䅷督瑂䙁䄰䅒䑂䕁䅙睊桁䍁䅑兑䱂䍁䅑兎ぁ䅁䅁杶䅍䙁䅑䅁湁䙁䅳睕兂䕁䅣睘䕂䕁䅍杒䉂䝁䄴兙獂䡁䅫督灂䡁䅍睘㉂䑁䅅䅉潁䑁䅅克畁䡁䅧䅢穂䝁䄰兘䕂䕁䅍杒湁䍁䅅䅊婂䍁䅑免穁䑁䅅䅁楃睁䅁杇䅁䕁䅫兕啂䑁䅉兎㉁䑁䅉杍㕁䑁䅑免㍁䅁䅁䅗䅑䙁䅑䅁湁䙁䅳睕兂䕁䅣睘䕂䕁䅍杒䉂䝁䄴兙獂䡁䅫督灂䡁䅍睘㉂䑁䅅䅉潁䑁䅅克畁䡁䅧䅢穂䝁䄰兘䕂䕁䅍杒湁䍁䅅䅊婂䍁䅑免ぁ䑁䅁䅁浃睁䅁䅖䅁䍁䅣睗呂䙁䅁睒時䕁䅑睑䝂䕁䅅杢桂䝁䅷入穂䝁䅫督時䡁䅙免杁䍁䅧免灁䍁䄴䅥獂䡁䅍兢摂䕁䅑睑䝂䍁䅣光歁䙁䅯䅊硁䑁䅑李䅁䭁䑫䅁啂䅁䅁睊扂䙁䅍䅕䡂䙁䄸䅒䑂䕁䅙兑畂䝁䅅䅢㕂䡁䅍兡穂䙁䄸杤硁䍁䅁䅋穁䍁䅫杌㑂䝁䅷督瑂䙁䄰䅒䑂䕁䅙睊桁䍁䅑兑䡂䍁䅑䅎㍁䅁䅁兗䅍䕁䄴䅁湁䙁䅳睕兂䕁䅣睘䕂䕁䅍杒䉂䝁䄴兙獂䡁䅫督灂䡁䅍睘㉂䑁䅅䅉ぁ䍁䄴䅥獂䡁䅍兢摂䕁䅑睑䝂䍁䅣光歁䕁䅉䅊㕁䑁䅧䅁䙁兂䅁杇䅁䕁䅫兕啂䑁䅉兎ㅁ䑁䅍睍㍁䑁䅧兏ㅁ䅁䅁兂䅑䅁䄴䅁䕂䕁䅫睕瑁䙁䅕睕䅁䱁䝧䅁䕂䅁䅁睊扂䙁䅣兑䑂䕁䅍䅉呂䕁䄴䅔畁䡁䅧䅢穂䝁䄰兘塂䕁䅅睑䑂䍁䅣光歁䕁䅷䅊穁䑁䅕杏歁䕁䅷䅊ぁ䑁䅣䅁䭃䅁䅁杚䅁䍁䅣睗呂䙁䅁睒時䕁䅑睑䝂䕁䅅杢桂䝁䅷入穂䝁䅫督時䡁䅙免杁䑁䅅䅉潁䑁䅅克畁䡁䅧䅢穂䝁䄰兘䕂䕁䅍杒湁䍁䅅䅊䑂䕁䄸䅊ㅁ䑁䅅杏歁䕁䅍睔歁䑁䅕睎䅁䱁䑳䅁捁䅁䅁睕兂䙁䅍免㑁䑁䅧睎睁䑁䅍䅍㕁䑁䅑睎䅁佁䙁䅁啂䅁䅁睊扂䙁䅍䅕䡂䙁䄸䅒䑂䕁䅙兑畂䝁䅅䅢㕂䡁䅍兡穂䙁䄸杤硁䍁䅁䅋穁䍁䅫杌㑂䝁䅷督瑂䙁䄰䅒䑂䕁䅙睊桁䍁䅑村歁䑁䅉䅍㍁䅁䅁兢䅍䉁䅙䅁䉂䝁䅑睢楂䝁䅕䅉䩂䝁䄴睙畁䅁䅁儯䅣䅁䅷䅁䩂䙁䅅睘䉂䕁䅕䅁䵃杂䅁䅈䅁䙁䅍䅕呂䑁䅅䅏ぁ䑁䅣兏㕁䑁䅕睍㕁䑁䅙䅁灁杂䅁杄䅁䕁䅉兑䑂䍁䄰兖呂䅁䅁儱䅁䝁䅙䅁湁䙁䅳睕兂䕁䅣睘䕂䕁䅍杒䉂䝁䄴兙獂䡁䅫督灂䡁䅍睘㉂䑁䅅䅉硁䍁䅁䅋硁䍁䅫杌㑂䝁䅷督瑂䙁䄰䅒䑂䕁䅙睊桁䍁䅑兗歁䑁䅅䅎㑁䑁䅯䅊婂䍁䅑免ㅁ䑁䅍䅁敄睁䅁杕䅁䍁䅣睗呂䙁䅁睒時䕁䅑睑䝂䕁䅅杢桂䝁䅷入穂䝁䅫督時䡁䅙免杁䍁䅧睍灁䍁䄴䅥獂䡁䅍兢摂䕁䅑睑䝂䍁䅣光歁䕁䅉䅊㕁䑁䅧䅁敂睁䅁䅖䅁䙁䅳兔䩂䙁䄸䅒䑂䕁䅙兑畂䝁䅅䅢㕂䡁䅍兡穂䙁䄸杤硁䍁䄴䅥獂䡁䅍兢摂䕁䅑睑䝂䍁䅅䅊䙂䍁䅑杍睁䑁䅣杏歁䕁䅕䅊祁䑁䅉睎䅁䉁䍕䅁啂䅁䅁睊扂䙁䅍䅕䡂䙁䄸䅒䑂䕁䅙兑畂䝁䅅䅢㕂䡁䅍兡穂䙁䄸杤硁䍁䅁䅋穁䍁䅫杌㑂䝁䅷督瑂䙁䄰䅒䑂䕁䅙睊桁䍁䅑睑噂䍁䅑兎硁䅁䅁杗䅍䝁䅉䅁湁䙁䅳睕兂䕁䅣睘䕂䕁䅍杒䉂䝁䄴兙獂䡁䅫督灂䡁䅍睘㉂䑁䅅䅉潁䑁䅍克畁䡁䅧䅢穂䝁䄰兘䕂䕁䅍杒湁䍁䅅䅊䑂䙁䅣䅊ㅁ䑁䅍杏歁䕁䅍杗歁䑁䅕睍䅁䙁䑳䅁啂䅁䅁睗乂䕁䅫睘䕂䕁䅍杒䉂䝁䄴兙獂䡁䅫督灂䡁䅍睘㉂䑁䅅杌㑂䝁䅷督瑂䙁䄰䅒䑂䕁䅙光歁䕁䅕䅊祁䑁䅅睍㙁䍁䅑兒歁䑁䅉睍穁䅁䅁朳䅉䉁䅁䅁䝂䙁䅅免祁䑁䅁杍ぁ䅁䅁睤䅍䕁䅧䅁湁䙁䅳睖䉂䕁䅍睑杁䙁䅍杔䵂䍁䄴䅥獂䡁䅍兢摂䙁䅣兑䑂䕁䅍睊桁䍁䅑村䕂䍁䅑睍ㅁ䑁䅯䅊䍂䕁䅑䅊ぁ䑁䅁䅁婃䅁䅁䅖䅁䍁䅣睗呂䙁䅁睒時䕁䅑睑䝂䕁䅅杢桂䝁䅷入穂䝁䅫督時䡁䅙免杁䍁䅧睍灁䍁䄴䅥獂䡁䅍兢摂䕁䅑睑䝂䍁䅣光歁䕁䅑村歁䑁䅕免䅁䙁䑷䅁歁䅁䅁睔乂䙁䅧䅉䑂䝁䄸䅣求䝁䄴䅡桂䝁䅣党畂䍁䅁杍睁䅁䅁兙䅁䉁䅯䅁硁䝁䄰䅉呂䝁䅫杢湂䝁䅅䅣療䡁䅉党䅁䵁䍕䅁啂䅁䅁睊扂䙁䅍䅕䡂䙁䄸䅒䑂䕁䅙兑畂䝁䅅䅢㕂䡁䅍兡穂䙁䄸杤硁䍁䅁䅋穁䍁䅫杌㑂䝁䅷督瑂䙁䄰䅒䑂䕁䅙睊桁䍁䅑䅒佂䍁䅑䅎㑁䅁䅁䅔䅍䝁䅉䅁湁䙁䅳睕兂䕁䅣睘䕂䕁䅍杒䉂䝁䄴兙獂䡁䅫督灂䡁䅍睘㉂䑁䅅䅉潁䑁䅍克畁䡁䅧䅢穂䝁䄰兘䕂䕁䅍杒湁䍁䅅䅊䕂䕁䄴䅊ㅁ䑁䅅杏歁䕁䅑杔歁䑁䅕睎䅁䕁䐰䅁捁䅁䅁睕兂䙁䅍免㑁䑁䅑睎㕁䑁䅫兎硁䑁䅍兏䅁偁䙁䅁楂䅁䅁睊扂䙁䅍䅕䡂䙁䄸䅒䑂䕁䅙兑畂䝁䅅䅢㕂䡁䅍兡穂䙁䄸杤硁䍁䅁䅋穁䍁䅫杌㑂䝁䅷督瑂䙁䄰䅒䑂䕁䅙睊桁䍁䅑䅒兂䍁䅑兎睁䑁䅯䅊䕂䙁䅅䅊ㅁ䑁䅁䅁偂睁䅁䅗䅁䍁䅣睗呂䙁䅁睒時䕁䅑睑䝂䕁䅅杢桂䝁䅷入穂䝁䅫督時䡁䅙免杁䑁䅅䅉潁䑁䅅克畁䡁䅧䅢穂䝁䄰兘䕂䕁䅍杒湁䍁䅅䅊䑂䕁䄸䅊ぁ䑁䅧䅁㙃睁䅁䅇䅁䕁䅙兡㉂䝁䅕兏獁䍁䅁兓畂䝁䅍杌䅁乁䡍䅁啂䅁䅁睗乂䕁䅫睘䕂䕁䅍杒䉂䝁䄴兙獂䡁䅫督灂䡁䅍睘㉂䑁䅅杌㑂䝁䅷督瑂䙁䄰䅒䑂䕁䅙光歁䕁䅑䅕歁䑁䅑䅎㙁䍁䅑䅒剂䍁䅑䅎ぁ䅁䅁杤䅉䝁䅉䅁湁䙁䅳睕兂䕁䅣睘䕂䕁䅍杒䉂䝁䄴兙獂䡁䅫督灂䡁䅍睘㉂䑁䅅䅉潁䑁䅍克畁䡁䅧䅢穂䝁䄰兘䕂䕁䅍杒湁䍁䅅䅊䝂䍁䅑杍睁䑁䅧杏歁䕁䄰䅊祁䑁䅁䅏䅁䡁䑁䅁捁䅁䅁杔䉂䙁䅍䅒䉂䙁䅅睒呂䑁䅯睑啂䙁䅍䅓䅁䩁䡉䅁楂䅁䅁睊扂䙁䅍䅕䡂䙁䄸䅒䑂䕁䅙兑畂䝁䅅䅢㕂䡁䅍兡穂䙁䄸杤硁䍁䅁䅋穁䍁䅫杌㑂䝁䅷督瑂䙁䄰䅒䑂䕁䅙睊桁䍁䅑睒歁䑁䅅䅍穁䑁䅯䅊䡂䍁䅑免穁䑁䅁䅁杂睁䅁䅓䅁䙁䅳睕兂䕁䅣睘䕂䕁䅍杒䉂䝁䄴兙獂䡁䅫督灂䡁䅍睘㉂䑁䅅杌㑂䝁䅷督瑂䙁䄰䅒䑂䕁䅙光歁䕁䅍睔歁䑁䅑䅏䅁䡁䑍䅁坂䅁䅁睗呂䙁䅁睒時䕁䅑睑䝂䕁䅅杢桂䝁䅷入穂䝁䅫督時䡁䅙免畁䡁䅧䅢穂䝁䄰兘䕂䕁䅍杒桁䍁䅑䅗歁䑁䅅䅎㑁䑁䅯䅊奂䍁䅑免ㅁ䑁䅍䅁䝂睁䅁䅅䅁䑁䅑兏㉁䑁䅍兎ㅁ䑁䅉䅁䭄睂䅁䅓䅁䍁䅣睗塂䕁䅅睑䑂䍁䅁睕佂䕁䅷杌㑂䝁䅷督瑂䙁䄰睖䉂䕁䅍睑湁䍁䅅䅊䍂䕁䅕䅊穁䑁䅉杏歁䕁䅉睒歁䑁䅍杍䅁䩁䅯䅁捁䅁䅁杔䉂䙁䅍䅒䉂䙁䅅睒呂䑁䅯兑䡂䙁䅫睕䅁䱁䡷䅁奂䅁䅁睊扂䙁䅍䅕䡂䙁䄸䅒䑂䕁䅙兑畂䝁䅅䅢㕂䡁䅍兡穂䙁䄸杤硁䍁䅁免杁䍁䅧免灁䍁䄴䅥獂䡁䅍兢摂䕁䅑睑䝂䍁䅣光歁䙁䅣䅊硁䑁䅑李䅁乁䑳䅁歁䅁䅁兔呂䕁䅍兓杁䕁䅕兤祂䝁䄸䅣求䍁䅁䅋噂䙁䅍䅒灁䅁䅁䅗䅁䙁䄴䅁湁䙁䅳睕兂䕁䅣睘䕂䕁䅍杒䉂䝁䄴兙獂䡁䅫督灂䡁䅍睘㉂䑁䅅䅉潁䑁䅍克畁䡁䅧䅢穂䝁䄰兘䕂䕁䅍杒湁䍁䅅䅊䥂䍁䅑兏㕁䑁䅯䅊乂䍁䅑兏㕁䅁䅁兙䅍䙁䅉䅁湁䙁䅳睕兂䕁䅣睘䕂䕁䅍杒䉂䝁䄴兙獂䡁䅫督灂䡁䅍睘㉂䑁䅅䅉潁䑁䅍克畁䡁䅧䅢穂䝁䄰兘䕂䕁䅍杒湁䍁䅅䅊坂䍁䅑䅎㉁䅁䅁䅖䅍䍁䅁䅁䉂䡁䅑䅡求䡁䅧䅉䑂䝁䄸兢睂䝁䄸督灂䡁䅑党䅁䑁䅫䅁祁䅁䅁兑橂䝁䅍党畂䡁䅑兤祂䝁䅕䅉睂䝁䅷睙杁䍁䅧杔婂䙁䅍兒㙁䕁䅅睑佂䍁䅫䅁䕃兂䅁䅈䅁䙁䅍杊兂䍁䅁睕瑂䝁䅅䅢獂䍁䄰睑桂䡁䅁䅁ㅂ䅁䅁杕䅁䍁䅣睗呂䙁䅁睒時䕁䅑睑䝂䕁䅅杢桂䝁䅷入穂䝁䅫督時䡁䅙免杁䍁䅧睍灁䍁䄴䅥獂䡁䅍兢摂䕁䅑睑䝂䍁䅣光歁䙁䅙䅊ぁ䑁䅣䅁奂睁䅁杘䅁䍁䅣睗呂䙁䅁睒時䕁䅑睑䝂䕁䅅杢桂䝁䅷入穂䝁䅫督時䡁䅙免杁䍁䅧睍灁䍁䄴䅥獂䡁䅍兢摂䕁䅑睑䝂䍁䅣光歁䙁䅙䅊ㅁ䑁䅅杏歁䙁䅙䅊ㅁ䑁䅙䅁噂睁䅁䅖䅁䍁䅣睗呂䙁䅁睒時䕁䅑睑䝂䕁䅅杢桂䝁䅷入穂䝁䅫督時䡁䅙免杁䍁䅧睍灁䍁䄴䅥獂䡁䅍兢摂䕁䅑睑䝂䍁䅣光歁䙁䅣䅊硁䑁䅍免䅁䝁䑉䅁啂䅁䅁睊扂䙁䅍䅕䡂䙁䄸䅒䑂䕁䅙兑畂䝁䅅䅢㕂䡁䅍兡穂䙁䄸杤硁䍁䅁䅋穁䍁䅫杌㑂䝁䅷督瑂䙁䄰䅒䑂䕁䅙睊桁䍁䅑睖歁䑁䅅䅎㉁䅁䅁兡䅍䕁䅙䅁扂䕁䄰兓時䕁䅑睑䝂䕁䅅杢桂䝁䅷入穂䝁䅫督時䡁䅙免畁䡁䅧䅢穂䝁䄰兘䕂䕁䅍杒桁䍁䅑䅒䱂䍁䅑䅎ㅁ䅁䅁䅈䅉䉁䅙䅁硁䡁䅫䅉坂䝁䅫党あ䝁䄴兙瑂䅁䅁具䅉䝁䅁䅁湁䙁䅳睕兂䕁䅣睘䕂䕁䅍杒䉂䝁䄴兙獂䡁䅫督灂䡁䅍睘㉂䑁䅅䅉潁䑁䅍克畁䡁䅧䅢穂䝁䄰兘䕂䕁䅍杒湁䍁䅅䅊奂䍁䅑䅎㍁䑁䅯䅊䉂䕁䅕䅊ぁ䑁䅣䅁坂睁䅁杒䅁䙁䅳兔䩂䙁䄸䅒䑂䕁䅙兑畂䝁䅅䅢㕂䡁䅍兡穂䙁䄸杤硁䍁䄴䅥獂䡁䅍兢摂䕁䅑睑䝂䍁䅅䅊婂䍁䅑免穁䑁䅣䅁呂杁䅁杘䅁䕁䄸䅣あ䝁䅫睢畂䡁䅍杏䑂䡁䅕杣祂䑁䄰兖呂䕁䅑䅌䑂䝁䄸杢㉂䕁䄰党あ䝁䅧睢歂䑁䄰兔䩂䡁䅉党橂䝁䄸兢瑂䝁䅕杢歂䝁䅕䅚獁䕁䄴兑㥁䑁䅁䅁䍃杂䅁䅈䅁䕁䅫兕啂䑁䅅睎㕁䑁䅉睎㍁䑁䅕䅎㍁䑁䅅䅁⭂䅂䅁䅖䅁䍁䅣睗呂䙁䅁睒時䕁䅑睑䝂䕁䅅杢桂䝁䅷入穂䝁䅫督時䡁䅙免杁䍁䅧睍灁䍁䄴䅥獂䡁䅍兢摂䕁䅑睑䝂䍁䅣光歁䙁䅫䅊硁䑁䅍免䅁䝁䑍䅁奂䅁䅁睊扂䙁䅍䅕䡂䙁䄸䅒䑂䕁䅙兑畂䝁䅅䅢㕂䡁䅍兡穂䙁䄸杤硁䍁䅁免杁䍁䅧免灁䍁䄴䅥獂䡁䅍兢摂䕁䅑睑䝂䍁䅣光歁䙁䅯䅊硁䑁䅑李䅁乁䑷䅁啂䅁䅁睊扂䙁䅍䅕䡂䙁䄸䅒䑂䕁䅙兑畂䝁䅅䅢㕂䡁䅍兡穂䙁䄸杤硁䍁䅁䅋穁䍁䅫杌㑂䝁䅷督瑂䙁䄰䅒䑂䕁䅙睊桁䍁䅑兗歁䑁䅅䅎睁䅁䅁睚䅍䝁䅙䅁湁䙁䅳睕兂䕁䅣睘䕂䕁䅍杒䉂䝁䄴兙獂䡁䅫督灂䡁䅍睘㉂䑁䅅䅉硁䍁䅁䅋硁䍁䅫杌㑂䝁䅷督瑂䙁䄰䅒䑂䕁䅙睊桁䍁䅑兑乂䍁䅑兎㕁䑁䅯䅊䉂䕁䄰䅊㍁䑁䅉䅁䉄睁䅁杄䅁䕁䅑䅗䑂䍁䄰兖呂䅁䅁東䅁䙁䅧䅁湁䙁䅳睕兂䕁䅣睘䕂䕁䅍杒䉂䝁䄴兙獂䡁䅫督灂䡁䅍睘㉂䑁䅅䅉硁䍁䅁䅋硁䍁䅫杌㑂䝁䅷督瑂䙁䄰䅒䑂䕁䅙睊桁䍁䅑村歁䑁䅉䅍㍁䅁䅁眳䅍䉁䅷䅁呂䙁䅁睕硁䑁䅧䅎㍁䑁䅫兏ㅁ䑁䅅李㑁䅁䅁杂䅙䙁䅧䅁湁䙁䅳睕兂䕁䅣睘䕂䕁䅍杒䉂䝁䄴兙獂䡁䅫督灂䡁䅍睘㉂䑁䅅䅉硁䍁䅁䅋硁䍁䅫杌㑂䝁䅷督瑂䙁䄰䅒䑂䕁䅙睊桁䍁䅑村歁䑁䅉䅎㍁䅁䅁䄰䅍䙁䅑䅁扂䕁䄰兓時䕁䅑睑䝂䕁䅅杢桂䝁䅷入穂䝁䅫督時䡁䅙免畁䡁䅧䅢穂䝁䄰兘䕂䕁䅍杒桁䍁䅑䅒婂䍁䅑䅎㉁䑁䅯䅊䕂䙁䅯䅊ぁ䑁䅙䅁瑁杁䅁䅗䅁䍁䅣睗呂䙁䅁睒時䕁䅑睑䝂䕁䅅杢桂䝁䅷入穂䝁䅫督時䡁䅙免杁䑁䅅䅉潁䑁䅅克畁䡁䅧䅢穂䝁䄰兘䕂䕁䅍杒湁䍁䅅䅊䍂䙁䅙䅊ㅁ䑁䅅䅁䥄睁䅁䅊䅁䕁䅑兡㉂䝁䅫䅚求䝁䄴䅚杁䙁䅉兙あ䝁䅕䅉潁䍁䅕克䅁䑁䅁䅁奂䅁䅁睊扂䙁䅍䅕䡂䙁䄸䅒䑂䕁䅙兑畂䝁䅅䅢㕂䡁䅍兡穂䙁䄸杤硁䍁䅁免杁䍁䅧免灁䍁䄴䅥獂䡁䅍兢摂䕁䅑睑䝂䍁䅣光歁䕁䅍睑歁䑁䅕免䅁䵁䑯䅁浂䅁䅁睊扂䙁䅍䅕䡂䙁䄸䅒䑂䕁䅙兑畂䝁䅅䅢㕂䡁䅍兡穂䙁䄸杤硁䍁䅁免杁䍁䅧免灁䍁䄴䅥獂䡁䅍兢摂䕁䅑睑䝂䍁䅣光歁䕁䅍兕歁䑁䅑兏㙁䍁䅑睑卂䍁䅑䅎㕁䅁䅁䅶䅍䡁䅉䅁偂䡁䅁䅤灂䝁䄸杢穂䑁䅯睑ㅂ䡁䅉杣㥁䕁䅣村兂䍁䅷䅉乂䝁䅅睚㥁䕁䄰兡獂䝁䅷兡療䝁䄴督獁䍁䅁睑療䝁䄴杤乂䝁䅕䅤潂䝁䄸䅚㥁䕁䄰兓祂䝁䅕睙療䝁䄰兢求䝁䄴䅚求䝁䅑䅁㑄杁䅁䅕䅁䍁䅣睗呂䙁䅁睒時䕁䅑睑䝂䕁䅅杢桂䝁䅷入穂䝁䅫督時䡁䅙免杁䑁䅑杌㑂䝁䅷督瑂䙁䄰䅒䑂䕁䅙睊桁䍁䅑村歁䑁䅉䅎㑁䅁䅁元䅕䉁䅷䅁呂䙁䅁睕硁䑁䅣兏祁䑁䅙䅍㉁䑁䅧䅍㍁䅁䅁睭䅕䉁䅷䅁呂䙁䅁睕硁䑁䅧䅎㍁䑁䅫兏ㅁ䑁䅅李祁䅁䅁朱䅕䙁䅉䅁扂䕁䄰兓時䕁䅑睑䝂䕁䅅杢桂䝁䅷入穂䝁䅫督時䡁䅙免畁䡁䅧䅢穂䝁䄰兘䕂䕁䅍杒桁䍁䅑睒歁䑁䅫䅏㙁䍁䅑睒歁䑁䅅杍㑁䅁䅁朶䅅䉁䅷䅁䩂䙁䅅䅖硁䑁䅧睍㍁䑁䅑兎祁䑁䅁免硁䅁䅁入䅑䑁䅯䅁湁䙁䅳睖䉂䕁䅍睑杁䙁䅍杔䵂䍁䄴䅥獂䡁䅍兢摂䙁䅣兑䑂䕁䅍睊桁䍁䅑兑奂䍁䅑睍祁䅁䅁杪䅁䙁䅑䅁扂䕁䄰兓時䕁䅑睑䝂䕁䅅杢桂䝁䅷入穂䝁䅫督時䡁䅙免畁䡁䅧䅢穂䝁䄰兘䕂䕁䅍杒桁䍁䅑䅒䕂䍁䅑䅎㑁䑁䅯䅊䕂䕁䅙䅊ぁ䑁䅧䅁䝃杁䅁杚䅁䍁䅣睗呂䙁䅁睒時䕁䅑睑䝂䕁䅅杢桂䝁䅷入穂䝁䅫督時䡁䅙免杁䑁䅅䅉潁䑁䅅克畁䡁䅧䅢穂䝁䄰兘䕂䕁䅍杒湁䍁䅅䅊䑂䙁䅅䅊ㅁ䑁䅁杏歁䕁䅍杕歁䑁䅕䅍䅁䱁䐰䅁煁䅁䅁䅕祂䝁䅙䅚偂䝁䅙杚求䡁䅉兡畂䝁䅣睘䍂䡁䅫睘䑂䝁䄸兢睂䅁䅁八䅁䉁䅯䅁呂䙁䅁睕穁䑁䅅兏㑁䑁䅑免穁䑁䅙睎䅁䵁䜴䅁楂䅁䅁睊扂䙁䅍䅕䡂䙁䄸䅒䑂䕁䅙兑畂䝁䅅䅢㕂䡁䅍兡穂䙁䄸杤硁䍁䅁免杁䍁䅧免灁䍁䄴䅥獂䡁䅍兢摂䕁䅑睑䝂䍁䅣光歁䕁䅧䅊㕁䑁䅫杏歁䕁䄰䅊㕁䑁䅫䅁偄睁䅁䅈䅁䕁䅫兕啂䑁䅅李㍁䑁䅅睎穁䑁䅑杍睁䑁䅁䅁扄䅂䅁杖䅁䍁䅣睗呂䙁䅁睒時䕁䅑睑䝂䕁䅅杢桂䝁䅷入穂䝁䅫督時䡁䅙免杁䑁䅅䅉潁䑁䅅克畁䡁䅧䅢穂䝁䄰兘䕂䕁䅍杒湁䍁䅅䅊坂䍁䅑䅎㉁䅁䅁杷䅍䉁䅷䅁呂䙁䅁睕硁䑁䅫䅏硁䑁䅑䅎睁䑁䅣䅎ㅁ䅁䅁睨䅣䉁䅁䅁䝂䙁䅅杍祁䑁䅁免㕁䅁䅁䅍䅉䕁䅷䅁扂䙁䅍䅕䡂䙁䄸睖䉂䕁䅍睑䉂䝁䄴兙獂䡁䅫督灂䡁䅍睘㉂䑁䅅杌㑂䝁䅷督瑂䙁䄰睖䉂䕁䅍睑桁䍁䅑兑卂䍁䅑兎祁䅁䅁睁䅧䉁䅷䅁䩂䙁䅅䅖硁䑁䅙睎硁䑁䅣睍ぁ䑁䅉䅍硁䅁䅁朰䅑䙁䅙䅁湁䙁䅳睕兂䕁䅣睘䕂䕁䅍杒䉂䝁䄴兙獂䡁䅫督灂䡁䅍睘㉂䑁䅅䅉硁䍁䅁䅋硁䍁䅫杌㑂䝁䅷督瑂䙁䄰䅒䑂䕁䅙睊桁䍁䅑杖歁䑁䅑睎䅁䵁䑙䅁䥂䅁䅁睊扂䙁䅣兑䑂䕁䅍䅉呂䕁䄴䅔畁䡁䅧䅢穂䝁䄰兘塂䕁䅅睑䑂䍁䅣光歁䕁䅅睖歁䑁䅍兎㙁䍁䅑兑塂䍁䅑䅎ぁ䅁䅁杬䅁䉁䅷䅁呂䙁䅁睕硁䑁䅫䅏硁䑁䅑䅎睁䑁䅣䅎ぁ䅁䅁睧䅣䉁䅁䅁㍁䑁䅁䅍瑁䕁䅧睓䡂䅁䅁杺䅅䉁䅯䅁呂䙁䅁睕硁䑁䅍兏ぁ䑁䅫杍㕁䑁䅁睍䅁䱁䜴䅁奂䅁䅁睊扂䙁䅍䅕䡂䙁䄸䅒䑂䕁䅙兑畂䝁䅅䅢㕂䡁䅍兡穂䙁䄸杤硁䍁䅁免杁䍁䅧免灁䍁䄴䅥獂䡁䅍兢摂䕁䅑睑䝂䍁䅣光歁䙁䅣䅊硁䑁䅍免䅁乁䑑䅁奂䅁䅁睊扂䙁䅍䅕䡂䙁䄸䅒䑂䕁䅙兑畂䝁䅅䅢㕂䡁䅍兡穂䙁䄸杤硁䍁䅁免杁䍁䅧免灁䍁䄴䅥獂䡁䅍兢摂䕁䅑睑䝂䍁䅣光歁䙁䅣䅊硁䑁䅑䅍䅁乁䑧䅁佁䅁䅁杔慂䙁䅧䅉ㅁ䑁䅁䅁杂䅁䅁杚䅁䍁䅣睗呂䙁䅁睒時䕁䅑睑䝂䕁䅅杢桂䝁䅷入穂䝁䅫督時䡁䅙免杁䑁䅅䅉潁䑁䅅克畁䡁䅧䅢穂䝁䄰兘䕂䕁䅍杒湁䍁䅅䅊奂䍁䅑免ぁ䑁䅧杏歁䙁䅧䅊硁䑁䅕睍䅁乁䐰䅁ぃ䅁䅁睔睂䡁䅑兡療䝁䄴督㙁䕁䅍兤祂䡁䅉児噂䙁䅍䅒獁䕁䄰兙湂䑁䄰李獁䕁䅍睢畂䡁䅙兔求䡁䅑䅡療䝁䅑児乂䕁䅫杣求䝁䅍睢瑂䝁䄰党畂䝁䅑党歂䍁䅷䅕桂䝁䅑児偂䝁䅙杚獁䕁䅙兡獂䝁䅷児䕂䝁䅅兡獂䡁䅫䅌䕂䝁䅅䅤求䡁䅍児䍂䝁䅕杚療䡁䅉党獁䙁䅍睢祂䡁䅑児䕂䝁䅕督橂䅁䅁朳䅁䝁䅑䅁湁䙁䅳睕兂䕁䅣睘䕂䕁䅍杒䉂䝁䄴兙獂䡁䅫督灂䡁䅍睘㉂䑁䅅䅉硁䍁䅁䅋硁䍁䅫杌㑂䝁䅷督瑂䙁䄰䅒䑂䕁䅙睊桁䍁䅑䅗歁䑁䅑睎㙁䍁䅑兑䙂䍁䅑䅎㍁䅁䅁䅸䅍䝁䅙䅁扂䕁䄰兓時䕁䅣䅔偂䕁䅉兑䵂䙁䄸睖䉂䕁䅍睑䉂䝁䄴兙獂䡁䅫督灂䡁䅍睘㉂䑁䅉杌㑂䝁䅷督瑂䙁䄰睖䉂䕁䅍睑桁䍁䅑兑䝂䍁䅑䅎ㅁ䑁䅯䅊䉂䕁䅙䅊ㅁ䑁䅙䅁獄䅁䅁杄䅁䕁䅫村乂䍁䄰兖呂䅁䅁䄵䅁䙁䄴䅁湁䙁䅳睕兂䕁䅣睘䕂䕁䅍杒䉂䝁䄴兙獂䡁䅫督灂䡁䅍睘㉂䑁䅅䅉ぁ䍁䄴䅥獂䡁䅍兢摂䕁䅑睑䝂䍁䅣光歁䙁䅧䅊硁䑁䅕杍㙁䍁䅑䅗歁䑁䅅兎穁䅁䅁睆䅕䉁䅷䅁䩂䙁䅅䅖硁䑁䅣兏祁䑁䅙䅍㉁䑁䅧兎硁䅁䅁睊䅑䙁䄴䅁湁䙁䅳睕兂䕁䅣睘䕂䕁䅍杒䉂䝁䄴兙獂䡁䅫督灂䡁䅍睘㉂䑁䅅䅉ぁ䍁䄴䅥獂䡁䅍兢摂䕁䅑睑䝂䍁䅣光歁䙁䅧䅊硁䑁䅍䅎㙁䍁䅑䅗歁䑁䅅睍ㅁ䅁䅁睄䅕䅁䄴䅁䑂䕁䅅睑杁䑁䅑䅍䅁䕁䅁䅁奂䅁䅁睊扂䙁䅍䅕䡂䙁䄸䅒䑂䕁䅙兑畂䝁䅅䅢㕂䡁䅍兡穂䙁䄸杤硁䍁䅁免杁䍁䅧免灁䍁䄴䅥獂䡁䅍兢摂䕁䅑睑䝂䍁䅣光歁䙁䅫䅊硁䑁䅍杍䅁乁䑣䅁兂䅁䅁睊扂䙁䅍䅕䡂䙁䄸䅒䑂䕁䅙兑畂䝁䅅䅢㕂䡁䅍兡穂䙁䄸杤硁䍁䅁䅎畁䡁䅧䅢穂䝁䄰兘䕂䕁䅍杒湁䍁䅅䅊䑂䕁䅍䅊ㅁ䑁䅅䅁䑁兂䅁杇䅁䙁䅍䅕呂䑁䅉䅍㍁䑁䅅䅎硁䑁䅣兏ㅁ䅁䅁眰䅕䉁䅷䅁䩂䙁䅅䅖硁䑁䅙睎硁䑁䅣睍ぁ䑁䅉䅍祁䅁䅁東䅑䙁䅉䅁湁䙁䅳睕兂䕁䅣睘䕂䕁䅍杒䉂䝁䄴兙獂䡁䅫督灂䡁䅍睘㉂䑁䅅䅉ぁ䍁䄴䅥獂䡁䅍兢摂䕁䅑睑䝂䍁䅣光歁䕁䅅兑歁䑁䅅䅎㉁䅁䅁杆䅕䉁䅷䅁呂䙁䅁睕硁䑁䅧䅎㍁䑁䅫兏ㅁ䑁䅅杍㕁䅁䅁眷䅕䙁䄴䅁湁䙁䅳睕兂䕁䅣睘䕂䕁䅍杒䉂䝁䄴兙獂䡁䅫督灂䡁䅍睘㉂䑁䅅䅉ぁ䍁䄴䅥獂䡁䅍兢摂䕁䅑睑䝂䍁䅣光歁䕁䅅兔歁䑁䅕兏㙁䍁䅑兑乂䍁䅑睎祁䅁䅁眫䅑䙁䄴䅁扂䕁䄰兓時䙁䅣睖時䙁䅣兑䑂䕁䅍兑畂䝁䅅䅢㕂䡁䅍兡穂䙁䄸杤硁䍁䄴䅥獂䡁䅍兢摂䙁䅣兑䑂䕁䅍光歁䕁䅅杒歁䑁䅑兎㙁䍁䅑兑䝂䍁䅑兎㉁䅁䅁眹䅁䉁䅷䅁䩂䙁䅅䅖硁䑁䅙睎硁䑁䅣睍ぁ䑁䅉䅍㉁䅁䅁儴䅑䉁䅷䅁呂䙁䅁睕硁䑁䅫䅏硁䑁䅑䅎睁䑁䅣䅎穁䅁䅁䅧䅣䕁䅙䅁扂䕁䄰兓時䕁䅑睑䝂䕁䅅杢桂䝁䅷入穂䝁䅫督時䡁䅙免畁䡁䅧䅢穂䝁䄰兘䕂䕁䅍杒桁䍁䅑䅒佂䍁䅑䅎ㅁ䅁䅁䅏䅉䙁䅁䅁湁䙁䅳睕兂䕁䅣睘䕂䕁䅍杒䉂䝁䄴兙獂䡁䅫督灂䡁䅍睘㉂䑁䅅䅉ぁ䍁䄴䅥獂䡁䅍兢摂䕁䅑睑䝂䍁䅣光歁䕁䅉䅊祁䑁䅁睎䅁䉁䙫䅁兂䅁䅁睊扂䙁䅍䅕䡂䙁䄸䅒䑂䕁䅙兑畂䝁䅅䅢㕂䡁䅍兡穂䙁䄸杤硁䍁䅁䅎畁䡁䅧䅢穂䝁䄰兘䕂䕁䅍杒湁䍁䅅䅊䍂䙁䅙䅊ㅁ䑁䅅䅁䉁兂䅁杘䅁䍁䅣睗呂䙁䅁睒時䕁䅑睑䝂䕁䅅杢桂䝁䅷入穂䝁䅫督時䡁䅙免杁䑁䅑杌㑂䝁䅷督瑂䙁䄰䅒䑂䕁䅙睊桁䍁䅑村奂䍁䅑兎穁䑁䅯䅊䑂䕁䅅䅊ㅁ䑁䅍䅁䍁兂䅁䅇䅁䙁䅍䅕呂䑁䅅䅎硁䑁䅅杍㑁䑁䅍䅏䅁䍁䡷䅁敂䅁䅁睊扂䙁䅍䅕䡂䙁䄸䅒䑂䕁䅙兑畂䝁䅅䅢㕂䡁䅍兡穂䙁䄸杤硁䍁䅁䅎畁䡁䅧䅢穂䝁䄰兘䕂䕁䅍杒湁䍁䅅䅊䑂䕁䅕䅊ㅁ䑁䅍杏歁䕁䅍睒歁䑁䅕睍䅁䅁䙑䅁敂䅁䅁睊扂䙁䅍䅕䡂䙁䄸䅒䑂䕁䅙兑畂䝁䅅䅢㕂䡁䅍兡穂䙁䄸杤硁䍁䅁䅎畁䡁䅧䅢穂䝁䄰兘䕂䕁䅍杒湁䍁䅅䅊䙂䍁䅑杍硁䑁䅍杏歁䕁䅕䅊祁䑁䅍䅎䅁䉁䙳䅁敂䅁䅁睊扂䙁䅍䅕䡂䙁䄸䅒䑂䕁䅙兑畂䝁䅅䅢㕂䡁䅍兡穂䙁䄸杤硁䍁䅁䅎畁䡁䅧䅢穂䝁䄰兘䕂䕁䅍杒湁䍁䅅䅊䝂䍁䅑杍睁䑁䅣杏歁䕁䄰䅊祁䑁䅁睎䅁䉁䙯䅁允䅁䅁兑䉂䙁䅁䅔瑁䙁䅕睕䅁䍁䉫䅁允䅁䅁睑䍂䕁䅅兌䉂䙁䅍䅗䅁䵁䍉䅁敂䅁䅁睊扂䙁䅍䅕䡂䙁䄸䅒䑂䕁䅙兑畂䝁䅅䅢㕂䡁䅍兡穂䙁䄸杤硁䍁䅁䅎畁䡁䅧䅢穂䝁䄰兘䕂䕁䅍杒湁䍁䅅䅊䝂䍁䅑杍睁䑁䅧杏歁䕁䄰䅊祁䑁䅁䅏䅁䉁䙷䅁䥂䅁䅁睑灂䡁䅍睙療䍁䅁睕㕂䡁䅍䅤求䝁䄰督獁䍁䅁兓畂䝁䅍杌杁䍁䅧杔䉂䙁䅍䅒䉂䙁䅅睒呂䑁䅯睑呂䕁䅍睔灁䅁䅁䅫䅕䙁䄴䅁湁䙁䅳睕兂䕁䅣睘䕂䕁䅍杒䉂䝁䄴兙獂䡁䅫督灂䡁䅍睘㉂䑁䅅䅉ぁ䍁䄴䅥獂䡁䅍兢摂䕁䅑睑䝂䍁䅣光歁䕁䅣䅊祁䑁䅑兏㙁䍁䅑兔歁䑁䅉䅎㕁䅁䅁䅄䅕䙁䅁䅁湁䙁䅳睕兂䕁䅣睘䕂䕁䅍杒䉂䝁䄴兙獂䡁䅫督灂䡁䅍睘㉂䑁䅅䅉ぁ䍁䄴䅥獂䡁䅍兢摂䕁䅑睑䝂䍁䅣光歁䙁䅫䅊硁䑁䅍免䅁䅁䘴䅁啂䅁䅁睗乂䕁䅫睘䕂䕁䅍杒䉂䝁䄴兙獂䡁䅫督灂䡁䅍睘㉂䑁䅅杌㑂䝁䅷督瑂䙁䄰䅒䑂䕁䅙光歁䕁䅍兗歁䑁䅑睎㙁䍁䅑䅒䍂䍁䅑䅎㍁䅁䅁睃䅉䉁䅷䅁䩂䙁䅅䅖硁䑁䅧䅎㍁䑁䅫兏ㅁ䑁䅑免祁䅁䅁睱䅑䙁䅁䅁湁䙁䅳睕兂䕁䅣睘䕂䕁䅍杒䉂䝁䄴兙獂䡁䅫督灂䡁䅍睘㉂䑁䅅䅉ぁ䍁䄴䅥獂䡁䅍兢摂䕁䅑睑䝂䍁䅣光歁䙁䅫䅊硁䑁䅍杍䅁䉁䙁䅁捁䅁䅁兓剂䙁䅑免㑁䑁䅑睎㕁䑁䅫兎ぁ䑁䅅免䅁䭁䕑䅁㙁䅁䅁睊扂䙁䅣兑䑂䕁䅍䅉呂䕁䄴䅔畁䡁䅧䅢穂䝁䄰兘塂䕁䅅睑䑂䍁䅣光歁䕁䅅杖歁䑁䅍䅍䅁䥁䅷䅁允䅁䅁䅎ぁ䑁䅍睍ㅁ䑁䅑睎䅁䱁䡕䅁㙁䅁䅁睊扂䙁䅣兑䑂䕁䅍䅉呂䕁䄴䅔畁䡁䅧䅢穂䝁䄰兘塂䕁䅅睑䑂䍁䅣光歁䕁䅅睖歁䑁䅍䅍䅁䩁䅕䅁㙁䅁䅁睊扂䙁䅣兑䑂䕁䅍䅉呂䕁䄴䅔畁䡁䅧䅢穂䝁䄰兘塂䕁䅅睑䑂䍁䅣光歁䕁䅉䅒歁䑁䅍䅍䅁䩁䅧䅁捁䅁䅁杔䉂䙁䅍䅒䉂䙁䅅睒呂䑁䅯䅕䑂䙁䅑兗䅁䭁䡕䅁㑁䅁䅁睊扂䙁䅣兑䑂䕁䅍䅉呂䕁䄴䅔畁䡁䅧䅢穂䝁䄰兘塂䕁䅅睑䑂䍁䅣光歁䕁䅳䅊穁䑁䅉䅁䥃䅁䅁䅖䅁䙁䅳兔䩂䙁䄸䅒䑂䕁䅙兑畂䝁䅅䅢㕂䡁䅍兡穂䙁䄸杤硁䍁䄴䅥獂䡁䅍兢摂䕁䅑睑䝂䍁䅅䅊䕂䕁䄴䅊ぁ䑁䅣杏歁䕁䅑杔歁䑁䅕杍䅁䡁䍕䅁㑁䅁䅁睊扂䙁䅣兑䑂䕁䅍䅉呂䕁䄴䅔畁䡁䅧䅢穂䝁䄰兘塂䕁䅅睑䑂䍁䅣光歁䕁䄸䅊穁䑁䅉䅁䩃䅁䅁䅈䅁䕁䅫兕啂䑁䅅䅏穁䑁䅣䅎ㅁ䑁䅉䅍硁䑁䅍䅁䕄䅂䅁䅏䅁䍁䅣睗塂䕁䅅睑䑂䍁䅁睕佂䕁䅷杌㑂䝁䅷督㑂䙁䄰睖䉂䕁䅍睑湁䍁䅅䅊偂䍁䅑睍穁䅁䅁兎䅁䉁䅯䅁呂䙁䅁睕㉁䑁䅍兎ㅁ䑁䅍兏㕁䑁䅉䅎䅁䍁䠰䅁䝂䅁䅁䅒求䝁䅷䅢杁䙁䅑党橂䝁䅧杢療䝁䅷睢湂䝁䅫党穂䍁䅁兓畂䝁䅍杌杁䍁䅧杔婂䙁䅍兒㙁䕁䅑兒䵂䕁䅷克䅁䩁䙉䅁慁䅁䅁睕兂䙁䅍李穁䑁䅕兎ぁ䑁䅁李ㅁ䑁䅉䅁奁睂䅁䅏䅁䕁䅙兡㉂䝁䅕兏獁䍁䅁兓畂䝁䅍杌杁䍁䅧杔䉂䙁䅍䅒䉂䙁䅅睒乂䑁䅯杒䩂䙁䅙杔灁䅁䅁关䅣䅁䅧䅁瑁䑁䅅兗䅁偁䕕䅁捁䅁䅁睕兂䙁䅍免㑁䑁䅑睎㕁䑁䅫兎硁䑁䅣䅎䅁䵁䙯䅁坁䅁䅁䅍㕁䍁䄸杍睁䍁䄸杍睁䑁䅅兏䅁䝁䈴䅁慁䅁䅁兓呂䕁䅕兕杁䕁䄸杤求䡁䅉兙獂䝁䅷䅁兂䅁䅁䅗䅁䙁䅳兔䩂䙁䄸睖䉂䕁䅍睑䉂䝁䄴兙獂䡁䅫督灂䡁䅍睘㉂䑁䅅杌㑂䝁䅷督瑂䙁䄰睖䉂䕁䅍睑桁䍁䅑睑慂䍁䅑睍㕁䑁䅯䅊䕂䕁䅉䅊穁䑁䅫䅁十允䅁䅈䅁䕁䅫兕時䕁䅍兑呂䕁䅧睘䙂䙁䅅兖䩂䙁䅙䅁⽂杂䅁䅈䅁䑁䅅䅍㕂䍁䅁兖呂䍁䅁䅖瑁䕁䄴睢あ䝁䅕䅁䱁䅁䅁䅋䅁䕁䅫兕時䕁䅍䅓䉂䕁䄴睒䙂䙁䄸兓佂䙁䅙兒佂䙁䅑睔卂䙁䅫䅁㙂杂䅁杂䅁䑁䅅兎䅁䅁䅙䅁捁䅁䅁兓剂䙁䅑免㑁䑁䅧睎睁䑁䅍䅍㕁䑁䅧免䅁䥁䕑䅁敁䅁䅁免瑂䍁䅁䅕潂䝁䅫䅢灂䡁䅁䅣灂䝁䄴党穂䅁䅁睸䅉䍁䅧䅁䍂䕁䅫䅔䵂䍁䅁䅓療䝁䅷䅚灂䝁䄴睚穂䍁䅷䅉䩂䝁䄴睙畁䅁䅁睮䅣䅁䅷䅁䡂䕁䅕兌噂䙁䅍䅁䩄䅁䅁杊䅁䑁䅅兢杁䙁䅕睕杁䙁䅑兌䍂䝁䅫䅢獂䍁䅁䅋䍂䕁䅕兗灁䅁䅁其䅉䉁䅷䅁硁䡁䅫䅉䩂䡁䅉兡穂䝁䅧䅉佂䝁䄸䅤求䅁䅁眰䅉䉁䅷䅁䩂䙁䅅䅖硁䑁䅧䅎㍁䑁䅫兏ㅁ䑁䅉兎㑁䅁䅁眸䅍䉁䅧䅁䩂䙁䅅䅖㍁䑁䅫免ぁ䑁䅅睍㉁䑁䅣䅁兂䅂䅁杇䅁䑁䅅入杁䙁䅕睕杁䙁䅑兌䍂䝁䅫䅢獂䅁䅁杶䅉䉁䅯䅁呂䙁䅁睕ㅁ䑁䅫䅎ㅁ䑁䅁睍穁䑁䅣李䅁䅁䠸䅁䵁䅁䅁杍睁䑁䅅杍婂䅁䅁兊䅁䅁䅷䅁祁䑁䅁免穁䙁䅫䅁潁䅁䅁䅄䅁䑁䅉䅍硁䑁䅑兗䅁䍁䅣䅁䥂䅁䅁睗呂䙁䅁睒時䕁䅑睑䝂䕁䅅杢桂䝁䅷入穂䝁䅫督時䡁䅙免畁䡁䅧䅢穂䝁䄰兘䕂䕁䅍杒桁䍁䅑睖歁䑁䅅䅎㉁䅁䅁䅒䅍䑁䅯䅁䩂䙁䅅睘卂䙁䅕兑時䕁䄸䅕䙂䙁䅉兑啂䕁䅫杔䡂䙁䄸䅔䙂䕁䅅睕䙂䙁䄸睒卂䕁䄸睕呂䅁䅁䅧䅍䍁䅙䅁呂䝁䅷睢㉂䝁䅅睡杁䙁䅍䅡桂䡁䅉党杁䕁䅫杢歂䝁䅕䅥䅁䡁䅳䅁捁䅁䅁兓剂䙁䅑免㑁䑁䅙䅎睁䑁䅑李ぁ䑁䅙䅍䅁䵁䔸䅁䵁䅁䅁杍睁䑁䅅兎婂䅁䅁杊䅁䅁䅷䅁祁䑁䅁免㉁䙁䅫䅁奁䅁䅁䅇䅁䕁䅫兕時䕁䅉兒啂䕁䅅睘ㅁ䙁䅫杕䅁䡁䐰䅁䝂䅁䅁睗乂䕁䅫睘䕂䕁䅍杒䉂䝁䄴兙獂䡁䅫督灂䡁䅍睘㉂䑁䅅杌㑂䝁䅷督瑂䙁䄰䅒䑂䕁䅙光歁䕁䅑睑歁䑁䅑兎䅁佁䉙䅁捁䅁䅁睕兂䙁䅍免㉁䑁䅣免㍁䑁䅍䅎睁䑁䅫杍䅁䙁䜸䅁䭁䅁䅁杍睁䑁䅅兏䅁䝁䜸䅁䭁䅁䅁杍睁䑁䅉睍䅁䡁䝅䅁慁䅁䅁睕兂䙁䅍兎㕁䑁䅑兎睁䑁䅍䅎硁䑁䅧䅁桁睂䅁䅈䅁䑁䅉䅍㕂䍁䅁兖呂䍁䅁䅖瑁䕁䅉睢畂䝁䅑䅁䅄杁䅁䅈䅁䙁䅍䅕呂䑁䅅䅏㑁䑁䅣䅍穁䑁䅁兏ㅁ䑁䅉䅁歄兂䅁杇䅁䑁䅉入杁䙁䅕睕杁䙁䅑兌佂䝁䄸䅤求䅁䅁兺䅉䉁䅷䅁䑂䙁䅍兓杁䑁䅍䅍睁䍁䅁兓畂䝁䅑党㑂䅁䅁村䅁䉁䅉䅁穁䝁䄰䅉䩂䝁䄴䅚灂䝁䅅䅁偄杁䅁杒䅁䙁䅳兔䩂䙁䄸䅒䑂䕁䅙兑畂䝁䅅䅢㕂䡁䅍兡穂䙁䄸杤硁䍁䄴䅥獂䡁䅍兢摂䕁䅑睑䝂䍁䅅䅊塂䍁䅑免穁䑁䅑䅁十杁䅁杈䅁䑁䅍兢杁䙁䅁䅡灂䝁䅷兡睂䡁䅁兡畂䝁䅕督䅁乁䍉䅁十䅁䅁李㍁䑁䅁杍瑁䙁䅑睓呂䅁䅁眵䅁䍁䅁䅁偂䕁䄰䅗杁䕁䅧党獂䡁䅍兡畂䝁䅳兡杁䑁䅉兎䅁䝁䅉䅁捁䅁䅁睕兂䙁䅍免㑁䑁䅍睎ぁ䑁䅕免㕁䑁䅣兏䅁䙁䝷䅁捁䅁䅁杕呂䕁䅙䅉硁䑁䅁䅍杁䍁䅧杕噂䕁䅉克䅁䝁䅷䅁坂䅁䅁睗乂䕁䅫睘䕂䕁䅍杒䉂䝁䄴兙獂䡁䅫督灂䡁䅍睘㉂䑁䅅兙畁䡁䅧䅢穂䝁䄰兘䕂䕁䅍杒桁䍁䅑睖歁䑁䅅睍㑁䑁䅯䅊塂䍁䅑免穁䑁䅫䅁㉄允䅁杅䅁䑁䅙兢杁䕁䅫杢歂䝁䅫兙䅁乁䍁䅁流䅁䅁睔祂䝁䅅睙獂䝁䅕䅉䑂䝁䄸杣睂䝁䄸杣桂䡁䅑兡療䝁䄴䅁晄䅂䅁䅅䅁䕁䅉兓䵂䕁䅷兌噂䙁䅍䅁敃睂䅁䅈䅁䕁䅫兕啂䑁䅅睎㕁䑁䅉李睁䑁䅙䅏㉁䑁䅣䅁煄睁䅁权䅁䑁䅷材硁䑁䅕䅁䥁䅁䅁䅈䅁䕁䅫兕啂䑁䅅䅏ぁ䑁䅣兏㕁䑁䅕杍ㅁ䑁䅁䅁㍁䅂䅁杇䅁䙁䅍䅕呂䑁䅑免ㅁ䑁䅣睍ぁ䑁䅁䅍ぁ䅁䅁克䅣䅁䅯䅁䉂䕁䅅䅕䵂䅁䅁䅁䅕䉁䅁䅁䉂䕁䅑村䙂䍁䄰兖呂䅁䅁杣䅉䉁䅁䅁䉂䕁䄰杗佂䍁䄰兖呂䅁䅁杭䅅䍁䅷䅁䉂䡁䅕督あ䡁䅉兡桂䝁䄴䅉啂䡁䅉兙歂䝁䅕䅚杁䕁䅫杢歂䝁䅕䅥䅁䑁䅯䅁佁䅁䅁兑呂䙁䅧免睁䑁䅁䅁㑁䅁䅁䅈䅁䕁䅅睙橂䝁䅕杢あ䡁䅕杣求䍁䅁䅣獂䝁䅍䅁㑃䅂䅁李䅁䕁䅅䅚療䝁䅉党杁䕁䅫杢橂䍁䄴䅉潁䕁䄴兑呂䕁䅑兑剂䕁䅣睕㙁䕁䅅䅒䍂䕁䅕克䅁䩁䙍䅁⭁䅁䅁兑睂䡁䅁杒療䝁䅷兡療䍁䅷䅉䩂䝁䄴睙畁䍁䅁䅋佂䕁䅅睕䕂䕁䅅兕䡂䕁䄰杏䉂䙁䅁䅕䝂䍁䅫䅁⽃睂䅁䅄䅁䕁䅉兒䵂䑁䅉䅍䅁䑁䅳䅁祂䅁䅁睔睂䡁䅑兡療䝁䄴督㙁䕁䅍兤祂䡁䅉児䭂䙁䅁兗獁䍁䅁兔桂䝁䅣児乂䝁䅫䅢獂䝁䅫睢畂䡁䅍䅌杁䕁䅍睢畂䡁䅙兔求䡁䅑䅡療䝁䅑児乂䕁䅫杣求䝁䅍睢瑂䝁䄰党畂䝁䅑党歂䅁䅁杈䅉䑁䅑䅁䍂䙁䅍兒杁䕁䅫杢歂䝁䅫兙杁䙁䅍党畂䡁䅍党㑂䍁䅁睍睁䍁䅁兓畂䝁䅑党㑂䅁䅁児䅁䑁䅷䅁䍂䡁䅕䅚桂䡁䅁党穂䡁䅑䅉呂䡁䅑睢橂䝁䅳䅉䙂䡁䅧睙潂䝁䅅杢湂䝁䅕䅉䩂䝁䄴䅚求䡁䅧䅁⽁䅁䅁䅪䅁䕁䄸䅣あ䝁䅫睢畂䡁䅍杏䑂䡁䅕杣祂䑁䄰杕求䡁䅁睢祂䡁䅑党歂䍁䅁睙ㅂ䡁䅉杣求䝁䄴睙㕂䍁䅷兔桂䝁䅣児啂䝁䅧睢ㅂ䡁䅍兙畂䝁䅑督獁䕁䅍睢畂䡁䅙兔求䡁䅑䅡療䝁䅑児乂䕁䅫杣求䝁䅍睢瑂䝁䄰党畂䝁䅑党歂䅁䅁朲䅅䅁䄴䅁䑂䕁䅅杔瑁䙁䅕睕䅁䉁䍯䅁佁䅁䅁睑䉂䙁䅑兌噂䙁䅍䅁獂杁䅁杄䅁䕁䅍杕乂䍁䄰兖呂䅁䅁睱䅁䑁䅉䅁偂䡁䅁䅤灂䝁䄸杢穂䑁䅯杔䉂䑁䄰䅍獁䕁䄰兙湂䑁䄰兑橂䡁䅑兤桂䝁䅷督䅁䥁䝁䅁捁䅁䅁兓剂䙁䅑免㉁䑁䅣免㍁䑁䅍䅎祁䑁䅁䅏䅁䩁䕣䅁允䅁䅁兔呂䕁䅙䅖瑁䙁䅕睕䅁䭁䄰䅁奂䅁䅁睗乂䕁䅫睘䡂䕁䅷睔䍂䕁䅅䅔時䙁䅣兑䑂䕁䅍兑畂䝁䅅䅢㕂䡁䅍兡穂䙁䄸杤硁䍁䄴䅥獂䡁䅍兢摂䙁䅣兑䑂䕁䅍光歁䕁䅍䅗歁䑁䅍睎䅁䵁䄴䅁捁䅁䅁兓剂䙁䅑免㑁䑁䅍睎ぁ䑁䅕杍睁䑁䅅杍䅁䙁䔸䅁佁䅁䅁睑卂䕁䄸村䙂䙁䅧䅁䉂䅁䅁䅤䅁䕁䄸䅣あ䝁䅫睢畂䡁䅍杏䑂䡁䅕杣祂䑁䄰兖呂䕁䅑䅌杁䕁䄰兙湂䑁䄰䅖潂䝁䄸兤穂䝁䅅杢歂䡁䅍䅌杁䕁䅍睢畂䡁䅙兔求䡁䅑䅡療䝁䅑児乂䕁䅫杣求䝁䅍睢瑂䝁䄰党畂䝁䅑党歂䅁䅁允䅍䍁䅙䅁䩂䙁䅅睘䙂䕁䅙杒䙂䕁䅍䅖時䙁䅑兑奂䙁䄸杕䉂䙁䅑兒䅁䉁䕳䅁允䅁䅁睑呂䕁䅍睔瑁䙁䅕睕䅁䩁䙅䅁允䅁䅁睑啂䙁䅍䅓瑁䙁䅕睕䅁䭁䅫䅁佁䅁䅁睕兂䕁䅣兌噂䙁䅍䅁䅁允䅁杍䅁䕁䅍兙睂䝁䅫䅤桂䝁䅷䅉䙂䡁䅧䅣求䝁䄴䅚灂䡁䅑兤祂䝁䅕䅉潁䍁䅑兔灁䅁䅁睧䅍䉁䅷䅁呂䙁䅁睕硁䑁䅧䅏㍁䑁䅁睍睁䑁䅫䅎睁䅁䅁䅺䅕䑁䅙䅁乂䝁䅅杣牂䝁䅕䅤杁䕁䅍兙睂䝁䅫䅤桂䝁䅷兡㙂䝁䅅䅤灂䝁䄸杢杁䍁䅧䅊乂䍁䅫䅁摃䅁䅁䅍䅁䕁䅍兙睂䝁䅫䅤桂䝁䅷睔浂䝁䅙党祂䝁䅫杢湂䙁䄸村㕂䙁䄸睑療䝁䄰䅣䅁䥁䄰䅁奁䅁䅁睕兂䙁䅍免ぁ䑁䅁兎睁䑁䅣睎睁䅁䅁睐䅣䝁䅙䅁扂䕁䄰兓時䕁䅣䅔偂䕁䅉兑䵂䙁䄸睖䉂䕁䅍睑䉂䝁䄴兙獂䡁䅫督灂䡁䅍睘㉂䑁䅉杌㑂䝁䅷督瑂䙁䄰睖䉂䕁䅍睑桁䍁䅑睑慂䍁䅑睍㕁䑁䅯䅊䕂䕁䅉䅊穁䑁䅫䅁い䅁䅁䅅䅁䕁䅍睢ㅂ䝁䄴䅤祂䡁䅫䅁䙁䅁䅁杉䅁䕁䅍兤祂䡁䅉党畂䡁䅑睌卂䝁䅕督あ䝁䅅䅤求䝁䅑䅁婁䅁䅁䅕䅁䙁䅳兔䩂䙁䄸䅒䑂䕁䅙兑畂䝁䅅䅢㕂䡁䅍兡穂䙁䄸杤硁䍁䄴䅥獂䡁䅍兢摂䕁䅑睑䝂䍁䅅䅊坂䍁䅑䅎㑁䑁䅯䅊坂䍁䅑兎穁䅁䅁兑䅉䍁䅯䅁䑂䡁䅫䅣祂䡁䅕督杁䕁䅣党畂䝁䅕杣桂䝁䅷䅉䩂䝁䄴䅚求䡁䅧䅁䑂䅁䅁䅈䅁䙁䅍䅕呂䑁䅅䅏ぁ䑁䅣兏㕁䑁䅕免穁䑁䅧䅁䙁杂䅁䅃䅁䕁䅑兑奂䅁䅁䅒䅁䙁䅉䅁扂䕁䄰兓時䕁䅑睑䝂䕁䅅杢桂䝁䅷入穂䝁䅫督時䡁䅙免畁䡁䅧䅢穂䝁䄰兘䕂䕁䅍杒桁䍁䅑䅗歁䑁䅑䅎㙁䍁䅑兑䙂䍁䅑䅎ぁ䅁䅁村䅉䍁䅁䅁䕂䕁䅯䅉䉂䡁䅍兡桂䍁䄸䅕桂䝁䅍兡浂䝁䅫睙䅁䕁䅕䅁佁䅁䅁兒乂䙁䅉兌噂䙁䅍䅁灂杁䅁䅅䅁䕁䅕䅕䉂䕁䄰兌噂䙁䅍䅁畃䅁䅁杆䅁䕁䅕兖卂䕁䄸䅉呂䙁䅑睔奂䙁䅧䅁䡂䅁䅁杌䅁䕁䅕杚浂䝁䅕睙あ䝁䅫杤求䍁䅁䅖桂䡁䅧䅉卂䝁䅅䅤求䍁䅁䅋汁䍁䅫䅁歁䅁䅁杆䅁䕁䅕杢あ䝁䅫䅤㕂䍁䅁兓䕂䍁䅁䅁ぁ允䅁权䅁䕁䅙兌噂䙁䅍䅁㑂杁䅁䅄䅁䕁䅙村瑁䙁䅕睕䅁䩁䈰䅁捁䅁䅁兓剂䙁䅑免㑁䑁䅧睎睁䑁䅍䅍㕁䑁䅣䅏䅁䝁䕕䅁䝂䅁䅁䅓求䡁䅣䅢求䡁䅑䅤杁䙁䅁兙橂䝁䅳兙祂䝁䅑䅉䙂䝁䄴䅤求䡁䅉䅣祂䝁䅫督求䍁䅁睑療䝁䄰䅣桂䝁䄴入䅁偁䑯䅁䥁䅁䅁杒剂䑁䅁䅁䝃兂䅁䅅䅁䕁䅙兕硁䑁䅉䅍硁䑁䅫䅁穁杁䅁杄䅁䕁䅧䅕䙂䍁䄰兖呂䅁䅁䅲䅁䉁䅁䅁䝂䙁䅅免祁䑁䅁杍睁䅁䅁李䅉䉁䅯䅁呂䙁䅁睕ㅁ䑁䅫䅎㉁䑁䅉䅍祁䑁䅫免䅁䑁䡫䅁允䅁䅁杒剂䑁䅑杍睁䑁䅅兏䅁䑁䍕䅁敁䅁䅁杒啂䙁䅍兒杁䑁䅅䅍睁䍁䅁䅋䡂䕁䅉䅕灁䅁䅁䅓䅁䉁䅁䅁䩂䕁䄴䅖噂䍁䄰兖呂䅁䅁杢䅉䙁䅁䅁扂䕁䄰兓時䕁䅑睑䝂䕁䅅杢桂䝁䅷入穂䝁䅫督時䡁䅙免畁䡁䅧䅢穂䝁䄰兘䕂䕁䅍杒桁䍁䅑䅓歁䑁䅫睍㙁䍁䅑兔歁䑁䅫睍䅁佁䉳䅁祁䅁䅁杒啂䙁䅍兒杁䕁䅉兤祂䡁䅍兙杁䕁䄰兙獂䝁䅅入穂䝁䅫兙杁䕁䅳䅔䑂䕁䅫䅁䩂䅁䅁权䅁䕁䅙兗瑁䑁䅅䅁䥃兂䅁权䅁䕁䅙兗瑁䑁䅉䅁䭃兂䅁权䅁䕁䅙兗瑁䑁䅑䅁乃兂䅁䅖䅁䙁䅳兔䩂䙁䄸䅒䑂䕁䅙兑畂䝁䅅䅢㕂䡁䅍兡穂䙁䄸杤硁䍁䄴䅥獂䡁䅍兢摂䕁䅑睑䝂䍁䅅䅊奂䍁䅑免穁䑁䅣杏歁䙁䅧䅊硁䑁䅍䅏䅁䥁䌸䅁䝂䅁䅁杒灂䝁䄴兙畂䝁䅍兡桂䝁䅷督杁䙁䅉党睂䝁䄸杣あ䝁䅕䅚杁䕁䅍兤祂䡁䅉党畂䝁䅍入杁䕁䅍睢歂䝁䅕䅉䅁䩁䄴䅁䥁䅁䅁杒婂䑁䅁䅁䙃兂䅁䅈䅁䕁䅫兕啂䑁䅅䅏ぁ䑁䅣兏㕁䑁䅕䅎睁䑁䅁䅁祂䅂䅁杅䅁䕁䅣睔偂䕁䅣䅔瑁䙁䅕睕䅁䩁䉳䅁佁䅁䅁䅓兂䙁䅅兌噂䙁䅍䅁湂杁䅁䅌䅁䕁䄰兡橂䡁䅉睢穂䝁䄸杚あ䍁䅁睑療䡁䅉䅣療䡁䅉兙あ䝁䅫睢畂䅁䅁䄯䅣䉁䅉䅁䥂䙁䅍村䉂䍁䄰䅔偂䕁䄴䅁䱄䅁䅁杒䅁䙁䅳兔䩂䙁䄸䅒䑂䕁䅙兑畂䝁䅅䅢㕂䡁䅍兡穂䙁䄸杤硁䍁䄴䅥獂䡁䅍兢摂䕁䅑睑䝂䍁䅅䅊䑂䙁䅕䅊ㅁ䑁䅅䅁睄杁䅁䅒䅁䕁䅧兙畂䝁䅣䅉呂䝁䅕杢湂䍁䅁睑潂䝁䅫杢桂䍁䅁兒畂䡁䅑党祂䡁䅁杣灂䡁䅍党穂䍁䅁兓畂䝁䅑党㑂䅁䅁睓䅁䍁䅁䅁䥂䝁䅅杢湂䍁䅁睕求䝁䄴睚杁䕁䅫杢歂䝁䅕䅥䅁䕁䄰䅁兂䅁䅁睗乂䕁䅫睘塂䙁䅣睘塂䕁䅅睑䑂䕁䅅杢桂䝁䅷入穂䝁䅫督時䡁䅙免畁䡁䅧䅢穂䝁䄰兘塂䕁䅅睑䑂䍁䅅䅊䉂䕁䅫䅊穁䑁䅫䅁㉄䅁䅁杇䅁䕁䅫兕啂䑁䅅睍睁䑁䅑䅍祁䑁䅧睍ぁ䅁䅁兗䅑䉁䅷䅁䩂䙁䅅䅖硁䑁䅙睎硁䑁䅣睍ぁ䑁䅅兎穁䅁䅁䅩䅑䉁䅷䅁䩂䙁䅅䅖硁䑁䅙睎硁䑁䅣睍ぁ䑁䅅兏ㅁ䅁䅁克䅑䉁䅷䅁䩂䙁䅅䅖硁䑁䅙睎硁䑁䅣睍ぁ䑁䅅兏㉁䅁䅁儲䅑䡁䅷䅁偂䡁䅁䅤灂䝁䄸杢穂䑁䅯睑ㅂ䡁䅉杣㥁䙁䅕睕䕂䍁䅷䅉乂䝁䅅睚㥁䕁䄰兡獂䝁䅷兡療䝁䄴督獁䍁䅁睑療䝁䄴杤乂䝁䅕䅤潂䝁䄸䅚㥁䕁䄰兓祂䝁䅕睙療䝁䄰兢求䝁䄴䅚求䝁䅑䅌佂䕁䅅児睁䅁䅁杴䅍䝁䄴䅁偂䡁䅁䅤灂䝁䄸杢穂䑁䅯睑ㅂ䡁䅉杣㥁䕁䅣村兂䍁䅷兔桂䝁䅣児乂䝁䅫䅢獂䝁䅫睢畂䡁䅍䅌䑂䝁䄸杢㉂䕁䄰党あ䝁䅧睢歂䑁䄰兔䩂䡁䅉党橂䝁䄸兢瑂䝁䅕杢歂䝁䅕䅚䅁偁䍷䅁捁䅁䅁兓剂䙁䅑免㉁䑁䅣免㍁䑁䅍䅎硁䑁䅫睎䅁乁䔰䅁十䅁䅁睔乂䑁䅯兒兂䕁䅫䅉䉂䅁䅁条䅣䉁䅷䅁䩂䙁䅅䅖硁䑁䅙睎硁䑁䅣睍ぁ䑁䅅兏㑁䅁䅁睋䅑䉁䅷䅁䩂䙁䅅䅖硁䑁䅙睎硁䑁䅣睍ぁ䑁䅅兏㕁䅁䅁睔䅑䉁䅷䅁䩂䙁䅅䅖硁䑁䅙睎硁䑁䅣睍ぁ䑁䅉䅍穁䅁䅁䅳䅑䉁䅷䅁呂䙁䅁睕硁䑁䅫䅏硁䑁䅑䅎睁䑁䅣䅎㉁䅁䅁䅩䅣䕁䅑䅁䱂䝁䄸杣求䝁䅅䅉䑂䝁䄸兢睂䝁䄸督灂䡁䅑党杁䙁䅍䅤療䝁䅍睡杁䙁䅁杣灂䝁䅍党杁䕁䅫杢歂䝁䅕䅥䅁䙁䅉䅁䅄䅁䅁睔睂䡁䅑兡療䝁䄴督㙁䕁䅍兤祂䡁䅉児噂䙁䅍䅒獁䕁䄰兙湂䑁䄰兔灂䝁䅷䅢灂䝁䄸杢穂䍁䅷睑療䝁䄴杤乂䝁䅕䅤潂䝁䄸䅚㥁䕁䄰兓祂䝁䅕睙療䝁䄰兢求䝁䄴䅚求䝁䅑䅌兂䝁䅅䅚㥁䕁䄸杔獁䕁䅙兡獂䝁䅷児䕂䝁䅅兡獂䡁䅫䅌䕂䝁䅅䅤求䡁䅍児䍂䝁䅕杚療䡁䅉党獁䙁䅍睢祂䡁䅑児䕂䝁䅕督橂䅁䅁儴䅁䉁䅷䅁䩂䙁䅅䅖硁䑁䅙睎硁䑁䅣睍ぁ䑁䅉䅍ㅁ䅁䅁䅹䅑䉁䅷䅁䩂䙁䅅䅖硁䑁䅙睎硁䑁䅣睍ぁ䑁䅉䅍㍁䅁䅁䅥䅑䉁䅷䅁呂䙁䅁睕硁䑁䅫䅏硁䑁䅑䅎睁䑁䅣䅎祁䅁䅁䅨䅣䉁䅷䅁乂䝁䅅杣牂䝁䅕䅤穂䍁䄴杕桂䝁䄴睚求䅁䅁权䅁䉁䅷䅁䩂䙁䅅䅖硁䑁䅙睎硁䑁䅣睍ぁ䑁䅉免睁䅁䅁䄳䅑䉁䅷䅁䩂䙁䅅䅖硁䑁䅙睎硁䑁䅣睍ぁ䑁䅉免硁䅁䅁眰䅑䍁䅑䅁卂䝁䅫杢湂䕁䅍党畂䡁䅑杣桂䝁䅷䅌杁䕁䅫杢橂䍁䄴䅁坄睂䅁䅈䅁䕁䅫兕啂䑁䅅睎㕁䑁䅉李睁䑁䅙䅏硁䑁䅣䅁汄睁䅁䅈䅁䕁䅫兕啂䑁䅅睎㕁䑁䅉李睁䑁䅙䅏硁䑁䅧䅁㝄睁䅁䅈䅁䕁䅫兕啂䑁䅅睎㕁䑁䅉李睁䑁䅙䅏硁䑁䅫䅁楁䅂䅁䅈䅁䕁䅫兕啂䑁䅅睎㕁䑁䅉李睁䑁䅙䅏祁䑁䅁䅁乃䅂䅁䅅䅁䑁䅑睍硁䑁䅧李ㅁ䑁䅅䅁奃睂䅁䅈䅁䙁䅍䅕呂䑁䅅䅏ぁ䑁䅣兏㕁䑁䅕免㑁䑁䅉䅁奄兂䅁䅈䅁䕁䅫兕啂䑁䅅睎㕁䑁䅉李睁䑁䅙䅏ぁ䑁䅫䅁橁䅂䅁䅈䅁䕁䅫兕啂䑁䅅睎㕁䑁䅉李睁䑁䅙䅏ㅁ䑁䅁䅁佃䅂䅁䅒䅁䙁䅳兔䩂䙁䄸䅒䑂䕁䅙兑畂䝁䅅䅢㕂䡁䅍兡穂䙁䄸杤硁䍁䄴䅥獂䡁䅍兢摂䕁䅑睑䝂䍁䅅䅊坂䍁䅑䅎ぁ䅁䅁䅒䅉䉁䅷䅁䩂䙁䅅䅖硁䑁䅣兏祁䑁䅙䅍㉁䑁䅧兎穁䅁䅁杕䅑䉁䅷䅁呂䙁䅁睘剂䙁䅕兓䑂䕁䅳睘䑂䕁䄸兔兂䅁䅁睉䅕䕁䅑䅁扂䕁䄰兓時䕁䅑睑䝂䕁䅅杢桂䝁䅷入穂䝁䅫督時䡁䅙免畁䡁䅧䅢穂䝁䄰兘䕂䕁䅍杒桁䍁䅑杖歁䑁䅑睎䅁佁䍉䅁慁䅁䅁兓剂䙁䅑杍ぁ䑁䅧杍ぁ䑁䅕䅍ㅁ䑁䅅䅁兄䅂䅁䅈䅁䕁䅫兕啂䑁䅅睎㕁䑁䅉李睁䑁䅙䅏ㅁ䑁䅫䅁歁䅂䅁杆䅁䕁䄴兡牂䝁䅳党灂䍁䅁杍祁䑁䅕䅁敂䅁䅁䅈䅁䕁䅫兕啂䑁䅅睎㕁䑁䅉李睁䑁䅙䅏㉁䑁䅅䅁潁䅂䅁䅇䅁䕁䅫兕啂䑁䅙睎穁䑁䅁免㉁䑁䅑䅍䅁䱁䔴䅁睁䅁䅁杖灂䝁䅕䅤畂䝁䅅兢杁䕁䅧兙畂䝁䄸兡杁䕁䅧杔奂䍁䅁兡畂䝁䅑党㑂䅁䅁全䅁䉁䅷䅁䩂䙁䅅䅖硁䑁䅣兏祁䑁䅙䅍㉁䑁䅧李祁䅁䅁杳䅑䉁䅷䅁䩂䙁䅅䅖硁䑁䅣兏祁䑁䅙䅍㉁䑁䅧李㉁䅁䅁杈䅑䉁䅧䅁䩂䙁䅅䅖ぁ䑁䅉杍穁䑁䅁䅏祁䑁䅙䅁㙃䅂䅁䅈䅁䕁䅫兕啂䑁䅅睎㕁䑁䅉李睁䑁䅙䅏㉁䑁䅧䅁⭄睁䅁䅈䅁䕁䅫兕啂䑁䅅睎㕁䑁䅉睎㍁䑁䅕䅎ㅁ䑁䅣䅁⽂䅂䅁䅈䅁䕁䅫兕啂䑁䅅睎㕁䑁䅉睎㍁䑁䅕䅎ㅁ䑁䅧䅁牄睁䅁䅕䅁䙁䅳兔䩂䙁䄸䅒䑂䕁䅙兑畂䝁䅅䅢㕂䡁䅍兡穂䙁䄸杤硁䍁䄴䅥獂䡁䅍兢摂䕁䅑睑䝂䍁䅅䅊䥂䍁䅑兏㑁䑁䅯䅊乂䍁䅑兏㑁䅁䅁儱䅉䉁䅯䅁呂䙁䅁睕ぁ䑁䅉睍㑁䑁䅕免ぁ䑁䅙李䅁䱁䜸䅁捁䅁䅁兓剂䙁䅑免㍁䑁䅫杍㍁䑁䅣兎ぁ䑁䅕兏䅁䩁䔰䅁慁䅁䅁兓剂䙁䅑杍ぁ䑁䅑睎祁䑁䅣免穁䑁䅧䅁ㅃ䅂䅁杒䅁䙁䅳兔䩂䙁䄸䅒䑂䕁䅙兑畂䝁䅅䅢㕂䡁䅍兡穂䙁䄸杤硁䍁䄴䅥獂䡁䅍兢摂䕁䅑睑䝂䍁䅅䅊婂䍁䅑免祁䑁䅙䅁剁杁䅁䅇䅁䕁䅫兕啂䑁䅍免㍁䑁䅧䅎硁䑁䅉䅍䅁䍁䕯䅁捁䅁䅁兓剂䙁䅑免㍁䑁䅫杍㍁䑁䅣兎ぁ䑁䅙䅍䅁䅁䕳䅁慁䅁䅁兓剂䙁䅑杍ぁ䑁䅙兏㕁䑁䅕兎祁䑁䅅䅁⭁䅂䅁杒䅁䙁䅳兔䩂䙁䄸䅒䑂䕁䅙兑畂䝁䅅䅢㕂䡁䅍兡穂䙁䄸杤硁䍁䄴䅥獂䡁䅍兢摂䕁䅑睑䝂䍁䅅䅊婂䍁䅑免祁䑁䅣䅁䵃杁䅁䅈䅁䕁䅫兕啂䑁䅅睎㕁䑁䅉睎㍁䑁䅕䅎㉁䑁䅅䅁㥂䅂䅁䅈䅁䕁䅫兕啂䑁䅅睎㕁䑁䅉睎㍁䑁䅕䅎㉁䑁䅉䅁啄䅂䅁杉䅁䕁䄰睕䑂䕁䅫䅉塂䝁䄸杣獂䝁䅑䅉潁䙁䅕睕䕂䍁䅫䅁慂䅁䅁杒䅁䙁䅳兔䩂䙁䄸䅒䑂䕁䅙兑畂䝁䅅䅢㕂䡁䅍兡穂䙁䄸杤硁䍁䄴䅥獂䡁䅍兢摂䕁䅑睑䝂䍁䅅䅊婂䍁䅑免祁䑁䅕䅁偁杁䅁䅔䅁䙁䅳睕兂䕁䅣睘塂䕁䅅睑䑂䕁䅅杢桂䝁䅷入穂䝁䅫督時䡁䅙免畁䡁䅧䅢穂䝁䄰兘塂䕁䅅睑䑂䍁䅅䅊䉂䙁䅉䅊ぁ䑁䅧䅁扂睂䅁䅈䅁䕁䅫兕啂䑁䅅睎㕁䑁䅉睎㍁䑁䅕䅎㉁䑁䅍䅁⽁䅂䅁䅈䅁䕁䅫兕啂䑁䅅睎㕁䑁䅉睎㍁䑁䅕䅎㉁䑁䅑䅁坄䅂䅁䅈䅁䕁䅫兕啂䑁䅅睎㕁䑁䅉睎㍁䑁䅕䅎㉁䑁䅕䅁䉃䅂䅁杇䅁䕁䅫兕啂䑁䅣䅍睁䑁䅫䅍㉁䑁䅫兎睁䅁䅁睚䅑䉁䅷䅁䩂䙁䅅䅖硁䑁䅣兏祁䑁䅣睎ㅁ䑁䅑李㉁䅁䅁杚䅑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睌䅅䉁䅷䅁䩂䙁䅅䅖硁䑁䅣兏祁䑁䅣睎ㅁ䑁䅑睎睁䅁䅁䅄䅑䉁䅯䅁䩂䙁䅅䅖祁䑁䅙䅎硁䑁䅁李㉁䑁䅧䅏䅁䵁䕉䅁䝂䅁䅁睗乂䕁䅫睘䕂䕁䅍杒䉂䝁䄴兙獂䡁䅫督灂䡁䅍睘㉂䑁䅅杌㑂䝁䅷督瑂䙁䄰䅒䑂䕁䅙光歁䙁䅫䅊硁䑁䅍䅎䅁䉁䍍䅁奂䅁䅁睗乂䕁䅫睘䡂䕁䅷睔䍂䕁䅅䅔時䙁䅣兑䑂䕁䅍兑畂䝁䅅䅢㕂䡁䅍兡穂䙁䄸杤祁䍁䄴䅥獂䡁䅍兢摂䙁䅣兑䑂䕁䅍光歁䕁䅅兒歁䑁䅑䅍䅁佁䅯䅁卂䅁䅁睗呂䙁䅁睒時䕁䅑睑䝂䕁䅅杢桂䝁䅷入穂䝁䅫督時䡁䅙免畁䡁䅧䅢穂䝁䄰兘䕂䕁䅍杒桁䍁䅑䅓歁䑁䅫䅏㙁䍁䅑兔歁䑁䅫䅏䅁䑁䑯䅁捁䅁䅁兓剂䙁䅑免㍁䑁䅫杍㍁䑁䅣兎ぁ䑁䅣杍䅁乁䕕䅁䝂䅁䅁睗乂䕁䅫睘䕂䕁䅍杒䉂䝁䄴兙獂䡁䅫督灂䡁䅍睘㉂䑁䅅杌㑂䝁䅷督瑂䙁䄰䅒䑂䕁䅙光歁䙁䅫䅊硁䑁䅍兎䅁䥁䌴䅁捁䅁䅁兓剂䙁䅑免㍁䑁䅫杍㍁䑁䅣兎ぁ䑁䅣睍䅁䕁䕁䅁捁䅁䅁兓剂䙁䅑免㍁䑁䅫李ぁ䑁䅁睎㑁䑁䅅䅏䅁䥁䕷䅁捁䅁䅁兓剂䙁䅑免㍁䑁䅫李ぁ䑁䅁兏硁䑁䅉杍䅁䥁䕉䅁捁䅁䅁兓剂䙁䅑免㑁䑁䅍睎ぁ䑁䅕杍睁䑁䅅睎䅁䙁䕯䅁捁䅁䅁兓剂䙁䅑免㑁䑁䅍睎ぁ䑁䅕杍睁䑁䅅兏䅁䭁䔴䅁捁䅁䅁兓剂䙁䅑免㑁䑁䅍睎ぁ䑁䅕杍睁䑁䅉免䅁䡁䕯䅁捁䅁䅁睕兂䙁䅍免㕁䑁䅅睎睁䑁䅁䅏㕁䑁䅫睎䅁䑁䠰䅁兄䅁䅁睔睂䡁䅑兡療䝁䄴督㙁䕁䅍兤祂䡁䅉児卂䝁䅕䅣療䡁䅉䅤求䝁䅑䅉橂䡁䅕杣祂䝁䅕杢橂䡁䅫䅌乂䝁䅅睚㥁䙁䅍杔䵂䡁䅍䅤桂䝁䄴䅚桂䡁䅉䅚獁䕁䅍睢畂䡁䅙兔求䡁䅑䅡療䝁䅑児呂䕁䄴䅔祂䝁䅕睙療䝁䄰兢求䝁䄴䅚求䝁䅑䅌兂䝁䅅䅚㥁䕁䄸杚浂䍁䅷䅒桂䡁䅑党穂䑁䄰村求䝁䅙睢祂䝁䅕䅌呂䝁䄸杣あ䑁䄰䅒求䡁䅍睙䅁䉁䅙䅁捁䅁䅁兓剂䙁䅑免㑁䑁䅑睎㕁䑁䅫兎硁䑁䅧睎䅁䱁䕍䅁䝂䅁䅁睗乂䕁䅫睘䕂䕁䅍杒䉂䝁䄴兙獂䡁䅫督灂䡁䅍睘㉂䑁䅅杌㑂䝁䅷督瑂䙁䄰䅒䑂䕁䅙光歁䙁䅣䅊硁䑁䅉兎䅁䅁䌴䅁捁䅁䅁兓剂䙁䅑免㑁䑁䅑睎㕁䑁䅫兎硁䑁䅧兏䅁乁䕅䅁慁䅁䅁杕ㅂ䡁䅍督求䝁䅷䅢杁䑁䅅䅍睁䑁䅁䅁畂䅁䅁䅈䅁䕁䅫兕啂䑁䅅䅏ぁ䑁䅣兏㕁䑁䅕免㕁䑁䅁䅁奃䅂䅁䅈䅁䕁䅫兕啂䑁䅅䅏ぁ䑁䅣兏㕁䑁䅕免㕁䑁䅅䅁㙁䅂䅁䅙䅁䙁䅳兔䩂䙁䄸兓佂䙁䅍睘䡂䕁䅷睔䍂䕁䅅䅔時䙁䅣兑䑂䕁䅍杌䉂䝁䄴兙獂䡁䅫督灂䡁䅍睘㉂䑁䅅杌㑂䝁䅷督瑂䙁䄰睖䉂䕁䅍睑桁䍁䅑䅕歁䑁䅍杍䅁䭁䅍䅁捁䅁䅁兓剂䙁䅑免㑁䑁䅑睎㕁䑁䅫兎祁䑁䅁睎䅁䩁䕫䅁捁䅁䅁兓剂䙁䅑免㑁䑁䅑睎㕁䑁䅫兎祁䑁䅅䅍䅁䑁䕙䅁捁䅁䅁兓剂䙁䅑免㑁䑁䅑睎㕁䑁䅫兎祁䑁䅅杍䅁䵁䕫䅁慁䅁䅁睕兂䙁䅍兎㕁䑁䅑兎睁䑁䅍睍㑁䑁䅧䅁婄杂䅁䅈䅁䕁䅫兕啂䑁䅅䅏ぁ䑁䅣兏㕁䑁䅕杍硁䑁䅕䅁䩃䅂䅁䅈䅁䕁䅫兕啂䑁䅅䅏ぁ䑁䅣兏㕁䑁䅕杍硁䑁䅙䅁㝂䅂䅁杖䅁䙁䅳睕兂䕁䅣睘䕂䕁䅍杒䉂䝁䄴兙獂䡁䅫督灂䡁䅍睘㉂䑁䅅杌㑂䝁䅷督瑂䙁䄰䅒䑂䕁䅙光歁䕁䅑杔歁䑁䅕免㙁䍁䅑䅒佂䍁䅑兎㍁䅁䅁䅋䅍䉁䅉䅁佂䙁䅫睕䙂䑁䅯兑䑂䕁䄴䅁噁䅂䅁䅈䅁䕁䅫兕啂䑁䅅䅏ぁ䑁䅣兏㕁䑁䅕杍硁䑁䅣䅁慃䅂䅁䅈䅁䕁䅫兕啂䑁䅅䅏ぁ䑁䅣兏㕁䑁䅕杍硁䑁䅧䅁硄睁䅁䅓䅁䙁䅳睕兂䕁䅣睘䕂䕁䅍杒䉂䝁䄴兙獂䡁䅫督灂䡁䅍睘㉂䑁䅅杌㑂䝁䅷督瑂䙁䄰䅒䑂䕁䅙光歁䕁䅑村歁䑁䅕免䅁䑁䑣䅁慁䅁䅁睕兂䙁䅍兎㕁䑁䅑兎睁䑁䅍睍㑁䑁䅕䅁坄杂䅁䅈䅁䕁䅫兕啂䑁䅅䅏ぁ䑁䅣兏㕁䑁䅕杍ぁ䑁䅍䅁穁䅂䅁䅈䅁䙁䅍䅕呂䑁䅅睎㕁䑁䅉睎㍁䑁䅕䅎穁䑁䅅䅁畁杂䅁䅈䅁䕁䅫兕啂䑁䅅䅏㉁䑁䅑䅍ぁ䑁䅕䅎㍁䑁䅍䅁䅁䅂䅁杺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䍁䅷䅕桂䝁䅑児偂䝁䅙杚獁䕁䅑兙あ䝁䅕督㥁䕁䅉党浂䝁䄸杣求䍁䅷睕療䡁䅉䅤㥁䕁䅅督橂䅁䅁杄䅁䙁䅙䅁扂䙁䅍䅕䡂䙁䄸䅒䑂䕁䅙兑畂䝁䅅䅢㕂䡁䅍兡穂䙁䄸杤硁䍁䄴䅥獂䡁䅍兢摂䕁䅑睑䝂䍁䅅䅊婂䍁䅑免ㅁ䑁䅉杏歁䙁䅫䅊硁䑁䅕睍䅁佁䕑䅁捁䅁䅁兓剂䙁䅑免㑁䑁䅑睎㕁䑁䅫兎祁䑁䅑䅎䅁䍁䔰䅁捁䅁䅁睕兂䙁䅍免㍁䑁䅫杍㍁䑁䅣兎ぁ䑁䅍李䅁乁䘴䅁捁䅁䅁兓剂䙁䅑免㑁䑁䅙䅎睁䑁䅑兎ぁ䑁䅣䅎䅁䉁䕑䅁捁䅁䅁兓剂䙁䅑免㑁䑁䅑睎㕁䑁䅫兎祁䑁䅑兎䅁䥁䕯䅁捁䅁䅁睕兂䙁䅍免㍁䑁䅫杍㍁䑁䅣兎ぁ䑁䅍睎䅁䉁䝫䅁捁䅁䅁兓剂䙁䅑免㑁䑁䅑睎㕁䑁䅫兎祁䑁䅑睎䅁䩁䕳䅁捁䅁䅁睕兂䙁䅍免㍁䑁䅫杍㍁䑁䅣兎ぁ䑁䅍兎䅁䭁䙕䅁捁䅁䅁兓剂䙁䅑免㑁䑁䅑睎㕁䑁䅫兎祁䑁䅕杍䅁䵁䕳䅁慁䅁䅁兓剂䙁䅑杍ぁ䑁䅙睎ぁ䑁䅍兎㕁䑁䅣䅁佂䅂䅁䅈䅁䕁䅫兕啂䑁䅅䅏ぁ䑁䅣兏㕁䑁䅕杍ㅁ䑁䅍䅁ぁ䅂䅁䅈䅁䕁䅫兕啂䑁䅅䅏ぁ䑁䅣兏㕁䑁䅕杍ㅁ䑁䅑䅁畁䅂䅁䅈䅁䙁䅍䅕呂䑁䅅睎㕁䑁䅉睎㍁䑁䅕䅎祁䑁䅙䅁摄兂䅁李䅁䕁䄰兙獂䡁䅑兙杁䙁䅍䅤療䝁䅍睡杁䕁䅕䅥橂䝁䅧兙畂䝁䅣党杁䕁䅫杢歂䝁䅕䅥䅁䙁䅕䅁捁䅁䅁兓剂䙁䄸䅖䙂䙁䅙睘䙂䕁䅉兓啂䕁䅑兑䅁佁䑍䅁捁䅁䅁兓剂䙁䅑免㑁䑁䅑睎㕁䑁䅫兎祁䑁䅕兎䅁䥁䕳䅁捁䅁䅁睕兂䙁䅍免㍁䑁䅫杍㍁䑁䅣兎ぁ䑁䅉睎䅁䉁䝧䅁奁䅁䅁睕兂䙁䅍李ぁ䑁䅙免祁䑁䅙免硁䅁䅁兓䅣䕁䅙䅁扂䙁䅍䅕䡂䙁䄸䅒䑂䕁䅙兑畂䝁䅅䅢㕂䡁䅍兡穂䙁䄸杤硁䍁䄴䅥獂䡁䅍兢摂䕁䅑睑䝂䍁䅅䅊䍂䍁䅑兏㑁䅁䅁兏䅍䙁䄴䅁偂䡁䅁䅤灂䝁䄸杢穂䑁䅯睑ㅂ䡁䅉杣㥁䕁䅣村兂䍁䅷睑療䝁䄴杤乂䝁䅕䅤潂䝁䄸䅚㥁䕁䄰兓祂䝁䅕睙療䝁䄰兢求䝁䄴䅚求䝁䅑䅌佂䕁䅅児睁䅁䅁䅰䅙䉁䅯䅁䩂䙁䅅䅖祁䑁䅑李㍁䑁䅑睍ㅁ䑁䅫免䅁䕁䔰䅁䝂䅁䅁睗乂䕁䅫睘䕂䕁䅍杒䉂䝁䄴兙獂䡁䅫督灂䡁䅍睘㉂䑁䅅杌㑂䝁䅷督瑂䙁䄰䅒䑂䕁䅙光歁䕁䅅睔歁䑁䅕䅍䅁䑁䌰䅁奁䅁䅁兓剂䙁䅑李㍁䑁䅉䅏㕁䑁䅣兏祁䅁䅁睂䅑䉁䅷䅁䩂䙁䅅䅖硁䑁䅧䅎㍁䑁䅫兏ㅁ䑁䅉兎㉁䅁䅁䅦䅑䉁䅷䅁呂䙁䅁睕硁䑁䅣兏祁䑁䅣睎ㅁ䑁䅑杍ぁ䅁䅁䅌䅙䉁䅷䅁䩂䙁䅅䅖硁䑁䅧䅎㍁䑁䅫兏ㅁ䑁䅉李睁䅁䅁䅏䅑䕁䅙䅁扂䕁䄰兓時䕁䅑睑䝂䕁䅅杢桂䝁䅷入穂䝁䅫督時䡁䅙免畁䡁䅧䅢穂䝁䄰兘䕂䕁䅍杒桁䍁䅑村歁䑁䅉䅍ぁ䅁䅁兗䅉䉁䅷䅁䩂䙁䅅䅖硁䑁䅧䅎㍁䑁䅫兏ㅁ䑁䅉李硁䅁䅁其䅑䕁䅙䅁扂䕁䄰兓時䕁䅑睑䝂䕁䅅杢桂䝁䅷入穂䝁䅫督時䡁䅙免畁䡁䅧䅢穂䝁䄰兘䕂䕁䅍杒桁䍁䅑村歁䑁䅉䅍㍁䅁䅁䄳䅉䙁䅧䅁扂䕁䄰兓時䙁䅣兑䑂䕁䅍兑畂䝁䅅䅢㕂䡁䅍兡穂䙁䄸杤硁䍁䄴䅥獂䡁䅍兢摂䙁䅣兑䑂䕁䅍光歁䕁䅍睕歁䑁䅍兏㙁䍁䅑睑坂䍁䅑睍㕁䅁䅁䅅䅅䉁䅷䅁䩂䙁䅅䅖硁䑁䅧䅎㍁䑁䅫兏ㅁ䑁䅉李祁䅁䅁䅺䅑䕁䅙䅁扂䕁䄰兓時䕁䅑睑䝂䕁䅅杢桂䝁䅷入穂䝁䅫督時䡁䅙免畁䡁䅧䅢穂䝁䄰兘䕂䕁䅍杒桁䍁䅑村歁䑁䅉䅍硁䅁䅁儯䅅䉁䅷䅁䩂䙁䅅䅖硁䑁䅧䅎㍁䑁䅫兏ㅁ䑁䅉李ぁ䅁䅁睌䅑䉁䅷䅁䩂䙁䅅䅖硁䑁䅧䅎㍁䑁䅫兏ㅁ䑁䅑䅍穁䅁䅁杫䅑䉁䅷䅁佂䕁䅅睕䕂䕁䅅兕䡂䙁䅍杏䑂䙁䅍睑偂䅁䅁兊䅕䉁䅷䅁䩂䙁䅅䅖硁䑁䅧䅎㍁䑁䅫兏ㅁ䑁䅑䅍ㅁ䅁䅁䅘䅑䉁䅷䅁呂䙁䅁睕硁䑁䅧䅏㍁䑁䅁睍睁䑁䅫兎㉁䅁䅁睆䅙䉁䅷䅁䩂䙁䅅䅖硁䑁䅧䅎㍁䑁䅫兏ㅁ䑁䅑䅍㑁䅁䅁杸䅑䉁䅷䅁䩂䙁䅅䅖硁䑁䅧䅎㍁䑁䅫兏ㅁ䑁䅑免睁䅁䅁督䅑䉁䅷䅁䩂䙁䅅䅖硁䑁䅧䅎㍁䑁䅫兏ㅁ䑁䅑免㉁䅁䅁䅉䅑䉁䅷䅁䩂䙁䅅䅖硁䑁䅧䅎㍁䑁䅫兏ㅁ䑁䅑免㑁䅁䅁睸䅑䉁䅷䅁䩂䙁䅅䅖硁䑁䅧䅎㍁䑁䅫兏ㅁ䑁䅑杍睁䅁䅁䅤䅑䉁䅷䅁䩂䙁䅅䅖硁䑁䅧睎ぁ䑁䅍睍㉁䑁䅍兏㉁䅁䅁児䅑䉁䅷䅁䩂䙁䅅䅖硁䑁䅧䅎㍁䑁䅫兏ㅁ䑁䅑杍硁䅁䅁兰䅑䉁䅷䅁䩂䙁䅅䅖硁䑁䅧睎ぁ䑁䅍睍㉁䑁䅍兏ㅁ䅁䅁睨䅑䉁䅷䅁䩂䙁䅅䅖硁䑁䅧䅎㍁䑁䅫兏ㅁ䑁䅑杍祁䅁䅁䅲䅑䙁䅧䅁扂䕁䄰兓時䕁䅣䅔偂䕁䅉兑䵂䙁䄸睖䉂䕁䅍睑䉂䝁䄴兙獂䡁䅫督灂䡁䅍睘㉂䑁䅅杌㑂䝁䅷督瑂䙁䄰睖䉂䕁䅍睑桁䍁䅑睑佂䍁䅑睍㍁䅁䅁杷䅁䕁䅙䅁扂䕁䄰兓時䕁䅑睑䝂䕁䅅杢桂䝁䅷入穂䝁䅫督時䡁䅙免畁䡁䅧䅢穂䝁䄰兘䕂䕁䅍杒桁䍁䅑䅗歁䑁䅅睍㉁䅁䅁䄲䅅䉁䅷䅁䩂䙁䅅䅖硁䑁䅧睎ぁ䑁䅍睍㉁䑁䅍兏ぁ䅁䅁睗䅑䉁䅷䅁䩂䙁䅅䅖硁䑁䅧䅎㍁䑁䅫兏ㅁ䑁䅑杍穁䅁䅁睫䅑䉁䅷䅁䩂䙁䅅䅖硁䑁䅧睎ぁ䑁䅍睍㉁䑁䅍兏穁䅁䅁具䅑䉁䅷䅁䩂䙁䅅䅖硁䑁䅧䅎㍁䑁䅫兏ㅁ䑁䅑杍ぁ䅁䅁睓䅑䉁䅑䅁䩂䙁䅅睘䙂䕁䅉兓啂䕁䅑兑䅁䝁䝙䅁捁䅁䅁兓剂䙁䅑免㑁䑁䅣䅎穁䑁䅍李穁䑁䅫杍䅁䕁䕷䅁捁䅁䅁兓剂䙁䅑免㑁䑁䅑睎㕁䑁䅫兎ぁ䑁䅉兎䅁䙁䔴䅁十䅁䅁兓剂䙁䄸睑䉂䙁䅁兒奂䅁䅁杧䅍䉁䅷䅁䩂䙁䅅䅖硁䑁䅧睎ぁ䑁䅑兎㑁䑁䅧䅍硁䅁䅁典䅑䉁䅷䅁䩂䙁䅅䅖硁䑁䅧睎ぁ䑁䅫䅎ぁ䑁䅣䅍穁䅁䅁睶䅑䉁䅷䅁䩂䙁䅅䅖硁䑁䅧䅏㍁䑁䅁睍睁䑁䅫李ㅁ䅁䅁兙䅑䙁䅙䅁扂䙁䅍䅕䡂䙁䄸䅒䑂䕁䅙兑畂䝁䅅䅢㕂䡁䅍兡穂䙁䄸杤硁䍁䄴䅥獂䡁䅍兢摂䕁䅑睑䝂䍁䅅䅊䝂䍁䅑杍睁䑁䅧杏歁䕁䄰䅊祁䑁䅁䅏䅁䕁䑳䅁捁䅁䅁兓剂䙁䅑免㑁䑁䅧睎睁䑁䅍䅍㕁䑁䅙睎䅁䑁䕁䅁㙂䅁䅁睔睂䡁䅑兡療䝁䄴督㙁䕁䅍兤祂䡁䅉児䡂䕁䅉䅕獁䕁䄰兙湂䑁䄰䅖潂䝁䄸兤穂䝁䅅杢歂䡁䅍䅌䑂䝁䄸杢㉂䕁䄰党あ䝁䅧睢歂䑁䄰兔䩂䡁䅉党橂䝁䄸兢瑂䝁䅕杢歂䝁䅕䅚獁䕁䄴兑㥁䑁䅁䅁橃杂䅁䅈䅁䕁䅫兕啂䑁䅅䅏㑁䑁䅣䅍穁䑁䅁兏㉁䑁䅧䅁歂䅂䅁䅈䅁䕁䅫兕啂䑁䅅䅏㑁䑁䅣䅍穁䑁䅁兏㉁䑁䅫䅁㉃䅂䅁䅈䅁䕁䅫兕啂䑁䅅䅏㑁䑁䅣䅍穁䑁䅁兏㍁䑁䅁䅁ㅂ䅂䅁䅈䅁䕁䅫兕啂䑁䅅䅏㑁䑁䅣䅍穁䑁䅁兏㍁䑁䅅䅁䑃䅂䅁䅈䅁䙁䅍䅕呂䑁䅅䅏ぁ䑁䅣兏㕁䑁䅕睍㍁䑁䅕䅁䙂杂䅁䅈䅁䕁䅫兕啂䑁䅅䅏㑁䑁䅣䅍穁䑁䅁兏㍁䑁䅑䅁塁䅂䅁䅖䅁䙁䅳兔䩂䙁䄸䅒䑂䕁䅙兑畂䝁䅅䅢㕂䡁䅍兡穂䙁䄸杤硁䍁䄴䅥獂䡁䅍兢摂䕁䅑睑䝂䍁䅅䅊奂䍁䅑免ぁ䑁䅧杏歁䙁䅧䅊硁䑁䅕睍䅁佁䌴䅁捁䅁䅁兓剂䙁䅑免㑁䑁䅧睎睁䑁䅍䅍㕁䑁䅣兎䅁䝁䕉䅁捁䅁䅁兓剂䙁䅑免㑁䑁䅧睎睁䑁䅍䅍㕁䑁䅣李䅁䕁䕉䅁捁䅁䅁睕兂䙁䅍免㑁䑁䅑睎㕁䑁䅫兎穁䑁䅣杍䅁乁䙳䅁捁䅁䅁兓剂䙁䅑免㑁䑁䅧睎睁䑁䅍䅍㕁䑁䅣睎䅁䑁䕅䅁捁䅁䅁兓剂䙁䅑免㑁䑁䅧睎睁䑁䅍䅍㕁䑁䅣兏䅁䱁䕣䅁䵂䅁䅁睗呂䙁䅁睒時䙁䅣兑䑂䕁䅍兑畂䝁䅅䅢㕂䡁䅍兡穂䙁䄸杤硁䍁䄴䅥獂䡁䅍兢摂䙁䅣兑䑂䕁䅍光歁䕁䅅䅒歁䑁䅕杍䅁䅁䥉䅁捁䅁䅁兓剂䙁䅑免㑁䑁䅧睎睁䑁䅍䅍㕁䑁䅧䅍䅁䡁䕙䅁捁䅁䅁兓剂䙁䅑免㑁䑁䅧睎睁䑁䅍䅍㕁䑁䅧杍䅁䅁䕍䅁慁䅁䅁兓剂䙁䅑杍ぁ䑁䅉兏㍁䑁䅧䅍ぁ䑁䅙䅁橃䅂䅁杏䅁䕁䄴党あ䕁䅅䅣睂䍁䅷䅉䩂䝁䄴睙畁䍁䅁䅋佂䕁䅅睕䕂䕁䅅兕䡂䙁䅍杏佂䙁䅑兑兂䍁䅫䅁噃睂䅁䅈䅁䕁䄴兙穂䝁䅑兙硂䕁䅣睕㙁䙁䅑睕䵂䕁䅅䅁灂䅂䅁杇䅁䕁䅫兕啂䑁䅉䅎ぁ䑁䅣杍㍁䑁䅉免祁䅁䅁全䅑䉁䅷䅁呂䙁䅁睕硁䑁䅧睍㍁䑁䅑兎硁䑁䅫睎㉁䅁䅁权䅙䙁䅷䅁扂䙁䅉党㉂䝁䅫督求䝁䅑睘呂䙁䅁睒時䙁䅣兑䑂䕁䅍兑畂䝁䅅䅢㕂䡁䅍兡穂䙁䄸杤硁䍁䄴䅥獂䡁䅍兢摂䙁䅣兑䑂䕁䅍光歁䕁䅅䅒歁䑁䅕杍䅁䩁䡯䅁慁䅁䅁兓剂䙁䅑杍ぁ䑁䅑睎祁䑁䅣杍硁䑁䅍䅁䝃䅂䅁䅈䅁䙁䅍䅕呂䑁䅅䅏穁䑁䅣䅎ㅁ䑁䅅兏㍁䑁䅣䅁敂杂䅁杇䅁䕁䅫兕啂䑁䅉䅎㉁䑁䅣睎穁䑁䅧睎㉁䅁䅁兣䅑䉁䅯䅁䩂䙁䅅䅖祁䑁䅑䅏硁䑁䅫免ぁ䑁䅑杍䅁偁䑣䅁坂䅁䅁睗呂䙁䅁睒時䕁䅑睑䝂䕁䅅杢桂䝁䅷入穂䝁䅫督時䡁䅙免畁䡁䅧䅢穂䝁䄰兘䕂䕁䅍杒桁䍁䅑兗歁䑁䅅䅎祁䑁䅯䅊婂䍁䅑免ぁ䑁䅍䅁獄䅂䅁杇䅁䕁䅫兕啂䑁䅉兎穁䑁䅍睎㕁䑁䅙兏ㅁ䅁䅁睤䅑䉁䅯䅁䩂䙁䅅䅖祁䑁䅕睍㉁䑁䅧睎硁䑁䅅睎䅁䉁䕅䅁捁䅁䅁睕兂䙁䅍免㍁䑁䅫杍㉁䑁䅕兏㍁䑁䅫睎䅁䑁䜰䅁慁䅁䅁兓剂䙁䄸兔䉂䙁䅉睓䙂䙁䅑睑䉂䙁䅁䅁橂䅂䅁杇䅁䕁䅫兕啂䑁䅉兎穁䑁䅙䅏㍁䑁䅅免㑁䅁䅁杅䅑䉁䅷䅁呂䙁䅁睕硁䑁䅣兏祁䑁䅙兎㕁䑁䅣兏㑁䅁䅁光䅙䉁䅁䅁偂䝁䄴党杁䕁䅑兙㕂䅁䅁儰䅁䉁䅯䅁䩂䙁䅅䅖祁䑁䅕睍㉁䑁䅧睎硁䑁䅅兏䅁䉁䕍䅁捁䅁䅁睕兂䙁䅍免㍁䑁䅫杍㉁䑁䅕兏㍁䑁䅫兏䅁䉁䜸䅁慁䅁䅁兓剂䙁䅑杍ㅁ䑁䅍李㕁䑁䅅䅏㍁䑁䅑䅁汁䅂䅁杇䅁䕁䅫兕啂䑁䅉兎ぁ䑁䅍睍ㅁ䑁䅑免祁䅁䅁兯䅑䉁䅯䅁䩂䙁䅅䅖祁䑁䅕䅎穁䑁䅍兎ㅁ䑁䅑兏䅁佁䕁䅁慁䅁䅁兓剂䙁䅑杍ㅁ䑁䅑䅏㉁䑁䅣睎祁䑁䅑䅁捁䅂䅁杇䅁䕁䅫兕啂䑁䅉兎㉁䑁䅉杍㕁䑁䅑免祁䅁䅁兖䅑䅁䄴䅁塂䕁䅑睑瑁䙁䅕睕䅁䝁䍙䅁啁䅁䅁村療䡁䅧䅌杁䕁䅫杢橂䍁䄴䅁畄睂䅁䅈䅁䙁䅍䅕呂䑁䅅兏穁䑁䅁杍ㅁ䑁䅙䅍㑁䑁䅫䅁摃杂䅁杇䅁䕁䅫兕啂䑁䅉兎㉁䑁䅉杍㕁䑁䅑免ぁ䅁䅁杖䅑䙁䅑䅁扂䕁䄰兓時䕁䅑睑䝂䕁䅅杢桂䝁䅷入穂䝁䅫督時䡁䅙免畁䡁䅧䅢穂䝁䄰兘䕂䕁䅍杒桁䍁䅑䅗歁䑁䅅䅎祁䑁䅯䅊奂䍁䅑免ぁ䑁䅣䅁䙁杁䅁杇䅁䕁䅫兕啂䑁䅉兎㉁䑁䅉杍㕁䑁䅑免㉁䅁䅁睖䅑䉁䅯䅁䩂䙁䅅䅖祁䑁䅙䅍㍁䑁䅙兎睁䑁䅁䅍䅁䙁䕅䅁䕂䅁䅁䅖療䡁䅑兙獂䍁䅁䅕祂䝁䅕杚求䡁䅉杣求䝁䅑䅉䙂䡁䅅兤灂䡁䅑入杁䍁䅧杕求䡁䅁睢祂䡁䅑党歂䍁䅫䅁扁䅁䅁杇䅁䕁䅫兕啂䑁䅉李ぁ䑁䅁李祁䑁䅍䅎ぁ䅁䅁䅇䅑䉁䅯䅁䩂䙁䅅䅖祁䑁䅙䅎睁䑁䅙杍穁䑁䅑兎䅁䉁䕫䅁慁䅁䅁兓剂䙁䅑杍㉁䑁䅫睍ㅁ䑁䅍杍㍁䑁䅕䅁畂䅂䅁䅇䅁䕁䅫兕啂䑁䅍杍硁䑁䅕兎祁䑁䅉杍䅁䩁䕑䅁奁䅁䅁兓剂䙁䅑睍祁䑁䅉睍硁䑁䅕睎硁䅁䅁䅯䅑䉁䅧䅁䩂䙁䅅䅖穁䑁䅙免㑁䑁䅍䅏硁䑁䅕䅁灄䅂䅁杒䅁䙁䅳兔䩂䙁䄸䅒䑂䕁䅙兑畂䝁䅅䅢㕂䡁䅍兡穂䙁䄸杤硁䍁䄴䅥獂䡁䅍兢摂䕁䅑睑䝂䍁䅅䅊䉂䕁䅳䅊ぁ䑁䅫䅁㕂杁䅁䅇䅁䕁䅫兕啂䑁䅑杍祁䑁䅍䅍㑁䑁䅉䅎䅁乁䔴䅁奁䅁䅁兓剂䙁䅑李㍁䑁䅍䅍硁䑁䅫兏硁䅁䅁䅷䅑䅁䄴䅁䩂䙁䅅睘啂䕁䅕杖䅁䍁䈴䅁奁䅁䅁兓剂䙁䅑睎睁䑁䅁兎穁䑁䅣睍㕁䅁䅁权䅑䕁䅙䅁扂䕁䄰兓時䕁䅑睑䝂䕁䅅杢桂䝁䅷入穂䝁䅫督時䡁䅙免畁䡁䅧䅢穂䝁䄰兘䕂䕁䅍杒桁䍁䅑睖歁䑁䅅䅎睁䅁䅁睁䅉䉁䅯䅁䩂䙁䅅䅖㍁䑁䅁䅍㕁䑁䅁李㕁䑁䅑兏䅁䭁䔰䅁慁䅁䅁兓剂䙁䄸睑䥂䕁䅅杔䡂䕁䅕睘䉂䙁䅁䅁㑂杂䅁䅇䅁䕁䄴兑呂䕁䅑兑剂䍁䅁杒灂䝁䄴䅢䅁䙁䅷䅁慁䅁䅁兓剂䙁䄸睑䥂䕁䅅杔䡂䕁䅕睘䉂䙁䅉䅁㕂杂䅁杍䅁䕁䅫兕時䕁䅍䅓䉂䕁䄴睒䙂䙁䄸䅖卂䕁䅅䅒䩂䕁䄴睒時䕁䅅睕呂䕁䅕䅖呂䅁䅁杤䅙䍁䅯䅁䩂䙁䅅睘䑂䕁䅧兑佂䕁䅣兒時䙁䅕杔䙂䕁䅅杕佂䙁䄸杕䙂䙁䅙䅁㡂杂䅁䅉䅁䕁䅫兕時䕁䅍睔乂䙁䅁兑佂䙁䅫睘佂䕁䅅兔䙂䅁䅁儫䅍䉁䅷䅁呂䙁䅁睕硁䑁䅣兏祁䑁䅙䅍㉁䑁䅣兏穁䅁䅁杄䅙乁䅉䅁偂䡁䅁䅤灂䝁䄸杢穂䑁䅯杔䉂䑁䄰杔䉂䍁䅷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塁杁䅁杈䅁䕁䅫兕時䕁䅍兖呂䙁䅑睔乂䙁䄸村䙂䙁䅑兑䅁䡁䑅䅁允䅁䅁兓剂䙁䄸兒䍂䕁䅫䅖䅁䝁䝯䅁祁䅁䅁兓剂䙁䄸兒䍂䕁䅫䅖䕂䕁䅅睘䵂䕁䅕兑呂䕁䅕睘䉂䕁䅑杓噂䙁䅍䅖䙂䕁䅑䅁あ杂䅁䅈䅁䙁䅍䅕呂䑁䅅兏穁䑁䅁䅍祁䑁䅅李㕁䑁䅕䅁楃杂䅁䅇䅁䕁䅫兕時䕁䅙兓呂䕁䅍兑䵂䙁䄸兗䅁䝁䝳䅁捁䅁䅁兓剂䙁䄸杕䉂䙁䅑兒時䕁䅷兒坂䕁䅕䅔䅁佁䕯䅁啁䅁䅁䅕祂䝁䅕杚求䡁䅉杣求䝁䅑䅁䥁䅂䅁杉䅁䕁䅫兕時䙁䅍兑䵂䕁䅕睘䩂䕁䄴䅖䉂䕁䄴睘䑂䕁䅙䅁ㅂ杂䅁杆䅁䕁䅫兕時䙁䅍䅖時䕁䅑兒䍂䙁䅑䅁䭃杂䅁䅇䅁䕁䅫兕時䙁䅑睔啂䕁䅅䅔時䕁䅍兑䅁䥁䝧䅁奁䅁䅁兓剂䙁䄸䅖偂䙁䅑兑䵂䙁䄸睑䵂䅁䅁䅨䅙䉁䅷䅁䩂䙁䅅睘啂䕁䄸䅖䉂䕁䅷睘䕂䕁䅕村啂䅁䅁睌䅉䍁䅑䅁䩂䝁䄴督あ䝁䅫䅤ㅂ䡁䅑兡療䝁䄴䅉佂䝁䅅兢求䍁䅁䅁桁䅁䅁杌䅁䕁䅫杢あ䝁䅷䅉䍂䡁䅕督杁䕁䄰兙橂䝁䅧兡畂䝁䅕督杁䕁䅍睢祂䡁䅁䅁呃杂䅁杄䅁䕁䅳兓乂䍁䄰兖呂䅁䅁允䅅䉁䅁䅁䵂䕁䅑睔呂䍁䄰兖呂䅁䅁䅊䅉䉁䅷䅁佂䕁䅅睕䕂䕁䅅兕䡂䙁䅍杏兂䕁䅕睒䉂䅁䅁朶䅣䕁䅉䅁䵂䝁䅕兙穂䝁䅕䅉䉂䝁䅑条ㅂ䡁䅍䅤瑂䝁䅕杢あ䍁䅁杚療䡁䅉䅉䙂䕁䅉兓啂䕁䅑兑杁䍁䅧䅊乂䍁䅫䅁⽂睁䅁杄䅁䕁䄰兑䑂䍁䄰兖呂䅁䅁杁䅅䍁䅁䅁乂䙁䅍睑䩂䍁䅁兒䉂䕁䅙兒杁䍁䅧兖呂䕁䅑克䅁䙁䅣䅁允䅁䅁兔啂䕁䅍䅓瑁䙁䅕睕䅁䵁䈸䅁慁䅁䅁睕兂䙁䅍杍ぁ䑁䅫杍㕁䑁䅍睍㉁䑁䅍䅁䍂杂䅁村䅁䕁䄰兙祂䝁䅳党あ䍁䅁睑桂䡁䅁兡あ䝁䅅䅢灂䡁䅯兙あ䝁䅫睢畂䍁䅁䅋卂䝁䅕䅣療䡁䅉䅤求䝁䅑克䅁䉁䅷䅁流䅁䅁兔桂䡁䅉睡求䡁䅑督畁䙁䅁杣灂䝁䅍党䑂䝁䅷睢穂䝁䅕䅁灄䅁䅁杂䅁䕁䄴兑䅁䩁䉑䅁佁䅁䅁杔䉂䙁䅍䅒䉂䙁䅅䅁扂䅁䅁䅅䅁䕁䄴杒䵂䙁䅧兌噂䙁䅍䅁㍃杂䅁杂䅁䕁䄴兔䅁䩁䙑䅁允䅁䅁杔啂䕁䅅䅕瑁䙁䅕睕䅁䝁䍕䅁啁䅁䅁杔婂䙁䅍兒㙁䕁䅑兒䵂䕁䅷䅁潁兂䅁杅䅁䕁䄴兗呂䕁䅕杏䥂䙁䅁兒䅁偁䑧䅁捁䅁䅁杔桂䡁䅍䅚桂䡁䅅睒呂䑁䅯睑啂䙁䅍䅓䅁䝁䕷䅁㡁䅁䅁杔求䡁䅑杚獂䝁䅫䅥獁䍁䅁兓畂䝁䅍杌杁䍁䅧杔䉂䙁䅍䅒䉂䙁䅅睒呂䑁䅯杔䝂䕁䅷䅗灁䅁䅁睲䅙䑁䅧䅁偂䡁䅁䅤灂䝁䄸杢穂䑁䅯䅉呂䡁䅑兙あ䝁䅫督あ䝁䅫睙㥁䕁䅅杖䡂䍁䅷杔䉂䑁䄰䅍䅁偁䕙䅁楁䅁䅁睔乂䙁䅧䅉呂䡁䅑睢橂䝁䅳䅡療䝁䅷兢杁䑁䅍䅍䅁䝁䅑䅁獁䅁䅁睔乂䙁䅧䅉坂䝁䅫䅢畂䝁䅫兤穂䍁䅁兑獂䝁䅷䅉呂䝁䅧兙祂䝁䅕䅁求䅁䅁䅅䅁䕁䄸杕䑂䕁䅷兌噂䙁䅍䅁睂杁䅁䅔䅁䕁䄸杚浂䝁䅕杣灂䝁䄴睚杁䕁䅍睢瑂䡁䅁䅢求䡁䅑兡療䝁䄴䅉䕂䝁䅅䅤求䍁䅁䅋瑂䝁䄰睌歂䝁䅑睌㕂䡁䅫入㕂䍁䅫䅁癁䅁䅁䅖䅁䙁䅳兔䩂䙁䄸䅒䑂䕁䅙兑畂䝁䅅䅢㕂䡁䅍兡穂䙁䄸杤硁䍁䄴䅥獂䡁䅍兢摂䕁䅑睑䝂䍁䅅䅊奂䍁䅑免ぁ䑁䅉杏歁䙁䅧䅊硁䑁䅑睍䅁偁䍣䅁歂䅁䅁睔睂䡁䅑兡療䝁䄴督㙁䕁䅍兤祂䡁䅉児獁䕁䄰兙湂䑁䄰䅍獁䕁䅍睢畂䡁䅙兔求䡁䅑䅡療䝁䅑児乂䕁䅫杣求䝁䅍睢瑂䝁䄰党畂䝁䅑党歂䍁䅷杔䉂䑁䄰䅍䅁䩁䝙䅁獃䅁䅁睔睂䡁䅑兡療䝁䄴督㙁䕁䅍兤祂䡁䅉児䡂䕁䅉䅕獁䕁䄰兙湂䑁䄰兔灂䝁䅷䅢灂䝁䄸杢穂䍁䅷睑療䝁䄴杤乂䝁䅕䅤潂䝁䄸䅚㥁䕁䄰兓祂䝁䅕睙療䝁䄰兢求䝁䄴䅚求䝁䅑䅌兂䝁䅅䅚㥁䕁䄸杚浂䍁䅷䅒桂䡁䅑党穂䑁䄰村求䝁䅙睢祂䝁䅕䅌呂䝁䄸杣あ䑁䄰䅒求䡁䅍睙䅁偁䍫䅁㡂䅁䅁睔睂䡁䅑兡療䝁䄴督㙁䕁䅍兤祂䡁䅉児䡂䕁䅉䅕獁䕁䄰兙湂䑁䄰䅖潂䝁䄸兤穂䝁䅅杢歂䡁䅍䅌䑂䝁䄸杢㉂䕁䄰党あ䝁䅧睢歂䑁䄰兔䩂䡁䅉党橂䝁䄸兢瑂䝁䅕杢歂䝁䅕䅚獁䕁䄴兑㥁䕁䄴兑䅁䩁䝫䅁畂䅁䅁睔睂䡁䅑兡療䝁䄴督㙁䕁䅍兤祂䡁䅉児䭂䙁䅁兗獁䕁䄰兙湂䑁䄰兔灂䝁䅷䅢灂䝁䄸杢穂䍁䅷睑療䝁䄴杤乂䝁䅕䅤潂䝁䄸䅚㥁䕁䄰兓祂䝁䅕睙療䝁䄰兢求䝁䄴䅚求䝁䅑䅁楁杁䅁杩䅁䕁䄸䅣あ䝁䅫睢畂䡁䅍杏䑂䡁䅕杣祂䑁䄰杕求䡁䅁睢祂䡁䅑党歂䍁䅁睙ㅂ䡁䅉杣求䝁䄴睙㕂䍁䅷兔桂䝁䅣児䍂䝁䅫䅢獂䝁䅫睢畂䡁䅍䅌䑂䝁䄸杢㉂䕁䄰党あ䝁䅧睢歂䑁䄰兔䩂䡁䅉党橂䝁䄸兢瑂䝁䅕杢歂䝁䅕䅚䅁乁䉳䅁䵃䅁䅁睔睂䡁䅑兡療䝁䄴督㙁䕁䅍兤祂䡁䅉児卂䝁䅕䅣療䡁䅉䅤求䝁䅑䅉橂䡁䅕杣祂䝁䅕杢橂䡁䅫䅌乂䝁䅅睚㥁䕁䄰兡獂䝁䅷兡療䝁䄴督獁䕁䅍睢畂䡁䅙兔求䡁䅑䅡療䝁䅑児呂䕁䄴䅔祂䝁䅕睙療䝁䄰兢求䝁䄴䅚求䝁䅑䅁橁䅁䅁杫䅁䕁䄸䅣あ䝁䅫睢畂䡁䅍杏䑂䡁䅕杣祂䑁䄰杕求䡁䅁睢祂䡁䅑党歂䍁䅁睙ㅂ䡁䅉杣求䝁䄴睙㕂䍁䅷兔桂䝁䅣児呂䕁䄴䅔穂䡁䅑兙畂䝁䅑兙祂䝁䅑䅌䑂䝁䄸杢㉂䕁䄰党あ䝁䅧睢歂䑁䄰睕佂䕁䅷杣求䝁䅍睢瑂䝁䄰党畂䝁䅑党歂䅁䅁允䅁䡁䅉䅁偂䡁䅁䅤灂䝁䄸杢穂䑁䅯睑ㅂ䡁䅉杣㥁䙁䅕睕䕂䍁䅷䅉乂䝁䅅睚㥁䕁䄰兡獂䝁䅷兡療䝁䄴督獁䍁䅁睑療䝁䄴杤乂䝁䅕䅤潂䝁䄸䅚㥁䕁䄰兓祂䝁䅕睙療䝁䄰兢求䝁䄴䅚求䝁䅑䅁晄䅁䅁䅅䅁䍁䅕睕兂䙁䅑兏㍁䑁䅅䅁杄睂䅁䅙䅁䕁䄸䅣あ䝁䅫睢畂䡁䅍杏䑂䡁䅕杣祂䑁䄰兖呂䕁䅑䅌乂䝁䅅睚㥁䑁䅙䅌䑂䝁䄸杢㉂䕁䄰党あ䝁䅧睢歂䑁䄰兔䩂䡁䅉党橂䝁䄸兢瑂䝁䅕杢歂䝁䅕䅚䅁乁䅯䅁祃䅁䅁睔睂䡁䅑兡療䝁䄴督㙁䕁䅍兤祂䡁䅉児噂䙁䅍䅒獁䕁䄰兙湂䑁䄰李獁䕁䅍睢畂䡁䅙兔求䡁䅑䅡療䝁䅑児乂䕁䅫杣求䝁䅍睢瑂䝁䄰党畂䝁䅑党歂䍁䅷䅕桂䝁䅑児偂䕁䄴䅌䝂䝁䅫䅢獂䑁䄰䅒桂䝁䅫䅢㕂䍁䅷䅒桂䡁䅑党穂䑁䄰村求䝁䅙睢祂䝁䅕䅌呂䝁䄸杣あ䑁䄰䅒求䡁䅍睙䅁乁䄰䅁㑂䅁䅁睔睂䡁䅑兡療䝁䄴督㙁䕁䅍兤祂䡁䅉児噂䙁䅍䅒獁䕁䄰兙湂䑁䄰兔灂䝁䅷䅢灂䝁䄸杢穂䍁䅷睑療䝁䄴杤乂䝁䅕䅤潂䝁䄸䅚㥁䕁䄰兓祂䝁䅕睙療䝁䄰兢求䝁䄴䅚求䝁䅑䅌佂䕁䅅児睁䅁䅁睚䅙䕁䅙䅁扂䕁䄰兓時䕁䅑睑䝂䕁䅅杢桂䝁䅷入穂䝁䅫督時䡁䅙免畁䡁䅧䅢穂䝁䄰兘䕂䕁䅍杒桁䍁䅑䅒䕂䍁䅑䅎ㅁ䅁䅁䅄䅉䡁䅯䅁偂䡁䅁䅤灂䝁䄸杢穂䑁䅯睑ㅂ䡁䅉杣㥁䙁䅕睕䕂䍁䅷兔桂䝁䅣児乂䝁䅫䅢獂䝁䅫睢畂䡁䅍䅌䑂䝁䄸杢㉂䕁䄰党あ䝁䅧睢歂䑁䄰兔䩂䡁䅉党橂䝁䄸兢瑂䝁䅕杢歂䝁䅕䅚獁䕁䄴兑㥁䕁䄴兑䅁䥁䙣䅁䕄䅁䅁睔睂䡁䅑兡療䝁䄴督㙁䕁䅍兤祂䡁䅉児噂䙁䅍䅒獁䕁䄰兙湂䑁䄰兔灂䝁䅷䅢灂䝁䄸杢穂䍁䅷睑療䝁䄴杤乂䝁䅕䅤潂䝁䄸䅚㥁䕁䄰兓祂䝁䅕睙療䝁䄰兢求䝁䄴䅚求䝁䅑䅌兂䝁䅅䅚㥁䕁䄸杔獁䕁䅙兡獂䝁䅷児乂䝁䄸杢あ䝁䅧䅢㕂䍁䅷䅒桂䡁䅑党穂䑁䄰村求䝁䅙睢祂䝁䅕䅌呂䝁䄸杣あ䑁䄰䅒求䡁䅍睙䅁佁䅧䅁䍄䅁䅁睔睂䡁䅑兡療䝁䄴督㙁䕁䅍兤祂䡁䅉児噂䙁䅍䅒獁䕁䄰兙湂䑁䄰兔灂䝁䅷䅢灂䝁䄸杢穂䍁䅷睑療䝁䄴杤乂䝁䅕䅤潂䝁䄸䅚㥁䕁䄰兓祂䝁䅕睙療䝁䄰兢求䝁䄴䅚求䝁䅑䅌兂䝁䅅䅚㥁䕁䄸杚浂䍁䅷杒灂䝁䅷䅢㥁䕁䅑兙灂䝁䅷入獁䕁䅑兙あ䝁䅕督㥁䕁䅉党浂䝁䄸杣求䍁䅷睕療䡁䅉䅤㥁䕁䅑党穂䝁䅍䅁楄䅁䅁杒䅁䙁䅳兔䩂䙁䄸䅒䑂䕁䅙兑畂䝁䅅䅢㕂䡁䅍兡穂䙁䄸杤硁䍁䄴䅥獂䡁䅍兢摂䕁䅑睑䝂䍁䅅䅊䉂䕁䅳䅊ㅁ䑁䅅䅁㡁杁䅁䅆䅁䙁䅍兒啂䍁䅁兓畂䝁䅑党㑂䅁䅁䅥䅁䵁䅉䅁偂䡁䅁䅤灂䝁䄸杢穂䑁䅯睑ㅂ䡁䅉杣㥁䙁䅕睕䕂䍁䅷兔桂䝁䅣児乂䝁䅫䅢獂䝁䅫睢畂䡁䅍䅌䑂䝁䄸杢㉂䕁䄰党あ䝁䅧睢歂䑁䄰睕佂䕁䅷杣求䝁䅍睢瑂䝁䄰党畂䝁䅑党歂䍁䅷䅕桂䝁䅑児偂䕁䄴䅌䝂䝁䅫䅢獂䑁䄰䅒桂䝁䅫䅢㕂䍁䅷䅒桂䡁䅑党穂䑁䄰村求䝁䅙睢祂䝁䅕䅌呂䝁䄸杣あ䑁䄰䅒求䡁䅍睙䅁䭁䄸䅁畃䅁䅁睔睂䡁䅑兡療䝁䄴督㙁䕁䅍兤祂䡁䅉児噂䙁䅍䅒獁䕁䄰兙湂䑁䄰兔灂䝁䅷䅢灂䝁䄸杢穂䍁䅷睑療䝁䄴杤乂䝁䅕䅤潂䝁䄸䅚㥁䙁䅍杔䵂䡁䅉党橂䝁䄸兢瑂䝁䅕杢歂䝁䅕䅚獁䙁䅁兙歂䑁䄰睔浂䝁䅙䅌䕂䝁䅅䅤求䡁䅍児䍂䝁䅕杚療䡁䅉党獁䙁䅍睢祂䡁䅑児䕂䝁䅕督橂䅁䅁䅯䅁䉁䅯䅁坂䝁䅕杣あ䝁䅕䅥獁䍁䅁兓畂䝁䅍杌䅁乁䡑䅁啂䅁䅁睗乂䕁䅫睘䕂䕁䅍杒䉂䝁䄴兙獂䡁䅫督灂䡁䅍睘㉂䑁䅅杌㑂䝁䅷督瑂䙁䄰䅒䑂䕁䅙光歁䙁䅧䅊硁䑁䅍兏㙁䍁䅑䅗歁䑁䅅䅎睁䅁䅁䅖䅉䡁䅙䅁偂䡁䅁䅤灂䝁䄸杢穂䑁䅯睑ㅂ䡁䅉杣㥁䙁䅕睕䕂䍁䅷兔桂䝁䅣児呂䕁䄴䅔呂䡁䅑兙畂䝁䅑兙祂䝁䅑䅌䑂䝁䄸杢㉂䕁䄰党あ䝁䅧睢歂䑁䄰睕佂䕁䅷杣求䝁䅍睢瑂䝁䄰党畂䝁䅑党歂䅁䅁睩䅁䱁䅑䅁偂䡁䅁䅤灂䝁䄸杢穂䑁䅯睑ㅂ䡁䅉杣㥁䙁䅕睕䕂䍁䅷兔桂䝁䅣児呂䕁䄴䅔呂䡁䅑兙畂䝁䅑兙祂䝁䅑䅌䑂䝁䄸杢㉂䕁䄰党あ䝁䅧睢歂䑁䄰睕佂䕁䅷杣求䝁䅍睢瑂䝁䄰党畂䝁䅑党歂䍁䅷䅕桂䝁䅑児偂䝁䅙杚獁䕁䅑兙あ䝁䅕督㥁䕁䅉党浂䝁䄸杣求䍁䅷睕療䡁䅉䅤㥁䕁䅑党穂䝁䅍䅁啃䅁䅁䅦䅁䕁䄸䅣あ䝁䅫睢畂䡁䅍杏䑂䡁䅕杣祂䑁䄰兖呂䕁䅑䅌乂䝁䅅睚㥁䙁䅑䅡療䡁䅕督桂䝁䄴䅚穂䍁䅷睑療䝁䄴杤乂䝁䅕䅤潂䝁䄸䅚㥁䕁䄰兓祂䝁䅕睙療䝁䄰兢求䝁䄴䅚求䝁䅑䅌佂䕁䅅児佂䕁䅅䅁偃杂䅁杓䅁䙁䅳睕兂䕁䅣睘䕂䕁䅍杒䉂䝁䄴兙獂䡁䅫督灂䡁䅍睘㉂䑁䅅杌㑂䝁䅷督瑂䙁䄰䅒䑂䕁䅙光歁䕁䅅兑歁䑁䅅䅎硁䅁䅁睋䅕䭁䄴䅁偂䡁䅁䅤灂䝁䄸杢穂䑁䅯睑ㅂ䡁䅉杣㥁䙁䅕睕䕂䍁䅷兔桂䝁䅣児啂䝁䅧睢ㅂ䡁䅍兙畂䝁䅑督獁䕁䅍睢畂䡁䅙兔求䡁䅑䅡療䝁䅑児乂䕁䅫杣求䝁䅍睢瑂䝁䄰党畂䝁䅑党歂䍁䅷䅕桂䝁䅑児偂䝁䅙杚獁䕁䅑兙あ䝁䅕督㥁䕁䅉党浂䝁䄸杣求䍁䅷睕療䡁䅉䅤㥁䕁䅑党穂䝁䅍䅁䵁睁䅁䅈䅁䙁䅍䅕呂䑁䅅䅏祁䑁䅍䅏㕁䑁䅧䅍睁䑁䅍䅁㙁杂䅁䅅䅁䙁䅣䅒䵂䕁䅙兌噂䙁䅍䅁兄允䅁杣䅁䕁䄸䅣あ䝁䅫睢畂䡁䅍杏䑂䡁䅕杣祂䑁䄰兖呂䕁䅑䅌乂䝁䅅睚㥁䙁䅑䅡療䡁䅕督桂䝁䄴䅚穂䍁䅷睑療䝁䄴杤乂䝁䅕䅤潂䝁䄸䅚㥁䙁䅍杔䵂䡁䅉党橂䝁䄸兢瑂䝁䅕杢歂䝁䅕䅚䅁乁䅙䅁㡂䅁䅁睔睂䡁䅑兡療䝁䄴督㙁䕁䄴兑㥁䑁䅁䅌䑂䡁䅕杣祂䑁䄰兖呂䕁䅑䅌杁䕁䄰兙湂䑁䄰兔灂䝁䅷䅢灂䝁䄸杢穂䍁䅷䅉䑂䝁䄸杢㉂䕁䄰党あ䝁䅧睢歂䑁䄰兔䩂䡁䅉党橂䝁䄸兢瑂䝁䅕杢歂䝁䅕䅚䅁偁䕁䅁䝃䅁䅁睔睂䡁䅑兡療䝁䄴督㙁䕁䄴兑㥁䑁䅁䅌䑂䡁䅕杣祂䑁䄰兖呂䕁䅑䅌杁䕁䄰兙湂䑁䄰兔灂䝁䅷䅢灂䝁䄸杢穂䍁䅷䅉䑂䝁䄸杢㉂䕁䄰党あ䝁䅧睢歂䑁䄰兔䩂䡁䅉党橂䝁䄸兢瑂䝁䅕杢歂䝁䅕䅚獁䕁䄴兑㥁䑁䅁䅁穄䅂䅁䅈䅁䕁䄸䅣あ䝁䅫睢畂䡁䅍杏佂䕁䅅児佂䕁䅅䅁祁兂䅁䄰䅁䕁䄸䅣あ䝁䅫睢畂䡁䅍杏佂䕁䅅児佂䕁䅅䅌䑂䡁䅕杣祂䑁䄰睒䍂䙁䅁䅌乂䝁䅅睚㥁䕁䄰兡獂䝁䅷兡療䝁䄴督獁䕁䅍睢畂䡁䅙兔求䡁䅑䅡療䝁䅑児乂䕁䅫杣求䝁䅍睢瑂䝁䄰党畂䝁䅑党歂䍁䅷䅕桂䝁䅑児偂䕁䄴䅌䝂䝁䅫䅢獂䑁䄰兔療䝁䄴䅤潂䝁䅷入獁䕁䅑兙あ䝁䅕督㥁䕁䅉党浂䝁䄸杣求䍁䅷睕療䡁䅉䅤㥁䕁䅑党穂䝁䅍䅁㙄杁䅁䅓䅁䙁䅳睕兂䕁䅣睘䕂䕁䅍杒䉂䝁䄴兙獂䡁䅫督灂䡁䅍睘㉂䑁䅅杌㑂䝁䅷督瑂䙁䄰䅒䑂䕁䅙光歁䕁䅍兖歁䑁䅕免䅁䑁䑕䅁捁䅁䅁睕兂䙁䅍免㍁䑁䅫杍㉁䑁䅁李㍁䑁䅫兎䅁乁䙑䅁卄䅁䅁睔睂䡁䅑兡療䝁䄴督㙁䕁䄴兑㥁䕁䄴兑獁䕁䅍兤祂䡁䅉児䡂䕁䅉䅕獁䕁䄰兙湂䑁䄰兔灂䝁䅷䅢灂䝁䄸杢穂䍁䅷睑療䝁䄴杤乂䝁䅕䅤潂䝁䄸䅚㥁䕁䄰兓祂䝁䅕睙療䝁䄰兢求䝁䄴䅚求䝁䅑䅌兂䝁䅅䅚㥁䕁䄸杚浂䍁䅷杒灂䝁䅷䅢㥁䕁䄰睢畂䡁䅑䅡獂䡁䅫䅌䕂䝁䅅䅤求䡁䅍児䍂䝁䅕杚療䡁䅉党獁䙁䅍睢祂䡁䅑児䕂䝁䅕督橂䅁䅁眫䅉乁䅁䅁偂䡁䅁䅤灂䝁䄸杢穂䑁䅯杔䉂䑁䄰杔䉂䍁䅷睑ㅂ䡁䅉杣㥁䕁䅯䅕婂䍁䅷兔桂䝁䅣児乂䝁䅫䅢獂䝁䅫睢畂䡁䅍䅌䑂䝁䄸杢㉂䕁䄰党あ䝁䅧睢歂䑁䄰兔䩂䡁䅉党橂䝁䄸兢瑂䝁䅕杢歂䝁䅕䅚獁䙁䅁兙歂䑁䄰睔佂䍁䅷杒灂䝁䅷䅢㥁䕁䄰睢畂䡁䅑䅡獂䡁䅫䅌䕂䝁䅅䅤求䡁䅍児䍂䝁䅕杚療䡁䅉党獁䙁䅍睢祂䡁䅑児䕂䝁䅕督橂䅁䅁䅉䅉乁䅉䅁偂䡁䅁䅤灂䝁䄸杢穂䑁䅯杔䉂䑁䄰杔䉂䍁䅷睑ㅂ䡁䅉杣㥁䕁䅯䅕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桁杁䅁杒䅁䙁䅳兔䩂䙁䄸䅒䑂䕁䅙兑畂䝁䅅䅢㕂䡁䅍兡穂䙁䄸杤硁䍁䄴䅥獂䡁䅍兢摂䕁䅑睑䝂䍁䅅䅊䕂䕁䅉䅊ㅁ䑁䅅䅁杄杁䅁䄰䅁䕁䄸䅣あ䝁䅫睢畂䡁䅍杏佂䕁䅅児佂䕁䅅䅌䑂䡁䅕杣祂䑁䄰兖呂䕁䅑䅌乂䝁䅅睚㥁䕁䄰兡獂䝁䅷兡療䝁䄴督獁䕁䅍睢畂䡁䅙兔求䡁䅑䅡療䝁䅑児乂䕁䅫杣求䝁䅍睢瑂䝁䄰党畂䝁䅑党歂䍁䅷䅕桂䝁䅑児偂䕁䄴䅌䝂䝁䅫䅢獂䑁䄰兔療䝁䄴䅤潂䝁䅷入獁䕁䅑兙あ䝁䅕督㥁䕁䅉党浂䝁䄸杣求䍁䅷睕療䡁䅉䅤㥁䕁䅑党穂䝁䅍䅁婁杁䅁杇䅁䙁䅍䅕呂䑁䅍免ぁ䑁䅅䅎祁䑁䅣䅎ㅁ䅁䅁杹䅙䉁䅁䅁ぁ䑁䅁䅍ぁ䑁䅉免ぁ䅁䅁睪䅣乁䅉䅁偂䡁䅁䅤灂䝁䄸杢穂䑁䅯杔䉂䑁䄰杔䉂䍁䅷睑ㅂ䡁䅉杣㥁䙁䅕睕䕂䍁䅷兔桂䝁䅣児啂䝁䅧睢ㅂ䡁䅍兙畂䝁䅑督獁䕁䅍睢畂䡁䅙兔求䡁䅑䅡療䝁䅑児乂䕁䅫杣求䝁䅍睢瑂䝁䄰党畂䝁䅑党歂䍁䅷䅕桂䝁䅑児偂䕁䄴䅌䝂䝁䅫䅢獂䑁䄰兔療䝁䄴䅤潂䝁䅷入獁䕁䅑兙あ䝁䅕督㥁䕁䅉党浂䝁䄸杣求䍁䅷睕療䡁䅉䅤㥁䕁䅑党穂䝁䅍䅁乁睁䅁䄰䅁䕁䄸䅣あ䝁䅫睢畂䡁䅍杏佂䕁䅅児佂䕁䅅睑ㅂ䡁䅉杣㥁䙁䅕睕䕂䍁䅷兔桂䝁䅣児乂䝁䅫䅢獂䝁䅫睢畂䡁䅍䅌䑂䝁䄸杢㉂䕁䄰党あ䝁䅧睢歂䑁䄰兔䩂䡁䅉党橂䝁䄸兢瑂䝁䅕杢歂䝁䅕䅚獁䙁䅁兙歂䑁䄰睔浂䝁䅙䅌䝂䝁䅫䅢獂䑁䄰兔療䝁䄴䅤潂䝁䅷入獁䕁䅑兙あ䝁䅕督㥁䕁䅉党浂䝁䄸杣求䍁䅷睕療䡁䅉䅤㥁䕁䅑党穂䝁䅍䅁奁杁䅁杋䅁䕁䄸䅣あ䝁䅫睢畂䡁䅍杏浂䝁䅫䅢獂䑁䄰兔療䝁䄴䅤潂䝁䅷入䅁䡁䑉䅁慁䅁䅁睕兂䙁䅍兎㕁䑁䅑兎睁䑁䅍睍㕁䑁䅅䅁扄杂䅁䅎䅁䕁䄸䅣あ䝁䅫睢畂䡁䅍杏浂䝁䅫䅢獂䑁䄰兔療䝁䄴䅤潂䝁䅷入獁䕁䄴兑㥁䑁䅁䅁㡂睁䅁䅍䅁䙁䅍杣灂䍁䅁䅔桂䝁䄴睡桂䍁䅁睑呂䕁䅕䅉䉂䝁䅷䅢杁䙁䅍䅡桂䡁䅉党䅁䡁䄴䅁⭁䅁䅁睔祂䝁䅅睙獂䝁䅕䅉䑂䝁䄸杣睂䝁䄸杣桂䡁䅑兡療䝁䄴䅉潁䕁䄴兗呂䕁䅕杏偂䙁䅉睑䵂䍁䅫䅁噃兂䅁䅖䅁䙁䅳兔䩂䙁䄸䅒䑂䕁䅙兑畂䝁䅅䅢㕂䡁䅍兡穂䙁䄸杤硁䍁䄴䅥獂䡁䅍兢摂䕁䅑睑䝂䍁䅅䅊塂䍁䅑免ぁ䑁䅑杏歁䙁䅣䅊硁䑁䅑兎䅁偁䉉䅁允䅁䅁䅕䉂䙁䅉兑瑁䙁䅕睕䅁䱁䝅䅁楂䅁䅁睗乂䕁䅫睘䡂䕁䅷睔䍂䕁䅅䅔時䙁䅣兑䑂䕁䅍兑畂䝁䅅䅢㕂䡁䅍兡穂䙁䄸杤祁䍁䄴䅥獂䡁䅍兢摂䙁䅣兑䑂䕁䅍光歁䙁䅁䅊穁䑁䅙杏歁䙁䅁䅊ぁ䑁䅅䅁癄䅁䅁杆䅁䙁䅁杒啂䙁䅍䅉䩂䝁䄴䅚求䡁䅧䅁潂䅁䅁杅䅁䙁䅁䅗杁䕁䅫杢歂䝁䅕䅥䅁䝁䅳䅁奁䅁䅁睕兂䙁䅍睍硁䑁䅑兏㉁䑁䅫兎穁䅁䅁村䅣䙁䅁䅁扂䕁䄰兓時䙁䅣睖時䙁䅣兑䑂䕁䅍兑畂䝁䅅䅢㕂䡁䅍兡穂䙁䄸杤硁䍁䄴䅥獂䡁䅍兢摂䙁䅣兑䑂䕁䅍光歁䕁䅅兒歁䑁䅑䅍䅁偁䅕䅁䥂䅁䅁睗呂䙁䅁睒時䕁䅑睑䝂䕁䅅杢桂䝁䅷入穂䝁䅫督時䡁䅙免畁䡁䅧䅢穂䝁䄰兘䕂䕁䅍杒桁䍁䅑村歁䑁䅉䅍㍁䅁䅁䅓䅍䕁䅯䅁兂䝁䅧兡獂䝁䅫䅣睂䝁䅫杢求䡁䅍䅉䙂䡁䅧睙潂䝁䅅杢湂䝁䅕䅉䑂䝁䄸兢睂䝁䄸督灂䡁䅑党杁䕁䅫杢歂䝁䅕䅥䅁䝁䅫䅁ぁ䅁䅁䅕療䡁䅉䅤ㅂ䝁䅣兤求䡁䅍党杁䙁䅍䅤療䝁䅍睡杁䕁䅫杢歂䝁䅕䅥瑁䑁䅉䅍䅁䝁䅯䅁允䅁䅁䅖偂䕁䅣䅔瑁䙁䅕睕䅁乁䉅䅁坁䅁䅁䅕祂䝁䅫睙求䕁䅍䅢療䡁䅍党䅁䭁䅧䅁允䅁䅁兕䑂䕁䄸兔瑁䙁䅕睕䅁䝁䍧䅁奁䅁䅁兕ㅂ䝁䅫睙牂䍁䅁睑療䝁䄰䅣穂䅁䅁䅊䅕䅁䄴䅁卂䕁䅕睒瑁䙁䅕睕䅁䅁䉍䅁佁䅁䅁杕偂䕁䅳兌噂䙁䅍䅁牂杁䅁杇䅁䙁䅍䅕呂䑁䅙免祁䑁䅧䅎㍁䑁䅑杍ㅁ䅁䅁杰䅕䅁䄴䅁卂䕁䄸䅕瑁䙁䅕睕䅁䵁䅯䅁啁䅁䅁杕啂䙁䅍䅉䩂䝁䄴䅚求䡁䅧䅁瑂䅁䅁䅑䅁䙁䅉兡湂䝁䅧䅤瑁䝁䄸杚瑁䙁䅕督求䍁䅁兑穂䡁䅍党あ䡁䅍杏杁䕁䅣杣療䡁䅍督杁䍁䅧䅊乂䍁䅫䅁䙃睁䅁杇䅁䙁䅉兤穂䡁䅍党獂䝁䅷䅉祁䑁䅁䅍睁䅁䅁睢䅁䉁䅷䅁呂䙁䅁睕硁䑁䅧䅏㍁䑁䅁睍睁䑁䅫兎硁䅁䅁兔䅙䙁䅑䅁扂䕁䄰兓時䕁䅑睑䝂䕁䅅杢桂䝁䅷入穂䝁䅫督時䡁䅙免畁䡁䅧䅢穂䝁䄰兘䕂䕁䅍杒桁䍁䅑䅒兂䍁䅑䅎㕁䑁䅯䅊䕂䙁䅅䅊ぁ䑁䅫䅁煄杁䅁杇䅁䙁䅉兤穂䡁䅍党獂䝁䅷䅉穁䑁䅁䅍睁䅁䅁䅣䅁䉁䅷䅁呂䙁䅁睕硁䑁䅧䅏㍁䑁䅁睍睁䑁䅫䅎硁䅁䅁䅔䅙䉁䅁䅁ぁ䑁䅁李㍁䑁䅉睍ぁ䅁䅁東䅣䉁䅷䅁呂䙁䅁睕硁䑁䅧䅎㍁䑁䅫兏ㅁ䑁䅅睎㕁䅁䅁儸䅕䉁䅁䅁呂䍁䅙䅕杁䑁䅕䅍睁䅁䅁䅆䅁䑁䅯䅁呂䍁䅙䅕杁䑁䅕䅍睁䍁䅁兓畂䡁䅑党湂䡁䅉兙あ䝁䅕䅚杁䕁䄸兡獂䍁䅁杊杁䕁䅣兙穂䅁䅁督䅁䙁䅷䅁扂䙁䅉党㉂䝁䅫督求䝁䅑睘呂䙁䅁睒時䙁䅣兑䑂䕁䅍兑畂䝁䅅䅢㕂䡁䅍兡穂䙁䄸杤硁䍁䄴䅥獂䡁䅍兢摂䙁䅣兑䑂䕁䅍光歁䕁䅅䅒歁䑁䅑䅏䅁䥁䡫䅁奁䅁䅁睕流䙁䅁䅉䉂䙁䅍䅗杁䑁䅉䅍睁䅁䅁兣䅁䉁䅧䅁呂䍁䅙䅕杁䕁䄰兡歂䍁䄰睑桂䡁䅁䅁あ䅁䅁䅊䅁䙁䅍杊兂䍁䅁䅖呂䙁䅧䅉䑂䝁䄸兢睂䝁䄸督灂䡁䅑党䅁䡁䅙䅁慁䅁䅁睕兂䙁䅍兎㕁䑁䅑李祁䑁䅁杍㍁䑁䅙䅁畄杂䅁杄䅁䙁䅍村䩂䍁䄰杍睁䅁䅁睤䅁䅁䄴䅁呂䕁䅕䅖硁䑁䅁䅍䅁䡁䅫䅁奁䅁䅁睕䙂䙁䅑兎睁䍁䅁兓畂䝁䅑党㑂䅁䅁来䅁䉁䅁䅁呂䕁䅫䅖䑂䍁䄰兖呂䅁䅁杂䅅䉁䅷䅁呂䙁䅁睕硁䑁䅣李㕁䑁䅕李ぁ䑁䅣睎㑁䅁䅁杴䅕䍁䅑䅁呂䕁䄴䅔杁䕁䄸杚浂䝁䅕杣灂䝁䄴睚杁䕁䅳党㕂䍁䅁䅁祁䅁䅁䅓䅁䙁䅳睕兂䕁䅣睘䕂䕁䅍杒䉂䝁䄴兙獂䡁䅫督灂䡁䅍睘㉂䑁䅅杌㑂䝁䅷督瑂䙁䄰䅒䑂䕁䅙光歁䙁䅣䅊硁䑁䅍免䅁䑁䐰䅁捁䅁䅁睕兂䙁䅍免㍁䑁䅫杍㉁䑁䅁李㑁䑁䅁李䅁䅁䜰䅁捁䅁䅁睕兂䙁䅍免㑁䑁䅑睎㕁䑁䅫兎硁䑁䅙睍䅁䭁䘰䅁十䅁䅁睕佂䕁䅷兕ㅂ䝁䅕杣㕂䅁䅁睪䅁䉁䅉䅁呂䕁䄴䅔啂䝁䅅杙獂䝁䅕䅁呁䅁䅁䅇䅁䙁䅍睔䝂䕁䅫䅗杁䕁䅫杢歂䝁䅕䅥䅁䡁䄰䅁啁䅁䅁睕兂䕁䅣睕橂䡁䅉党求䝁䄴䅁䙄䅁䅁杆䅁䙁䅍䅕啂䙁䄸睑偂䙁䅕䅕偂䕁䄴䅁慃兂䅁䅇䅁䙁䅍䅕呂䑁䅅䅎睁䑁䅑兎㉁䑁䅙䅍䅁偁䙉䅁奁䅁䅁睕兂䙁䅍免ぁ䑁䅁李㑁䑁䅕䅍硁䅁䅁杋䅣䉁䅧䅁呂䙁䅁睕硁䑁䅑免祁䑁䅣睍㕁䑁䅉䅁浄兂䅁䅇䅁䙁䅍䅕呂䑁䅅䅎硁䑁䅣䅍ぁ䑁䅉䅏䅁䍁䡳䅁慁䅁䅁睕兂䙁䅍免ぁ䑁䅍䅏祁䑁䅑䅏祁䑁䅣䅁䥂睂䅁䅅䅁䑁䅑䅍ぁ䑁䅣䅏ㅁ䑁䅣䅁噂睂䅁杇䅁䙁䅍䅕呂䑁䅅李ㅁ䑁䅕睎祁䑁䅑睍睁䅁䅁朵䅙䉁䅷䅁佂䕁䅅睕䕂䕁䅅兕䡂䕁䄰杏坂䕁䅕杕奂䅁䅁䅯䅣䉁䅯䅁呂䙁䅁睕硁䑁䅙兎ㅁ䑁䅣杍ぁ䑁䅍䅎䅁佁䝣䅁允䅁䅁䅎㉁䑁䅉兎睁䑁䅫兏䅁䙁䡑䅁慁䅁䅁睕兂䙁䅍免㉁䑁䅕兎㍁䑁䅉䅎穁䑁䅧䅁潄杂䅁䅢䅁䙁䅳兔䩂䙁䄸兓佂䙁䅍睘䡂䕁䅷睔䍂䕁䅅䅔時䙁䅣兑䑂䕁䅍杌䉂䝁䄴兙獂䡁䅫督灂䡁䅍睘㉂䑁䅅杌㑂䝁䅷督瑂䙁䄰睖䉂䕁䅍睑桁䍁䅑兕歁䑁䅍睍㙁䍁䅑䅗歁䑁䅍睍䅁䭁䅕䅁慁䅁䅁睕兂䙁䅍免㉁䑁䅕兎㍁䑁䅉䅎ぁ䑁䅉䅁橄杂䅁杇䅁䙁䅍䅕呂䑁䅅李ㅁ䑁䅕睎祁䑁䅑䅎ㅁ䅁䅁儵䅙䉁䅷䅁呂䙁䅁睕硁䑁䅙睎硁䑁䅣睍ぁ䑁䅅睍㍁䅁䅁睃䅙䉁䅷䅁呂䙁䅁睕硁䑁䅙睎硁䑁䅣睍ぁ䑁䅅䅎睁䅁䅁兓䅙䉁䅷䅁呂䙁䅁睕硁䑁䅙睎硁䑁䅣睍ぁ䑁䅅䅎硁䅁䅁䅷䅕䉁䄴䅁䉂䝁䅣兡獂䡁䅫督㕂䡁䅍䅌杁䕁䅫杢橂䍁䄴䅁婄睂䅁䅈䅁䙁䅍䅕呂䑁䅅李㍁䑁䅅睎穁䑁䅑免ぁ䑁䅉䅁歁杂䅁䅈䅁䙁䅍䅕呂䑁䅅兏穁䑁䅁䅍祁䑁䅅李㕁䑁䅧䅁扃杂䅁䅈䅁䙁䅍䅕呂䑁䅅李㍁䑁䅅睎穁䑁䅑免ぁ䑁䅍䅁䱂杂䅁䅈䅁䙁䅍䅕呂䑁䅅李㍁䑁䅅睎穁䑁䅑免ぁ䑁䅑䅁流杂䅁䅈䅁䙁䅍䅕呂䑁䅅李㍁䑁䅅睎穁䑁䅑免ぁ䑁䅕䅁䕄兂䅁䅈䅁䙁䅍䅕呂䑁䅅李㍁䑁䅅睎穁䑁䅑免ぁ䑁䅙䅁慁杂䅁䅈䅁䙁䅍䅕呂䑁䅅李㍁䑁䅅睎穁䑁䅑免ぁ䑁䅣䅁䵁杂䅁杒䅁䙁䅳睕兂䕁䅣睘䕂䕁䅍杒䉂䝁䄴兙獂䡁䅫督灂䡁䅍睘㉂䑁䅅杌㑂䝁䅷督瑂䙁䄰䅒䑂䕁䅙光歁䕁䅷䅊硁䑁䅍䅁楁兂䅁䅈䅁䙁䅍䅕呂䑁䅅李㍁䑁䅅睎穁䑁䅑免ぁ䑁䅧䅁牃兂䅁䅈䅁䙁䅍䅕呂䑁䅅李㍁䑁䅅睎穁䑁䅑免ㅁ䑁䅁䅁䭂杂䅁䅈䅁䙁䅍䅕呂䑁䅅睎㉁䑁䅫兎㉁䑁䅑睎㍁䑁䅫䅁偂杂䅁䅈䅁䙁䅍䅕呂䑁䅅睎㉁䑁䅫兎㉁䑁䅑睎㑁䑁䅁䅁㕁杂䅁䅏䅁䙁䅑兙灂䡁䅣兙畂䍁䅁睕あ䝁䄸睙牂䍁䅁兒㑂䝁䅍䅡桂䝁䄴睚求䍁䅁兓畂䝁䅑党㑂䅁䅁睧䅁䉁䅷䅁呂䙁䅁睕硁䑁䅣李㕁䑁䅙李㍁䑁䅉䅎硁䅁䅁杉䅙䉁䅷䅁呂䙁䅁睕硁䑁䅣李㕁䑁䅙李㍁䑁䅉䅎祁䅁䅁杔䅙䉁䅷䅁呂䙁䅁睕硁䑁䅣兏祁䑁䅙䅍㉁䑁䅣兎㉁䅁䅁先䅙䉁䅷䅁呂䙁䅁睕硁䑁䅣兏祁䑁䅙䅍㉁䑁䅣兎㍁䅁䅁兕䅙䉁䅷䅁呂䙁䅁睕硁䑁䅣兏祁䑁䅙䅍㉁䑁䅣兎㑁䅁䅁兮䅕䉁䅷䅁呂䙁䅁睕硁䑁䅣兏祁䑁䅙䅍㉁䑁䅣兏睁䅁䅁儲䅕䉁䅷䅁呂䙁䅁睕硁䑁䅣兏祁䑁䅙䅍㉁䑁䅣兏硁䅁䅁杍䅙䉁䅷䅁呂䙁䅁睕硁䑁䅣兏祁䑁䅙䅍㉁䑁䅣兏祁䅁䅁䄫䅕䑁䅷䅁啂䝁䅕杣瑂䝁䅫杢桂䡁䅑兡療䝁䄴䅉䕂䝁䅅䅤求䍁䅁䅋瑂䝁䄰睌歂䝁䅑睌㕂䡁䅫入㕂䍁䅫䅁畁䅁䅁䅈䅁䙁䅍䅕呂䑁䅅睎㕁䑁䅉李睁䑁䅙睎㕁䑁䅑䅁㡃兂䅁䅈䅁䙁䅍䅕呂䑁䅅睎㕁䑁䅉李睁䑁䅙睎㕁䑁䅣䅁卂杂䅁䅈䅁䙁䅍䅕呂䑁䅅睎㕁䑁䅉李睁䑁䅙睎㕁䑁䅧䅁权兂䅁䅈䅁䙁䅍䅕呂䑁䅅睎㕁䑁䅉李睁䑁䅙睎㕁䑁䅫䅁ㅁ杂䅁䅈䅁䙁䅍䅕呂䑁䅅睎㕁䑁䅉李睁䑁䅙䅏睁䑁䅁䅁呂杂䅁䅈䅁䙁䅍䅕呂䑁䅅䅏ぁ䑁䅣兏㕁䑁䅕免㉁䑁䅕䅁㉄兂䅁䅈䅁䙁䅍䅕呂䑁䅅睎㕁䑁䅉李睁䑁䅙䅏睁䑁䅅䅁㑁杂䅁䅈䅁䙁䅍䅕呂䑁䅅䅏ぁ䑁䅣兏㕁䑁䅕免㉁䑁䅑䅁䩄兂䅁䅈䅁䙁䅍䅕呂䑁䅅睎㕁䑁䅉李睁䑁䅙䅏睁䑁䅑䅁橁杂䅁䅈䅁䙁䅍䅕呂䑁䅅䅏ぁ䑁䅣兏㕁䑁䅕免㉁䑁䅅䅁㝄兂䅁䅈䅁䙁䅍䅕呂䑁䅅睎㕁䑁䅉李睁䑁䅙䅏睁䑁䅕䅁啁杂䅁䅈䅁䙁䅍䅕呂䑁䅅睎㕁䑁䅉李ㅁ䑁䅫睎㕁䑁䅙䅁摂杂䅁䅈䅁䙁䅍䅕呂䑁䅅睎㕁䑁䅉睎㍁䑁䅕䅎祁䑁䅍䅁䑂杂䅁䅈䅁䙁䅍䅕呂䑁䅅睎㕁䑁䅉睎㍁䑁䅕䅎祁䑁䅫䅁慄兂䅁䅈䅁䙁䅍䅕呂䑁䅅睎㕁䑁䅉睎㍁䑁䅕䅎穁䑁䅑䅁瑁杂䅁䅖䅁䙁䅳兔䩂䙁䄸䅒䑂䕁䅙兑畂䝁䅅䅢㕂䡁䅍兡穂䙁䄸杤硁䍁䄴䅥獂䡁䅍兢摂䕁䅑睑䝂䍁䅅䅊䝂䍁䅑杍睁䑁䅕杏歁䕁䄰䅊祁䑁䅁兎䅁䙁䍳䅁捁䅁䅁睕兂䙁䅍免㍁䑁䅫杍㍁䑁䅣兎ぁ䑁䅍䅏䅁䕁䝧䅁捁䅁䅁睕兂䙁䅍免㍁䑁䅫李ぁ䑁䅍䅏㉁䑁䅁䅍䅁䑁䡷䅁㙁䅁䅁睕求䡁䅑䅤獂䝁䅕兢求䝁䄴䅤杁䕁䅑兙あ䝁䅕䅉潁䝁䄰兢癁䝁䅑䅚癁䡁䅫入㕂䡁䅫克䅁䑁䅅䅁㙂䅁䅁睔睂䡁䅑兡療䝁䄴督㙁䕁䅍兤祂䡁䅉児䡂䕁䅉䅕獁䍁䅁兔桂䝁䅣児䍂䝁䅫䅢獂䝁䅫睢畂䡁䅍䅌杁䕁䅍睢畂䡁䅙兔求䡁䅑䅡療䝁䅑児卂䝁䅕睙療䝁䄰兢求䝁䄴䅚求䝁䅑䅌佂䕁䅅児佂䕁䅅䅁ㅄ睂䅁䅈䅁䙁䅍䅕呂䑁䅅䅏祁䑁䅍䅏㕁䑁䅧䅍睁䑁䅉䅁奂杂䅁䅈䅁䙁䅍䅕呂䑁䅅䅏祁䑁䅍兏祁䑁䅁睎祁䑁䅅䅁⭃兂䅁䅈䅁䙁䅍䅕呂䑁䅅䅏祁䑁䅑䅍ぁ䑁䅕䅎ㅁ䑁䅑䅁煁杂䅁杅䅁䑁䅅䅍㍁䑁䅙䅏㍁䑁䅑䅍䅁䝁䠰䅁慁䅁䅁睕兂䙁䅍兎㕁䑁䅫䅏ㅁ䑁䅫杍睁䑁䅧䅁楂杂䅁䅈䅁䙁䅍䅕呂䑁䅅䅏穁䑁䅣䅎ㅁ䑁䅅兏㍁䑁䅍䅁㉁杂䅁䅈䅁䙁䅍䅕呂䑁䅅䅏穁䑁䅣䅎ㅁ䑁䅅兏㍁䑁䅑䅁捃兂䅁䅈䅁䙁䅍䅕呂䑁䅅䅏穁䑁䅣䅎ㅁ䑁䅅兏㍁䑁䅕䅁硁杂䅁䅈䅁䙁䅍䅕呂䑁䅅䅏穁䑁䅣䅎ㅁ䑁䅅兏㍁䑁䅧䅁⽁杂䅁䅈䅁䙁䅍䅕呂䑁䅅䅏穁䑁䅣䅎ㅁ䑁䅅兏㑁䑁䅁䅁佄兂䅁䅈䅁䙁䅍䅕呂䑁䅅䅏穁䑁䅣䅎ㅁ䑁䅅兏㑁䑁䅅䅁䉄兂䅁䅈䅁䙁䅍䅕呂䑁䅅䅏穁䑁䅣䅎ㅁ䑁䅅兏㑁䑁䅉䅁⽃兂䅁䅈䅁䙁䅍䅕呂䑁䅅䅏穁䑁䅣䅎ㅁ䑁䅅兏㑁䑁䅍䅁㍁杂䅁䅈䅁䙁䅍䅕呂䑁䅅䅏ぁ䑁䅣兏㕁䑁䅕免睁䑁䅕䅁い兂䅁䅈䅁䙁䅍䅕呂䑁䅅䅏ぁ䑁䅣兏㕁䑁䅕免睁䑁䅣䅁煄兂䅁䅈䅁䙁䅍䅕呂䑁䅅䅏ぁ䑁䅣兏㕁䑁䅕免睁䑁䅧䅁䑁杂䅁䅈䅁䙁䅍䅕呂䑁䅅䅏ぁ䑁䅣兏㕁䑁䅕免睁䑁䅫䅁畄兂䅁䅈䅁䙁䅍䅕呂䑁䅅䅏ぁ䑁䅣兏㕁䑁䅕免硁䑁䅁䅁桃兂䅁杒䅁䙁䅳兔䩂䙁䄸䅒䑂䕁䅙兑畂䝁䅅䅢㕂䡁䅍兡穂䙁䄸杤硁䍁䄴䅥獂䡁䅍兢摂䕁䅑睑䝂䍁䅅䅊䉂䕁䅣䅊ぁ䑁䅣䅁歄杁䅁杊䅁䙁䅍睤灂䡁䅍督杁䕁䄰兙祂䝁䅳党あ䍁䅁兓畂䝁䅑党㑂䅁䅁杧䅁䉁䅷䅁呂䙁䅁睕硁䑁䅧䅎㍁䑁䅫兏ㅁ䑁䅅免硁䅁䅁儫䅕䉁䅷䅁呂䙁䅁睕硁䑁䅧䅎㍁䑁䅫兏ㅁ䑁䅅杍㑁䅁䅁䅂䅙䉁䅷䅁呂䙁䅁睕硁䑁䅧䅎㍁䑁䅫兏ㅁ䑁䅅睍睁䅁䅁杯䅕䙁䅑䅁扂䕁䄰兓時䕁䅑睑䝂䕁䅅杢桂䝁䅷入穂䝁䅫督時䡁䅙免畁䡁䅧䅢穂䝁䄰兘䕂䕁䅍杒桁䍁䅑睑塂䍁䅑兎睁䑁䅯䅊䑂䙁䅯䅊ㅁ䑁䅁䅁䡂杁䅁䅈䅁䙁䅍䅕呂䑁䅅䅏ぁ䑁䅣兏㕁䑁䅕免穁䑁䅉䅁噄兂䅁杇䅁䙁䅍䅕呂䑁䅙李睁䑁䅙杍ㅁ䑁䅁免㍁䅁䅁杏䅣䉁䅷䅁呂䙁䅁睕硁䑁䅧䅎㍁䑁䅫兏ㅁ䑁䅅睍穁䅁䅁䅲䅕䝁䅑䅁扂䕁䄰兓時䕁䅣䅔偂䕁䅉兑䵂䙁䄸睖䉂䕁䅍睑䉂䝁䄴兙獂䡁䅫督灂䡁䅍睘㉂䑁䅉杌㑂䝁䅷督瑂䙁䄰睖䉂䕁䅍睑桁䍁䅑兕歁䑁䅍睍㙁䍁䅑兑䉂䍁䅑睍穁䅁䅁䄸䅁䕁䅑䅁扂䕁䄰兓時䕁䅑睑䝂䕁䅅杢桂䝁䅷入穂䝁䅫督時䡁䅙免畁䡁䅧䅢穂䝁䄰兘䕂䕁䅍杒桁䍁䅑䅗歁䑁䅉兏䅁䍁䍯䅁獂䅁䅁睗乂䕁䅫睘䩂䕁䄴睕時䕁䅣䅔偂䕁䅉兑䵂䙁䄸睖䉂䕁䅍睑畁䕁䅅杢桂䝁䅷入穂䝁䅫督時䡁䅙免畁䡁䅧䅢穂䝁䄰兘塂䕁䅅睑䑂䍁䅅䅊兂䍁䅑睍㉁䑁䅯䅊兂䍁䅑䅎硁䅁䅁䅰䅁䉁䅷䅁呂䙁䅁睕硁䑁䅧䅎㍁䑁䅫兏ㅁ䑁䅅睍ぁ䅁䅁䅹䅕䉁䅷䅁呂䙁䅁睕硁䑁䅧䅎㍁䑁䅫兏ㅁ䑁䅅睍ㅁ䅁䅁儹䅕䕁䅑䅁䩂䝁䄴䅤求䝁䅷䅉䑂䝁䄸杣睂䝁䄸杣桂䡁䅑兡療䝁䄴䅉潁䕁䄴兑呂䕁䅑兑剂䕁䅣睕㙁䕁䅫杔啂䕁䅍克䅁䡁䠰䅁䅂䅁䅁村獂䝁䅅睙牂䝁䅉兙ㅂ䝁䅑䅌杁䕁䅫杢橂䍁䄴䅉潁䕁䄴兑呂䕁䅑兑剂䕁䅣睕㙁䕁䅉䅔䱂䕁䅉克䅁䭁䠸䅁捁䅁䅁睕兂䙁䅍免㑁䑁䅑睎㕁䑁䅫兎硁䑁䅍李䅁䱁䙯䅁捁䅁䅁睕兂䙁䅍免㑁䑁䅑睎㕁䑁䅫兎硁䑁䅍睎䅁佁䙳䅁捁䅁䅁睕兂䙁䅍免㑁䑁䅑睎㕁䑁䅫兎硁䑁䅣杍䅁乁䙣䅁捁䅁䅁睕兂䙁䅍免㑁䑁䅑睎㕁䑁䅫兎硁䑁䅣睍䅁䭁䘴䅁捁䅁䅁睕兂䙁䅍免㑁䑁䅑睎㕁䑁䅫兎硁䑁䅣兎䅁偁䙣䅁浂䅁䅁睗卂䝁䅕杤灂䡁䅍党歂䕁䅑杣桂䝁䅙䅤時䙁䅍䅕䡂䙁䄸睖䉂䕁䅍睑䉂䝁䄴兙獂䡁䅫督灂䡁䅍睘㉂䑁䅍杌㑂䝁䅷督瑂䙁䄰睖䉂䕁䅍睑桁䍁䅑兑卂䍁䅑兎祁䅁䅁䄵䅣䉁䅷䅁呂䙁䅁睕硁䑁䅧䅎㍁䑁䅫兏ㅁ䑁䅅睎㉁䅁䅁睵䅕䉁䅁䅁ぁ䑁䅁杍ㅁ䑁䅣䅎㉁䅁䅁睦䅣䉁䅷䅁呂䙁䅁睕硁䑁䅧䅎㍁䑁䅫兏ㅁ䑁䅅睎㍁䅁䅁儷䅕䝁䅧䅁扂䕁䄰兓時䕁䅣䅔偂䕁䅉兑䵂䙁䄸睖䉂䕁䅍睑䉂䝁䄴兙獂䡁䅫督灂䡁䅍睘㉂䑁䅅杌㑂䝁䅷督瑂䙁䄰睖䉂䕁䅍睑桁䍁䅑睑偂䍁䅑䅎祁䑁䅯䅊䑂䕁䄸䅊㍁䑁䅁睍䅁䱁䅕䅁捁䅁䅁睕兂䙁䅍免㑁䑁䅑睎㕁䑁䅫兎硁䑁䅣䅏䅁䅁䝣䅁捁䅁䅁睕兂䙁䅍免㑁䑁䅑睎㕁䑁䅫兎硁䑁䅧䅍䅁䭁䙍䅁捁䅁䅁睕兂䙁䅍免㑁䑁䅑睎㕁䑁䅫兎硁䑁䅧免䅁偁䙷䅁捁䅁䅁睕兂䙁䅍免㑁䑁䅑睎㕁䑁䅫兎硁䑁䅧䅎䅁䵁䙳䅁卂䅁䅁睗乂䕁䅫睘䕂䕁䅍杒䉂䝁䄴兙獂䡁䅫督灂䡁䅍睘㉂䑁䅅杌㑂䝁䅷督瑂䙁䄰䅒䑂䕁䅙光歁䙁䅧䅊ぁ䑁䅧杏歁䕁䅅兒歁䑁䅑䅏䅁佁䍣䅁捁䅁䅁睕兂䙁䅍免㑁䑁䅑睎㕁䑁䅫兎穁䑁䅧䅍䅁䵁䙕䅁歂䅁䅁睗卂䝁䅕杤灂䡁䅍党歂䕁䅑杣桂䝁䅙䅤時䙁䅍䅕䡂䙁䄸睖䉂䕁䅍睑䉂䝁䄴兙獂䡁䅫督灂䡁䅍睘㉂䑁䅑杌㑂䝁䅷督瑂䙁䄰睖䉂䕁䅍睑桁䍁䅑兒歁䑁䅅睍䅁佁䡙䅁捁䅁䅁睕兂䙁䅍免㑁䑁䅑睎㕁䑁䅫兎穁䑁䅧䅎䅁䱁䙣䅁捁䅁䅁睕兂䙁䄸睕䥂䕁䅅杕䙂䙁䅍睘偂䙁䅕䅖䅁䝁䈰䅁捁䅁䅁睕兂䙁䅍免㑁䑁䅑睎㕁䑁䅫兎穁䑁䅧睎䅁䱁䙉䅁捁䅁䅁睕兂䙁䅍免㑁䑁䅑睎㕁䑁䅫兎穁䑁䅫䅍䅁䵁䙙䅁捁䅁䅁睕兂䙁䅍免㑁䑁䅑睎㕁䑁䅫兎穁䑁䅫免䅁䅁䝁䅁捁䅁䅁睕兂䙁䅍免㑁䑁䅑睎㕁䑁䅫兎穁䑁䅫杍䅁乁䙷䅁歂䅁䅁睗卂䝁䅕杤灂䡁䅍党歂䕁䅑杣桂䝁䅙䅤時䙁䅍䅕䡂䙁䄸睖䉂䕁䅍睑䉂䝁䄴兙獂䡁䅫督灂䡁䅍睘㉂䑁䅑杌㑂䝁䅷督瑂䙁䄰睖䉂䕁䅍睑桁䍁䅑兒歁䑁䅉免䅁佁䡕䅁捁䅁䅁睕兂䙁䅍免㑁䑁䅑睎㕁䑁䅫兎穁䑁䅫䅎䅁䱁䙧䅁捁䅁䅁睕兂䙁䅍免㑁䑁䅑睎㕁䑁䅫兎穁䑁䅫兎䅁䕁䝙䅁捁䅁䅁睕兂䙁䅍免㑁䑁䅑睎㕁䑁䅫兎穁䑁䅫睎䅁䱁䙍䅁捁䅁䅁睕兂䙁䅍免㑁䑁䅧睎睁䑁䅍䅍㕁䑁䅑杍䅁佁䙍䅁捁䅁䅁睕兂䙁䅍免㑁䑁䅧睎睁䑁䅍䅍㕁䑁䅑睍䅁䅁䝧䅁捁䅁䅁睕兂䙁䅍免㑁䑁䅧睎睁䑁䅍䅍㕁䑁䅑䅎䅁䙁䝯䅁捁䅁䅁睕兂䙁䅍免㑁䑁䅧睎睁䑁䅍䅍㕁䑁䅑兎䅁䵁䙉䅁捁䅁䅁睕兂䙁䅍免㑁䑁䅧睎睁䑁䅍䅍㕁䑁䅑李䅁䉁䝙䅁捁䅁䅁睕兂䙁䅍免㑁䑁䅧睎睁䑁䅍</t>
  </si>
  <si>
    <t>䅍㕁䑁䅑䅏䅁䕁䝁䅁慂䅁䅁睗卂䝁䅕杤灂䡁䅍党歂䙁䄸睕兂䕁䅣睘塂䕁䅅睑䑂䕁䅅杢桂䝁䅷入穂䝁䅫督時䡁䅙免畁䡁䅧䅢穂䝁䄰兘塂䕁䅅睑䑂䍁䅅䅊䙂䍁䅑免穁䅁䅁杩䅣䉁䅷䅁呂䙁䅁睕硁䑁䅧䅏㍁䑁䅁睍睁䑁䅫兎睁䅁䅁兺䅕䝁䅑䅁扂䕁䄰兓時䕁䅣䅔偂䕁䅉兑䵂䙁䄸睖䉂䕁䅍睑䉂䝁䄴兙獂䡁䅫督灂䡁䅍睘㉂䑁䅅杌㑂䝁䅷督瑂䙁䄰睖䉂䕁䅍睑桁䍁䅑兕歁䑁䅍䅎㙁䍁䅑兑䉂䍁䅑睍ぁ䅁䅁眲䅁䉁䅷䅁呂䙁䅁睕硁䑁䅧䅏㍁䑁䅁睍睁䑁䅫兎ぁ䅁䅁睗䅙䉁䅷䅁呂䙁䅁睕硁䑁䅧䅏㍁䑁䅁睍睁䑁䅫兎ㅁ䅁䅁睷䅕䉁䅷䅁呂䙁䅁睕硁䑁䅧䅏㍁䑁䅁睍睁䑁䅫兎㍁䅁䅁儴䅕䉁䅷䅁呂䙁䅁睕硁䑁䅫免㍁䑁䅁䅍㑁䑁䅫兏㑁䅁䅁䅒䅣䉁䅷䅁呂䙁䅁睕硁䑁䅫杍㑁䑁䅧李睁䑁䅙免祁䅁䅁杒䅣䙁䅙䅁扂䙁䅍䅕䡂䙁䄸䅒䑂䕁䅙兑畂䝁䅅䅢㕂䡁䅍兡穂䙁䄸杤硁䍁䄴䅥獂䡁䅍兢摂䕁䅑睑䝂䍁䅅䅊䉂䕁䅷䅊ㅁ䑁䅫杏歁䕁䅅䅔歁䑁䅣杍䅁䍁䐰䅁慁䅁䅁睕兂䙁䅍杍睁䑁䅧睎祁䑁䅫兏祁䑁䅁䅁㍁睂䅁䅈䅁䙁䅍䅕呂䑁䅅兏穁䑁䅁杍ㅁ䑁䅙䅍㑁䑁䅣䅁慃杂䅁䅈䅁䙁䅍䅕呂䑁䅅兏穁䑁䅁杍ㅁ䑁䅙䅍㑁䑁䅧䅁桃杂䅁杇䅁䙁䅍䅕呂䑁䅉睎祁䑁䅁䅎穁䑁䅫杍㑁䅁䅁䄯䅙䉁䅷䅁呂䙁䅁睕硁䑁䅫睍睁䑁䅉兎㉁䑁䅁兏睁䅁䅁䅯䅙䉁䅷䅁呂䙁䅁睕硁䑁䅫睍睁䑁䅉兎㉁䑁䅁兏硁䅁䅁䅮䅙䙁䅙䅁扂䙁䅍䅕䡂䙁䄸䅒䑂䕁䅙兑畂䝁䅅䅢㕂䡁䅍兡穂䙁䄸杤硁䍁䄴䅥獂䡁䅍兢摂䕁䅑睑䝂䍁䅅䅊䑂䕁䅕䅊ㅁ䑁䅍杏歁䕁䅍睒歁䑁䅕睍䅁䡁䑳䅁慁䅁䅁睕兂䙁䅍杍ㅁ䑁䅅兏硁䑁䅙免㕁䑁䅕䅁硁睂䅁杆䅁䙁䅍䅕呂䑁䅉李睁䑁䅙杍祁䑁䅧䅁䭂睂䅁杇䅁䙁䅍䅕呂䑁䅉睎祁䑁䅁䅎穁䑁䅫杍㍁䅁䅁眫䅙䙁䅉䅁扂䕁䄰兓時䕁䅑睑䝂䕁䅅杢桂䝁䅷入穂䝁䅫督時䡁䅙免畁䡁䅧䅢穂䝁䄰兘䕂䕁䅍杒桁䍁䅑䅗歁䑁䅑睎㙁䍁䅑兑䙂䍁䅑䅎㍁䅁䅁朵䅉䉁䅯䅁呂䙁䅁睕祁䑁䅣杍硁䑁䅅睎㉁䑁䅅兎䅁䍁䠸䅁慁䅁䅁睕兂䙁䅍杍㍁䑁䅉免硁䑁䅣李硁䑁䅙䅁睁睂䅁杇䅁䙁䅍䅕呂䑁䅉䅏㑁䑁䅣免㑁䑁䅫睎㑁䅁䅁䅶䅙䍁䅙䅁呂䙁䅁睘啂䕁䅫睑䱂䕁䅕杕時䕁䅕䅗䑂䕁䅧兑佂䕁䅣兒䅁䥁䙳䅁慁䅁䅁睕兂䙁䅍杍㑁䑁䅧睎硁䑁䅧兏㍁䑁䅫䅁㥃杂䅁杇䅁䙁䅍䅕呂䑁䅉䅏㑁䑁䅣免㑁䑁䅫䅏穁䅁䅁睷䅙䉁䅯䅁呂䙁䅁睕祁䑁䅧䅏㍁䑁䅅䅏㕁䑁䅧李䅁䵁䝙䅁慁䅁䅁睕兂䙁䅍杍㑁䑁䅧睎硁䑁䅧兏㕁䑁䅧䅁㙄杂䅁杇䅁䙁䅍䅕呂䑁䅍免ぁ䑁䅅䅎祁䑁䅣䅎㍁䅁䅁睹䅙䙁䅁䅁扂䕁䄰兓時䕁䅑睑䝂䕁䅅杢桂䝁䅷入穂䝁䅫督時䡁䅙免畁䡁䅧䅢穂䝁䄰兘䕂䕁䅍杒桁䍁䅑䅓歁䑁䅫兎㙁䍁䅑兔歁䑁䅫兎䅁䕁䍳䅁兂䅁䅁睗乂䕁䅫睘䕂䕁䅍杒䉂䝁䄴兙獂䡁䅫督灂䡁䅍睘㉂䑁䅅杌㑂䝁䅷督瑂䙁䄰䅒䑂䕁䅙光歁䕁䅧䅊㕁䑁䅙杏歁䕁䄰䅊㕁䑁䅙䅁乂杁䅁杇䅁䙁䅍䅕呂䑁䅍免㕁䑁䅧䅎硁䑁䅍李ㅁ䅁䅁䅺䅙䉁䅯䅁呂䙁䅁睕穁䑁䅅兏㑁䑁䅑免穁䑁䅙李䅁䵁䜰䅁奁䅁䅁睕兂䙁䅍睍祁䑁䅉免㕁䑁䅫䅏㑁䅁䅁杍䅣䕁䅷䅁乂䝁䅫睙祂䝁䄸督療䝁䅙䅤杁䕁䅍睢祂䡁䅁睢祂䝁䅅䅤灂䝁䄸杢杁䍁䅧杔䉂䙁䅍䅒䉂䙁䅅睒呂䑁䅯兔呂䕁䅙䅖灁䅁䅁八䅣䉁䅧䅁呂䙁䅁睕穁䑁䅉杍硁䑁䅫兏㕁䑁䅉䅁畁睂䅁杇䅁䙁䅍䅕呂䑁䅍杍ㅁ䑁䅧免㑁䑁䅕李睁䅁䅁朴䅕䉁䅯䅁呂䙁䅁睕穁䑁䅉睎睁䑁䅅兎㑁䑁䅑免䅁䙁䝁䅁奁䅁䅁睕兂䙁䅍䅎睁䑁䅕李睁䑁䅍睎㉁䅁䅁睓䅣䉁䅯䅁呂䙁䅁睕ぁ䑁䅁睎ぁ䑁䅫杍㉁䑁䅣䅎䅁䑁䜴䅁慁䅁䅁睕兂䙁䅍䅎睁䑁䅫睎ㅁ䑁䅅䅍硁䑁䅕䅁偄杂䅁䅇䅁䙁䅍䅕呂䑁䅑兏ㅁ䑁䅅䅍硁䑁䅧杍䅁䍁䝁䅁慁䅁䅁睕兂䙁䅍䅎睁䑁䅫睎ㅁ䑁䅅免睁䑁䅍䅁㥄杂䅁杌䅁䙁䅣睢祂䝁䅳兡㉂䝁䅅䅉䩂䝁䄴睙畁䍁䅁䅋佂䙁䅫睕䙂䑁䅯睖䱂䍁䅫䅁䕄睂䅁杅䅁䕁䅳村奂䍁䄰䅗啂䙁䅉兑䅁䡁䡕䅁慁䅁䅁睕兂䙁䅍䅎睁䑁䅫睎ㅁ䑁䅅免睁䑁䅑䅁⭄杂䅁杇䅁䙁䅍䅕呂䑁䅙李㉁䑁䅅免ぁ䑁䅕兏ㅁ䅁䅁䅅䅙䉁䅯䅁呂䙁䅁睕ぁ䑁䅅睎㕁䑁䅅䅏㑁䑁䅧杍䅁䍁䝣䅁慁䅁䅁睕兂䙁䅍䅎祁䑁䅙睎㍁䑁䅕䅍ぁ䑁䅫䅁㝁睂䅁杇䅁䙁䅍䅕呂䑁䅑睍硁䑁䅅兎㑁䑁䅫兏㑁䅁䅁䅍䅙䉁䅯䅁呂䙁䅁睕ㅁ䑁䅫䅎ㅁ䑁䅁睍穁䑁䅣䅎䅁䅁䠰䅁慁䅁䅁睕兂䙁䅍兎㕁䑁䅑兎睁䑁䅍睍㍁䑁䅕䅁佁睂䅁杒䅁䙁䅳兔䩂䙁䄸䅒䑂䕁䅙兑畂䝁䅅䅢㕂䡁䅍兡穂䙁䄸杤硁䍁䄴䅥獂䡁䅍兢摂䕁䅑睑䝂䍁䅅䅊䉂䕁䄸䅊ㅁ䑁䅍䅁穄杁䅁杇䅁䙁䅍䅕呂䑁䅕兏ぁ䑁䅕䅍穁䑁䅍睎㑁䅁䅁充䅣䉁䅯䅁呂䙁䅁睕ㅁ䑁䅫䅎ㅁ䑁䅁睍穁䑁䅧䅍䅁乁䝅䅁慁䅁䅁睕兂䙁䅍兎㕁䑁䅑兎睁䑁䅍睍㑁䑁䅅䅁卄杂䅁杇䅁䙁䅍䅕呂䑁䅕兏ぁ䑁䅕䅍穁䑁䅍䅏祁䅁䅁眰䅙䉁䅯䅁呂䙁䅁睕ㅁ䑁䅫䅎ㅁ䑁䅁睍穁䑁䅧李䅁乁䝣䅁敂䅁䅁睗乂䕁䅫睘塂䙁䅣睘塂䕁䅅睑䑂䕁䅅杢桂䝁䅷入穂䝁䅫督時䡁䅙免畁䡁䅧䅢穂䝁䄰兘塂䕁䅅睑䑂䍁䅅䅊䑂䙁䅍䅊穁䑁䅫杏歁䕁䅍杖歁䑁䅍兏䅁偁䄰䅁慁䅁䅁睕兂䙁䅍兎㕁䑁䅑兎睁䑁䅍睍㑁䑁䅣䅁奄杂䅁杇䅁䙁䅍䅕呂䑁䅕兏ぁ䑁䅕䅍穁䑁䅍兏祁䅁䅁䄳䅙䉁䅯䅁呂䙁䅁睕ㅁ䑁䅫䅎ㅁ䑁䅁睍穁䑁䅫睍䅁乁䜰䅁慁䅁䅁睕兂䙁䅍兎㕁䑁䅑兎睁䑁䅍睍㕁䑁䅑䅁敄杂䅁杇䅁䙁䅍䅕呂䑁䅕兏ぁ䑁䅕䅍穁䑁䅍兏ㅁ䅁䅁眳䅙䉁䅯䅁呂䙁䅁睕ㅁ䑁䅫䅎ㅁ䑁䅁睍穁䑁䅫睎䅁佁䝅䅁慁䅁䅁睕兂䙁䅍兎㕁䑁䅑兎睁䑁䅍睍㕁䑁䅫䅁楄杂䅁杇䅁䙁䅍䅕呂䑁䅕兏ぁ䑁䅕䅍穁䑁䅑䅍硁䅁䅁睁䅣䉁䅯䅁呂䙁䅁睕ㅁ䑁䅫䅎ㅁ䑁䅁睍ぁ䑁䅁杍䅁䅁䡑䅁慁䅁䅁睕兂䙁䅍兎㕁䑁䅑兎睁䑁䅍䅎睁䑁䅕䅁䝁睂䅁䅗䅁䙁䅳兔䩂䙁䄸睒䵂䕁䄸村䉂䕁䅷睘塂䕁䅅睑䑂䕁䅅杢桂䝁䅷入穂䝁䅫督時䡁䅙免畁䡁䅧䅢穂䝁䄰兘塂䕁䅅睑䑂䍁䅅䅊䑂䙁䅙䅊穁䑁䅣䅁㍃䅁䅁杇䅁䙁䅍䅕呂䑁䅕兏ぁ䑁䅙杍睁䑁䅉李㍁䅁䅁䅎䅣䉁䅯䅁呂䙁䅁睕ㅁ䑁䅫䅎ㅁ䑁䅁睍ぁ䑁䅁睎䅁䅁䡣䅁慁䅁䅁睕兂䙁䅍兎㕁䑁䅑兎睁䑁䅍䅎睁䑁䅫䅁䥁睂䅁杇䅁䙁䅍䅕呂䑁䅕兏ぁ䑁䅙杍睁䑁䅉睎睁䅁䅁儶䅙䉁䅯䅁呂䙁䅁睕ㅁ䑁䅫䅎ㅁ䑁䅁睍ぁ䑁䅅杍䅁䉁䡷䅁慁䅁䅁睕兂䙁䅍兎㕁䑁䅑李祁䑁䅁杍㍁䑁䅅䅁煄杂䅁杇䅁䙁䅍䅕呂䑁䅕兏ぁ䑁䅕䅍穁䑁䅑免穁䅁䅁先䅣䑁䅷䅁䍂䝁䅷兙橂䝁䅳䅔灂䝁䄴党獁䍁䅁兓畂䝁䅍杌杁䍁䅧杔䉂䙁䅍䅒䉂䙁䅅睒呂䑁䅯村䵂䍁䅫䅁牃睂䅁杇䅁䙁䅍䅕呂䑁䅕兏ぁ䑁䅙杍睁䑁䅉睎㍁䅁䅁眷䅙䉁䅯䅁呂䙁䅁睕ㅁ䑁䅫䅎ㅁ䑁䅁睍ぁ䑁䅅兎䅁䉁䠴䅁慁䅁䅁睕兂䙁䅍兎㕁䑁䅑兎睁䑁䅍䅎硁䑁䅙䅁晁睂䅁杇䅁䙁䅍䅕呂䑁䅕兏ぁ䑁䅕䅍穁䑁䅑免㍁䅁䅁䅉䅣䉁䅷䅁灂䡁䅅睘療䝁䅙杚求䡁䅉睘歂䝁䅅䅤求䅁䅁允䅑䉁䅯䅁呂䙁䅁睕ㅁ䑁䅫䅎㉁䑁䅉䅍祁䑁䅣兎䅁佁䜰䅁卂䅁䅁睗乂䕁䅫睘䕂䕁䅍杒䉂䝁䄴兙獂䡁䅫督灂䡁䅍睘㉂䑁䅅杌㑂䝁䅷督瑂䙁䄰䅒䑂䕁䅙光歁䙁䅧䅊ぁ䑁䅕杏歁䕁䅅兒歁䑁䅑兎䅁䕁䍍䅁慁䅁䅁睕兂䙁䅍兎㕁䑁䅑兎睁䑁䅍䅎祁䑁䅉䅁啁睂䅁杇䅁䙁䅍䅕呂䑁䅕兏ぁ䑁䅕䅍穁䑁䅑杍穁䅁䅁兆䅣䉁䅯䅁呂䙁䅁睕ㅁ䑁䅫䅎ㅁ䑁䅁睍ぁ䑁䅉䅎䅁䉁䡙䅁慁䅁䅁睕兂䙁䅍兎㕁䑁䅑李祁䑁䅁杍㉁䑁䅫䅁㉁睂䅁杊䅁䙁䅳村療䝁䄸睡硁䙁䄰睕潂䝁䅕党あ䑁䅅光歁䕁䄴䅊硁䅁䅁睆䅁䉁䅯䅁呂䙁䅁睕ㅁ䑁䅫䅎㉁䑁䅉䅍祁䑁䅧䅍䅁䍁䡍䅁慁䅁䅁睕兂䙁䅍兎㕁䑁䅑李祁䑁䅁杍㑁䑁䅕䅁歁睂䅁杇䅁䙁䅍䅕呂䑁䅕兏ぁ䑁䅙杍睁䑁䅉䅏㍁䅁䅁兊䅣䉁䅯䅁呂䙁䅁睕ㅁ䑁䅫䅎㉁䑁䅉䅍祁䑁䅧䅏䅁䍁䡙䅁慁䅁䅁睕兂䙁䅍兎㕁䑁䅑李祁䑁䅁杍㕁䑁䅁䅁㑁睂䅁䅅䅁䕁䄴兗呂䕁䅕杏塂䕁䅳䅁䑄睂䅁杇䅁䙁䅍䅕呂䑁䅙䅍睁䑁䅁李㑁䑁䅑李㕁䅁䅁兴䅕䉁䅯䅁呂䙁䅁睕㉁䑁䅅杍㑁䑁䅑睎ぁ䑁䅉李䅁䭁䙣䅁慁䅁䅁睕兂䙁䅍李硁䑁䅉䅏ぁ䑁䅣䅎祁䑁䅣䅁潃兂䅁杇䅁䙁䅍䅕呂䑁䅙免祁䑁䅧䅎㍁䑁䅑杍㑁䅁䅁共䅕䑁䅑䅁扂䕁䅉睢療䝁䅳免摂䙁䅍䅡求䝁䅕䅤硁䍁䅅䅊䱂䍁䅑免穁䑁䅯䅊䱂䍁䅑免㑁䅁䅁睈䅁䉁䅧䅁呂䙁䅁睕㉁䑁䅑兎㉁䑁䅍䅎㑁䑁䅧䅁䙂睂䅁杇䅁䙁䅍䅕呂䑁䅙兎穁䑁䅑睎ㅁ䑁䅉䅏ぁ䅁䅁睏䅙䉁䅯䅁呂䙁䅁睕㉁䑁䅕睍ぁ䑁䅣兎祁䑁䅧兎䅁䑁䝷䅁䝂䅁䅁睗乂䕁䅫睘䕂䕁䅍杒䉂䝁䄴兙獂䡁䅫督灂䡁䅍睘㉂䑁䅅杌㑂䝁䅷督瑂䙁䄰䅒䑂䕁䅙光歁䙁䅧䅊硁䑁䅉䅏䅁佁䈸䅁坂䅁䅁睗呂䙁䅁睒時䕁䅑睑䝂䕁䅅杢桂䝁䅷入穂䝁䅫督時䡁䅙免畁䡁䅧䅢穂䝁䄰兘䕂䕁䅍杒桁䍁䅑䅗歁䑁䅅䅎祁䑁䅯䅊奂䍁䅑免ぁ䑁䅍䅁䑂睁䅁杇䅁䙁䅍䅕呂䑁䅙兎穁䑁䅑睎ㅁ䑁䅣杍祁䅁䅁兗䅙䉁䅯䅁呂䙁䅁睕㉁䑁䅕兏ぁ䑁䅑李㍁䑁䅧睎䅁䍁䡣䅁慁䅁䅁睕兂䙁䅍李ㅁ䑁䅫䅎ぁ䑁䅙䅏㕁䑁䅍䅁⽄杂䅁杇䅁䙁䅍䅕呂䑁䅙兎㕁䑁䅑䅎㉁䑁䅧兏ぁ䅁䅁䅁䅣䉁䅯䅁呂䙁䅁睕㉁䑁䅕兏ぁ䑁䅑李㕁䑁䅧䅎䅁䍁䡧䅁奁䅁䅁睕兂䙁䅍李㉁䑁䅉兎睁䑁䅑䅏㍁䅁䅁兑䅣䉁䅯䅁呂䙁䅁睕㉁䑁䅙李硁䑁䅅䅎ㅁ䑁䅫李䅁䉁䝅䅁啁䅁䅁睔乂䑁䅯杖偂䕁䅷杖杁䕁䅉䅁橂睂䅁杇䅁䙁䅍䅕呂䑁䅙李㉁䑁䅅免ぁ䑁䅕兏㍁䅁䅁杅䅙䉁䅯䅁呂䙁䅁睕㉁䑁䅙李硁䑁䅅䅎ㅁ䑁䅫䅏䅁䉁䝍䅁慁䅁䅁睕兂䙁䅍李㉁䑁䅣李ㅁ䑁䅍免穁䑁䅙䅁䩁睂䅁杇䅁䙁䅍䅕呂䑁䅙李㍁䑁䅙兎穁䑁䅅睍㍁䅁䅁权䅣䕁䅙䅁扂䕁䄰兓時䕁䅑睑䝂䕁䅅杢桂䝁䅷入穂䝁䅫督時䡁䅙免畁䡁䅧䅢穂䝁䄰兘䕂䕁䅍杒桁䍁䅑兑䡂䍁䅑䅎祁䅁䅁杧䅉䉁䅯䅁呂䙁䅁睕㉁䑁䅙睎㉁䑁䅕睍硁䑁䅍䅏䅁䅁䡳䅁慁䅁䅁睕兂䙁䅍李㉁䑁䅣李ㅁ䑁䅍免穁䑁䅫䅁䵁睂䅁杇䅁䙁䅍䅕呂䑁䅙李㍁䑁䅙兎穁䑁䅅䅎硁䅁䅁杇䅣䕁䅑䅁扂䕁䄰兓時䕁䅑睑䝂䕁䅅杢桂䝁䅷入穂䝁䅫督時䡁䅙免畁䡁䅧䅢穂䝁䄰兘䕂䕁䅍杒桁䍁䅑兖歁䑁䅑䅍䅁佁䉅䅁慁䅁䅁睕兂䙁䅍睎睁䑁䅁兏睁䑁䅙兏穁䑁䅙䅁杂杂䅁杏䅁䙁䅉兡畂䝁䅣睑求䝁䄴䅤祂䝁䅅䅢獁䍁䅁兓畂䝁䅍杌杁䍁䅧杔婂䙁䅍兒㙁䙁䅉杔䡂䍁䅫䅁瑃睂䅁䅇䅁䙁䅍䅕呂䑁䅧䅎ぁ䑁䅫睎㉁䑁䅉䅎䅁佁䙕䅁坁䅁䅁睕兂䙁䅑杍㉁䑁䅍睍㉁䑁䅣免䅁䍁䘴䅁慁䅁䅁睕兂䙁䅑杕偂䑁䅅李㕁䑁䅁睍㉁䑁䅉䅁桂杁䅁杇䅁䙁䅍䅕啂䙁䅉睔硁䑁䅣睎ぁ䑁䅉杍硁䅁䅁杙䅉䉁䅯䅁呂䙁䅁䅖卂䕁䄸免㍁䑁䅧兎祁䑁䅧兏䅁䝁䍍䅁流䅁䅁睗䍂䝁䄸睢牂䑁䅅兘呂䝁䅧党求䡁䅑免桁䍁䅑村歁䑁䅅䅁剁䅁䅁杄䅁䙁䅉杔䡂䍁䄰兖呂䅁䅁杳䅣䑁䅑䅁扂䕁䅉睢療䝁䅳免摂䙁䅍䅡求䝁䅕䅤硁䍁䅅䅊䱂䍁䅑免穁䑁䅯䅊䱂䍁䅑杍穁䅁䅁睍䅁䉁䅷䅁呂䙁䅁䅖卂䙁䄸兑佂䕁䄴睘䕂䕁䅅䅖䙂䅁䅁睘䅉䉁䅷䅁呂䙁䅁䅖卂䙁䄸䅒䩂䙁䅙睘卂䕁䅅䅖䙂䅁䅁兘䅉䕁䅙䅁扂䕁䄰兓時䕁䅑睑䝂䕁䅅杢桂䝁䅷入穂䝁䅫督時䡁䅙免畁䡁䅧䅢穂䝁䄰兘䕂䕁䅍杒桁䍁䅑兗歁䑁䅅䅎睁䅁䅁朹䅉䉁䅯䅁呂䙁䅁睘䍂䕁䄸杔䕂䙁䄸䅔䩂䙁䅍䅖䅁䩁䙣䅁允䅁䅁睕兂䙁䄸睑偂䕁䅣睕䅁䡁䝍䅁啂䅁䅁睗呂䙁䅁睒時䕁䅑睑䝂䕁䅅杢桂䝁䅷入穂䝁䅫督時䡁䅙免畁䡁䅧䅢穂䝁䄰兘䕂䕁䅍杒桁䍁䅑䅗歁䑁䅑䅏㙁䍁䅑兑䙂䍁䅑䅎㑁䅁䅁杍䅍䉁䅷䅁呂䙁䅁睘䑂䕁䄸兔兂䕁䅅杔婂䙁䄸兓䕂䅁䅁兩䅕䍁䅯䅁呂䙁䅁睘䑂䕁䄸兔兂䕁䅅杔婂䙁䄸杔䉂䕁䄰兒時䕁䅅村䍂䙁䅉䅁千杂䅁䅉䅁䙁䅍䅕時䕁䅍睔噂䕁䄴䅖卂䙁䅫睘佂䕁䅅兔䙂䅁䅁䅬䅙䕁䅙䅁扂䕁䄰兓時䕁䅑睑䝂䕁䅅杢桂䝁䅷入穂䝁䅫督時䡁䅙免畁䡁䅧䅢穂䝁䄰兘䕂䕁䅍杒桁䍁䅑杗歁䑁䅅䅎硁䅁䅁八䅉䉁䅯䅁呂䙁䅁睘乂䕁䅅杕䱂䕁䅕䅖䑂䕁䅅䅕䅁䥁䘴䅁啂䅁䅁睗乂䕁䅫睘䕂䕁䅍杒䉂䝁䄴兙獂䡁䅫督灂䡁䅍睘㉂䑁䅅杌㑂䝁䅷督瑂䙁䄰䅒䑂䕁䅙光歁䕁䅕䅊祁䑁䅁䅏㙁䍁䅑兒歁䑁䅉杍㑁䅁䅁眹䅅䉁䄴䅁呂䙁䅁睘兂䙁䅉兓䑂䕁䅕睘䑂䕁䅷睔呂䕁䅕䅁䉃杂䅁䅈䅁䙁䅍䅕時䙁䅉兑啂䕁䅕睘坂䕁䅅䅔噂䕁䅕䅁硁兂䅁䅥䅁䕁䄸䅣あ䝁䅫睢畂䡁䅍杏䑂䡁䅕杣祂䑁䄰兖呂䕁䅑䅌乂䝁䅅睚㥁䙁䅑䅡療䡁䅕督桂䝁䄴䅚穂䍁䅷睑療䝁䄴杤乂䝁䅕䅤潂䝁䄸䅚㥁䙁䅉党橂䝁䄸兢瑂䝁䅕杢歂䝁䅕䅚獁䕁䄴兑㥁䕁䄴兑䅁偁䡧䅁杁䅁䅁睕兂䙁䄸䅖偂䙁䅑兑䵂䙁䄸杕䙂䙁䅑兖卂䕁䄴䅁呄䅁䅁杅䅁䙁䅧䅖卂䕁䅅杏䱂䕁䅣䅗䅁䝁䡕䅁祁䅁䅁睕啂䕁䄸䅗奂䍁䅁兒桂䡁䅍䅤求䡁䅉杢杁䕁䅕兤祂䝁䄸䅣求䍁䅁睍睁䑁䅁䅁⽂䅁䅁杉䅁䙁䅍䅖偂䙁䅧䅗杁䕁䅕兤祂䝁䄸䅣求䍁䅁李睁䑁䅁䅁䅃䅁䅁䅌䅁䙁䅍党橂䡁䅕杣灂䡁䅑入杁䕁䅑党穂䝁䅍杣灂䡁䅁䅤灂䝁䄸杢杁䅁䅁䅌䅁䑁䅧䅁呂䝁䅧兙祂䝁䅕督杁䕁䄸兤あ䡁䅍䅤桂䝁䄴䅚灂䝁䄴睚杁䍁䅧兙橂䡁䅑兤桂䝁䅷克䅁䝁䈸䅁祁䅁䅁睓䩂䕁䄸杔杁䕁䅣杕偂䙁䅕䅕杁䕁䅅睒杁䍁䅧䅗啂䙁䅉兑㙁䕁䅳睒奂䍁䅫䅁㍂睂䅁䅋䅁䙁䅍䅤祂䝁䅅兡あ䡁䅍䅉啂䝁䅫兢求䡁䅍䅉䩂䝁䄴䅚求䡁䅧䅁䉃䅁䅁䅃䅁䙁䅑睑呂䅁䅁先䅕䉁䅑䅁啂䕁䅕䅔瑁䙁䅁䅓兂䙁䅍兒䅁乁䍅䅁啁䅁䅁䅖䵂䙁䅍睒瑁䕁䅷杓呂䕁䅕䅁䝄杁䅁䅉䅁䙁䅑杕㙁䍁䅁睕流䙁䅁䅉ㅁ䑁䅁䅍杁䍁䅧兊灁䅁䅁睂䅁䕁䅙䅁扂䕁䄰兓時䕁䅑睑䝂䕁䅅杢桂䝁䅷入穂䝁䅫督時䡁䅙免畁䡁䅧䅢穂䝁䄰兘䕂䕁䅍杒桁䍁䅑睖歁䑁䅅杍㉁䅁䅁杩䅉䙁䅑䅁扂䕁䄰兓時䕁䅑睑䝂䕁䅅杢桂䝁䅷入穂䝁䅫督時䡁䅙免畁䡁䅧䅢穂䝁䄰兘䕂䕁䅍杒桁䍁䅑兑乂䍁䅑兎ぁ䑁䅯䅊䉂䕁䄰䅊㉁䑁䅣䅁䩄杁䅁䅅䅁䙁䅑睕䵂䕁䅅兌噂䙁䅍䅁穂杁䅁䅇䅁䙁䅑党穂䝁䅷兙獁䍁䅁兓畂䝁䅍杌䅁䭁䕫䅁潁䅁䅁䅖潂䝁䅕䅉塂䝁䅅䅢あ䍁䅁䅒灂䡁䅍杢求䡁䅫䅉䑂䝁䄸杌䅁䱁䝯䅁䝂䅁䅁䅖潂䝁䅕䅉塂䝁䅅䅢あ䍁䅁䅒灂䡁䅍杢求䡁䅫䅉䑂䝁䄸兢睂䝁䅅杢㕂䍁䅁䅋佂䙁䅫睕䙂䑁䅯䅒䩂䙁䅍克䅁䱁䝫䅁歁䅁䅁䅖療䝁䅳入療䍁䅁䅕祂䝁䅫睙求䍁䅁兓畂䝁䅑党㑂䅁䅁䅨䅁䍁䅑䅁啂䝁䄸䅤桂䝁䅷䅉䕂䝁䅕杙あ䍁䅁䅋歁䑁䅁䅍睁䍁䅫䅁捃䅁䅁䅌䅁䙁䅑睢あ䝁䅅䅢杁䕁䅑党楂䡁䅑䅉潁䙁䅉党睂䝁䄸杣あ䝁䅕䅚灁䅁䅁杇䅁䙁䅁䅁啂䝁䄸䅤桂䝁䅷䅉䙂䝁䄴䅤求䡁䅉䅣祂䝁䅫督求䍁䅁杖桂䝁䅷兤求䍁䅁䅋䑂䕁䅫兕灁䍁䅁䅋卂䝁䅕䅣療䡁䅉䅤求䝁䅑克䅁䑁䉁䅁㡁䅁䅁䅖療䡁䅑兙獂䍁䅁䅕祂䝁䅕杚求䡁䅉杣求䝁䅑䅉䙂䡁䅅兤灂䡁䅑入杁䍁䅧䅊睁䑁䅁䅍灁䅁䅁睭䅁䉁䅧䅁啂䝁䄸䅤桂䝁䅷杕求䡁䅑兤祂䝁䄴䅁兄䅁䅁李䅁䙁䅑杣桂䝁䅑兡畂䝁䅣䅉呂䡁䅫兢楂䝁䄸䅢杁䍁䅙䅉䙂䡁䅧睙潂䝁䅅杢湂䝁䅕䅉䅁䥁䅣䅁允䅁䅁兖硁䑁䅁兌呂䕁䅣䅗䅁䵁䍑䅁䥁䅁䅁兖呂䕁䅅䅁噃杂䅁䅃䅁䙁䅕睕䕂䅁䅁䅓䅑䉁䅑䅁塂䕁䅅睑䑂䙁䄸䅒求䝁䅉䅤䅁䵁䅍䅁䥂䅁䅁睗呂䙁䅁睒時䕁䅑睑䝂䕁䅅杢桂䝁䅷入穂䝁䅫督時䡁䅙免畁䡁䅧䅢穂䝁䄰兘䕂䕁䅍杒桁䍁䅑睑䑂䍁䅑兎硁䅁䅁来䅍䉁䄴䅁塂䕁䅅睑䑂䙁䄸䅕祂䝁䅕杚求䡁䅉杣求䝁䅑䅁䡄䅁䅁䅅䅁䙁䅣䅒䉂䙁䅫兌噂䙁䅍䅁硂杁䅁杄䅁䙁䅣兔䡂䍁䄰兖呂䅁䅁睳䅙䙁䅁䅁塂䝁䅅杣畂䝁䅕杣杁䕁䄰兤穂䝁䅫睙杁䕁䅣杣療䡁䅕䅣杁䕁䅍睢祂䡁䅁杌杁䍁䅧杔䉂䙁䅍䅒䉂䙁䅅睒呂䑁䅯睖乂䕁䅣克䅁䱁䝙䅁獁䅁䅁兗灂䝁䅕䅢歂䍁䅁䅤療䍁䅁兔桂䡁䅑兤祂䝁䅫䅤㕂䍁䅁䅋汁䍁䅫䅁瑁䅁䅁䅖䅁䙁䅳兔䩂䙁䄸䅒䑂䕁䅙兑畂䝁䅅䅢㕂䡁䅍兡穂䙁䄸杤硁䍁䄴䅥獂䡁䅍兢摂䕁䅑睑䝂䍁䅅䅊䉂䕁䅷䅊ㅁ䑁䅑杏歁䕁䅅䅔歁䑁䅙李䅁䡁䍳䅁睁䅁䅁睗䍂䝁䄸睢牂䑁䅅兘呂䝁䅧党求䡁䅑免桁䍁䅑䅔歁䑁䅉杏歁䕁䅷䅊ぁ䅁䅁杅䅁䍁䅧䅁扂䕁䅉睢療䝁䅳免摂䙁䅍䅡求䝁䅕䅤硁䍁䅅䅊佂䍁䅑免祁䅁䅁杈䅁䉁䅉䅁奂䙁䅑杕䉂䑁䅯睓䍂䙁䅧䅁祂睂䅁杒䅁䙁䅳兔䩂䙁䄸䅒䑂䕁䅙兑畂䝁䅅䅢㕂䡁䅍兡穂䙁䄸杤硁䍁䄴䅥獂䡁䅍兢摂䕁䅑睑䝂䍁䅅䅊䉂䕁䅣䅊ぁ䑁䅑䅁䙂杁䅁䅖䅁䙁䅳兔䩂䙁䄸䅒䑂䕁䅙兑畂䝁䅅䅢㕂䡁䅍兡穂䙁䄸杤硁䍁䄴䅥獂䡁䅍兢摂䕁䅑睑䝂䍁䅅䅊䉂䕁䅳䅊ㅁ䑁䅍杏歁䕁䅅睓歁䑁䅙䅎䅁乁䈸䅁啂䅁䅁睗乂䕁䅫睘䕂䕁䅍杒䉂䝁䄴兙獂䡁䅫督灂䡁䅍睘㉂䑁䅅杌㑂䝁䅷督瑂䙁䄰䅒䑂䕁䅙光歁䕁䅅䅔歁䑁䅕睍㙁䍁䅑兑䵂䍁䅑李ぁ䅁䅁䄴䅅䙁䅑䅁扂䕁䄰兓時䕁䅑睑䝂䕁䅅杢桂䝁䅷入穂䝁䅫督時䡁䅙免畁䡁䅧䅢穂䝁䄰兘䕂䕁䅍杒桁䍁䅑兑䵂䍁䅑兎穁䑁䅯䅊䉂䕁䅷䅊㉁䑁䅕䅁䉁杁䅁杖䅁䙁䅳睕兂䕁䅣睘䕂䕁䅍杒䉂䝁䄴兙獂䡁䅫督灂䡁䅍睘㉂䑁䅅杌㑂䝁䅷督瑂䙁䄰䅒䑂䕁䅙光歁䕁䅉䅗歁䑁䅕睍㙁䍁䅑睑䉂䍁䅑兎穁䅁䅁入䅍䙁䅑䅁扂䕁䄰兓時䕁䅑睑䝂䕁䅅杢桂䝁䅷入穂䝁䅫督時䡁䅙免畁䡁䅧䅢穂䝁䄰兘䕂䕁䅍杒桁䍁䅑兑䵂䍁䅑兎ぁ䑁䅯䅊䉂䕁䅷䅊㉁䑁䅣䅁䥄杁䅁䅖䅁䙁䅳兔䩂䙁䄸䅒䑂䕁䅙兑畂䝁䅅䅢㕂䡁䅍兡穂䙁䄸杤硁䍁䄴䅥獂䡁䅍兢摂䕁䅑睑䝂䍁䅅䅊䉂䕁䅷䅊ㅁ䑁䅫杏歁䕁䅅䅔歁䑁䅣杍䅁偁䍑䅁啂䅁䅁睗乂䕁䅫睘䕂䕁䅍杒䉂䝁䄴兙獂䡁䅫督灂䡁䅍睘㉂䑁䅅杌㑂䝁䅷督瑂䙁䄰䅒䑂䕁䅙光歁䕁䅅兔歁䑁䅕睍㙁䍁䅑兑乂䍁䅑李ぁ䅁䅁末䅅䙁䅑䅁扂䕁䄰兓時䕁䅑睑䝂䕁䅅杢桂䝁䅷入穂䝁䅫督時䡁䅙免畁䡁䅧䅢穂䝁䄰兘䕂䕁䅍杒桁䍁䅑兑乂䍁䅑兎ぁ䑁䅯䅊䉂䕁䄰䅊㉁䑁䅙䅁㡂杁䅁䅖䅁䙁䅳兔䩂䙁䄸䅒䑂䕁䅙兑畂䝁䅅䅢㕂䡁䅍兡穂䙁䄸杤硁䍁䄴䅥獂䡁䅍兢摂䕁䅑睑䝂䍁䅅䅊䉂䕁䄰䅊ㅁ䑁䅙杏歁䕁䅅兔歁䑁䅙䅏䅁䑁䌸䅁䝂䅁䅁睗乂䕁䅫睘䕂䕁䅍杒䉂䝁䄴兙獂䡁䅫督灂䡁䅍睘㉂䑁䅅杌㑂䝁䅷督瑂䙁䄰䅒䑂䕁䅙光歁䕁䅅睔歁䑁䅑睎䅁偁䉫䅁歁䅁䅁兡硂䙁䄸督求䝁䅍兤祂䝁䅫䅤㕂䙁䄸䅢求䡁䅙党獂䅁䅁朵䅍䕁䅙䅁扂䕁䄰兓時䕁䅑睑䝂䕁䅅杢桂䝁䅷入穂䝁䅫督時䡁䅙免畁䡁䅧䅢穂䝁䄰兘䕂䕁䅍杒桁䍁䅑兑偂䍁䅑䅎㑁䅁䅁来䅉䕁䅙䅁扂䕁䄰兓時䕁䅑睑䝂䕁䅅杢桂䝁䅷入穂䝁䅫督時䡁䅙免畁䡁䅧䅢穂䝁䄰兘䕂䕁䅍杒桁䍁䅑村歁䑁䅉䅍祁䅁䅁䅬䅉䕁䅙䅁扂䕁䄰兓時䕁䅑睑䝂䕁䅅杢桂䝁䅷入穂䝁䅫督時䡁䅙免畁䡁䅧䅢穂䝁䄰兘䕂䕁䅍杒桁䍁䅑村歁䑁䅉䅍穁䅁䅁朰䅅䕁䅑䅁扂䕁䄰兓時䕁䅑睑䝂䕁䅅杢桂䝁䅷入穂䝁䅫督時䡁䅙免畁䡁䅧䅢穂䝁䄰兘䕂䕁䅍杒桁䍁䅑村歁䑁䅫杍䅁佁䉧䅁䕂䅁䅁睗乂䕁䅫睘䕂䕁䅍杒䉂䝁䄴兙獂䡁䅫督灂䡁䅍睘㉂䑁䅅杌㑂䝁䅷督瑂䙁䄰䅒䑂䕁䅙光歁䕁䅉䅊㕁䑁䅍䅁䡃杁䅁杓䅁䙁䅳兔䩂䙁䄸睖䉂䕁䅍睑䉂䝁䄴兙獂䡁䅫督灂䡁䅍睘㉂䑁䅅杌㑂䝁䅷督瑂䙁䄰睖䉂䕁䅍睑桁䍁䅑睑剂䍁䅑睍㍁䅁䅁睄䅅䕁䅑䅁扂䕁䄰兓時䕁䅑睑䝂䕁䅅杢桂䝁䅷入穂䝁䅫督時䡁䅙免畁䡁䅧䅢穂䝁䄰兘䕂䕁䅍杒桁䍁䅑村歁䑁䅫兎䅁䕁䍯䅁䕂䅁䅁睗乂䕁䅫睘䕂䕁䅍杒䉂䝁䄴兙獂䡁䅫督灂䡁䅍睘㉂䑁䅅杌㑂䝁䅷督瑂䙁䄰䅒䑂䕁䅙光歁䕁䅉䅊㕁䑁䅧䅁啄杁䅁杒䅁䙁䅳睕兂䕁䅣睘䕂䕁䅍杒䉂䝁䄴兙獂䡁䅫督灂䡁䅍睘㉂䑁䅅杌㑂䝁䅷督瑂䙁䄰䅒䑂䕁䅙光歁䙁䅙䅊ぁ䑁䅙䅁癁睁䅁杒䅁䙁䅳兔䩂䙁䄸䅒䑂䕁䅙兑畂䝁䅅䅢㕂䡁䅍兡穂䙁䄸杤硁䍁䄴䅥獂䡁䅍兢摂䕁䅑睑䝂䍁䅅䅊䑂䙁䅙䅊ぁ䑁䅕䅁歄允䅁䅖䅁䙁䅳兔䩂䙁䄸䅒䑂䕁䅙兑畂䝁䅅䅢㕂䡁䅍兡穂䙁䄸杤硁䍁䄴䅥獂䡁䅍兢摂䕁䅑睑䝂䍁䅅䅊䑂䙁䅣䅊ㅁ䑁䅍杏歁䕁䅍杗歁䑁䅕睍䅁偁䍅䅁啂䅁䅁睗乂䕁䅫睘䕂䕁䅍杒䉂䝁䄴兙獂䡁䅫督灂䡁䅍睘㉂䑁䅅杌㑂䝁䅷督瑂䙁䄰䅒䑂䕁䅙光歁䕁䅍䅗歁䑁䅑睎㙁䍁䅑䅒䉂䍁䅑䅎㍁䅁䅁儵䅅䕁䅙䅁扂䕁䄰兓時䕁䅑睑䝂䕁䅅杢桂䝁䅷入穂䝁䅫督時䡁䅙免畁䡁䅧䅢穂䝁䄰兘䕂䕁䅍杒桁䍁䅑䅒䍂䍁䅑䅎㉁䅁䅁全䅉䕁䅙䅁扂䕁䄰兓時䕁䅑睑䝂䕁䅅杢桂䝁䅷入穂䝁䅫督時䡁䅙免畁䡁䅧䅢穂䝁䄰兘䕂䕁䅍杒桁䍁䅑䅒䍂䍁䅑䅎㑁䅁䅁䅓䅉䙁䅑䅁扂䕁䄰兓時䕁䅑睑䝂䕁䅅杢桂䝁䅷入穂䝁䅫督時䡁䅙免畁䡁䅧䅢穂䝁䄰兘䕂䕁䅍杒桁䍁䅑䅒䕂䍁䅑兎穁䑁䅯䅊䕂䕁䅙䅊ㅁ䑁䅍䅁桄杁䅁䅖䅁䙁䅳兔䩂䙁䄸䅒䑂䕁䅙兑畂䝁䅅䅢㕂䡁䅍兡穂䙁䄸杤硁䍁䄴䅥獂䡁䅍兢摂䕁䅑睑䝂䍁䅅䅊䕂䕁䅕䅊ぁ䑁䅣杏歁䕁䅑睒歁䑁䅑睎䅁佁䉣䅁啂䅁䅁睗乂䕁䅫睘䕂䕁䅍杒䉂䝁䄴兙獂䡁䅫督灂䡁䅍睘㉂䑁䅅杌㑂䝁䅷督瑂䙁䄰䅒䑂䕁䅙光歁䕁䅑杒歁䑁䅑睎㙁䍁䅑䅒䥂䍁䅑䅎㍁䅁䅁兄䅉䙁䅑䅁扂䕁䄰兓時䕁䅑睑䝂䕁䅅杢桂䝁䅷入穂䝁䅫督時䡁䅙免畁䡁䅧䅢穂䝁䄰兘䕂䕁䅍杒桁䍁䅑䅒䝂䍁䅑䅎㍁䑁䅯䅊䕂䕁䅫䅊ぁ䑁䅣䅁扁杁䅁䅅䅁䕁䅅睒婂䙁䅍兌噂䙁䅍䅁䍄睂䅁䅖䅁䙁䅳兔䩂䙁䄸䅒䑂䕁䅙兑畂䝁䅅䅢㕂䡁䅍兡穂䙁䄸杤硁䍁䄴䅥獂䡁䅍兢摂䕁䅑睑䝂䍁䅅䅊䕂䕁䄰䅊ぁ䑁䅣杏歁䕁䅑睔歁䑁䅑睎䅁䉁䌰䅁啂䅁䅁睗乂䕁䅫睘䕂䕁䅍杒䉂䝁䄴兙獂䡁䅫督灂䡁䅍睘㉂䑁䅅杌㑂䝁䅷督瑂䙁䄰䅒䑂䕁䅙光歁䕁䅕䅊祁䑁䅅䅍㙁䍁䅑兒歁䑁䅉睍睁䅁䅁杗䅉䕁䅙䅁扂䕁䄰兓時䕁䅑睑䝂䕁䅅杢桂䝁䅷入穂䝁䅫督時䡁䅙免畁䡁䅧䅢穂䝁䄰兘䕂䕁䅍杒桁䍁䅑䅒佂䍁䅑䅎穁䅁䅁䅤䅉䙁䅑䅁扂䕁䄰兓時䕁䅑睑䝂䕁䅅杢桂䝁䅷入穂䝁䅫督時䡁䅙免畁䡁䅧䅢穂䝁䄰兘䕂䕁䅍杒桁䍁䅑䅒佂䍁䅑䅎㉁䑁䅯䅊䕂䕁䄴䅊ㅁ䑁䅉䅁噃杁䅁杒䅁䙁䅳兔䩂䙁䄸䅒䑂䕁䅙兑畂䝁䅅䅢㕂䡁䅍兡穂䙁䄸杤硁䍁䄴䅥獂䡁䅍兢摂䕁䅑睑䝂䍁䅅䅊䕂䕁䄴䅊ぁ䑁䅧䅁潄杁䅁䅖䅁䙁䅳兔䩂䙁䄸䅒䑂䕁䅙兑畂䝁䅅䅢㕂䡁䅍兡穂䙁䄸杤硁䍁䄴䅥獂䡁䅍兢摂䕁䅑睑䝂䍁䅅䅊䕂䙁䅁䅊ぁ䑁䅕杏歁䕁䅑兕歁䑁䅑兎䅁䡁䍣䅁啂䅁䅁睗乂䕁䅫睘䕂䕁䅍杒䉂䝁䄴兙獂䡁䅫督灂䡁䅍睘㉂䑁䅅杌㑂䝁䅷督瑂䙁䄰䅒䑂䕁䅙光歁䕁䅑䅕歁䑁䅑李㙁䍁䅑䅒剂䍁䅑䅎㉁䅁䅁杏䅉䙁䅑䅁扂䕁䄰兓時䕁䅑睑䝂䕁䅅杢桂䝁䅷入穂䝁䅫督時䡁䅙免畁䡁䅧䅢穂䝁䄰兘䕂䕁䅍杒桁䍁䅑䅒兂䍁䅑兎睁䑁䅯䅊䕂䙁䅅䅊ㅁ䑁䅁䅁牄杁䅁杒䅁䙁䅳兔䩂䙁䄸䅒䑂䕁䅙兑畂䝁䅅䅢㕂䡁䅍兡穂䙁䄸杤硁䍁䄴䅥獂䡁䅍兢摂䕁䅑睑䝂䍁䅅䅊䕂䙁䅣䅊ぁ䑁䅕䅁牁杁䅁䅖䅁䙁䅳兔䩂䙁䄸䅒䑂䕁䅙兑畂䝁䅅䅢㕂䡁䅍兡穂䙁䄸杤硁䍁䄴䅥獂䡁䅍兢摂䕁䅑睑䝂䍁䅅䅊䙂䍁䅑杍睁䑁䅣杏歁䕁䅕䅊祁䑁䅑杍䅁偁䈸䅁啂䅁䅁睗乂䕁䅫睘䕂䕁䅍杒䉂䝁䄴兙獂䡁䅫督灂䡁䅍睘㉂䑁䅅杌㑂䝁䅷督瑂䙁䄰䅒䑂䕁䅙光歁䕁䅙䅊祁䑁䅁免㙁䍁䅑兔歁䑁䅉䅍硁䅁䅁术䅅䙁䅑䅁扂䕁䄰兓時䕁䅑睑䝂䕁䅅杢桂䝁䅷入穂䝁䅫督時䡁䅙免畁䡁䅧䅢穂䝁䄰兘䕂䕁䅍杒桁䍁䅑杒歁䑁䅉䅍ぁ䑁䅯䅊乂䍁䅑杍睁䑁䅑䅁噄允䅁䅖䅁䙁䅳兔䩂䙁䄸䅒䑂䕁䅙兑畂䝁䅅䅢㕂䡁䅍兡穂䙁䄸杤硁䍁䄴䅥獂䡁䅍兢摂䕁䅑睑䝂䍁䅅䅊䝂䍁䅑杍睁䑁䅣杏歁䕁䄰䅊祁䑁䅁睎䅁乁䌰䅁啂䅁䅁睗乂䕁䅫睘䕂䕁䅍杒䉂䝁䄴兙獂䡁䅫督灂䡁䅍睘㉂䑁䅅杌㑂䝁䅷督瑂䙁䄰䅒䑂䕁䅙光歁䕁䅙䅊祁䑁䅁䅏㙁䍁䅑兔歁䑁䅉䅍㑁䅁䅁眳䅉䙁䅑䅁扂䕁䄰兓時䕁䅑睑䝂䕁䅅杢桂䝁䅷入穂䝁䅫督時䡁䅙免畁䡁䅧䅢穂䝁䄰兘䕂䕁䅍杒桁䍁䅑睒歁䑁䅅䅍穁䑁䅯䅊䡂䍁䅑免穁䑁䅁䅁坄杁䅁杕䅁䙁䅳兔䩂䙁䄸䅒䑂䕁䅙兑畂䝁䅅䅢㕂䡁䅍兡穂䙁䄸杤硁䍁䄴䅥獂䡁䅍兢摂䕁䅑睑䝂䍁䅅䅊䡂䍁䅑兏㍁䑁䅯䅊䡂䍁䅑免祁䑁䅑䅁㡄允䅁杕䅁䙁䅳兔䩂䙁䄸䅒䑂䕁䅙兑畂䝁䅅䅢㕂䡁䅍兡穂䙁䄸杤硁䍁䄴䅥獂䡁䅍兢摂䕁䅑睑䝂䍁䅅䅊䡂䍁䅑兏㑁䑁䅯䅊䡂䍁䅑免祁䑁䅑䅁㝄允䅁杕䅁䙁䅳兔䩂䙁䄸䅒䑂䕁䅙兑畂䝁䅅䅢㕂䡁䅍兡穂䙁䄸杤硁䍁䄴䅥獂䡁䅍兢摂䕁䅑睑䝂䍁䅅䅊䡂䍁䅑兏㑁䑁䅯䅊䡂䍁䅑免祁䑁䅕䅁䥃杁䅁䅚䅁䙁䅳杕求䡁䅙兡穂䝁䅕䅚䕂䡁䅉兙浂䡁䅑睘呂䙁䅁睒時䙁䅣兑䑂䕁䅍兑畂䝁䅅䅢㕂䡁䅍兡穂䙁䄸杤穁䍁䄴䅥獂䡁䅍兢摂䙁䅣兑䑂䕁䅍光歁䕁䅕䅊硁䑁䅍䅁橄睂䅁䅕䅁䙁䅳兔䩂䙁䄸䅒䑂䕁䅙兑畂䝁䅅䅢㕂䡁䅍兡穂䙁䄸杤硁䍁䄴䅥獂䡁䅍兢摂䕁䅑睑䝂䍁䅅䅊䥂䍁䅑兏祁䑁䅯䅊乂䍁䅑兏祁䅁䅁儶䅅䕁䅙䅁扂䕁䄰兓時䕁䅑睑䝂䕁䅅杢桂䝁䅷入穂䝁䅫督時䡁䅙免畁䡁䅧䅢穂䝁䄰兘䕂䕁䅍杒桁䍁䅑杖歁䑁䅅䅎祁䅁䅁䄸䅅䕁䅑䅁扂䕁䄰兓時䕁䅑睑䝂䕁䅅杢桂䝁䅷入穂䝁䅫督時䡁䅙免畁䡁䅧䅢穂䝁䄰兘䕂䕁䅍杒桁䍁䅑杖歁䑁䅉兏䅁䍁䍕䅁兂䅁䅁睗乂䕁䅫睘䕂䕁䅍杒䉂䝁䄴兙獂䡁䅫督灂䡁䅍睘㉂䑁䅅杌㑂䝁䅷督瑂䙁䄰䅒䑂䕁䅙光歁䙁䅙䅊穁䑁䅅杏歁䙁䅙䅊穁䑁䅙䅁流杁䅁杕䅁䙁䅳兔䩂䙁䄸䅒䑂䕁䅙兑畂䝁䅅䅢㕂䡁䅍兡穂䙁䄸杤硁䍁䄴䅥獂䡁䅍兢摂䕁䅑睑䝂䍁䅅䅊坂䍁䅑䅎硁䑁䅯䅊䉂䕁䅙䅊ぁ䑁䅅䅁橄允䅁䅕䅁䙁䅳兔䩂䙁䄸䅒䑂䕁䅙兑畂䝁䅅䅢㕂䡁䅍兡穂䙁䄸杤硁䍁䄴䅥獂䡁䅍兢摂䕁䅑睑䝂䍁䅅䅊坂䍁䅑䅎ぁ䑁䅯䅊坂䍁䅑䅎㕁䅁䅁䅃䅉䙁䅁䅁扂䕁䄰兓時䕁䅑睑䝂䕁䅅杢桂䝁䅷入穂䝁䅫督時䡁䅙免畁䡁䅧䅢穂䝁䄰兘䕂䕁䅍杒桁䍁䅑杖歁䑁䅑李㙁䍁䅑杖歁䑁䅕免䅁䡁䌴䅁䕂䅁䅁睗乂䕁䅫睘䕂䕁䅍杒䉂䝁䄴兙獂䡁䅫督灂䡁䅍睘㉂䑁䅅杌㑂䝁䅷督瑂䙁䄰䅒䑂䕁䅙光歁䙁䅣䅊祁䑁䅫䅁湁杁䅁杒䅁䙁䅳兔䩂䙁䄸䅒䑂䕁䅙兑畂䝁䅅䅢㕂䡁䅍兡穂䙁䄸杤硁䍁䄴䅥獂䡁䅍兢摂䕁䅑睑䝂䍁䅅䅊塂䍁䅑免祁䑁䅧䅁佂杁䅁杒䅁䙁䅳兔䩂䙁䄸䅒䑂䕁䅙兑畂䝁䅅䅢㕂䡁䅍兡穂䙁䄸杤硁䍁䄴䅥獂䡁䅍兢摂䕁䅑睑䝂䍁䅅䅊塂䍁䅑免穁䑁䅅䅁奄杁䅁䅖䅁䙁䅳兔䩂䙁䄸䅒䑂䕁䅙兑畂䝁䅅䅢㕂䡁䅍兡穂䙁䄸杤硁䍁䄴䅥獂䡁䅍兢摂䕁䅑睑䝂䍁䅅䅊塂䍁䅑免穁䑁䅧杏歁䙁䅣䅊硁䑁䅍兏䅁乁䉫䅁䝂䅁䅁睗乂䕁䅫睘䕂䕁䅍杒䉂䝁䄴兙獂䡁䅫督灂䡁䅍睘㉂䑁䅅杌㑂䝁䅷督瑂䙁䄰䅒䑂䕁䅙光歁䙁䅣䅊硁䑁䅑免䅁䩁䍁䅁䝂䅁䅁睗乂䕁䅫睘䕂䕁䅍杒䉂䝁䄴兙獂䡁䅫督灂䡁䅍睘㉂䑁䅅杌㑂䝁䅷督瑂䙁䄰䅒䑂䕁䅙光歁䙁䅣䅊硁䑁䅑睍䅁䙁䍕䅁浂䅁䅁睗卂䝁䅕杤灂䡁䅍党歂䕁䅑杣桂䝁䅙䅤時䙁䅍䅕䡂䙁䄸睖䉂䕁䅍睑䉂䝁䄴兙獂䡁䅫督灂䡁䅍睘㉂䑁䅉杌㑂䝁䅷督瑂䙁䄰睖䉂䕁䅍睑桁䍁䅑兑䕂䍁䅑兎祁䅁䅁儳䅣䕁䅙䅁扂䕁䄰兓時䕁䅑睑䝂䕁䅅杢桂䝁䅷入穂䝁䅫督時䡁䅙免畁䡁䅧䅢穂䝁䄰兘䕂䕁䅍杒桁䍁䅑睖歁䑁䅅䅎㉁䅁䅁䄷䅉䙁䅁䅁扂䕁䄰兓時䕁䅑睑䝂䕁䅅杢桂䝁䅷入穂䝁䅫督時䡁䅙免畁䡁䅧䅢穂䝁䄰兘䕂䕁䅍杒桁䍁䅑睖歁䑁䅉兏㙁䍁䅑䅗歁䑁䅉兏䅁䍁䍧䅁䝂䅁䅁睗乂䕁䅫睘䕂䕁䅍杒䉂䝁䄴兙獂䡁䅫督灂䡁䅍睘㉂䑁䅅杌㑂䝁䅷督瑂䙁䄰䅒䑂䕁䅙光歁䙁䅧䅊硁䑁䅉睎䅁佁䈰䅁啂䅁䅁睗乂䕁䅫睘䕂䕁䅍杒䉂䝁䄴兙獂䡁䅫督灂䡁䅍睘㉂䑁䅅杌㑂䝁䅷督瑂䙁䄰䅒䑂䕁䅙光歁䙁䅧䅊硁䑁䅉䅏㙁䍁䅑䅗歁䑁䅅杍㕁䅁䅁䅅䅉䙁䅑䅁扂䕁䄰兓時䕁䅑睑䝂䕁䅅杢桂䝁䅷入穂䝁䅫督時䡁䅙免畁䡁䅧䅢穂䝁䄰兘䕂䕁䅍杒桁䍁䅑䅗歁䑁䅅杍㕁䑁䅯䅊奂䍁䅑免穁䑁䅁䅁䱃杁䅁䅖䅁䙁䅳兔䩂䙁䄸䅒䑂䕁䅙兑畂䝁䅅䅢㕂䡁䅍兡穂䙁䄸杤硁䍁䄴䅥獂䡁䅍兢摂䕁䅑睑䝂䍁䅅䅊奂䍁䅑免穁䑁䅅杏歁䙁䅧䅊硁䑁䅍杍䅁䙁䍁䅁啂䅁䅁睗乂䕁䅫睘䕂䕁䅍杒䉂䝁䄴兙獂䡁䅫督灂䡁䅍睘㉂䑁䅅杌㑂䝁䅷督瑂䙁䄰䅒䑂䕁䅙光歁䙁䅧䅊硁䑁䅍䅎㙁䍁䅑䅗歁䑁䅅睍ㅁ䅁䅁朲䅉䙁䅑䅁扂䕁䄰兓時䕁䅑睑䝂䕁䅅杢桂䝁䅷入穂䝁䅫督時䡁䅙免畁䡁䅧䅢穂䝁䄰兘䕂䕁䅍杒桁䍁䅑䅗歁䑁䅅睍㉁䑁䅯䅊奂䍁䅑免穁䑁䅣䅁啁杁䅁䅖䅁䙁䅳兔䩂䙁䄸䅒䑂䕁䅙兑畂䝁䅅䅢㕂䡁䅍兡穂䙁䄸杤硁䍁䄴䅥獂䡁䅍兢摂䕁䅑睑䝂䍁䅅䅊奂䍁䅑免ぁ䑁䅑杏歁䙁䅧䅊硁䑁䅑兎䅁偁䉍䅁啂䅁䅁睗乂䕁䅫睘䕂䕁䅍杒䉂䝁䄴兙獂䡁䅫督灂䡁䅍睘㉂䑁䅅杌㑂䝁䅷督瑂䙁䄰䅒䑂䕁䅙光歁䙁䅧䅊硁䑁䅑兎㙁䍁䅑䅗歁䑁䅅兎睁䅁䅁睖䅉䙁䅉䅁扂䕁䄰兓時䕁䅑睑䝂䕁䅅杢桂䝁䅷入穂䝁䅫督時䡁䅙免畁䡁䅧䅢穂䝁䄰兘䕂䕁䅍杒桁䍁䅑䅗歁䑁䅑杍㙁䍁䅑兑䙂䍁䅑䅎祁䅁䅁睦䅉䕁䅙䅁扂䕁䄰兓時䕁䅑睑䝂䕁䅅杢桂䝁䅷入穂䝁䅫督時䡁䅙免畁䡁䅧䅢穂䝁䄰兘䕂䕁䅍杒桁䍁䅑兗歁䑁䅅䅎祁䅁䅁儸䅅䙁䅉䅁扂䕁䄰兓時䕁䅑睑䝂䕁䅅杢桂䝁䅷入穂䝁䅫督時䡁䅙免畁䡁䅧䅢穂䝁䄰兘䕂䕁䅍杒桁䍁䅑䅗歁䑁䅑睍㙁䍁䅑兑䙂䍁䅑䅎穁䅁䅁䅧䅉䙁䅧䅁扂䕁䄰兓時䕁䅣䅔偂䕁䅉兑䵂䙁䄸睖䉂䕁䅍睑䉂䝁䄴兙獂䡁䅫督灂䡁䅍睘㉂䑁䅅杌㑂䝁䅷督瑂䙁䄰睖䉂䕁䅍睑桁䍁䅑兑䩂䍁䅑睍㕁䅁䅁睵䅁䕁䅙䅁扂䕁䄰兓時䕁䅑睑䝂䕁䅅杢桂䝁䅷入穂䝁䅫督時䡁䅙免畁䡁䅧䅢穂䝁䄰兘䕂䕁䅍杒桁䍁䅑兗歁䑁䅅睍祁䅁䅁眲䅉䙁䅑䅁扂䕁䄰兓時䕁䅑睑䝂䕁䅅杢桂䝁䅷入穂䝁䅫督時䡁䅙免畁䡁䅧䅢穂䝁䄰兘䕂䕁䅍杒桁䍁䅑兗歁䑁䅅䅎祁䑁䅯䅊婂䍁䅑免ぁ䑁䅣䅁䝁杁䅁杒䅁䙁䅳兔䩂䙁䄸䅒䑂䕁䅙兑畂䝁䅅䅢㕂䡁䅍兡穂䙁䄸杤硁䍁䄴䅥獂䡁䅍兢摂䕁䅑睑䝂䍁䅅䅊慂䍁䅑免ぁ䑁䅍䅁坂杁䅁杒䅁䙁䅳兔䩂䙁䄸䅒䑂䕁䅙兑畂䝁䅅䅢㕂䡁䅍兡穂䙁䄸杤硁䍁䄴䅥獂䡁䅍兢摂䕁䅑睑䝂䍁䅅䅊慂䍁䅑免ぁ䑁䅙䅁瑄杁䅁䅓䅁䙁䅳兔䩂䙁䄸䅒䑂䕁䅙兑畂䝁䅅䅢㕂䡁䅍兡穂䙁䄸杤硁䝁䅅杌㑂䝁䅷督瑂䙁䄰䅒䑂䕁䅙光歁䙁䅙䅊硁䑁䅍兎䅁偁䉑䅁䥂䅁䅁睗乂䕁䅫睘䕂䕁䅍杒䉂䝁䄴兙獂䡁䅫督灂䡁䅍睘㉂䑁䅅兙畁䡁䅧䅢穂䝁䄰兘䕂䕁䅍杒桁䍁䅑䅗歁䑁䅅睍㉁䅁䅁儹䅅䙁䅧䅁扂䕁䄰兓時䕁䅣䅔偂䕁䅉兑䵂䙁䄸睖䉂䕁䅍睑䉂䝁䄴兙獂䡁䅫督灂䡁䅍睘㉂䑁䅅杌㑂䝁䅷督瑂䙁䄰睖䉂䕁䅍睑桁䍁䅑兑䙂䍁䅑䅎睁䅁䅁其䅁䝁䅙䅁扂䕁䄰兓時䕁䅣䅔偂䕁䅉兑䵂䙁䄸睖䉂䕁䅍睑䉂䝁䄴兙獂䡁䅫督灂䡁䅍睘㉂䑁䅅杌㑂䝁䅷督瑂䙁䄰睖䉂䕁䅍睑桁䍁䅑兑䝂䍁䅑䅎祁䑁䅯䅊䉂䕁䅙䅊ぁ䑁䅑䅁㡃䅁䅁杊䅁䙁䅍䅕時䕁䅕䅗䑂䕁䅧兑佂䕁䅣兒時䙁䅑兓䑂䕁䅳兒卂䅁䅁兕䅣䝁䅙䅁扂䕁䄰兓時䕁䅣䅔偂䕁䅉兑䵂䙁䄸睖䉂䕁䅍睑䉂䝁䄴兙獂䡁䅫督灂䡁䅍睘㉂䑁䅅杌㑂䝁䅷督瑂䙁䄰睖䉂䕁䅍睑桁䍁䅑兑䝂䍁䅑䅎ㅁ䑁䅯䅊䉂䕁䅙䅊ㅁ䑁䅙䅁⭃䅁䅁杚䅁䙁䅳兔䩂䙁䄸睒䵂䕁䄸村䉂䕁䅷睘塂䕁䅅睑䑂䕁䅅杢桂䝁䅷入穂䝁䅫督時䡁䅙免畁䡁䅧䅢穂䝁䄰兘塂䕁䅅睑䑂䍁䅅䅊䉂䕁䅣䅊ぁ䑁䅕杏歁䕁䅅睒歁䑁䅕李䅁乁䅧䅁奂䅁䅁睗乂䕁䅫睘䡂䕁䅷睔䍂䕁䅅䅔時䙁䅣兑䑂䕁䅍兑畂䝁䅅䅢㕂䡁䅍兡穂䙁䄸杤硁䍁䄴䅥獂䡁䅍兢摂䙁䅣兑䑂䕁䅍光歁䕁䅍睔歁䑁䅍睎䅁䱁䅑䅁奂䅁䅁睗乂䕁䅫睘䡂䕁䅷睔䍂䕁䅅䅔時䙁䅣兑䑂䕁䅍兑畂䝁䅅䅢㕂䡁䅍兡穂䙁䄸杤硁䍁䄴䅥獂䡁䅍兢摂䙁䅣兑䑂䕁䅍光歁䕁䅍䅕歁䑁䅍兏䅁䵁䅑䅁浂䅁䅁睗乂䕁䅫睘䡂䕁䅷睔䍂䕁䅅䅔時䙁䅣兑䑂䕁䅍兑畂䝁䅅䅢㕂䡁䅍兡穂䙁䄸杤硁䍁䄴䅥獂䡁䅍兢摂䙁䅣兑䑂䕁䅍光歁䕁䅍䅕歁䑁䅍兏㙁䍁䅑睑呂䍁䅑睍㕁䅁䅁杴䅁䕁䅙䅁扂䙁䅍䅕䡂䙁䄸䅒䑂䕁䅙兑畂䝁䅅䅢㕂䡁䅍兡穂䙁䄸杤硁䍁䄴䅥獂䡁䅍兢摂䕁䅑睑䝂䍁䅅䅊坂䍁䅑䅎㍁䅁䅁睍䅍䙁䅧䅁扂䕁䄰兓時䕁䅣䅔偂䕁䅉兑䵂䙁䄸睖䉂䕁䅍睑䉂䝁䄴兙獂䡁䅫督灂䡁䅍睘㉂䑁䅅杌㑂䝁䅷督瑂䙁䄰睖䉂䕁䅍睑桁䍁䅑睑剂䍁䅑睍㍁䅁䅁䅺䅁䝁䅙䅁扂䕁䄰兓時䕁䅣䅔偂䕁䅉兑䵂䙁䄸睖䉂䕁䅍睑䉂䝁䄴兙獂䡁䅫督灂䡁䅍睘㉂䑁䅅杌㑂䝁䅷督瑂䙁䄰睖䉂䕁䅍睑桁䍁䅑睑呂䍁䅑睍㕁䑁䅯䅊䑂䙁䅙䅊穁䑁䅫䅁乄䅁䅁䅗䅁䙁䅳兔䩂䙁䄸睒䵂䕁䄸村䉂䕁䅷睘塂䕁䅅睑䑂䕁䅅杢桂䝁䅷入穂䝁䅫督時䡁䅙免畁䡁䅧䅢穂䝁䄰兘塂䕁䅅睑䑂䍁䅅䅊䑂䙁䅕䅊穁䑁䅣䅁䝄䅁䅁杚䅁䙁䅳兔䩂䙁䄸睒䵂䕁䄸村䉂䕁䅷睘塂䕁䅅睑䑂䕁䅅杢桂䝁䅷入穂䝁䅫督時䡁䅙免畁䡁䅧䅢穂䝁䄰兘塂䕁䅅睑䑂䍁䅅䅊䑂䙁䅙䅊ぁ䑁䅉杏歁䕁䅍杖歁䑁䅑兎䅁䱁䅧䅁浂䅁䅁睗乂䕁䅫睘䡂䕁䅷睔䍂䕁䅅䅔時䙁䅣兑䑂䕁䅍兑畂䝁䅅䅢㕂䡁䅍兡穂䙁䄸杤硁䍁䄴䅥獂䡁䅍兢摂䙁䅣兑䑂䕁䅍光歁䕁䅍睖歁䑁䅍兏㙁䍁䅑睑婂䍁䅑睍㕁䅁䅁兵䅁䝁䅉䅁扂䕁䄰兓時䕁䅣䅔偂䕁䅉兑䵂䙁䄸睖䉂䕁䅍睑䉂䝁䄴兙獂䡁䅫督灂䡁䅍睘㉂䑁䅅杌㑂䝁䅷督瑂䙁䄰睖䉂䕁䅍睑桁䍁䅑䅕歁䑁䅍李㙁䍁䅑䅕歁䑁䅑免䅁䵁䅁䅁䭂䅁䅁睗呂䙁䅁睒時䕁䅑睑䝂䕁䅅杢桂䝁䅷入穂䝁䅫督時䡁䅙免畁䡁䅧䅢穂䝁䄰兘䕂䕁䅍杒桁䍁䅑兑䉂䍁䅑免ぁ䑁䅁䅁瑄䅂䅁䅗䅁䙁䅳兔䩂䙁䄸睒䵂䕁䄸村䉂䕁䅷睘塂䕁䅅睑䑂䕁䅅杢桂䝁䅷入穂䝁䅫督時䡁䅙杍畁䡁䅧䅢穂䝁䄰兘塂䕁䅅睑䑂䍁䅅䅊䉂䕁䅫䅊穁䑁䅫䅁牄䅁䅁杚䅁䙁䅳兔䩂䙁䄸睒䵂䕁䄸村䉂䕁䅷睘塂䕁䅅睑䑂䕁䅅杢桂䝁䅷入穂䝁䅫督時䡁䅙杍畁䡁䅧䅢穂䝁䄰兘塂䕁䅅睑䑂䍁䅅䅊䑂䙁䅍䅊穁䑁䅫杏歁䕁䅍杖歁䑁䅍兏䅁偁䅉䅁奂䅁䅁睗乂䕁䅫睘䡂䕁䅷睔䍂䕁䅅䅔時䙁䅣兑䑂䕁䅍兑畂䝁䅅䅢㕂䡁䅍兡穂䙁䄸杤祁䍁䄴䅥獂䡁䅍兢摂䙁䅣兑䑂䕁䅍光歁䕁䅍䅗歁䑁䅍睎䅁偁䅍䅁坂䅁䅁睗乂䕁䅫睘䡂䕁䅷睔䍂䕁䅅䅔時䙁䅣兑䑂䕁䅍兑畂䝁䅅䅢㕂䡁䅍兡穂䙁䄸杤祁䍁䄴䅥獂䡁䅍兢摂䙁䅣兑䑂䕁䅍光歁䙁䅁䅊穁䑁䅉䅁畄䅁䅁䅣䅁䙁䅳兔䩂䙁䄸兓佂䙁䅍睘䡂䕁䅷睔䍂䕁䅅䅔時䙁䅣兑䑂䕁䅍杌䉂䝁䄴兙獂䡁䅫督灂䡁䅍睘㉂䑁䅅杌㑂䝁䅷督瑂䙁䄰睖䉂䕁䅍睑桁䍁䅑兑䝂䍁䅑䅎ㅁ䑁䅯䅊䉂䕁䅙䅊ㅁ䑁䅙䅁穃䅁䅁杙䅁䙁䅳兔䩂䙁䄸兓佂䙁䅍睘䡂䕁䅷睔䍂䕁䅅䅔時䙁䅣兑䑂䕁䅍杌䉂䝁䄴兙獂䡁䅫督灂䡁䅍睘㉂䑁䅅杌㑂䝁䅷督瑂䙁䄰睖䉂䕁䅍睑桁䍁䅑兑䩂䍁䅑睍㕁䅁䅁杳䅁䙁䅙䅁扂䙁䅍䅕䡂䙁䄸䅒䑂䕁䅙兑畂䝁䅅䅢㕂䡁䅍兡穂䙁䄸杤硁䍁䄴䅥獂䡁䅍兢摂䕁䅑睑䝂䍁䅅䅊䡂䍁䅑杍ぁ䑁䅫杏歁䕁䄰䅊祁䑁䅑兏䅁䍁䙁䅁䭂䅁䅁睗乂䕁䅫睘塂䕁䅅睑䑂䕁䅅杢桂䝁䅷入穂䝁䅫督時䡁䅙免畁䡁䅧䅢穂䝁䄰兘塂䕁䅅睑䑂䍁䅅䅊䉂䕁䅕䅊ぁ䑁䅁䅁䡁允䅁杓䅁䙁䅳兔䩂䙁䄸睖䉂䕁䅍睑䉂䝁䄴兙獂䡁䅫督灂䡁䅍睘㉂䑁䅅杌㑂䝁䅷督瑂䙁䄰睖䉂䕁䅍睑桁䍁䅑兑䩂䍁䅑睍㕁䅁䅁䅃䅅䉁䅁䅁呂䙁䅁睕䑂䍁䄰兖呂䅁䅁睹䅣䙁䅑䅁扂䕁䄰兓時䙁䅣兑䑂䕁䅍兑畂䝁䅅䅢㕂䡁䅍兡穂䙁䄸杤硁䍁䄴䅥獂䡁䅍兢摂䙁䅣兑䑂䕁䅍光歁䙁䅁䅊穁䑁䅙杏歁䙁䅁䅊ぁ䑁䅅䅁䵁允䅁杘䅁䙁䅳兔䩂䙁䄸睖塂䙁䄸睖䉂䕁䅍睑䉂䝁䄴兙獂䡁䅫督灂䡁䅍睘㉂䑁䅅杌㑂䝁䅷督瑂䙁䄰睖䉂䕁䅍睑桁䍁䅑兑䡂䍁䅑䅎ㅁ䑁䅯䅊䉂䕁䅣䅊ㅁ䑁䅙䅁㑄䅁䅁䅕䅁䙁䅳兔䩂䙁䄸睖塂䙁䄸睖䉂䕁䅍睑䉂䝁䄴兙獂䡁䅫督灂䡁䅍睘㉂䑁䅅杌㑂䝁䅷督瑂䙁䄰睖䉂䕁䅍睑桁䍁䅑睑剂䍁䅑睍㍁䅁䅁䄯䅁䡁䅯䅁偂䡁䅁䅤灂䝁䄸杢穂䑁䅯睑ㅂ䡁䅉杣㥁䕁䅕兖卂䍁䅷䅉乂䝁䅅睚㥁䕁䄰兡獂䝁䅷兡療䝁䄴督獁䍁䅁睑療䝁䄴杤乂䝁䅕䅤潂䝁䄸䅚㥁䙁䅉党橂䝁䄸兢瑂䝁䅕杢歂䝁䅕䅚獁䕁䄴兑㥁䕁䄴兑䅁佁䡣䅁敂䅁䅁睗乂䕁䅫睘塂䙁䅣睘塂䕁䅅睑䑂䕁䅅杢桂䝁䅷入穂䝁䅫督時䡁䅙免畁䡁䅧䅢穂䝁䄰兘塂䕁䅅睑䑂䍁䅅䅊䑂䙁䅯䅊穁䑁䅫杏歁䕁䅑村歁䑁䅍兏䅁偁䄸䅁慂䅁䅁睗乂䕁䅫睘塂䙁䅣睘塂䕁䅅睑䑂䕁䅅杢桂䝁䅷入穂䝁䅫督時䡁䅙免畁䡁䅧䅢穂䝁䄰兘塂䕁䅅睑䑂䍁䅅䅊兂䍁䅑睍㉁䑁䅯䅊兂䍁䅑䅎硁䅁䅁末䅁䙁䅷䅁扂䕁䄰兓時䙁䅣睖時䙁䅣兑䑂䕁䅍兑畂䝁䅅䅢㕂䡁䅍兡穂䙁䄸杤硁䍁䄴䅥獂䡁䅍兢摂䙁䅣兑䑂䕁䅍光歁䙁䅅䅊穁䑁䅍杏歁䕁䅅兑歁䑁䅍睍䅁偁䅳䅁䭂䅁䅁睗呂䙁䅁睒時䕁䅑睑䝂䕁䅅杢桂䝁䅷入穂䝁䅫督時䡁䅙免畁䡁䅧䅢穂䝁䄰兘䕂䕁䅍杒桁䍁䅑兑䉂䍁䅑免ぁ䑁䅙䅁潄䅂䅁䅓䅁䙁䅳睕兂䕁䅣睘䕂䕁䅍杒䉂䝁䄴兙獂䡁䅫督灂䡁䅍睘㉂䑁䅅杌㑂䝁䅷督瑂䙁䄰䅒䑂䕁䅙光歁䕁䅅杓歁䑁䅕睎䅁䩁䙙䅁坂䅁䅁睗呂䙁䅁睒時䕁䅑睑䝂䕁䅅杢桂䝁䅷入穂䝁䅫督時䡁䅙免畁䡁䅧䅢穂䝁䄰兘䕂䕁䅍杒桁䍁䅑兑乂䍁䅑兎㕁䑁䅯䅊䉂䕁䄰䅊㍁䑁䅉䅁畁睁䅁䅓䅁䙁䅳睕兂䕁䅣睘䕂䕁䅍杒䉂䝁䄴兙獂䡁䅫督灂䡁䅍睘㉂䑁䅅杌㑂䝁䅷督瑂䙁䄰䅒䑂䕁䅙光歁䕁䅅睔歁䑁䅕睍䅁䍁䑷䅁䥂䅁䅁睗呂䙁䅁睒時䕁䅑睑䝂䕁䅅杢桂䝁䅷入穂䝁䅫督時䡁䅙免畁䡁䅧䅢穂䝁䄰兘䕂䕁䅍杒桁䍁䅑兑坂䍁䅑兎㍁䅁䅁睙䅙䕁䅧䅁扂䙁䅍䅕䡂䙁䄸䅒䑂䕁䅙兑畂䝁䅅䅢㕂䡁䅍兡穂䙁䄸杤硁䍁䄴䅥獂䡁䅍兢摂䕁䅑睑䝂䍁䅅䅊䍂䍁䅑杍ぁ䑁䅧䅁敁兂䅁䅓䅁䙁䅳睕兂䕁䅣睘䕂䕁䅍杒䉂䝁䄴兙獂䡁䅫督灂䡁䅍睘㉂䑁䅅杌㑂䝁䅷督瑂䙁䄰䅒䑂䕁䅙光歁䕁䅉杖歁䑁䅕免䅁䡁䑧䅁坂䅁䅁睗呂䙁䅁睒時䕁䅑睑䝂䕁䅅杢桂䝁䅷入穂䝁䅫督時䡁䅙免畁䡁䅧䅢穂䝁䄰兘䕂䕁䅍杒桁䍁䅑睑偂䍁䅑兎硁䑁䅯䅊䑂䕁䄸䅊ㅁ䑁䅣䅁あ睁䅁杖䅁䙁䅳睕兂䕁䅣睘䕂䕁䅍杒䉂䝁䄴兙獂䡁䅫督灂䡁䅍睘㉂䑁䅅杌㑂䝁䅷督瑂䙁䄰䅒䑂䕁䅙光歁䕁䅍兕歁䑁䅑兏㙁䍁䅑睑卂䍁䅑䅎㕁䅁䅁兤䅍䙁䅙䅁扂䙁䅍䅕䡂䙁䄸䅒䑂䕁䅙兑畂䝁䅅䅢㕂䡁䅍兡穂䙁䄸杤硁䍁䄴䅥獂䡁䅍兢摂䕁䅑睑䝂䍁䅅䅊䑂䙁䅣䅊ㅁ䑁䅍杏歁䕁䅍杗歁䑁䅕睍䅁䑁䑙䅁捁䅁䅁杔䉂䙁䅍䅒䉂䙁䅅睒呂䑁䅯杔啂䕁䅅䅕䅁䥁䠴䅁坂䅁䅁睗呂䙁䅁睒時䕁䅑睑䝂䕁䅅杢桂䝁䅷入穂䝁䅫督時䡁䅙免畁䡁䅧䅢穂䝁䄰兘䕂䕁䅍杒桁䍁䅑䅒䕂䍁䅑兎穁䑁䅯䅊䕂䕁䅙䅊ㅁ䑁䅍䅁㑁睁䅁䅓䅁䙁䅳睕兂䕁䅣睘䕂䕁䅍杒䉂䝁䄴兙獂䡁䅫督灂䡁䅍睘㉂䑁䅅杌㑂䝁䅷督瑂䙁䄰䅒䑂䕁䅙光歁䕁䅑杔歁䑁䅑䅏䅁䍁䑣䅁坂䅁䅁睗呂䙁䅁睒時䕁䅑睑䝂䕁䅅杢桂䝁䅷入穂䝁䅫督時䡁䅙免畁䡁䅧䅢穂䝁䄰兘䕂䕁䅍杒桁䍁䅑兒歁䑁䅉免穁䑁䅯䅊䙂䍁䅑杍穁䑁䅍䅁䭂睁䅁杖䅁䙁䅳睕兂䕁䅣睘䕂䕁䅍杒䉂䝁䄴兙獂䡁䅫督灂䡁䅍睘㉂䑁䅅杌㑂䝁䅷督瑂䙁䄰䅒䑂䕁䅙光歁䕁䅕䅊祁䑁䅅睍㙁䍁䅑兒歁䑁䅉睍ぁ䅁䅁眹䅑䙁䅙䅁扂䙁䅍䅕䡂䙁䄸䅒䑂䕁䅙兑畂䝁䅅䅢㕂䡁䅍兡穂䙁䄸杤硁䍁䄴䅥獂䡁䅍兢摂䕁䅑睑䝂䍁䅅䅊䙂䍁䅑杍ぁ䑁䅧杏歁䕁䅕䅊祁䑁䅕睍䅁䱁䑑䅁坂䅁䅁睗呂䙁䅁睒時䕁䅑睑䝂䕁䅅杢桂䝁䅷入穂䝁䅫督時䡁䅙免畁䡁䅧䅢穂䝁䄰兘䕂䕁䅍杒桁䍁䅑兒歁䑁䅉兎睁䑁䅯䅊䙂䍁䅑杍ㅁ䑁䅕䅁汄䅂䅁杖䅁䙁䅳睕兂䕁䅣睘䕂䕁䅍杒䉂䝁䄴兙獂䡁䅫督灂䡁䅍睘㉂䑁䅅杌㑂䝁䅷督瑂䙁䄰䅒䑂䕁䅙光歁䕁䅕䅊祁䑁䅕免㙁䍁䅑兒歁䑁䅉兎㉁䅁䅁睈䅕䙁䅙䅁扂䙁䅍䅕䡂䙁䄸䅒䑂䕁䅙兑畂䝁䅅䅢㕂䡁䅍兡穂䙁䄸杤硁䍁䄴䅥獂䡁䅍兢摂䕁䅑睑䝂䍁䅅䅊䝂䍁䅑杍睁䑁䅣杏歁䕁䄰䅊祁䑁䅁睎䅁䕁䑫䅁坂䅁䅁睗呂䙁䅁睒時䕁䅑睑䝂䕁䅅杢桂䝁䅷入穂䝁䅫督時䡁䅙免畁䡁䅧䅢穂䝁䄰兘䕂䕁䅍杒桁䍁䅑睒歁䑁䅅䅍穁䑁䅯䅊䡂䍁䅑免穁䑁䅁䅁㝁睁䅁杖䅁䙁䅳睕兂䕁䅣睘䕂䕁䅍杒䉂䝁䄴兙獂䡁䅫督灂䡁䅍睘㉂䑁䅅杌㑂䝁䅷督瑂䙁䄰䅒䑂䕁䅙光歁䕁䅣䅊祁䑁䅑䅏㙁䍁䅑兔歁䑁䅉䅎㑁䅁䅁兵䅍䙁䅉䅁扂䙁䅍䅕䡂䙁䄸䅒䑂䕁䅙兑畂䝁䅅䅢㕂䡁䅍兡穂䙁䄸杤硁䍁䄴䅥獂䡁䅍兢摂䕁䅑睑䝂䍁䅅䅊䡂䍁䅑兏㑁䑁䅯䅊乂䍁䅑兏㑁䅁䅁睳䅍䙁䅉䅁扂䙁䅍䅕䡂䙁䄸䅒䑂䕁䅙兑畂䝁䅅䅢㕂䡁䅍兡穂䙁䄸杤硁䍁䄴䅥獂䡁䅍兢摂䕁䅑睑䝂䍁䅅䅊䡂䍁䅑兏㕁䑁䅯䅊乂䍁䅑兏㕁䅁䅁兴䅍䙁䅉䅁扂䙁䅍䅕䡂䙁䄸䅒䑂䕁䅙兑畂䝁䅅䅢㕂䡁䅍兡穂䙁䄸杤硁䍁䄴䅥獂䡁䅍兢摂䕁䅑睑䝂䍁䅅䅊䥂䍁䅑兏㕁䑁䅯䅊乂䍁䅑兏㕁䅁䅁䅐䅍䕁䅙䅁扂䙁䅍䅕䡂䙁䄸䅒䑂䕁䅙兑畂䝁䅅䅢㕂䡁䅍兡穂䙁䄸杤硁䍁䄴䅥獂䡁䅍兢摂䕁䅑睑䝂䍁䅅䅊䵂䍁䅑杍硁䅁䅁光䅕䙁䅉䅁扂䙁䅍䅕䡂䙁䄸䅒䑂䕁䅙兑畂䝁䅅䅢㕂䡁䅍兡穂䙁䄸杤硁䍁䄴䅥獂䡁䅍兢摂䕁䅑睑䝂䍁䅅䅊坂䍁䅑兎硁䑁䅯䅊坂䍁䅑兎㉁䅁䅁䅍䅍䙁䅉䅁扂䙁䅍䅕䡂䙁䄸䅒䑂䕁䅙兑畂䝁䅅䅢㕂䡁䅍兡穂䙁䄸杤硁䍁䄴䅥獂䡁䅍兢摂䕁䅑睑䝂䍁䅅䅊坂䍁䅑兎祁䑁䅯䅊坂䍁䅑兎㍁䅁䅁杊䅕䕁䅧䅁扂䙁䅍䅕䡂䙁䄸䅒䑂䕁䅙兑畂䝁䅅䅢㕂䡁䅍兡穂䙁䄸杤硁䍁䄴䅥獂䡁䅍兢摂䕁䅑睑䝂䍁䅅䅊塂䍁䅑免ぁ䑁䅁䅁䉂睁䅁䅓䅁䙁䅳睕兂䕁䅣睘䕂䕁䅍杒䉂䝁䄴兙獂䡁䅫督灂䡁䅍睘㉂䑁䅅杌㑂䝁䅷督瑂䙁䄰䅒䑂䕁䅙光歁䙁䅣䅊硁䑁䅑免䅁䍁䙯䅁坂䅁䅁睗呂䙁䅁睒時䕁䅑睑䝂䕁䅅杢桂䝁䅷入穂䝁䅫督時䡁䅙免畁䡁䅧䅢穂䝁䄰兘䕂䕁䅍杒桁䍁䅑䅗歁䑁䅅䅎穁䑁䅯䅊奂䍁䅑免ぁ䑁䅑䅁獁兂䅁䅖䅁䙁䅳睕兂䕁䅣睘䕂䕁䅍杒䉂䝁䄴兙獂䡁䅫督灂䡁䅍睘㉂䑁䅅杌㑂䝁䅷督瑂䙁䄰䅒䑂䕁䅙光歁䙁䅧䅊ぁ䑁䅧杏歁䕁䅅䅓歁䑁䅑䅏䅁佁䔸䅁啂䅁䅁睗呂䙁䅁睒時䕁䅑睑䝂䕁䅅杢桂䝁䅷入穂䝁䅫督時䡁䅙免畁䡁䅧䅢穂䝁䄰兘䕂䕁䅍杒桁䍁䅑䅗歁䑁䅑兏㙁䍁䅑兑䥂䍁䅑䅎㕁䅁䅁睊䅕䕁䅧䅁扂䙁䅍䅕䡂䙁䄸䅒䑂䕁䅙兑畂䝁䅅䅢㕂䡁䅍兡穂䙁䄸杤硁䍁䄴䅥獂䡁䅍兢摂䕁䅑睑䝂䍁䅅䅊婂䍁䅑免穁䑁䅅䅁⭁睁䅁杖䅁䙁䅳睕兂䕁䅣睘䕂䕁䅍杒䉂䝁䄴兙獂䡁䅫督灂䡁䅍睘㉂䑁䅅杌㑂䝁䅷督瑂䙁䄰䅒䑂䕁䅙光歁䙁䅫䅊硁䑁䅑睍㙁䍁䅑兗歁䑁䅅䅎ぁ䅁䅁兌䅕䙁䅙䅁扂䙁䅍䅕䡂䙁䄸䅒䑂䕁䅙兑畂䝁䅅䅢㕂䡁䅍兡穂䙁䄸杤硁䍁䄴䅥獂䡁䅍兢摂䕁䅑睑䝂䍁䅅䅊婂䍁䅑免ぁ䑁䅧杏歁䙁䅫䅊硁䑁䅕睍䅁䕁䑣䅁䥂䅁䅁睗呂䙁䅁睒時䕁䅑睑䝂䕁䅅杢桂䝁䅷入穂䝁䅫督時䡁䅙免畁䡁䅧䅢穂䝁䄰兘䕂䕁䅍杒桁䍁䅑杗歁䑁䅅䅎睁䅁䅁眶䅑䉁䄴䅁灂䡁䅅睘楂䝁䄸杢歂䙁䄸睙療䡁䅕䅣療䝁䄴䅁浄䅂䅁来䅁䕁䄸䅣あ䝁䅫睢畂䡁䅍杏䑂䡁䅕杣祂䑁䄰兖呂䕁䅑䅌杁䕁䄰兙湂䑁䄰兔灂䝁䅷䅢灂䝁䄸杢穂䍁䅷䅉䑂䝁䄸杢㉂䕁䄰党あ䝁䅧睢歂䑁䄰杕求䝁䅍睢瑂䝁䄰党畂䝁䅑党歂䍁䅷杔䉂䑁䄰杔䉂䅁䅁䅕䅣䍁䅁䅁呂䙁䅁睘䑂䕁䄸兔兂䕁䅅杔婂䙁䄸杔䉂䕁䄰兒䅁䙁䡉䅁奂䅁䅁兓畂䡁䅑党祂䝁䄴兙あ䝁䅫睢畂䝁䅅䅢杁䕁䅉兤穂䝁䅫杢求䡁䅍督杁䕁䄰兙橂䝁䅧兡畂䝁䅕督杁䕁䅍睢祂䡁䅁睢祂䝁䅅䅤灂䝁䄸杢䅁䙁䡍䅁杁䅁䅁兓剂䙁䄸睑偂䙁䅕杔啂䙁䅉兗時䕁䄴兑乂䕁䅕䅁佄睂䅁䅅䅁䑁䅑䅍ぁ䑁䅅睍㉁䑁䅍䅁坂睂䅁䅅䅁䑁䅑免ぁ䑁䅉睎㉁䑁䅁䅁塂睂䅁䅅䅁䑁䅑䅍ぁ䑁䅣䅏ぁ䑁䅣䅁婂睂䅁䅉䅁䙁䅍䅕啂䙁䄸兒偂䕁䅑睘婂䙁䅑兔時䕁䄰兓䕂䅁䅁兘䅣䍁䅁䅁䙂䕁䄸䅒杁䕁䅍䅢療䡁䅍党杁䙁䅁杣灂䝁䅍党䅁䙁䠴䅁啁䅁䅁䅏啂䙁䅉兑瑁䙁䅧䅖卂䕁䅅䅁桂睂䅁䅆䅁䙁䅑杣桂䡁䅑睢畂䍁䅁睕䙂䅁䅁杙䅣䡁䅙䅁䑂䝁䄸睚畂䝁䅫来桂䝁䄴䅤杁䙁䅑党橂䝁䅧杢療䝁䅷睢湂䡁䅫䅉呂䝁䄸䅢ㅂ䡁䅑兡療䝁䄴督杁䕁䅍睢祂䡁䅁睢祂䝁䅅䅤灂䝁䄸杢杁䍁䅧杔䉂䙁䅍䅒䉂䙁䅅睒呂䑁䅯睑啂䙁䅍䅓灁䅁䅁睫䅣䉁䅁䅁ぁ䑁䅁睎硁䑁䅕䅏穁䅁䅁䅚䅣䑁䅧䅁䉂䕁䅉䅉坂䝁䄸䅢㉂䝁䄸䅉潁䡁䅁兤楂䝁䅷克杁䍁䅧睔乂䑁䅯杖偂䕁䅷杖杁䕁䅉克䅁䝁䡙䅁啁䅁䅁䅗啂䙁䅉兑㙁䕁䅯兖佂䑁䅍䅁湂睂䅁䅆䅁䙁䅙睔䵂䙁䅙䅉䍂䍁䄰睔乂䅁䅁兡䅣䉁䅉䅁䙂䙁䅁兓杁䕁䅅兌偂䕁䄰䅁牂睂䅁杅䅁䙁䅧䅖卂䕁䅅杏䕂䙁䅑睒䅁䝁䡷䅁十䅁䅁䅒啂䕁䅣兌奂䙁䅑杕䉂䅁䅁睢䅣䑁䅙䅁䱂䝁䄴睢祂䡁䅉兌䍂䡁䅉党瑂䡁䅍党杁䕁䅅睒杁䍁䅧䅗啂䙁䅉兑㙁䕁䅳村奂䍁䅫䅁穂睂䅁䅦䅁䕁䄸䅣あ䝁䅫睢畂䡁䅍杏䑂䡁䅕杣祂䑁䄰兒噂䙁䅉䅌杁䕁䄰兙湂䑁䄰䅖潂䝁䄸兤穂䝁䅅杢歂䡁䅍䅌杁䕁䅍睢畂䡁䅙兔求䡁䅑䅡療䝁䅑児卂䝁䅕睙療䝁䄰兢求䝁䄴䅚求䝁䅑䅌佂䕁䅅児佂䕁䅅䅁穄睂䅁䅗䅁䕁䅯兤畂䝁䅣䅡求䝁䅫杢祂䝁䅫睙潂䍁䅁兑牂䡁䅑兡求䝁䄴睚求䡁䅍党獂䝁䅷督橂䝁䅧兙浂䡁䅑䅉潁䙁䅧䅖卂䕁䅅杏䭂䙁䅕杔穁䍁䅫䅁あ睂䅁杅䅁䕁䅳睒奂䍁䄰䅗啂䙁䅉兑䅁䡁䡙䅁允䅁䅁䅎㕁䑁䅫李睁䑁䅑䅍䅁䡁䡧䅁㑁䅁䅁兒睂䝁䅫杣療䝁䅍䅉䉂䕁䅉䅉潁䡁䅁兤楂䝁䅷克杁䍁䅧睔乂䑁䅯兒兂䕁䅫䅉䉂䍁䅫䅁㙂睂䅁䅈䅁䙁䅍䅕呂䑁䅅䅏㍁䑁䅑睍ぁ䑁䅉䅍睁䑁䅫䅁㝂睂䅁䅈䅁䕁䄴兑呂䕁䅑兑剂䕁䅣睕㙁䕁䅫杔啂䕁䅍䅁㡂睂䅁䅈䅁䙁䅍䅕呂䑁䅅兏㑁䑁䅅䅎睁䑁䅣兏睁䑁䅣䅁䉃睂䅁䅈䅁䙁䅍䅕呂䑁䅅兏㑁䑁䅅䅎睁䑁䅣兏睁䑁䅫䅁䍃睂䅁杗䅁䙁䅳杕求䡁䅙兡穂䝁䅕䅚時䙁䅍䅕䡂䙁䄸睖䉂䕁䅍睑䉂䝁䄴兙獂䡁䅫督灂䡁䅍睘㉂䑁䅅杌㑂䝁䅷督瑂䙁䄰睖䉂䕁䅍睑桁䍁䅑兒歁䑁䅉免䅁䥁䡷䅁捁䅁䅁杔䉂䙁䅍䅒䉂䙁䅅睒呂䑁䅯兔呂䕁䅙䅖䅁䥁䠰䅁允䅁䅁䅎祁䑁䅉杍祁䑁䅧李䅁䩁䡑䅁卂䅁䅁䅕桂䝁䅷睢杁䕁䅅䅢あ䝁䄸䅉佂䝁䅕䅤㍂䝁䄸杣牂䡁䅍䅌杁䕁䅫杢橂䍁䄴䅉潁䕁䄴兑呂䕁䅑兑剂䕁䅣睕㙁䙁䅁兑佂䙁䅣克䅁䩁䡣䅁㑁䅁䅁睉䩂䕁䄴杖䉂䕁䅷兓䕂䍁䅁杒噂䕁䄴睑啂䕁䅫睔佂䍁䅁䅕䉂䙁䅉兑乂䕁䅕䅖䙂䙁䅉䅁捃睂䅁䅆䅁䕁䄴兗呂䕁䅕杏䍂䕁䅫䅔䵂䅁䅁兮䅣䉁䅧䅁佂䕁䅅睕䕂䕁䅅兕䡂䙁䅍杏䍂䕁䅷䅁橃睂䅁杅䅁䕁䄴兗呂䕁䅕杏卂䕁䄴睒䅁䭁䡧䅁捁䅁䅁杔䉂䙁䅍䅒䉂䙁䅅睒呂䑁䅯村䵂䕁䅳村䅁䭁䡫䅁允䅁䅁䅎㑁䑁䅉䅎祁䑁䅙杍䅁䭁䡷䅁允䅁䅁村䵂䕁䅳村瑁䙁䅕睕䅁䱁䡁䅁允䅁䅁䅕䑂䙁䅑兗瑁䙁䅕睕䅁䱁䡑䅁允䅁䅁杒䩂䙁䅙杔瑁䙁䅕睕䅁䱁䡙䅁允䅁䅁䅎ぁ䑁䅁李㕁䑁䅧睍䅁䱁䡣䅁捁䅁䅁睕兂䙁䅍免㉁䑁䅧杍穁䑁䅧䅍祁䑁䅣免䅁䱁䡧䅁捁䅁䅁睕兂䙁䅍免㉁䑁䅧杍ㅁ䑁䅙免睁䑁䅧兎䅁䱁䡯䅁捁䅁䅁睕兂䙁䅍免㕁䑁䅅免ぁ䑁䅑䅍ㅁ䑁䅍䅍䅁䱁䡳䅁捁䅁䅁杔䉂䙁䅍䅒䉂䙁䅅睒呂䑁䅯睕兂䙁䅍睑䅁䱁䠰䅁允䅁䅁䅎硁䑁䅑李ぁ䑁䅣䅍䅁䵁䡅䅁允䅁䅁䅎㕁䑁䅣免穁䑁䅣睍䅁䵁䡣䅁允䅁䅁兑兂䙁䅁杒瑁䙁䅕睕䅁䵁䡧䅁䝂䅁䅁睕兂䙁䅍䅉䑂䝁䄸兢瑂䝁䅕杣橂䝁䅕䅌杁䕁䅫杢橂䍁䄴䅉潁䕁䄴兑呂䕁䅑兑剂䕁䅣睕㙁䙁䅍䅕呂䕁䅍克䅁䵁䡫䅁坁䅁䅁兓剂䙁䄸睑偂䙁䅕杔啂䙁䅉兗䅁䵁䡷䅁煁䅁䅁睉䩂䕁䄴杖䉂䕁䅷兓䕂䍁䅁兔䙂䙁䅑杕䩂䕁䅍䅉佂䕁䅅兔䙂䅁䅁兺䅣䝁䅑䅁扂䙁䅉党㉂䝁䅫督求䝁䅑䅒祂䝁䅅杚あ䙁䄸睕兂䕁䅣睘塂䕁䅅睑䑂䕁䅅杢桂䝁䅷入穂䝁䅫督時䡁䅙免畁䡁䅧䅢穂䝁䄰兘塂䕁䅅睑䑂䍁䅅䅊䙂䍁䅑免穁䅁䅁䄰䅣䝁䅙䅁扂䙁䅉党㉂䝁䅫督求䝁䅑䅒祂䝁䅅杚あ䙁䄸睕兂䕁䅣睘塂䕁䅅睑䑂䕁䅅杢桂䝁䅷入穂䝁䅫督時䡁䅙免畁䡁䅧䅢穂䝁䄰兘塂䕁䅅睑䑂䍁䅅䅊䉂䙁䅉䅊ㅁ䑁䅉䅁剄睂䅁䅚䅁䙁䅳杕求䡁䅙兡穂䝁䅕䅚䕂䡁䅉兙浂䡁䅑睘呂䙁䅁睒時䙁䅣兑䑂䕁䅍兑畂䝁䅅䅢㕂䡁䅍兡穂䙁䄸杤硁䍁䄴䅥獂䡁䅍兢摂䙁䅣兑䑂䕁䅍光歁䕁䅕䅊祁䑁䅅䅁卄睂䅁䅐䅁䙁䅁兙㕂䝁䅷睢橂䝁䅫䅤㕂䍁䅁䅓療䝁䅷䅚灂䝁䄴睚杁䕁䅍睢祂䡁䅁睢祂䝁䅅䅤灂䝁䄸杢䅁乁䡕䅁杁䅁䅁村獂䝁䅅睙牂䕁䅷兡畂䝁䅕䅌杁䕁䅫杢橂䍁䄴䅁塄睂䅁䅉䅁䕁䅉䅢桂䝁䅍睡楂䝁䅅兤歂䍁䅷䅉䩂䝁䄴睙畁䅁䅁䄲䅣䉁䄴䅁䉂䡁䅁䅣䝂䝁䄸䅢灂䝁䄸䅌杁䕁䅫杢橂䍁䄴䅁慄睂䅁杇䅁䙁䅣睢祂䝁䅳兡㉂䝁䅅䅉䩂䝁䄴睙畁䅁䅁眲䅣䍁䅙䅁呂䙁䅁睕杁䕁䅍睢瑂䝁䄰党祂䝁䅍党獁䍁䅁兓畂䝁䅍杌䅁乁䡷䅁歂䅁䅁睗卂䝁䅕杤灂䡁䅍党歂䕁䅑杣桂䝁䅙䅤時䙁䅍䅕䡂䙁䄸睖䉂䕁䅍睑䉂䝁䄴兙獂䡁䅫督灂䡁䅍睘㉂䑁䅉杌㑂䝁䅷督瑂䙁䄰睖䉂䕁䅍睑桁䍁䅑兒歁䑁䅅睍䅁乁䠴䅁浂䅁䅁睗卂䝁䅕杤灂䡁䅍党歂䕁䅑杣桂䝁䅙䅤時䙁䅍䅕䡂䙁䄸睖䉂䕁䅍睑䉂䝁䄴兙獂䡁䅫督灂䡁䅍睘㉂䑁䅉杌㑂䝁䅷督瑂䙁䄰睖䉂䕁䅍睑桁䍁䅑兑卂䍁䅑兎祁䅁䅁眳䅣䉁䅙䅁睁䑁䅣睌睁䑁䅅睌祁䑁䅁杍㉁䅁䅁儴䅣䝁䅙䅁扂䙁䅉党㉂䝁䅫督求䝁䅑䅒祂䝁䅅杚あ䙁䄸睕兂䕁䅣睘塂䕁䅅睑䑂䕁䅅杢桂䝁䅷入穂䝁䅫督時䡁䅙睍畁䡁䅧䅢穂䝁䄰兘塂䕁䅅睑䑂䍁䅅䅊䉂䕁䅑䅊ㅁ䑁䅉䅁楄睂䅁杤䅁䕁䄸䅣あ䝁䅫睢畂䡁䅍杏䑂䡁䅕杣祂䑁䄰兒噂䙁䅉䅌乂䝁䅅睚㥁䕁䄰兡獂䝁䅷兡療䝁䄴督獁䕁䅍睢畂䡁䅙兔求䡁䅑䅡療䝁䅑児卂䝁䅕睙療䝁䄰兢求䝁䄴䅚求䝁䅑䅌佂䕁䅅児佂䕁䅅䅁灄睂䅁杉䅁䙁䅁党湂䝁䅅督㕂䡁䅍䅤求䝁䄰督杁䕁䅫杢橂䍁䄴䅁牄睂䅁䅅䅁䙁䅁兒䡂䕁䅅兌噂䙁䅍䅁瑄睂䅁䅅䅁䑁䅑杍㕁䑁䅙兎㑁䑁䅁䅁癄睂䅁杄䅁䕁䅉睔奂䍁䄰兖呂䅁䅁䄸䅣䝁䅙䅁扂䙁䅉党㉂䝁䅫督求䝁䅑䅒祂䝁䅅杚あ䙁䄸睕兂䕁䅣睘塂䕁䅅睑䑂䕁䅅杢桂䝁䅷入穂䝁䅫督時䡁䅙䅎畁䡁䅧䅢穂䝁䄰兘塂䕁䅅睑䑂䍁䅅䅊䉂䙁䅉䅊ㅁ䑁䅉䅁祄睂䅁䅥䅁䕁䄸䅣あ䝁䅫睢畂䡁䅍杏䑂䡁䅕杣祂䑁䄰兒噂䙁䅉䅌乂䝁䅅睚㥁䙁䅑䅡療䡁䅕督桂䝁䄴䅚穂䍁䅷睑療䝁䄴杤乂䝁䅕䅤潂䝁䄸䅚㥁䙁䅉党橂䝁䄸兢瑂䝁䅕杢歂䝁䅕䅚獁䕁䄴兑㥁䕁䄴兑䅁偁䡑䅁㉂䅁䅁睔睂䡁䅑兡療䝁䄴督㙁䕁䅍兤祂䡁䅉児䡂䕁䅉䅕獁䕁䄰兙湂䑁䄰村灂䝁䅷䅢灂䝁䄸杢穂䍁䅷睑療䝁䄴杤乂䝁䅕䅤潂䝁䄸䅚㥁䙁䅉党橂䝁䄸兢瑂䝁䅕杢歂䝁䅕䅚獁䕁䄴兑㥁䕁䄴兑䅁偁䡙䅁㡂䅁䅁睔睂䡁䅑兡療䝁䄴督㙁䕁䅍兤祂䡁䅉児噂䙁䅍䅒獁䍁䅁兔桂䝁䅣児啂䝁䅧睢ㅂ䡁䅍兙畂䝁䅑督獁䍁䅁睑療䝁䄴杤乂䝁䅕䅤潂䝁䄸䅚㥁䙁䅉党橂䝁䄸兢瑂䝁䅕杢歂䝁䅕䅚獁䕁䄴兑㥁䕁䄴兑䅁偁䡣䅁畁䅁䅁䅒求䝁䅷䅢杁䙁䅑党橂䝁䅧杢療䝁䅷睢湂䝁䅫党穂䍁䅁兓畂䝁䅍杌䅁偁䡫䅁祁䅁䅁䅕桂䝁䅷睢杁䕁䅅䅢あ䝁䄸䅉佂䝁䅕䅤㍂䝁䄸杣牂䡁䅍䅌杁䕁䅫杢橂䍁䄴䅁⭄睂䅁䅌䅁䕁䅅杣灂䡁䅍䅤桂䍁䅁杔求䡁䅑睤療䡁䅉睡穂䍁䅷䅉䩂䝁䄴睙畁䅁䅁眯䅣䉁䅁䅁䉂䕁䄴兒啂䍁䄰兖呂䅁䅁䅁䅧䉁䅯䅁佂䝁䅕䅤䉂䡁䅁䅣獁䍁䅁兓畂䝁䅍杌䅁䅁䥅䅁䅂杁䅁䍄䉁䅁䅁睁䅁䅁䅍䅄䅁䅁䅯睮䅙䅁䅯杮䅕䅁䅅䅁䉁䅁䅁睂䅁䅁䅁䙑浄䅑杷允䅁䅁䅕䅁䑁䅁䅷䅁䭁䑁䙣䅁䭁䑁䙅䅁䙁䅁䅁䅁杂⭫䅚权祁兂䅁允䅁䅁䅅䅁䭁䩁䉑䅁䵁䅉䅅䅁䑁䅁䅁睁䵁䅁䅁权潁兂䅁权卂睂䅁允䅁䅁䅅䅁䭁偁䡫䅁䵁䅉䅅䅁䝁䅁䅁睁䵁䅁䅁权祄兂䅁权摂睂䅁权敂睂䅁兂䅁䅁䅁䩧浐䅑䅯杍䅕䅁䅅䅁䉁䅁䅁兂㑁㤲她橮十䅑杷允䅁䅁䅙䅁䑁䅁䅷䅁䭁䩁䡙䅁䭁䉁䕳䅁䭁䥁䙕䅁䙁䅁䅁䅁䅃⭫䅚权祁兂䅁允䅁䅁䅅䅁䙁䡁㥅瑃橥䐸䅸䍄䉁䅁䅁杂䅁䅁䅍䅄䅁䅁䅯儵䅕䅁䅯兘䅣䅁䅯杘䅣䅁䅕䅁䅁䥁呃欵䭁䑁䙉䅁䉁䅁䅁允䅁䅁䅕杓䍷㑋坦う䵁䅉䅅䅁䙁䅁䅁睁䵁䅁䅁权佃睂䅁权㥂睁䅁兂䅁䅁䅁䩧浐䅑䅯儸䅑䅁䅅䅁䉁䅁䅁兂偃䍹穴申㉲睐杷允䅁䅁䅙䅁䑁䅁䅷䅁䭁䭁䙣䅁䭁䙁䠰䅁䭁䙁䠴䅁䙁䅁䅁䅁䅃⭫䅚权祁兂䅁允䅁䅁䅅䅁䙁䕁啈兦卂硏䅎䍄䉁䅁䅁睁䅁䅁䅍䅄䅁䅁䅯䅩䅣䅁䅯杮䅕䅁䅅䅁䉁䅁䅁睂䅁䅁䅁䡁洳䅑杷允䅁䅁䅕䅁䑁䅁䅷䅁䭁䙁䙯䅁䭁䑁䙅䅁䙁䅁䅁䅁䅂⭫䅚权祁兂䅁允䅁䅁䅅䅁䙁䙁余扌摋眷䄱䍄䉁䅁䅁睁䅁䅁䅍䅄䅁䅁䅯朸䅑䅁䅯兩䅕䅁䅅䅁䉁䅁䅁䅆䉄呃䄰䅁䅁䅁杷允䅁䅁䅕䅁䑁䅁䅷䅁䭁乁䙍䅁䭁䙁䡷䅁䙁䅁䅁䅁䅃⭫䅚权祁兂䅁允䅁䅁䅅䅁䭁䩁䉑䅁䵁䅉䅅䅁䝁䅁䅁睁䵁䅁䅁权㑄睁䅁权扁䅂䅁权䭃兂䅁兂䅁䅁䅁䩧浐䅑䅯杍䅕䅁䅅䅁䉁䅁䅁兂䩃坑汄䜰楉䅑杷允䅁䅁䅙䅁䑁䅁䅷䅁䭁䥁䠴䅁䭁䉁䕳䅁䭁䥁䙧䅁䙁䅁䅁䅁䅃⭫䅚权祁兂䅁允䅁䅁䅅䅁䙁䱁祂䩡瑈䍦䅸䍄䉁䅁䅁兂䅁䅁䅍䅄䅁䅁䅯兆䅑䅁䅯杪䅕䅁䅕䅁䅁䥁呃欵䭁䕁䠸䅁䉁䅁䅁允䅁䅁䅕湸椶丹䩢䔫䵁䅉䅅䅁䙁䅁䅁睁䵁䅁䅁权湄兂䅁权捂睂䅁兂䅁䅁䅁䩧浐䅑䅯杍䅕䅁䅅䅁䉁䅁䅁权啃允䅁䍄䉁䅁䅁杂䅁䅁䅍䅄䅁䅁䅯兪䅣䅁䅯睇䅑䅁䅯䅩䅕䅁䅕䅁䅁䥁呃欵䭁䑁䙉䅁䉁䅁䅁允䅁䅁䅕場啯歲桥啍䵁䅉䅅䅁䙁䅁䅁睁䵁䅁䅁权偁杂䅁权捂睂䅁兂䅁䅁䅁䩧浐䅑䅯杍䅕䅁䅅䅁䉁䅁䅁权啃允䅁䍄䉁䅁䅁兂䅁䅁䅍䅄䅁䅁䅯杒䅕䅁䅯免䅕䅁䅕䅁䅁䥁呃欵䭁䑁䙉䅁䉁䅁䅁允䅁䅁䅯䅬䅅䅁杷允䅁䅁䅕䅁䑁䅁䅷䅁䭁偁䡯䅁䭁䥁䘴䅁䙁䅁䅁䅁䅃⭫䅚权偂睂䅁允䅁䅁䅅䅁䙁乁扎奔䩄䅵䉴䍄䉁䅁䅁杂䅁䅁䅍䅄䅁䅁䅯眳䅕䅁䅯兘䅣䅁䅯杘䅣䅁䅕䅁䅁䥁呃欵䭁䑁䙉䅁䉁䅁䅁允䅁䅁䅕い䉗灐湈歇䵁䅉䅅䅁䝁䅁䅁睁䵁䅁䅁权潁兂䅁权癁杁䅁权䝃兂䅁兂䅁䅁䅁䩧浐䅑䅯睔䅣䅁䅅䅁䉁䅁䅁䅆ぃ䅦䅁䅁䅁䅁杷允䅁䅁䅕䅁䑁䅁䅷䅁䭁䑁䙷䅁䭁䑁䙅䅁䙁䅁䅁䅁䅃⭫䅚权祁兂䅁允䅁䅁䅅䅁䭁䩁䉑䅁䵁䅉䅅䅁䙁䅁䅁睁䵁䅁䅁权剁杂䅁权捂睂䅁兂䅁䅁䅁䩧浐䅑䅯杍䅕䅁䅅䅁䉁䅁䅁权啃允䅁䍄䉁䅁䅁杂䅁䅁䅍䅄䅁䅁䅯末䅣䅁䅯睇䅑䅁䅯杩䅕䅁䅕䅁䅁䥁呃欵䭁䑁䙉䅁䉁䅁䅁允䅁䅁䅕㥆佮ㄹ橏か䵁䅉䅅䅁䝁䅁䅁睁䵁䅁䅁权潁兂䅁权扁䅂䅁权乃兂䅁兂䅁䅁䅁䩧浐䅑䅯杍䅕䅁䅅䅁䉁䅁䅁兂橄婰䕶䩉睁䅑杷允䅁䅁䅕䅁䑁䅁䅷䅁䭁䡁䙅䅁䭁䑁䙅䅁䙁䅁䅁䅁杂⭫䅚权祁兂䅁允䅁䅁䅅䅁䭁䩁䉑䅁䵁䅉䅅䅁䙁䅁䅁睁䵁䅁䅁权療䅂䅁权佃兂䅁兂䅁䅁䅁䩧浐䅑䅯睔䅣䅁䅅䅁䉁䅁䅁兂桂呣呧㥇坕兑杷允䅁䅁䅕䅁䑁䅁䅷䅁䭁䝁䘸䅁䭁䑁䙅䅁䙁䅁䅁䅁䅃⭫䅚权祁兂䅁允䅁䅁䅅䅁䭁䩁䉑䅁䵁䅉䅅䅁䙁䅁䅁睁䵁䅁䅁权ぃ兂䅁权捂睂䅁兂䅁䅁䅁䩧浐䅑䅯杍䅕䅁䅅䅁䉁䅁䅁权啃允䅁䍄䉁䅁䅁兂䅁䅁䅍䅄䅁䅁䅯睘䅕䅁䅯免䅕䅁䅕䅁䅁䕁呃欵䭁䑁䙉䅁䉁䅁䅁允䅁䅁䅕䝭匴㡧䭄歃䵁䅉䅅䅁䙁䅁䅁睁䵁䅁䅁权㝁杂䅁权捂睂䅁兂䅁䅁䅁䩧浐䅑䅯杍䅕䅁䅅䅁䉁䅁䅁权啃允䅁䍄䉁䅁䅁睁䅁䅁䅍䅄䅁䅁䅯睅䅙䅁䅯杮䅕䅁䅅䅁䉁䅁䅁睂䅁䅁䅁䡷汢䅑杷允䅁䅁䅙䅁䑁䅁䅷䅁䭁䥁䡅䅁䭁䙁䠰䅁䭁䙁䠴䅁䙁䅁䅁䅁䅃⭫䅚权祁兂䅁允䅁䅁䅅䅁䙁䩁慴瑴塙剩䅆䍄䉁䅁䅁兂䅁䅁䅍䅄䅁䅁䅯党䅕䅁䅯免䅕䅁䅕䅁䅁䝁呃欵䭁䑁䙉䅁䉁䅁䅁允䅁䅁䅯䅬䅅䅁杷允䅁䅁䅕䅁䑁䅁䅷䅁䭁䡁䙙䅁䭁䑁䙅䅁䙁䅁䅁䅁杂⭫䅚权祁兂䅁允䅁䅁䅅䅁䭁䩁䉑䅁䵁䅉䅅䅁䝁䅁䅁睁䵁䅁䅁权潁兂䅁权扁䅂䅁权䭃兂䅁兂䅁䅁䅁䩧浐䅑䅯杍䅕䅁䅅䅁䉁䅁䅁兂奂扏䥔湤破䅑杷允䅁䅁䅙䅁䑁䅁䅷䅁䭁䍁䙫䅁䭁䉁䕳䅁䭁䥁䙧䅁䙁䅁䅁䅁䅃⭫䅚权祁兂䅁允䅁䅁䅅䅁䙁䅁琴灳瘳穸䅎䍄䉁䅁䅁兂䅁䅁䅍䅄䅁䅁䅯兊䅙䅁䅯䅘䅣䅁䅕䅁䅁䥁呃欵䭁䑁䙉䅁䉁䅁䅁允䅁䅁䅯䅬䅅䅁杷允䅁䅁䅕䅁䑁䅁䅷䅁䭁䝁䙙䅁䭁䑁䙅䅁䙁䅁䅁䅁䅂⭫䅚权祁兂䅁允䅁䅁䅅䅁䙁䅁䅁䅁䅁䉁䅎䍄䉁䅁䅁兂䅁䅁䅍䅄䅁䅁䅯杫䅣䅁䅯杪䅕䅁䅕䅁䅁䥁呃欵䭁䕁䠸䅁䉁䅁䅁允䅁䅁䅕㥁楺䅫婖䔲䵁䅉䅅䅁䝁䅁䅁睁䵁䅁䅁权塂杂䅁权摂睂䅁权敂睂䅁兂䅁䅁䅁䩧浐䅑䅯杍䅕䅁䅅䅁䉁䅁䅁兂㕁摵栫偋啁䅑杷允䅁䅁䅙䅁䑁䅁䅷䅁䭁䥁䠰䅁䭁䉁䕳䅁䭁䥁䙯䅁䙁䅁䅁䅁䅃⭫䅚权祁兂䅁允䅁䅁䅅䅁䙁䕁杊搵楁穏䅊䍄䉁䅁䅁兂䅁䅁䅍䅄䅁䅁䅯䅤䅕䅁䅯免䅕䅁䅕䅁䅁䥁呃欵䭁䑁䙉䅁䉁䅁䅁允䅁䅁䅯䅬䅅䅁杷允䅁䅁䅙䅁䑁䅁䅷䅁䭁偁䕉䅁䭁䑁䍑䅁䭁䥁䙙䅁䙁䅁䅁䅁䅃⭫䅚权兂睂䅁允䅁䅁䅅䅁䭁䩁䉑䅁䵁䅉䅅䅁䝁䅁䅁睁䵁䅁䅁权偂杂䅁权摂睂䅁权敂睂䅁兂䅁䅁䅁䩧浐䅑䅯杍䅕䅁䅅䅁䉁䅁䅁兂䉃睺樸䥨啣䅑杷允䅁䅁䅕䅁䑁䅁䅷䅁䭁䡁䘴䅁䭁䑁䙅䅁䙁䅁䅁䅁䅂⭫䅚权祁兂䅁允䅁䅁䅅䅁䙁䱁䥔牤昶楗䅊䍄䉁䅁䅁兂䅁䅁䅍䅄䅁䅁䅯杖䅕䅁䅯免䅕䅁䅕䅁䅁䕁呃欵䭁䑁䙉䅁䉁䅁䅁允䅁䅁䅕䭆䠵場啯樯䴸䅉䅅䅁䙁䅁䅁睁䵁䅁䅁权桂兂䅁权硁兂䅁兂䅁䅁䅁䩙浐䅑䅯杍䅕䅁䅅䅁䉁䅁䅁权啃允䅁䍄䉁䅁䅁兂䅁䅁䅍䅄䅁䅁䅯入䅕䅁䅯免䅕䅁䅕䅁䅁䝁呃欵䭁䑁䙉䅁䉁䅁䅁允䅁䅁䅯䅬䅅䅁杷允䅁䅁䅕䅁䑁䅁䅷䅁䭁䕁䘴䅁䭁䑁䙅䅁䙁䅁䅁䅁杂⭫䅚权祁兂䅁允䅁䅁䅅䅁䭁䩁䉑䅁䵁䅉䅅䅁䝁䅁䅁睁䵁䅁䅁权㑄睁䅁权癁杁䅁权䝃兂䅁兂䅁䅁䅁䩧浐䅑䅯睔䅣䅁䅅䅁䉁䅁䅁䅆㑁睕䅁䅁䅁䅁杷允䅁䅁䅙䅁䑁䅁䅷䅁䭁偁䕉䅁䭁䉁䕳䅁䭁䥁䙧䅁䙁䅁䅁䅁䅃⭫䅚权祁兂䅁允䅁䅁䅅䅁䭁䩁䙑䅁䵁䅉䅅䅁䝁䅁䅁睁䵁䅁䅁权煁杂䅁权摂睂䅁权敂睂䅁兂䅁䅁䅁䩧浐䅑䅯杍䅕䅁䅅䅁䉁䅁䅁兂療䰲潙㑳婅䅑杷允䅁䅁䅙䅁䑁䅁䅷䅁䭁䙁䝁䅁䭁䙁䠰䅁䭁䙁䠴䅁䙁䅁䅁䅁䅃⭫䅚权祁兂䅁允䅁䅁䅅䅁䙁䥁䱨橪汵睷䅨䍄䉁䅁䅁兂䅁䅁䅍䅄䅁䅁䅯䅑䅕䅁䅯免䅕䅁䅕䅁䅁䝁呃欵䭁䑁䙉䅁䉁䅁䅁允䅁䅁䅯䅬䅅䅁杷允䅁䅁䅙䅁䑁䅁䅷䅁䭁䩁䡉䅁䭁䉁䕳䅁䭁䥁䘰䅁䙁䅁䅁䅁䅃⭫䅚权祁兂䅁允䅁䅁䅅䅁䙁䱁祂䩡瑈䑦䅨䍄䉁䅁䅁兂䅁䅁䅍䅄䅁䅁䅯睸䅕䅁䅯䅘䅣䅁䅕䅁䅁䥁呃欵䭁䑁䙉䅁䉁䅁䅁允䅁䅁䅯䅬䅅䅁杷允䅁䅁䅙䅁䑁䅁䅷䅁䭁䥁䡣䅁䭁䙁䠰䅁䭁䙁䠴䅁䙁䅁䅁䅁䅃⭫䅚权祁兂䅁允䅁䅁䅅䅁䙁䙁佶扰煩䈷䅚䍄䉁䅁䅁杂䅁䅁䅍䅄䅁䅁䅯杬䅣䅁䅯睇䅑䅁䅯杩䅕䅁䅕䅁䅁䥁呃欵䭁䑁䙉䅁䉁䅁䅁允䅁䅁䅕浑汄䌰扊歎䵁䅉䅅䅁䑁䅁䅁睁䵁䅁䅁权祄䅂䅁权剂睂䅁允䅁䅁䅅䅁䭁偁䕉䅁䵁䅉䅅䅁䙁䅁䅁睁䵁䅁䅁权䝃睂䅁权捂睂䅁兂䅁䅁䅁䩧浐䅑䅯杍䅕䅁䅅䅁䉁䅁䅁权啃允䅁䍄䉁䅁䅁杂䅁䅁䅍䅄䅁䅁䅯朸䅑䅁䅯睇䅑䅁䅯䅪䅕䅁䅕䅁䅁䥁呃欵䭁䑁䙉䅁䉁䅁䅁允䅁䅁䅯䅬䅕䅁杷允䅁䅁䅑䅁䑁䅁䅷䅁䭁䍁䘴䅁䭁䍁䘸䅁䙁䅁䅁䅁䅃畃䅚允䅁䅁䅅䅁䙁䉁䕈琱歎扯䅆䍄䉁䅁䅁杂䅁䅁䅍䅄䅁䅁䅯朸䅑䅁䅯睌䅉䅁䅯杨䅕䅁䅕䅁䅁䥁呃欵䭁䙁䡁䅁䉁䅁䅁允䅁䉁䅑倫䄴䅁䅁䅁䵁䅉䅅䅁䝁䅁䅁睁䵁䅁䅁权潁兂䅁权扁䅂䅁权䥃兂䅁兂䅁䅁䅁䩧浐䅑䅯杍䅕䅁䅅䅁䉁䅁䅁兂穁積積㝍楍䅑杷允䅁䅁䅙䅁䑁䅁䅷䅁䭁䍁䙫䅁䭁䉁䕳䅁䭁䥁䘰䅁䙁䅁䅁䅁䅃⭫䅚权祁兂䅁允䅁䅁䅅䅁䙁乁㕶浦㡱䌹䄵䍄䉁䅁䅁䅂䅁䅁䅍䅄䅁䅁䅯杌䅕䅁䅯睌䅕䅁䅕䅁䅁䅁䱄䔵䉁䅁䅁允䅁䅁䅕䥚䝕睱愷䕯䵁䅉䅅䅁䝁䅁䅁睁䵁䅁䅁权祄䅂䅁权扁䅂䅁权乃兂䅁兂䅁䅁䅁䩧浐䅑䅯杍䅕䅁䅅䅁䉁䅁䅁兂兂婪畤潅䕍䅑杷允䅁䅁䅙䅁䑁䅁䅷䅁䭁䩁䡙䅁䭁䉁䕳䅁䭁䥁䙧䅁䙁䅁䅁䅁䅃⭫䅚权祁兂䅁允䅁䅁䅅䅁䭁䩁䙑䅁䵁䅉䅅䅁䙁䅁䅁睁䵁䅁䅁权祄䅂䅁权佃兂䅁兂䅁䅁䅁䩧浐䅑䅯䅕䅣䅁䅅䅁䉁䅁䅁兂慃獉婄牯䩧兑杷允䅁䅁䅙䅁䑁䅁䅷䅁䭁偁䕉䅁䭁䉁䕳䅁䭁䥁䙯䅁䙁䅁䅁䅁䅃⭫䅚权祁兂䅁允䅁䅁䅅䅁䙁䑁䩥坑汄䍅䅴䍄䉁䅁䅁睁䅁䅁䅍䅄䅁䅁䅯䅋䅕䅁䅯睍䅅䅁䅅䅁䉁䅁䅁权啂睂䅁䍄䉁䅁䅁兂䅁䅁䅍䅄䅁䅁䅯䅑䅕䅁䅯免䅕䅁䅕䅁䅁䥁呃欵䭁䑁䙉䅁䉁䅁䅁允䅁䅁䅯䅬䅅䅁杷允䅁䅁䅙䅁䑁䅁䅷䅁䭁偁䕉䅁䭁䉁䕳䅁䭁䥁䙕䅁䙁䅁䅁䅁䅃⭫䅚权祁兂䅁允䅁䅁䅅䅁䭁䩁䙑䅁䵁䅉䅅䅁䝁䅁䅁睁䵁䅁䅁权祄䅂䅁权元杂䅁权䙃兂䅁兂䅁䅁䅁䩧浐䅑䅯杍䅕䅁䅅䅁䉁䅁䅁权䥂䅂䅁䍄䉁䅁䅁睁䅁䅁䅍䅄䅁䅁䅯朸䅑䅁䅯睩䅕䅁䅅䅁䉁䅁䅁权歄䅁䅁䍄䉁䅁䅁兂䅁䅁䅍䅄䅁䅁䅯朸䅑䅁䅯兦䅍䅁䅕䅁䅁䥁呃欵䭁偁䕅䅁䉁䅁䅁允䅁䅁䅕硆䝏佣偗樵䴸䅉䅅䅁䑁䅁䅁睁䵁䅁䅁权灁兂䅁权䱃兂䅁允䅁䅁䅅䅁䭁䡁䍉䅁䵁䅉䅅䅁䙁䅁䅁睁䵁䅁䅁权湃兂䅁权捂睂䅁兂䅁䅁䅁䩧浐䅑䅯杍䅕䅁䅅䅁䉁䅁䅁权啃允䅁䍄䉁䅁䅁睁䅁䅁䅍䅄䅁䅁䅯朸䅑䅁䅯杕䅣䅁䅅䅁䉁䅁䅁权呂睂䅁䍄䉁䅁䅁兂䅁䅁䅍䅄䅁䅁䅯睡䅕䅁䅯免䅕䅁䅕䅁䅁䥁呃欵䭁䑁䙉䅁䉁䅁䅁允䅁䅁䅯䅬䅅䅁杷允䅁䅁䅍䅁䑁䅁䅷䅁䭁䉁䕕䅁䭁䥁䙳䅁䉁䅁䅁允䅁䅁䅯儵䅁䅁杷允䅁䅁䅍䅁䑁䅁䅷䅁䭁偁䡯䅁䭁䑁䉍䅁䉁䅁䅁允䅁䅁䅯眫䅣䅁杷允䅁䅁䅍䅁䑁䅁䅷䅁䭁䍁䙧䅁䭁䥁䙳䅁䉁䅁䅁允䅁䅁䅯䅚䅉䅁杷允䅁䅁䅙䅁䑁䅁䅷䅁䭁䥁䡕䅁䭁䙁䠰䅁䭁䙁䠴䅁䙁䅁䅁䅁䅃⭫䅚权祁兂䅁允䅁䅁䅅䅁䙁䕁䥆橆䉃睭䅨䍄䉁䅁䅁杂䅁䅁䅍䅄䅁䅁䅯䅋䅕䅁䅯睇䅑䅁䅯全䅕䅁䅕䅁䅁䥁呃欵䭁䑁䙉䅁䉁䅁䅁允䅁䅁䅕䑔䩥坑䙂歍䵁䅉䅅䅁䝁䅁䅁睁䵁䅁䅁权㙁杂䅁权摂睂䅁权敂睂䅁兂䅁䅁䅁䩧浐䅑䅯杍䅕䅁䅅䅁䉁䅁䅁兂㑂樷挱汣具䅑杷允䅁䅁䅙䅁䑁䅁䅷䅁䭁䥁䠰䅁䭁䉁䕳䅁䭁䥁䘰䅁䙁䅁䅁䅁䅃⭫䅚权祁兂䅁允䅁䅁䅅䅁䙁䝁汄䌰扌协䅰䍄䉁䅁䅁兂䅁䅁䅍䅄䅁䅁䅯䅖䅕䅁䅯免䅕䅁䅕䅁䅁䕁呃欵䭁䑁䙉䅁䉁䅁䅁允䅁䅁䅕匶硙䭃捷䕄䵁䅉䅅䅁䙁䅁䅁睁䵁䅁䅁权時兂䅁权硁兂䅁兂䅁䅁䅁䩙浐䅑䅯杍䅕䅁䅅䅁䉁䅁䅁权啃允䅁䍄䉁䅁䅁兂䅁䅁䅍䅄䅁䅁䅯䅙䅕䅁䅯免䅕䅁䅕䅁䅁䝁呃欵䭁䑁䙉䅁䉁䅁䅁允䅁䅁䅯䅬䅅䅁杷允䅁䅁䅙䅁䑁䅁䅷䅁䭁䉁䕕䅁䭁䉁䕳䅁䭁䥁䙕䅁䙁䅁䅁䅁䅃⭫䅚权祁兂䅁允䅁䅁䅅䅁䙁䱁祂䩡瑈䑶䅤䍄䉁䅁䅁兂䅁䅁䅍䅄䅁䅁䅯睙䅕䅁䅯免䅕䅁䅕䅁䅁䥁呃欵䭁䑁䙉䅁䉁䅁䅁允䅁䅁䅯䅬䅅䅁杷允䅁䅁䅙䅁䑁䅁䅷䅁䭁䝁䔸䅁䭁䉁䕳䅁䭁䥁䙯䅁䙁䅁䅁䅁䅃⭫䅚权祁兂䅁允䅁䅁䅅䅁䙁䵁䭈啯㉗祳䅖䍄䉁䅁䅁杂䅁䅁䅍䅄䅁䅁䅯䅋䅕䅁䅯睇䅑䅁䅯䅪䅕䅁䅕䅁䅁䥁呃欵䭁䑁䙉䅁䉁䅁䅁允䅁䅁䅕䉯癯匳浔䕏䵁䅉䅅䅁䑁䅁䅁睁䵁䅁䅁权㑄睁䅁权穁允䅁允䅁䅁䅅䅁䭁䙁䡧䅁䵁䅉䅅䅁䝁䅁䅁睁䵁䅁䅁权噁䅂䅁权扁䅂䅁权䥃兂䅁兂䅁䅁䅁䩧浐䅑䅯杍䅕䅁䅅䅁䉁䅁䅁兂ㅁ牘䩰䥄㍉䅑杷允䅁䅁䅕䅁䑁䅁䅷䅁䭁䍁䙧䅁䭁䥁䘴䅁䙁䅁䅁䅁䅃⭫䅚权偂睂䅁允䅁䅁䅅䅁䙁偁坢兘㉷儫䈹䍄䉁䅁䅁兂䅁䅁䅍䅄䅁䅁䅯睢䅕䅁䅯免䅕䅁䅕䅁䅁䕁呃欵䭁䑁䙉䅁䉁䅁䅁允䅁䅁䅕䑚晶㑔堲啃䵁䅉䅅䅁䑁䅁䅁睁䵁䅁䅁权療䅂䅁权穁允䅁允䅁䅁䅅䅁䭁䙁䡙䅁䵁䅉䅅䅁䙁䅁䅁睁䵁䅁䅁权穁兂䅁权硁兂䅁兂䅁䅁䅁䩙浐䅑䅯杍䅕䅁䅅䅁䉁䅁䅁权啃允䅁䍄䉁䅁䅁杂䅁䅁䅍䅄䅁䅁䅯䅋䅕䅁䅯䅎䅉䅁䅯杨䅕䅁䅕䅁䅁䥁呃欵䭁䕁䠸䅁䉁䅁䅁允䅁䅁䅯䅬䅅䅁杷允䅁䅁䅕䅁䑁䅁䅷䅁䭁䡁䘰䅁䭁䑁䙅䅁䙁䅁䅁䅁䅂⭫䅚权祁兂䅁允䅁䅁䅅䅁䙁䭁䠵場啯杲䄱䍄䉁䅁䅁杂䅁䅁䅍䅄䅁䅁䅯睢䅑䅁䅯睇䅑䅁䅯䅪䅕䅁䅕䅁䅁䥁呃欵䭁䑁䙉䅁䉁䅁䅁允䅁䅁䅕楁䡵瑆佬ぇ䵁䅉䅅䅁䝁䅁䅁睁䵁䅁䅁权㙄睂䅁权ぁ杁䅁权䝃兂䅁兂䅁䅁䅁䩧浐䅑䅯睔䅣䅁䅅䅁䉁䅁䅁权啃允䅁䍄䉁䅁䅁睁䅁䅁䅍䅄䅁䅁䅯兆䅑䅁䅯杕䅣䅁䅅䅁䉁䅁䅁权㑃䅂䅁䍄䉁䅁䅁睁䅁䅁䅍䅄䅁䅁䅯兪䅣䅁䅯杕䅣䅁䅅䅁䉁䅁䅁权㡄睂䅁䍄䉁䅁䅁兂䅁䅁䅍䅄䅁䅁䅯兗䅕䅁䅯免䅕䅁䅕䅁䅁䝁呃欵䭁䑁䙉䅁䉁䅁䅁允䅁䅁䅯䅬䅅䅁杷允䅁䅁䅍䅁䑁䅁䅷䅁䭁偁䑧䅁䭁䙁䡉䅁䉁䅁䅁允䅁䅁䅯末䅍䅁杷允䅁䅁䅍䅁䑁䅁䅷䅁䭁佁䙉䅁䭁䩁䘴䅁䉁䅁䅁允䅁䅁䅣䅁䅁䝁㉃䔵䵁䅉䅅䅁䑁䅁䅁睁䵁䅁䅁权㑄睁䅁权䱃兂䅁允䅁䅁䅅䅁䭁䭁䅷䅁䵁䅉䅅䅁䙁䅁䅁睁䵁䅁䅁权㉂兂䅁权硁兂䅁兂䅁䅁䅁䩑浐䅑䅯杍䅕䅁䅅䅁䉁䅁䅁兂敃㘷䝦穓㝦睐杷允䅁䅁䅙䅁䑁䅁䅷䅁䭁偁䑧䅁䭁䉁䕳䅁䭁䥁䙕䅁䙁䅁䅁䅁䅃⭫䅚权祁兂䅁允䅁䅁䅅䅁䙁䅁䅁䅁䅁䙁䄵䍄䉁䅁䅁睁䅁䅁䅍䅄䅁䅁䅯杬䅣䅁䅯杕䅣䅁䅅䅁䉁䅁䅁权⭄睂䅁䍄䉁䅁䅁杂䅁䅁䅍䅄䅁䅁䅯兪䅣䅁䅯睌䅉䅁䅯杨䅕䅁䅕䅁䅁䥁呃欵䭁䕁䠸䅁䉁䅁䅁允䅁䉁䅑晌䉣䅁䅁䅁䵁䅉䅅䅁䝁䅁䅁睁䵁䅁䅁权㑄睁䅁权扁䅂䅁权䥃兂䅁兂䅁䅁䅁䩧浐䅑䅯杍䅕䅁䅅䅁䉁䅁䅁兂啁歲桦汥灑䅑杷允䅁䅁䅙䅁䑁䅁䅷䅁䭁䝁䔸䅁䭁䑁䍑䅁䭁䥁䙙䅁䙁䅁䅁䅁䅃⭫䅚权偂睂䅁允䅁䅁䅅䅁啁䙁呯䅁䅁䅁䅁䍄䉁䅁䅁杂䅁䅁䅍䅄䅁䅁䅯䄫䅍䅁䅯睇䅑䅁䅯䅪䅕䅁䅕䅁䅁䥁呃欵䭁䑁䙉䅁䉁䅁䅁允䅁䅁䅕畮渫歸㍳吷䴸䅉䅅䅁䙁䅁䅁睁䵁䅁䅁权桂兂䅁权硁兂䅁兂䅁䅁䅁䩧浐䅑䅯杍䅕䅁䅅䅁䉁䅁䅁权啃允䅁䍄䉁䅁䅁杂䅁䅁䅍䅄䅁䅁䅯䄫䅍䅁䅯睇䅑䅁䅯兪䅕䅁䅕䅁䅁䥁呃欵䭁䑁䙉䅁䉁䅁䅁允䅁䅁䅕琸乊桙奄啅䵁䅉䅅䅁䙁䅁䅁睁䵁䅁䅁权㑁兂䅁权硁兂䅁兂䅁䅁䅁䩙浐䅑䅯杍䅕䅁䅅䅁䉁䅁䅁权啃允䅁䍄䉁䅁䅁杂䅁䅁䅍䅄䅁䅁䅯杬䅣䅁䅯睇䅑䅁䅯䅪䅕䅁䅕䅁䅁䥁呃欵䭁䑁䙉䅁䉁䅁䅁允䅁䅁䅯䅬䅕䅁杷允䅁䅁䅕䅁䑁䅁䅷䅁䭁䝁䙍䅁䭁䑁䙅䅁䙁䅁䅁䅁䅂⭫䅚权祁兂䅁允䅁䅁䅅䅁䙁䑁積積積砸䅸䍄䉁䅁䅁睁䅁䅁䅍䅄䅁䅁䅯睔䅙䅁䅯杮䅕䅁䅅䅁䉁䅁䅁睂䅁䅁䅁䵉汦䅑杷允䅁䅁䅙䅁䑁䅁䅷䅁䭁䩁䡙䅁䭁䍁䌸䅁䭁䥁䙙䅁䙁䅁䅁䅁䅃⭫䅚权偂睂䅁允䅁䅁䅅䅁啁䙁䥉䅁䅁䅁䅁䍄䉁䅁䅁兂䅁䅁䅍䅄䅁䅁䅯䄫䅍䅁䅯杪䅕䅁䅕䅁䅁䥁呃欵䭁䕁䠸䅁䉁䅁䅁允䅁䅁䅕流睳䭋㑶欷䵁䅉䅅䅁䙁䅁䅁睁䵁䅁䅁权呂兂䅁权硁兂䅁兂䅁䅁䅁䩧浐䅑䅯杍䅕䅁䅅䅁䉁䅁䅁权啃允䅁䍄䉁䅁䅁兂䅁䅁䅍䅄䅁䅁䅯兤䅕䅁䅯免䅕䅁䅕䅁䅁䕁呃欵䭁䑁䙉䅁䉁䅁䅁允䅁䅁䅕䅁䅁䅁䅃啌䵁䅉䅅䅁䝁䅁䅁睁䵁䅁䅁权噁䅂䅁权扁䅂䅁权䵃兂䅁兂䅁䅁䅁䩧浐䅑䅯杍䅕䅁䅅䅁䉁䅁䅁兂䡄穓䩥兑㑁䅑杷允䅁䅁䅕䅁䑁䅁䅷䅁䭁䡁䙉䅁䭁䑁䙅䅁䙁䅁䅁䅁杂⭫䅚权祁兂䅁允䅁䅁䅅䅁䭁䩁䉑䅁䵁䅉䅅䅁䝁䅁䅁睁䵁䅁䅁权㑄睁䅁权ぁ杁䅁权䝃兂䅁兂䅁䅁䅁䩧浐䅑䅯睔䅣䅁䅅䅁䉁䅁䅁权啃允䅁䍄䉁䅁䅁睁䅁䅁䅍䅄䅁䅁䅯睢䅑䅁䅯杕䅣䅁䅅䅁䉁䅁䅁权晄䅂䅁䍄䉁䅁䅁杂䅁䅁䅍䅄䅁䅁䅯兆䅑䅁䅯睇䅑䅁䅯杩䅕䅁䅕䅁䅁䥁呃欵䭁䑁䙉䅁䉁䅁䅁允䅁䅁䅕䑗ね䡹敚ぎ䵁䅉䅅䅁䑁䅁䅁睁䵁䅁䅁权療䅂䅁权䱃兂䅁允䅁䅁䅅䅁䭁䡁䍁䅁䵁䅉䅅䅁䝁䅁䅁睁䵁䅁䅁权療䅂䅁权扁䅂䅁权䙃兂䅁兂䅁䅁䅁䩧浐䅑䅯杍䅕䅁䅅䅁䉁䅁䅁兂䥁䉲慸䑚灳䅑杷允䅁䅁䅕䅁䑁䅁䅷䅁䭁䝁䘴䅁䭁䑁䙅䅁䙁䅁䅁䅁杂⭫䅚权祁兂䅁允䅁䅁䅅䅁䭁䩁䉑䅁䵁䅉䅅䅁䝁䅁䅁睁䵁䅁䅁权療䅂䅁权扁䅂䅁权䥃兂䅁兂䅁䅁䅁䩧浐䅑䅯杍䅕䅁䅅䅁䉁䅁䅁兂乃㉬匴で潁䅑杷允䅁䅁䅙䅁䑁䅁䅷䅁䭁䱁䘴䅁䭁䙁䠰䅁䭁䙁䠴䅁䙁䅁䅁䅁䅃⭫䅚权祁兂䅁允䅁䅁䅅䅁䙁䝁电䕔夹桁䅎䍄䉁䅁䅁睁䅁䅁䅍䅄䅁䅁䅯杪䅣䅁䅯睍䅅䅁䅅䅁䉁䅁䅁权元睂䅁䍄䉁䅁䅁杂䅁䅁䅍䅄䅁䅁䅯睢䅑䅁䅯睇䅑䅁䅯兪䅕䅁䅕䅁䅁䥁呃欵䭁䑁䙉䅁䉁䅁䅁允䅁䅁䅕㑈牘払敨䕋䵁䅉䅅䅁䙁䅁䅁睁䵁䅁䅁权獂兂䅁权硁兂䅁兂䅁䅁䅁䩙浐䅑䅯杍䅕䅁䅅䅁䉁䅁䅁权啃允䅁䍄䉁䅁䅁兂䅁䅁䅍䅄䅁䅁䅯䅱䅕䅁䅯䅘䅣䅁䅕䅁䅁䥁呃欵䭁䑁䙉䅁䉁䅁䅁允䅁䅁䅯䅬䅅䅁杷允䅁䅁䅕䅁䑁䅁䅷䅁䭁䥁䡉䅁䭁䙁䡷䅁䙁䅁䅁䅁䅃⭫䅚权祁兂䅁允䅁䅁䅅䅁䭁䩁䉑䅁䵁䅉䅅䅁䝁䅁䅁睁䵁䅁䅁权療䅂䅁权癁杁䅁权䝃兂䅁兂䅁䅁䅁䩧浐䅑䅯睔䅣䅁䅅䅁䉁䅁䅁䅆䥁杪䅉䅁䅁䅁杷允䅁䅁䅍䅁䑁䅁䅷䅁䭁䉁䕕䅁䭁䑁䉍䅁䉁䅁䅁允䅁䅁䅯睖䅣䅁杷允䅁䅁䅙䅁䑁䅁䅷䅁䭁偁䡯䅁䭁䉁䕳䅁䭁䥁䙧䅁䙁䅁䅁䅁䅃⭫䅚权祁兂䅁允䅁䅁䅅䅁䙁䑁ㄸ牘䩰䍔䅬䍄䉁䅁䅁杂䅁䅁䅍䅄䅁䅁䅯兆䅑䅁䅯睇䅑䅁䅯兪䅕䅁䅕䅁䅁䥁呃欵䭁䑁䙉䅁䉁䅁䅁允䅁䅁䅕㘴扗䍸兄歎䵁䅉䅅䅁䑁䅁䅁睁䵁䅁䅁权䕃睂䅁权敃兂䅁允䅁䅁䅅䅁䡁䅁䅁䅁䅁敦䅚䍄䉁䅁䅁杂䅁䅁䅍䅄䅁䅁䅯兆䅑䅁䅯睌䅉䅁䅯杨䅕䅁䅕䅁䅁䥁呃欵䭁䕁䠸䅁䉁䅁䅁允䅁䅁䅕椹捨㉪楊䕷䵁䅉䅅䅁䝁䅁䅁睁䵁䅁䅁权㙄睂䅁权癁杁䅁权䝃兂䅁兂䅁䅁䅁䩧浐䅑䅯睔䅣䅁䅅䅁䉁䅁䅁䅆䅁䅁䅁䅁䅁䅁杷允䅁䅁䅙䅁䑁䅁䅷䅁䭁䉁䕕䅁䭁䑁䍑䅁䭁䥁䙙䅁䙁䅁䅁䅁䅃⭫䅚权偂睂䅁允䅁䅁䅅䅁䭁䩁䉑䅁䵁䅉䅅䅁䑁䅁䅁睁䵁䅁䅁权乃睂䅁权穁允䅁允䅁䅁䅅䅁䭁䥁䠸䅁䵁䅉䅅䅁䙁䅁䅁睁䵁䅁䅁权㕂兂䅁权硁兂䅁兂䅁䅁䅁䩑浐䅑䅯杍䅕䅁䅅䅁䉁䅁䅁兂牁硨婢発偣䅑杷允䅁䅁䅍䅁䑁䅁䅷䅁䭁䥁䠰䅁䭁䥁䙳䅁䉁䅁䅁允䅁䅁䅯兲䅁䅁杷允䅁䅁䅕䅁䑁䅁䅷䅁䭁䕁䙙䅁䭁䑁䙅䅁䙁䅁䅁䅁䅂⭫䅚权祁兂䅁允䅁䅁䅅䅁䙁䱁へ硫䕧杖䅤䍄䉁䅁䅁兂䅁䅁䅍䅄䅁䅁䅯䅋䅕䅁䅯兦䅍䅁䅕䅁䅁䥁呃欵䭁偁䕅䅁䉁䅁䅁允䅁䅁䅕慵⭂䉄煰樹䴸䅉䅅䅁䝁䅁䅁睁䵁䅁䅁权乃睂䅁权扁䅂䅁权䙃兂䅁兂䅁䅁䅁䩧浐䅑䅯杍䅕䅁䅅䅁䉁䅁䅁兂䵂㑎䉬䝙穕䅑杷允䅁䅁䅙䅁䑁䅁䅷䅁䭁䥁䠰䅁䭁䉁䕳䅁䭁䥁䙷䅁䙁䅁䅁䅁䅃⭫䅚权祁兂䅁允䅁䅁䅅䅁䙁䱁䥔牤昶樫䅊䍄䉁䅁䅁睁䅁䅁䅍䅄䅁䅁䅯杪䅣䅁䅯杕䅣䅁䅅䅁䉁䅁䅁权䉁䅃䅁䍄䉁䅁䅁兂䅁䅁䅍䅄䅁䅁䅯末䅣䅁䅯兦䅍䅁䅕䅁䅁䥁呃欵䭁偁䕅䅁䉁䅁䅁允䅁䅁䅕䭈慭䑨噌含䴸䅉䅅䅁䙁䅁䅁睁䵁䅁䅁权乃睂䅁权佃兂䅁兂䅁䅁䅁䩧浐䅑䅯睔䅣䅁䅅䅁䉁䅁䅁兂塃䈷䅌ㄱ䭎兑杷允䅁䅁䅙䅁䑁䅁䅷䅁䭁䥁䠰䅁䭁䑁䍑䅁䭁䥁䙙䅁䙁䅁䅁䅁䅃⭫䅚权偂睂䅁允䅁䅁䅅䅁䭁䩁䉑䅁䵁䅉䅅䅁䑁䅁䅁睁䵁䅁䅁权坃睂䅁权穁允䅁允䅁䅁䅅䅁䭁䩁䡧䅁䵁䅉䅅䅁䙁䅁䅁睁䵁䅁䅁权䉂兂䅁权硁兂䅁兂䅁䅁䅁䩙浐䅑䅯杍䅕䅁䅅䅁䉁䅁䅁权啃允䅁䍄䉁䅁䅁兂䅁䅁䅍䅄䅁䅁䅯兘䅕䅁䅯免䅕䅁䅕䅁䅁䥁呃欵䭁䑁䙉䅁䉁䅁䅁允䅁䅁䅯䅬䅅䅁杷允䅁䅁䅍䅁䑁䅁䅷䅁䭁䭁䙧䅁䭁䩁䘴䅁䉁䅁䅁允䅁䅁䅣䅁䅁䅁䭂唵䵁䅉䅅䅁䑁䅁䅁睁䵁䅁䅁权汁杂䅁权敃兂䅁允䅁䅁䅅䅁䡁䅁䅁䅁权佁䅎䍄䉁䅁䅁睁䅁䅁䅍䅄䅁䅁䅯杬䅣䅁䅯睩䅕䅁䅅䅁䉁䅁䅁权婃睂䅁䍄䉁䅁䅁兂䅁䅁䅍䅄䅁䅁䅯兣䅕䅁䅯免䅕䅁䅕䅁䅁䕁呃欵䭁䑁䙉䅁䉁䅁䅁允䅁䅁䅕噋偹癷䥕歑䵁䅉䅅䅁䝁䅁䅁睁䵁䅁䅁权坃睂䅁权扁䅂䅁权乃兂䅁兂䅁䅁䅁䩧浐䅑䅯杍䅕䅁䅅䅁䉁䅁䅁权啃兂䅁䍄䉁䅁䅁兂䅁䅁䅍䅄䅁䅁䅯䅮䅙䅁䅯䅘䅣䅁䅕䅁䅁䥁呃欵䭁䑁䙉䅁䉁䅁䅁允䅁䅁䅯䅬䅅䅁杷允䅁䅁䅕䅁䑁䅁䅷䅁䭁䩁䡙䅁䭁䥁䘴䅁䙁䅁䅁䅁䅃⭫䅚权偂睂䅁允䅁䅁䅅䅁䙁䵁䴳䵺汹剧䉂䍄䉁䅁䅁杂䅁䅁䅍䅄䅁䅁䅯杬䅣䅁䅯䅎䅉䅁䅯杨䅕䅁䅕䅁䅁䥁呃欵䭁䕁䠸䅁䉁䅁䅁允䅁䅁䅯䅬䅅䅁杷允䅁䅁䅍䅁䑁䅁䅷䅁䭁䩁䡉䅁䭁䙁䡉䅁䉁䅁䅁允䅁䅁䅯兢䅑䅁杷允䅁䅁䅍䅁䑁䅁䅷䅁䭁偁䡯䅁䭁䙁䡉䅁䉁䅁䅁允䅁䅁䅯眯䅣䅁杷允䅁䅁䅍䅁䑁䅁䅷䅁䭁䩁䡉䅁䭁䑁䉍䅁䉁䅁䅁允䅁䅁䅯䅬䅣䅁杷允䅁䅁䅍䅁䑁䅁䅷䅁䭁䩁䡉䅁䭁䥁䙳䅁䉁䅁䅁允䅁䅁䅯共䅁䅁杷允䅁䅁䅕䅁䑁䅁䅷䅁䭁䍁䝣䅁䭁䙁䡷䅁䙁䅁䅁䅁䅃⭫䅚权祁兂䅁允䅁䅁䅅䅁䭁䩁䉑䅁䵁䅉䅅䅁䙁䅁䅁睁䵁䅁䅁权䕃睂䅁权捂睂䅁兂䅁䅁䅁䩧浐䅑䅯杍䅕䅁䅅䅁䉁䅁䅁权啃允䅁䍄䉁䅁䅁杂䅁䅁䅍䅄䅁䅁䅯杫䅣䅁䅯睇䅑䅁䅯全䅕䅁䅕䅁䅁䥁呃欵䭁䑁䙉䅁䉁䅁䅁允䅁䅁䅕㉦㡱䩤䥍歑䵁䅉䅅䅁䙁䅁䅁睁䵁䅁䅁权䝂兂䅁权硁兂䅁兂䅁䅁䅁䩙浐䅑䅯杍䅕䅁䅅䅁䉁䅁䅁权啃允䅁䍄䉁䅁䅁杂䅁䅁䅍䅄䅁䅁䅯杫䅣䅁䅯睇䅑䅁䅯䅩䅕䅁䅕䅁䅁䥁呃欵䭁䑁䙉䅁䉁䅁䅁允䅁䅁䅕敨剴䉵水䕏䵁䅉䅅䅁䙁䅁䅁睁䵁䅁䅁权畂兂䅁权硁兂䅁兂䅁䅁䅁䩑浐䅑䅯杍䅕䅁䅅䅁䉁䅁䅁兂㥂穐敖歵䙫䅑杷允䅁䅁䅕䅁䑁䅁䅷䅁䭁䡁䘸䅁䭁䑁䙅䅁䙁䅁䅁䅁杂⭫䅚权祁兂䅁允䅁䅁䅅䅁䭁䩁䉑䅁䵁䅉䅅䅁䝁䅁䅁睁䵁䅁䅁权千睂䅁权扁䅂䅁权䭃兂䅁兂䅁䅁䅁䩧浐䅑䅯杍䅕䅁䅅䅁䉁䅁䅁兂捃䍸睃畣㍧䅑杷允䅁䅁䅕䅁䑁䅁䅷䅁䭁䑁䙳䅁䭁䑁䙅䅁䙁䅁䅁䅁䅃⭫䅚权祁兂䅁允䅁䅁䅅䅁䭁䩁䉑䅁䵁䅉䅅䅁䝁䅁䅁睁䵁䅁䅁权千睂䅁权扁䅂䅁权䵃兂䅁兂䅁䅁䅁䩧浐䅑䅯杍䅕䅁䅅䅁䉁䅁䅁兂㕂匶硙䍃㑷䅑杷允䅁䅁䅙䅁䑁䅁䅷䅁䭁䩁䡉䅁䭁䍁䌸䅁䭁䥁䙙䅁䙁䅁䅁䅁䅃⭫䅚权偂睂䅁允䅁䅁䅅䅁啁䕁䕑䅁䅁䅁䅁䍄䉁䅁䅁杂䅁䅁䅍䅄䅁䅁䅯杫䅣䅁䅯䅎䅉䅁䅯杨䅕䅁䅕䅁䅁䥁呃欵䭁䕁䠸䅁䉁䅁䅁允䅁䅁䅯䅬䅅䅁杷允䅁䅁䅍䅁䑁䅁䅷䅁䭁偁䡯䅁䭁䥁䙳䅁䉁䅁䅁允䅁䅁䅯䅁䅧䅁杷允䅁䅁䅕䅁䑁䅁䅷䅁䭁䙁䙍䅁䭁䑁䙅䅁䙁䅁䅁䅁䅂⭫䅚权祁兂䅁允䅁䅁䅅䅁䙁䡁⭥确癯兘䅂䍄䉁䅁䅁兂䅁䅁䅍䅄䅁䅁䅯睮䅙䅁䅯䅘䅣䅁䅕䅁䅁䥁呃欵䭁䑁䙉䅁䉁䅁䅁允䅁䅁䅯䅬䅅䅁杷允䅁䅁䅙䅁䑁䅁䅷䅁䭁偁䡯䅁䭁䉁䕳䅁䭁䥁䙕䅁䙁䅁䅁䅁䅃⭫䅚权祁兂䅁允䅁䅁䅅䅁䙁䡁潎敫㠱穘䅆䍄䉁䅁䅁兂䅁䅁䅍䅄䅁䅁䅯䅖䅕䅁䅯免䅕䅁䅕䅁䅁䥁呃欵䭁䑁䙉䅁䉁䅁䅁允䅁䅁䅯䅬䅅䅁杷允䅁䅁䅕䅁䑁䅁䅷䅁䭁䡁䘰䅁䭁䑁䙅䅁䙁䅁䅁䅁䅃⭫䅚权祁兂䅁允䅁䅁䅅䅁䭁䩁䉑䅁䵁䅉䅅䅁䙁䅁䅁睁䵁䅁䅁权牂兂䅁权硁兂䅁兂䅁䅁䅁䩙浐䅑䅯杍䅕䅁䅅䅁䉁䅁䅁权啃允䅁䍄䉁䅁䅁兂䅁䅁䅍䅄䅁䅁䅯朸䅕䅁䅯䅘䅣䅁䅕䅁䅁䥁呃欵䭁䑁䙉䅁䉁䅁䅁允䅁䅁䅯䅬䅅䅁杷允䅁䅁䅙䅁䑁䅁䅷䅁䭁䑁䜴䅁䭁䙁䠰䅁䭁䙁䠴䅁䙁䅁䅁䅁䅃⭫䅚权祁兂䅁允䅁䅁䅅䅁䙁䥁獈改倶⽤⽯䍄䉁䅁䅁杂䅁䅁䅍䅄䅁䅁䅯末䅣䅁䅯睇䅑䅁䅯䅪䅕䅁䅕䅁䅁䥁呃欵䭁䑁䙉䅁䉁䅁䅁允䅁䅁䅕㉣剩堷⽺䕌䵁䅉䅅䅁䙁䅁䅁睁䵁䅁䅁权䅃兂䅁权硁兂䅁兂䅁䅁䅁䩧浐䅑䅯杍䅕䅁䅅䅁䉁䅁䅁权啃允䅁䍄䉁䅁䅁杂䅁䅁䅍䅄䅁䅁䅯末䅣䅁䅯睇䅑䅁䅯兪䅕䅁䅕䅁䅁䥁呃欵䭁䑁䙉䅁䉁䅁䅁允䅁䅁䅕䑚晶㑔報ぉ䵁䅉䅅䅁䑁䅁䅁睁䵁䅁䅁权佃睂䅁权䱃兂䅁允䅁䅁䅅䅁䭁䝁䍕䅁䵁䅉䅅䅁䙁䅁䅁睁䵁䅁䅁权⭁兂䅁权硁兂䅁兂䅁䅁䅁䩑浐䅑䅯杍䅕䅁䅅䅁䉁䅁䅁兂䵁楁䡵框潫䅑杷允䅁䅁䅕䅁䑁䅁䅷䅁䭁䙁䝁䅁䭁䙁䡷䅁䙁䅁䅁䅁䅃⭫䅚权祁兂䅁允䅁䅁䅅䅁䭁䩁䉑䅁䵁䅉䅅䅁䝁䅁䅁睁䵁䅁䅁权佃睂䅁权扁䅂䅁权䙃兂䅁兂䅁䅁䅁䩧浐䅑䅯杍䅕䅁䅅䅁䉁䅁䅁兂浃㡭村䩳㉉䅑杷允䅁䅁䅙䅁䑁䅁䅷䅁䭁䥁䠴䅁䭁䉁䕳䅁䭁䥁䙯䅁䙁䅁䅁䅁䅃⭫䅚权祁兂䅁允䅁䅁䅅䅁䙁䑁晶㑔堲樷䅖䍄䉁䅁䅁杂䅁䅁杷允䅁䅁䅕䅁䭁䅁䥉䅁䭁䕁䠴䅁䭁䩁䙣䅁䙁䅁䅁䅁䅁偁⽁兂䅁䅁䅁䕁偃䉑䅑䕱癬䩯㙨卆唰䍁㥺硂㙶䘵夰䅆剃琯獐㡆塥桶䅑䉵㘲呋灊慳啯䥁乌佢眸癆⽤允䅁䅁䅅䅁䭁䩁䙧䅁䵁䅉䅅䅁䙁䅁䅁睁䵁䅁䅁权坂兂䅁权硁兂䅁兂䅁䅁䅁䩧浐䅑䅯杍䅕䅁䅅䅁䉁䅁䅁权啃允䅁䍄䉁䅁䅁杂䅁䅁䅍䅄䅁䅁䅯杪䅣䅁䅯睇䅑䅁䅯䅪䅕䅁䅕䅁䅁䥁呃欵䭁䑁䙉䅁䉁䅁䅁允䅁䅁䅯䅬䅕䅁杷允䅁䅁䅕䅁䑁䅁䅷䅁䭁䩁䡙䅁䭁䡁䐰䅁䙁䅁䅁䅁䅃⭫䅚权硄䅂䅁允䅁䅁䅅䅁䙁䑁眲䭡楊敭⽷䍄䉁䅁䅁杂䅁䅁䅍䅄䅁䅁䅯杪䅣䅁䅯睇䅑䅁䅯兪䅕䅁䅕䅁䅁䥁呃欵䭁䑁䙉䅁䉁䅁䅁允䅁䅁䅕⽺呤㘴托䕌䵁䅉䅅䅁䙁䅁䅁睁䵁䅁䅁权敂兂䅁权硁兂䅁兂䅁䅁䅁䩧浐䅑䅯杍䅕䅁䅅䅁䉁䅁䅁权啃允䅁䍄䉁䅁䅁杂䅁䅁䅍䅄䅁䅁䅯杪䅣䅁䅯睌䅉䅁䅯杨䅕䅁䅕䅁䅁䥁呃欵䭁䕁䠸䅁䉁䅁䅁允䅁䉁䅑兲䅯䅁䅁䅁䵁䅉䅅䅁䙁䅁䅁睁䵁䅁䅁权佃睂䅁权佃兂䅁兂䅁䅁䅁䩧浐䅑䅯睔䅣䅁䅅䅁䉁䅁䅁兂汃祡晙桥桲䅑杷允䅁䅁䅕䅁䑁䅁䅷䅁䭁䕁䙳䅁䭁䑁䙅䅁䙁䅁䅁䅁䅂⭫䅚权祁兂䅁允䅁䅁䅅䅁䙁䡁㥅瑃橥䌸䅊䍄䉁䅁䅁杂䅁䅁䅍䅄䅁䅁䅯杪䅣䅁䅯䅎䅉䅁䅯杨䅕䅁䅕䅁䅁䥁呃欵䭁䕁䠸䅁䉁䅁䅁允䅁䅁䅯䅬䅅䅁杷允䅁䅁䅍䅁䑁䅁䅷䅁䭁䍁䙫䅁䭁䙁䡉䅁䉁䅁䅁允䅁䅁䅯儯䅣䅁杷允䅁䅁䅕䅁䑁䅁䅷䅁䭁䕁䙯䅁䭁䑁䙅䅁䙁䅁䅁䅁䅂⭫䅚权祁兂䅁允䅁䅁䅅䅁䙁䑁䬰㘱睎卶䅨䍄䉁䅁䅁睁䅁䅁䅍䅄䅁䅁䅯克䅕䅁䅯睍䅅䅁䅅䅁䉁䅁䅁权婂睂䅁䍄䉁䅁䅁睁䅁䅁䅍䅄䅁䅁䅯䅗䅙䅁䅯杮䅕䅁䅅䅁䉁䅁䅁睂䅁䅁䅁偙汔䅑杷允䅁䅁䅙䅁䑁䅁䅷䅁䭁䍁䙫䅁䭁䉁䕳䅁䭁䥁䙕䅁䙁䅁䅁䅁䅃⭫䅚权祁兂䅁允䅁䅁䅅䅁䙁䑁䬰㘱睎员䅊䍄䉁䅁䅁睁䅁䅁䅍䅄䅁䅁䅯兗䅙䅁䅯杮䅕䅁䅅䅁䉁䅁䅁睂䅁䅁䅁䝁決䅑杷允䅁䅁䅙䅁䑁䅁䅷䅁䭁䍁䙫䅁䭁䉁䕳䅁䭁䥁䙯䅁䙁䅁䅁䅁䅃⭫䅚权祁兂䅁允䅁䅁䅅䅁䙁䅁塲㍯㥁橋䅒䍄䉁䅁䅁兂䅁䅁䅍䅄䅁䅁䅯䅒䅕䅁䅯免䅕䅁䅕䅁䅁䝁呃欵䭁䑁䙉䅁䉁䅁䅁允䅁䅁䅯䅬䅅䅁杷允䅁䅁䅕䅁䑁䅁䅷䅁䭁䱁䙁䅁䭁䙁䡷䅁䙁䅁䅁䅁䅃⭫䅚权祁兂䅁允䅁䅁䅅䅁䭁䩁䉑䅁䵁䅉䅅䅁䝁䅁䅁睁䵁䅁䅁权灁兂䅁权扁䅂䅁权䵃兂䅁兂䅁䅁䅁䩧浐䅑䅯杍䅕䅁䅅䅁䉁䅁䅁兂允䑗ね乹す䅑杷允䅁䅁䅙䅁䑁䅁䅷䅁䭁䍁䙫䅁䭁䍁䌸䅁䭁䥁䙙䅁䙁䅁䅁䅁䅃⭫䅚权偂睂䅁允䅁䅁䅅䅁啁䭁払䅁䅁䅁䅁䍄䉁䅁䅁兂䅁䅁䅍䅄䅁䅁䅯克䅕䅁䅯杪䅕䅁䅕䅁䅁䥁呃欵䭁䕁䠸䅁䉁䅁䅁允䅁䅁䅕灭婭剭丹䔫䵁䅉䅅䅁䝁䅁䅁睁䵁䅁䅁权灁兂䅁权ぁ杁䅁权䝃兂䅁兂䅁䅁䅁䩧浐䅑䅯睔䅣䅁䅅䅁䉁䅁䅁权啃允䅁䍄䉁䅁䅁兂䅁䅁䅍䅄䅁䅁䅯䅍䅕䅁䅯免䅕䅁䅕䅁䅁䕁呃欵䭁䑁䙉䅁䉁䅁䅁允䅁䅁䅕兇坒楄礰歅䵁䅉䅅䅁䑁䅁䅁睁䵁䅁䅁权十杂䅁权敃兂䅁允䅁䅁䅅䅁䡁䅁䅁䅁䅄畤䅖䍄䉁䅁䅁兂䅁䅁䅍䅄䅁䅁䅯杗䅕䅁䅯免䅕䅁䅕䅁䅁䥁呃欵䭁䑁䙉䅁䉁䅁䅁允䅁䅁䅯䅬䅅䅁杷允䅁䅁䅕䅁䑁䅁䅷䅁䭁䙁䙳䅁䭁䑁䙅䅁䙁䅁䅁䅁䅃⭫䅚权祁兂䅁允䅁䅁䅅䅁䭁䩁䉑䅁䵁䅉䅅䅁䙁䅁䅁睁䵁䅁䅁权求兂䅁权硁兂䅁兂䅁䅁䅁䩧浐䅑䅯杍䅕䅁䅅䅁䉁䅁䅁权啃允䅁䍄䉁䅁䅁兂䅁䅁䅍䅄䅁䅁䅯眳䅕䅁䅯䅘䅣䅁䅕䅁䅁䥁呃欵䭁䑁䙉䅁䉁䅁䅁允䅁䅁䅯䅬䅅䅁杷允䅁䅁䅕䅁䑁䅁䅷䅁䭁䑁䘸䅁䭁䑁䙅䅁䙁䅁䅁䅁杂⭫䅚权祁兂䅁允䅁䅁䅅䅁䭁䩁䉑䅁䵁䅉䅅䅁䙁䅁䅁睁䵁䅁䅁权睁兂䅁权硁兂䅁兂䅁䅁䅁䩧浐䅑䅯杍䅕䅁䅅䅁䉁䅁䅁权啃允䅁䍄䉁䅁䅁睁䅁䅁䅍䅄䅁䅁䅯兏䅙䅁䅯杮䅕䅁䅅䅁䉁䅁䅁睂䅁䅁䅁䵉汦䅑杷允䅁䅁䅕䅁䑁䅁䅷䅁䭁䑁䙯䅁䭁䑁䙅䅁䙁䅁䅁䅁䅂⭫䅚权祁兂䅁允䅁䅁䅅䅁䙁䱁穢搯㑒儶䅨䍄䉁䅁䅁兂䅁䅁䅍䅄䅁䅁䅯村䅕䅁䅯免䅕䅁䅕䅁䅁䥁呃欵䭁䑁䙉䅁䉁䅁䅁允䅁䅁䅯䅬䅅䅁杷允䅁䅁䅕䅁䑁䅁䅷䅁䭁䕁䙳䅁䭁䑁䙅䅁䙁䅁䅁䅁杂⭫䅚权祁兂䅁允䅁䅁䅅䅁䭁䩁䉑䅁䵁䅉䅅䅁䙁䅁䅁睁䵁䅁䅁权䭂兂䅁权硁兂䅁兂䅁䅁䅁䩙浐䅑䅯杍䅕䅁䅅䅁䉁䅁䅁权啃允䅁䍄䉁䅁䅁兂䅁䅁䅍䅄䅁䅁䅯兖䅕䅁䅯免䅕䅁䅕䅁䅁䥁呃欵䭁䑁䙉䅁䉁䅁䅁允䅁䅁䅯䅬䅅䅁杷允䅁䅁䅕䅁䑁䅁䅷䅁䭁䭁䝅䅁䭁䙁䡷䅁䙁䅁䅁䅁䅃⭫䅚权祁兂䅁允䅁䅁䅅䅁䭁䩁䉑䅁䵁䅉䅅䅁䙁䅁䅁睁䵁䅁䅁权睁兂䅁权硁兂䅁兂䅁䅁䅁䩙浐䅑䅯杍䅕䅁䅅䅁䉁䅁䅁权啃允䅁䍄䉁䅁䅁杂䅁䅁䅍䅄䅁䅁䅯杴䅕䅁䅯兘䅣䅁䅯杘䅣䅁䅕䅁䅁䥁呃欵䭁䑁䙉䅁䉁䅁䅁允䅁䅁䅕塑䰳䍮䰴啅䵁䅉䅅䅁䙁䅁䅁睁䵁䅁䅁权㙁兂䅁权硁兂䅁兂䅁䅁䅁䩧浐䅑䅯杍䅕䅁䅅䅁䉁䅁䅁权啃允䅁䍄䉁䅁䅁兂䅁䅁䅍䅄䅁䅁䅯䅎䅕䅁䅯免䅕䅁䅕䅁䅁䕁呃欵䭁䑁䙉䅁䉁䅁䅁允䅁䅁䅕䱤噕㠫畴樹䴸䅉䅅䅁䙁䅁䅁睁䵁䅁䅁权ㅁ兂䅁权硁兂䅁兂䅁䅁䅁䩧浐䅑䅯杍䅕䅁䅅䅁䉁䅁䅁权啃允䅁䍄䉁䅁䅁兂䅁䅁䅍䅄䅁䅁䅯杘䅕䅁䅯免䅕䅁䅕䅁䅁䕁呃欵䭁䑁䙉䅁䉁䅁䅁允䅁䅁䅕灳瘳㡰䱚䕄䵁䅉䅅䅁䙁䅁䅁睁䵁䅁䅁权摃杂䅁权捂睂䅁兂䅁䅁䅁䩧浐䅑䅯杍䅕䅁䅅䅁䉁䅁䅁权啃允䅁䍄䉁䅁䅁兂䅁䅁䅍䅄䅁䅁䅯睗䅕䅁䅯免䅕䅁䅕䅁䅁䝁呃欵䭁䑁䙉䅁䉁䅁䅁允䅁䅁䅯䅬䅅䅁杷允䅁䅁䅕䅁䑁䅁䅷䅁䭁䕁䙉䅁䭁䑁䙅䅁䙁䅁䅁䅁䅂⭫䅚权祁兂䅁允䅁䅁䅅䅁䙁䡁潎敫㠱睐䅴䍄䉁䅁䅁兂䅁䅁䅍䅄䅁䅁䅯杏䅕䅁䅯免䅕䅁䅕䅁䅁䝁呃欵䭁䑁䙉䅁䉁䅁䅁允䅁䅁䅯䅬䅅䅁杷允䅁䅁䅕䅁䑁䅁䅷䅁䭁䙁䙣䅁䭁䑁䙅䅁䙁䅁䅁䅁杂⭫䅚权祁兂䅁允䅁䅁䅅䅁䭁䩁䉑䅁䵁䅉䅅䅁䙁䅁䅁睁䵁䅁䅁权㑁兂䅁权硁兂䅁兂䅁䅁䅁䩑浐䅑䅯杍䅕䅁䅅䅁䉁䅁䅁兂ㅁ牘䩰䅄瑉䅑杷允䅁䅁䅕䅁䑁䅁䅷䅁䭁䕁䙅䅁䭁䑁䙅䅁䙁䅁䅁䅁䅂⭫䅚权祁兂䅁允䅁䅁䅅䅁䙁乁乎桙奂創䅎䍄䉁䅁䅁兂䅁䅁䅍䅄䅁䅁䅯內䅕䅁䅯免䅕䅁䅕䅁䅁䥁呃欵䭁䑁䙉䅁䉁䅁䅁允䅁䅁䅯䅬䅅䅁杷允䅁䅁䅙䅁䑁䅁䅷䅁䭁佁䙣䅁䭁䙁䠰䅁䭁䙁䠴䅁䙁䅁䅁䅁䅃⭫䅚权祁兂䅁允䅁䅁䅅䅁䙁䡁䄴灕㑳别䅆䍄䉁䅁䅁兂䅁䅁䅍䅄䅁䅁䅯䅘䅕䅁䅯免䅕䅁䅕䅁䅁䝁呃欵䭁䑁䙉䅁䉁䅁䅁允䅁䅁䅯䅬䅅䅁杷允䅁䅁䅕䅁䑁䅁䅷䅁䭁䑁䙕䅁䭁䑁䙅䅁䙁䅁䅁䅁杂⭫䅚权祁兂䅁允䅁䅁䅅䅁䭁䩁䉑䅁䵁䅉䅅䅁䙁䅁䅁睁䵁䅁䅁权奂兂䅁权硁兂䅁兂䅁䅁䅁䩧浐䅑䅯杍䅕䅁䅅䅁䉁䅁䅁权啃允䅁䍄䉁䅁䅁兂䅁䅁䅍䅄䅁䅁䅯兕䅕䅁䅯免䅕䅁䅕䅁䅁䕁呃欵䭁䑁䙉䅁䉁䅁䅁允䅁䅁䅕積積積積啄䵁䅉䅅䅁䙁䅁䅁睁䵁䅁䅁权⽁兂䅁权硁兂䅁兂䅁䅁䅁䩧浐䅑䅯杍䅕䅁䅅䅁䉁䅁䅁权啃允䅁䍄䉁䅁䅁兂䅁䅁䅍䅄䅁䅁䅯杕䅕䅁䅯免䅕䅁䅕䅁䅁䕁呃欵䭁䑁䙉䅁䉁䅁䅁允䅁䅁䅕捷桱扒穢䕃䵁䅉䅅䅁䑁䅁䅁睁䵁䅁䅁权兂杂䅁权敃兂䅁允䅁䅁䅅䅁䡁䅁䅁䅁䅃併䅒䍄䉁䅁䅁兂䅁䅁䅍䅄䅁䅁䅯兎䅕䅁䅯免䅕䅁䅕䅁䅁䕁呃欵䭁䑁䙉䅁䉁䅁䅁允䅁䅁䅕䑗ね䡹⭡啃䵁䅉䅅䅁䙁䅁䅁睁䵁䅁䅁权煂兂䅁权硁兂䅁兂䅁䅁䅁䩧浐䅑䅯杍䅕䅁䅅䅁䉁䅁䅁权啃允䅁䍄䉁䅁䅁䅂䅁䅁䅍䅄䅁䅁䅯杌䅕䅁䅯睌䅕䅁䅕䅁䅁佁求欵䉁䅁䅁允䅁䅁䅕硸呓杲敆䕵䵁䅉䅅䅁䙁䅁䅁睁䵁䅁䅁权㑁兂䅁权硁兂䅁兂䅁䅁䅁䩧浐䅑䅯杍䅕䅁䅅䅁䉁䅁䅁权啃允䅁䍄䉁䅁䅁兂䅁䅁䅍䅄䅁䅁䅯䅖䅕䅁䅯免䅕䅁䅕䅁䅁䝁呃欵䭁䑁䙉䅁䉁䅁䅁允䅁䅁䅯䅬䅅䅁杷允䅁䅁䅙䅁䑁䅁䅷䅁䭁䩁䜰䅁䭁䙁䠰䅁䭁䙁䠴䅁䙁䅁䅁䅁䅃⭫䅚权祁兂䅁允䅁䅁䅅䅁䙁䝁㜫䘰湹剳䅒䍄䉁䅁䅁兂䅁䅁䅍䅄䅁䅁䅯兏䅕䅁䅯免䅕䅁䅕䅁䅁䥁呃欵䭁䑁䙉䅁䉁䅁䅁允䅁䅁䅯䅬䅅䅁杷允䅁䅁䅕䅁䑁䅁䅷䅁䭁䝁䙫䅁䭁䑁䙅䅁䙁䅁䅁䅁䅂⭫䅚权祁兂䅁允䅁䅁䅅䅁䙁䙁歰㥏倹剄䅂䍄䉁䅁䅁兂䅁䅁䅍䅄䅁䅁䅯䅙䅕䅁䅯免䅕䅁䅕䅁䅁䥁呃欵䭁䑁䙉䅁䉁䅁䅁允䅁䅁䅯䅬䅅䅁杷允䅁䅁䅍䅁䑁䅁䅷䅁䭁䍁䝯䅁䭁䩁䘴䅁䉁䅁䅁允䅁䅁䅣䅁䅁䝁い唵䵁䅉䅅䅁䙁䅁䅁睁䵁䅁䅁权䡂兂䅁权硁兂䅁兂䅁䅁䅁䩙浐䅑䅯杍䅕䅁䅅䅁䉁䅁䅁权啃允䅁䍄䉁䅁䅁兂䅁䅁䅍䅄䅁䅁䅯䅒䅕䅁䅯免䅕䅁䅕䅁䅁䥁呃欵䭁䑁䙉䅁䉁䅁䅁允䅁䅁䅯䅬䅅䅁杷允䅁䅁䅕䅁䑁䅁䅷䅁䭁䕁䙍䅁䭁䑁䙅䅁䙁䅁䅁䅁杂⭫䅚权祁兂䅁允䅁䅁䅅䅁䭁䩁䉑䅁䵁䅉䅅䅁䙁䅁䅁睁䵁䅁䅁权㉃兂䅁权捂睂䅁兂䅁䅁䅁䩧浐䅑䅯杍䅕䅁䅅䅁䉁䅁䅁权啃允䅁䍄䉁䅁䅁兂䅁䅁䅍䅄䅁䅁䅯䅒䅕䅁䅯免䅕䅁䅕䅁䅁䕁呃欵䭁䑁䙉䅁䉁䅁䅁允䅁䅁䅕灒㉔求夸歃䵁䅉䅅䅁䙁䅁䅁睁䵁䅁䅁权ぁ兂䅁权硁兂䅁兂䅁䅁䅁䩧浐䅑䅯杍䅕䅁䅅䅁䉁䅁䅁权啃允䅁䍄䉁䅁䅁兂䅁䅁䅍䅄䅁䅁䅯睖䅕䅁䅯免䅕䅁䅕䅁䅁䥁呃欵䭁䑁䙉䅁䉁䅁䅁允䅁䅁䅯䅬䅅䅁杷允䅁䅁䅕䅁䑁䅁䅷䅁䭁䑁䙑䅁䭁䑁䙅䅁䙁䅁䅁䅁杂⭫䅚权祁兂䅁允䅁䅁䅅䅁䭁䩁䉑䅁䵁䅉䅅䅁䙁䅁䅁睁䵁䅁䅁权㍁兂䅁权硁兂䅁兂䅁䅁䅁䩑浐䅑䅯杍䅕䅁䅅䅁䉁䅁䅁兂慃婭婭呭䅬䅑杷允䅁䅁䅕䅁䑁䅁䅷䅁䭁䕁䙯䅁䭁䑁䙅䅁䙁䅁䅁䅁䅃⭫䅚权祁兂䅁允䅁䅁䅅䅁䭁䩁䉑䅁䵁䅉䅅䅁䙁䅁䅁睁䵁䅁䅁权獂兂䅁权硁兂䅁兂䅁䅁䅁䩑浐䅑䅯杍䅕䅁䅅䅁䉁䅁䅁兂䍂余兘瑉䥳䅑杷允䅁䅁䅕䅁䑁䅁䅷䅁䭁䡁䙍䅁䭁䑁䙅䅁䙁䅁䅁䅁䅃⭫䅚权祁兂䅁允䅁䅁䅅䅁䭁䩁䉑䅁䵁䅉䅅䅁䙁䅁䅁睁䵁䅁䅁权㡁兂䅁权硁兂䅁兂䅁䅁䅁䩙浐䅑䅯杍䅕䅁䅅䅁䉁䅁䅁权啃允䅁䍄䉁䅁䅁兂䅁䅁䅍䅄䅁䅁䅯䅔䅕䅁䅯免䅕䅁䅕䅁䅁䥁呃欵䭁䑁䙉䅁䉁䅁䅁允䅁䅁䅯䅬䅅䅁杷允䅁䅁䅍䅁䑁䅁䅷䅁䭁䱁䘴䅁䭁䩁䘴䅁䉁䅁䅁允䅁䅁䅣䅁䅁䝁い唵䵁䅉䅅䅁䙁䅁䅁睁䵁䅁䅁权䑂兂䅁权硁兂䅁兂䅁䅁䅁䩑浐䅑䅯杍䅕䅁䅅䅁䉁䅁䅁兂汄潦楥乑䤸䅑杷允䅁䅁䅙䅁䑁䅁䅷䅁䭁䍁䝕䅁䭁䙁䠰䅁䭁䙁䠴䅁䙁䅁䅁䅁䅃⭫䅚权祁兂䅁允䅁䅁䅅䅁䙁䑁扪䨳敩䉍䅊䍄䉁䅁䅁兂䅁䅁䅍䅄䅁䅁䅯䅔䅕䅁䅯免䅕䅁䅕䅁䅁䝁呃欵䭁䑁䙉䅁䉁䅁䅁允䅁䅁䅯䅬䅅䅁杷允䅁䅁䅕䅁䑁䅁䅷䅁䭁䙁䙕䅁䭁䑁䙅䅁䙁䅁䅁䅁杂⭫䅚权祁兂䅁允䅁䅁䅅䅁䭁䩁䉑䅁䵁䅉䅅䅁䙁䅁䅁睁䵁䅁䅁权䵂兂䅁权硁兂䅁兂䅁䅁䅁䩑浐䅑䅯杍䅕䅁䅅䅁䉁䅁䅁兂呄坔光䱗剫䅑杷允䅁䅁䅕䅁䑁䅁䅷䅁䭁䥁䙉䅁䭁䑁䙅䅁䙁䅁䅁䅁杂⭫䅚权祁兂䅁允䅁䅁䅅䅁䭁䩁䉑䅁䵁䅉䅅䅁䑁䅁䅁睁䵁䅁䅁权ぃ兂䅁权敃兂䅁允䅁䅁䅅䅁䡁䅁䅁䅁䅁敐䅖䍄䉁䅁䅁兂䅁䅁䅍䅄䅁䅁䅯杔䅕䅁䅯免䅕䅁䅕䅁䅁䥁呃欵䭁䑁䙉䅁䉁䅁䅁允䅁䅁䅯䅬䅅䅁杷允䅁䅁䅕䅁䑁䅁䅷䅁䭁䕁䙫䅁䭁䑁䙅䅁䙁䅁䅁䅁䅂⭫䅚权祁兂䅁允䅁䅁䅅䅁䙁䕁㉡⼸唳䅥䅤䍄䉁䅁䅁兂䅁䅁䅍䅄䅁䅁䅯睒䅕䅁䅯免䅕䅁䅕䅁䅁䥁呃欵䭁䑁䙉䅁䉁䅁䅁允䅁䅁䅯䅬䅅䅁杷允䅁䅁䅍䅁䑁䅁䅷䅁䭁乁䘸䅁䭁䩁䘴䅁䉁䅁䅁允䅁䅁䅣䅁䅁䭁䩂唴䵁䅉䅅䅁䙁䅁䅁睁䵁䅁䅁权佂兂䅁权硁兂䅁兂䅁䅁䅁䩑浐䅑䅯杍䅕䅁䅅䅁䉁䅁䅁兂獃䙈歰㥏䘸䅑杷允䅁䅁䅕䅁䑁䅁䅷䅁䭁䑁䘰䅁䭁䑁䙅䅁䙁䅁䅁䅁杂⭫䅚权祁兂䅁允䅁䅁䅅䅁䭁䩁䉑䅁䵁䅉䅅䅁䙁䅁䅁睁䵁䅁䅁权㙂兂䅁权硁兂䅁兂䅁䅁䅁䩑浐䅑䅯杍䅕䅁䅅䅁䉁䅁䅁兂䩄牤昶楇䤸䅑杷允䅁䅁䅕䅁䑁䅁䅷䅁䭁䑁䙫䅁䭁䑁䙅䅁䙁䅁䅁䅁䅂⭫䅚权祁兂䅁允䅁䅁䅅䅁䙁䍁搯䅊䉡剆䄱䍄䉁䅁䅁兂䅁䅁䅍䅄䅁䅁䅯兏䅕䅁䅯免䅕䅁䅕䅁䅁䝁呃欵䭁䑁䙉䅁䉁䅁䅁允䅁䅁䅯䅬䅅䅁杷允䅁䅁䅕䅁䑁䅁䅷䅁䭁䑁䙙䅁䭁䑁䙅䅁䙁䅁䅁䅁䅃⭫䅚权祁兂䅁允䅁䅁䅅䅁䭁䩁䉑䅁䵁䅉䅅䅁䙁䅁䅁睁䵁䅁䅁权㕂兂䅁权硁兂䅁兂䅁䅁䅁䩧浐䅑䅯杍䅕䅁䅅䅁䉁䅁䅁权啃允䅁䍄䉁䅁䅁兂䅁䅁䅍䅄䅁䅁䅯睔䅕䅁䅯免䅕䅁䅕䅁䅁䝁呃欵䭁䑁䙉䅁䉁䅁䅁允䅁䅁䅯䅬䅅䅁杷允䅁䅁䅕䅁䑁䅁䅷䅁䭁䙁䙣䅁䭁䑁䙅䅁䙁䅁䅁䅁䅂⭫䅚权祁兂䅁允䅁䅁䅅䅁䭁䩁䉑䅁䵁䅉䅅䅁䙁䅁䅁睁䵁䅁䅁权㥁兂䅁权硁兂䅁兂䅁䅁䅁䩧浐䅑䅯杍䅕䅁䅅䅁䉁䅁䅁权啃允䅁䍄䉁䅁䅁兂䅁䅁䅍䅄䅁䅁䅯杕䅕䅁䅯免䅕䅁䅕䅁䅁䥁呃欵䭁䑁䙉䅁䉁䅁䅁允䅁䅁䅯䅬䅅䅁杷允䅁䅁䅕䅁䑁䅁䅷䅁䭁䥁䙍䅁䭁䑁䙅䅁䙁䅁䅁䅁杂⭫䅚权祁兂䅁允䅁䅁䅅䅁䭁䩁䉑䅁䵁䅉䅅䅁䙁䅁䅁睁䵁䅁䅁权灃兂䅁权捂睂䅁兂䅁䅁䅁䩧浐䅑䅯杍䅕䅁䅅䅁䉁䅁䅁权啃允䅁䍄䉁䅁䅁兂䅁䅁䅍䅄䅁䅁䅯睌䅙䅁䅯䅘䅣䅁䅕䅁䅁䥁呃欵䭁䑁䙉䅁䉁䅁䅁允䅁䅁䅯䅬䅅䅁杷允䅁䅁䅕䅁䑁䅁䅷䅁䭁䙁䙉䅁䭁䑁䙅䅁䙁䅁䅁䅁杂⭫䅚权祁兂䅁允䅁䅁䅅䅁䭁䩁䉑䅁䵁䅉䅅䅁䙁䅁䅁睁䵁䅁䅁权潂兂䅁权硁兂䅁兂䅁䅁䅁䩙浐䅑䅯杍䅕䅁䅅䅁䉁䅁䅁权啃允䅁䍄䉁䅁䅁兂䅁䅁䅍䅄䅁䅁䅯䅘䅕䅁䅯免䅕䅁䅕䅁䅁䕁呃欵䭁䑁䙉䅁䉁䅁䅁允䅁䅁䅕噈歰㥏倹啅䵁䅉䅅䅁䙁䅁䅁睁䵁䅁䅁权㥁兂䅁权硁兂䅁兂䅁䅁䅁䩑浐䅑䅯杍䅕䅁䅅䅁䉁䅁䅁兂䅁䅁䅁䵁婁䅑杷允䅁䅁䅕䅁䑁䅁䅷䅁䭁䝁䘸䅁䭁䑁䙅䅁䙁䅁䅁䅁杂⭫䅚权祁兂䅁允䅁䅁䅅䅁䭁䩁䉑䅁䵁䅉䅅䅁䙁䅁䅁睁䵁䅁䅁权奂兂䅁权硁兂䅁兂䅁䅁䅁䩙浐䅑䅯杍䅕䅁䅅䅁䉁䅁䅁权啃允䅁䍄䉁䅁䅁兂䅁䅁䅍䅄䅁䅁䅯兖䅕䅁䅯免䅕䅁䅕䅁䅁䕁呃欵䭁䑁䙉䅁䉁䅁䅁允䅁䅁䅕噈歰㥏倹ぃ䵁䅉䅅䅁䙁䅁䅁睁䵁䅁䅁权䩂兂䅁权硁兂䅁兂䅁䅁䅁䩧浐䅑䅯杍䅕䅁䅅䅁䉁䅁䅁权啃允䅁䍄䉁䅁䅁兂䅁䅁䅍䅄䅁䅁䅯兓䅕䅁䅯免䅕䅁䅕䅁䅁䝁呃欵䭁䑁䙉䅁䉁䅁䅁允䅁䅁䅯䅬䅅䅁杷允䅁䅁䅕䅁䑁䅁䅷䅁䭁䙁䙫䅁䭁䑁䙅䅁䙁䅁䅁䅁䅃⭫䅚权祁兂䅁允䅁䅁䅅䅁䭁䩁䉑䅁䵁䅉䅅䅁䙁䅁䅁睁䵁䅁䅁权䉂兂䅁权硁兂䅁兂䅁䅁䅁䩧浐䅑䅯杍䅕䅁䅅䅁䉁䅁䅁权啃允䅁䍄䉁䅁䅁兂䅁䅁䅍䅄䅁䅁䅯睐䅕䅁䅯免䅕䅁䅕䅁䅁䕁呃欵䭁䑁䙉䅁䉁䅁䅁允䅁䅁䅕䑗ね䡹⭡あ䵁䅉䅅䅁䙁䅁䅁睁䵁䅁䅁权䑂兂䅁权硁兂䅁兂䅁䅁䅁䩧浐䅑䅯杍䅕䅁䅅䅁䉁䅁䅁权啃允䅁䍄䉁䅁䅁兂䅁䅁䅍䅄䅁䅁䅯睗䅕䅁䅯免䅕䅁䅕䅁䅁䕁呃欵䭁䑁䙉䅁䉁䅁䅁允䅁䅁䅕䬸䝦穓䩥あ䵁䅉䅅䅁䝁䅁䅁睁䵁䅁䅁权捃杂䅁权摂睂䅁权敂睂䅁兂䅁䅁䅁䩧浐䅑䅯杍䅕䅁䅅䅁䉁䅁䅁兂䕃獮焲㍺慕䅑杷允䅁䅁䅕䅁䑁䅁䅷䅁䭁䕁䙣䅁䭁䑁䙅䅁䙁䅁䅁䅁䅂⭫䅚权祁兂䅁允䅁䅁䅅䅁䙁䥁噇㑑獴眵䅸䍄䉁䅁䅁兂䅁䅁䅍䅄䅁䅁䅯村䅕䅁䅯免䅕䅁䅕䅁䅁䝁呃欵䭁䑁䙉䅁䉁䅁䅁允䅁䅁䅯䅬䅅䅁杷允䅁䅁䅕䅁䑁䅁䅷䅁䭁䙁䘰䅁䭁䑁䙅䅁䙁䅁䅁䅁杂⭫䅚权祁兂䅁允䅁䅁䅅䅁䭁䩁䉑䅁䵁䅉䅅䅁䝁䅁䅁睁䵁䅁䅁权敃杂䅁权摂睂䅁权敂睂䅁兂䅁䅁䅁䩧浐䅑䅯杍䅕䅁䅅䅁䉁䅁䅁兂十煷乏㥉兙䅑杷允䅁䅁䅕䅁䑁䅁䅷䅁䭁䝁䙣䅁䭁䑁䙅䅁䙁䅁䅁䅁䅃⭫䅚权祁兂䅁允䅁䅁䅅䅁䭁䩁䉑䅁䵁䅉䅅䅁䙁䅁䅁睁䵁䅁䅁权摂兂䅁权硁兂䅁兂䅁䅁䅁䩑浐䅑䅯杍䅕䅁䅅䅁䉁䅁䅁兂煄扬䵉卣䅷䅑杷允䅁䅁䅕䅁䑁䅁䅷䅁䭁䑁䙳䅁䭁䑁䙅䅁䙁䅁䅁䅁杂⭫䅚权祁兂䅁允䅁䅁䅅䅁䭁䩁䉑䅁䵁䅉䅅䅁䙁䅁䅁睁䵁䅁䅁权䱂兂䅁权硁兂䅁兂䅁䅁䅁䩧浐䅑䅯杍䅕䅁䅅䅁䉁䅁䅁权啃允䅁䍄䉁䅁䅁兂䅁䅁䅍䅄䅁䅁䅯睍䅕䅁䅯免䅕䅁䅕䅁䅁䥁呃欵䭁䑁䙉䅁䉁䅁䅁允䅁䅁䅯䅬䅅䅁杷允䅁䅁䅍䅁䑁䅁䅷䅁䭁䩁䝷䅁䭁䩁䘴䅁䉁䅁䅁允䅁䅁䅣䅁䅁䕁兂欵䵁䅉䅅䅁䙁䅁䅁睁䵁䅁䅁权穁兂䅁权硁兂䅁兂䅁䅁䅁䩑浐䅑䅯杍䅕䅁䅅䅁䉁䅁䅁兂晁敨剴䉵䴴䅑杷允䅁䅁䅕䅁䑁䅁䅷䅁䭁䙁䙁䅁䭁䑁䙅䅁䙁䅁䅁䅁䅂⭫䅚权祁兂䅁允䅁䅁䅅䅁䙁䱁敧敨剴䍏䄵䍄䉁䅁䅁兂䅁䅁䅍䅄䅁䅁䅯䅙䅕䅁䅯免䅕䅁䅕䅁䅁䕁呃欵䭁䑁䙉䅁䉁䅁䅁允䅁䅁䅕硢䑋䵷桲䕉䵁䅉䅅䅁䙁䅁䅁睁䵁䅁䅁权㙂兂䅁权硁兂䅁兂䅁䅁䅁䩧浐䅑䅯杍䅕䅁䅅䅁䉁䅁䅁权啃允䅁䍄䉁䅁䅁杂䅁䅁䅍䅄䅁䅁䅯睌䅙䅁䅯兘䅣䅁䅯杘䅣䅁䅕䅁䅁䥁呃欵䭁䑁䙉䅁䉁䅁䅁允䅁䅁䅕⼳砳牘祖啃䵁䅉䅅䅁䙁䅁䅁睁䵁䅁䅁权奂兂䅁权硁兂䅁兂䅁䅁䅁䩑浐䅑䅯杍䅕䅁䅅䅁䉁䅁䅁兂䝄挴癹猵䱁䅑杷允䅁䅁䅕䅁䑁䅁䅷䅁䭁䝁䙅䅁䭁䑁䙅䅁䙁䅁䅁䅁䅂⭫䅚权祁兂䅁允䅁䅁䅅䅁䙁䱁昶楇搯䉰䅂䍄䉁䅁䅁兂䅁䅁䅍䅄䅁䅁䅯李䅕䅁䅯免䅕䅁䅕䅁䅁䝁呃欵䭁䑁䙉䅁䉁䅁䅁允䅁䅁䅯䅬䅅䅁杷允䅁䅁䅕䅁䑁䅁䅷䅁䭁䑁䙙䅁䭁䑁䙅䅁䙁䅁䅁䅁䅂⭫䅚权祁兂䅁允䅁䅁䅅䅁䙁䱁へ硫䕧栱䅆䍄䉁䅁䅁杂䅁䅁䅍䅄䅁䅁䅯睊䅙䅁䅯兘䅣䅁䅯杘䅣䅁䅕䅁䅁䥁呃欵䭁䑁䙉䅁䉁䅁䅁允䅁䅁䅕䔴㉰䅢楔䕅䵁䅉䅅䅁䙁䅁䅁睁䵁䅁䅁权歂兂䅁权硁兂䅁兂䅁䅁䅁䩧浐䅑䅯杍䅕䅁䅅䅁䉁䅁䅁权啃允䅁䍄䉁䅁䅁兂䅁䅁䅍䅄䅁䅁䅯睧䅕䅁䅯免䅕䅁䅕䅁䅁䥁呃欵䭁䑁䙉䅁䉁䅁䅁允䅁䅁䅯䅬䅅䅁杷允䅁䅁䅍䅁䑁䅁䅷䅁䭁䱁䙕䅁䭁䩁䘴䅁䉁䅁䅁允䅁䅁䅣䅁䅁䅁㥁唵䵁䅉䅅䅁䙁䅁䅁睁䵁䅁䅁权煂兂䅁权硁兂䅁兂䅁䅁䅁䩑浐䅑䅯杍䅕䅁䅅䅁䉁䅁䅁兂楃奘啗ㅮ噔睐杷允䅁䅁䅕䅁䑁䅁䅷䅁䭁䝁䙍䅁䭁䑁䙅䅁䙁䅁䅁䅁杂⭫䅚权祁兂䅁允䅁䅁䅅䅁䭁䩁䉑䅁䵁䅉䅅䅁䙁䅁䅁睁䵁䅁䅁权歂兂䅁权硁兂䅁兂䅁䅁䅁䩑浐䅑䅯杍䅕䅁䅅䅁䉁䅁䅁兂畃⭒㙆䭆㜷睐杷允䅁䅁䅕䅁䑁䅁䅷䅁䭁䝁䙣䅁䭁䑁䙅䅁䙁䅁䅁䅁杂⭫䅚权祁兂䅁允䅁䅁䅅䅁䭁䩁䉑䅁䵁䅉䅅䅁䙁䅁䅁睁䵁䅁䅁权潂兂䅁权硁兂䅁兂䅁䅁䅁䩑浐䅑䅯杍䅕䅁䅅䅁䉁䅁䅁兂十㡧䭄啯摕䅑杷允䅁䅁䅕䅁䑁䅁䅷䅁䭁䕁䘰䅁䭁䑁䙅䅁䙁䅁䅁䅁䅃⭫䅚权祁兂䅁允䅁䅁䅅䅁䭁䩁䉑䅁䵁䅉䅅䅁䙁䅁䅁睁䵁䅁䅁权坂兂䅁权硁兂䅁兂䅁䅁䅁䩙浐䅑䅯杍䅕䅁䅅䅁䉁䅁䅁权啃允䅁䍄䉁䅁䅁兂䅁䅁䅍䅄䅁䅁䅯內䅕䅁䅯免䅕䅁䅕䅁䅁䕁呃欵䭁䑁䙉䅁䉁䅁䅁允䅁䅁䅕䱣㕡呍栱稲䴸䅉䅅䅁䙁䅁䅁睁䵁䅁䅁权乂兂䅁权硁兂䅁兂䅁䅁䅁䩙浐䅑䅯杍䅕䅁䅅䅁䉁䅁䅁权啃允䅁䍄䉁䅁䅁兂䅁䅁䅍䅄䅁䅁䅯兔䅕䅁䅯免䅕䅁䅕䅁䅁䕁呃欵䭁䑁䙉䅁䉁䅁䅁允䅁䅁䅕䡳潊敫㠱䕃䵁䅉䅅䅁䙁䅁䅁睁䵁䅁䅁权求兂䅁权硁兂䅁兂䅁䅁䅁䩑浐䅑䅯杍䅕䅁䅅䅁䉁䅁䅁兂卂䉵䘶㤶癅䅑杷允䅁䅁䅕䅁䑁䅁䅷䅁䭁䡁䙯䅁䭁䑁䙅䅁䙁䅁䅁䅁杂⭫䅚权祁兂䅁允䅁䅁䅅䅁䭁䩁䉑䅁䵁䅉䅅䅁䙁䅁䅁睁䵁䅁䅁权㝂兂䅁权硁兂䅁兂䅁䅁䅁䩑浐䅑䅯杍䅕䅁䅅䅁䉁䅁䅁兂乄䵺䵺䕺扷䅑杷允䅁䅁䅕䅁䑁䅁䅷䅁䭁䥁䡁䅁䭁䙁䡷䅁䙁䅁䅁䅁䅃⭫䅚权祁兂䅁允䅁䅁䅅䅁䭁䩁䉑䅁䵁䅉䅅䅁䙁䅁䅁睁䵁䅁䅁权䙂兂䅁权硁兂䅁兂䅁䅁䅁䩧浐䅑䅯杍䅕䅁䅅䅁䉁䅁䅁权啃允䅁䍄䉁䅁䅁兂䅁䅁䅍䅄䅁䅁䅯兒䅕䅁䅯免䅕䅁䅕䅁䅁䝁呃欵䭁䑁䙉䅁䉁䅁䅁允䅁䅁䅯䅬䅅䅁杷允䅁䅁䅙䅁䑁䅁䅷䅁䭁佁䙫䅁䭁䙁䠰䅁䭁䙁䠴䅁䙁䅁䅁䅁䅃⭫䅚权祁兂䅁允䅁䅁䅅䅁䙁䩁䍰稵㉖兹䅚䍄䉁䅁䅁兂䅁䅁䅍䅄䅁䅁䅯兒䅕䅁䅯免䅕䅁䅕䅁䅁䕁呃欵䭁䑁䙉䅁䉁䅁䅁允䅁䅁䅕瑃橥䑣䬰䕅䵁䅉䅅䅁䙁䅁䅁睁䵁䅁䅁权獂兂䅁权硁兂䅁兂䅁䅁䅁䩧浐䅑䅯杍䅕䅁䅅䅁䉁䅁䅁权啃允䅁䍄䉁䅁䅁兂䅁䅁䅍䅄䅁䅁䅯杢䅕䅁䅯免䅕䅁䅕䅁䅁䥁呃欵䭁䑁䙉䅁䉁䅁䅁允䅁䅁䅯䅬䅅䅁杷允䅁䅁䅕䅁䑁䅁䅷䅁䭁䝁䙯䅁䭁䑁䙅䅁䙁䅁䅁䅁杂⭫䅚权祁兂䅁允䅁䅁䅅䅁䭁䩁䉑䅁䵁䅉䅅䅁䝁䅁䅁睁䵁䅁䅁权睃兂䅁权摂睂䅁权敂睂䅁兂䅁䅁䅁䩧浐䅑䅯杍䅕䅁䅅䅁䉁䅁䅁兂㙂䡣坦湢即䅑杷允䅁䅁䅙䅁䑁䅁䅷䅁䭁䑁䝷䅁䭁䙁䠰䅁䭁䙁䠴䅁䙁䅁䅁䅁䅃⭫䅚权祁兂䅁允䅁䅁䅅䅁䙁䅁呹奱削剃䅊䍄䉁䅁䅁兂䅁䅁䅍䅄䅁䅁䅯杦䅕䅁䅯免䅕䅁䅕䅁䅁䝁呃欵䭁䑁䙉䅁䉁䅁䅁允䅁䅁䅯䅬䅅䅁杷允䅁䅁䅕䅁䑁䅁䅷䅁䭁䝁䙑䅁䭁䑁䙅䅁䙁䅁䅁䅁杂⭫䅚权祁兂䅁允䅁䅁䅅䅁䭁䩁䉑䅁䵁䅉䅅䅁䙁䅁䅁睁䵁䅁䅁权㡂兂䅁权硁兂䅁兂䅁䅁䅁䩧浐䅑䅯杍䅕䅁䅅䅁䉁䅁䅁权啃允䅁䍄䉁䅁䅁兂䅁䅁䅍䅄䅁䅁䅯䅣䅕䅁䅯免䅕䅁䅕䅁䅁䥁呃欵䭁䑁䙉䅁䉁䅁䅁允䅁䅁䅯䅬䅅䅁杷允䅁䅁䅕䅁䑁䅁䅷䅁䭁䡁䙁䅁䭁䑁䙅䅁䙁䅁䅁䅁杂⭫䅚权祁兂䅁允䅁䅁䅅䅁䭁䩁䉑䅁䵁䅉䅅䅁䙁䅁䅁睁䵁䅁䅁权㍂兂䅁权硁兂䅁兂䅁䅁䅁䩧浐䅑䅯杍䅕䅁䅅䅁䉁䅁䅁权啃允䅁䍄䉁䅁䅁兂䅁䅁䅍䅄䅁䅁䅯䅣䅕䅁䅯免䅕䅁䅕䅁䅁䕁呃欵䭁䑁䙉䅁䉁䅁䅁允䅁䅁䅕牕敧敨剴䐫䴸䅉䅅䅁䙁䅁䅁睁䵁䅁䅁权硂兂䅁权硁兂䅁兂䅁䅁䅁䩧浐䅑䅯杍䅕䅁䅅䅁䉁䅁䅁权啃允䅁䍄䉁䅁䅁兂䅁䅁䅍䅄䅁䅁䅯督䅕䅁䅯免䅕䅁䅕䅁䅁䕁呃欵䭁䑁䙉䅁䉁䅁䅁允䅁䅁䅕㡧䭄啯㉗ぅ䵁䅉䅅䅁䙁䅁䅁睁䵁䅁䅁权䅃兂䅁权硁兂䅁兂䅁䅁䅁䩙浐䅑䅯杍䅕䅁䅅䅁䉁䅁䅁权啃允䅁䍄䉁䅁䅁兂䅁䅁䅍䅄䅁䅁䅯杣䅕䅁䅯免䅕䅁䅕䅁䅁䥁呃欵䭁䑁䙉䅁䉁䅁䅁允䅁䅁䅯䅬䅅䅁杷允䅁䅁䅕䅁䑁</t>
  </si>
  <si>
    <t>䅁䅷䅁䭁䡁䙉䅁䭁䑁䙅䅁䙁䅁䅁䅁䅂⭫䅚权祁兂䅁允䅁䅁䅅䅁䙁偁灹搸乊桙䅊䍄䉁䅁䅁䅂䅁䅁䅍䅄䅁䅁䅯杌䅕䅁䅯睌䅕䅁䅕䅁䅁䕁㑁欵䉁䅁䅁允䅁䅁䅕㄰瑭婍楄䕴䵁䅉䅅䅁䙁䅁䅁睁䵁䅁䅁权瑂兂䅁权硁兂䅁兂䅁䅁䅁䩧浐䅑䅯杍䅕䅁䅅䅁䉁䅁䅁权啃允䅁䍄䉁䅁䅁兂䅁䅁䅍䅄䅁䅁䅯兢䅕䅁䅯免䅕䅁䅕䅁䅁䝁呃欵䭁䑁䙉䅁䉁䅁䅁允䅁䅁䅯䅬䅅䅁杷允䅁䅁䅕䅁䑁䅁䅷䅁䭁䡁䘸䅁䭁䑁䙅䅁䙁䅁䅁䅁䅃⭫䅚权祁兂䅁允䅁䅁䅅䅁䭁䩁䉑䅁䵁䅉䅅䅁䝁䅁䅁睁䵁䅁䅁权䡄兂䅁权摂睂䅁权敂睂䅁兂䅁䅁䅁䩧浐䅑䅯杍䅕䅁䅅䅁䉁䅁䅁兂癃啳啴㉢愰䅑杷允䅁䅁䅍䅁䑁䅁䅷䅁䭁䍁䝉䅁䭁䩁䘴䅁䉁䅁䅁允䅁䅁䅣䅁䅁䍁䡄唵䵁䅉䅅䅁䙁䅁䅁睁䵁䅁䅁权敃杂䅁权捂睂䅁兂䅁䅁䅁䩧浐䅑䅯杍䅕䅁䅅䅁䉁䅁䅁权啃允䅁䍄䉁䅁䅁兂䅁䅁䅍䅄䅁䅁䅯䅓䅕䅁䅯免䅕䅁䅕䅁䅁䝁呃欵䭁䑁䙉䅁䉁䅁䅁允䅁䅁䅯䅬䅅䅁杷允䅁䅁䅕䅁䑁䅁䅷䅁䭁䡁䙷䅁䭁䑁䙅䅁䙁䅁䅁䅁杂⭫䅚权祁兂䅁允䅁䅁䅅䅁䭁䩁䉑䅁䵁䅉䅅䅁䙁䅁䅁睁䵁䅁䅁权瑂兂䅁权硁兂䅁兂䅁䅁䅁䩑浐䅑䅯杍䅕䅁䅅䅁䉁䅁䅁兂乄䵺䵺䵺剷䅑杷允䅁䅁䅕䅁䑁䅁䅷䅁䭁䙁䙷䅁䭁䑁䙅䅁䙁䅁䅁䅁䅃⭫䅚权祁兂䅁允䅁䅁䅅䅁䭁䩁䉑䅁䵁䅉䅅䅁䙁䅁䅁睁䵁䅁䅁权穂兂䅁权硁兂䅁兂䅁䅁䅁䩙浐䅑䅯杍䅕䅁䅅䅁䉁䅁䅁权啃允䅁䍄䉁䅁䅁兂䅁䅁䅍䅄䅁䅁䅯睕䅕䅁䅯免䅕䅁䅕䅁䅁䝁呃欵䭁䑁䙉䅁䉁䅁䅁允䅁䅁䅯䅬䅅䅁杷允䅁䅁䅕䅁䑁䅁䅷䅁䭁䡁䙣䅁䭁䑁䙅䅁䙁䅁䅁䅁杂⭫䅚权祁兂䅁允䅁䅁䅅䅁䭁䩁䉑䅁䵁䅉䅅䅁䙁䅁䅁睁䵁䅁䅁权婂兂䅁权硁兂䅁兂䅁䅁䅁䩑浐䅑䅯杍䅕䅁䅅䅁䉁䅁䅁兂汄䌰扌堫䰴䅑杷允䅁䅁䅙䅁䑁䅁䅷䅁䭁䭁䙫䅁䭁䙁䠰䅁䭁䙁䠴䅁䙁䅁䅁䅁䅃⭫䅚权祁兂䅁允䅁䅁䅅䅁䙁䝁䥴䜳灐硧䅰䍄䉁䅁䅁兂䅁䅁䅍䅄䅁䅁䅯杗䅕䅁䅯免䅕䅁䅕䅁䅁䝁呃欵䭁䑁䙉䅁䉁䅁䅁允䅁䅁䅯䅬䅅䅁杷允䅁䅁䅕䅁䑁䅁䅷䅁䭁䑁䜰䅁䭁䙁䡷䅁䙁䅁䅁䅁䅃⭫䅚权祁兂䅁允䅁䅁䅅䅁䭁䩁䉑䅁䵁䅉䅅䅁䝁䅁䅁睁䵁䅁䅁权䥃睂䅁权摂睂䅁权敂睂䅁兂䅁䅁䅁䩧浐䅑䅯杍䅕䅁䅅䅁䉁䅁䅁兂佂⽦橙坒慑䅑杷允䅁䅁䅕䅁䑁䅁䅷䅁䭁䝁䙙䅁䭁䑁䙅䅁䙁䅁䅁䅁䅃⭫䅚权祁兂䅁允䅁䅁䅅䅁䭁䩁䉑䅁䵁䅉䅅䅁䙁䅁䅁睁䵁䅁䅁权ㅂ兂䅁权硁兂䅁兂䅁䅁䅁䩧浐䅑䅯杍䅕䅁䅅䅁䉁䅁䅁权啃允䅁䍄䉁䅁䅁兂䅁䅁䅍䅄䅁䅁䅯兤䅕䅁䅯免䅕䅁䅕䅁䅁䝁呃欵䭁䑁䙉䅁䉁䅁䅁允䅁䅁䅯䅬䅅䅁杷允䅁䅁䅕䅁䑁䅁䅷䅁䭁䙁䙅䅁䭁䑁䙅䅁䙁䅁䅁䅁䅃⭫䅚权祁兂䅁允䅁䅁䅅䅁䭁䩁䉑䅁䵁䅉䅅䅁䙁䅁䅁睁䵁䅁䅁权療䅂䅁权㥂睁䅁兂䅁䅁䅁䩧浐䅑䅯儸䅑䅁䅅䅁䉁䅁䅁兂牃婊剖㍭㜳睐杷允䅁䅁䅕䅁䑁䅁䅷䅁䭁䝁䙉䅁䭁䑁䙅䅁䙁䅁䅁䅁杂⭫䅚权祁兂䅁允䅁䅁䅅䅁䭁䩁䉑䅁䵁䅉䅅䅁䙁䅁䅁睁䵁䅁䅁权剂兂䅁权硁兂䅁兂䅁䅁䅁䩙浐䅑䅯杍䅕䅁䅅䅁䉁䅁䅁权啃允䅁䍄䉁䅁䅁兂䅁䅁䅍䅄䅁䅁䅯䅕䅕䅁䅯免䅕䅁䅕䅁䅁䝁呃欵䭁䑁䙉䅁䉁䅁䅁允䅁䅁䅯䅬䅅䅁杷允䅁䅁䅕䅁䑁䅁䅷䅁䭁䑁䘴䅁䭁䑁䙅䅁䙁䅁䅁䅁杂⭫䅚权祁兂䅁允䅁䅁䅅䅁䭁䩁䉑䅁䵁䅉䅅䅁䙁䅁䅁睁䵁䅁䅁权㉂兂䅁权硁兂䅁兂䅁䅁䅁䩧浐䅑䅯杍䅕䅁䅅䅁䉁䅁䅁权啃允䅁䍄䉁䅁䅁兂䅁䅁䅍䅄䅁䅁䅯材䅕䅁䅯免䅕䅁䅕䅁䅁䥁呃欵䭁䑁䙉䅁䉁䅁䅁允䅁䅁䅯䅬䅅䅁杷允䅁䅁䅙䅁䑁䅁䅷䅁䭁䩁䝳䅁䭁䙁䠰䅁䭁䙁䠴䅁䙁䅁䅁䅁䅃⭫䅚权祁兂䅁允䅁䅁䅅䅁䙁䅁䩪楁睚硡䅎䍄䉁䅁䅁睁䅁䅁䅍䅄䅁䅁䅯杴䅕䅁䅯杮䅕䅁䅅䅁䉁䅁䅁睂䅁䅁䅁䵉汦䅑杷允䅁䅁䅕䅁䑁䅁䅷䅁䭁䙁䘴䅁䭁䑁䙅䅁䙁䅁䅁䅁杂⭫䅚权祁兂䅁允䅁䅁䅅䅁䭁䩁䉑䅁䵁䅉䅅䅁䙁䅁䅁睁䵁䅁䅁权䅃兂䅁权硁兂䅁兂䅁䅁䅁䩑浐䅑䅯杍䅕䅁䅅䅁䉁䅁䅁兂䑄匹捨㡪䍉䅑杷允䅁䅁䅕䅁䑁䅁䅷䅁䭁䕁䘸䅁䭁䑁䙅䅁䙁䅁䅁䅁䅃⭫䅚权祁兂䅁允䅁䅁䅅䅁䭁䩁䉑䅁䵁䅉䅅䅁䑁䅁䅁睁䵁䅁䅁权䡄兂䅁权敃兂䅁允䅁䅁䅅䅁䡁䅁䅁䅁杂伹䅖䍄䉁䅁䅁兂䅁䅁䅍䅄䅁䅁䅯兡䅕䅁䅯免䅕䅁䅕䅁䅁䝁呃欵䭁䑁䙉䅁䉁䅁䅁允䅁䅁䅯䅬䅅䅁杷允䅁䅁䅕䅁䑁䅁䅷䅁䭁䕁䘸䅁䭁䑁䙅䅁䙁䅁䅁䅁䅂⭫䅚权祁兂䅁允䅁䅁䅅䅁䙁䵁㉬灶愸睌䅨䍄䉁䅁䅁兂䅁䅁䅍䅄䅁䅁䅯䅤䅕䅁䅯免䅕䅁䅕䅁䅁䝁呃欵䭁䑁䙉䅁䉁䅁䅁允䅁䅁䅯䅬䅅䅁杷允䅁䅁䅕䅁䑁䅁䅷䅁䭁䡁䙑䅁䭁䑁䙅䅁䙁䅁䅁䅁䅂⭫䅚权祁兂䅁允䅁䅁䅅䅁䙁䑁ね䡹⭡睮䅬䍄䉁䅁䅁睁䅁䅁䅍䅄䅁䅁䅯儶䅕䅁䅯杮䅕䅁䅅䅁䉁䅁䅁睂䅁䅁䅁偙汔䅑杷允䅁䅁䅕䅁䑁䅁䅷䅁䭁䡁䙧䅁䭁䑁䙅䅁䙁䅁䅁䅁䅃⭫䅚权祁兂䅁允䅁䅁䅅䅁䭁䩁䉑䅁䵁䅉䅅䅁䙁䅁䅁睁䵁䅁䅁权䅂兂䅁权硁兂䅁兂䅁䅁䅁䩑浐䅑䅯杍䅕䅁䅅䅁䉁䅁䅁兂䩃坑汄䌰偉䅑杷允䅁䅁䅕䅁䑁䅁䅷䅁䭁䥁䡧䅁䭁䙁䡷䅁䙁䅁䅁䅁䅃⭫䅚权祁兂䅁允䅁䅁䅅䅁䭁䩁䉑䅁䵁䅉䅅䅁䑁䅁䅁睁䵁䅁䅁权剁杂䅁权敃兂䅁允䅁䅁䅅䅁䡁䅁䅁䅁䅄畤䅖䍄䉁䅁䅁兂䅁䅁䅍䅄䅁䅁䅯睤䅕䅁䅯免䅕䅁䅕䅁䅁䕁呃欵䭁䑁䙉䅁䉁䅁䅁允䅁䅁䅕䡶呓䅇坒歃䵁䅉䅅䅁䙁䅁䅁睁䵁䅁䅁权㝂兂䅁权硁兂䅁兂䅁䅁䅁䩧浐䅑䅯杍䅕䅁䅅䅁䉁䅁䅁权啃允䅁䍄䉁䅁䅁兂䅁䅁䅍䅄䅁䅁䅯睥䅕䅁䅯免䅕䅁䅕䅁䅁䝁呃欵䭁䑁䙉䅁䉁䅁䅁允䅁䅁䅯䅬䅅䅁杷允䅁䅁䅕䅁䑁䅁䅷䅁䭁䝁䙧䅁䭁䑁䙅䅁䙁䅁䅁䅁䅃⭫䅚权祁兂䅁允䅁䅁䅅䅁䭁䩁䉑䅁䵁䅉䅅䅁䙁䅁䅁睁䵁䅁䅁权䑃兂䅁权硁兂䅁兂䅁䅁䅁䩑浐䅑䅯杍䅕䅁䅅䅁䉁䅁䅁兂䕂㉩湺礫卫䅑杷允䅁䅁䅕䅁䑁䅁䅷䅁䭁䕁䙧䅁䭁䑁䙅䅁䙁䅁䅁䅁䅃⭫䅚权祁兂䅁允䅁䅁䅅䅁䭁䩁䉑䅁䵁䅉䅅䅁䙁䅁䅁睁䵁䅁䅁权時兂䅁权硁兂䅁兂䅁䅁䅁䩧浐䅑䅯杍䅕䅁䅅䅁䉁䅁䅁权啃允䅁䍄䉁䅁䅁兂䅁䅁䅍䅄䅁䅁䅯兦䅕䅁䅯免䅕䅁䅕䅁䅁䝁呃欵䭁䑁䙉䅁䉁䅁䅁允䅁䅁䅯䅬䅅䅁杷允䅁䅁䅑䅁䑁䅁䅷䅁䭁䍁䘴䅁䭁䍁䘸䅁䙁䅁䅁䅁䅃⭫䅚允䅁䅁䅅䅁䙁佁呣䥩㔲扑䄱䍄䉁䅁䅁兂䅁䅁䅍䅄䅁䅁䅯䅥䅕䅁䅯免䅕䅁䅕䅁䅁䝁呃欵䭁䑁䙉䅁䉁䅁䅁允䅁䅁䅯䅬䅅䅁杷允䅁䅁䅕䅁䑁䅁䅷䅁䭁䡁䙧䅁䭁䑁䙅䅁䙁䅁䅁䅁䅂⭫䅚权祁兂䅁允䅁䅁䅅䅁䙁䑁䩥坑汄䄰䄵䍄䉁䅁䅁兂䅁䅁䅍䅄䅁䅁䅯兡䅕䅁䅯免䅕䅁䅕䅁䅁䥁呃欵䭁䑁䙉䅁䉁䅁䅁允䅁䅁䅯䅬䅅䅁杷允䅁䅁䅕䅁䑁䅁䅷䅁䭁䝁䙉䅁䭁䑁䙅䅁䙁䅁䅁䅁䅂⭫䅚权祁兂䅁允䅁䅁䅅䅁䙁偁潙䥘䌯匹䅨䍄䉁䅁䅁兂䅁䅁䅍䅄䅁䅁䅯䅦䅕䅁䅯免䅕䅁䅕䅁䅁䕁呃欵䭁䑁䙉䅁䉁䅁䅁允䅁䅁䅕摒睪䔹婰歂䵁䅉䅅䅁䑁䅁䅁睁䵁䅁䅁权⭁杂䅁权敃兂䅁允䅁䅁䅅䅁䡁䅁䅁䅁䅃由䅒䍄䉁䅁䅁兂䅁䅁䅍䅄䅁䅁䅯杙䅕䅁䅯免䅕䅁䅕䅁䅁䥁呃欵䭁䑁䙉䅁䉁䅁䅁允䅁䅁䅯䅬䅅䅁杷允䅁䅁䅕䅁䑁䅁䅷䅁䭁䡁䘸䅁䭁䑁䙅䅁䙁䅁䅁䅁䅂⭫䅚权祁兂䅁允䅁䅁䅅䅁䙁䵁䴳䵺䵺䉺䄱䍄䉁䅁䅁兂䅁䅁䅍䅄䅁䅁䅯杦䅕䅁䅯免䅕䅁䅕䅁䅁䥁呃欵䭁䑁䙉䅁䉁䅁䅁允䅁䅁䅯䅬䅅䅁杷允䅁䅁䅕䅁䑁䅁䅷䅁䭁䑁䙳䅁䭁䑁䙅䅁䙁䅁䅁䅁䅂⭫䅚权祁兂䅁允䅁䅁䅅䅁䙁䩁瘷㡰䱚硴䅊䍄䉁䅁䅁兂䅁䅁䅍䅄䅁䅁䅯䅐䅕䅁䅯免䅕䅁䅕䅁䅁䕁呃欵䭁䑁䙉䅁䉁䅁䅁允䅁䅁䅕匳䝑婧䑘啅䵁䅉䅅䅁䙁䅁䅁睁䵁䅁䅁权兂兂䅁权硁兂䅁兂䅁䅁䅁䩧浐䅑䅯杍䅕䅁䅅䅁䉁䅁䅁权啃允䅁䍄䉁䅁䅁兂䅁䅁䅍䅄䅁䅁䅯睡䅕䅁䅯免䅕䅁䅕䅁䅁䕁呃欵䭁䑁䙉䅁䉁䅁䅁允䅁䅁䅕瑃橥䑣䬰啅䵁䅉䅅䅁䙁䅁䅁睁䵁䅁䅁权䥂兂䅁权硁兂䅁兂䅁䅁䅁䩑浐䅑䅯杍䅕䅁䅅䅁䉁䅁䅁兂ぃ䡹⭡确乯䅑杷允䅁䅁䅕䅁䑁䅁䅷䅁䭁䥁䙅䅁䭁䑁䙅䅁䙁䅁䅁䅁杂⭫䅚权祁兂䅁允䅁䅁䅅䅁䭁䩁䉑䅁䵁䅉䅅䅁䙁䅁䅁睁䵁䅁䅁权䡃睂䅁权捂睂䅁兂䅁䅁䅁䩧浐䅑䅯杍䅕䅁䅅䅁䉁䅁䅁权啃允䅁䍄䉁䅁䅁兂䅁䅁䅍䅄䅁䅁䅯睚䅕䅁䅯免䅕䅁䅕䅁䅁䕁呃欵䭁䑁䙉䅁䉁䅁䅁允䅁䅁䅕杓䍷㑋坣樯䴸䅉䅅䅁䙁䅁䅁睁䵁䅁䅁权㍁兂䅁权硁兂䅁兂䅁䅁䅁䩧浐䅑䅯杍䅕䅁䅅䅁䉁䅁䅁权啃允䅁䍄䉁䅁䅁睁䅁䅁䅍䅄䅁䅁䅯杨䅣䅁䅯杮䅕䅁䅅䅁䉁䅁䅁睂䅁䅁䅁䡁洳䅑杷允䅁䅁䅕䅁䑁䅁䅷䅁䭁䥁䙉䅁䭁䑁䙅䅁䙁䅁䅁䅁䅃⭫䅚权祁兂䅁允䅁䅁䅅䅁䭁䩁䉑䅁䵁䅉䅅䅁䙁䅁䅁睁䵁䅁䅁权䍃兂䅁权硁兂䅁兂䅁䅁䅁䩑浐䅑䅯杍䅕䅁䅅䅁䉁䅁䅁兂䥁䉲慸䑚噳䅑杷允䅁䅁䅕䅁䑁䅁䅷䅁䭁䝁䙙䅁䭁䑁䙅䅁䙁䅁䅁䅁杂⭫䅚权祁兂䅁允䅁䅁䅅䅁䭁䩁䉑䅁䵁䅉䅅䅁䙁䅁䅁睁䵁䅁䅁权呁杂䅁权捂睂䅁兂䅁䅁䅁䩧浐䅑䅯杍䅕䅁䅅䅁䉁䅁䅁权啃允䅁䍄䉁䅁䅁䅂䅁䅁䅍䅄䅁䅁䅯杌䅕䅁䅯睌䅕䅁䅕䅁䅁䕁癃唵䉁䅁䅁允䅁䅁䅕畤乙䌷橣啳䵁䅉䅅䅁䑁䅁䅁睁䵁䅁䅁权扃杂䅁权敃兂䅁允䅁䅁䅅䅁䡁䅁䅁䅁䅂何䅚䍄䉁䅁䅁䅂䅁䅁䅍䅄䅁䅁䅯杌䅕䅁䅯睌䅕䅁䅕䅁䅁䭁䉃唵䉁䅁䅁允䅁䅁䅕歍伱䐸伫啱䵁䅉䅅䅁䕁䅁䅁睁䵁䅁䅁权畁兂䅁权癁兂䅁兂䅁䅁䅁临決䅑䅅䅁䉁䅁䅁兂啄瑴䙪癘癡䅑杷允䅁䅁䅑䅁䑁䅁䅷䅁䭁䍁䘴䅁䭁䍁䘸䅁䙁䅁䅁䅁杄⭕䅖允䅁䅁䅅䅁䙁䩁摦䍢塕䬶䅚䍄䉁䅁䅁睁䅁䅁䅍䅄䅁䅁䅯共䅕䅁䅯杮䅕䅁䅅䅁䉁䅁䅁睂䅁䅁䅁䕁汲䅑杷允䅁䅁䅑䅁䑁䅁䅷䅁䭁䍁䘴䅁䭁䍁䘸䅁䙁䅁䅁䅁䅂畊䅖允䅁䅁䅅䅁䙁䥁瑅䱫瘹煆䅚䍄䉁䅁䅁䅂䅁䅁䅍䅄䅁䅁䅯杌䅕䅁䅯睌䅕䅁䅕䅁䅁䭁㑄䔵䉁䅁䅁允䅁䅁䅕㉐婓匳扊は䵁䅉䅅䅁䙁䅁䅁睁䵁䅁䅁权噁䅂䅁权㥂睁䅁兂䅁䅁䅁䩧浐䅑䅯儸䅑䅁䅅䅁䉁䅁䅁兂呃卢獔呪硈睐杷允䅁䅁䅕䅁䑁䅁䅷䅁䭁偁䑧䅁䭁䡁䐰䅁䙁䅁䅁䅁䅃⭫䅚权硄䅂䅁允䅁䅁䅅䅁䙁乁䭃伴杢瘫⽙䍄䉁䅁䅁兂䅁䅁䅍䅄䅁䅁䅯儶䅕䅁䅯䅘䅣䅁䅕䅁䅁䥁呃欵䭁䑁䙉䅁䉁䅁䅁允䅁䅁䅯䅬䅅䅁杷允䅁䅁䅕䅁䑁䅁䅷䅁䭁䍁䝉䅁䭁䙁䡷䅁䙁䅁䅁䅁䅃⭫䅚权祁兂䅁允䅁䅁䅅䅁䭁䩁䉑䅁䵁䅉䅅䅁䙁䅁䅁睁䵁䅁䅁权乃睂䅁权㥂睁䅁兂䅁䅁䅁䩧浐䅑䅯儸䅑䅁䅅䅁䉁䅁䅁兂䉂偉才䩂硪睐杷允䅁䅁䅕䅁䑁䅁䅷䅁䭁䩁䡉䅁䭁䡁䐰䅁䙁䅁䅁䅁䅃⭫䅚权硄䅂䅁允䅁䅁䅅䅁䙁偁婨呪䰲⬴⽫䍄䉁䅁䅁兂䅁䅁䅍䅄䅁䅁䅯克䅕䅁䅯兦䅍䅁䅕䅁䅁䥁呃欵䭁偁䕅䅁䉁䅁䅁允䅁䅁䅕坌琰坓塬樹䴸䅉䅅䅁䝁䅁䅁䍄䉁䅁䅁兂䅁䅁䅯睁䅧䅁䅯杔䅣䅁䅯䅚䅙䅁䅕䅁䅁䅁䅁䐸䘸䅁䅁䅁䅁䥑䄹䅆潃坓末䡭噯剌䅑偌䠰⽇歲剘啧䍁䌵㙓扳卫汱䅆㑃扈灯浍硭桱䅑獧猱稷坁㌹䈸䅁䅁杁䅁䅁䅯党䅙䅁䅯䅉䅁䅁杷允䅁䅁䅍䅁䑁䅁䅷䅁䭁䑁䜰䅁䭁䩁䘴䅁䉁䅁䅁允䅁䅁䅣䅁䅁䍁捄唵䵁䅉䅅䅁䙁䅁䅁睁䵁䅁䅁权⭁杂䅁权捂睂䅁兂䅁䅁䅁䩧浐䅑䅯杍䅕䅁䅅䅁䉁䅁䅁权啃允䅁䍄䉁䅁䅁睁䅁䅁䅍䅄䅁䅁䅯睊䅙䅁䅯杮䅕䅁䅅䅁䉁䅁䅁睂䅁䅁䅁佑歈䅑杷允䅁䅁䅕䅁䑁䅁䅷䅁䭁䱁䙕䅁䭁䙁䡷䅁䙁䅁䅁䅁䅃⭫䅚权祁兂䅁允䅁䅁䅅䅁䭁䩁䉑䅁䵁䅉䅅䅁䝁䅁䅁睁䵁䅁䅁权ぃ兂䅁权摂睂䅁权敂睂䅁兂䅁䅁䅁䩧浐䅑䅯杍䅕䅁䅅䅁䉁䅁䅁兂⭃㝅敎佄䙕䅑杷允䅁䅁䅙䅁䑁䅁䅷䅁䭁䱁䙕䅁䭁䙁䠰䅁䭁䙁䠴䅁䙁䅁䅁䅁䅃⭫䅚权祁兂䅁允䅁䅁䅅䅁䙁䵁晒穫煘光䄱䍄䉁䅁䅁杂䅁䅁䅍䅄䅁䅁䅯䅅䅙䅁䅯兘䅣䅁䅯杘䅣䅁䅕䅁䅁䥁呃欵䭁䑁䙉䅁䉁䅁䅁允䅁䅁䅕欹䍖㡗䘴䕆䵁䅉䅅䅁䙁䅁䅁睁䵁䅁䅁权汄兂䅁权捂睂䅁兂䅁䅁䅁䩧浐䅑䅯杍䅕䅁䅅䅁䉁䅁䅁权啃允䅁䍄䉁䅁䅁杂䅁䅁䅍䅄䅁䅁䅯朴䅕䅁䅯兘䅣䅁䅯杘䅣䅁䅕䅁䅁䥁呃欵䭁䑁䙉䅁䉁䅁䅁允䅁䅁䅕㥶偔㑭ひ啇䵁䅉䅅䅁䝁䅁䅁睁䵁䅁䅁权剁杂䅁权摂睂䅁权敂睂䅁兂䅁䅁䅁䩧浐䅑䅯杍䅕䅁䅅䅁䉁䅁䅁兂偄䭯⽆歧剳䅑杷允䅁䅁䅙䅁䑁䅁䅷䅁䭁䉁䝉䅁䭁䙁䠰䅁䭁䙁䠴䅁䙁䅁䅁䅁䅃⭫䅚权祁兂䅁允䅁䅁䅅䅁䙁䝁䅒渹㍲硰䅨䍄䉁䅁䅁杂䅁䅁䅍䅄䅁䅁䅯睅䅙䅁䅯兘䅣䅁䅯杘䅣䅁䅕䅁䅁䥁呃欵䭁䑁䙉䅁䉁䅁䅁允䅁䅁䅕刯捎䭲䉧歇䵁䅉䅅䅁䝁䅁䅁睁䵁䅁䅁权䝃睂䅁权摂睂䅁权敂睂䅁兂䅁䅁䅁䩧浐䅑䅯杍䅕䅁䅅䅁䉁䅁䅁兂獃特爴桧儸䅑杷允䅁䅁䅍䅁䑁䅁䅷䅁䭁䭁䙣䅁䭁䩁䘴䅁䉁䅁䅁允䅁䅁䅣䅁䅁䅁䭂唵䵁䅉䅅䅁䑁䅁䅁睁䵁䅁䅁权癁杂䅁权敃兂䅁允䅁䅁䅅䅁䡁䅁䅁䅁䅄⬷䅒䍄䉁䅁䅁兂䅁䅁䅍䅄䅁䅁䅯䅅䅙䅁䅯䅘䅣䅁䅕䅁䅁䥁呃欵䭁䑁䙉䅁䉁䅁䅁允䅁䅁䅯䅬䅅䅁杷允䅁䅁䅕䅁䑁䅁䅷䅁䭁䉁䝉䅁䭁䙁䡷䅁䙁䅁䅁䅁䅃⭫䅚权祁兂䅁允䅁䅁䅅䅁䭁䩁䉑䅁䵁䅉䅅䅁䑁䅁䅁睁䵁䅁䅁权允杂䅁权敃兂䅁允䅁䅁䅅䅁䡁䅁䅁䅁䅄畤䅖䍄䉁䅁䅁杂䅁䅁䅍䅄䅁䅁䅯児䅙䅁䅯兘䅣䅁䅯杘䅣䅁䅕䅁䅁䥁呃欵䭁䑁䙉䅁䉁䅁䅁允䅁䅁䅕㝺䠲㑓㜴啅䵁䅉䅅䅁䝁䅁䅁睁䵁䅁䅁权婂杂䅁权摂睂䅁权敂睂䅁兂䅁䅁䅁䩧浐䅑䅯杍䅕䅁䅅䅁䉁䅁䅁兂䡁⼶挸朵䩳䅑杷允䅁䅁䅙䅁䑁䅁䅷䅁䭁䭁䙧䅁䭁䙁䠰䅁䭁䙁䠴䅁䙁䅁䅁䅁䅃⭫䅚权祁兂䅁允䅁䅁䅅䅁䙁乁㕆噪椲桏䅨䍄䉁䅁䅁睁䅁䅁䅍䅄䅁䅁䅯朸䅕䅁䅯杮䅕䅁䅅䅁䉁䅁䅁睂䅁䅁䅁䝷桦䅑杷允䅁䅁䅍䅁䑁䅁䅷䅁䭁䩁䜴䅁䭁䩁䘴䅁䉁䅁䅁允䅁䅁䅣䅁䅁䕁兂欵䵁䅉䅅䅁䝁䅁䅁睁䵁䅁䅁权楃杂䅁权摂睂䅁权敂睂䅁兂䅁䅁䅁䩧浐䅑䅯杍䅕䅁䅅䅁䉁䅁䅁兂硃㑍佘㉡䱷䅑杷允䅁䅁䅙䅁䑁䅁䅷䅁䭁䭁䝁䅁䭁䙁䠰䅁䭁䙁䠴䅁䙁䅁䅁䅁䅃⭫䅚权祁兂䅁允䅁䅁䅅䅁䙁偁兕敪朴桖䅚䍄䉁䅁䅁睁䅁䅁䅍䅄䅁䅁䅯眵䅕䅁䅯杮䅕䅁䅅䅁䉁䅁䅁睂䅁䅁䅁䡧桶䅑杷允䅁䅁䅙䅁䑁䅁䅷䅁䭁䩁䝯䅁䭁䙁䠰䅁䭁䙁䠴䅁䙁䅁䅁䅁䅃⭫䅚权祁兂䅁允䅁䅁䅅䅁䙁乁䤷偐䡉硉䅊䍄䉁䅁䅁兂䅁䅁䅍䅄䅁䅁䅯全䅣䅁䅯䅘䅣䅁䅕䅁䅁䥁呃欵䭁䑁䙉䅁䉁䅁䅁允䅁䅁䅯䅬䅅䅁杷允䅁䅁䅍䅁䑁䅁䅷䅁䭁䭁䝅䅁䭁䩁䘴䅁䉁䅁䅁允䅁䅁䅣䅁䅁䕁兂欵䵁䅉䅅䅁䑁䅁䅁睁䵁䅁䅁权䙃睂䅁权敃兂䅁允䅁䅁䅅䅁䡁䅁䅁䅁䅁敦䅚䍄䉁䅁䅁杂䅁䅁䅍䅄䅁䅁䅯䅉䅙䅁䅯兘䅣䅁䅯杘䅣䅁䅕䅁䅁䥁呃欵䭁䑁䙉䅁䉁䅁䅁允䅁䅁䅕丱祓扴漵䕇䵁䅉䅅䅁䑁䅁䅁睁䵁䅁䅁权桁杂䅁权敃兂䅁允䅁䅁䅅䅁䡁䅁䅁䅁杁伳䅖䍄䉁䅁䅁睁䅁䅁䅍䅄䅁䅁䅯䅳䅕䅁䅯杮䅕䅁䅅䅁䉁䅁䅁睂䅁䅁䅁偙汔䅑杷允䅁䅁䅕䅁䑁䅁䅷䅁䭁䩁䝯䅁䭁䙁䡷䅁䙁䅁䅁䅁䅃⭫䅚权祁兂䅁允䅁䅁䅅䅁䭁䩁䉑䅁䵁䅉䅅䅁䑁䅁䅁睁䵁䅁䅁权慃杂䅁权敃兂䅁允䅁䅁䅅䅁䡁䅁䅁䅁䅂何䅚䍄䉁䅁䅁杂䅁䅁䅍䅄䅁䅁䅯杉䅙䅁䅯兘䅣䅁䅯杘䅣䅁䅕䅁䅁䥁呃欵䭁䑁䙉䅁䉁䅁䅁允䅁䅁䅕穉獋漴䴳ぃ䵁䅉䅅䅁䙁䅁䅁睁䵁䅁䅁权塂杂䅁权捂睂䅁兂䅁䅁䅁䩧浐䅑䅯杍䅕䅁䅅䅁䉁䅁䅁权啃允䅁䍄䉁䅁䅁兂䅁䅁䅍䅄䅁䅁䅯兗䅙䅁䅯䅘䅣䅁䅕䅁䅁䥁呃欵䭁䑁䙉䅁䉁䅁䅁允䅁䅁䅯䅬䅅䅁杷允䅁䅁䅙䅁䑁䅁䅷䅁䭁䥁䡑䅁䭁䙁䠰䅁䭁䙁䠴䅁䙁䅁䅁䅁䅃⭫䅚权祁兂䅁允䅁䅁䅅䅁䙁䍁㑐〳㉰䈷䅊䍄䉁䅁䅁兂䅁䅁䅍䅄䅁䅁䅯杯䅙䅁䅯䅘䅣䅁䅕䅁䅁䥁呃欵䭁䑁䙉䅁䉁䅁䅁允䅁䅁䅯䅬䅅䅁杷允䅁䅁䅙䅁䑁䅁䅷䅁䭁䑁䝳䅁䭁䙁䠰䅁䭁䙁䠴䅁䙁䅁䅁䅁䅃⭫䅚权祁兂䅁允䅁䅁䅅䅁䙁乁兄㡐䙈杹䄱䍄䉁䅁䅁杂䅁䅁䅍䅄䅁䅁䅯兯䅙䅁䅯兘䅣䅁䅯杘䅣䅁䅕䅁䅁䥁呃欵䭁䑁䙉䅁䉁䅁䅁允䅁䅁䅕奕灎䑇䌷ぅ䵁䅉䅅䅁䑁䅁䅁睁䵁䅁䅁权楃杂䅁权敃兂䅁允䅁䅁䅅䅁䡁䅁䅁䅁䅂何䅚䍄䉁䅁䅁兂䅁䅁䅍䅄䅁䅁䅯䅆䅙䅁䅯䅘䅣䅁䅕䅁䅁䥁呃欵䭁䑁䙉䅁䉁䅁䅁允䅁䅁䅯䅬䅅䅁杷允䅁䅁䅙䅁䑁䅁䅷䅁䭁䥁䡁䅁䭁䙁䠰䅁䭁䙁䠴䅁䙁䅁䅁䅁䅃⭫䅚权祁兂䅁允䅁䅁䅅䅁䙁䱁朹㉎扸䉎䅒䍄䉁䅁䅁睁䅁䅁䅍䅄䅁䅁䅯䅧䅣䅁䅯杮䅕䅁䅅䅁䉁䅁䅁睂䅁䅁䅁䡁洳䅑杷允䅁䅁䅕䅁䑁䅁䅷䅁䭁䥁䡅䅁䭁䙁䡷䅁䙁䅁䅁䅁䅃⭫䅚权祁兂䅁允䅁䅁䅅䅁䭁䩁䉑䅁䵁䅉䅅䅁䝁䅁䅁睁䵁䅁䅁权䍃睂䅁权摂睂䅁权敂睂䅁兂䅁䅁䅁䩧浐䅑䅯杍䅕䅁䅅䅁䉁䅁䅁兂剂㕡㍰䝮义䅑杷允䅁䅁䅍䅁䑁䅁䅷䅁䭁䥁䡉䅁䭁䩁䘴䅁䉁䅁䅁允䅁䅁䅣䅁䅁䅁㥂欵䵁䅉䅅䅁䙁䅁䅁睁䵁䅁䅁权奂杂䅁权捂睂䅁兂䅁䅁䅁䩧浐䅑䅯杍䅕䅁䅅䅁䉁䅁䅁权啃允䅁䍄䉁䅁䅁杂䅁䅁䅍䅄䅁䅁䅯䅗䅙䅁䅯兘䅣䅁䅯杘䅣䅁䅕䅁䅁䥁呃欵䭁䑁䙉䅁䉁䅁䅁允䅁䅁䅕昷畘⽪煤啄䵁䅉䅅䅁䙁䅁䅁睁䵁䅁䅁权偂杂䅁权捂睂䅁兂䅁䅁䅁䩧浐䅑䅯杍䅕䅁䅅䅁䉁䅁䅁权啃允䅁䍄䉁䅁䅁睁䅁䅁䅍䅄䅁䅁䅯兮䅙䅁䅯杮䅕䅁䅅䅁䉁䅁䅁睂䅁䅁䅁䙑浄䅑杷允䅁䅁䅕䅁䑁䅁䅷䅁䭁䱁䘴䅁䭁䙁䡷䅁䙁䅁䅁䅁䅃⭫䅚权祁兂䅁允䅁䅁䅅䅁䭁䩁䉑䅁䵁䅉䅅䅁䙁䅁䅁睁䵁䅁䅁权㡁杂䅁权捂睂䅁兂䅁䅁䅁䩧浐䅑䅯杍䅕䅁䅅䅁䉁䅁䅁权啃允䅁䍄䉁䅁䅁睁䅁䅁䅍䅄䅁䅁䅯睏䅙䅁䅯杮䅕䅁䅅䅁䉁䅁䅁睂䅁䅁䅁䝁決䅑杷允䅁䅁䅍䅁䑁䅁䅷䅁䭁䑁䝷䅁䭁䩁䘴䅁䉁䅁䅁允䅁䅁䅣䅁䅁䅁獂唵䵁䅉䅅䅁䙁䅁䅁睁䵁䅁䅁权桁杂䅁权捂睂䅁兂䅁䅁䅁䩧浐䅑䅯杍䅕䅁䅅䅁䉁䅁䅁权啃允䅁䍄䉁䅁䅁杂䅁䅁䅍䅄䅁䅁䅯光䅙䅁䅯兘䅣䅁䅯杘䅣䅁䅕䅁䅁䥁呃欵䭁䑁䙉䅁䉁䅁䅁允䅁䅁䅕啔䉰㕴て䕆䵁䅉䅅䅁䙁䅁䅁睁䵁䅁䅁权浄兂䅁权捂睂䅁兂䅁䅁䅁䩧浐䅑䅯杍䅕䅁䅅䅁䉁䅁䅁权啃允䅁䍄䉁䅁䅁杂䅁䅁䅍䅄䅁䅁䅯朵䅕䅁䅯兘䅣䅁䅯杘䅣䅁䅕䅁䅁䥁呃欵䭁䑁䙉䅁䉁䅁䅁允䅁䅁䅕橥牡汐扦䕆䵁䅉䅅䅁䑁䅁䅁睁䵁䅁䅁权浄兂䅁权敃兂䅁允䅁䅁䅅䅁䡁䅁䅁䅁杂畗䅊䍄䉁䅁䅁兂䅁䅁䅍䅄䅁䅁䅯睧䅣䅁䅯䅘䅣䅁䅕䅁䅁䥁呃欵䭁䑁䙉䅁䉁䅁䅁允䅁䅁䅯䅬䅅䅁杷允䅁䅁䅙䅁䑁䅁䅷䅁䭁䥁䡍䅁䭁䙁䠰䅁䭁䙁䠴䅁䙁䅁䅁䅁䅃⭫䅚权祁兂䅁允䅁䅁䅅䅁䙁䍁㑐〳㉰䉢䅖䍄䉁䅁䅁睁䅁䅁䅍䅄䅁䅁䅯睧䅣䅁䅯杮䅕䅁䅅䅁䉁䅁䅁睂䅁䅁䅁䡁洳䅑杷允䅁䅁䅍䅁䑁䅁䅷䅁䭁䙁䝣䅁䭁䩁䘴䅁䉁䅁䅁允䅁䅁䅣䅁䅁䝁い唵䵁䅉䅅䅁䝁䅁䅁睁䵁䅁䅁权晃杂䅁权摂睂䅁权敂睂䅁兂䅁䅁䅁䩧浐䅑䅯杍䅕䅁䅅䅁䉁䅁䅁兂剂牔牓䑫偉䅑杷允䅁䅁䅕䅁䑁䅁䅷䅁䭁䕁䜴䅁䭁䙁䡷䅁䙁䅁䅁䅁䅃⭫䅚权祁兂䅁允䅁䅁䅅䅁䭁䩁䉑䅁䵁䅉䅅䅁䑁䅁䅁睁䵁䅁䅁权杁杂䅁权敃兂䅁允䅁䅁䅅䅁䡁䅁䅁䅁䅁⭚䅎䍄䉁䅁䅁杂䅁䅁䅍䅄䅁䅁䅯杔䅙䅁䅯兘䅣䅁䅯杘䅣䅁䅕䅁䅁䥁呃欵䭁䑁䙉䅁䉁䅁䅁允䅁䅁䅕⼴乸䕋䅑䕅䵁䅉䅅䅁䑁䅁䅁睁䵁䅁䅁权佂杂䅁权敃兂䅁允䅁䅁䅅䅁䡁䅁䅁䅁杁⭸䅖䍄䉁䅁䅁兂䅁䅁䅍䅄䅁䅁䅯杏䅙䅁䅯䅘䅣䅁䅕䅁䅁䥁呃欵䭁䑁䙉䅁䉁䅁䅁允䅁䅁䅯䅬䅅䅁杷允䅁䅁䅍䅁䑁䅁䅷䅁䭁䑁䝯䅁䭁䩁䘴䅁䉁䅁䅁允䅁䅁䅣䅁䅁䝁い唵䵁䅉䅅䅁䙁䅁䅁睁䵁䅁䅁权权杂䅁权捂睂䅁兂䅁䅁䅁䩧浐䅑䅯杍䅕䅁䅅䅁䉁䅁䅁权啃允䅁䍄䉁䅁䅁睁䅁䅁䅍䅄䅁䅁䅯䅯䅙䅁䅯杮䅕䅁䅅䅁䉁䅁䅁睂䅁䅁䅁䙑浄䅑杷允䅁䅁䅍䅁䑁䅁䅷䅁䭁䥁䡣䅁䭁䩁䘴䅁䉁䅁䅁允䅁䅁䅣䅁䅁䅁㥂欵䵁䅉䅅䅁䑁䅁䅁睁䵁䅁䅁权䉃睂䅁权敃兂䅁允䅁䅁䅅䅁䡁䅁䅁䅁䅁敦䅚䍄䉁䅁䅁兂䅁䅁䅍䅄䅁䅁䅯杋䅙䅁䅯䅘䅣䅁䅕䅁䅁䥁呃欵䭁䑁䙉䅁䉁䅁䅁允䅁䅁䅯䅬䅅䅁杷允䅁䅁䅕䅁䑁䅁䅷䅁䭁䍁䝁䅁䭁䙁䡷䅁䙁䅁䅁䅁䅃⭫䅚权祁兂䅁允䅁䅁䅅䅁䭁䩁䉑䅁䵁䅉䅅䅁䑁䅁䅁睁䵁䅁䅁权汄兂䅁权敃兂䅁允䅁䅁䅅䅁䡁䅁䅁䅁杂畭䅎䍄䉁䅁䅁杂䅁䅁䅍䅄䅁䅁䅯眰䅕䅁䅯兘䅣䅁䅯杘䅣䅁䅕䅁䅁䥁呃欵䭁䑁䙉䅁䉁䅁䅁允䅁䅁䅕圯佯䵅剸啇䵁䅉䅅䅁䑁䅁䅁睁䵁䅁䅁权呄兂䅁权敃兂䅁允䅁䅁䅅䅁䡁䅁䅁䅁䅁⭄䅒䍄䉁䅁䅁兂䅁䅁䅍䅄䅁䅁䅯睭䅙䅁䅯䅘䅣䅁䅕䅁䅁䥁呃欵䭁䑁䙉䅁䉁䅁䅁允䅁䅁䅯䅬䅅䅁杷允䅁䅁䅙䅁䑁䅁䅷䅁䭁䅁䜸䅁䭁䙁䠰䅁䭁䙁䠴䅁䙁䅁䅁䅁䅃⭫䅚权祁兂䅁允䅁䅁䅅䅁䙁乁坚䌷㜫硊䅨䍄䉁䅁䅁睁䅁䅁䅍䅄䅁䅁䅯睄䅙䅁䅯杮䅕䅁䅅䅁䉁䅁䅁睂䅁䅁䅁䉑桦䅑杷允䅁䅁䅕䅁䑁䅁䅷䅁䭁佁䙉䅁䭁䙁䡷䅁䙁䅁䅁䅁䅃⭫䅚权祁兂䅁允䅁䅁䅅䅁䭁䩁䉑䅁䵁䅉䅅䅁䙁䅁䅁睁䵁䅁䅁权㕁杂䅁权捂睂䅁兂䅁䅁䅁䩧浐䅑䅯杍䅕䅁䅅䅁䉁䅁䅁权啃允䅁䍄䉁䅁䅁杂䅁䅁䅍䅄䅁䅁䅯兏䅙䅁䅯兘䅣䅁䅯杘䅣䅁䅕䅁䅁䥁呃欵䭁䑁䙉䅁䉁䅁䅁允䅁䅁䅕楃圵䜱慁歇䵁䅉䅅䅁䙁䅁䅁睁䵁䅁䅁权晁杂䅁权捂睂䅁兂䅁䅁䅁䩧浐䅑䅯杍䅕䅁䅅䅁䉁䅁䅁权啃允䅁䍄䉁䅁䅁杂䅁䅁䅍䅄䅁䅁䅯睈䅙䅁䅯兘䅣䅁䅯杘䅣䅁䅕䅁䅁䥁呃欵䭁䑁䙉䅁䉁䅁䅁允䅁䅁䅕慷歩歔呂歇䵁䅉䅅䅁䑁䅁䅁睁䵁䅁䅁权晁杂䅁权敃兂䅁允䅁䅁䅅䅁䡁䅁䅁䅁杁伳䅖䍄䉁䅁䅁杂䅁䅁䅍䅄䅁䅁䅯䅆䅙䅁䅯兘䅣䅁䅯杘䅣䅁䅕䅁䅁䥁呃欵䭁䑁䙉䅁䉁䅁䅁允䅁䅁䅯䅬䅅䅁杷允䅁䅁䅍䅁䑁䅁䅷䅁䭁䉁䝑䅁䭁䩁䘴䅁䉁䅁䅁允䅁䅁䅣䅁䅁䝁婄唵㵁</t>
  </si>
  <si>
    <t>Grupo Bimbo (BMV: BIMBO A) - Independent WACC inputs (pricing date 16-Oct-2026)</t>
  </si>
  <si>
    <t>Built independently from source data (data/capitaliq, data/market, wiki, public Damodaran/FRED files). The yellow-labelled cells on sheet WACC (C48, C50, C54, C56, V62:V74, W43) link here. The team decides the final WACC; this is a recommendation.</t>
  </si>
  <si>
    <t>Item</t>
  </si>
  <si>
    <t>Value</t>
  </si>
  <si>
    <t>Unit</t>
  </si>
  <si>
    <t>Tag</t>
  </si>
  <si>
    <t>Source / rationale</t>
  </si>
  <si>
    <t>A. Risk-free rate and equity premium</t>
  </si>
  <si>
    <t>M-Bono 10Y yield (gross, MXN)</t>
  </si>
  <si>
    <t>[sourced]</t>
  </si>
  <si>
    <t>S&amp;P Capital IQ, 16-Oct-2026; data/capitaliq/capiq-ai-model-gaps-2_2026-10-17.md Task 2A</t>
  </si>
  <si>
    <t>Mexico sovereign default spread (Moody's Baa3, rating-based)</t>
  </si>
  <si>
    <t>Damodaran country risk file, July-2026 update (ctrypremJuly26.xlsx, default spreads corrected 9-Jul-2026), Mexico. Removed from the M-Bono so rf is default-free (Damodaran local-currency method). A first run used the Jan-2026 file (Baa2, 1.62%): superseded</t>
  </si>
  <si>
    <t>Risk-free rate used (MXN, default-free)</t>
  </si>
  <si>
    <t>[calc]</t>
  </si>
  <si>
    <t>M-Bono 10Y less sovereign default spread. Sovereign risk is then added back once, through the country risk premium</t>
  </si>
  <si>
    <t>Mature-market equity risk premium</t>
  </si>
  <si>
    <t>Damodaran implied ERP, mature market, July-2026 country file: 4.20% (Jan-2026 file 4.23%; Aug-2026 monthly 4.23%)</t>
  </si>
  <si>
    <t>Market return Rm (rf + ERP) -&gt; WACC!C50</t>
  </si>
  <si>
    <t>Template needs Rm; ERP kept explicit instead of the template's 10-year S&amp;P average</t>
  </si>
  <si>
    <t>Reference: UST 10Y yield</t>
  </si>
  <si>
    <t>S&amp;P Capital IQ 16-Oct-2026 (used only for the USD cross-check)</t>
  </si>
  <si>
    <t>Reference: Kroll recommended US ERP</t>
  </si>
  <si>
    <t>Kroll, reaffirmed Sep-2026 (BV Wire 16-Sep-2026); paired with spot 20Y UST. Alternative only</t>
  </si>
  <si>
    <t>B. Beta</t>
  </si>
  <si>
    <t>Unlevered beta, Food Processing, Global (cash-corrected)</t>
  </si>
  <si>
    <t>Damodaran industry betas (Global, 1,450 firms), Jan-2026. US Food Processing 0.47 (78 firms) is the alternative</t>
  </si>
  <si>
    <t>Statutory tax rate used (Mexico)</t>
  </si>
  <si>
    <t>Mexican statutory rate 30% (EEFF25 p.56 via wiki). Effective LTM 35.62% (CIQ) shown as alternative; used for relevering and tax shield</t>
  </si>
  <si>
    <t>Target D/E (market value, lease-inclusive)</t>
  </si>
  <si>
    <t>Current market structure (= management's stated 2.0-2.5x net debt/EBITDA comfort zone, no change planned)</t>
  </si>
  <si>
    <t>Relevered beta (Hamada) -&gt; WACC!W43</t>
  </si>
  <si>
    <t>Bu x (1 + (1-t) x D/E). Cross-check: Bimbo 5Y monthly regression vs IPC = 0.825 raw (R2 0.30)</t>
  </si>
  <si>
    <t>C. Capital structure (MXN millions)</t>
  </si>
  <si>
    <t>Share price BIMBO A, 16-Oct-2026 (MXN)</t>
  </si>
  <si>
    <t>BMV official close; data/market/bimbo_ipc_monthly_2021-11_2026-10.csv</t>
  </si>
  <si>
    <t>Shares outstanding (millions)</t>
  </si>
  <si>
    <t>S&amp;P Capital IQ ECS, 30-Jun-2026; BMV filing Jun-26 p.96-97</t>
  </si>
  <si>
    <t>Market capitalisation -&gt; WACC!V64</t>
  </si>
  <si>
    <t>MXN m</t>
  </si>
  <si>
    <t>price x shares</t>
  </si>
  <si>
    <t>Total debt incl. leases, US$ m (CIQ)</t>
  </si>
  <si>
    <t>US$ m</t>
  </si>
  <si>
    <t>wiki/Valuation/bimbo-wacc-market-inputs-capiq-2026-10.md (CIQ, 30-Jun-2026)</t>
  </si>
  <si>
    <t>CIQ translation rate used (US$ per MXN)</t>
  </si>
  <si>
    <t>US$/MXN</t>
  </si>
  <si>
    <t>CIQ LTM rate (MXN 17.96/US$) - same rate that CIQ used to translate the debt, so the MXN debt is recovered exactly</t>
  </si>
  <si>
    <t>Total debt incl. leases (MXN m) -&gt; WACC!V62</t>
  </si>
  <si>
    <t>Company gross debt MXN 153,660m (2Q26 p.6) + leases (~MXN 34-41bn)</t>
  </si>
  <si>
    <t>D/(D+E)</t>
  </si>
  <si>
    <t>Alternative: peer median market D/E 0.48 (D/(D+E) 32.6%); ex-leases 37.9%</t>
  </si>
  <si>
    <t>D. Cost of debt</t>
  </si>
  <si>
    <t>Spread of Bimbo's latest fixed MXN bond over M-Bono</t>
  </si>
  <si>
    <t>BIMBO 26 (9.22%, due 2035) priced Feb-2026 at interpolated M-Bono + 45 bp (wiki/Valuation/bimbo-bond-prospectus-terms.md, AC BIMBO 26 p.2-3)</t>
  </si>
  <si>
    <t>Pre-tax cost of debt used (MXN) -&gt; WACC!C56</t>
  </si>
  <si>
    <t>M-Bono 10Y today + 45 bp. Bimbo bond yields (YTM) were NOT returned by Capital IQ; needs the fixed-income pricing module. Book average cost 6.5% is a mixed-currency historical cost, not a forward MXN cost</t>
  </si>
  <si>
    <t>Reference: UST 10Y + ICE BofA BBB OAS (1.05%)</t>
  </si>
  <si>
    <t>FRED BAMLC0A4CBBB 15-Oct-2026 = 1.05%; USD cost of debt for the USD cross-check</t>
  </si>
  <si>
    <t>E. Country risk premium (plant-weighted by region, weighted by Adj. EBITDA, additive)</t>
  </si>
  <si>
    <t>Region</t>
  </si>
  <si>
    <t>Region CRP</t>
  </si>
  <si>
    <t>Sales weight</t>
  </si>
  <si>
    <t>Adj. EBITDA weight (used)</t>
  </si>
  <si>
    <t>Basis</t>
  </si>
  <si>
    <t>North America (US 60 plants, Canada 17)</t>
  </si>
  <si>
    <t>Plant-weighted Damodaran Jul-2026 CRP (US 0.22%, Canada 0). The US premium is added because the mature ERP excludes it; rf is the default-free peso rate</t>
  </si>
  <si>
    <t>Mexico (38 plants)</t>
  </si>
  <si>
    <t>Damodaran Jul-2026, Baa3: default spread 1.75% x 1.55 relative equity volatility. CDS checks: Damodaran CDS-based 2.27%; CIQ 10Y CDS 164 bp x 1.55 = 2.55%. EBITDA weight includes inter-segment eliminations attributed to Mexico (wiki/Company/bimbo-segments-and-regions.md, Celebramos p.17)</t>
  </si>
  <si>
    <t>Latin America (41 plants, 13 countries; Venezuela excluded)</t>
  </si>
  <si>
    <t>Plant counts by country: RA25 p.115 [sourced]; country CRPs Damodaran Jul-2026. 3.36% excluding Argentina</t>
  </si>
  <si>
    <t>Europe, Asia, Africa (92 plants, 21 countries)</t>
  </si>
  <si>
    <t>Plant counts: RA25 p.115-116 (Serbia 17, Romania 15, India 14, Brazil-like exposure in LatAm); Russia from Damodaran PRS sheet 3.72%</t>
  </si>
  <si>
    <t>Blended country risk premium (EBITDA weights) -&gt; WACC!C54</t>
  </si>
  <si>
    <t>Added once to cost of equity (not multiplied by beta). The template has no CRP line, so it goes in the 'Size Premium' cell (C54); no size premium is applied. Weights: FY2025 Adj. EBITDA by segment (EEFF25 p.85-86 via wiki)</t>
  </si>
  <si>
    <t>Alternative: same regional CRPs, FY2025 sales weights</t>
  </si>
  <si>
    <t>Sales weights: wiki/Company/bimbo-segments-and-regions.md. Mexico is 32% of sales but 55% of Adj. EBITDA</t>
  </si>
  <si>
    <t>F. Cross-check outputs (from independent_calc, same formulas)</t>
  </si>
  <si>
    <t>USD WACC (UST 10Y rf, USD Kd, same beta/CRP/weights)</t>
  </si>
  <si>
    <t>[calc] rf 5.09% + 0.863 x 4.20% + CRP 2.05% = Ke 10.77%; Kd 6.14% pre-tax</t>
  </si>
  <si>
    <t>MXN-equivalent of the USD WACC (inflation differential 1.38%)</t>
  </si>
  <si>
    <t>[calc] Mexico 2026 CPI consensus 3.76% vs US 10Y breakeven 2.35% [assumption]</t>
  </si>
  <si>
    <t>BMV:BIMBO A</t>
  </si>
  <si>
    <t>NYSE:FLO</t>
  </si>
  <si>
    <t>BMV:GRUMA B</t>
  </si>
  <si>
    <t>SWX:ARYN</t>
  </si>
  <si>
    <t>NYSE:SJM</t>
  </si>
  <si>
    <t>NASDAQGS:CPB</t>
  </si>
  <si>
    <t>NASDAQGS:MDLZ</t>
  </si>
  <si>
    <t>BMV:AC</t>
  </si>
  <si>
    <t>NASDAQGS:PEP</t>
  </si>
  <si>
    <t>TSE:2212</t>
  </si>
  <si>
    <t>*</t>
  </si>
  <si>
    <t>Flowers Foods</t>
  </si>
  <si>
    <t>n/a</t>
  </si>
  <si>
    <t>Gruma</t>
  </si>
  <si>
    <t>Aryzta</t>
  </si>
  <si>
    <t>J.M. Smucker</t>
  </si>
  <si>
    <t>Campbell's</t>
  </si>
  <si>
    <t>Mondelez</t>
  </si>
  <si>
    <t>Arca Continental</t>
  </si>
  <si>
    <t>PepsiCo</t>
  </si>
  <si>
    <t>BIMBO A-MX</t>
  </si>
  <si>
    <t>Grupo Bimbo, S.A.B. de C.V.</t>
  </si>
  <si>
    <t>Template: S&amp;P Capital IQ Pro WACC Analysis. Independent build for Grupo Bimbo (BIMBO A); manual overrides - see sheets Independent_Inputs and Decision_Table.</t>
  </si>
  <si>
    <t>(peers entered manually)</t>
  </si>
  <si>
    <t>INDEPENDENT BUILD NOTES (16-Oct-2026)</t>
  </si>
  <si>
    <t>1) The Capital IQ Pro plug-in was not available, so plug-in cells (peer data, bonds, rates list, S&amp;P 10-yr returns) were replaced or bypassed with manual inputs/overrides.</t>
  </si>
  <si>
    <t>2) Cells in columns R:AK rows 52-159 that still show #NAME? are plug-in helper tables (bond list, rates list, S&amp;P history). They are NOT used: C48, C50, C54, C56 are manual overrides.</t>
  </si>
  <si>
    <t>3) Currency = Mexican Peso, millions. rf = M-Bono 10Y 9.26% less Mexico default spread 1.75% (default-free MXN). Rm = rf + 4.20% mature ERP (Damodaran Jul-2026).</t>
  </si>
  <si>
    <t>4) 'Size Premium' (C54) carries the EBITDA-weighted, plant-based country risk premium (2.05%); no size premium applied. Tax = 30% statutory (V65:V69).</t>
  </si>
  <si>
    <t>5) Beta: C68 = 'Regression Beta' but W43 is overridden with the Damodaran relevered beta (0.56 unlevered x D/E 0.774). The peer table (rows 47-56) shows raw 5Y monthly regression betas vs S&amp;P 500 (R2 &lt;= 0.16, low confidence).</t>
  </si>
  <si>
    <t>6) Yamazaki is entered in the last peer slot with '*' (excluded): negative regression beta (JPY/Tokyo listing).</t>
  </si>
  <si>
    <t>Grupo Bimbo - independent WACC: decision table (base MXN nominal WACC = Independent_Inputs / WACC!C87)</t>
  </si>
  <si>
    <t>Decision</t>
  </si>
  <si>
    <t>Value used</t>
  </si>
  <si>
    <t>Source</t>
  </si>
  <si>
    <t>Reasonable alternative</t>
  </si>
  <si>
    <t>WACC with alternative</t>
  </si>
  <si>
    <t>Change vs base (bp)</t>
  </si>
  <si>
    <t>Risk-free (MXN, default-free)</t>
  </si>
  <si>
    <t>7.51% = M-Bono 10Y 9.26% - Mexico default spread 1.75%</t>
  </si>
  <si>
    <t>CIQ 16-Oct-2026; Damodaran Jul-2026</t>
  </si>
  <si>
    <t>[sourced]/[calc]</t>
  </si>
  <si>
    <t>Gross M-Bono 9.26% (no spread removed)</t>
  </si>
  <si>
    <t>Equity risk premium (mature)</t>
  </si>
  <si>
    <t>Damodaran implied ERP, mature market (Jul-26 file; Jan-26 4.23%)</t>
  </si>
  <si>
    <t>Kroll 5.0% (with spot 20Y UST)</t>
  </si>
  <si>
    <t>Beta (levered)</t>
  </si>
  <si>
    <t>0.863 = 0.56 unlevered (Damodaran Food Processing, Global) x (1+0.7 x 0.774)</t>
  </si>
  <si>
    <t>Damodaran Global Food Processing Jan-2026 (cash-corrected); target D/E</t>
  </si>
  <si>
    <t>Bimbo own regression vs IPC 0.825 (Blume 0.88)</t>
  </si>
  <si>
    <t>Country risk premium</t>
  </si>
  <si>
    <t>2.05% = regional CRPs (plant-weighted, RA25) x FY25 Adj. EBITDA weights, added once</t>
  </si>
  <si>
    <t>Damodaran Jul-2026; RA25 p.115-116 plants; EEFF25 segment EBITDA</t>
  </si>
  <si>
    <t>[sourced]/[assumption]</t>
  </si>
  <si>
    <t>Same regional CRPs weighted by FY25 sales = 1.70% (none: 9.24%; Mexico-only: 10.78%)</t>
  </si>
  <si>
    <t>Pre-tax cost of debt (MXN)</t>
  </si>
  <si>
    <t>9.71% = M-Bono 10Y + 45 bp</t>
  </si>
  <si>
    <t>CIQ M-Bono; BIMBO 26 priced at M-Bono + 45 bp (Feb-2026)</t>
  </si>
  <si>
    <t>Book average cost 6.5% (mixed currency)</t>
  </si>
  <si>
    <t>Target D/E (market, lease-incl.)</t>
  </si>
  <si>
    <t>0.774 -&gt; D/(D+E) 43.6%</t>
  </si>
  <si>
    <t>Price x shares; CIQ debt incl. leases</t>
  </si>
  <si>
    <t>Peer median market D/E 0.485 (32.6%)</t>
  </si>
  <si>
    <t>Tax rate</t>
  </si>
  <si>
    <t>30% statutory</t>
  </si>
  <si>
    <t>Mexican statutory rate (EEFF25 p.56)</t>
  </si>
  <si>
    <t>35.62% effective LTM (CIQ)</t>
  </si>
  <si>
    <t>Base WACC (MXN nominal)</t>
  </si>
  <si>
    <t>WACC (template result, WACC!C87)</t>
  </si>
  <si>
    <t>Cost of equity (WACC!C73)</t>
  </si>
  <si>
    <t>After-tax cost of debt (WACC!C79)</t>
  </si>
  <si>
    <t>Equity weight / debt weight</t>
  </si>
  <si>
    <t>Cross-checks</t>
  </si>
  <si>
    <t>USD WACC (rf UST10 5.09%, Kd 6.14%, same beta/CRP/weights)</t>
  </si>
  <si>
    <t>MXN-equivalent of USD WACC (inflation differential 1.38%)</t>
  </si>
  <si>
    <t>Management impairment-test discount rates FY25 (post-tax): Mexico 10.00%, US 7.27%, Canada 6.50%, Spain 7.00%, Brazil 10.25%</t>
  </si>
  <si>
    <t>Alternatives are one-at-a-time changes from the base; they are computed with the same formulas as the template (Python replica, tied to 0.01 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</si>
</sst>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_(* #,##0.00_);_(* \(#,##0.00\);_(* &quot;-&quot;??_);_(@_)"/>
    <numFmt numFmtId="165" formatCode="0.0"/>
    <numFmt numFmtId="166" formatCode="0.0%_);\(0.0%\);0.0%_);@_)"/>
    <numFmt numFmtId="167" formatCode="0.000"/>
    <numFmt numFmtId="168" formatCode="#,##0.0_);\(#,##0.0\)"/>
    <numFmt numFmtId="169" formatCode="0.0%"/>
    <numFmt numFmtId="170" formatCode="0.000%"/>
    <numFmt numFmtId="171" formatCode="#,##0.00000"/>
    <numFmt numFmtId="172" formatCode="0.00000"/>
    <numFmt numFmtId="173" formatCode="#,##0.000"/>
    <numFmt numFmtId="174" formatCode="#,##0.0_ ;\-#,##0.0\ "/>
    <numFmt numFmtId="175" formatCode="#,##0.0"/>
  </numFmts>
  <fonts count="41" x14ac:knownFonts="1">
    <font>
      <sz val="8"/>
      <color theme="1"/>
      <name val="Arial"/>
      <family val="2"/>
    </font>
    <font>
      <sz val="11"/>
      <color theme="1"/>
      <name val="Calibri"/>
      <family val="2"/>
      <scheme val="minor"/>
    </font>
    <font>
      <sz val="8"/>
      <color theme="1"/>
      <name val="Arial"/>
      <family val="2"/>
    </font>
    <font>
      <sz val="8"/>
      <name val="Arial"/>
      <family val="2"/>
    </font>
    <font>
      <b/>
      <sz val="8"/>
      <name val="Arial"/>
      <family val="2"/>
    </font>
    <font>
      <sz val="8"/>
      <color rgb="FF000000"/>
      <name val="Arial"/>
      <family val="2"/>
    </font>
    <font>
      <b/>
      <sz val="18"/>
      <color theme="1"/>
      <name val="Arial"/>
      <family val="2"/>
    </font>
    <font>
      <sz val="8"/>
      <color indexed="56"/>
      <name val="Arial"/>
      <family val="2"/>
    </font>
    <font>
      <sz val="8"/>
      <color indexed="17"/>
      <name val="Arial"/>
      <family val="2"/>
    </font>
    <font>
      <i/>
      <sz val="8"/>
      <color rgb="FF525252"/>
      <name val="Arial"/>
      <family val="2"/>
    </font>
    <font>
      <sz val="8"/>
      <color indexed="12"/>
      <name val="Arial"/>
      <family val="2"/>
    </font>
    <font>
      <i/>
      <sz val="8"/>
      <name val="Arial"/>
      <family val="2"/>
    </font>
    <font>
      <u/>
      <sz val="8"/>
      <color indexed="12"/>
      <name val="Arial"/>
      <family val="2"/>
    </font>
    <font>
      <i/>
      <sz val="8"/>
      <color indexed="23"/>
      <name val="Arial"/>
      <family val="2"/>
    </font>
    <font>
      <b/>
      <sz val="8"/>
      <color rgb="FF223D92"/>
      <name val="Arial"/>
      <family val="2"/>
    </font>
    <font>
      <sz val="8"/>
      <color indexed="8"/>
      <name val="Arial"/>
      <family val="2"/>
    </font>
    <font>
      <b/>
      <sz val="8"/>
      <color indexed="8"/>
      <name val="Arial"/>
      <family val="2"/>
    </font>
    <font>
      <sz val="8"/>
      <color rgb="FF008000"/>
      <name val="Arial"/>
      <family val="2"/>
    </font>
    <font>
      <b/>
      <sz val="8"/>
      <color rgb="FF008000"/>
      <name val="Arial"/>
      <family val="2"/>
    </font>
    <font>
      <b/>
      <sz val="8"/>
      <color theme="0"/>
      <name val="Arial"/>
      <family val="2"/>
    </font>
    <font>
      <sz val="8"/>
      <color rgb="FF0000FF"/>
      <name val="Arial"/>
      <family val="2"/>
    </font>
    <font>
      <b/>
      <sz val="12"/>
      <color theme="1"/>
      <name val="Arial"/>
      <family val="2"/>
    </font>
    <font>
      <b/>
      <u/>
      <sz val="9"/>
      <color theme="1"/>
      <name val="Arial"/>
      <family val="2"/>
    </font>
    <font>
      <sz val="10"/>
      <name val="Times New Roman"/>
      <family val="1"/>
    </font>
    <font>
      <b/>
      <sz val="8"/>
      <color indexed="9"/>
      <name val="Arial"/>
      <family val="2"/>
    </font>
    <font>
      <sz val="8"/>
      <color indexed="9"/>
      <name val="Arial"/>
      <family val="2"/>
    </font>
    <font>
      <b/>
      <sz val="8"/>
      <color indexed="12"/>
      <name val="Arial"/>
      <family val="2"/>
    </font>
    <font>
      <vertAlign val="superscript"/>
      <sz val="8"/>
      <name val="Arial"/>
      <family val="2"/>
    </font>
    <font>
      <b/>
      <sz val="8"/>
      <color rgb="FF0000FF"/>
      <name val="Arial"/>
      <family val="2"/>
    </font>
    <font>
      <b/>
      <sz val="8"/>
      <color rgb="FF000000"/>
      <name val="Arial"/>
      <family val="2"/>
    </font>
    <font>
      <b/>
      <sz val="8"/>
      <color theme="1"/>
      <name val="Arial"/>
      <family val="2"/>
    </font>
    <font>
      <sz val="10"/>
      <name val="Arial"/>
      <family val="2"/>
    </font>
    <font>
      <sz val="21"/>
      <color rgb="FF202124"/>
      <name val="Arial"/>
      <family val="2"/>
    </font>
    <font>
      <sz val="8"/>
      <color rgb="FF202124"/>
      <name val="Arial"/>
      <family val="2"/>
    </font>
    <font>
      <sz val="8"/>
      <color rgb="FF525252"/>
      <name val="Arial"/>
      <family val="2"/>
    </font>
    <font>
      <b/>
      <u/>
      <sz val="8"/>
      <color theme="1"/>
      <name val="Arial"/>
      <family val="2"/>
    </font>
    <font>
      <sz val="9"/>
      <color indexed="81"/>
      <name val="Tahoma"/>
      <family val="2"/>
    </font>
    <font>
      <u/>
      <sz val="8"/>
      <color rgb="FF223D92"/>
      <name val="Arial"/>
      <family val="2"/>
    </font>
    <font>
      <sz val="10"/>
      <color theme="1"/>
      <name val="Calibri"/>
      <family val="2"/>
    </font>
    <font>
      <b/>
      <sz val="10"/>
      <color theme="1"/>
      <name val="Calibri"/>
      <family val="2"/>
    </font>
    <font>
      <b/>
      <sz val="13"/>
      <color theme="1"/>
      <name val="Calibri"/>
      <family val="2"/>
    </font>
  </fonts>
  <fills count="8">
    <fill>
      <patternFill patternType="none"/>
    </fill>
    <fill>
      <patternFill patternType="gray125"/>
    </fill>
    <fill>
      <patternFill patternType="solid">
        <fgColor indexed="9"/>
        <bgColor indexed="64"/>
      </patternFill>
    </fill>
    <fill>
      <patternFill patternType="solid">
        <fgColor rgb="FFFFFFCC"/>
        <bgColor indexed="64"/>
      </patternFill>
    </fill>
    <fill>
      <patternFill patternType="solid">
        <fgColor theme="0" tint="-0.14999847407452621"/>
        <bgColor indexed="64"/>
      </patternFill>
    </fill>
    <fill>
      <patternFill patternType="solid">
        <fgColor rgb="FF525252"/>
        <bgColor indexed="64"/>
      </patternFill>
    </fill>
    <fill>
      <patternFill patternType="solid">
        <fgColor theme="0"/>
        <bgColor indexed="64"/>
      </patternFill>
    </fill>
    <fill>
      <patternFill patternType="solid">
        <fgColor rgb="FFD9D9D9"/>
        <bgColor indexed="64"/>
      </patternFill>
    </fill>
  </fills>
  <borders count="34">
    <border>
      <left/>
      <right/>
      <top/>
      <bottom/>
      <diagonal/>
    </border>
    <border>
      <left/>
      <right/>
      <top style="thin">
        <color indexed="64"/>
      </top>
      <bottom/>
      <diagonal/>
    </border>
    <border>
      <left style="thin">
        <color rgb="FF525252"/>
      </left>
      <right style="thin">
        <color rgb="FF525252"/>
      </right>
      <top style="thin">
        <color rgb="FF525252"/>
      </top>
      <bottom style="thin">
        <color rgb="FF525252"/>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23"/>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rgb="FF525252"/>
      </bottom>
      <diagonal/>
    </border>
    <border>
      <left style="thin">
        <color rgb="FF525252"/>
      </left>
      <right/>
      <top style="thin">
        <color rgb="FF525252"/>
      </top>
      <bottom style="thin">
        <color rgb="FF525252"/>
      </bottom>
      <diagonal/>
    </border>
    <border>
      <left/>
      <right style="thin">
        <color rgb="FF525252"/>
      </right>
      <top style="thin">
        <color rgb="FF525252"/>
      </top>
      <bottom style="thin">
        <color rgb="FF525252"/>
      </bottom>
      <diagonal/>
    </border>
    <border>
      <left style="thin">
        <color rgb="FF525252"/>
      </left>
      <right style="thin">
        <color rgb="FF525252"/>
      </right>
      <top style="thin">
        <color indexed="64"/>
      </top>
      <bottom style="thin">
        <color rgb="FF525252"/>
      </bottom>
      <diagonal/>
    </border>
    <border>
      <left/>
      <right/>
      <top style="thin">
        <color rgb="FF525252"/>
      </top>
      <bottom style="thin">
        <color rgb="FF525252"/>
      </bottom>
      <diagonal/>
    </border>
    <border>
      <left/>
      <right/>
      <top style="thin">
        <color indexed="64"/>
      </top>
      <bottom style="double">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525252"/>
      </left>
      <right style="thin">
        <color indexed="64"/>
      </right>
      <top/>
      <bottom/>
      <diagonal/>
    </border>
  </borders>
  <cellStyleXfs count="11">
    <xf numFmtId="0" fontId="0" fillId="0" borderId="0"/>
    <xf numFmtId="9" fontId="2" fillId="0" borderId="0" applyFont="0" applyFill="0" applyBorder="0" applyAlignment="0" applyProtection="0"/>
    <xf numFmtId="0" fontId="12" fillId="0" borderId="0" applyNumberFormat="0" applyFill="0" applyBorder="0" applyAlignment="0" applyProtection="0">
      <alignment vertical="top"/>
      <protection locked="0"/>
    </xf>
    <xf numFmtId="0" fontId="15" fillId="0" borderId="0"/>
    <xf numFmtId="164" fontId="2" fillId="0" borderId="0" applyFont="0" applyFill="0" applyBorder="0" applyAlignment="0" applyProtection="0"/>
    <xf numFmtId="0" fontId="23" fillId="0" borderId="0"/>
    <xf numFmtId="0" fontId="31" fillId="0" borderId="0"/>
    <xf numFmtId="0" fontId="2" fillId="0" borderId="0"/>
    <xf numFmtId="0" fontId="1" fillId="0" borderId="0"/>
    <xf numFmtId="0" fontId="3" fillId="0" borderId="0"/>
    <xf numFmtId="0" fontId="3" fillId="0" borderId="0"/>
  </cellStyleXfs>
  <cellXfs count="295">
    <xf numFmtId="0" fontId="0" fillId="0" borderId="0" xfId="0"/>
    <xf numFmtId="0" fontId="0" fillId="0" borderId="0" xfId="0" applyAlignment="1">
      <alignment horizontal="right"/>
    </xf>
    <xf numFmtId="14" fontId="0" fillId="0" borderId="0" xfId="0" applyNumberFormat="1" applyAlignment="1">
      <alignment horizontal="right"/>
    </xf>
    <xf numFmtId="4" fontId="0" fillId="0" borderId="0" xfId="0" applyNumberFormat="1" applyAlignment="1">
      <alignment horizontal="right"/>
    </xf>
    <xf numFmtId="0" fontId="3" fillId="0" borderId="0" xfId="0" applyFont="1"/>
    <xf numFmtId="0" fontId="4" fillId="0" borderId="0" xfId="0" applyFont="1"/>
    <xf numFmtId="0" fontId="6" fillId="0" borderId="0" xfId="0" applyFont="1" applyAlignment="1">
      <alignment horizontal="left" vertical="center" indent="24"/>
    </xf>
    <xf numFmtId="0" fontId="7" fillId="0" borderId="0" xfId="0" applyFont="1" applyAlignment="1">
      <alignment vertical="center"/>
    </xf>
    <xf numFmtId="0" fontId="3" fillId="0" borderId="0" xfId="0" applyFont="1" applyAlignment="1">
      <alignment horizontal="left" indent="4"/>
    </xf>
    <xf numFmtId="0" fontId="10" fillId="3" borderId="2" xfId="0" applyFont="1" applyFill="1" applyBorder="1" applyAlignment="1">
      <alignment horizontal="left"/>
    </xf>
    <xf numFmtId="0" fontId="12" fillId="0" borderId="0" xfId="2" applyFill="1" applyBorder="1" applyAlignment="1" applyProtection="1">
      <alignment vertical="center" wrapText="1"/>
    </xf>
    <xf numFmtId="0" fontId="12" fillId="0" borderId="3" xfId="2" applyFill="1" applyBorder="1" applyAlignment="1" applyProtection="1">
      <alignment vertical="center" wrapText="1"/>
    </xf>
    <xf numFmtId="0" fontId="0" fillId="0" borderId="6" xfId="0" applyBorder="1"/>
    <xf numFmtId="0" fontId="14" fillId="0" borderId="0" xfId="2" applyFont="1" applyFill="1" applyBorder="1" applyAlignment="1" applyProtection="1">
      <alignment vertical="center" wrapText="1"/>
    </xf>
    <xf numFmtId="0" fontId="0" fillId="0" borderId="3" xfId="0" applyBorder="1"/>
    <xf numFmtId="0" fontId="0" fillId="0" borderId="15" xfId="0" applyBorder="1" applyAlignment="1">
      <alignment horizontal="left"/>
    </xf>
    <xf numFmtId="0" fontId="0" fillId="0" borderId="16" xfId="0" applyBorder="1" applyAlignment="1">
      <alignment horizontal="left"/>
    </xf>
    <xf numFmtId="0" fontId="0" fillId="0" borderId="17" xfId="0" applyBorder="1"/>
    <xf numFmtId="4" fontId="0" fillId="0" borderId="15" xfId="0" applyNumberFormat="1" applyBorder="1" applyAlignment="1">
      <alignment horizontal="right"/>
    </xf>
    <xf numFmtId="4" fontId="0" fillId="0" borderId="16" xfId="0" applyNumberFormat="1" applyBorder="1" applyAlignment="1">
      <alignment horizontal="right"/>
    </xf>
    <xf numFmtId="3" fontId="0" fillId="0" borderId="16" xfId="0" applyNumberFormat="1" applyBorder="1" applyAlignment="1">
      <alignment horizontal="right"/>
    </xf>
    <xf numFmtId="0" fontId="0" fillId="0" borderId="13" xfId="0" applyBorder="1"/>
    <xf numFmtId="0" fontId="0" fillId="0" borderId="1" xfId="0" applyBorder="1"/>
    <xf numFmtId="0" fontId="0" fillId="0" borderId="14" xfId="0" applyBorder="1"/>
    <xf numFmtId="0" fontId="0" fillId="0" borderId="10" xfId="0" applyBorder="1"/>
    <xf numFmtId="0" fontId="0" fillId="0" borderId="11" xfId="0" applyBorder="1"/>
    <xf numFmtId="0" fontId="0" fillId="0" borderId="7" xfId="0" applyBorder="1"/>
    <xf numFmtId="0" fontId="18" fillId="0" borderId="13" xfId="0" applyFont="1" applyBorder="1"/>
    <xf numFmtId="0" fontId="18" fillId="0" borderId="0" xfId="0" applyFont="1"/>
    <xf numFmtId="0" fontId="0" fillId="0" borderId="14" xfId="0" applyBorder="1" applyAlignment="1">
      <alignment horizontal="right"/>
    </xf>
    <xf numFmtId="0" fontId="17" fillId="0" borderId="0" xfId="0" applyFont="1" applyAlignment="1">
      <alignment horizontal="left"/>
    </xf>
    <xf numFmtId="0" fontId="17" fillId="0" borderId="3" xfId="0" applyFont="1" applyBorder="1" applyAlignment="1">
      <alignment horizontal="left"/>
    </xf>
    <xf numFmtId="0" fontId="17" fillId="0" borderId="10" xfId="0" applyFont="1" applyBorder="1" applyAlignment="1">
      <alignment horizontal="left"/>
    </xf>
    <xf numFmtId="0" fontId="17" fillId="0" borderId="6" xfId="0" applyFont="1" applyBorder="1" applyAlignment="1">
      <alignment horizontal="left"/>
    </xf>
    <xf numFmtId="0" fontId="17" fillId="0" borderId="14" xfId="0" applyFont="1" applyBorder="1" applyAlignment="1">
      <alignment horizontal="right"/>
    </xf>
    <xf numFmtId="0" fontId="17" fillId="0" borderId="1" xfId="0" applyFont="1" applyBorder="1" applyAlignment="1">
      <alignment horizontal="left"/>
    </xf>
    <xf numFmtId="0" fontId="17" fillId="0" borderId="13" xfId="0" applyFont="1" applyBorder="1" applyAlignment="1">
      <alignment horizontal="left"/>
    </xf>
    <xf numFmtId="4" fontId="17" fillId="0" borderId="14" xfId="0" applyNumberFormat="1" applyFont="1" applyBorder="1" applyAlignment="1">
      <alignment horizontal="left"/>
    </xf>
    <xf numFmtId="4" fontId="17" fillId="0" borderId="11" xfId="0" applyNumberFormat="1" applyFont="1" applyBorder="1" applyAlignment="1">
      <alignment horizontal="left"/>
    </xf>
    <xf numFmtId="0" fontId="17" fillId="0" borderId="11" xfId="0" applyFont="1" applyBorder="1" applyAlignment="1">
      <alignment horizontal="left"/>
    </xf>
    <xf numFmtId="0" fontId="17" fillId="0" borderId="7" xfId="0" applyFont="1" applyBorder="1" applyAlignment="1">
      <alignment horizontal="left"/>
    </xf>
    <xf numFmtId="0" fontId="0" fillId="0" borderId="17" xfId="0" applyBorder="1" applyAlignment="1">
      <alignment horizontal="right"/>
    </xf>
    <xf numFmtId="0" fontId="19" fillId="5" borderId="0" xfId="0" applyFont="1" applyFill="1"/>
    <xf numFmtId="165" fontId="20" fillId="3" borderId="2" xfId="0" applyNumberFormat="1" applyFont="1" applyFill="1" applyBorder="1"/>
    <xf numFmtId="0" fontId="3" fillId="0" borderId="9" xfId="0" applyFont="1" applyBorder="1"/>
    <xf numFmtId="0" fontId="0" fillId="0" borderId="15" xfId="0" applyBorder="1"/>
    <xf numFmtId="0" fontId="0" fillId="0" borderId="16" xfId="0" applyBorder="1"/>
    <xf numFmtId="0" fontId="0" fillId="0" borderId="18" xfId="0" applyBorder="1"/>
    <xf numFmtId="0" fontId="21" fillId="0" borderId="18" xfId="0" applyFont="1" applyBorder="1"/>
    <xf numFmtId="0" fontId="6" fillId="0" borderId="0" xfId="0" applyFont="1" applyAlignment="1">
      <alignment horizontal="left" vertical="center" indent="4"/>
    </xf>
    <xf numFmtId="0" fontId="4" fillId="0" borderId="0" xfId="0" applyFont="1" applyAlignment="1">
      <alignment horizontal="right"/>
    </xf>
    <xf numFmtId="0" fontId="4" fillId="0" borderId="3" xfId="0" applyFont="1" applyBorder="1"/>
    <xf numFmtId="0" fontId="4" fillId="0" borderId="3" xfId="0" applyFont="1" applyBorder="1" applyAlignment="1">
      <alignment horizontal="right"/>
    </xf>
    <xf numFmtId="169" fontId="3" fillId="0" borderId="0" xfId="1" applyNumberFormat="1" applyFont="1" applyAlignment="1">
      <alignment horizontal="right"/>
    </xf>
    <xf numFmtId="167" fontId="3" fillId="0" borderId="0" xfId="0" applyNumberFormat="1" applyFont="1" applyAlignment="1">
      <alignment horizontal="right"/>
    </xf>
    <xf numFmtId="0" fontId="8" fillId="0" borderId="0" xfId="0" applyFont="1"/>
    <xf numFmtId="0" fontId="4" fillId="0" borderId="4" xfId="0" applyFont="1" applyBorder="1"/>
    <xf numFmtId="0" fontId="4" fillId="0" borderId="9" xfId="0" applyFont="1" applyBorder="1"/>
    <xf numFmtId="169" fontId="4" fillId="0" borderId="9" xfId="1" applyNumberFormat="1" applyFont="1" applyBorder="1"/>
    <xf numFmtId="0" fontId="15" fillId="0" borderId="0" xfId="0" applyFont="1"/>
    <xf numFmtId="37" fontId="27" fillId="0" borderId="9" xfId="0" applyNumberFormat="1" applyFont="1" applyBorder="1" applyAlignment="1">
      <alignment horizontal="left"/>
    </xf>
    <xf numFmtId="0" fontId="3" fillId="0" borderId="3" xfId="0" applyFont="1" applyBorder="1"/>
    <xf numFmtId="0" fontId="3" fillId="0" borderId="10" xfId="0" applyFont="1" applyBorder="1"/>
    <xf numFmtId="0" fontId="4" fillId="0" borderId="10" xfId="0" applyFont="1" applyBorder="1" applyAlignment="1">
      <alignment horizontal="center"/>
    </xf>
    <xf numFmtId="0" fontId="4" fillId="0" borderId="3" xfId="0" applyFont="1" applyBorder="1" applyAlignment="1">
      <alignment horizontal="centerContinuous"/>
    </xf>
    <xf numFmtId="0" fontId="3" fillId="0" borderId="3" xfId="0" applyFont="1" applyBorder="1" applyAlignment="1">
      <alignment horizontal="centerContinuous"/>
    </xf>
    <xf numFmtId="0" fontId="3" fillId="0" borderId="7" xfId="0" applyFont="1" applyBorder="1" applyAlignment="1">
      <alignment horizontal="centerContinuous"/>
    </xf>
    <xf numFmtId="10" fontId="4" fillId="0" borderId="9" xfId="0" applyNumberFormat="1" applyFont="1" applyBorder="1" applyAlignment="1">
      <alignment horizontal="center"/>
    </xf>
    <xf numFmtId="10" fontId="4" fillId="0" borderId="5" xfId="0" applyNumberFormat="1" applyFont="1" applyBorder="1" applyAlignment="1">
      <alignment horizontal="center"/>
    </xf>
    <xf numFmtId="169" fontId="3" fillId="0" borderId="0" xfId="0" applyNumberFormat="1" applyFont="1" applyAlignment="1">
      <alignment horizontal="center"/>
    </xf>
    <xf numFmtId="169" fontId="3" fillId="0" borderId="11" xfId="0" applyNumberFormat="1" applyFont="1" applyBorder="1" applyAlignment="1">
      <alignment horizontal="center"/>
    </xf>
    <xf numFmtId="0" fontId="3" fillId="0" borderId="6" xfId="0" applyFont="1" applyBorder="1"/>
    <xf numFmtId="0" fontId="3" fillId="0" borderId="7" xfId="0" applyFont="1" applyBorder="1"/>
    <xf numFmtId="10" fontId="29" fillId="0" borderId="9" xfId="0" applyNumberFormat="1" applyFont="1" applyBorder="1" applyAlignment="1">
      <alignment horizontal="centerContinuous"/>
    </xf>
    <xf numFmtId="10" fontId="4" fillId="0" borderId="9" xfId="0" applyNumberFormat="1" applyFont="1" applyBorder="1" applyAlignment="1">
      <alignment horizontal="centerContinuous"/>
    </xf>
    <xf numFmtId="10" fontId="4" fillId="0" borderId="5" xfId="0" applyNumberFormat="1" applyFont="1" applyBorder="1" applyAlignment="1">
      <alignment horizontal="centerContinuous"/>
    </xf>
    <xf numFmtId="169" fontId="3" fillId="0" borderId="0" xfId="0" applyNumberFormat="1" applyFont="1" applyAlignment="1">
      <alignment horizontal="centerContinuous"/>
    </xf>
    <xf numFmtId="169" fontId="3" fillId="0" borderId="11" xfId="0" applyNumberFormat="1" applyFont="1" applyBorder="1" applyAlignment="1">
      <alignment horizontal="centerContinuous"/>
    </xf>
    <xf numFmtId="0" fontId="24" fillId="5" borderId="0" xfId="0" applyFont="1" applyFill="1" applyAlignment="1">
      <alignment vertical="center"/>
    </xf>
    <xf numFmtId="0" fontId="24" fillId="5" borderId="0" xfId="0" applyFont="1" applyFill="1"/>
    <xf numFmtId="0" fontId="25" fillId="5" borderId="0" xfId="0" applyFont="1" applyFill="1"/>
    <xf numFmtId="0" fontId="24" fillId="5" borderId="4" xfId="0" applyFont="1" applyFill="1" applyBorder="1" applyAlignment="1">
      <alignment vertical="center"/>
    </xf>
    <xf numFmtId="0" fontId="24" fillId="5" borderId="9" xfId="0" applyFont="1" applyFill="1" applyBorder="1"/>
    <xf numFmtId="0" fontId="25" fillId="5" borderId="9" xfId="0" applyFont="1" applyFill="1" applyBorder="1"/>
    <xf numFmtId="0" fontId="25" fillId="5" borderId="5" xfId="0" applyFont="1" applyFill="1" applyBorder="1"/>
    <xf numFmtId="0" fontId="3" fillId="0" borderId="0" xfId="0" applyFont="1" applyAlignment="1">
      <alignment horizontal="left"/>
    </xf>
    <xf numFmtId="166" fontId="3" fillId="0" borderId="0" xfId="0" applyNumberFormat="1" applyFont="1" applyAlignment="1">
      <alignment horizontal="right"/>
    </xf>
    <xf numFmtId="168" fontId="3" fillId="0" borderId="0" xfId="0" applyNumberFormat="1" applyFont="1" applyAlignment="1">
      <alignment horizontal="right"/>
    </xf>
    <xf numFmtId="0" fontId="18" fillId="0" borderId="10" xfId="0" applyFont="1" applyBorder="1"/>
    <xf numFmtId="0" fontId="9" fillId="0" borderId="0" xfId="0" applyFont="1" applyAlignment="1">
      <alignment horizontal="left" indent="6"/>
    </xf>
    <xf numFmtId="10" fontId="28" fillId="3" borderId="9" xfId="0" applyNumberFormat="1" applyFont="1" applyFill="1" applyBorder="1" applyAlignment="1">
      <alignment horizontal="centerContinuous"/>
    </xf>
    <xf numFmtId="10" fontId="26" fillId="3" borderId="9" xfId="0" applyNumberFormat="1" applyFont="1" applyFill="1" applyBorder="1" applyAlignment="1">
      <alignment horizontal="center"/>
    </xf>
    <xf numFmtId="170" fontId="10" fillId="3" borderId="15" xfId="0" applyNumberFormat="1" applyFont="1" applyFill="1" applyBorder="1" applyAlignment="1">
      <alignment horizontal="center"/>
    </xf>
    <xf numFmtId="170" fontId="10" fillId="3" borderId="8" xfId="0" applyNumberFormat="1" applyFont="1" applyFill="1" applyBorder="1" applyAlignment="1">
      <alignment horizontal="center"/>
    </xf>
    <xf numFmtId="170" fontId="10" fillId="3" borderId="17" xfId="0" applyNumberFormat="1" applyFont="1" applyFill="1" applyBorder="1" applyAlignment="1">
      <alignment horizontal="center"/>
    </xf>
    <xf numFmtId="169" fontId="0" fillId="0" borderId="0" xfId="1" applyNumberFormat="1" applyFont="1" applyAlignment="1">
      <alignment horizontal="right"/>
    </xf>
    <xf numFmtId="169" fontId="0" fillId="0" borderId="0" xfId="0" applyNumberFormat="1" applyAlignment="1">
      <alignment horizontal="right"/>
    </xf>
    <xf numFmtId="169" fontId="20" fillId="3" borderId="2" xfId="0" applyNumberFormat="1" applyFont="1" applyFill="1" applyBorder="1" applyAlignment="1">
      <alignment horizontal="right"/>
    </xf>
    <xf numFmtId="169" fontId="0" fillId="0" borderId="9" xfId="0" applyNumberFormat="1" applyBorder="1" applyAlignment="1">
      <alignment horizontal="right"/>
    </xf>
    <xf numFmtId="167" fontId="4" fillId="0" borderId="5" xfId="0" applyNumberFormat="1" applyFont="1" applyBorder="1" applyAlignment="1">
      <alignment horizontal="right"/>
    </xf>
    <xf numFmtId="167" fontId="4" fillId="0" borderId="9" xfId="5" applyNumberFormat="1" applyFont="1" applyBorder="1" applyAlignment="1">
      <alignment horizontal="right"/>
    </xf>
    <xf numFmtId="0" fontId="17" fillId="4" borderId="10" xfId="0" applyFont="1" applyFill="1" applyBorder="1"/>
    <xf numFmtId="0" fontId="17" fillId="4" borderId="0" xfId="0" applyFont="1" applyFill="1"/>
    <xf numFmtId="0" fontId="17" fillId="4" borderId="6" xfId="0" applyFont="1" applyFill="1" applyBorder="1"/>
    <xf numFmtId="0" fontId="17" fillId="4" borderId="3" xfId="0" applyFont="1" applyFill="1" applyBorder="1"/>
    <xf numFmtId="0" fontId="3" fillId="0" borderId="0" xfId="0" applyFont="1" applyAlignment="1">
      <alignment horizontal="left" indent="1"/>
    </xf>
    <xf numFmtId="0" fontId="10" fillId="0" borderId="0" xfId="0" applyFont="1" applyAlignment="1">
      <alignment horizontal="left"/>
    </xf>
    <xf numFmtId="0" fontId="4" fillId="0" borderId="0" xfId="0" applyFont="1" applyAlignment="1">
      <alignment horizontal="left" indent="1"/>
    </xf>
    <xf numFmtId="0" fontId="9" fillId="0" borderId="0" xfId="0" applyFont="1" applyAlignment="1">
      <alignment horizontal="left" indent="2"/>
    </xf>
    <xf numFmtId="0" fontId="13" fillId="0" borderId="0" xfId="0" applyFont="1" applyAlignment="1">
      <alignment horizontal="left" indent="2"/>
    </xf>
    <xf numFmtId="0" fontId="8" fillId="0" borderId="3" xfId="0" applyFont="1" applyBorder="1"/>
    <xf numFmtId="169" fontId="3" fillId="0" borderId="0" xfId="0" applyNumberFormat="1" applyFont="1" applyAlignment="1">
      <alignment horizontal="right"/>
    </xf>
    <xf numFmtId="0" fontId="10" fillId="0" borderId="8" xfId="0" applyFont="1" applyBorder="1" applyAlignment="1">
      <alignment horizontal="right"/>
    </xf>
    <xf numFmtId="2" fontId="3" fillId="0" borderId="0" xfId="0" applyNumberFormat="1" applyFont="1" applyAlignment="1">
      <alignment horizontal="right"/>
    </xf>
    <xf numFmtId="0" fontId="0" fillId="6" borderId="13" xfId="0" applyFill="1" applyBorder="1" applyAlignment="1">
      <alignment horizontal="left"/>
    </xf>
    <xf numFmtId="0" fontId="0" fillId="6" borderId="1" xfId="0" applyFill="1" applyBorder="1" applyAlignment="1">
      <alignment horizontal="left"/>
    </xf>
    <xf numFmtId="0" fontId="5" fillId="0" borderId="0" xfId="8" applyFont="1"/>
    <xf numFmtId="0" fontId="4" fillId="0" borderId="5" xfId="0" applyFont="1" applyBorder="1"/>
    <xf numFmtId="1" fontId="0" fillId="6" borderId="10" xfId="0" quotePrefix="1" applyNumberFormat="1" applyFill="1" applyBorder="1" applyAlignment="1">
      <alignment horizontal="left"/>
    </xf>
    <xf numFmtId="0" fontId="22" fillId="0" borderId="0" xfId="0" applyFont="1"/>
    <xf numFmtId="0" fontId="0" fillId="0" borderId="0" xfId="0" applyAlignment="1">
      <alignment vertical="center"/>
    </xf>
    <xf numFmtId="0" fontId="30" fillId="0" borderId="3" xfId="0" applyFont="1" applyBorder="1"/>
    <xf numFmtId="0" fontId="11" fillId="6" borderId="13" xfId="0" applyFont="1" applyFill="1" applyBorder="1"/>
    <xf numFmtId="0" fontId="11" fillId="6" borderId="14" xfId="0" applyFont="1" applyFill="1" applyBorder="1"/>
    <xf numFmtId="0" fontId="11" fillId="6" borderId="6" xfId="0" applyFont="1" applyFill="1" applyBorder="1"/>
    <xf numFmtId="0" fontId="11" fillId="6" borderId="7" xfId="0" applyFont="1" applyFill="1" applyBorder="1"/>
    <xf numFmtId="0" fontId="3" fillId="0" borderId="8" xfId="0" applyFont="1" applyBorder="1"/>
    <xf numFmtId="0" fontId="21" fillId="0" borderId="3" xfId="0" applyFont="1" applyBorder="1"/>
    <xf numFmtId="0" fontId="32" fillId="0" borderId="0" xfId="0" applyFont="1"/>
    <xf numFmtId="49" fontId="0" fillId="0" borderId="11" xfId="0" applyNumberFormat="1" applyBorder="1"/>
    <xf numFmtId="0" fontId="33" fillId="0" borderId="11" xfId="0" applyFont="1" applyBorder="1" applyAlignment="1">
      <alignment horizontal="left" vertical="center"/>
    </xf>
    <xf numFmtId="49" fontId="0" fillId="0" borderId="0" xfId="0" applyNumberFormat="1"/>
    <xf numFmtId="0" fontId="33" fillId="0" borderId="0" xfId="0" applyFont="1" applyAlignment="1">
      <alignment horizontal="left" vertical="center"/>
    </xf>
    <xf numFmtId="14" fontId="17" fillId="0" borderId="0" xfId="0" applyNumberFormat="1" applyFont="1" applyAlignment="1">
      <alignment horizontal="left"/>
    </xf>
    <xf numFmtId="0" fontId="3" fillId="4" borderId="1" xfId="0" applyFont="1" applyFill="1" applyBorder="1"/>
    <xf numFmtId="0" fontId="3" fillId="4" borderId="14" xfId="0" applyFont="1" applyFill="1" applyBorder="1"/>
    <xf numFmtId="0" fontId="4" fillId="0" borderId="0" xfId="0" applyFont="1" applyAlignment="1">
      <alignment horizontal="right" vertical="center" wrapText="1"/>
    </xf>
    <xf numFmtId="0" fontId="4" fillId="0" borderId="3" xfId="0" applyFont="1" applyBorder="1" applyAlignment="1">
      <alignment horizontal="right" vertical="center" wrapText="1"/>
    </xf>
    <xf numFmtId="0" fontId="17" fillId="4" borderId="11" xfId="0" applyFont="1" applyFill="1" applyBorder="1" applyAlignment="1">
      <alignment horizontal="right"/>
    </xf>
    <xf numFmtId="0" fontId="4" fillId="0" borderId="8" xfId="0" applyFont="1" applyBorder="1"/>
    <xf numFmtId="4" fontId="3" fillId="0" borderId="10" xfId="0" applyNumberFormat="1" applyFont="1" applyBorder="1" applyAlignment="1">
      <alignment horizontal="left"/>
    </xf>
    <xf numFmtId="4" fontId="3" fillId="0" borderId="0" xfId="0" quotePrefix="1" applyNumberFormat="1" applyFont="1" applyAlignment="1">
      <alignment horizontal="left"/>
    </xf>
    <xf numFmtId="4" fontId="3" fillId="0" borderId="11" xfId="0" quotePrefix="1" applyNumberFormat="1" applyFont="1" applyBorder="1" applyAlignment="1">
      <alignment horizontal="left"/>
    </xf>
    <xf numFmtId="0" fontId="3" fillId="0" borderId="16" xfId="0" applyFont="1" applyBorder="1"/>
    <xf numFmtId="4" fontId="3" fillId="0" borderId="0" xfId="0" applyNumberFormat="1" applyFont="1" applyAlignment="1">
      <alignment horizontal="left"/>
    </xf>
    <xf numFmtId="4" fontId="3" fillId="0" borderId="16" xfId="0" applyNumberFormat="1" applyFont="1" applyBorder="1" applyAlignment="1">
      <alignment horizontal="left"/>
    </xf>
    <xf numFmtId="4" fontId="3" fillId="0" borderId="6" xfId="0" applyNumberFormat="1" applyFont="1" applyBorder="1" applyAlignment="1">
      <alignment horizontal="left"/>
    </xf>
    <xf numFmtId="4" fontId="3" fillId="0" borderId="3" xfId="0" applyNumberFormat="1" applyFont="1" applyBorder="1" applyAlignment="1">
      <alignment horizontal="left"/>
    </xf>
    <xf numFmtId="4" fontId="3" fillId="0" borderId="7" xfId="0" quotePrefix="1" applyNumberFormat="1" applyFont="1" applyBorder="1" applyAlignment="1">
      <alignment horizontal="left"/>
    </xf>
    <xf numFmtId="4" fontId="3" fillId="0" borderId="17" xfId="0" applyNumberFormat="1" applyFont="1" applyBorder="1" applyAlignment="1">
      <alignment horizontal="left"/>
    </xf>
    <xf numFmtId="4" fontId="3" fillId="0" borderId="4" xfId="0" applyNumberFormat="1" applyFont="1" applyBorder="1" applyAlignment="1">
      <alignment horizontal="left"/>
    </xf>
    <xf numFmtId="4" fontId="3" fillId="0" borderId="9" xfId="0" applyNumberFormat="1" applyFont="1" applyBorder="1" applyAlignment="1">
      <alignment horizontal="left"/>
    </xf>
    <xf numFmtId="4" fontId="3" fillId="0" borderId="5" xfId="0" applyNumberFormat="1" applyFont="1" applyBorder="1" applyAlignment="1">
      <alignment horizontal="left"/>
    </xf>
    <xf numFmtId="0" fontId="3" fillId="0" borderId="12" xfId="0" applyFont="1" applyBorder="1"/>
    <xf numFmtId="4" fontId="3" fillId="0" borderId="7" xfId="0" applyNumberFormat="1" applyFont="1" applyBorder="1" applyAlignment="1">
      <alignment horizontal="left"/>
    </xf>
    <xf numFmtId="4" fontId="3" fillId="0" borderId="15" xfId="0" applyNumberFormat="1" applyFont="1" applyBorder="1" applyAlignment="1">
      <alignment horizontal="left"/>
    </xf>
    <xf numFmtId="4" fontId="3" fillId="0" borderId="11" xfId="0" applyNumberFormat="1" applyFont="1" applyBorder="1" applyAlignment="1">
      <alignment horizontal="left"/>
    </xf>
    <xf numFmtId="0" fontId="3" fillId="0" borderId="11" xfId="0" quotePrefix="1" applyFont="1" applyBorder="1" applyAlignment="1">
      <alignment horizontal="left"/>
    </xf>
    <xf numFmtId="0" fontId="3" fillId="0" borderId="11" xfId="0" applyFont="1" applyBorder="1" applyAlignment="1">
      <alignment horizontal="left"/>
    </xf>
    <xf numFmtId="0" fontId="3" fillId="0" borderId="7" xfId="0" applyFont="1" applyBorder="1" applyAlignment="1">
      <alignment horizontal="left"/>
    </xf>
    <xf numFmtId="4" fontId="4" fillId="0" borderId="9" xfId="0" applyNumberFormat="1" applyFont="1" applyBorder="1"/>
    <xf numFmtId="4" fontId="3" fillId="0" borderId="0" xfId="0" applyNumberFormat="1" applyFont="1"/>
    <xf numFmtId="4" fontId="3" fillId="0" borderId="8" xfId="0" applyNumberFormat="1" applyFont="1" applyBorder="1" applyAlignment="1">
      <alignment horizontal="left"/>
    </xf>
    <xf numFmtId="4" fontId="4" fillId="0" borderId="8" xfId="0" applyNumberFormat="1" applyFont="1" applyBorder="1" applyAlignment="1">
      <alignment horizontal="left"/>
    </xf>
    <xf numFmtId="169" fontId="4" fillId="4" borderId="10" xfId="0" applyNumberFormat="1" applyFont="1" applyFill="1" applyBorder="1" applyAlignment="1">
      <alignment horizontal="center"/>
    </xf>
    <xf numFmtId="169" fontId="4" fillId="0" borderId="10" xfId="0" applyNumberFormat="1" applyFont="1" applyBorder="1" applyAlignment="1">
      <alignment horizontal="center"/>
    </xf>
    <xf numFmtId="169" fontId="28" fillId="3" borderId="10" xfId="0" applyNumberFormat="1" applyFont="1" applyFill="1" applyBorder="1" applyAlignment="1">
      <alignment horizontal="center"/>
    </xf>
    <xf numFmtId="0" fontId="4" fillId="0" borderId="0" xfId="6" applyFont="1" applyAlignment="1">
      <alignment horizontal="left"/>
    </xf>
    <xf numFmtId="0" fontId="9" fillId="0" borderId="0" xfId="0" applyFont="1" applyAlignment="1">
      <alignment horizontal="right"/>
    </xf>
    <xf numFmtId="0" fontId="6" fillId="0" borderId="3" xfId="0" applyFont="1" applyBorder="1" applyAlignment="1">
      <alignment horizontal="centerContinuous" vertical="center"/>
    </xf>
    <xf numFmtId="0" fontId="7" fillId="0" borderId="3" xfId="0" applyFont="1" applyBorder="1" applyAlignment="1">
      <alignment horizontal="centerContinuous" vertical="center"/>
    </xf>
    <xf numFmtId="0" fontId="0" fillId="0" borderId="3" xfId="0" applyBorder="1" applyAlignment="1">
      <alignment horizontal="centerContinuous"/>
    </xf>
    <xf numFmtId="1" fontId="0" fillId="6" borderId="10" xfId="0" applyNumberFormat="1" applyFill="1" applyBorder="1" applyAlignment="1">
      <alignment horizontal="left"/>
    </xf>
    <xf numFmtId="14" fontId="10" fillId="3" borderId="2" xfId="0" applyNumberFormat="1" applyFont="1" applyFill="1" applyBorder="1" applyAlignment="1">
      <alignment horizontal="left"/>
    </xf>
    <xf numFmtId="14" fontId="17" fillId="0" borderId="11" xfId="0" applyNumberFormat="1" applyFont="1" applyBorder="1" applyAlignment="1">
      <alignment horizontal="left"/>
    </xf>
    <xf numFmtId="0" fontId="17" fillId="4" borderId="0" xfId="0" applyFont="1" applyFill="1" applyAlignment="1">
      <alignment horizontal="right"/>
    </xf>
    <xf numFmtId="14" fontId="17" fillId="4" borderId="0" xfId="0" applyNumberFormat="1" applyFont="1" applyFill="1" applyAlignment="1">
      <alignment horizontal="right"/>
    </xf>
    <xf numFmtId="14" fontId="17" fillId="4" borderId="3" xfId="0" applyNumberFormat="1" applyFont="1" applyFill="1" applyBorder="1" applyAlignment="1">
      <alignment horizontal="right"/>
    </xf>
    <xf numFmtId="14" fontId="17" fillId="4" borderId="7" xfId="0" applyNumberFormat="1" applyFont="1" applyFill="1" applyBorder="1" applyAlignment="1">
      <alignment horizontal="right"/>
    </xf>
    <xf numFmtId="0" fontId="4" fillId="0" borderId="23" xfId="0" applyFont="1" applyBorder="1"/>
    <xf numFmtId="10" fontId="0" fillId="0" borderId="0" xfId="0" applyNumberFormat="1" applyAlignment="1">
      <alignment horizontal="right"/>
    </xf>
    <xf numFmtId="0" fontId="17" fillId="4" borderId="0" xfId="0" applyFont="1" applyFill="1" applyAlignment="1">
      <alignment horizontal="right" vertical="center"/>
    </xf>
    <xf numFmtId="0" fontId="0" fillId="0" borderId="0" xfId="0" applyAlignment="1">
      <alignment horizontal="center"/>
    </xf>
    <xf numFmtId="14" fontId="0" fillId="0" borderId="0" xfId="0" applyNumberFormat="1"/>
    <xf numFmtId="0" fontId="0" fillId="0" borderId="10" xfId="0" applyBorder="1" applyAlignment="1">
      <alignment vertical="center"/>
    </xf>
    <xf numFmtId="0" fontId="0" fillId="0" borderId="11" xfId="0" applyBorder="1" applyAlignment="1">
      <alignment vertical="center"/>
    </xf>
    <xf numFmtId="0" fontId="30" fillId="0" borderId="0" xfId="0" applyFont="1" applyAlignment="1">
      <alignment horizontal="center"/>
    </xf>
    <xf numFmtId="0" fontId="18" fillId="0" borderId="0" xfId="0" applyFont="1" applyAlignment="1">
      <alignment horizontal="center"/>
    </xf>
    <xf numFmtId="0" fontId="3" fillId="0" borderId="0" xfId="0" applyFont="1" applyAlignment="1">
      <alignment horizontal="left" indent="8"/>
    </xf>
    <xf numFmtId="0" fontId="0" fillId="0" borderId="0" xfId="0" applyAlignment="1">
      <alignment horizontal="left" indent="4"/>
    </xf>
    <xf numFmtId="0" fontId="22" fillId="0" borderId="0" xfId="0" applyFont="1" applyAlignment="1">
      <alignment horizontal="left" indent="4"/>
    </xf>
    <xf numFmtId="0" fontId="3" fillId="0" borderId="0" xfId="0" applyFont="1" applyAlignment="1">
      <alignment horizontal="left" indent="10"/>
    </xf>
    <xf numFmtId="0" fontId="11" fillId="0" borderId="0" xfId="0" applyFont="1" applyAlignment="1">
      <alignment horizontal="left" indent="4"/>
    </xf>
    <xf numFmtId="0" fontId="0" fillId="0" borderId="0" xfId="0" applyAlignment="1">
      <alignment horizontal="left" indent="5"/>
    </xf>
    <xf numFmtId="0" fontId="22" fillId="2" borderId="0" xfId="0" applyFont="1" applyFill="1" applyAlignment="1">
      <alignment horizontal="left" indent="4"/>
    </xf>
    <xf numFmtId="0" fontId="34" fillId="0" borderId="0" xfId="0" applyFont="1" applyAlignment="1">
      <alignment horizontal="left" vertical="center" indent="4"/>
    </xf>
    <xf numFmtId="0" fontId="3" fillId="4" borderId="21" xfId="4" applyNumberFormat="1" applyFont="1" applyFill="1" applyBorder="1" applyAlignment="1">
      <alignment horizontal="center" vertical="center"/>
    </xf>
    <xf numFmtId="0" fontId="3" fillId="4" borderId="2" xfId="4" quotePrefix="1" applyNumberFormat="1" applyFont="1" applyFill="1" applyBorder="1" applyAlignment="1">
      <alignment horizontal="center" vertical="center"/>
    </xf>
    <xf numFmtId="0" fontId="3" fillId="4" borderId="2" xfId="4" applyNumberFormat="1" applyFont="1" applyFill="1" applyBorder="1" applyAlignment="1">
      <alignment horizontal="center" vertical="center"/>
    </xf>
    <xf numFmtId="0" fontId="3" fillId="0" borderId="21" xfId="4" applyNumberFormat="1" applyFont="1" applyFill="1" applyBorder="1" applyAlignment="1">
      <alignment horizontal="left" vertical="center"/>
    </xf>
    <xf numFmtId="0" fontId="35" fillId="0" borderId="0" xfId="0" applyFont="1"/>
    <xf numFmtId="171" fontId="0" fillId="0" borderId="0" xfId="0" applyNumberFormat="1" applyAlignment="1">
      <alignment horizontal="right"/>
    </xf>
    <xf numFmtId="0" fontId="30" fillId="0" borderId="0" xfId="0" applyFont="1" applyAlignment="1">
      <alignment horizontal="right"/>
    </xf>
    <xf numFmtId="0" fontId="30" fillId="0" borderId="1" xfId="0" applyFont="1" applyBorder="1" applyAlignment="1">
      <alignment horizontal="right"/>
    </xf>
    <xf numFmtId="0" fontId="30" fillId="0" borderId="14" xfId="0" applyFont="1" applyBorder="1" applyAlignment="1">
      <alignment horizontal="right"/>
    </xf>
    <xf numFmtId="171" fontId="0" fillId="0" borderId="11" xfId="0" applyNumberFormat="1" applyBorder="1" applyAlignment="1">
      <alignment horizontal="right"/>
    </xf>
    <xf numFmtId="14" fontId="0" fillId="0" borderId="3" xfId="0" applyNumberFormat="1" applyBorder="1" applyAlignment="1">
      <alignment horizontal="right"/>
    </xf>
    <xf numFmtId="171" fontId="0" fillId="0" borderId="7" xfId="0" applyNumberFormat="1" applyBorder="1" applyAlignment="1">
      <alignment horizontal="right"/>
    </xf>
    <xf numFmtId="14" fontId="0" fillId="0" borderId="0" xfId="0" applyNumberFormat="1" applyAlignment="1">
      <alignment horizontal="left"/>
    </xf>
    <xf numFmtId="0" fontId="0" fillId="0" borderId="3" xfId="0" applyBorder="1" applyAlignment="1">
      <alignment horizontal="right"/>
    </xf>
    <xf numFmtId="172" fontId="0" fillId="0" borderId="8" xfId="0" applyNumberFormat="1" applyBorder="1" applyAlignment="1">
      <alignment horizontal="right"/>
    </xf>
    <xf numFmtId="4" fontId="0" fillId="0" borderId="25" xfId="0" applyNumberFormat="1" applyBorder="1" applyAlignment="1">
      <alignment horizontal="right"/>
    </xf>
    <xf numFmtId="10" fontId="0" fillId="0" borderId="26" xfId="1" applyNumberFormat="1" applyFont="1" applyBorder="1"/>
    <xf numFmtId="4" fontId="0" fillId="0" borderId="28" xfId="0" applyNumberFormat="1" applyBorder="1" applyAlignment="1">
      <alignment horizontal="right"/>
    </xf>
    <xf numFmtId="10" fontId="0" fillId="0" borderId="29" xfId="1" applyNumberFormat="1" applyFont="1" applyBorder="1"/>
    <xf numFmtId="4" fontId="0" fillId="0" borderId="31" xfId="0" applyNumberFormat="1" applyBorder="1" applyAlignment="1">
      <alignment horizontal="right"/>
    </xf>
    <xf numFmtId="10" fontId="0" fillId="0" borderId="32" xfId="1" applyNumberFormat="1" applyFont="1" applyBorder="1"/>
    <xf numFmtId="14" fontId="0" fillId="4" borderId="24" xfId="0" applyNumberFormat="1" applyFill="1" applyBorder="1" applyAlignment="1">
      <alignment horizontal="center"/>
    </xf>
    <xf numFmtId="14" fontId="0" fillId="4" borderId="25" xfId="0" applyNumberFormat="1" applyFill="1" applyBorder="1" applyAlignment="1">
      <alignment horizontal="center"/>
    </xf>
    <xf numFmtId="14" fontId="0" fillId="4" borderId="27" xfId="0" applyNumberFormat="1" applyFill="1" applyBorder="1" applyAlignment="1">
      <alignment horizontal="center"/>
    </xf>
    <xf numFmtId="14" fontId="0" fillId="4" borderId="28" xfId="0" applyNumberFormat="1" applyFill="1" applyBorder="1" applyAlignment="1">
      <alignment horizontal="center"/>
    </xf>
    <xf numFmtId="14" fontId="0" fillId="4" borderId="30" xfId="0" applyNumberFormat="1" applyFill="1" applyBorder="1" applyAlignment="1">
      <alignment horizontal="center"/>
    </xf>
    <xf numFmtId="14" fontId="0" fillId="4" borderId="31" xfId="0" applyNumberFormat="1" applyFill="1" applyBorder="1" applyAlignment="1">
      <alignment horizontal="center"/>
    </xf>
    <xf numFmtId="0" fontId="0" fillId="0" borderId="13" xfId="0" applyBorder="1" applyAlignment="1">
      <alignment horizontal="center"/>
    </xf>
    <xf numFmtId="0" fontId="0" fillId="0" borderId="1" xfId="0" applyBorder="1" applyAlignment="1">
      <alignment horizontal="center"/>
    </xf>
    <xf numFmtId="0" fontId="30" fillId="0" borderId="8" xfId="0" applyFont="1" applyBorder="1"/>
    <xf numFmtId="0" fontId="0" fillId="0" borderId="5" xfId="0" applyBorder="1"/>
    <xf numFmtId="173" fontId="17" fillId="0" borderId="14" xfId="0" applyNumberFormat="1" applyFont="1" applyBorder="1" applyAlignment="1">
      <alignment horizontal="right"/>
    </xf>
    <xf numFmtId="173" fontId="17" fillId="0" borderId="11" xfId="0" applyNumberFormat="1" applyFont="1" applyBorder="1" applyAlignment="1">
      <alignment horizontal="right"/>
    </xf>
    <xf numFmtId="173" fontId="17" fillId="0" borderId="7" xfId="0" applyNumberFormat="1" applyFont="1" applyBorder="1" applyAlignment="1">
      <alignment horizontal="right"/>
    </xf>
    <xf numFmtId="0" fontId="0" fillId="0" borderId="10" xfId="0" applyBorder="1" applyAlignment="1">
      <alignment horizontal="center"/>
    </xf>
    <xf numFmtId="0" fontId="0" fillId="0" borderId="6" xfId="0" applyBorder="1" applyAlignment="1">
      <alignment horizontal="center"/>
    </xf>
    <xf numFmtId="173" fontId="17" fillId="0" borderId="1" xfId="0" applyNumberFormat="1" applyFont="1" applyBorder="1" applyAlignment="1">
      <alignment horizontal="right"/>
    </xf>
    <xf numFmtId="173" fontId="17" fillId="0" borderId="0" xfId="0" applyNumberFormat="1" applyFont="1" applyAlignment="1">
      <alignment horizontal="right"/>
    </xf>
    <xf numFmtId="173" fontId="17" fillId="0" borderId="3" xfId="0" applyNumberFormat="1" applyFont="1" applyBorder="1" applyAlignment="1">
      <alignment horizontal="right"/>
    </xf>
    <xf numFmtId="173" fontId="3" fillId="0" borderId="14" xfId="0" applyNumberFormat="1" applyFont="1" applyBorder="1" applyAlignment="1">
      <alignment horizontal="right"/>
    </xf>
    <xf numFmtId="173" fontId="3" fillId="0" borderId="11" xfId="0" applyNumberFormat="1" applyFont="1" applyBorder="1" applyAlignment="1">
      <alignment horizontal="right"/>
    </xf>
    <xf numFmtId="173" fontId="3" fillId="0" borderId="7" xfId="0" applyNumberFormat="1" applyFont="1" applyBorder="1" applyAlignment="1">
      <alignment horizontal="right"/>
    </xf>
    <xf numFmtId="0" fontId="2" fillId="2" borderId="0" xfId="0" applyFont="1" applyFill="1"/>
    <xf numFmtId="0" fontId="2" fillId="2" borderId="0" xfId="0" applyFont="1" applyFill="1" applyAlignment="1">
      <alignment horizontal="right"/>
    </xf>
    <xf numFmtId="0" fontId="5" fillId="0" borderId="0" xfId="0" applyFont="1" applyAlignment="1">
      <alignment vertical="top"/>
    </xf>
    <xf numFmtId="0" fontId="37" fillId="0" borderId="0" xfId="10" applyFont="1" applyAlignment="1">
      <alignment horizontal="left"/>
    </xf>
    <xf numFmtId="0" fontId="30" fillId="0" borderId="0" xfId="0" applyFont="1" applyAlignment="1">
      <alignment horizontal="left"/>
    </xf>
    <xf numFmtId="166" fontId="3" fillId="0" borderId="0" xfId="0" applyNumberFormat="1" applyFont="1" applyAlignment="1">
      <alignment horizontal="center"/>
    </xf>
    <xf numFmtId="10" fontId="0" fillId="0" borderId="0" xfId="0" applyNumberFormat="1"/>
    <xf numFmtId="174" fontId="3" fillId="0" borderId="0" xfId="0" applyNumberFormat="1" applyFont="1" applyAlignment="1">
      <alignment horizontal="right"/>
    </xf>
    <xf numFmtId="169" fontId="4" fillId="0" borderId="6" xfId="0" applyNumberFormat="1" applyFont="1" applyBorder="1" applyAlignment="1">
      <alignment horizontal="center"/>
    </xf>
    <xf numFmtId="169" fontId="3" fillId="0" borderId="3" xfId="0" applyNumberFormat="1" applyFont="1" applyBorder="1" applyAlignment="1">
      <alignment horizontal="center"/>
    </xf>
    <xf numFmtId="169" fontId="3" fillId="0" borderId="7" xfId="0" applyNumberFormat="1" applyFont="1" applyBorder="1" applyAlignment="1">
      <alignment horizontal="center"/>
    </xf>
    <xf numFmtId="0" fontId="0" fillId="0" borderId="33" xfId="0" applyBorder="1"/>
    <xf numFmtId="0" fontId="17" fillId="4" borderId="8" xfId="0" applyFont="1" applyFill="1" applyBorder="1"/>
    <xf numFmtId="0" fontId="17" fillId="4" borderId="17" xfId="0" applyFont="1" applyFill="1" applyBorder="1"/>
    <xf numFmtId="0" fontId="17" fillId="4" borderId="1" xfId="0" applyFont="1" applyFill="1" applyBorder="1"/>
    <xf numFmtId="0" fontId="17" fillId="4" borderId="15" xfId="0" applyFont="1" applyFill="1" applyBorder="1"/>
    <xf numFmtId="4" fontId="0" fillId="0" borderId="3" xfId="0" applyNumberFormat="1" applyBorder="1" applyAlignment="1">
      <alignment horizontal="right"/>
    </xf>
    <xf numFmtId="4" fontId="0" fillId="0" borderId="11" xfId="0" applyNumberFormat="1" applyBorder="1" applyAlignment="1">
      <alignment horizontal="right"/>
    </xf>
    <xf numFmtId="4" fontId="0" fillId="0" borderId="7" xfId="0" applyNumberFormat="1" applyBorder="1" applyAlignment="1">
      <alignment horizontal="right"/>
    </xf>
    <xf numFmtId="0" fontId="30" fillId="0" borderId="3" xfId="0" applyFont="1" applyBorder="1" applyAlignment="1">
      <alignment horizontal="right"/>
    </xf>
    <xf numFmtId="0" fontId="38" fillId="0" borderId="0" xfId="0" applyFont="1"/>
    <xf numFmtId="0" fontId="39" fillId="0" borderId="0" xfId="0" applyFont="1"/>
    <xf numFmtId="0" fontId="40" fillId="0" borderId="0" xfId="0" applyFont="1"/>
    <xf numFmtId="169" fontId="38" fillId="0" borderId="0" xfId="0" applyNumberFormat="1" applyFont="1"/>
    <xf numFmtId="0" fontId="39" fillId="7" borderId="0" xfId="0" applyFont="1" applyFill="1"/>
    <xf numFmtId="10" fontId="38" fillId="0" borderId="0" xfId="0" applyNumberFormat="1" applyFont="1" applyAlignment="1">
      <alignment horizontal="right"/>
    </xf>
    <xf numFmtId="0" fontId="38" fillId="0" borderId="0" xfId="0" applyFont="1" applyAlignment="1">
      <alignment horizontal="right"/>
    </xf>
    <xf numFmtId="0" fontId="39" fillId="0" borderId="0" xfId="0" applyFont="1" applyAlignment="1">
      <alignment horizontal="right"/>
    </xf>
    <xf numFmtId="2" fontId="38" fillId="0" borderId="0" xfId="0" applyNumberFormat="1" applyFont="1" applyAlignment="1">
      <alignment horizontal="right"/>
    </xf>
    <xf numFmtId="167" fontId="38" fillId="0" borderId="0" xfId="0" applyNumberFormat="1" applyFont="1" applyAlignment="1">
      <alignment horizontal="right"/>
    </xf>
    <xf numFmtId="175" fontId="38" fillId="0" borderId="0" xfId="0" applyNumberFormat="1" applyFont="1" applyAlignment="1">
      <alignment horizontal="right"/>
    </xf>
    <xf numFmtId="3" fontId="38" fillId="0" borderId="0" xfId="0" applyNumberFormat="1" applyFont="1" applyAlignment="1">
      <alignment horizontal="right"/>
    </xf>
    <xf numFmtId="172" fontId="38" fillId="0" borderId="0" xfId="0" applyNumberFormat="1" applyFont="1" applyAlignment="1">
      <alignment horizontal="right"/>
    </xf>
    <xf numFmtId="166" fontId="4" fillId="0" borderId="0" xfId="0" applyNumberFormat="1" applyFont="1" applyAlignment="1">
      <alignment horizontal="center"/>
    </xf>
    <xf numFmtId="10" fontId="38" fillId="0" borderId="0" xfId="0" applyNumberFormat="1" applyFont="1"/>
    <xf numFmtId="0" fontId="10" fillId="0" borderId="4" xfId="3" applyFont="1" applyBorder="1" applyAlignment="1">
      <alignment horizontal="center"/>
    </xf>
    <xf numFmtId="0" fontId="10" fillId="0" borderId="5" xfId="3" applyFont="1" applyBorder="1" applyAlignment="1">
      <alignment horizontal="center"/>
    </xf>
    <xf numFmtId="0" fontId="34" fillId="0" borderId="0" xfId="0" applyFont="1" applyAlignment="1">
      <alignment horizontal="left" vertical="center" wrapText="1" indent="4"/>
    </xf>
    <xf numFmtId="0" fontId="10" fillId="3" borderId="4" xfId="8" applyFont="1" applyFill="1" applyBorder="1" applyAlignment="1">
      <alignment horizontal="center"/>
    </xf>
    <xf numFmtId="0" fontId="10" fillId="3" borderId="5" xfId="8" applyFont="1" applyFill="1" applyBorder="1" applyAlignment="1">
      <alignment horizontal="center"/>
    </xf>
    <xf numFmtId="0" fontId="16" fillId="0" borderId="4" xfId="3" applyFont="1" applyBorder="1" applyAlignment="1">
      <alignment horizontal="center"/>
    </xf>
    <xf numFmtId="0" fontId="16" fillId="0" borderId="5" xfId="3" applyFont="1" applyBorder="1" applyAlignment="1">
      <alignment horizontal="center"/>
    </xf>
    <xf numFmtId="0" fontId="4" fillId="0" borderId="0" xfId="0" applyFont="1" applyAlignment="1">
      <alignment horizontal="right" vertical="center" wrapText="1"/>
    </xf>
    <xf numFmtId="0" fontId="4" fillId="0" borderId="3" xfId="0" applyFont="1" applyBorder="1" applyAlignment="1">
      <alignment horizontal="right" vertical="center" wrapText="1"/>
    </xf>
    <xf numFmtId="0" fontId="0" fillId="2" borderId="0" xfId="0" applyFill="1" applyAlignment="1">
      <alignment horizontal="left" vertical="top" wrapText="1" indent="4"/>
    </xf>
    <xf numFmtId="0" fontId="10" fillId="3" borderId="19" xfId="0" applyFont="1" applyFill="1" applyBorder="1" applyAlignment="1">
      <alignment horizontal="left"/>
    </xf>
    <xf numFmtId="0" fontId="10" fillId="3" borderId="22" xfId="0" applyFont="1" applyFill="1" applyBorder="1" applyAlignment="1">
      <alignment horizontal="left"/>
    </xf>
    <xf numFmtId="0" fontId="10" fillId="3" borderId="20" xfId="0" applyFont="1" applyFill="1" applyBorder="1" applyAlignment="1">
      <alignment horizontal="left"/>
    </xf>
    <xf numFmtId="0" fontId="4" fillId="0" borderId="0" xfId="0" applyFont="1" applyAlignment="1">
      <alignment horizontal="right" wrapText="1"/>
    </xf>
    <xf numFmtId="0" fontId="4" fillId="0" borderId="3" xfId="0" applyFont="1" applyBorder="1" applyAlignment="1">
      <alignment horizontal="right" wrapText="1"/>
    </xf>
    <xf numFmtId="0" fontId="5" fillId="0" borderId="0" xfId="0" applyFont="1" applyAlignment="1">
      <alignment horizontal="left" vertical="top" wrapText="1" indent="2"/>
    </xf>
    <xf numFmtId="0" fontId="20" fillId="3" borderId="8" xfId="4" applyNumberFormat="1" applyFont="1" applyFill="1" applyBorder="1" applyAlignment="1"/>
    <xf numFmtId="0" fontId="20" fillId="3" borderId="4" xfId="4" applyNumberFormat="1" applyFont="1" applyFill="1" applyBorder="1" applyAlignment="1"/>
    <xf numFmtId="0" fontId="20" fillId="3" borderId="5" xfId="4" applyNumberFormat="1" applyFont="1" applyFill="1" applyBorder="1" applyAlignment="1"/>
    <xf numFmtId="0" fontId="30" fillId="0" borderId="4" xfId="0" applyFont="1" applyBorder="1" applyAlignment="1">
      <alignment horizontal="center"/>
    </xf>
    <xf numFmtId="0" fontId="30" fillId="0" borderId="5" xfId="0" applyFont="1" applyBorder="1" applyAlignment="1">
      <alignment horizontal="center"/>
    </xf>
    <xf numFmtId="170" fontId="4" fillId="0" borderId="23" xfId="0" applyNumberFormat="1" applyFont="1" applyBorder="1" applyAlignment="1">
      <alignment horizontal="right"/>
    </xf>
  </cellXfs>
  <cellStyles count="11">
    <cellStyle name="Hipervínculo" xfId="2" builtinId="8"/>
    <cellStyle name="Millares" xfId="4" builtinId="3"/>
    <cellStyle name="Normal" xfId="0" builtinId="0"/>
    <cellStyle name="Normal 117" xfId="9" xr:uid="{00000000-0005-0000-0000-000003000000}"/>
    <cellStyle name="Normal 2" xfId="8" xr:uid="{00000000-0005-0000-0000-000004000000}"/>
    <cellStyle name="Normal 3" xfId="7" xr:uid="{00000000-0005-0000-0000-000005000000}"/>
    <cellStyle name="Normal_eps-stock_9zdq01_" xfId="6" xr:uid="{00000000-0005-0000-0000-000006000000}"/>
    <cellStyle name="Normal_Intermediate" xfId="3" xr:uid="{00000000-0005-0000-0000-000007000000}"/>
    <cellStyle name="Normal_SNL_REIT_M&amp;A-Template_v1" xfId="10" xr:uid="{96646E41-6036-4BFB-8E26-7181E9C58536}"/>
    <cellStyle name="Normal_WACC Analysis" xfId="5" xr:uid="{00000000-0005-0000-0000-000008000000}"/>
    <cellStyle name="Porcentaje" xfId="1" builtinId="5"/>
  </cellStyles>
  <dxfs count="0"/>
  <tableStyles count="1" defaultTableStyle="TableStyleMedium2" defaultPivotStyle="PivotStyleLight16">
    <tableStyle name="Invisible" pivot="0" table="0" count="0" xr9:uid="{57D3FE3B-819C-4379-8F96-3E98C2287884}"/>
  </tableStyles>
  <colors>
    <mruColors>
      <color rgb="FF008000"/>
      <color rgb="FF525252"/>
      <color rgb="FFFFFFCC"/>
      <color rgb="FF0000FF"/>
      <color rgb="FF223D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781050</xdr:colOff>
          <xdr:row>4</xdr:row>
          <xdr:rowOff>85725</xdr:rowOff>
        </xdr:from>
        <xdr:to>
          <xdr:col>5</xdr:col>
          <xdr:colOff>0</xdr:colOff>
          <xdr:row>6</xdr:row>
          <xdr:rowOff>85725</xdr:rowOff>
        </xdr:to>
        <xdr:sp macro="" textlink="">
          <xdr:nvSpPr>
            <xdr:cNvPr id="2054" name="Button 1"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UPDATE TERMINOLOGY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34</xdr:row>
          <xdr:rowOff>76200</xdr:rowOff>
        </xdr:from>
        <xdr:to>
          <xdr:col>5</xdr:col>
          <xdr:colOff>9525</xdr:colOff>
          <xdr:row>36</xdr:row>
          <xdr:rowOff>66675</xdr:rowOff>
        </xdr:to>
        <xdr:sp macro="" textlink="">
          <xdr:nvSpPr>
            <xdr:cNvPr id="2057" name="Button 2"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REFRESH</a:t>
              </a:r>
            </a:p>
          </xdr:txBody>
        </xdr:sp>
        <xdr:clientData fPrintsWithSheet="0"/>
      </xdr:twoCellAnchor>
    </mc:Choice>
    <mc:Fallback/>
  </mc:AlternateContent>
  <xdr:twoCellAnchor editAs="oneCell">
    <xdr:from>
      <xdr:col>1</xdr:col>
      <xdr:colOff>0</xdr:colOff>
      <xdr:row>1</xdr:row>
      <xdr:rowOff>0</xdr:rowOff>
    </xdr:from>
    <xdr:to>
      <xdr:col>1</xdr:col>
      <xdr:colOff>2657285</xdr:colOff>
      <xdr:row>1</xdr:row>
      <xdr:rowOff>477520</xdr:rowOff>
    </xdr:to>
    <xdr:pic>
      <xdr:nvPicPr>
        <xdr:cNvPr id="6" name="Graphic 1">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950" y="127000"/>
          <a:ext cx="2663635" cy="467995"/>
        </a:xfrm>
        <a:prstGeom prst="rect">
          <a:avLst/>
        </a:prstGeom>
        <a:solidFill>
          <a:schemeClr val="bg1"/>
        </a:solidFill>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hyperlink" Target="mailto:support.CapIQPro@spglobal.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
  <sheetViews>
    <sheetView workbookViewId="0"/>
  </sheetViews>
  <sheetFormatPr baseColWidth="10" defaultColWidth="9.33203125" defaultRowHeight="11.25" x14ac:dyDescent="0.2"/>
  <sheetData>
    <row r="1" spans="1:1" x14ac:dyDescent="0.2">
      <c r="A1" t="s">
        <v>5061</v>
      </c>
    </row>
    <row r="2" spans="1:1" x14ac:dyDescent="0.2">
      <c r="A2" t="s">
        <v>5062</v>
      </c>
    </row>
    <row r="3" spans="1:1" x14ac:dyDescent="0.2">
      <c r="A3" t="s">
        <v>5063</v>
      </c>
    </row>
    <row r="4" spans="1:1" x14ac:dyDescent="0.2">
      <c r="A4" t="s">
        <v>5064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2:BZ10"/>
  <sheetViews>
    <sheetView workbookViewId="0"/>
  </sheetViews>
  <sheetFormatPr baseColWidth="10" defaultColWidth="9.33203125" defaultRowHeight="11.25" x14ac:dyDescent="0.2"/>
  <cols>
    <col min="1" max="1" width="14.33203125" bestFit="1" customWidth="1"/>
  </cols>
  <sheetData>
    <row r="2" spans="1:78" x14ac:dyDescent="0.2">
      <c r="A2" t="s">
        <v>4292</v>
      </c>
      <c r="B2" t="s">
        <v>4327</v>
      </c>
      <c r="C2" t="s">
        <v>4293</v>
      </c>
      <c r="D2" t="s">
        <v>4294</v>
      </c>
      <c r="E2" t="s">
        <v>4295</v>
      </c>
      <c r="F2" t="s">
        <v>4296</v>
      </c>
      <c r="G2" t="s">
        <v>4297</v>
      </c>
      <c r="H2" t="s">
        <v>4298</v>
      </c>
      <c r="I2" t="s">
        <v>4299</v>
      </c>
      <c r="J2" t="s">
        <v>4300</v>
      </c>
      <c r="K2" t="s">
        <v>4301</v>
      </c>
      <c r="L2" t="s">
        <v>4302</v>
      </c>
      <c r="M2" t="s">
        <v>4303</v>
      </c>
      <c r="N2" t="s">
        <v>4304</v>
      </c>
      <c r="O2" t="s">
        <v>4305</v>
      </c>
      <c r="P2" t="s">
        <v>4306</v>
      </c>
      <c r="Q2" t="s">
        <v>4307</v>
      </c>
      <c r="R2" t="s">
        <v>4308</v>
      </c>
      <c r="S2" t="s">
        <v>4309</v>
      </c>
      <c r="T2" t="s">
        <v>4310</v>
      </c>
      <c r="U2" t="s">
        <v>4311</v>
      </c>
      <c r="V2" t="s">
        <v>4312</v>
      </c>
      <c r="W2" t="s">
        <v>4313</v>
      </c>
      <c r="X2" t="s">
        <v>4314</v>
      </c>
      <c r="Y2" t="s">
        <v>4315</v>
      </c>
      <c r="Z2" t="s">
        <v>4316</v>
      </c>
      <c r="AA2" t="s">
        <v>4317</v>
      </c>
      <c r="AB2" t="s">
        <v>4318</v>
      </c>
      <c r="AC2" t="s">
        <v>4319</v>
      </c>
      <c r="AD2" t="s">
        <v>4320</v>
      </c>
      <c r="AE2" t="s">
        <v>4321</v>
      </c>
      <c r="AF2" t="s">
        <v>4322</v>
      </c>
      <c r="AG2" t="s">
        <v>4323</v>
      </c>
      <c r="AH2" t="s">
        <v>4324</v>
      </c>
      <c r="AI2" t="s">
        <v>4325</v>
      </c>
      <c r="AJ2" t="s">
        <v>4326</v>
      </c>
      <c r="AK2" t="s">
        <v>4328</v>
      </c>
      <c r="AL2" t="s">
        <v>4329</v>
      </c>
      <c r="AM2" t="s">
        <v>4330</v>
      </c>
      <c r="AN2" t="s">
        <v>4331</v>
      </c>
      <c r="AO2" t="s">
        <v>4332</v>
      </c>
      <c r="AP2" t="s">
        <v>4333</v>
      </c>
      <c r="AQ2" t="s">
        <v>4334</v>
      </c>
      <c r="AR2" t="s">
        <v>4335</v>
      </c>
      <c r="AS2" t="s">
        <v>4336</v>
      </c>
      <c r="AT2" t="s">
        <v>4337</v>
      </c>
      <c r="AU2" t="s">
        <v>4338</v>
      </c>
      <c r="AV2" t="s">
        <v>4339</v>
      </c>
      <c r="AW2" t="s">
        <v>4340</v>
      </c>
      <c r="AX2" t="s">
        <v>4341</v>
      </c>
      <c r="AY2" t="s">
        <v>4342</v>
      </c>
      <c r="AZ2" t="s">
        <v>4343</v>
      </c>
      <c r="BA2" t="s">
        <v>4344</v>
      </c>
      <c r="BB2" t="s">
        <v>4345</v>
      </c>
      <c r="BC2" t="s">
        <v>4346</v>
      </c>
      <c r="BD2" t="s">
        <v>4347</v>
      </c>
      <c r="BE2" t="s">
        <v>4348</v>
      </c>
      <c r="BF2" t="s">
        <v>4349</v>
      </c>
      <c r="BG2" t="s">
        <v>4350</v>
      </c>
      <c r="BH2" t="s">
        <v>4351</v>
      </c>
      <c r="BI2" t="s">
        <v>4352</v>
      </c>
      <c r="BJ2" t="s">
        <v>4353</v>
      </c>
      <c r="BK2" t="s">
        <v>4354</v>
      </c>
      <c r="BL2" t="s">
        <v>4355</v>
      </c>
      <c r="BM2" t="s">
        <v>4356</v>
      </c>
      <c r="BN2" t="s">
        <v>4357</v>
      </c>
      <c r="BO2" t="s">
        <v>4358</v>
      </c>
      <c r="BP2" t="s">
        <v>4359</v>
      </c>
      <c r="BQ2" t="s">
        <v>4360</v>
      </c>
      <c r="BR2" t="s">
        <v>4361</v>
      </c>
      <c r="BS2" t="s">
        <v>4362</v>
      </c>
      <c r="BT2" t="s">
        <v>4363</v>
      </c>
      <c r="BU2" t="s">
        <v>4364</v>
      </c>
      <c r="BV2" t="s">
        <v>4365</v>
      </c>
      <c r="BW2" t="s">
        <v>4366</v>
      </c>
      <c r="BX2" t="str">
        <f>BW9</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n/a","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Preferred Security','Preferred Security'","valueField":null},{"rankingMappingGUID":null,"rankingSubVQAlias":null,"beginGroup":false,"connector":0,"displayText":null,"endGroup":false,"field":{"displayName":null,"displayType":null,"displayUnits":null,"exportFieldKey":null,"fieldKey":"301857","foreignPerspective":null,"originalRequestField":null,"secondaryKeys":[]},"functionName":null,"invariantValue":null,"isRankScreeningQueryLine":false,"listKey":null,"mathOperator":0,"mathValue":n</v>
      </c>
      <c r="BY2" t="s">
        <v>4367</v>
      </c>
      <c r="BZ2" t="s">
        <v>0</v>
      </c>
    </row>
    <row r="3" spans="1:78" x14ac:dyDescent="0.2">
      <c r="A3" t="s">
        <v>4291</v>
      </c>
      <c r="B3" t="s">
        <v>4368</v>
      </c>
      <c r="C3" t="s">
        <v>4293</v>
      </c>
      <c r="D3" t="s">
        <v>4294</v>
      </c>
      <c r="E3" t="s">
        <v>4295</v>
      </c>
      <c r="F3" t="s">
        <v>4296</v>
      </c>
      <c r="G3" t="s">
        <v>4297</v>
      </c>
      <c r="H3" t="s">
        <v>4298</v>
      </c>
      <c r="I3" t="s">
        <v>4299</v>
      </c>
      <c r="J3" t="s">
        <v>4300</v>
      </c>
      <c r="K3" t="s">
        <v>4301</v>
      </c>
      <c r="L3" t="s">
        <v>4302</v>
      </c>
      <c r="M3" t="s">
        <v>4303</v>
      </c>
      <c r="N3" t="s">
        <v>4304</v>
      </c>
      <c r="O3" t="s">
        <v>4305</v>
      </c>
      <c r="P3" t="s">
        <v>4306</v>
      </c>
      <c r="Q3" t="s">
        <v>4307</v>
      </c>
      <c r="R3" t="s">
        <v>4308</v>
      </c>
      <c r="S3" t="s">
        <v>4309</v>
      </c>
      <c r="T3" t="s">
        <v>4310</v>
      </c>
      <c r="U3" t="s">
        <v>4311</v>
      </c>
      <c r="V3" t="s">
        <v>4312</v>
      </c>
      <c r="W3" t="s">
        <v>4313</v>
      </c>
      <c r="X3" t="s">
        <v>4314</v>
      </c>
      <c r="Y3" t="s">
        <v>4315</v>
      </c>
      <c r="Z3" t="s">
        <v>4316</v>
      </c>
      <c r="AA3" t="s">
        <v>4317</v>
      </c>
      <c r="AB3" t="s">
        <v>4318</v>
      </c>
      <c r="AC3" t="s">
        <v>4319</v>
      </c>
      <c r="AD3" t="s">
        <v>4320</v>
      </c>
      <c r="AE3" t="s">
        <v>4321</v>
      </c>
      <c r="AF3" t="s">
        <v>4322</v>
      </c>
      <c r="AG3" t="s">
        <v>4323</v>
      </c>
      <c r="AH3" t="s">
        <v>4324</v>
      </c>
      <c r="AI3" t="s">
        <v>4325</v>
      </c>
      <c r="AJ3" t="s">
        <v>4326</v>
      </c>
      <c r="AK3" t="s">
        <v>4328</v>
      </c>
      <c r="AL3" t="s">
        <v>4329</v>
      </c>
      <c r="AM3" t="s">
        <v>4330</v>
      </c>
      <c r="AN3" t="s">
        <v>4331</v>
      </c>
      <c r="AO3" t="s">
        <v>4332</v>
      </c>
      <c r="AP3" t="s">
        <v>4333</v>
      </c>
      <c r="AQ3" t="s">
        <v>4334</v>
      </c>
      <c r="AR3" t="s">
        <v>4335</v>
      </c>
      <c r="AS3" t="s">
        <v>4336</v>
      </c>
      <c r="AT3" t="s">
        <v>4337</v>
      </c>
      <c r="AU3" t="s">
        <v>4338</v>
      </c>
      <c r="AV3" t="s">
        <v>4339</v>
      </c>
      <c r="AW3" t="s">
        <v>4340</v>
      </c>
      <c r="AX3" t="s">
        <v>4341</v>
      </c>
      <c r="AY3" t="s">
        <v>4342</v>
      </c>
      <c r="AZ3" t="s">
        <v>4343</v>
      </c>
      <c r="BA3" t="s">
        <v>4344</v>
      </c>
      <c r="BB3" t="s">
        <v>4345</v>
      </c>
      <c r="BC3" t="s">
        <v>4346</v>
      </c>
      <c r="BD3" t="s">
        <v>4347</v>
      </c>
      <c r="BE3" t="s">
        <v>4348</v>
      </c>
      <c r="BF3" t="s">
        <v>4349</v>
      </c>
      <c r="BG3" t="s">
        <v>4350</v>
      </c>
      <c r="BH3" t="s">
        <v>4351</v>
      </c>
      <c r="BI3" t="s">
        <v>4352</v>
      </c>
      <c r="BJ3" t="s">
        <v>4353</v>
      </c>
      <c r="BK3" t="s">
        <v>4354</v>
      </c>
      <c r="BL3" t="s">
        <v>4355</v>
      </c>
      <c r="BM3" t="s">
        <v>4356</v>
      </c>
      <c r="BN3" t="s">
        <v>4357</v>
      </c>
      <c r="BO3" t="s">
        <v>4358</v>
      </c>
      <c r="BP3" t="s">
        <v>4359</v>
      </c>
      <c r="BQ3" t="s">
        <v>4360</v>
      </c>
      <c r="BR3" t="s">
        <v>4361</v>
      </c>
      <c r="BS3" t="s">
        <v>4362</v>
      </c>
      <c r="BT3" t="s">
        <v>4363</v>
      </c>
      <c r="BU3" t="s">
        <v>4364</v>
      </c>
      <c r="BV3" t="s">
        <v>4365</v>
      </c>
      <c r="BW3" t="s">
        <v>4366</v>
      </c>
      <c r="BX3" t="str">
        <f>BW10</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n/a","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Subsidiary Trust Preferred','Senior Debt','GIC-backed Note','Subordinated Debt','Senior Subordinated Debt','Junior Subordinated Debt','Subsidiary Pfd Partnership Interest'","valueField":null},{"rankingMappingGUID":null,"rankingSubVQAlias":null,"beginGroup":false,"connector":0,"displayText":null,"endGroup":false,"field":{"displayName":null,"displayType":null,"displayUnits":null,"exportFieldKey":null,"fieldKey":"301857","foreignPerspective":null,"originalRequestField":null,"secondar</v>
      </c>
      <c r="BY3" t="s">
        <v>4369</v>
      </c>
      <c r="BZ3" t="s">
        <v>0</v>
      </c>
    </row>
    <row r="9" spans="1:78" x14ac:dyDescent="0.2">
      <c r="BW9" t="str">
        <f>SUBSTITUTE(BX9,"DUMMY_KEY",WACC!$V$74)</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n/a","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Preferred Security','Preferred Security'","valueField":null},{"rankingMappingGUID":null,"rankingSubVQAlias":null,"beginGroup":false,"connector":0,"displayText":null,"endGroup":false,"field":{"displayName":null,"displayType":null,"displayUnits":null,"exportFieldKey":null,"fieldKey":"301857","foreignPerspective":null,"originalRequestField":null,"secondaryKeys":[]},"functionName":null,"invariantValue":null,"isRankScreeningQueryLine":false,"listKey":null,"mathOperator":0,"mathValue":n</v>
      </c>
      <c r="BX9" t="s">
        <v>4370</v>
      </c>
    </row>
    <row r="10" spans="1:78" x14ac:dyDescent="0.2">
      <c r="BW10" t="str">
        <f>SUBSTITUTE(BX10,"DUMMY_KEY",WACC!$V$74)</f>
        <v>ptionId":"25432","caption":"Securities Offered by Shareholders","secondaryCaption":"","isDefault":false,"maskCriteriaOnly":false,"definition":"","keyProductQueryItem":"311834","comparisonOperation":0,"comparisonValue":"114","minimumVersion":"","maximumVersion":"","formOrder":0,"lowerBound":null,"enabled":true,"mask":"","largeMask":"","maskKey":"","keyItemMaskOfField":null,"keyOptionIdReplace":"","relatedOptionIds":[],"onlineServices":[],"childCriteriaItemList":[],"clientContextJson":""},{"keyOptionId":"25433","caption":"Share Purchase Plan","secondaryCaption":"","isDefault":false,"maskCriteriaOnly":false,"definition":"","keyProductQueryItem":"311834","comparisonOperation":0,"comparisonValue":"154","minimumVersion":"","maximumVersion":"","formOrder":0,"lowerBound":null,"enabled":true,"mask":"","largeMask":"","maskKey":"","keyItemMaskOfField":null,"keyOptionIdReplace":"","relatedOptionIds":[],"onlineServices":[],"childCriteriaItemList":[],"clientContextJson":""},{"keyOptionId":"25434","caption":"Shelf Registration Related","secondaryCaption":"","isDefault":false,"maskCriteriaOnly":false,"definition":"","keyProductQueryItem":"311834","comparisonOperation":0,"comparisonValue":"190","minimumVersion":"","maximumVersion":"","formOrder":0,"lowerBound":null,"enabled":true,"mask":"","largeMask":"","maskKey":"","keyItemMaskOfField":null,"keyOptionIdReplace":"","relatedOptionIds":[],"onlineServices":[],"childCriteriaItemList":[{"keyOptionId":"25435","caption":"Omnibus or Universal Shelf Registration","secondaryCaption":"","isDefault":false,"maskCriteriaOnly":false,"definition":"","keyProductQueryItem":"311834","comparisonOperation":0,"comparisonValue":"147","minimumVersion":"","maximumVersion":"","formOrder":0,"lowerBound":null,"enabled":true,"mask":"","largeMask":"","maskKey":"","keyItemMaskOfField":null,"keyOptionIdReplace":"","relatedOptionIds":[],"onlineServices":[],"childCriteriaItemList":[],"clientContextJson":""},{"keyOptionId":"25436","caption":"Registration of Underlying Securities","secondaryCaption":"","isDefault":false,"maskCriteriaOnly":false,"definition":"","keyProductQueryItem":"311834","comparisonOperation":0,"comparisonValue":"123","minimumVersion":"","maximumVersion":"","formOrder":0,"lowerBound":null,"enabled":true,"mask":"","largeMask":"","maskKey":"","keyItemMaskOfField":null,"keyOptionIdReplace":"","relatedOptionIds":[],"onlineServices":[],"childCriteriaItemList":[],"clientContextJson":""},{"keyOptionId":"25437","caption":"Resale by Selling Stockholders","secondaryCaption":"","isDefault":false,"maskCriteriaOnly":false,"definition":"","keyProductQueryItem":"311834","comparisonOperation":0,"comparisonValue":"146","minimumVersion":"","maximumVersion":"","formOrder":0,"lowerBound":null,"enabled":true,"mask":"","largeMask":"","maskKey":"","keyItemMaskOfField":null,"keyOptionIdReplace":"","relatedOptionIds":[],"onlineServices":[],"childCriteriaItemList":[],"clientContextJson":""},{"keyOptionId":"25438","caption":"Securities Registered For Future Acquisitions","secondaryCaption":"","isDefault":false,"maskCriteriaOnly":false,"definition":"","keyProductQueryItem":"311834","comparisonOperation":0,"comparisonValue":"124","minimumVersion":"","maximumVersion":"","formOrder":0,"lowerBound":null,"enabled":true,"mask":"","largeMask":"","maskKey":"","keyItemMaskOfField":null,"keyOptionIdReplace":"","relatedOptionIds":[],"onlineServices":[],"childCriteriaItemList":[],"clientContextJson":""}],"clientContextJson":""},{"keyOptionId":"25439","caption":"Sponsor Backed Offering","secondaryCaption":"","isDefault":false,"maskCriteriaOnly":false,"definition":"","keyProductQueryItem":"311834","comparisonOperation":0,"comparisonValue":"100","minimumVersion":"","maximumVersion":"","formOrder":0,"lowerBound":null,"enabled":true,"mask":"","largeMask":"","maskKey":"","keyItemMaskOfField":null,"keyOptionIdReplace":"","relatedOptionIds":[],"onlineServices":[],"childCriteriaItemList":[],"clientContextJson":""},{"keyOptionId":"25440","caption":"Standby Agreement","secondaryCaption":"","isDefault":false,"maskCriteriaOnly":false,"definition":"","keyProductQueryItem":"311834","comparisonOperation":0,"comparisonValue":"95","minimumVersion":"","maximumVersion":"","formOrder":0,"lowerBound":null,"enabled":true,"mask":"","largeMask":"","maskKey":"","keyItemMaskOfField":null,"keyOptionIdReplace":"","relatedOptionIds":[],"onlineServices":[],"childCriteriaItemList":[],"clientContextJson":""},{"keyOptionId":"25441","caption":"Subsequent Direct Listing","secondaryCaption":"","isDefault":false,"maskCriteriaOnly":false,"definition":"","keyProductQueryItem":"311834","comparisonOperation":0,"comparisonValue":"111","minimumVersion":"","maximumVersion":"","formOrder":0,"lowerBound":null,"enabled":true,"mask":"","largeMask":"","maskKey":"","keyItemMaskOfField":null,"keyOptionIdReplace":"","relatedOptionIds":[],"onlineServices":[],"childCriteriaItemList":[],"clientContextJson":""},{"keyOptionId":"25442","caption":"Temporary Liquidity Guarantee Program","secondaryCaption":"","isDefault":false,"maskCriteriaOnly":false,"definition":"","keyProductQueryItem":"311834","comparisonOperation":0,"comparisonValue":"126","minimumVersion":"","maximumVersion":"","formOrder":0,"lowerBound":null,"enabled":true,"mask":"","largeMask":"","maskKey":"","keyItemMaskOfField":null,"keyOptionIdReplace":"","relatedOptionIds":[],"onlineServices":[],"childCriteriaItemList":[],"clientContextJson":""},{"keyOptionId":"25443","caption":"Underwritten Offering","secondaryCaption":"","isDefault":false,"maskCriteriaOnly":false,"definition":"","keyProductQueryItem":"311834","comparisonOperation":0,"comparisonValue":"156","minimumVersion":"","maximumVersion":"","formOrder":0,"lowerBound":null,"enabled":true,"mask":"","largeMask":"","maskKey":"","keyItemMaskOfField":null,"keyOptionIdReplace":"","relatedOptionIds":[],"onlineServices":[],"childCriteriaItemList":[],"clientContextJson":""}],"clientContextJson":""}]}],"queryLineGroups":[{"groupName":"QueryLines","queryLines":[{"rankingMappingGUID":null,"rankingSubVQAlias":null,"beginGroup":false,"connector":0,"displayText":null,"endGroup":false,"field":{"displayName":null,"displayType":null,"displayUnits":null,"exportFieldKey":null,"fieldKey":"300085","foreignPerspective":null,"originalRequestField":null,"secondaryKeys":[]},"functionName":null,"invariantValue":null,"isRankScreeningQueryLine":false,"listKey":null,"mathOperator":0,"mathValue":null,"operator":0,"queryItemId":"00000000-0000-0000-0000-000000000000","relativeOperation":false,"sortOrder":null,"sortStyle":null,"supressSelect":false,"value":"n/a","valueField":null},{"rankingMappingGUID":null,"rankingSubVQAlias":null,"beginGroup":false,"connector":0,"displayText":null,"endGroup":false,"field":{"displayName":null,"displayType":null,"displayUnits":null,"exportFieldKey":null,"fieldKey":"300091","foreignPerspective":null,"originalRequestField":null,"secondaryKeys":[]},"functionName":null,"invariantValue":null,"isRankScreeningQueryLine":false,"listKey":null,"mathOperator":0,"mathValue":null,"operator":7,"queryItemId":"00000000-0000-0000-0000-000000000000","relativeOperation":false,"sortOrder":null,"sortStyle":null,"supressSelect":false,"value":"'Subsidiary Trust Preferred','Senior Debt','GIC-backed Note','Subordinated Debt','Senior Subordinated Debt','Junior Subordinated Debt','Subsidiary Pfd Partnership Interest'","valueField":null},{"rankingMappingGUID":null,"rankingSubVQAlias":null,"beginGroup":false,"connector":0,"displayText":null,"endGroup":false,"field":{"displayName":null,"displayType":null,"displayUnits":null,"exportFieldKey":null,"fieldKey":"301857","foreignPerspective":null,"originalRequestField":null,"secondar</v>
      </c>
      <c r="BX10" t="s">
        <v>4371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07F8B-E30C-43E8-A1A5-3EEBCCCD411D}">
  <dimension ref="A1:G22"/>
  <sheetViews>
    <sheetView workbookViewId="0"/>
  </sheetViews>
  <sheetFormatPr baseColWidth="10" defaultRowHeight="12.75" x14ac:dyDescent="0.2"/>
  <cols>
    <col min="1" max="1" width="40.83203125" style="258" customWidth="1"/>
    <col min="2" max="2" width="62.83203125" style="258" customWidth="1"/>
    <col min="3" max="3" width="52.83203125" style="258" customWidth="1"/>
    <col min="4" max="4" width="22.83203125" style="258" customWidth="1"/>
    <col min="5" max="5" width="46.83203125" style="258" customWidth="1"/>
    <col min="6" max="7" width="20.83203125" style="258" customWidth="1"/>
    <col min="8" max="16384" width="12" style="258"/>
  </cols>
  <sheetData>
    <row r="1" spans="1:7" ht="17.25" x14ac:dyDescent="0.3">
      <c r="A1" s="260" t="s">
        <v>5177</v>
      </c>
    </row>
    <row r="3" spans="1:7" x14ac:dyDescent="0.2">
      <c r="A3" s="262" t="s">
        <v>5178</v>
      </c>
      <c r="B3" s="262" t="s">
        <v>5179</v>
      </c>
      <c r="C3" s="262" t="s">
        <v>5180</v>
      </c>
      <c r="D3" s="262" t="s">
        <v>5070</v>
      </c>
      <c r="E3" s="262" t="s">
        <v>5181</v>
      </c>
      <c r="F3" s="262" t="s">
        <v>5182</v>
      </c>
      <c r="G3" s="262" t="s">
        <v>5183</v>
      </c>
    </row>
    <row r="4" spans="1:7" x14ac:dyDescent="0.2">
      <c r="A4" s="258" t="s">
        <v>5184</v>
      </c>
      <c r="B4" s="258" t="s">
        <v>5185</v>
      </c>
      <c r="C4" s="258" t="s">
        <v>5186</v>
      </c>
      <c r="D4" s="258" t="s">
        <v>5187</v>
      </c>
      <c r="E4" s="258" t="s">
        <v>5188</v>
      </c>
      <c r="F4" s="272">
        <v>0.1138</v>
      </c>
      <c r="G4" s="258">
        <f t="shared" ref="G4:G10" si="0">ROUND((F4-$B$13)*10000,0)</f>
        <v>98</v>
      </c>
    </row>
    <row r="5" spans="1:7" x14ac:dyDescent="0.2">
      <c r="A5" s="258" t="s">
        <v>5189</v>
      </c>
      <c r="B5" s="272">
        <v>4.2000000000000003E-2</v>
      </c>
      <c r="C5" s="258" t="s">
        <v>5190</v>
      </c>
      <c r="D5" s="258" t="s">
        <v>5074</v>
      </c>
      <c r="E5" s="258" t="s">
        <v>5191</v>
      </c>
      <c r="F5" s="272">
        <v>0.1079</v>
      </c>
      <c r="G5" s="258">
        <f t="shared" si="0"/>
        <v>39</v>
      </c>
    </row>
    <row r="6" spans="1:7" x14ac:dyDescent="0.2">
      <c r="A6" s="258" t="s">
        <v>5192</v>
      </c>
      <c r="B6" s="258" t="s">
        <v>5193</v>
      </c>
      <c r="C6" s="258" t="s">
        <v>5194</v>
      </c>
      <c r="D6" s="258" t="s">
        <v>5187</v>
      </c>
      <c r="E6" s="258" t="s">
        <v>5195</v>
      </c>
      <c r="F6" s="272">
        <v>0.1031</v>
      </c>
      <c r="G6" s="258">
        <f t="shared" si="0"/>
        <v>-9</v>
      </c>
    </row>
    <row r="7" spans="1:7" x14ac:dyDescent="0.2">
      <c r="A7" s="258" t="s">
        <v>5196</v>
      </c>
      <c r="B7" s="258" t="s">
        <v>5197</v>
      </c>
      <c r="C7" s="258" t="s">
        <v>5198</v>
      </c>
      <c r="D7" s="258" t="s">
        <v>5199</v>
      </c>
      <c r="E7" s="258" t="s">
        <v>5200</v>
      </c>
      <c r="F7" s="272">
        <v>0.10199999999999999</v>
      </c>
      <c r="G7" s="258">
        <f t="shared" si="0"/>
        <v>-20</v>
      </c>
    </row>
    <row r="8" spans="1:7" x14ac:dyDescent="0.2">
      <c r="A8" s="258" t="s">
        <v>5201</v>
      </c>
      <c r="B8" s="258" t="s">
        <v>5202</v>
      </c>
      <c r="C8" s="258" t="s">
        <v>5203</v>
      </c>
      <c r="D8" s="258" t="s">
        <v>5187</v>
      </c>
      <c r="E8" s="258" t="s">
        <v>5204</v>
      </c>
      <c r="F8" s="272">
        <v>9.4200000000000006E-2</v>
      </c>
      <c r="G8" s="258">
        <f t="shared" si="0"/>
        <v>-98</v>
      </c>
    </row>
    <row r="9" spans="1:7" x14ac:dyDescent="0.2">
      <c r="A9" s="258" t="s">
        <v>5205</v>
      </c>
      <c r="B9" s="258" t="s">
        <v>5206</v>
      </c>
      <c r="C9" s="258" t="s">
        <v>5207</v>
      </c>
      <c r="D9" s="258" t="s">
        <v>5187</v>
      </c>
      <c r="E9" s="258" t="s">
        <v>5208</v>
      </c>
      <c r="F9" s="272">
        <v>0.1079</v>
      </c>
      <c r="G9" s="258">
        <f t="shared" si="0"/>
        <v>39</v>
      </c>
    </row>
    <row r="10" spans="1:7" x14ac:dyDescent="0.2">
      <c r="A10" s="258" t="s">
        <v>5209</v>
      </c>
      <c r="B10" s="258" t="s">
        <v>5210</v>
      </c>
      <c r="C10" s="258" t="s">
        <v>5211</v>
      </c>
      <c r="D10" s="258" t="s">
        <v>5074</v>
      </c>
      <c r="E10" s="258" t="s">
        <v>5212</v>
      </c>
      <c r="F10" s="272">
        <v>0.10100000000000001</v>
      </c>
      <c r="G10" s="258">
        <f t="shared" si="0"/>
        <v>-30</v>
      </c>
    </row>
    <row r="12" spans="1:7" x14ac:dyDescent="0.2">
      <c r="A12" s="259" t="s">
        <v>5213</v>
      </c>
    </row>
    <row r="13" spans="1:7" x14ac:dyDescent="0.2">
      <c r="A13" s="258" t="s">
        <v>5214</v>
      </c>
      <c r="B13" s="272">
        <f>WACC!C87</f>
        <v>0.10398289994023387</v>
      </c>
    </row>
    <row r="14" spans="1:7" x14ac:dyDescent="0.2">
      <c r="A14" s="258" t="s">
        <v>5215</v>
      </c>
      <c r="B14" s="272">
        <f>WACC!C73</f>
        <v>0.13186465351096521</v>
      </c>
    </row>
    <row r="15" spans="1:7" x14ac:dyDescent="0.2">
      <c r="A15" s="258" t="s">
        <v>5216</v>
      </c>
      <c r="B15" s="272">
        <f>WACC!C79</f>
        <v>6.7970000000000003E-2</v>
      </c>
    </row>
    <row r="16" spans="1:7" x14ac:dyDescent="0.2">
      <c r="A16" s="258" t="s">
        <v>5217</v>
      </c>
      <c r="B16" s="258" t="str">
        <f>TEXT(WACC!C74,"0.0%")&amp;" / "&amp;TEXT(WACC!C80,"0.0%")</f>
        <v>56.4% / 43.6%</v>
      </c>
    </row>
    <row r="18" spans="1:2" x14ac:dyDescent="0.2">
      <c r="A18" s="259" t="s">
        <v>5218</v>
      </c>
    </row>
    <row r="19" spans="1:2" x14ac:dyDescent="0.2">
      <c r="A19" s="258" t="s">
        <v>5219</v>
      </c>
      <c r="B19" s="272">
        <v>7.9399999999999998E-2</v>
      </c>
    </row>
    <row r="20" spans="1:2" x14ac:dyDescent="0.2">
      <c r="A20" s="258" t="s">
        <v>5220</v>
      </c>
      <c r="B20" s="272">
        <v>9.4299999999999995E-2</v>
      </c>
    </row>
    <row r="21" spans="1:2" x14ac:dyDescent="0.2">
      <c r="A21" s="258" t="s">
        <v>5221</v>
      </c>
    </row>
    <row r="22" spans="1:2" x14ac:dyDescent="0.2">
      <c r="A22" s="258" t="s">
        <v>5222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6A380-55E7-46F1-80D2-E6335E4502F3}">
  <dimension ref="A1:E45"/>
  <sheetViews>
    <sheetView workbookViewId="0"/>
  </sheetViews>
  <sheetFormatPr baseColWidth="10" defaultRowHeight="12.75" x14ac:dyDescent="0.2"/>
  <cols>
    <col min="1" max="1" width="58.83203125" style="258" customWidth="1"/>
    <col min="2" max="2" width="14.83203125" style="258" customWidth="1"/>
    <col min="3" max="3" width="10.83203125" style="258" customWidth="1"/>
    <col min="4" max="4" width="18.83203125" style="258" customWidth="1"/>
    <col min="5" max="5" width="120.83203125" style="258" customWidth="1"/>
    <col min="6" max="16384" width="12" style="258"/>
  </cols>
  <sheetData>
    <row r="1" spans="1:5" ht="17.25" x14ac:dyDescent="0.3">
      <c r="A1" s="260" t="s">
        <v>5065</v>
      </c>
    </row>
    <row r="2" spans="1:5" x14ac:dyDescent="0.2">
      <c r="A2" s="258" t="s">
        <v>5066</v>
      </c>
    </row>
    <row r="4" spans="1:5" x14ac:dyDescent="0.2">
      <c r="A4" s="262" t="s">
        <v>5067</v>
      </c>
      <c r="B4" s="262" t="s">
        <v>5068</v>
      </c>
      <c r="C4" s="262" t="s">
        <v>5069</v>
      </c>
      <c r="D4" s="262" t="s">
        <v>5070</v>
      </c>
      <c r="E4" s="262" t="s">
        <v>5071</v>
      </c>
    </row>
    <row r="5" spans="1:5" x14ac:dyDescent="0.2">
      <c r="A5" s="259" t="s">
        <v>5072</v>
      </c>
      <c r="B5" s="259"/>
      <c r="C5" s="259"/>
      <c r="D5" s="259"/>
      <c r="E5" s="259"/>
    </row>
    <row r="6" spans="1:5" x14ac:dyDescent="0.2">
      <c r="A6" s="258" t="s">
        <v>5073</v>
      </c>
      <c r="B6" s="263">
        <v>9.2600000000000002E-2</v>
      </c>
      <c r="C6" s="258" t="s">
        <v>4752</v>
      </c>
      <c r="D6" s="258" t="s">
        <v>5074</v>
      </c>
      <c r="E6" s="258" t="s">
        <v>5075</v>
      </c>
    </row>
    <row r="7" spans="1:5" x14ac:dyDescent="0.2">
      <c r="A7" s="258" t="s">
        <v>5076</v>
      </c>
      <c r="B7" s="263">
        <v>1.7498812238305829E-2</v>
      </c>
      <c r="C7" s="258" t="s">
        <v>4752</v>
      </c>
      <c r="D7" s="258" t="s">
        <v>5074</v>
      </c>
      <c r="E7" s="258" t="s">
        <v>5077</v>
      </c>
    </row>
    <row r="8" spans="1:5" x14ac:dyDescent="0.2">
      <c r="A8" s="258" t="s">
        <v>5078</v>
      </c>
      <c r="B8" s="263">
        <f>B6-B7</f>
        <v>7.5101187761694166E-2</v>
      </c>
      <c r="C8" s="258" t="s">
        <v>4752</v>
      </c>
      <c r="D8" s="258" t="s">
        <v>5079</v>
      </c>
      <c r="E8" s="258" t="s">
        <v>5080</v>
      </c>
    </row>
    <row r="9" spans="1:5" x14ac:dyDescent="0.2">
      <c r="A9" s="258" t="s">
        <v>5081</v>
      </c>
      <c r="B9" s="263">
        <v>4.2000000000000003E-2</v>
      </c>
      <c r="C9" s="258" t="s">
        <v>4752</v>
      </c>
      <c r="D9" s="258" t="s">
        <v>5074</v>
      </c>
      <c r="E9" s="258" t="s">
        <v>5082</v>
      </c>
    </row>
    <row r="10" spans="1:5" x14ac:dyDescent="0.2">
      <c r="A10" s="258" t="s">
        <v>5083</v>
      </c>
      <c r="B10" s="263">
        <f>B8+B9</f>
        <v>0.11710118776169418</v>
      </c>
      <c r="C10" s="258" t="s">
        <v>4752</v>
      </c>
      <c r="D10" s="258" t="s">
        <v>5079</v>
      </c>
      <c r="E10" s="258" t="s">
        <v>5084</v>
      </c>
    </row>
    <row r="11" spans="1:5" x14ac:dyDescent="0.2">
      <c r="A11" s="258" t="s">
        <v>5085</v>
      </c>
      <c r="B11" s="263">
        <v>5.0900000000000001E-2</v>
      </c>
      <c r="C11" s="258" t="s">
        <v>4752</v>
      </c>
      <c r="D11" s="258" t="s">
        <v>5074</v>
      </c>
      <c r="E11" s="258" t="s">
        <v>5086</v>
      </c>
    </row>
    <row r="12" spans="1:5" x14ac:dyDescent="0.2">
      <c r="A12" s="258" t="s">
        <v>5087</v>
      </c>
      <c r="B12" s="263">
        <v>0.05</v>
      </c>
      <c r="C12" s="258" t="s">
        <v>4752</v>
      </c>
      <c r="D12" s="258" t="s">
        <v>5074</v>
      </c>
      <c r="E12" s="258" t="s">
        <v>5088</v>
      </c>
    </row>
    <row r="13" spans="1:5" x14ac:dyDescent="0.2">
      <c r="B13" s="264"/>
    </row>
    <row r="14" spans="1:5" x14ac:dyDescent="0.2">
      <c r="A14" s="259" t="s">
        <v>5089</v>
      </c>
      <c r="B14" s="265"/>
      <c r="C14" s="259"/>
      <c r="D14" s="259"/>
      <c r="E14" s="259"/>
    </row>
    <row r="15" spans="1:5" x14ac:dyDescent="0.2">
      <c r="A15" s="258" t="s">
        <v>5090</v>
      </c>
      <c r="B15" s="266">
        <v>0.56000000000000005</v>
      </c>
      <c r="C15" s="258" t="s">
        <v>3248</v>
      </c>
      <c r="D15" s="258" t="s">
        <v>5074</v>
      </c>
      <c r="E15" s="258" t="s">
        <v>5091</v>
      </c>
    </row>
    <row r="16" spans="1:5" x14ac:dyDescent="0.2">
      <c r="A16" s="258" t="s">
        <v>5092</v>
      </c>
      <c r="B16" s="263">
        <v>0.3</v>
      </c>
      <c r="C16" s="258" t="s">
        <v>4752</v>
      </c>
      <c r="D16" s="258" t="s">
        <v>5074</v>
      </c>
      <c r="E16" s="258" t="s">
        <v>5093</v>
      </c>
    </row>
    <row r="17" spans="1:5" x14ac:dyDescent="0.2">
      <c r="A17" s="258" t="s">
        <v>5094</v>
      </c>
      <c r="B17" s="267">
        <f>B27/B24</f>
        <v>0.77421572872507427</v>
      </c>
      <c r="C17" s="258" t="s">
        <v>3248</v>
      </c>
      <c r="D17" s="258" t="s">
        <v>5079</v>
      </c>
      <c r="E17" s="258" t="s">
        <v>5095</v>
      </c>
    </row>
    <row r="18" spans="1:5" x14ac:dyDescent="0.2">
      <c r="A18" s="258" t="s">
        <v>5096</v>
      </c>
      <c r="B18" s="267">
        <f>B15*(1+(1-B16)*B17)</f>
        <v>0.86349256566022914</v>
      </c>
      <c r="C18" s="258" t="s">
        <v>3248</v>
      </c>
      <c r="D18" s="258" t="s">
        <v>5079</v>
      </c>
      <c r="E18" s="258" t="s">
        <v>5097</v>
      </c>
    </row>
    <row r="19" spans="1:5" x14ac:dyDescent="0.2">
      <c r="B19" s="264"/>
    </row>
    <row r="20" spans="1:5" x14ac:dyDescent="0.2">
      <c r="A20" s="259" t="s">
        <v>5098</v>
      </c>
      <c r="B20" s="265"/>
      <c r="C20" s="259"/>
      <c r="D20" s="259"/>
      <c r="E20" s="259"/>
    </row>
    <row r="21" spans="1:5" x14ac:dyDescent="0.2">
      <c r="B21" s="264"/>
    </row>
    <row r="22" spans="1:5" x14ac:dyDescent="0.2">
      <c r="A22" s="258" t="s">
        <v>5099</v>
      </c>
      <c r="B22" s="266">
        <v>58.6</v>
      </c>
      <c r="C22" s="258" t="s">
        <v>174</v>
      </c>
      <c r="D22" s="258" t="s">
        <v>5074</v>
      </c>
      <c r="E22" s="258" t="s">
        <v>5100</v>
      </c>
    </row>
    <row r="23" spans="1:5" x14ac:dyDescent="0.2">
      <c r="A23" s="258" t="s">
        <v>5101</v>
      </c>
      <c r="B23" s="268">
        <v>4296.2842149999997</v>
      </c>
      <c r="C23" s="258" t="s">
        <v>65</v>
      </c>
      <c r="D23" s="258" t="s">
        <v>5074</v>
      </c>
      <c r="E23" s="258" t="s">
        <v>5102</v>
      </c>
    </row>
    <row r="24" spans="1:5" x14ac:dyDescent="0.2">
      <c r="A24" s="258" t="s">
        <v>5103</v>
      </c>
      <c r="B24" s="269">
        <f>B22*B23</f>
        <v>251762.254999</v>
      </c>
      <c r="C24" s="258" t="s">
        <v>5104</v>
      </c>
      <c r="D24" s="258" t="s">
        <v>5079</v>
      </c>
      <c r="E24" s="258" t="s">
        <v>5105</v>
      </c>
    </row>
    <row r="25" spans="1:5" x14ac:dyDescent="0.2">
      <c r="A25" s="258" t="s">
        <v>5106</v>
      </c>
      <c r="B25" s="269">
        <v>10855</v>
      </c>
      <c r="C25" s="258" t="s">
        <v>5107</v>
      </c>
      <c r="D25" s="258" t="s">
        <v>5074</v>
      </c>
      <c r="E25" s="258" t="s">
        <v>5108</v>
      </c>
    </row>
    <row r="26" spans="1:5" x14ac:dyDescent="0.2">
      <c r="A26" s="258" t="s">
        <v>5109</v>
      </c>
      <c r="B26" s="270">
        <v>5.5690000000000003E-2</v>
      </c>
      <c r="C26" s="258" t="s">
        <v>5110</v>
      </c>
      <c r="D26" s="258" t="s">
        <v>5074</v>
      </c>
      <c r="E26" s="258" t="s">
        <v>5111</v>
      </c>
    </row>
    <row r="27" spans="1:5" x14ac:dyDescent="0.2">
      <c r="A27" s="258" t="s">
        <v>5112</v>
      </c>
      <c r="B27" s="269">
        <f>B25/B26</f>
        <v>194918.29771951874</v>
      </c>
      <c r="C27" s="258" t="s">
        <v>5104</v>
      </c>
      <c r="D27" s="258" t="s">
        <v>5079</v>
      </c>
      <c r="E27" s="258" t="s">
        <v>5113</v>
      </c>
    </row>
    <row r="28" spans="1:5" x14ac:dyDescent="0.2">
      <c r="A28" s="258" t="s">
        <v>5114</v>
      </c>
      <c r="B28" s="263">
        <f>B27/(B27+B24)</f>
        <v>0.43637068265729695</v>
      </c>
      <c r="C28" s="258" t="s">
        <v>4752</v>
      </c>
      <c r="D28" s="258" t="s">
        <v>5079</v>
      </c>
      <c r="E28" s="258" t="s">
        <v>5115</v>
      </c>
    </row>
    <row r="29" spans="1:5" x14ac:dyDescent="0.2">
      <c r="B29" s="264"/>
    </row>
    <row r="30" spans="1:5" x14ac:dyDescent="0.2">
      <c r="A30" s="259" t="s">
        <v>5116</v>
      </c>
      <c r="B30" s="265"/>
      <c r="C30" s="259"/>
      <c r="D30" s="259"/>
      <c r="E30" s="259"/>
    </row>
    <row r="31" spans="1:5" x14ac:dyDescent="0.2">
      <c r="A31" s="258" t="s">
        <v>5117</v>
      </c>
      <c r="B31" s="263">
        <v>4.4999999999999997E-3</v>
      </c>
      <c r="C31" s="258" t="s">
        <v>4752</v>
      </c>
      <c r="D31" s="258" t="s">
        <v>5074</v>
      </c>
      <c r="E31" s="258" t="s">
        <v>5118</v>
      </c>
    </row>
    <row r="32" spans="1:5" x14ac:dyDescent="0.2">
      <c r="A32" s="258" t="s">
        <v>5119</v>
      </c>
      <c r="B32" s="263">
        <f>B6+B31</f>
        <v>9.7100000000000006E-2</v>
      </c>
      <c r="C32" s="258" t="s">
        <v>4752</v>
      </c>
      <c r="D32" s="258" t="s">
        <v>5079</v>
      </c>
      <c r="E32" s="258" t="s">
        <v>5120</v>
      </c>
    </row>
    <row r="33" spans="1:5" x14ac:dyDescent="0.2">
      <c r="A33" s="258" t="s">
        <v>5121</v>
      </c>
      <c r="B33" s="263">
        <f>B11+0.0105</f>
        <v>6.1400000000000003E-2</v>
      </c>
      <c r="C33" s="258" t="s">
        <v>4752</v>
      </c>
      <c r="D33" s="258" t="s">
        <v>5074</v>
      </c>
      <c r="E33" s="258" t="s">
        <v>5122</v>
      </c>
    </row>
    <row r="34" spans="1:5" x14ac:dyDescent="0.2">
      <c r="B34" s="264"/>
    </row>
    <row r="35" spans="1:5" x14ac:dyDescent="0.2">
      <c r="A35" s="259" t="s">
        <v>5123</v>
      </c>
      <c r="B35" s="265"/>
      <c r="C35" s="259"/>
      <c r="D35" s="259"/>
      <c r="E35" s="259"/>
    </row>
    <row r="36" spans="1:5" x14ac:dyDescent="0.2">
      <c r="A36" s="259" t="s">
        <v>5124</v>
      </c>
      <c r="B36" s="265" t="s">
        <v>5125</v>
      </c>
      <c r="C36" s="259" t="s">
        <v>5126</v>
      </c>
      <c r="D36" s="259" t="s">
        <v>5127</v>
      </c>
      <c r="E36" s="259" t="s">
        <v>5128</v>
      </c>
    </row>
    <row r="37" spans="1:5" x14ac:dyDescent="0.2">
      <c r="A37" s="258" t="s">
        <v>5129</v>
      </c>
      <c r="B37" s="263">
        <v>1.7036522167750972E-3</v>
      </c>
      <c r="C37" s="261">
        <v>0.44600000000000001</v>
      </c>
      <c r="D37" s="261">
        <v>0.28799999999999998</v>
      </c>
      <c r="E37" s="258" t="s">
        <v>5130</v>
      </c>
    </row>
    <row r="38" spans="1:5" x14ac:dyDescent="0.2">
      <c r="A38" s="258" t="s">
        <v>5131</v>
      </c>
      <c r="B38" s="263">
        <v>2.7201825339291618E-2</v>
      </c>
      <c r="C38" s="261">
        <v>0.32400000000000001</v>
      </c>
      <c r="D38" s="261">
        <v>0.55400000000000005</v>
      </c>
      <c r="E38" s="258" t="s">
        <v>5132</v>
      </c>
    </row>
    <row r="39" spans="1:5" x14ac:dyDescent="0.2">
      <c r="A39" s="258" t="s">
        <v>5133</v>
      </c>
      <c r="B39" s="263">
        <v>3.9364060537294965E-2</v>
      </c>
      <c r="C39" s="261">
        <v>0.10299999999999999</v>
      </c>
      <c r="D39" s="261">
        <v>0.06</v>
      </c>
      <c r="E39" s="258" t="s">
        <v>5134</v>
      </c>
    </row>
    <row r="40" spans="1:5" x14ac:dyDescent="0.2">
      <c r="A40" s="258" t="s">
        <v>5135</v>
      </c>
      <c r="B40" s="263">
        <v>2.6270115131682835E-2</v>
      </c>
      <c r="C40" s="261">
        <v>0.127</v>
      </c>
      <c r="D40" s="261">
        <v>9.8000000000000004E-2</v>
      </c>
      <c r="E40" s="258" t="s">
        <v>5136</v>
      </c>
    </row>
    <row r="41" spans="1:5" x14ac:dyDescent="0.2">
      <c r="A41" s="258" t="s">
        <v>5137</v>
      </c>
      <c r="B41" s="263">
        <f>SUMPRODUCT(B37:B40,D37:D40)</f>
        <v>2.0496777991541398E-2</v>
      </c>
      <c r="C41" s="258" t="s">
        <v>4752</v>
      </c>
      <c r="D41" s="258" t="s">
        <v>5079</v>
      </c>
      <c r="E41" s="258" t="s">
        <v>5138</v>
      </c>
    </row>
    <row r="42" spans="1:5" x14ac:dyDescent="0.2">
      <c r="A42" s="258" t="s">
        <v>5139</v>
      </c>
      <c r="B42" s="263">
        <f>SUMPRODUCT(B37:B40,C37:C40)</f>
        <v>1.6964023155677278E-2</v>
      </c>
      <c r="C42" s="258" t="s">
        <v>4752</v>
      </c>
      <c r="D42" s="258" t="s">
        <v>5079</v>
      </c>
      <c r="E42" s="258" t="s">
        <v>5140</v>
      </c>
    </row>
    <row r="43" spans="1:5" x14ac:dyDescent="0.2">
      <c r="A43" s="259" t="s">
        <v>5141</v>
      </c>
      <c r="B43" s="265"/>
      <c r="C43" s="259"/>
      <c r="D43" s="259"/>
      <c r="E43" s="259"/>
    </row>
    <row r="44" spans="1:5" x14ac:dyDescent="0.2">
      <c r="A44" s="258" t="s">
        <v>5142</v>
      </c>
      <c r="B44" s="263">
        <v>7.9399999999999998E-2</v>
      </c>
      <c r="E44" s="258" t="s">
        <v>5143</v>
      </c>
    </row>
    <row r="45" spans="1:5" x14ac:dyDescent="0.2">
      <c r="A45" s="258" t="s">
        <v>5144</v>
      </c>
      <c r="B45" s="263">
        <v>9.4299999999999995E-2</v>
      </c>
      <c r="E45" s="258" t="s">
        <v>5145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525252"/>
    <pageSetUpPr fitToPage="1"/>
  </sheetPr>
  <dimension ref="A1:BQ552"/>
  <sheetViews>
    <sheetView showGridLines="0" tabSelected="1" topLeftCell="A53" zoomScaleNormal="100" workbookViewId="0">
      <selection activeCell="E93" sqref="E93"/>
    </sheetView>
  </sheetViews>
  <sheetFormatPr baseColWidth="10" defaultColWidth="9.33203125" defaultRowHeight="11.25" outlineLevelCol="1" x14ac:dyDescent="0.2"/>
  <cols>
    <col min="1" max="1" width="1.83203125" customWidth="1"/>
    <col min="2" max="2" width="70.6640625" customWidth="1"/>
    <col min="3" max="3" width="15.6640625" customWidth="1"/>
    <col min="4" max="4" width="5.33203125" customWidth="1"/>
    <col min="5" max="5" width="30.33203125" customWidth="1"/>
    <col min="6" max="14" width="15.6640625" customWidth="1"/>
    <col min="17" max="17" width="17.6640625" hidden="1" customWidth="1" outlineLevel="1"/>
    <col min="18" max="18" width="44.5" hidden="1" customWidth="1" outlineLevel="1"/>
    <col min="19" max="19" width="16.83203125" hidden="1" customWidth="1" outlineLevel="1"/>
    <col min="20" max="20" width="24.6640625" hidden="1" customWidth="1" outlineLevel="1"/>
    <col min="21" max="25" width="20.33203125" hidden="1" customWidth="1" outlineLevel="1"/>
    <col min="26" max="26" width="15" hidden="1" customWidth="1" outlineLevel="1"/>
    <col min="27" max="27" width="17.83203125" hidden="1" customWidth="1" outlineLevel="1"/>
    <col min="28" max="28" width="23.1640625" hidden="1" customWidth="1" outlineLevel="1"/>
    <col min="29" max="29" width="10.6640625" hidden="1" customWidth="1" outlineLevel="1"/>
    <col min="30" max="30" width="15" hidden="1" customWidth="1" outlineLevel="1"/>
    <col min="31" max="31" width="11.83203125" hidden="1" customWidth="1" outlineLevel="1"/>
    <col min="32" max="32" width="23.1640625" hidden="1" customWidth="1" outlineLevel="1"/>
    <col min="33" max="33" width="16.33203125" hidden="1" customWidth="1" outlineLevel="1"/>
    <col min="34" max="34" width="10.33203125" hidden="1" customWidth="1" outlineLevel="1"/>
    <col min="35" max="35" width="8.6640625" style="1" hidden="1" customWidth="1" outlineLevel="1"/>
    <col min="36" max="36" width="10.33203125" hidden="1" customWidth="1" outlineLevel="1"/>
    <col min="37" max="37" width="8.6640625" style="1" hidden="1" customWidth="1" outlineLevel="1"/>
    <col min="38" max="38" width="5.5" hidden="1" customWidth="1" outlineLevel="1"/>
    <col min="39" max="39" width="7.83203125" hidden="1" customWidth="1" outlineLevel="1"/>
    <col min="40" max="40" width="18.1640625" hidden="1" customWidth="1" outlineLevel="1"/>
    <col min="41" max="41" width="10.33203125" hidden="1" customWidth="1" outlineLevel="1"/>
    <col min="42" max="42" width="9.33203125" hidden="1" customWidth="1" outlineLevel="1"/>
    <col min="43" max="43" width="9.5" hidden="1" customWidth="1" outlineLevel="1"/>
    <col min="44" max="44" width="21.6640625" hidden="1" customWidth="1" outlineLevel="1"/>
    <col min="45" max="45" width="8.6640625" hidden="1" customWidth="1" outlineLevel="1"/>
    <col min="46" max="46" width="10.33203125" hidden="1" customWidth="1" outlineLevel="1"/>
    <col min="47" max="47" width="8.6640625" style="1" hidden="1" customWidth="1" outlineLevel="1"/>
    <col min="48" max="48" width="10.33203125" hidden="1" customWidth="1" outlineLevel="1"/>
    <col min="49" max="49" width="8.6640625" style="1" hidden="1" customWidth="1" outlineLevel="1"/>
    <col min="50" max="50" width="5.5" hidden="1" customWidth="1" outlineLevel="1"/>
    <col min="51" max="51" width="2" hidden="1" customWidth="1" outlineLevel="1"/>
    <col min="52" max="52" width="15" hidden="1" customWidth="1" outlineLevel="1"/>
    <col min="53" max="53" width="10.33203125" hidden="1" customWidth="1" outlineLevel="1"/>
    <col min="54" max="54" width="9.33203125" hidden="1" customWidth="1" outlineLevel="1"/>
    <col min="55" max="55" width="9.5" hidden="1" customWidth="1" outlineLevel="1"/>
    <col min="56" max="56" width="10.5" hidden="1" customWidth="1" outlineLevel="1"/>
    <col min="57" max="57" width="29.33203125" hidden="1" customWidth="1" outlineLevel="1"/>
    <col min="58" max="58" width="18.6640625" hidden="1" customWidth="1" outlineLevel="1"/>
    <col min="59" max="59" width="9.33203125" hidden="1" customWidth="1" outlineLevel="1"/>
    <col min="60" max="60" width="16.6640625" hidden="1" customWidth="1" outlineLevel="1"/>
    <col min="61" max="61" width="23" hidden="1" customWidth="1" outlineLevel="1"/>
    <col min="62" max="62" width="11.6640625" hidden="1" customWidth="1" outlineLevel="1"/>
    <col min="63" max="63" width="16.5" hidden="1" customWidth="1" outlineLevel="1"/>
    <col min="64" max="64" width="23.6640625" hidden="1" customWidth="1" outlineLevel="1"/>
    <col min="65" max="65" width="12.33203125" hidden="1" customWidth="1" outlineLevel="1"/>
    <col min="66" max="66" width="9.1640625" hidden="1" customWidth="1" outlineLevel="1"/>
    <col min="67" max="67" width="36.5" hidden="1" customWidth="1" outlineLevel="1"/>
    <col min="68" max="68" width="15.83203125" hidden="1" customWidth="1" outlineLevel="1"/>
    <col min="69" max="69" width="9.1640625" collapsed="1"/>
  </cols>
  <sheetData>
    <row r="1" spans="1:35" x14ac:dyDescent="0.2">
      <c r="A1" t="s">
        <v>1</v>
      </c>
    </row>
    <row r="2" spans="1:35" ht="45" customHeight="1" x14ac:dyDescent="0.2">
      <c r="B2" s="169" t="str">
        <f>VLOOKUP("WACC Analysis",Language_Data,Lookup_Column,FALSE)</f>
        <v>WACC Analysis</v>
      </c>
      <c r="C2" s="169"/>
      <c r="D2" s="170"/>
      <c r="E2" s="170"/>
      <c r="F2" s="170"/>
      <c r="G2" s="170"/>
      <c r="H2" s="170"/>
      <c r="I2" s="171"/>
      <c r="J2" s="171"/>
      <c r="K2" s="171"/>
      <c r="L2" s="171"/>
      <c r="M2" s="171"/>
      <c r="N2" s="171"/>
    </row>
    <row r="3" spans="1:35" ht="11.25" customHeight="1" x14ac:dyDescent="0.2">
      <c r="B3" s="6"/>
      <c r="C3" s="49"/>
      <c r="D3" s="7"/>
      <c r="E3" s="7"/>
      <c r="F3" s="7"/>
      <c r="G3" s="7"/>
      <c r="H3" s="7"/>
    </row>
    <row r="4" spans="1:35" ht="11.25" customHeight="1" x14ac:dyDescent="0.2">
      <c r="B4" s="120" t="str">
        <f>VLOOKUP("Step 1: Select terminology from dropdown to be used in model.",Language_Data,Lookup_Column,FALSE)</f>
        <v>Step 1: Select terminology from dropdown to be used in model.</v>
      </c>
      <c r="D4" s="276" t="s">
        <v>2</v>
      </c>
      <c r="E4" s="277"/>
      <c r="I4" s="190" t="str">
        <f>VLOOKUP("Contact:",Language_Data,Lookup_Column,FALSE)</f>
        <v>Contact:</v>
      </c>
      <c r="J4" s="191"/>
      <c r="K4" s="189"/>
      <c r="L4" s="189"/>
      <c r="M4" s="189"/>
      <c r="N4" s="189"/>
    </row>
    <row r="5" spans="1:35" ht="12.75" customHeight="1" x14ac:dyDescent="0.2">
      <c r="B5" s="6"/>
      <c r="C5" s="49"/>
      <c r="D5" s="7"/>
      <c r="E5" s="7"/>
      <c r="F5" s="7"/>
      <c r="I5" s="8" t="str">
        <f>VLOOKUP("For modifications, contact S&amp;P Capital IQ Pro support.",Language_Data,Lookup_Column,FALSE)</f>
        <v>For modifications, contact S&amp;P Capital IQ Pro support.</v>
      </c>
      <c r="J5" s="191"/>
      <c r="K5" s="189"/>
      <c r="L5" s="189"/>
      <c r="M5" s="189"/>
      <c r="N5" s="189"/>
    </row>
    <row r="6" spans="1:35" ht="12.75" customHeight="1" x14ac:dyDescent="0.2">
      <c r="B6" s="120" t="str">
        <f>VLOOKUP("Step 2: Hit ""UPDATE TERMINOLOGY"" button to update terminology in model.",Language_Data,Lookup_Column,FALSE)</f>
        <v>Step 2: Hit "UPDATE TERMINOLOGY" button to update terminology in model.</v>
      </c>
      <c r="C6" s="49"/>
      <c r="D6" s="7"/>
      <c r="E6" s="7"/>
      <c r="F6" s="7"/>
      <c r="I6" s="192" t="str">
        <f>VLOOKUP("Email:",Language_Data,Lookup_Column,FALSE)</f>
        <v>Email:</v>
      </c>
      <c r="J6" s="241" t="s">
        <v>3</v>
      </c>
      <c r="K6" s="189"/>
      <c r="L6" s="189"/>
      <c r="M6" s="189"/>
      <c r="N6" s="189"/>
    </row>
    <row r="7" spans="1:35" ht="12.75" customHeight="1" x14ac:dyDescent="0.2">
      <c r="B7" s="6"/>
      <c r="C7" s="49"/>
      <c r="D7" s="7"/>
      <c r="E7" s="7"/>
      <c r="F7" s="7"/>
      <c r="I7" s="188"/>
      <c r="J7" s="8"/>
      <c r="K7" s="189"/>
      <c r="L7" s="189"/>
      <c r="M7" s="189"/>
      <c r="N7" s="189"/>
      <c r="O7" s="201"/>
      <c r="T7" s="25"/>
      <c r="U7" s="252"/>
      <c r="V7" s="134" t="s">
        <v>8</v>
      </c>
      <c r="W7" s="134" t="s">
        <v>9</v>
      </c>
      <c r="X7" s="134" t="s">
        <v>10</v>
      </c>
      <c r="Y7" s="134" t="s">
        <v>11</v>
      </c>
      <c r="Z7" s="134" t="s">
        <v>11</v>
      </c>
      <c r="AA7" s="134" t="s">
        <v>11</v>
      </c>
      <c r="AB7" s="134" t="s">
        <v>11</v>
      </c>
      <c r="AC7" s="134" t="s">
        <v>11</v>
      </c>
      <c r="AD7" s="134" t="str">
        <f ca="1">"Total Debt ("&amp;$BG$47&amp;")"</f>
        <v>Total Debt (Mex$M)</v>
      </c>
      <c r="AE7" s="134" t="s">
        <v>12</v>
      </c>
      <c r="AF7" s="135" t="str">
        <f ca="1">"Total Preferred Equity ("&amp;$BG$47&amp;")"</f>
        <v>Total Preferred Equity (Mex$M)</v>
      </c>
      <c r="AI7"/>
    </row>
    <row r="8" spans="1:35" ht="11.25" customHeight="1" x14ac:dyDescent="0.2">
      <c r="B8" s="119" t="str">
        <f>VLOOKUP("Instructions:",Language_Data,Lookup_Column,FALSE)</f>
        <v>Instructions:</v>
      </c>
      <c r="C8" s="55"/>
      <c r="D8" s="4"/>
      <c r="T8" s="25"/>
      <c r="U8" s="102"/>
      <c r="V8" s="102" t="s">
        <v>90</v>
      </c>
      <c r="W8" s="102" t="s">
        <v>15</v>
      </c>
      <c r="X8" s="102" t="s">
        <v>16</v>
      </c>
      <c r="Y8" s="175" t="s">
        <v>17</v>
      </c>
      <c r="Z8" s="175" t="s">
        <v>17</v>
      </c>
      <c r="AA8" s="175" t="s">
        <v>17</v>
      </c>
      <c r="AB8" s="175" t="s">
        <v>17</v>
      </c>
      <c r="AC8" s="175" t="s">
        <v>17</v>
      </c>
      <c r="AD8" s="175" t="s">
        <v>18</v>
      </c>
      <c r="AE8" s="181" t="s">
        <v>19</v>
      </c>
      <c r="AF8" s="138" t="s">
        <v>20</v>
      </c>
      <c r="AI8"/>
    </row>
    <row r="9" spans="1:35" ht="11.25" customHeight="1" x14ac:dyDescent="0.2">
      <c r="B9" s="105" t="str">
        <f>VLOOKUP("1) Select S&amp;P Cap IQ Pro Office Add-In manual refresh option.",Language_Data,Lookup_Column,FALSE)</f>
        <v>1) Select S&amp;P Cap IQ Pro Office Add-In manual refresh option.</v>
      </c>
      <c r="C9" s="55"/>
      <c r="D9" s="4"/>
      <c r="T9" s="25"/>
      <c r="U9" s="102"/>
      <c r="V9" s="102"/>
      <c r="W9" s="102"/>
      <c r="X9" s="102"/>
      <c r="Y9" s="175" t="s">
        <v>4243</v>
      </c>
      <c r="Z9" s="175" t="s">
        <v>4477</v>
      </c>
      <c r="AA9" s="175" t="s">
        <v>4478</v>
      </c>
      <c r="AB9" s="175" t="s">
        <v>4479</v>
      </c>
      <c r="AC9" s="175" t="s">
        <v>4480</v>
      </c>
      <c r="AD9" s="175" t="s">
        <v>4481</v>
      </c>
      <c r="AE9" s="176"/>
      <c r="AF9" s="138" t="str">
        <f>AD9</f>
        <v>FQ0</v>
      </c>
      <c r="AI9"/>
    </row>
    <row r="10" spans="1:35" x14ac:dyDescent="0.2">
      <c r="B10" s="105" t="str">
        <f ca="1">"2) "&amp;VLOOKUP("This model contains VBA macros, which require specific settings to be enabled to function.",Language_Data,Lookup_Column,FALSE)</f>
        <v>2) This model contains VBA macros, which require specific settings to be enabled to function.</v>
      </c>
      <c r="C10" s="238"/>
      <c r="D10" s="239"/>
      <c r="E10" s="238"/>
      <c r="T10" s="25"/>
      <c r="U10" s="102"/>
      <c r="V10" s="104"/>
      <c r="W10" s="104"/>
      <c r="X10" s="104"/>
      <c r="Y10" s="177">
        <f t="shared" ref="Y10:AC10" si="0">Z10</f>
        <v>46311.25</v>
      </c>
      <c r="Z10" s="177">
        <f t="shared" si="0"/>
        <v>46311.25</v>
      </c>
      <c r="AA10" s="177">
        <f t="shared" si="0"/>
        <v>46311.25</v>
      </c>
      <c r="AB10" s="177">
        <f t="shared" si="0"/>
        <v>46311.25</v>
      </c>
      <c r="AC10" s="177">
        <f t="shared" si="0"/>
        <v>46311.25</v>
      </c>
      <c r="AD10" s="177">
        <f>AE10</f>
        <v>46311.25</v>
      </c>
      <c r="AE10" s="177">
        <f>AF10</f>
        <v>46311.25</v>
      </c>
      <c r="AF10" s="178">
        <f>$E$15</f>
        <v>46311.25</v>
      </c>
      <c r="AI10"/>
    </row>
    <row r="11" spans="1:35" ht="24" customHeight="1" x14ac:dyDescent="0.2">
      <c r="B11" s="288" t="s">
        <v>4922</v>
      </c>
      <c r="C11" s="288"/>
      <c r="D11" s="240"/>
      <c r="E11" s="240"/>
      <c r="I11" s="194" t="str">
        <f>VLOOKUP("Disclaimer:",Language_Data,Lookup_Column,FALSE)</f>
        <v>Disclaimer:</v>
      </c>
      <c r="J11" s="189"/>
      <c r="K11" s="189"/>
      <c r="L11" s="189"/>
      <c r="M11" s="189"/>
      <c r="N11" s="189"/>
      <c r="T11" s="25"/>
      <c r="U11" s="253" t="str">
        <f>IF(X27="","",X27)</f>
        <v>NYSE:FLO</v>
      </c>
      <c r="V11" s="62" t="s">
        <v>5157</v>
      </c>
      <c r="W11" s="4" t="s">
        <v>5158</v>
      </c>
      <c r="X11" s="4" t="s">
        <v>5147</v>
      </c>
      <c r="Y11" s="3">
        <v>25</v>
      </c>
      <c r="Z11" s="3">
        <v>25</v>
      </c>
      <c r="AA11" s="3">
        <v>25</v>
      </c>
      <c r="AB11" s="3">
        <v>25</v>
      </c>
      <c r="AC11" s="3">
        <v>25</v>
      </c>
      <c r="AD11" s="3">
        <v>37102.1</v>
      </c>
      <c r="AE11" s="3">
        <v>23943.200000000001</v>
      </c>
      <c r="AF11" s="255">
        <v>0</v>
      </c>
      <c r="AI11"/>
    </row>
    <row r="12" spans="1:35" x14ac:dyDescent="0.2">
      <c r="B12" s="106"/>
      <c r="C12" s="55"/>
      <c r="D12" s="4"/>
      <c r="I12" s="189" t="s">
        <v>5168</v>
      </c>
      <c r="K12" s="189"/>
      <c r="L12" s="189"/>
      <c r="M12" s="189"/>
      <c r="N12" s="189"/>
      <c r="T12" s="25"/>
      <c r="U12" s="102" t="str">
        <f t="shared" ref="U12:U20" si="1">IF(X28="","",X28)</f>
        <v>BMV:GRUMA B</v>
      </c>
      <c r="V12" s="62" t="s">
        <v>5159</v>
      </c>
      <c r="W12" s="4" t="s">
        <v>5158</v>
      </c>
      <c r="X12" s="4" t="s">
        <v>5148</v>
      </c>
      <c r="Y12" s="3">
        <v>30</v>
      </c>
      <c r="Z12" s="3">
        <v>30</v>
      </c>
      <c r="AA12" s="3">
        <v>30</v>
      </c>
      <c r="AB12" s="3">
        <v>30</v>
      </c>
      <c r="AC12" s="3">
        <v>30</v>
      </c>
      <c r="AD12" s="3">
        <v>39024</v>
      </c>
      <c r="AE12" s="3">
        <v>80477.899999999994</v>
      </c>
      <c r="AF12" s="255">
        <v>0</v>
      </c>
      <c r="AI12"/>
    </row>
    <row r="13" spans="1:35" x14ac:dyDescent="0.2">
      <c r="B13" s="105" t="str">
        <f>VLOOKUP("Step 1: Enter Exchange:Trading Symbol / Entity ID / CIQ ID in Cell E13.",Language_Data,Lookup_Column,FALSE)</f>
        <v>Step 1: Enter Exchange:Trading Symbol / Entity ID / CIQ ID in Cell E13.</v>
      </c>
      <c r="C13" s="4"/>
      <c r="E13" s="9" t="s">
        <v>5146</v>
      </c>
      <c r="I13" s="282" t="str">
        <f ca="1">VLOOKUP("– All rights reserved. This model and/or any data in it are provided subject to the written agreement of S&amp;P Global Market Intelligence LLC governing the subscription service to which this model is applied.",Language_Data,Lookup_Column,FALSE)</f>
        <v>– All rights reserved. This model and/or any data in it are provided subject to the written agreement of S&amp;P Global Market Intelligence LLC governing the subscription service to which this model is applied.</v>
      </c>
      <c r="J13" s="282"/>
      <c r="K13" s="282"/>
      <c r="L13" s="282"/>
      <c r="M13" s="282"/>
      <c r="N13" s="282"/>
      <c r="T13" s="25"/>
      <c r="U13" s="102" t="str">
        <f t="shared" si="1"/>
        <v>SWX:ARYN</v>
      </c>
      <c r="V13" s="62" t="s">
        <v>5160</v>
      </c>
      <c r="W13" s="4" t="s">
        <v>5158</v>
      </c>
      <c r="X13" s="4" t="s">
        <v>5149</v>
      </c>
      <c r="Y13" s="3">
        <v>20</v>
      </c>
      <c r="Z13" s="3">
        <v>20</v>
      </c>
      <c r="AA13" s="3">
        <v>20</v>
      </c>
      <c r="AB13" s="3">
        <v>20</v>
      </c>
      <c r="AC13" s="3">
        <v>20</v>
      </c>
      <c r="AD13" s="3">
        <v>18236.900000000001</v>
      </c>
      <c r="AE13" s="3">
        <v>22522.2</v>
      </c>
      <c r="AF13" s="255">
        <v>0</v>
      </c>
      <c r="AI13"/>
    </row>
    <row r="14" spans="1:35" x14ac:dyDescent="0.2">
      <c r="B14" s="4"/>
      <c r="C14" s="4"/>
      <c r="E14" s="4"/>
      <c r="I14" s="282"/>
      <c r="J14" s="282"/>
      <c r="K14" s="282"/>
      <c r="L14" s="282"/>
      <c r="M14" s="282"/>
      <c r="N14" s="282"/>
      <c r="T14" s="25"/>
      <c r="U14" s="102" t="str">
        <f t="shared" si="1"/>
        <v>NYSE:SJM</v>
      </c>
      <c r="V14" s="62" t="s">
        <v>5161</v>
      </c>
      <c r="W14" s="4" t="s">
        <v>5158</v>
      </c>
      <c r="X14" s="4" t="s">
        <v>5150</v>
      </c>
      <c r="Y14" s="3">
        <v>25</v>
      </c>
      <c r="Z14" s="3">
        <v>25</v>
      </c>
      <c r="AA14" s="3">
        <v>25</v>
      </c>
      <c r="AB14" s="3">
        <v>25</v>
      </c>
      <c r="AC14" s="3">
        <v>25</v>
      </c>
      <c r="AD14" s="3">
        <v>128248</v>
      </c>
      <c r="AE14" s="3">
        <v>251545.4</v>
      </c>
      <c r="AF14" s="255">
        <v>0</v>
      </c>
      <c r="AI14"/>
    </row>
    <row r="15" spans="1:35" x14ac:dyDescent="0.2">
      <c r="B15" s="105" t="str">
        <f ca="1">VLOOKUP("Step 2: Enter date for analysis.",Language_Data,Lookup_Column,FALSE)</f>
        <v>Step 2: Enter date for analysis.</v>
      </c>
      <c r="C15" s="4"/>
      <c r="E15" s="173">
        <v>46311.25</v>
      </c>
      <c r="I15" s="282"/>
      <c r="J15" s="282"/>
      <c r="K15" s="282"/>
      <c r="L15" s="282"/>
      <c r="M15" s="282"/>
      <c r="N15" s="282"/>
      <c r="T15" s="25"/>
      <c r="U15" s="102" t="str">
        <f t="shared" si="1"/>
        <v>NASDAQGS:CPB</v>
      </c>
      <c r="V15" s="62" t="s">
        <v>5162</v>
      </c>
      <c r="W15" s="4" t="s">
        <v>5158</v>
      </c>
      <c r="X15" s="4" t="s">
        <v>5151</v>
      </c>
      <c r="Y15" s="3">
        <v>25</v>
      </c>
      <c r="Z15" s="3">
        <v>25</v>
      </c>
      <c r="AA15" s="3">
        <v>25</v>
      </c>
      <c r="AB15" s="3">
        <v>25</v>
      </c>
      <c r="AC15" s="3">
        <v>25</v>
      </c>
      <c r="AD15" s="3">
        <v>137668.5</v>
      </c>
      <c r="AE15" s="3">
        <v>109504.7</v>
      </c>
      <c r="AF15" s="255">
        <v>0</v>
      </c>
      <c r="AI15"/>
    </row>
    <row r="16" spans="1:35" x14ac:dyDescent="0.2">
      <c r="B16" s="89"/>
      <c r="C16" s="4"/>
      <c r="D16" s="4"/>
      <c r="T16" s="25"/>
      <c r="U16" s="102" t="str">
        <f t="shared" si="1"/>
        <v>NASDAQGS:MDLZ</v>
      </c>
      <c r="V16" s="62" t="s">
        <v>5163</v>
      </c>
      <c r="W16" s="4" t="s">
        <v>5158</v>
      </c>
      <c r="X16" s="4" t="s">
        <v>5152</v>
      </c>
      <c r="Y16" s="3">
        <v>25</v>
      </c>
      <c r="Z16" s="3">
        <v>25</v>
      </c>
      <c r="AA16" s="3">
        <v>25</v>
      </c>
      <c r="AB16" s="3">
        <v>25</v>
      </c>
      <c r="AC16" s="3">
        <v>25</v>
      </c>
      <c r="AD16" s="3">
        <v>407628.3</v>
      </c>
      <c r="AE16" s="3">
        <v>1507309.9</v>
      </c>
      <c r="AF16" s="255">
        <v>0</v>
      </c>
      <c r="AI16"/>
    </row>
    <row r="17" spans="2:41" ht="11.25" customHeight="1" x14ac:dyDescent="0.2">
      <c r="B17" s="108"/>
      <c r="C17" s="4"/>
      <c r="T17" s="25"/>
      <c r="U17" s="102" t="str">
        <f t="shared" si="1"/>
        <v>BMV:AC</v>
      </c>
      <c r="V17" s="62" t="s">
        <v>5164</v>
      </c>
      <c r="W17" s="4" t="s">
        <v>5158</v>
      </c>
      <c r="X17" s="4" t="s">
        <v>5153</v>
      </c>
      <c r="Y17" s="3">
        <v>30</v>
      </c>
      <c r="Z17" s="3">
        <v>30</v>
      </c>
      <c r="AA17" s="3">
        <v>30</v>
      </c>
      <c r="AB17" s="3">
        <v>30</v>
      </c>
      <c r="AC17" s="3">
        <v>30</v>
      </c>
      <c r="AD17" s="3">
        <v>67337.5</v>
      </c>
      <c r="AE17" s="3">
        <v>355441.7</v>
      </c>
      <c r="AF17" s="255">
        <v>0</v>
      </c>
      <c r="AI17"/>
    </row>
    <row r="18" spans="2:41" ht="12" x14ac:dyDescent="0.2">
      <c r="B18" s="105" t="str">
        <f>VLOOKUP("Step 3: Select an index for market return.",Language_Data,Lookup_Column,FALSE)</f>
        <v>Step 3: Select an Index for market return.</v>
      </c>
      <c r="C18" s="283" t="s">
        <v>4</v>
      </c>
      <c r="D18" s="284"/>
      <c r="E18" s="285"/>
      <c r="I18" s="190" t="str">
        <f>VLOOKUP("Notes:",Language_Data,Lookup_Column,FALSE)</f>
        <v>Notes:</v>
      </c>
      <c r="J18" s="189"/>
      <c r="K18" s="189"/>
      <c r="T18" s="25"/>
      <c r="U18" s="102" t="str">
        <f t="shared" si="1"/>
        <v>NASDAQGS:PEP</v>
      </c>
      <c r="V18" s="62" t="s">
        <v>5165</v>
      </c>
      <c r="W18" s="4" t="s">
        <v>5158</v>
      </c>
      <c r="X18" s="4" t="s">
        <v>5154</v>
      </c>
      <c r="Y18" s="3">
        <v>25</v>
      </c>
      <c r="Z18" s="3">
        <v>25</v>
      </c>
      <c r="AA18" s="3">
        <v>25</v>
      </c>
      <c r="AB18" s="3">
        <v>25</v>
      </c>
      <c r="AC18" s="3">
        <v>25</v>
      </c>
      <c r="AD18" s="3">
        <v>958709</v>
      </c>
      <c r="AE18" s="3">
        <v>3311446</v>
      </c>
      <c r="AF18" s="255">
        <v>0</v>
      </c>
      <c r="AI18"/>
    </row>
    <row r="19" spans="2:41" x14ac:dyDescent="0.2">
      <c r="B19" s="107"/>
      <c r="C19" s="4"/>
      <c r="D19" s="4"/>
      <c r="I19" s="189" t="str">
        <f ca="1">VLOOKUP("1) S&amp;P Capital IQ Pro calculates WACC based on the annual/quarterly period end date",Language_Data,Lookup_Column,FALSE)</f>
        <v>1) S&amp;P Capital IQ Pro calculates WACC based on the annual/quarterly period end date</v>
      </c>
      <c r="T19" s="25"/>
      <c r="U19" s="102" t="str">
        <f t="shared" si="1"/>
        <v/>
      </c>
      <c r="V19" s="62"/>
      <c r="W19" s="4"/>
      <c r="X19" s="4"/>
      <c r="Y19" s="3"/>
      <c r="Z19" s="3"/>
      <c r="AA19" s="3"/>
      <c r="AB19" s="3"/>
      <c r="AC19" s="3"/>
      <c r="AD19" s="3"/>
      <c r="AE19" s="3"/>
      <c r="AF19" s="255"/>
      <c r="AI19"/>
    </row>
    <row r="20" spans="2:41" x14ac:dyDescent="0.2">
      <c r="B20" s="105" t="str">
        <f>VLOOKUP("Step 4: Select peers for beta generation.",Language_Data,Lookup_Column,FALSE)</f>
        <v>Step 4: Select peers for beta generation.</v>
      </c>
      <c r="D20" s="242"/>
      <c r="E20" s="186" t="str">
        <f ca="1">VLOOKUP("Auto-generated Peers",Language_Data,Lookup_Column,FALSE)</f>
        <v>Auto-generated Peers</v>
      </c>
      <c r="G20" s="242" t="str">
        <f ca="1">VLOOKUP("Exclude or Override Peers",Language_Data,Lookup_Column,FALSE)</f>
        <v>Exclude or Override Peers</v>
      </c>
      <c r="H20" s="186"/>
      <c r="I20" s="193" t="str">
        <f ca="1">VLOOKUP("entered in Step 2 of the Instructions.",Language_Data,Lookup_Column,FALSE)</f>
        <v>entered in Step 2 of the Instructions.</v>
      </c>
      <c r="T20" s="25"/>
      <c r="U20" s="103" t="str">
        <f t="shared" si="1"/>
        <v/>
      </c>
      <c r="V20" s="71"/>
      <c r="W20" s="61"/>
      <c r="X20" s="61"/>
      <c r="Y20" s="254"/>
      <c r="Z20" s="254"/>
      <c r="AA20" s="254"/>
      <c r="AB20" s="254"/>
      <c r="AC20" s="254"/>
      <c r="AD20" s="254"/>
      <c r="AE20" s="254"/>
      <c r="AF20" s="256"/>
      <c r="AI20"/>
    </row>
    <row r="21" spans="2:41" ht="12" hidden="1" customHeight="1" x14ac:dyDescent="0.2">
      <c r="B21" s="107"/>
      <c r="E21" s="187" t="s">
        <v>5169</v>
      </c>
      <c r="H21" s="182"/>
      <c r="U21" s="101"/>
    </row>
    <row r="22" spans="2:41" x14ac:dyDescent="0.2">
      <c r="B22" s="195" t="str">
        <f ca="1">VLOOKUP("&gt;Automatic peers are generated in Cells E22:E31.",Language_Data,Lookup_Column,FALSE)</f>
        <v>&gt;Automatic peers are generated in Cells E22:E31.</v>
      </c>
      <c r="D22" s="168" t="str">
        <f>VLOOKUP("Peer 1",Language_Data,Lookup_Column,FALSE)&amp;" ►"</f>
        <v>Peer 1 ►</v>
      </c>
      <c r="E22" s="196" t="s">
        <v>5147</v>
      </c>
      <c r="F22" s="249"/>
      <c r="G22" s="289"/>
      <c r="H22" s="289"/>
      <c r="I22" s="189" t="str">
        <f ca="1">VLOOKUP("2) If no bond issuances are available as of the period end date, then average of",Language_Data,Lookup_Column,FALSE)</f>
        <v>2) If no bond issuances are available as of the period end date, then average of</v>
      </c>
    </row>
    <row r="23" spans="2:41" x14ac:dyDescent="0.2">
      <c r="B23" s="195" t="str">
        <f ca="1">VLOOKUP("&gt;To exclude, put an asterisk (*) in their corresponding adjacent yellow cells.",Language_Data,Lookup_Column,FALSE)</f>
        <v>&gt;To exclude, put an asterisk (*) in their corresponding adjacent yellow cells.</v>
      </c>
      <c r="D23" s="168" t="str">
        <f>VLOOKUP("Peer 2",Language_Data,Lookup_Column,FALSE)&amp;" ►"</f>
        <v>Peer 2 ►</v>
      </c>
      <c r="E23" s="197" t="s">
        <v>5148</v>
      </c>
      <c r="F23" s="249"/>
      <c r="G23" s="290"/>
      <c r="H23" s="291"/>
      <c r="I23" s="193" t="str">
        <f ca="1">VLOOKUP("the last 5 issued bonds is based on the most recent issuance.",Language_Data,Lookup_Column,FALSE)</f>
        <v>the last 5 issued bonds is based on the most recent issuance.</v>
      </c>
    </row>
    <row r="24" spans="2:41" x14ac:dyDescent="0.2">
      <c r="B24" s="275" t="str">
        <f ca="1">VLOOKUP("&gt;To override, enter Trading Symbol &amp; Exchange of desired peers in their corresponding adjacent yellow cells.",Language_Data,Lookup_Column,FALSE)</f>
        <v>&gt;To override, enter Trading Symbol &amp; Exchange of desired peers in their corresponding adjacent yellow cells.</v>
      </c>
      <c r="D24" s="168" t="str">
        <f>VLOOKUP("Peer 3",Language_Data,Lookup_Column,FALSE)&amp;" ►"</f>
        <v>Peer 3 ►</v>
      </c>
      <c r="E24" s="198" t="s">
        <v>5149</v>
      </c>
      <c r="F24" s="249"/>
      <c r="G24" s="289"/>
      <c r="H24" s="289"/>
      <c r="I24" s="189" t="str">
        <f>VLOOKUP("3) The model includes only the securities issued by the focus company.",Language_Data,Lookup_Column,FALSE)</f>
        <v>3) The model includes only the securities issued by the Focus company.</v>
      </c>
      <c r="V24" s="200" t="str">
        <f ca="1">VLOOKUP("Initial Check:",Language_Data,Lookup_Column,FALSE)</f>
        <v>Initial check:</v>
      </c>
      <c r="X24" s="200" t="str">
        <f ca="1">VLOOKUP("Final Peer List:",Language_Data,Lookup_Column,FALSE)</f>
        <v>Final Peer List:</v>
      </c>
      <c r="AO24" s="244"/>
    </row>
    <row r="25" spans="2:41" x14ac:dyDescent="0.2">
      <c r="B25" s="275"/>
      <c r="D25" s="168" t="str">
        <f>VLOOKUP("Peer 4",Language_Data,Lookup_Column,FALSE)&amp;" ►"</f>
        <v>Peer 4 ►</v>
      </c>
      <c r="E25" s="198" t="s">
        <v>5150</v>
      </c>
      <c r="F25" s="249"/>
      <c r="G25" s="289"/>
      <c r="H25" s="289"/>
      <c r="I25" s="189" t="str">
        <f ca="1">VLOOKUP("4) Manual override options are provided for Risk-free rate, Cost of Debt, ",Language_Data,Lookup_Column,FALSE)</f>
        <v xml:space="preserve">4) Manual override options are provided for Risk-free rate, Cost of Debt, </v>
      </c>
      <c r="AO25" s="244"/>
    </row>
    <row r="26" spans="2:41" x14ac:dyDescent="0.2">
      <c r="B26" s="195" t="str">
        <f ca="1">VLOOKUP("(Sample format: NYSE:ORCL or BARC-LSE)",Language_Data,Lookup_Column,FALSE)</f>
        <v>(Sample format: NYSE:ORCL or BARC-LSE)</v>
      </c>
      <c r="D26" s="168" t="str">
        <f>VLOOKUP("Peer 5",Language_Data,Lookup_Column,FALSE)&amp;" ►"</f>
        <v>Peer 5 ►</v>
      </c>
      <c r="E26" s="198" t="s">
        <v>5151</v>
      </c>
      <c r="F26" s="249"/>
      <c r="G26" s="289"/>
      <c r="H26" s="289"/>
      <c r="I26" s="193" t="str">
        <f ca="1">VLOOKUP("Cost of Preferred Equity, and Market Return.",Language_Data,Lookup_Column,FALSE)</f>
        <v>Cost of Preferred Equity, and Market Return.</v>
      </c>
      <c r="AO26" s="244"/>
    </row>
    <row r="27" spans="2:41" x14ac:dyDescent="0.2">
      <c r="B27" s="107"/>
      <c r="D27" s="168" t="str">
        <f>VLOOKUP("Peer 6",Language_Data,Lookup_Column,FALSE)&amp;" ►"</f>
        <v>Peer 6 ►</v>
      </c>
      <c r="E27" s="198" t="s">
        <v>5152</v>
      </c>
      <c r="F27" s="249"/>
      <c r="G27" s="289"/>
      <c r="H27" s="289"/>
      <c r="I27" s="243"/>
      <c r="J27" s="182"/>
      <c r="U27" s="120">
        <v>1</v>
      </c>
      <c r="V27" s="199" t="str">
        <f t="shared" ref="V27:V36" si="2">IF(G22="*","",IF(G22&lt;&gt;"",G22,IF(E22="","",E22)))</f>
        <v>NYSE:FLO</v>
      </c>
      <c r="W27" s="120">
        <f t="shared" ref="W27:W36" si="3">IF(V27="","",U27)</f>
        <v>1</v>
      </c>
      <c r="X27" s="250" t="str">
        <f t="shared" ref="X27:X36" si="4">IFERROR(INDEX($V$27:$V$36,MATCH(SMALL($W$27:$W$36,U27),$U$27:$U$36,0)),"")</f>
        <v>NYSE:FLO</v>
      </c>
      <c r="AO27" s="244"/>
    </row>
    <row r="28" spans="2:41" x14ac:dyDescent="0.2">
      <c r="B28" s="107"/>
      <c r="D28" s="168" t="str">
        <f ca="1">VLOOKUP("Peer 7",Language_Data,Lookup_Column,FALSE)&amp;" ►"</f>
        <v>Peer 7 ►</v>
      </c>
      <c r="E28" s="198" t="s">
        <v>5153</v>
      </c>
      <c r="F28" s="249"/>
      <c r="G28" s="289"/>
      <c r="H28" s="289"/>
      <c r="I28" s="271" t="s">
        <v>5170</v>
      </c>
      <c r="J28" s="182"/>
      <c r="R28" s="120"/>
      <c r="U28" s="120">
        <v>2</v>
      </c>
      <c r="V28" s="199" t="str">
        <f>IF(G23="*","",IF(G23&lt;&gt;"",G23,IF(E23="","",E23)))</f>
        <v>BMV:GRUMA B</v>
      </c>
      <c r="W28" s="120">
        <f t="shared" si="3"/>
        <v>2</v>
      </c>
      <c r="X28" s="251" t="str">
        <f t="shared" si="4"/>
        <v>BMV:GRUMA B</v>
      </c>
      <c r="AO28" s="244"/>
    </row>
    <row r="29" spans="2:41" x14ac:dyDescent="0.2">
      <c r="B29" s="107"/>
      <c r="D29" s="168" t="str">
        <f ca="1">VLOOKUP("Peer 8",Language_Data,Lookup_Column,FALSE)&amp;" ►"</f>
        <v>Peer 8 ►</v>
      </c>
      <c r="E29" s="198" t="s">
        <v>5154</v>
      </c>
      <c r="F29" s="249"/>
      <c r="G29" s="289"/>
      <c r="H29" s="289"/>
      <c r="I29" s="243" t="s">
        <v>5171</v>
      </c>
      <c r="J29" s="182"/>
      <c r="R29" s="120"/>
      <c r="U29" s="120">
        <v>3</v>
      </c>
      <c r="V29" s="199" t="str">
        <f>IF(G24="*","",IF(G24&lt;&gt;"",G24,IF(E24="","",E24)))</f>
        <v>SWX:ARYN</v>
      </c>
      <c r="W29" s="120">
        <f t="shared" si="3"/>
        <v>3</v>
      </c>
      <c r="X29" s="251" t="str">
        <f t="shared" si="4"/>
        <v>SWX:ARYN</v>
      </c>
      <c r="AO29" s="244"/>
    </row>
    <row r="30" spans="2:41" x14ac:dyDescent="0.2">
      <c r="B30" s="107"/>
      <c r="D30" s="168" t="str">
        <f ca="1">VLOOKUP("Peer 9",Language_Data,Lookup_Column,FALSE)&amp;" ►"</f>
        <v>Peer 9 ►</v>
      </c>
      <c r="E30" s="198"/>
      <c r="F30" s="249"/>
      <c r="G30" s="289"/>
      <c r="H30" s="289"/>
      <c r="I30" s="243" t="s">
        <v>5172</v>
      </c>
      <c r="J30" s="182"/>
      <c r="U30" s="120">
        <v>4</v>
      </c>
      <c r="V30" s="199" t="str">
        <f t="shared" si="2"/>
        <v>NYSE:SJM</v>
      </c>
      <c r="W30" s="120">
        <f t="shared" si="3"/>
        <v>4</v>
      </c>
      <c r="X30" s="251" t="str">
        <f t="shared" si="4"/>
        <v>NYSE:SJM</v>
      </c>
    </row>
    <row r="31" spans="2:41" x14ac:dyDescent="0.2">
      <c r="B31" s="107"/>
      <c r="D31" s="168" t="str">
        <f ca="1">VLOOKUP("Peer 10",Language_Data,Lookup_Column,FALSE)&amp;" ►"</f>
        <v>Peer 10 ►</v>
      </c>
      <c r="E31" s="198" t="s">
        <v>5155</v>
      </c>
      <c r="F31" s="249"/>
      <c r="G31" s="289" t="s">
        <v>5156</v>
      </c>
      <c r="H31" s="289"/>
      <c r="I31" s="243" t="s">
        <v>5173</v>
      </c>
      <c r="J31" s="182"/>
      <c r="U31" s="120">
        <v>5</v>
      </c>
      <c r="V31" s="199" t="str">
        <f t="shared" si="2"/>
        <v>NASDAQGS:CPB</v>
      </c>
      <c r="W31" s="120">
        <f t="shared" si="3"/>
        <v>5</v>
      </c>
      <c r="X31" s="251" t="str">
        <f t="shared" si="4"/>
        <v>NASDAQGS:CPB</v>
      </c>
    </row>
    <row r="32" spans="2:41" x14ac:dyDescent="0.2">
      <c r="B32" s="107"/>
      <c r="C32" s="4"/>
      <c r="I32" t="s">
        <v>5174</v>
      </c>
      <c r="J32" s="189"/>
      <c r="U32" s="120">
        <v>6</v>
      </c>
      <c r="V32" s="199" t="str">
        <f t="shared" si="2"/>
        <v>NASDAQGS:MDLZ</v>
      </c>
      <c r="W32" s="120">
        <f t="shared" si="3"/>
        <v>6</v>
      </c>
      <c r="X32" s="251" t="str">
        <f t="shared" si="4"/>
        <v>NASDAQGS:MDLZ</v>
      </c>
    </row>
    <row r="33" spans="2:68" x14ac:dyDescent="0.2">
      <c r="B33" s="105" t="str">
        <f>VLOOKUP("Step 5: Select currency and magnitude.",Language_Data,Lookup_Column,FALSE)</f>
        <v>Step 5: Select currency and magnitude.</v>
      </c>
      <c r="D33" s="168" t="str">
        <f>VLOOKUP("Currency",Language_Data,Lookup_Column,FALSE)&amp;" ►"</f>
        <v>Currency ►</v>
      </c>
      <c r="E33" s="9" t="s">
        <v>176</v>
      </c>
      <c r="I33" t="s">
        <v>5175</v>
      </c>
      <c r="J33" s="189"/>
      <c r="U33" s="120">
        <v>7</v>
      </c>
      <c r="V33" s="199" t="str">
        <f t="shared" si="2"/>
        <v>BMV:AC</v>
      </c>
      <c r="W33" s="120">
        <f t="shared" si="3"/>
        <v>7</v>
      </c>
      <c r="X33" s="251" t="str">
        <f t="shared" si="4"/>
        <v>BMV:AC</v>
      </c>
    </row>
    <row r="34" spans="2:68" ht="11.25" customHeight="1" x14ac:dyDescent="0.2">
      <c r="D34" s="168" t="str">
        <f>VLOOKUP("Magnitude",Language_Data,Lookup_Column,FALSE)&amp;" ►"</f>
        <v>Magnitude ►</v>
      </c>
      <c r="E34" s="9" t="s">
        <v>279</v>
      </c>
      <c r="I34" t="s">
        <v>5176</v>
      </c>
      <c r="J34" s="189"/>
      <c r="U34" s="120">
        <v>8</v>
      </c>
      <c r="V34" s="199" t="str">
        <f t="shared" si="2"/>
        <v>NASDAQGS:PEP</v>
      </c>
      <c r="W34" s="120">
        <f t="shared" si="3"/>
        <v>8</v>
      </c>
      <c r="X34" s="251" t="str">
        <f t="shared" si="4"/>
        <v>NASDAQGS:PEP</v>
      </c>
    </row>
    <row r="35" spans="2:68" x14ac:dyDescent="0.2">
      <c r="B35" s="109"/>
      <c r="C35" s="4"/>
      <c r="D35" s="4"/>
      <c r="F35" s="10"/>
      <c r="J35" s="189"/>
      <c r="U35" s="120">
        <v>9</v>
      </c>
      <c r="V35" s="199" t="str">
        <f t="shared" si="2"/>
        <v/>
      </c>
      <c r="W35" s="120" t="str">
        <f t="shared" si="3"/>
        <v/>
      </c>
      <c r="X35" s="251" t="str">
        <f t="shared" si="4"/>
        <v/>
      </c>
    </row>
    <row r="36" spans="2:68" ht="12" customHeight="1" x14ac:dyDescent="0.2">
      <c r="B36" s="105" t="str">
        <f>VLOOKUP("Step 6: Click on ""REFRESH"" button.",Language_Data,Lookup_Column,FALSE)</f>
        <v>Step 6: Click on "REFRESH" button.</v>
      </c>
      <c r="C36" s="4"/>
      <c r="D36" s="4"/>
      <c r="F36" s="13"/>
      <c r="J36" s="189"/>
      <c r="U36" s="120">
        <v>10</v>
      </c>
      <c r="V36" s="199" t="str">
        <f t="shared" si="2"/>
        <v/>
      </c>
      <c r="W36" s="120" t="str">
        <f t="shared" si="3"/>
        <v/>
      </c>
      <c r="X36" s="251" t="str">
        <f t="shared" si="4"/>
        <v/>
      </c>
    </row>
    <row r="37" spans="2:68" x14ac:dyDescent="0.2">
      <c r="F37" s="13"/>
      <c r="G37" s="13"/>
    </row>
    <row r="38" spans="2:68" ht="12" customHeight="1" x14ac:dyDescent="0.2">
      <c r="B38" s="61"/>
      <c r="C38" s="110"/>
      <c r="D38" s="61"/>
      <c r="E38" s="61"/>
      <c r="F38" s="11"/>
      <c r="G38" s="11"/>
      <c r="H38" s="14"/>
      <c r="I38" s="14"/>
      <c r="J38" s="14"/>
      <c r="K38" s="14"/>
      <c r="L38" s="14"/>
      <c r="M38" s="14"/>
      <c r="N38" s="14"/>
    </row>
    <row r="41" spans="2:68" x14ac:dyDescent="0.2">
      <c r="V41" s="4" t="s">
        <v>13</v>
      </c>
      <c r="W41" s="112">
        <f>IF($C$68=$V$42,1,2)</f>
        <v>2</v>
      </c>
    </row>
    <row r="42" spans="2:68" ht="16.5" thickBot="1" x14ac:dyDescent="0.3">
      <c r="B42" s="48" t="str">
        <f>V73&amp;IF(V71="",""," ("&amp;V71&amp;")")</f>
        <v>Grupo Bimbo, S.A.B. de C.V. (BMV:BIMBO A)</v>
      </c>
      <c r="C42" s="47"/>
      <c r="D42" s="47"/>
      <c r="E42" s="47"/>
      <c r="F42" s="47"/>
      <c r="G42" s="47"/>
      <c r="H42" s="47"/>
      <c r="I42" s="47"/>
      <c r="J42" s="47"/>
      <c r="K42" s="47"/>
      <c r="L42" s="47"/>
      <c r="M42" s="47"/>
      <c r="N42" s="47"/>
      <c r="V42" s="4" t="str">
        <f>VLOOKUP("Bottom-Up Beta",Language_Data,Lookup_Column,FALSE)</f>
        <v>Bottom-Up Beta</v>
      </c>
      <c r="W42" s="113">
        <f>N64</f>
        <v>0.38496380072288022</v>
      </c>
    </row>
    <row r="43" spans="2:68" x14ac:dyDescent="0.2">
      <c r="V43" s="4" t="str">
        <f>VLOOKUP("Regression Beta",Language_Data,Lookup_Column,FALSE)</f>
        <v>Regression Beta</v>
      </c>
      <c r="W43" s="113">
        <f>Independent_Inputs!B18</f>
        <v>0.86349256566022914</v>
      </c>
    </row>
    <row r="44" spans="2:68" x14ac:dyDescent="0.2">
      <c r="B44" s="42" t="str">
        <f>VLOOKUP("ASSUMPTIONS",Language_Data,Lookup_Column,FALSE)</f>
        <v>ASSUMPTIONS</v>
      </c>
      <c r="C44" s="42"/>
      <c r="E44" s="78" t="str">
        <f>VLOOKUP("BETA CALCULATION",Language_Data,Lookup_Column,FALSE)</f>
        <v>BETA CALCULATION</v>
      </c>
      <c r="F44" s="79"/>
      <c r="G44" s="79"/>
      <c r="H44" s="79"/>
      <c r="I44" s="80"/>
      <c r="J44" s="80"/>
      <c r="K44" s="80"/>
      <c r="L44" s="80"/>
      <c r="M44" s="80"/>
      <c r="N44" s="80"/>
    </row>
    <row r="45" spans="2:68" ht="11.25" customHeight="1" x14ac:dyDescent="0.2">
      <c r="E45" s="5"/>
      <c r="F45" s="50" t="str">
        <f>VLOOKUP("5Yr Avg",Language_Data,Lookup_Column,FALSE)&amp;" "&amp;VLOOKUP("Tax Rate",Language_Data,Lookup_Column,FALSE)</f>
        <v>5Yr Avg Tax Rate</v>
      </c>
      <c r="G45" s="50" t="str">
        <f>VLOOKUP("5Yr Avg",Language_Data,Lookup_Column,FALSE)</f>
        <v>5Yr Avg</v>
      </c>
      <c r="H45" s="286" t="str">
        <f>VLOOKUP("Levered Beta",Language_Data,Lookup_Column,FALSE)</f>
        <v>Levered Beta</v>
      </c>
      <c r="I45" s="280" t="str">
        <f ca="1">VLOOKUP("Total Debt",Language_Data,Lookup_Column,FALSE)&amp;" ("&amp;$BG$47&amp;")"</f>
        <v>Total Debt (Mex$M)</v>
      </c>
      <c r="J45" s="136" t="str">
        <f>VLOOKUP("Mkt. Val.",Language_Data,Lookup_Column,FALSE)</f>
        <v>Mkt. Val.</v>
      </c>
      <c r="K45" s="280" t="str">
        <f ca="1">VLOOKUP("Total Preferred Equity",Language_Data,Lookup_Column,FALSE)&amp;" ("&amp;$BG$47&amp;")"</f>
        <v>Total Preferred Equity (Mex$M)</v>
      </c>
      <c r="L45" s="280" t="str">
        <f>VLOOKUP("Debt/",Language_Data,Lookup_Column,FALSE)&amp;VLOOKUP("Equity",Language_Data,Lookup_Column,FALSE)</f>
        <v>Debt/Equity</v>
      </c>
      <c r="M45" s="280" t="str">
        <f>VLOOKUP("Pref/",Language_Data,Lookup_Column,FALSE)&amp;VLOOKUP("Equity",Language_Data,Lookup_Column,FALSE)</f>
        <v>Pref/Equity</v>
      </c>
      <c r="N45" s="50" t="str">
        <f>VLOOKUP("Unlevered",Language_Data,Lookup_Column,FALSE)</f>
        <v>Unlevered</v>
      </c>
      <c r="BE45" s="278" t="s">
        <v>24</v>
      </c>
      <c r="BF45" s="279"/>
    </row>
    <row r="46" spans="2:68" ht="11.25" customHeight="1" x14ac:dyDescent="0.2">
      <c r="B46" t="str">
        <f>VLOOKUP("Tax Rate (5 Year Average)",Language_Data,Lookup_Column,FALSE)</f>
        <v>Tax Rate (5 Year Average)</v>
      </c>
      <c r="C46" s="96">
        <f>IFERROR(AVERAGE(V65:V69)/100,0)</f>
        <v>0.3</v>
      </c>
      <c r="E46" s="51" t="str">
        <f>VLOOKUP("Name",Language_Data,Lookup_Column,FALSE)</f>
        <v>Name</v>
      </c>
      <c r="F46" s="257" t="str">
        <f ca="1">VLOOKUP("Manual Override",Language_Data,Lookup_Column,FALSE)</f>
        <v>Manual Override</v>
      </c>
      <c r="G46" s="52" t="str">
        <f>VLOOKUP("Tax Rate",Language_Data,Lookup_Column,FALSE)</f>
        <v>Tax Rate</v>
      </c>
      <c r="H46" s="287"/>
      <c r="I46" s="281"/>
      <c r="J46" s="137" t="str">
        <f ca="1">VLOOKUP("Equity",Language_Data,Lookup_Column,FALSE)&amp;" ("&amp;$BG$47&amp;")"</f>
        <v>Equity (Mex$M)</v>
      </c>
      <c r="K46" s="281"/>
      <c r="L46" s="281"/>
      <c r="M46" s="281"/>
      <c r="N46" s="52" t="str">
        <f>VLOOKUP("Beta",Language_Data,Lookup_Column,FALSE)</f>
        <v>Beta</v>
      </c>
      <c r="BE46" s="273" t="s">
        <v>25</v>
      </c>
      <c r="BF46" s="274"/>
    </row>
    <row r="47" spans="2:68" x14ac:dyDescent="0.2">
      <c r="B47" s="43" t="s">
        <v>4239</v>
      </c>
      <c r="C47" s="96">
        <f>IF(C48&lt;&gt;"",C48,IFERROR(VLOOKUP(B47,R78:S159,2,0)/100,0))</f>
        <v>7.5101187761694166E-2</v>
      </c>
      <c r="E47" s="85" t="str">
        <f>V11</f>
        <v>Flowers Foods</v>
      </c>
      <c r="F47" s="97">
        <v>0.25</v>
      </c>
      <c r="G47" s="86">
        <f>IF($E47="","",IF($F47="",IFERROR(AVERAGE(Y11:AC11)/100,0),$F47))</f>
        <v>0.25</v>
      </c>
      <c r="H47" s="54">
        <v>0.40229999999999999</v>
      </c>
      <c r="I47" s="245">
        <f>IF($E47="","",IF(OR(AD11="",AD11="NA"),0,AD11))</f>
        <v>37102.1</v>
      </c>
      <c r="J47" s="87">
        <f>IF($E47="","",IF(OR(AE11="",AE11="NA"),0,AE11))</f>
        <v>23943.200000000001</v>
      </c>
      <c r="K47" s="245">
        <f>IF($E47="","",IF(OR(AF11="",AF11="NA"),0,AF11))</f>
        <v>0</v>
      </c>
      <c r="L47" s="53">
        <f t="shared" ref="L47:L52" si="5">IF($J47="","",IF(ISERROR(I47/J47),0,I47/J47))</f>
        <v>1.5495881920545289</v>
      </c>
      <c r="M47" s="53">
        <f t="shared" ref="M47:M52" si="6">IF($J47="","",IF(ISERROR(K47/J47),0,K47/J47))</f>
        <v>0</v>
      </c>
      <c r="N47" s="54">
        <f t="shared" ref="N47:N52" si="7">IF($E47="","",IF(H47=0,"NA",IF(ISERROR(H47/(1+L47*(1-$G47)+M47)),0,H47/(1+L47*(1-$G47)+M47))))</f>
        <v>0.18606125601279899</v>
      </c>
      <c r="BE47" s="4"/>
      <c r="BF47" s="4"/>
      <c r="BG47" s="161" t="str">
        <f ca="1">IFERROR(BG48&amp;BH48,"")</f>
        <v>Mex$M</v>
      </c>
      <c r="BH47" s="4"/>
      <c r="BL47" s="45" t="str">
        <f>VLOOKUP("WACC",Language_Data,Lookup_Column,FALSE)</f>
        <v>WACC</v>
      </c>
      <c r="BO47" s="225" t="s">
        <v>286</v>
      </c>
      <c r="BP47" s="226"/>
    </row>
    <row r="48" spans="2:68" x14ac:dyDescent="0.2">
      <c r="B48" s="1" t="str">
        <f ca="1">VLOOKUP("Risk-free Rate Manual Override ►",Language_Data,Lookup_Column,FALSE)</f>
        <v>Risk-free Rate Manual Override ►</v>
      </c>
      <c r="C48" s="97">
        <f>Independent_Inputs!B8</f>
        <v>7.5101187761694166E-2</v>
      </c>
      <c r="E48" s="85" t="str">
        <f t="shared" ref="E48:E56" si="8">V12</f>
        <v>Gruma</v>
      </c>
      <c r="F48" s="97">
        <v>0.3</v>
      </c>
      <c r="G48" s="86">
        <f t="shared" ref="G48:G56" si="9">IF($E48="","",IF($F48="",IFERROR(AVERAGE(Y12:AC12)/100,0),$F48))</f>
        <v>0.3</v>
      </c>
      <c r="H48" s="54">
        <v>0.4647</v>
      </c>
      <c r="I48" s="245">
        <f t="shared" ref="I48:I56" si="10">IF($E48="","",IF(OR(AD12="",AD12="NA"),0,AD12))</f>
        <v>39024</v>
      </c>
      <c r="J48" s="87">
        <f t="shared" ref="J48:J56" si="11">IF($E48="","",IF(OR(AE12="",AE12="NA"),0,AE12))</f>
        <v>80477.899999999994</v>
      </c>
      <c r="K48" s="245">
        <f t="shared" ref="K48:K56" si="12">IF($E48="","",IF(OR(AF12="",AF12="NA"),0,AF12))</f>
        <v>0</v>
      </c>
      <c r="L48" s="53">
        <f t="shared" si="5"/>
        <v>0.48490330885870536</v>
      </c>
      <c r="M48" s="53">
        <f t="shared" si="6"/>
        <v>0</v>
      </c>
      <c r="N48" s="54">
        <f t="shared" si="7"/>
        <v>0.34693802320522255</v>
      </c>
      <c r="BE48" s="162" t="str">
        <f>$E$33</f>
        <v>Mexican Peso</v>
      </c>
      <c r="BF48" s="162" t="str">
        <f ca="1">VLOOKUP(BE48,$BE$51:$BH$175,2,FALSE)</f>
        <v>MXN</v>
      </c>
      <c r="BG48" s="162" t="str">
        <f ca="1">VLOOKUP(BE48,$BE$51:$BH$175,3,FALSE)</f>
        <v>Mex$</v>
      </c>
      <c r="BH48" s="162" t="str">
        <f ca="1">BF132</f>
        <v>M</v>
      </c>
      <c r="BL48" s="17" t="str">
        <f>VLOOKUP("Intermediate",Language_Data,Lookup_Column,FALSE)</f>
        <v>Intermediate</v>
      </c>
      <c r="BO48" s="45" t="s">
        <v>287</v>
      </c>
      <c r="BP48" s="45" t="s">
        <v>4650</v>
      </c>
    </row>
    <row r="49" spans="2:68" x14ac:dyDescent="0.2">
      <c r="B49" t="str">
        <f>$C$18&amp;" "&amp;VLOOKUP("Market Return (Rm) - Yearly for Last 10 Years",Language_Data,Lookup_Column,FALSE)</f>
        <v>S&amp;P 500 Market Return (Rm) - Yearly for Last 10 Years</v>
      </c>
      <c r="C49" s="96">
        <f>IF(C50&lt;&gt;"",C50,IFERROR(AVERAGE(AB59:AB68),0))</f>
        <v>0.11710118776169418</v>
      </c>
      <c r="E49" s="85" t="str">
        <f t="shared" si="8"/>
        <v>Aryzta</v>
      </c>
      <c r="F49" s="97">
        <v>0.2</v>
      </c>
      <c r="G49" s="86">
        <f t="shared" si="9"/>
        <v>0.2</v>
      </c>
      <c r="H49" s="54">
        <v>0.28749999999999998</v>
      </c>
      <c r="I49" s="245">
        <f t="shared" si="10"/>
        <v>18236.900000000001</v>
      </c>
      <c r="J49" s="87">
        <f t="shared" si="11"/>
        <v>22522.2</v>
      </c>
      <c r="K49" s="245">
        <f t="shared" si="12"/>
        <v>0</v>
      </c>
      <c r="L49" s="53">
        <f t="shared" si="5"/>
        <v>0.80972995533296044</v>
      </c>
      <c r="M49" s="53">
        <f t="shared" si="6"/>
        <v>0</v>
      </c>
      <c r="N49" s="54">
        <f t="shared" si="7"/>
        <v>0.17447675559095613</v>
      </c>
      <c r="AD49" s="121" t="s">
        <v>4646</v>
      </c>
      <c r="AE49" s="14">
        <f>IF(COUNTA(AD53:AD1048576)&lt;2,2,COUNTA(AD53:AD1048576))</f>
        <v>61</v>
      </c>
      <c r="AF49" s="14"/>
      <c r="AG49" s="14"/>
      <c r="AH49" s="14"/>
      <c r="AI49" s="209"/>
      <c r="AJ49" s="14"/>
      <c r="AK49" s="209"/>
      <c r="AL49" s="14"/>
      <c r="AM49" s="14"/>
      <c r="AN49" s="14"/>
      <c r="AO49" s="14"/>
      <c r="AP49" s="14"/>
      <c r="AR49" s="121" t="s">
        <v>4647</v>
      </c>
      <c r="AS49" s="14">
        <f>IF(COUNTA(AR53:AR1048576)&lt;2,2,COUNTA(AR53:AR1048576))</f>
        <v>2</v>
      </c>
      <c r="AT49" s="14"/>
      <c r="AU49" s="209"/>
      <c r="AV49" s="14"/>
      <c r="AW49" s="209"/>
      <c r="AX49" s="14"/>
      <c r="AY49" s="14"/>
      <c r="AZ49" s="14"/>
      <c r="BA49" s="14"/>
      <c r="BB49" s="14"/>
      <c r="BE49" s="4"/>
      <c r="BF49" s="4"/>
      <c r="BG49" s="4"/>
      <c r="BH49" s="4"/>
      <c r="BO49" s="46" t="s">
        <v>288</v>
      </c>
      <c r="BP49" s="46" t="s">
        <v>4651</v>
      </c>
    </row>
    <row r="50" spans="2:68" x14ac:dyDescent="0.2">
      <c r="B50" s="1" t="str">
        <f ca="1">VLOOKUP("Market Return Manual Override ►",Language_Data,Lookup_Column,FALSE)</f>
        <v>Market Return Manual Override ►</v>
      </c>
      <c r="C50" s="97">
        <f>Independent_Inputs!B10</f>
        <v>0.11710118776169418</v>
      </c>
      <c r="E50" s="85" t="str">
        <f t="shared" si="8"/>
        <v>J.M. Smucker</v>
      </c>
      <c r="F50" s="97">
        <v>0.25</v>
      </c>
      <c r="G50" s="86">
        <f t="shared" si="9"/>
        <v>0.25</v>
      </c>
      <c r="H50" s="54">
        <v>0.25790000000000002</v>
      </c>
      <c r="I50" s="245">
        <f t="shared" si="10"/>
        <v>128248</v>
      </c>
      <c r="J50" s="87">
        <f t="shared" si="11"/>
        <v>251545.4</v>
      </c>
      <c r="K50" s="245">
        <f t="shared" si="12"/>
        <v>0</v>
      </c>
      <c r="L50" s="53">
        <f t="shared" si="5"/>
        <v>0.50984037076408473</v>
      </c>
      <c r="M50" s="53">
        <f t="shared" si="6"/>
        <v>0</v>
      </c>
      <c r="N50" s="54">
        <f t="shared" si="7"/>
        <v>0.18656226806092288</v>
      </c>
      <c r="BE50" s="56" t="str">
        <f ca="1">VLOOKUP(BI52,Language_Data,Lookup_Column,FALSE)</f>
        <v>Euro</v>
      </c>
      <c r="BF50" s="57" t="s">
        <v>29</v>
      </c>
      <c r="BG50" s="57" t="s">
        <v>30</v>
      </c>
      <c r="BH50" s="117" t="s">
        <v>31</v>
      </c>
      <c r="BI50" s="139" t="s">
        <v>32</v>
      </c>
      <c r="BK50" s="122" t="s">
        <v>4513</v>
      </c>
      <c r="BL50" s="123" t="str">
        <f>VLOOKUP("UPDATE TERMINOLOGY",Language_Data,Lookup_Column,FALSE)</f>
        <v>UPDATE TERMINOLOGY</v>
      </c>
      <c r="BO50" s="46" t="s">
        <v>289</v>
      </c>
      <c r="BP50" s="46" t="s">
        <v>4652</v>
      </c>
    </row>
    <row r="51" spans="2:68" x14ac:dyDescent="0.2">
      <c r="B51" t="str">
        <f>V71&amp;" - "&amp;VLOOKUP("D/(D+P+E)",Language_Data,Lookup_Column,FALSE)</f>
        <v>BMV:BIMBO A - D/(D+P+E)</v>
      </c>
      <c r="C51" s="95">
        <f>IFERROR((V62/SUM(V62,V63,V64)),0)</f>
        <v>0.43637068265729695</v>
      </c>
      <c r="E51" s="85" t="str">
        <f t="shared" si="8"/>
        <v>Campbell's</v>
      </c>
      <c r="F51" s="97">
        <v>0.25</v>
      </c>
      <c r="G51" s="86">
        <f t="shared" si="9"/>
        <v>0.25</v>
      </c>
      <c r="H51" s="54">
        <v>6.1400000000000003E-2</v>
      </c>
      <c r="I51" s="245">
        <f t="shared" si="10"/>
        <v>137668.5</v>
      </c>
      <c r="J51" s="87">
        <f t="shared" si="11"/>
        <v>109504.7</v>
      </c>
      <c r="K51" s="245">
        <f t="shared" si="12"/>
        <v>0</v>
      </c>
      <c r="L51" s="53">
        <f t="shared" si="5"/>
        <v>1.257192613650373</v>
      </c>
      <c r="M51" s="53">
        <f t="shared" si="6"/>
        <v>0</v>
      </c>
      <c r="N51" s="54">
        <f t="shared" si="7"/>
        <v>3.1602334175416615E-2</v>
      </c>
      <c r="AH51" s="292" t="s">
        <v>4644</v>
      </c>
      <c r="AI51" s="293"/>
      <c r="AJ51" s="292" t="s">
        <v>4645</v>
      </c>
      <c r="AK51" s="293"/>
      <c r="AO51" s="1" t="s">
        <v>4648</v>
      </c>
      <c r="AP51" s="210" t="str">
        <f ca="1">IF(AP54="NA",AP63,AP54)</f>
        <v>NA</v>
      </c>
      <c r="AT51" s="292" t="s">
        <v>4644</v>
      </c>
      <c r="AU51" s="293"/>
      <c r="AV51" s="292" t="s">
        <v>4645</v>
      </c>
      <c r="AW51" s="293"/>
      <c r="BA51" s="1" t="s">
        <v>4649</v>
      </c>
      <c r="BB51" s="210" t="str">
        <f>IF(BB54="NA",BB63,BB54)</f>
        <v>NA</v>
      </c>
      <c r="BE51" s="140"/>
      <c r="BF51" s="141"/>
      <c r="BG51" s="141"/>
      <c r="BH51" s="142"/>
      <c r="BI51" s="143"/>
      <c r="BK51" s="124" t="s">
        <v>4514</v>
      </c>
      <c r="BL51" s="125" t="str">
        <f>VLOOKUP("REFRESH",Language_Data,Lookup_Column,FALSE)</f>
        <v>REFRESH</v>
      </c>
      <c r="BO51" s="46" t="s">
        <v>290</v>
      </c>
      <c r="BP51" s="46" t="s">
        <v>4653</v>
      </c>
    </row>
    <row r="52" spans="2:68" x14ac:dyDescent="0.2">
      <c r="B52" t="str">
        <f>V71&amp;" - "&amp;VLOOKUP("D/E",Language_Data,Lookup_Column,FALSE)</f>
        <v>BMV:BIMBO A - D/E</v>
      </c>
      <c r="C52" s="95">
        <f>IFERROR(V62/V64,0)</f>
        <v>0.77421572872507427</v>
      </c>
      <c r="E52" s="85" t="str">
        <f t="shared" si="8"/>
        <v>Mondelez</v>
      </c>
      <c r="F52" s="97">
        <v>0.25</v>
      </c>
      <c r="G52" s="86">
        <f t="shared" si="9"/>
        <v>0.25</v>
      </c>
      <c r="H52" s="54">
        <v>0.37309999999999999</v>
      </c>
      <c r="I52" s="245">
        <f t="shared" si="10"/>
        <v>407628.3</v>
      </c>
      <c r="J52" s="87">
        <f t="shared" si="11"/>
        <v>1507309.9</v>
      </c>
      <c r="K52" s="245">
        <f t="shared" si="12"/>
        <v>0</v>
      </c>
      <c r="L52" s="53">
        <f t="shared" si="5"/>
        <v>0.27043430153281683</v>
      </c>
      <c r="M52" s="53">
        <f t="shared" si="6"/>
        <v>0</v>
      </c>
      <c r="N52" s="54">
        <f t="shared" si="7"/>
        <v>0.31018624883784052</v>
      </c>
      <c r="AD52" s="28" t="e" cm="1">
        <f t="array" aca="1" ref="AD52" ca="1">_xll.SNL.Clients.Office.Excel.Functions.SPGRANGEV($E$13,"SP_BOND_LIST",1,1000)</f>
        <v>#NAME?</v>
      </c>
      <c r="AE52" s="202" t="s">
        <v>4845</v>
      </c>
      <c r="AF52" s="202" t="s">
        <v>4846</v>
      </c>
      <c r="AG52" s="202" t="s">
        <v>4847</v>
      </c>
      <c r="AH52" s="202" t="s">
        <v>4641</v>
      </c>
      <c r="AI52" s="202" t="s">
        <v>4643</v>
      </c>
      <c r="AJ52" s="202" t="s">
        <v>4641</v>
      </c>
      <c r="AK52" s="202" t="s">
        <v>4643</v>
      </c>
      <c r="AR52" s="28" t="e" cm="1">
        <f t="array" aca="1" ref="AR52" ca="1">_xll.SNL.Clients.Office.Excel.Functions.SPGRANGEV($E$13,"SP_PREFERRED_LIST",1,1000)</f>
        <v>#NAME?</v>
      </c>
      <c r="AS52" s="202" t="s">
        <v>4642</v>
      </c>
      <c r="AT52" s="202" t="s">
        <v>4641</v>
      </c>
      <c r="AU52" s="202" t="s">
        <v>4643</v>
      </c>
      <c r="AV52" s="202" t="s">
        <v>4641</v>
      </c>
      <c r="AW52" s="202" t="s">
        <v>4643</v>
      </c>
      <c r="BE52" s="140" t="str">
        <f t="shared" ref="BE52:BE83" ca="1" si="13">VLOOKUP(BI52,Language_Data,Lookup_Column,FALSE)</f>
        <v>Euro</v>
      </c>
      <c r="BF52" s="144" t="s">
        <v>33</v>
      </c>
      <c r="BG52" s="144" t="s">
        <v>34</v>
      </c>
      <c r="BH52" s="142" t="s">
        <v>35</v>
      </c>
      <c r="BI52" s="145" t="s">
        <v>36</v>
      </c>
      <c r="BM52" s="1" t="str">
        <f>INDEX(BK55:BK65,MATCH(Forml3,BL55:BL65,0))</f>
        <v>English</v>
      </c>
      <c r="BO52" s="46" t="s">
        <v>291</v>
      </c>
      <c r="BP52" s="46" t="s">
        <v>4654</v>
      </c>
    </row>
    <row r="53" spans="2:68" x14ac:dyDescent="0.2">
      <c r="B53" t="str">
        <f>V71&amp;" - "&amp;VLOOKUP("P/E",Language_Data,Lookup_Column,FALSE)</f>
        <v>BMV:BIMBO A - P/E</v>
      </c>
      <c r="C53" s="95">
        <f>IFERROR(V63/V64,0)</f>
        <v>0</v>
      </c>
      <c r="E53" s="85" t="str">
        <f t="shared" si="8"/>
        <v>Arca Continental</v>
      </c>
      <c r="F53" s="97">
        <v>0.3</v>
      </c>
      <c r="G53" s="86">
        <f t="shared" si="9"/>
        <v>0.3</v>
      </c>
      <c r="H53" s="54">
        <v>0.55200000000000005</v>
      </c>
      <c r="I53" s="245">
        <f t="shared" si="10"/>
        <v>67337.5</v>
      </c>
      <c r="J53" s="87">
        <f t="shared" si="11"/>
        <v>355441.7</v>
      </c>
      <c r="K53" s="245">
        <f t="shared" si="12"/>
        <v>0</v>
      </c>
      <c r="L53" s="53">
        <f t="shared" ref="L53:L56" si="14">IF($J53="","",IF(ISERROR(I53/J53),0,I53/J53))</f>
        <v>0.18944738335428848</v>
      </c>
      <c r="M53" s="53">
        <f t="shared" ref="M53:M56" si="15">IF($J53="","",IF(ISERROR(K53/J53),0,K53/J53))</f>
        <v>0</v>
      </c>
      <c r="N53" s="54">
        <f t="shared" ref="N53:N56" si="16">IF($E53="","",IF(H53=0,"NA",IF(ISERROR(H53/(1+L53*(1-$G53)+M53)),0,H53/(1+L53*(1-$G53)+M53))))</f>
        <v>0.48736851683009474</v>
      </c>
      <c r="AD53" t="s">
        <v>4999</v>
      </c>
      <c r="AE53" s="201" t="e">
        <f ca="1">IF(AF53&lt;&gt;"NA",AF53,AG53)</f>
        <v>#NAME?</v>
      </c>
      <c r="AF53" s="201" t="e" cm="1">
        <f t="array" aca="1" ref="AF53" ca="1">IF(AD53="","",_xll.SNL.Clients.Office.Excel.Functions.SPG(AD53,"SPT_YTW",$E$15,"Options:NA=NA"))</f>
        <v>#NAME?</v>
      </c>
      <c r="AG53" s="201" t="e" cm="1">
        <f t="array" aca="1" ref="AG53" ca="1">IF(AD53="","",_xll.SNL.Clients.Office.Excel.Functions.SPG(AD53,"SPT_EOD_YTM_MID","EOD Close Price",$E$15,"Options:NA=NA"))</f>
        <v>#NAME?</v>
      </c>
      <c r="AH53" s="2" t="e" cm="1">
        <f t="array" aca="1" ref="AH53" ca="1">IF(OR(AD53="",AE53="NA"),"",_xll.SNL.Clients.Office.Excel.Functions.SPG(AD53,"SPT_ISSUE_DATE"))</f>
        <v>#NAME?</v>
      </c>
      <c r="AI53" s="1" t="e">
        <f ca="1">IF(OR($AD53="",$AE53="NA",$AH53=""),"",RANK(AH53,$AH$53:$AH$1052)+COUNTIF($AH$53:AH53,AH53)-1)</f>
        <v>#NAME?</v>
      </c>
      <c r="AJ53" s="2" t="e">
        <f t="shared" ref="AJ53" ca="1" si="17">IF(AH53&gt;$E$15,"",AH53)</f>
        <v>#NAME?</v>
      </c>
      <c r="AK53" s="1" t="e">
        <f ca="1">IF(OR($AD53="",$AE53="NA",$AJ53=""),"",RANK(AJ53,$AJ$53:$AJ$1052)+COUNTIF($AJ$53:AJ53,AJ53)-1)</f>
        <v>#NAME?</v>
      </c>
      <c r="AN53" t="s">
        <v>4645</v>
      </c>
      <c r="AS53" s="201" t="str" cm="1">
        <f t="array" ref="AS53">IF(AR53="","",IF(_xll.SNL.Clients.Office.Excel.Functions.SPG(AR53,"SPT_COUPON","Options:NA=NA")=0,"NA",_xll.SNL.Clients.Office.Excel.Functions.SPG(AR53,"SPT_COUPON","Options:NA=NA")))</f>
        <v/>
      </c>
      <c r="AT53" s="2" t="str" cm="1">
        <f t="array" ref="AT53">IF(OR(AR53="",AS53="NA"),"",_xll.SNL.Clients.Office.Excel.Functions.SPG(AR53,"SPT_ISSUE_DATE"))</f>
        <v/>
      </c>
      <c r="AU53" s="1" t="str">
        <f>IF(OR($AR53="",$AS53="NA",$AT53=""),"",RANK(AT53,$AT$53:$AT$1052)+COUNTIF($AT$53:AT53,AT53)-1)</f>
        <v/>
      </c>
      <c r="AV53" s="2" t="str">
        <f t="shared" ref="AV53" si="18">IF(AT53&gt;$E$15,"",AT53)</f>
        <v/>
      </c>
      <c r="AW53" s="1" t="str">
        <f>IF(OR($AR53="",$AS53="NA",$AV53=""),"",RANK(AV53,$AV$53:$AV$1052)+COUNTIF($AV$53:AV53,AV53)-1)</f>
        <v/>
      </c>
      <c r="AZ53" t="s">
        <v>4645</v>
      </c>
      <c r="BE53" s="140" t="str">
        <f t="shared" ca="1" si="13"/>
        <v>British Pound Sterling</v>
      </c>
      <c r="BF53" s="144" t="s">
        <v>37</v>
      </c>
      <c r="BG53" s="144" t="s">
        <v>38</v>
      </c>
      <c r="BH53" s="142" t="s">
        <v>35</v>
      </c>
      <c r="BI53" s="145" t="s">
        <v>39</v>
      </c>
      <c r="BM53" s="1" t="str">
        <f>VLOOKUP(Forml1,BJ55:BL65,3,0)</f>
        <v>English</v>
      </c>
      <c r="BO53" s="46" t="s">
        <v>292</v>
      </c>
      <c r="BP53" s="46" t="s">
        <v>4655</v>
      </c>
    </row>
    <row r="54" spans="2:68" x14ac:dyDescent="0.2">
      <c r="B54" t="str">
        <f>VLOOKUP("Size Premium",Language_Data,Lookup_Column,FALSE)</f>
        <v>Size Premium</v>
      </c>
      <c r="C54" s="97">
        <f>Independent_Inputs!B41</f>
        <v>2.0496777991541398E-2</v>
      </c>
      <c r="E54" s="85" t="str">
        <f t="shared" si="8"/>
        <v>PepsiCo</v>
      </c>
      <c r="F54" s="97">
        <v>0.25</v>
      </c>
      <c r="G54" s="86">
        <f t="shared" si="9"/>
        <v>0.25</v>
      </c>
      <c r="H54" s="54">
        <v>0.33360000000000001</v>
      </c>
      <c r="I54" s="245">
        <f t="shared" si="10"/>
        <v>958709</v>
      </c>
      <c r="J54" s="87">
        <f t="shared" si="11"/>
        <v>3311446</v>
      </c>
      <c r="K54" s="245">
        <f t="shared" si="12"/>
        <v>0</v>
      </c>
      <c r="L54" s="53">
        <f t="shared" si="14"/>
        <v>0.28951370488904243</v>
      </c>
      <c r="M54" s="53">
        <f t="shared" si="15"/>
        <v>0</v>
      </c>
      <c r="N54" s="54">
        <f t="shared" si="16"/>
        <v>0.27408621362566754</v>
      </c>
      <c r="AD54" t="s">
        <v>5000</v>
      </c>
      <c r="AE54" s="201" t="e">
        <f t="shared" ref="AE54:AE113" ca="1" si="19">IF(AF54&lt;&gt;"NA",AF54,AG54)</f>
        <v>#NAME?</v>
      </c>
      <c r="AF54" s="201" t="e" cm="1">
        <f t="array" aca="1" ref="AF54" ca="1">IF(AD54="","",_xll.SNL.Clients.Office.Excel.Functions.SPG(AD54,"SPT_YTW",$E$15,"Options:NA=NA"))</f>
        <v>#NAME?</v>
      </c>
      <c r="AG54" s="201" t="e" cm="1">
        <f t="array" aca="1" ref="AG54" ca="1">IF(AD54="","",_xll.SNL.Clients.Office.Excel.Functions.SPG(AD54,"SPT_EOD_YTM_MID","EOD Close Price",$E$15,"Options:NA=NA"))</f>
        <v>#NAME?</v>
      </c>
      <c r="AH54" s="2" t="e" cm="1">
        <f t="array" aca="1" ref="AH54" ca="1">IF(OR(AD54="",AE54="NA"),"",_xll.SNL.Clients.Office.Excel.Functions.SPG(AD54,"SPT_ISSUE_DATE"))</f>
        <v>#NAME?</v>
      </c>
      <c r="AI54" s="1" t="e">
        <f ca="1">IF(OR($AD54="",$AE54="NA",$AH54=""),"",RANK(AH54,$AH$53:$AH$1052)+COUNTIF($AH$53:AH54,AH54)-1)</f>
        <v>#NAME?</v>
      </c>
      <c r="AJ54" s="2" t="e">
        <f t="shared" ref="AJ54:AJ113" ca="1" si="20">IF(AH54&gt;$E$15,"",AH54)</f>
        <v>#NAME?</v>
      </c>
      <c r="AK54" s="1" t="e">
        <f ca="1">IF(OR($AD54="",$AE54="NA",$AJ54=""),"",RANK(AJ54,$AJ$53:$AJ$1052)+COUNTIF($AJ$53:AJ54,AJ54)-1)</f>
        <v>#NAME?</v>
      </c>
      <c r="AN54" s="208">
        <f>$E$15</f>
        <v>46311.25</v>
      </c>
      <c r="AP54" s="201" t="str">
        <f ca="1">IFERROR(AVERAGE(AP55:AP60),"NA")</f>
        <v>NA</v>
      </c>
      <c r="AS54" s="201" t="str" cm="1">
        <f t="array" ref="AS54">IF(AR54="","",IF(_xll.SNL.Clients.Office.Excel.Functions.SPG(AR54,"SPT_COUPON","Options:NA=NA")=0,"NA",_xll.SNL.Clients.Office.Excel.Functions.SPG(AR54,"SPT_COUPON","Options:NA=NA")))</f>
        <v/>
      </c>
      <c r="AT54" s="2" t="str" cm="1">
        <f t="array" ref="AT54">IF(OR(AR54="",AS54="NA"),"",_xll.SNL.Clients.Office.Excel.Functions.SPG(AR54,"SPT_ISSUE_DATE"))</f>
        <v/>
      </c>
      <c r="AU54" s="1" t="str">
        <f>IF(OR($AR54="",$AS54="NA",$AT54=""),"",RANK(AT54,$AT$53:$AT$1052)+COUNTIF($AT$53:AT54,AT54)-1)</f>
        <v/>
      </c>
      <c r="AV54" s="2" t="str">
        <f t="shared" ref="AV54" si="21">IF(AT54&gt;$E$15,"",AT54)</f>
        <v/>
      </c>
      <c r="AW54" s="1" t="str">
        <f>IF(OR($AR54="",$AS54="NA",$AV54=""),"",RANK(AV54,$AV$53:$AV$1052)+COUNTIF($AV$53:AV54,AV54)-1)</f>
        <v/>
      </c>
      <c r="AZ54" s="208">
        <f>$E$15</f>
        <v>46311.25</v>
      </c>
      <c r="BB54" s="201" t="str">
        <f>IFERROR(AVERAGE(BB55:BB60),"NA")</f>
        <v>NA</v>
      </c>
      <c r="BE54" s="140" t="str">
        <f t="shared" ca="1" si="13"/>
        <v>Japanese Yen</v>
      </c>
      <c r="BF54" s="144" t="s">
        <v>40</v>
      </c>
      <c r="BG54" s="144" t="s">
        <v>41</v>
      </c>
      <c r="BH54" s="142" t="s">
        <v>42</v>
      </c>
      <c r="BI54" s="145" t="s">
        <v>43</v>
      </c>
      <c r="BL54" t="e">
        <f ca="1">VLOOKUP(BK54,Language_Data,Forml1,FALSE)</f>
        <v>#N/A</v>
      </c>
      <c r="BM54" s="1">
        <v>1</v>
      </c>
      <c r="BO54" s="46" t="s">
        <v>293</v>
      </c>
      <c r="BP54" s="46" t="s">
        <v>4656</v>
      </c>
    </row>
    <row r="55" spans="2:68" x14ac:dyDescent="0.2">
      <c r="B55" t="str">
        <f>V71&amp;" - "&amp;VLOOKUP("Cost of Debt (Rd) - Average of Last 5 Issued Bonds",Language_Data,Lookup_Column,FALSE)</f>
        <v>BMV:BIMBO A - Cost of Debt (Rd) - Average of Last 5 Issued Bonds</v>
      </c>
      <c r="C55" s="96">
        <f>IF(C56&lt;&gt;"",C56,IFERROR(AP51/100,0))</f>
        <v>9.7100000000000006E-2</v>
      </c>
      <c r="E55" s="85">
        <f t="shared" si="8"/>
        <v>0</v>
      </c>
      <c r="F55" s="97"/>
      <c r="G55" s="86">
        <f t="shared" si="9"/>
        <v>0</v>
      </c>
      <c r="H55" s="54"/>
      <c r="I55" s="245">
        <f t="shared" si="10"/>
        <v>0</v>
      </c>
      <c r="J55" s="87">
        <f t="shared" si="11"/>
        <v>0</v>
      </c>
      <c r="K55" s="245">
        <f t="shared" si="12"/>
        <v>0</v>
      </c>
      <c r="L55" s="53">
        <f t="shared" si="14"/>
        <v>0</v>
      </c>
      <c r="M55" s="53">
        <f t="shared" si="15"/>
        <v>0</v>
      </c>
      <c r="N55" s="54" t="str">
        <f t="shared" si="16"/>
        <v>NA</v>
      </c>
      <c r="AD55" t="s">
        <v>5001</v>
      </c>
      <c r="AE55" s="201" t="e">
        <f t="shared" ca="1" si="19"/>
        <v>#NAME?</v>
      </c>
      <c r="AF55" s="201" t="e" cm="1">
        <f t="array" aca="1" ref="AF55" ca="1">IF(AD55="","",_xll.SNL.Clients.Office.Excel.Functions.SPG(AD55,"SPT_YTW",$E$15,"Options:NA=NA"))</f>
        <v>#NAME?</v>
      </c>
      <c r="AG55" s="201" t="e" cm="1">
        <f t="array" aca="1" ref="AG55" ca="1">IF(AD55="","",_xll.SNL.Clients.Office.Excel.Functions.SPG(AD55,"SPT_EOD_YTM_MID","EOD Close Price",$E$15,"Options:NA=NA"))</f>
        <v>#NAME?</v>
      </c>
      <c r="AH55" s="2" t="e" cm="1">
        <f t="array" aca="1" ref="AH55" ca="1">IF(OR(AD55="",AE55="NA"),"",_xll.SNL.Clients.Office.Excel.Functions.SPG(AD55,"SPT_ISSUE_DATE"))</f>
        <v>#NAME?</v>
      </c>
      <c r="AI55" s="1" t="e">
        <f ca="1">IF(OR($AD55="",$AE55="NA",$AH55=""),"",RANK(AH55,$AH$53:$AH$1052)+COUNTIF($AH$53:AH55,AH55)-1)</f>
        <v>#NAME?</v>
      </c>
      <c r="AJ55" s="2" t="e">
        <f t="shared" ca="1" si="20"/>
        <v>#NAME?</v>
      </c>
      <c r="AK55" s="1" t="e">
        <f ca="1">IF(OR($AD55="",$AE55="NA",$AJ55=""),"",RANK(AJ55,$AJ$53:$AJ$1052)+COUNTIF($AJ$53:AJ55,AJ55)-1)</f>
        <v>#NAME?</v>
      </c>
      <c r="AM55" s="21"/>
      <c r="AN55" s="22"/>
      <c r="AO55" s="203" t="s">
        <v>4641</v>
      </c>
      <c r="AP55" s="204" t="s">
        <v>4845</v>
      </c>
      <c r="AS55" s="201"/>
      <c r="AT55" s="2"/>
      <c r="AV55" s="2"/>
      <c r="AY55" s="21"/>
      <c r="AZ55" s="22"/>
      <c r="BA55" s="203" t="s">
        <v>4641</v>
      </c>
      <c r="BB55" s="204" t="s">
        <v>4642</v>
      </c>
      <c r="BE55" s="140" t="str">
        <f t="shared" ca="1" si="13"/>
        <v>U.S. Dollar</v>
      </c>
      <c r="BF55" s="144" t="s">
        <v>44</v>
      </c>
      <c r="BG55" s="144" t="s">
        <v>45</v>
      </c>
      <c r="BH55" s="142" t="s">
        <v>35</v>
      </c>
      <c r="BI55" s="145" t="s">
        <v>5</v>
      </c>
      <c r="BJ55">
        <v>1</v>
      </c>
      <c r="BK55" s="4" t="s">
        <v>2</v>
      </c>
      <c r="BL55" s="4" t="s">
        <v>2</v>
      </c>
      <c r="BM55" s="1">
        <v>1</v>
      </c>
      <c r="BO55" s="46" t="s">
        <v>294</v>
      </c>
      <c r="BP55" s="46" t="s">
        <v>4657</v>
      </c>
    </row>
    <row r="56" spans="2:68" x14ac:dyDescent="0.2">
      <c r="B56" s="1" t="str">
        <f ca="1">VLOOKUP("Cost of Debt Manual Override ►",Language_Data,Lookup_Column,FALSE)</f>
        <v>Cost of Debt Manual Override ►</v>
      </c>
      <c r="C56" s="97">
        <f>Independent_Inputs!B32</f>
        <v>9.7100000000000006E-2</v>
      </c>
      <c r="E56" s="85">
        <f t="shared" si="8"/>
        <v>0</v>
      </c>
      <c r="F56" s="97"/>
      <c r="G56" s="86">
        <f t="shared" si="9"/>
        <v>0</v>
      </c>
      <c r="H56" s="54"/>
      <c r="I56" s="245">
        <f t="shared" si="10"/>
        <v>0</v>
      </c>
      <c r="J56" s="87">
        <f t="shared" si="11"/>
        <v>0</v>
      </c>
      <c r="K56" s="245">
        <f t="shared" si="12"/>
        <v>0</v>
      </c>
      <c r="L56" s="53">
        <f t="shared" si="14"/>
        <v>0</v>
      </c>
      <c r="M56" s="53">
        <f t="shared" si="15"/>
        <v>0</v>
      </c>
      <c r="N56" s="54" t="str">
        <f t="shared" si="16"/>
        <v>NA</v>
      </c>
      <c r="R56" s="27"/>
      <c r="S56" s="21"/>
      <c r="T56" s="22"/>
      <c r="U56" s="23"/>
      <c r="V56" s="34" t="str">
        <f>$E$13</f>
        <v>BMV:BIMBO A</v>
      </c>
      <c r="X56" s="223" t="str">
        <f>C18</f>
        <v>S&amp;P 500</v>
      </c>
      <c r="Y56" s="224" t="str">
        <f>VLOOKUP(C18,BO48:BP145,2,0)</f>
        <v>SPT2633671</v>
      </c>
      <c r="Z56" s="22"/>
      <c r="AA56" s="22"/>
      <c r="AB56" s="29" t="s">
        <v>4752</v>
      </c>
      <c r="AD56" t="s">
        <v>5002</v>
      </c>
      <c r="AE56" s="201" t="e">
        <f t="shared" ca="1" si="19"/>
        <v>#NAME?</v>
      </c>
      <c r="AF56" s="201" t="e" cm="1">
        <f t="array" aca="1" ref="AF56" ca="1">IF(AD56="","",_xll.SNL.Clients.Office.Excel.Functions.SPG(AD56,"SPT_YTW",$E$15,"Options:NA=NA"))</f>
        <v>#NAME?</v>
      </c>
      <c r="AG56" s="201" t="e" cm="1">
        <f t="array" aca="1" ref="AG56" ca="1">IF(AD56="","",_xll.SNL.Clients.Office.Excel.Functions.SPG(AD56,"SPT_EOD_YTM_MID","EOD Close Price",$E$15,"Options:NA=NA"))</f>
        <v>#NAME?</v>
      </c>
      <c r="AH56" s="2" t="e" cm="1">
        <f t="array" aca="1" ref="AH56" ca="1">IF(OR(AD56="",AE56="NA"),"",_xll.SNL.Clients.Office.Excel.Functions.SPG(AD56,"SPT_ISSUE_DATE"))</f>
        <v>#NAME?</v>
      </c>
      <c r="AI56" s="1" t="e">
        <f ca="1">IF(OR($AD56="",$AE56="NA",$AH56=""),"",RANK(AH56,$AH$53:$AH$1052)+COUNTIF($AH$53:AH56,AH56)-1)</f>
        <v>#NAME?</v>
      </c>
      <c r="AJ56" s="2" t="e">
        <f t="shared" ca="1" si="20"/>
        <v>#NAME?</v>
      </c>
      <c r="AK56" s="1" t="e">
        <f ca="1">IF(OR($AD56="",$AE56="NA",$AJ56=""),"",RANK(AJ56,$AJ$53:$AJ$1052)+COUNTIF($AJ$53:AJ56,AJ56)-1)</f>
        <v>#NAME?</v>
      </c>
      <c r="AM56" s="24">
        <v>1</v>
      </c>
      <c r="AN56" t="str">
        <f ca="1">IFERROR(IF(INDEX($AD$53:$AD$1052,MATCH(AM56,$AK$53:$AK$1052,0))=0,"NA",INDEX($AD$53:$AD$1052,MATCH(AM56,$AK$53:$AK$1052,0))),"NA")</f>
        <v>NA</v>
      </c>
      <c r="AO56" s="2" t="str">
        <f t="shared" ref="AO56:AO60" ca="1" si="22">IF(AN56="NA","NA",VLOOKUP(AN56,$AD$53:$AJ$1052,7,0))</f>
        <v>NA</v>
      </c>
      <c r="AP56" s="205" t="str">
        <f ca="1">IF(AN56="NA","NA",VLOOKUP(AN56,$AD$53:$AE$1052,2,0))</f>
        <v>NA</v>
      </c>
      <c r="AS56" s="201"/>
      <c r="AT56" s="2"/>
      <c r="AV56" s="2"/>
      <c r="AY56" s="24">
        <v>1</v>
      </c>
      <c r="AZ56" t="str">
        <f>IFERROR(IF(INDEX($AR$53:$AR$1052,MATCH(AY56,$AW$53:$AW$1052,0))=0,"NA",INDEX($AR$53:$AR$1052,MATCH(AY56,$AW$53:$AW$1052,0))),"NA")</f>
        <v>NA</v>
      </c>
      <c r="BA56" s="2" t="str">
        <f>IF(AZ56="NA","NA",VLOOKUP(AZ56,$AR$53:$AV$1052,5,0))</f>
        <v>NA</v>
      </c>
      <c r="BB56" s="205" t="str">
        <f>IF(AZ56="NA","NA",VLOOKUP(AZ56,$AR$53:$AS$1052,2,0))</f>
        <v>NA</v>
      </c>
      <c r="BE56" s="140" t="str">
        <f t="shared" ca="1" si="13"/>
        <v>Afghan Afghani</v>
      </c>
      <c r="BF56" s="144" t="s">
        <v>46</v>
      </c>
      <c r="BG56" s="144" t="s">
        <v>46</v>
      </c>
      <c r="BH56" s="142" t="s">
        <v>35</v>
      </c>
      <c r="BI56" s="145" t="s">
        <v>47</v>
      </c>
      <c r="BJ56">
        <v>2</v>
      </c>
      <c r="BK56" s="4" t="s">
        <v>48</v>
      </c>
      <c r="BL56" s="4" t="s">
        <v>48</v>
      </c>
      <c r="BM56" s="1">
        <v>2</v>
      </c>
      <c r="BO56" s="46" t="s">
        <v>295</v>
      </c>
      <c r="BP56" s="46" t="s">
        <v>4658</v>
      </c>
    </row>
    <row r="57" spans="2:68" x14ac:dyDescent="0.2">
      <c r="B57" t="str">
        <f>V71&amp;" - "&amp;VLOOKUP("Cost of Preferred (Rp)",Language_Data,Lookup_Column,FALSE)</f>
        <v>BMV:BIMBO A - Cost of Preferred (Rp)</v>
      </c>
      <c r="C57" s="96">
        <f>IF(C58&lt;&gt;"",C58,IFERROR(BB51/100,0))</f>
        <v>0</v>
      </c>
      <c r="R57" s="88"/>
      <c r="S57" s="24"/>
      <c r="U57" s="25"/>
      <c r="V57" s="25"/>
      <c r="X57" s="24"/>
      <c r="Z57" s="1"/>
      <c r="AB57" s="25"/>
      <c r="AD57" t="s">
        <v>5003</v>
      </c>
      <c r="AE57" s="201" t="e">
        <f t="shared" ca="1" si="19"/>
        <v>#NAME?</v>
      </c>
      <c r="AF57" s="201" t="e" cm="1">
        <f t="array" aca="1" ref="AF57" ca="1">IF(AD57="","",_xll.SNL.Clients.Office.Excel.Functions.SPG(AD57,"SPT_YTW",$E$15,"Options:NA=NA"))</f>
        <v>#NAME?</v>
      </c>
      <c r="AG57" s="201" t="e" cm="1">
        <f t="array" aca="1" ref="AG57" ca="1">IF(AD57="","",_xll.SNL.Clients.Office.Excel.Functions.SPG(AD57,"SPT_EOD_YTM_MID","EOD Close Price",$E$15,"Options:NA=NA"))</f>
        <v>#NAME?</v>
      </c>
      <c r="AH57" s="2" t="e" cm="1">
        <f t="array" aca="1" ref="AH57" ca="1">IF(OR(AD57="",AE57="NA"),"",_xll.SNL.Clients.Office.Excel.Functions.SPG(AD57,"SPT_ISSUE_DATE"))</f>
        <v>#NAME?</v>
      </c>
      <c r="AI57" s="1" t="e">
        <f ca="1">IF(OR($AD57="",$AE57="NA",$AH57=""),"",RANK(AH57,$AH$53:$AH$1052)+COUNTIF($AH$53:AH57,AH57)-1)</f>
        <v>#NAME?</v>
      </c>
      <c r="AJ57" s="2" t="e">
        <f t="shared" ca="1" si="20"/>
        <v>#NAME?</v>
      </c>
      <c r="AK57" s="1" t="e">
        <f ca="1">IF(OR($AD57="",$AE57="NA",$AJ57=""),"",RANK(AJ57,$AJ$53:$AJ$1052)+COUNTIF($AJ$53:AJ57,AJ57)-1)</f>
        <v>#NAME?</v>
      </c>
      <c r="AM57" s="24">
        <v>2</v>
      </c>
      <c r="AN57" t="str">
        <f ca="1">IFERROR(IF(INDEX($AD$53:$AD$1052,MATCH(AM57,$AK$53:$AK$1052,0))=0,"NA",INDEX($AD$53:$AD$1052,MATCH(AM57,$AK$53:$AK$1052,0))),"NA")</f>
        <v>NA</v>
      </c>
      <c r="AO57" s="2" t="str">
        <f t="shared" ca="1" si="22"/>
        <v>NA</v>
      </c>
      <c r="AP57" s="205" t="str">
        <f ca="1">IF(AN57="NA","NA",VLOOKUP(AN57,$AD$53:$AE$1052,2,0))</f>
        <v>NA</v>
      </c>
      <c r="AS57" s="201"/>
      <c r="AT57" s="2"/>
      <c r="AV57" s="2"/>
      <c r="AY57" s="24">
        <v>2</v>
      </c>
      <c r="AZ57" t="str">
        <f>IFERROR(IF(INDEX($AR$53:$AR$1052,MATCH(AY57,$AW$53:$AW$1052,0))=0,"NA",INDEX($AR$53:$AR$1052,MATCH(AY57,$AW$53:$AW$1052,0))),"NA")</f>
        <v>NA</v>
      </c>
      <c r="BA57" s="2" t="str">
        <f>IF(AZ57="NA","NA",VLOOKUP(AZ57,$AR$53:$AV$1052,5,0))</f>
        <v>NA</v>
      </c>
      <c r="BB57" s="205" t="str">
        <f>IF(AZ57="NA","NA",VLOOKUP(AZ57,$AR$53:$AS$1052,2,0))</f>
        <v>NA</v>
      </c>
      <c r="BE57" s="140" t="str">
        <f t="shared" ca="1" si="13"/>
        <v>Albanian Lek</v>
      </c>
      <c r="BF57" s="144" t="s">
        <v>49</v>
      </c>
      <c r="BG57" s="144" t="s">
        <v>49</v>
      </c>
      <c r="BH57" s="142" t="s">
        <v>35</v>
      </c>
      <c r="BI57" s="145" t="s">
        <v>50</v>
      </c>
      <c r="BJ57">
        <v>3</v>
      </c>
      <c r="BK57" s="4" t="s">
        <v>51</v>
      </c>
      <c r="BL57" s="4" t="s">
        <v>51</v>
      </c>
      <c r="BM57" s="1">
        <v>3</v>
      </c>
      <c r="BO57" s="46" t="s">
        <v>296</v>
      </c>
      <c r="BP57" s="46" t="s">
        <v>4659</v>
      </c>
    </row>
    <row r="58" spans="2:68" x14ac:dyDescent="0.2">
      <c r="B58" s="1" t="str">
        <f ca="1">VLOOKUP("Cost of Preferred Equity Manual Override ►",Language_Data,Lookup_Column,FALSE)</f>
        <v>Cost of Preferred Equity Manual Override ►</v>
      </c>
      <c r="C58" s="97">
        <v>0</v>
      </c>
      <c r="E58" s="56" t="str">
        <f>VLOOKUP("Average",Language_Data,Lookup_Column,FALSE)</f>
        <v>Average</v>
      </c>
      <c r="F58" s="44"/>
      <c r="G58" s="57"/>
      <c r="H58" s="100">
        <f>IFERROR(AVERAGEIFS(H47:H56,H47:H56,"&lt;&gt;0"),0)</f>
        <v>0.34156250000000005</v>
      </c>
      <c r="I58" s="57"/>
      <c r="J58" s="57"/>
      <c r="K58" s="58"/>
      <c r="L58" s="58"/>
      <c r="M58" s="58"/>
      <c r="N58" s="99">
        <f>IFERROR(AVERAGEIFS(N47:N56,N47:N56,"&lt;&gt;0"),0)</f>
        <v>0.249660202042365</v>
      </c>
      <c r="R58" s="12"/>
      <c r="S58" s="12"/>
      <c r="T58" s="14"/>
      <c r="U58" s="26"/>
      <c r="V58" s="26"/>
      <c r="X58" s="12"/>
      <c r="Y58" s="14"/>
      <c r="Z58" s="209"/>
      <c r="AA58" s="14"/>
      <c r="AB58" s="26"/>
      <c r="AD58" t="s">
        <v>5004</v>
      </c>
      <c r="AE58" s="201" t="e">
        <f t="shared" ca="1" si="19"/>
        <v>#NAME?</v>
      </c>
      <c r="AF58" s="201" t="e" cm="1">
        <f t="array" aca="1" ref="AF58" ca="1">IF(AD58="","",_xll.SNL.Clients.Office.Excel.Functions.SPG(AD58,"SPT_YTW",$E$15,"Options:NA=NA"))</f>
        <v>#NAME?</v>
      </c>
      <c r="AG58" s="201" t="e" cm="1">
        <f t="array" aca="1" ref="AG58" ca="1">IF(AD58="","",_xll.SNL.Clients.Office.Excel.Functions.SPG(AD58,"SPT_EOD_YTM_MID","EOD Close Price",$E$15,"Options:NA=NA"))</f>
        <v>#NAME?</v>
      </c>
      <c r="AH58" s="2" t="e" cm="1">
        <f t="array" aca="1" ref="AH58" ca="1">IF(OR(AD58="",AE58="NA"),"",_xll.SNL.Clients.Office.Excel.Functions.SPG(AD58,"SPT_ISSUE_DATE"))</f>
        <v>#NAME?</v>
      </c>
      <c r="AI58" s="1" t="e">
        <f ca="1">IF(OR($AD58="",$AE58="NA",$AH58=""),"",RANK(AH58,$AH$53:$AH$1052)+COUNTIF($AH$53:AH58,AH58)-1)</f>
        <v>#NAME?</v>
      </c>
      <c r="AJ58" s="2" t="e">
        <f t="shared" ca="1" si="20"/>
        <v>#NAME?</v>
      </c>
      <c r="AK58" s="1" t="e">
        <f ca="1">IF(OR($AD58="",$AE58="NA",$AJ58=""),"",RANK(AJ58,$AJ$53:$AJ$1052)+COUNTIF($AJ$53:AJ58,AJ58)-1)</f>
        <v>#NAME?</v>
      </c>
      <c r="AM58" s="24">
        <v>3</v>
      </c>
      <c r="AN58" t="str">
        <f ca="1">IFERROR(IF(INDEX($AD$53:$AD$1052,MATCH(AM58,$AK$53:$AK$1052,0))=0,"NA",INDEX($AD$53:$AD$1052,MATCH(AM58,$AK$53:$AK$1052,0))),"NA")</f>
        <v>NA</v>
      </c>
      <c r="AO58" s="2" t="str">
        <f t="shared" ca="1" si="22"/>
        <v>NA</v>
      </c>
      <c r="AP58" s="205" t="str">
        <f ca="1">IF(AN58="NA","NA",VLOOKUP(AN58,$AD$53:$AE$1052,2,0))</f>
        <v>NA</v>
      </c>
      <c r="AS58" s="201"/>
      <c r="AT58" s="2"/>
      <c r="AV58" s="2"/>
      <c r="AY58" s="24">
        <v>3</v>
      </c>
      <c r="AZ58" t="str">
        <f>IFERROR(IF(INDEX($AR$53:$AR$1052,MATCH(AY58,$AW$53:$AW$1052,0))=0,"NA",INDEX($AR$53:$AR$1052,MATCH(AY58,$AW$53:$AW$1052,0))),"NA")</f>
        <v>NA</v>
      </c>
      <c r="BA58" s="2" t="str">
        <f>IF(AZ58="NA","NA",VLOOKUP(AZ58,$AR$53:$AV$1052,5,0))</f>
        <v>NA</v>
      </c>
      <c r="BB58" s="205" t="str">
        <f>IF(AZ58="NA","NA",VLOOKUP(AZ58,$AR$53:$AS$1052,2,0))</f>
        <v>NA</v>
      </c>
      <c r="BE58" s="140" t="str">
        <f t="shared" ca="1" si="13"/>
        <v>Argentine Peso</v>
      </c>
      <c r="BF58" s="144" t="s">
        <v>52</v>
      </c>
      <c r="BG58" s="144" t="s">
        <v>53</v>
      </c>
      <c r="BH58" s="142" t="s">
        <v>35</v>
      </c>
      <c r="BI58" s="145" t="s">
        <v>54</v>
      </c>
      <c r="BJ58">
        <v>7</v>
      </c>
      <c r="BK58" s="4" t="s">
        <v>55</v>
      </c>
      <c r="BL58" s="4" t="s">
        <v>55</v>
      </c>
      <c r="BM58" s="1">
        <v>7</v>
      </c>
      <c r="BO58" s="46" t="s">
        <v>297</v>
      </c>
      <c r="BP58" s="46" t="s">
        <v>4660</v>
      </c>
    </row>
    <row r="59" spans="2:68" x14ac:dyDescent="0.2">
      <c r="B59" s="14"/>
      <c r="C59" s="14"/>
      <c r="R59" s="15"/>
      <c r="S59" s="36"/>
      <c r="T59" s="35"/>
      <c r="U59" s="37"/>
      <c r="V59" s="18"/>
      <c r="X59" s="217">
        <f t="shared" ref="X59:X68" si="23">DATE(YEAR(Y59)-1,MONTH(Y59),DAY(Y59))</f>
        <v>45946</v>
      </c>
      <c r="Y59" s="218">
        <f>$E$15</f>
        <v>46311.25</v>
      </c>
      <c r="Z59" s="211" t="e" cm="1">
        <f t="array" aca="1" ref="Z59" ca="1">_xll.SNL.Clients.Office.Excel.Functions.SPG($Y$56,"SP_LASTSALEPRICE",X59)</f>
        <v>#NAME?</v>
      </c>
      <c r="AA59" s="211" t="e" cm="1">
        <f t="array" aca="1" ref="AA59" ca="1">_xll.SNL.Clients.Office.Excel.Functions.SPG($Y$56,"SP_LASTSALEPRICE",Y59)</f>
        <v>#NAME?</v>
      </c>
      <c r="AB59" s="212" t="str">
        <f ca="1">IFERROR(AA59/Z59-1,"NA")</f>
        <v>NA</v>
      </c>
      <c r="AD59" t="s">
        <v>5005</v>
      </c>
      <c r="AE59" s="201" t="e">
        <f t="shared" ca="1" si="19"/>
        <v>#NAME?</v>
      </c>
      <c r="AF59" s="201" t="e" cm="1">
        <f t="array" aca="1" ref="AF59" ca="1">IF(AD59="","",_xll.SNL.Clients.Office.Excel.Functions.SPG(AD59,"SPT_YTW",$E$15,"Options:NA=NA"))</f>
        <v>#NAME?</v>
      </c>
      <c r="AG59" s="201" t="e" cm="1">
        <f t="array" aca="1" ref="AG59" ca="1">IF(AD59="","",_xll.SNL.Clients.Office.Excel.Functions.SPG(AD59,"SPT_EOD_YTM_MID","EOD Close Price",$E$15,"Options:NA=NA"))</f>
        <v>#NAME?</v>
      </c>
      <c r="AH59" s="2" t="e" cm="1">
        <f t="array" aca="1" ref="AH59" ca="1">IF(OR(AD59="",AE59="NA"),"",_xll.SNL.Clients.Office.Excel.Functions.SPG(AD59,"SPT_ISSUE_DATE"))</f>
        <v>#NAME?</v>
      </c>
      <c r="AI59" s="1" t="e">
        <f ca="1">IF(OR($AD59="",$AE59="NA",$AH59=""),"",RANK(AH59,$AH$53:$AH$1052)+COUNTIF($AH$53:AH59,AH59)-1)</f>
        <v>#NAME?</v>
      </c>
      <c r="AJ59" s="2" t="e">
        <f t="shared" ca="1" si="20"/>
        <v>#NAME?</v>
      </c>
      <c r="AK59" s="1" t="e">
        <f ca="1">IF(OR($AD59="",$AE59="NA",$AJ59=""),"",RANK(AJ59,$AJ$53:$AJ$1052)+COUNTIF($AJ$53:AJ59,AJ59)-1)</f>
        <v>#NAME?</v>
      </c>
      <c r="AM59" s="24">
        <v>4</v>
      </c>
      <c r="AN59" t="str">
        <f ca="1">IFERROR(IF(INDEX($AD$53:$AD$1052,MATCH(AM59,$AK$53:$AK$1052,0))=0,"NA",INDEX($AD$53:$AD$1052,MATCH(AM59,$AK$53:$AK$1052,0))),"NA")</f>
        <v>NA</v>
      </c>
      <c r="AO59" s="2" t="str">
        <f t="shared" ca="1" si="22"/>
        <v>NA</v>
      </c>
      <c r="AP59" s="205" t="str">
        <f ca="1">IF(AN59="NA","NA",VLOOKUP(AN59,$AD$53:$AE$1052,2,0))</f>
        <v>NA</v>
      </c>
      <c r="AS59" s="201"/>
      <c r="AT59" s="2"/>
      <c r="AV59" s="2"/>
      <c r="AY59" s="24">
        <v>4</v>
      </c>
      <c r="AZ59" t="str">
        <f>IFERROR(IF(INDEX($AR$53:$AR$1052,MATCH(AY59,$AW$53:$AW$1052,0))=0,"NA",INDEX($AR$53:$AR$1052,MATCH(AY59,$AW$53:$AW$1052,0))),"NA")</f>
        <v>NA</v>
      </c>
      <c r="BA59" s="2" t="str">
        <f>IF(AZ59="NA","NA",VLOOKUP(AZ59,$AR$53:$AV$1052,5,0))</f>
        <v>NA</v>
      </c>
      <c r="BB59" s="205" t="str">
        <f>IF(AZ59="NA","NA",VLOOKUP(AZ59,$AR$53:$AS$1052,2,0))</f>
        <v>NA</v>
      </c>
      <c r="BE59" s="140" t="str">
        <f t="shared" ca="1" si="13"/>
        <v>Armenian Dram</v>
      </c>
      <c r="BF59" s="144" t="s">
        <v>56</v>
      </c>
      <c r="BG59" s="144" t="s">
        <v>57</v>
      </c>
      <c r="BH59" s="142" t="s">
        <v>35</v>
      </c>
      <c r="BI59" s="145" t="s">
        <v>58</v>
      </c>
      <c r="BJ59">
        <v>6</v>
      </c>
      <c r="BK59" s="4" t="s">
        <v>59</v>
      </c>
      <c r="BL59" s="4" t="s">
        <v>59</v>
      </c>
      <c r="BM59" s="1">
        <v>6</v>
      </c>
      <c r="BO59" s="46" t="s">
        <v>4161</v>
      </c>
      <c r="BP59" s="46" t="s">
        <v>4661</v>
      </c>
    </row>
    <row r="60" spans="2:68" x14ac:dyDescent="0.2">
      <c r="B60" s="200" t="str">
        <f ca="1">VLOOKUP("Sensitivity Analysis Steps",Language_Data,Lookup_Column,FALSE)</f>
        <v>Sensitivity Analysis Steps</v>
      </c>
      <c r="E60" s="4" t="str">
        <f>VLOOKUP("Average Unlevered Beta for Comps",Language_Data,Lookup_Column,FALSE)</f>
        <v>Average Unlevered Beta for Comps</v>
      </c>
      <c r="F60" s="4"/>
      <c r="G60" s="4"/>
      <c r="H60" s="4"/>
      <c r="I60" s="4"/>
      <c r="J60" s="4"/>
      <c r="K60" s="4"/>
      <c r="L60" s="4"/>
      <c r="M60" s="4"/>
      <c r="N60" s="54">
        <f>+N58</f>
        <v>0.249660202042365</v>
      </c>
      <c r="R60" s="16"/>
      <c r="S60" s="32"/>
      <c r="T60" s="30"/>
      <c r="U60" s="38"/>
      <c r="V60" s="19"/>
      <c r="X60" s="219">
        <f t="shared" si="23"/>
        <v>45581</v>
      </c>
      <c r="Y60" s="220">
        <f t="shared" ref="Y60:Y68" si="24">DATE(YEAR(Y59)-1,MONTH(Y59),DAY(Y59))</f>
        <v>45946</v>
      </c>
      <c r="Z60" s="213" t="e" cm="1">
        <f t="array" aca="1" ref="Z60" ca="1">_xll.SNL.Clients.Office.Excel.Functions.SPG($Y$56,"SP_LASTSALEPRICE",X60)</f>
        <v>#NAME?</v>
      </c>
      <c r="AA60" s="213" t="e" cm="1">
        <f t="array" aca="1" ref="AA60" ca="1">_xll.SNL.Clients.Office.Excel.Functions.SPG($Y$56,"SP_LASTSALEPRICE",Y60)</f>
        <v>#NAME?</v>
      </c>
      <c r="AB60" s="214" t="str">
        <f t="shared" ref="AB60:AB68" ca="1" si="25">IFERROR(AA60/Z60-1,"NA")</f>
        <v>NA</v>
      </c>
      <c r="AD60" t="s">
        <v>5006</v>
      </c>
      <c r="AE60" s="201" t="e">
        <f t="shared" ca="1" si="19"/>
        <v>#NAME?</v>
      </c>
      <c r="AF60" s="201" t="e" cm="1">
        <f t="array" aca="1" ref="AF60" ca="1">IF(AD60="","",_xll.SNL.Clients.Office.Excel.Functions.SPG(AD60,"SPT_YTW",$E$15,"Options:NA=NA"))</f>
        <v>#NAME?</v>
      </c>
      <c r="AG60" s="201" t="e" cm="1">
        <f t="array" aca="1" ref="AG60" ca="1">IF(AD60="","",_xll.SNL.Clients.Office.Excel.Functions.SPG(AD60,"SPT_EOD_YTM_MID","EOD Close Price",$E$15,"Options:NA=NA"))</f>
        <v>#NAME?</v>
      </c>
      <c r="AH60" s="2" t="e" cm="1">
        <f t="array" aca="1" ref="AH60" ca="1">IF(OR(AD60="",AE60="NA"),"",_xll.SNL.Clients.Office.Excel.Functions.SPG(AD60,"SPT_ISSUE_DATE"))</f>
        <v>#NAME?</v>
      </c>
      <c r="AI60" s="1" t="e">
        <f ca="1">IF(OR($AD60="",$AE60="NA",$AH60=""),"",RANK(AH60,$AH$53:$AH$1052)+COUNTIF($AH$53:AH60,AH60)-1)</f>
        <v>#NAME?</v>
      </c>
      <c r="AJ60" s="2" t="e">
        <f t="shared" ca="1" si="20"/>
        <v>#NAME?</v>
      </c>
      <c r="AK60" s="1" t="e">
        <f ca="1">IF(OR($AD60="",$AE60="NA",$AJ60=""),"",RANK(AJ60,$AJ$53:$AJ$1052)+COUNTIF($AJ$53:AJ60,AJ60)-1)</f>
        <v>#NAME?</v>
      </c>
      <c r="AM60" s="12">
        <v>5</v>
      </c>
      <c r="AN60" s="14" t="str">
        <f ca="1">IFERROR(IF(INDEX($AD$53:$AD$1052,MATCH(AM60,$AK$53:$AK$1052,0))=0,"NA",INDEX($AD$53:$AD$1052,MATCH(AM60,$AK$53:$AK$1052,0))),"NA")</f>
        <v>NA</v>
      </c>
      <c r="AO60" s="206" t="str">
        <f t="shared" ca="1" si="22"/>
        <v>NA</v>
      </c>
      <c r="AP60" s="207" t="str">
        <f ca="1">IF(AN60="NA","NA",VLOOKUP(AN60,$AD$53:$AE$1052,2,0))</f>
        <v>NA</v>
      </c>
      <c r="AS60" s="201"/>
      <c r="AT60" s="2"/>
      <c r="AV60" s="2"/>
      <c r="AY60" s="12">
        <v>5</v>
      </c>
      <c r="AZ60" s="14" t="str">
        <f>IFERROR(IF(INDEX($AR$53:$AR$1052,MATCH(AY60,$AW$53:$AW$1052,0))=0,"NA",INDEX($AR$53:$AR$1052,MATCH(AY60,$AW$53:$AW$1052,0))),"NA")</f>
        <v>NA</v>
      </c>
      <c r="BA60" s="206" t="str">
        <f>IF(AZ60="NA","NA",VLOOKUP(AZ60,$AR$53:$AV$1052,5,0))</f>
        <v>NA</v>
      </c>
      <c r="BB60" s="207" t="str">
        <f>IF(AZ60="NA","NA",VLOOKUP(AZ60,$AR$53:$AS$1052,2,0))</f>
        <v>NA</v>
      </c>
      <c r="BE60" s="140" t="str">
        <f t="shared" ca="1" si="13"/>
        <v>Australian Dollar</v>
      </c>
      <c r="BF60" s="144" t="s">
        <v>60</v>
      </c>
      <c r="BG60" s="144" t="s">
        <v>61</v>
      </c>
      <c r="BH60" s="142" t="s">
        <v>35</v>
      </c>
      <c r="BI60" s="145" t="s">
        <v>62</v>
      </c>
      <c r="BJ60">
        <v>8</v>
      </c>
      <c r="BK60" s="4" t="s">
        <v>63</v>
      </c>
      <c r="BL60" s="4" t="s">
        <v>63</v>
      </c>
      <c r="BM60" s="1">
        <v>8</v>
      </c>
      <c r="BO60" s="46" t="s">
        <v>298</v>
      </c>
      <c r="BP60" s="46" t="s">
        <v>4662</v>
      </c>
    </row>
    <row r="61" spans="2:68" x14ac:dyDescent="0.2">
      <c r="B61" t="str">
        <f>VLOOKUP("Pre-Tax Cost of Debt",Language_Data,Lookup_Column,FALSE)</f>
        <v>Pre-Tax Cost of Debt</v>
      </c>
      <c r="C61" s="92">
        <v>5.0000000000000001E-3</v>
      </c>
      <c r="E61" s="4" t="str">
        <f>B52</f>
        <v>BMV:BIMBO A - D/E</v>
      </c>
      <c r="F61" s="4"/>
      <c r="G61" s="4"/>
      <c r="H61" s="4"/>
      <c r="I61" s="4"/>
      <c r="J61" s="4"/>
      <c r="K61" s="4"/>
      <c r="L61" s="4"/>
      <c r="M61" s="4"/>
      <c r="N61" s="111">
        <f>+C52</f>
        <v>0.77421572872507427</v>
      </c>
      <c r="R61" s="16"/>
      <c r="S61" s="32"/>
      <c r="T61" s="30"/>
      <c r="U61" s="38"/>
      <c r="V61" s="19"/>
      <c r="X61" s="219">
        <f t="shared" si="23"/>
        <v>45215</v>
      </c>
      <c r="Y61" s="220">
        <f t="shared" si="24"/>
        <v>45581</v>
      </c>
      <c r="Z61" s="213" t="e" cm="1">
        <f t="array" aca="1" ref="Z61" ca="1">_xll.SNL.Clients.Office.Excel.Functions.SPG($Y$56,"SP_LASTSALEPRICE",X61)</f>
        <v>#NAME?</v>
      </c>
      <c r="AA61" s="213" t="e" cm="1">
        <f t="array" aca="1" ref="AA61" ca="1">_xll.SNL.Clients.Office.Excel.Functions.SPG($Y$56,"SP_LASTSALEPRICE",Y61)</f>
        <v>#NAME?</v>
      </c>
      <c r="AB61" s="214" t="str">
        <f t="shared" ca="1" si="25"/>
        <v>NA</v>
      </c>
      <c r="AD61" t="s">
        <v>5007</v>
      </c>
      <c r="AE61" s="201" t="e">
        <f t="shared" ca="1" si="19"/>
        <v>#NAME?</v>
      </c>
      <c r="AF61" s="201" t="e" cm="1">
        <f t="array" aca="1" ref="AF61" ca="1">IF(AD61="","",_xll.SNL.Clients.Office.Excel.Functions.SPG(AD61,"SPT_YTW",$E$15,"Options:NA=NA"))</f>
        <v>#NAME?</v>
      </c>
      <c r="AG61" s="201" t="e" cm="1">
        <f t="array" aca="1" ref="AG61" ca="1">IF(AD61="","",_xll.SNL.Clients.Office.Excel.Functions.SPG(AD61,"SPT_EOD_YTM_MID","EOD Close Price",$E$15,"Options:NA=NA"))</f>
        <v>#NAME?</v>
      </c>
      <c r="AH61" s="2" t="e" cm="1">
        <f t="array" aca="1" ref="AH61" ca="1">IF(OR(AD61="",AE61="NA"),"",_xll.SNL.Clients.Office.Excel.Functions.SPG(AD61,"SPT_ISSUE_DATE"))</f>
        <v>#NAME?</v>
      </c>
      <c r="AI61" s="1" t="e">
        <f ca="1">IF(OR($AD61="",$AE61="NA",$AH61=""),"",RANK(AH61,$AH$53:$AH$1052)+COUNTIF($AH$53:AH61,AH61)-1)</f>
        <v>#NAME?</v>
      </c>
      <c r="AJ61" s="2" t="e">
        <f t="shared" ca="1" si="20"/>
        <v>#NAME?</v>
      </c>
      <c r="AK61" s="1" t="e">
        <f ca="1">IF(OR($AD61="",$AE61="NA",$AJ61=""),"",RANK(AJ61,$AJ$53:$AJ$1052)+COUNTIF($AJ$53:AJ61,AJ61)-1)</f>
        <v>#NAME?</v>
      </c>
      <c r="AP61" s="1"/>
      <c r="AS61" s="201"/>
      <c r="AT61" s="2"/>
      <c r="AV61" s="2"/>
      <c r="BB61" s="1"/>
      <c r="BE61" s="140" t="str">
        <f t="shared" ca="1" si="13"/>
        <v>Azerbaijani Manat</v>
      </c>
      <c r="BF61" s="144" t="s">
        <v>64</v>
      </c>
      <c r="BG61" s="144" t="s">
        <v>65</v>
      </c>
      <c r="BH61" s="142" t="s">
        <v>35</v>
      </c>
      <c r="BI61" s="145" t="s">
        <v>66</v>
      </c>
      <c r="BJ61">
        <v>4</v>
      </c>
      <c r="BK61" s="4" t="s">
        <v>67</v>
      </c>
      <c r="BL61" s="4" t="s">
        <v>67</v>
      </c>
      <c r="BM61" s="1">
        <v>4</v>
      </c>
      <c r="BO61" s="46" t="s">
        <v>299</v>
      </c>
      <c r="BP61" s="46" t="s">
        <v>4663</v>
      </c>
    </row>
    <row r="62" spans="2:68" x14ac:dyDescent="0.2">
      <c r="B62" t="str">
        <f>VLOOKUP("D/(D+P+E)",Language_Data,Lookup_Column,FALSE)</f>
        <v>D/(D+P+E)</v>
      </c>
      <c r="C62" s="93">
        <v>0.05</v>
      </c>
      <c r="E62" s="4" t="str">
        <f>B53</f>
        <v>BMV:BIMBO A - P/E</v>
      </c>
      <c r="F62" s="59"/>
      <c r="G62" s="59"/>
      <c r="H62" s="59"/>
      <c r="I62" s="59"/>
      <c r="J62" s="59"/>
      <c r="K62" s="59"/>
      <c r="L62" s="59"/>
      <c r="M62" s="59"/>
      <c r="N62" s="111">
        <f>C53</f>
        <v>0</v>
      </c>
      <c r="R62" s="16" t="str">
        <f ca="1">"Total Debt ("&amp;$BG$47&amp;")"</f>
        <v>Total Debt (Mex$M)</v>
      </c>
      <c r="S62" s="32" t="s">
        <v>18</v>
      </c>
      <c r="T62" s="30" t="s">
        <v>4481</v>
      </c>
      <c r="U62" s="174">
        <f>$E$15</f>
        <v>46311.25</v>
      </c>
      <c r="V62" s="20">
        <f>Independent_Inputs!B27</f>
        <v>194918.29771951874</v>
      </c>
      <c r="X62" s="219">
        <f t="shared" si="23"/>
        <v>44850</v>
      </c>
      <c r="Y62" s="220">
        <f t="shared" si="24"/>
        <v>45215</v>
      </c>
      <c r="Z62" s="213" t="e" cm="1">
        <f t="array" aca="1" ref="Z62" ca="1">_xll.SNL.Clients.Office.Excel.Functions.SPG($Y$56,"SP_LASTSALEPRICE",X62)</f>
        <v>#NAME?</v>
      </c>
      <c r="AA62" s="213" t="e" cm="1">
        <f t="array" aca="1" ref="AA62" ca="1">_xll.SNL.Clients.Office.Excel.Functions.SPG($Y$56,"SP_LASTSALEPRICE",Y62)</f>
        <v>#NAME?</v>
      </c>
      <c r="AB62" s="214" t="str">
        <f t="shared" ca="1" si="25"/>
        <v>NA</v>
      </c>
      <c r="AD62" t="s">
        <v>5008</v>
      </c>
      <c r="AE62" s="201" t="e">
        <f t="shared" ca="1" si="19"/>
        <v>#NAME?</v>
      </c>
      <c r="AF62" s="201" t="e" cm="1">
        <f t="array" aca="1" ref="AF62" ca="1">IF(AD62="","",_xll.SNL.Clients.Office.Excel.Functions.SPG(AD62,"SPT_YTW",$E$15,"Options:NA=NA"))</f>
        <v>#NAME?</v>
      </c>
      <c r="AG62" s="201" t="e" cm="1">
        <f t="array" aca="1" ref="AG62" ca="1">IF(AD62="","",_xll.SNL.Clients.Office.Excel.Functions.SPG(AD62,"SPT_EOD_YTM_MID","EOD Close Price",$E$15,"Options:NA=NA"))</f>
        <v>#NAME?</v>
      </c>
      <c r="AH62" s="2" t="e" cm="1">
        <f t="array" aca="1" ref="AH62" ca="1">IF(OR(AD62="",AE62="NA"),"",_xll.SNL.Clients.Office.Excel.Functions.SPG(AD62,"SPT_ISSUE_DATE"))</f>
        <v>#NAME?</v>
      </c>
      <c r="AI62" s="1" t="e">
        <f ca="1">IF(OR($AD62="",$AE62="NA",$AH62=""),"",RANK(AH62,$AH$53:$AH$1052)+COUNTIF($AH$53:AH62,AH62)-1)</f>
        <v>#NAME?</v>
      </c>
      <c r="AJ62" s="2" t="e">
        <f t="shared" ca="1" si="20"/>
        <v>#NAME?</v>
      </c>
      <c r="AK62" s="1" t="e">
        <f ca="1">IF(OR($AD62="",$AE62="NA",$AJ62=""),"",RANK(AJ62,$AJ$53:$AJ$1052)+COUNTIF($AJ$53:AJ62,AJ62)-1)</f>
        <v>#NAME?</v>
      </c>
      <c r="AN62" t="s">
        <v>2058</v>
      </c>
      <c r="AS62" s="201"/>
      <c r="AT62" s="2"/>
      <c r="AV62" s="2"/>
      <c r="AZ62" t="s">
        <v>2058</v>
      </c>
      <c r="BE62" s="140" t="str">
        <f t="shared" ca="1" si="13"/>
        <v>Bahamian Dollar</v>
      </c>
      <c r="BF62" s="144" t="s">
        <v>68</v>
      </c>
      <c r="BG62" s="144" t="s">
        <v>69</v>
      </c>
      <c r="BH62" s="142" t="s">
        <v>35</v>
      </c>
      <c r="BI62" s="145" t="s">
        <v>70</v>
      </c>
      <c r="BJ62">
        <v>9</v>
      </c>
      <c r="BK62" s="4" t="s">
        <v>71</v>
      </c>
      <c r="BL62" s="4" t="s">
        <v>71</v>
      </c>
      <c r="BM62" s="1">
        <v>9</v>
      </c>
      <c r="BO62" s="46" t="s">
        <v>4473</v>
      </c>
      <c r="BP62" s="46" t="s">
        <v>4664</v>
      </c>
    </row>
    <row r="63" spans="2:68" x14ac:dyDescent="0.2">
      <c r="B63" t="str">
        <f>VLOOKUP("Cost of Equity",Language_Data,Lookup_Column,FALSE)</f>
        <v>Cost of Equity</v>
      </c>
      <c r="C63" s="94">
        <v>7.4999999999999997E-3</v>
      </c>
      <c r="E63" s="4" t="str">
        <f>B46</f>
        <v>Tax Rate (5 Year Average)</v>
      </c>
      <c r="F63" s="4"/>
      <c r="G63" s="4"/>
      <c r="H63" s="4"/>
      <c r="I63" s="4"/>
      <c r="J63" s="4"/>
      <c r="K63" s="4"/>
      <c r="L63" s="4"/>
      <c r="M63" s="4"/>
      <c r="N63" s="111">
        <f>+C46</f>
        <v>0.3</v>
      </c>
      <c r="R63" s="16" t="str">
        <f ca="1">"Total Preferred Equity ("&amp;$BG$47&amp;")"</f>
        <v>Total Preferred Equity (Mex$M)</v>
      </c>
      <c r="S63" s="32" t="s">
        <v>20</v>
      </c>
      <c r="T63" s="30" t="str">
        <f>T62</f>
        <v>FQ0</v>
      </c>
      <c r="U63" s="174">
        <f>U62</f>
        <v>46311.25</v>
      </c>
      <c r="V63" s="20">
        <v>0</v>
      </c>
      <c r="X63" s="219">
        <f t="shared" si="23"/>
        <v>44485</v>
      </c>
      <c r="Y63" s="220">
        <f t="shared" si="24"/>
        <v>44850</v>
      </c>
      <c r="Z63" s="213" t="e" cm="1">
        <f t="array" aca="1" ref="Z63" ca="1">_xll.SNL.Clients.Office.Excel.Functions.SPG($Y$56,"SP_LASTSALEPRICE",X63)</f>
        <v>#NAME?</v>
      </c>
      <c r="AA63" s="213" t="e" cm="1">
        <f t="array" aca="1" ref="AA63" ca="1">_xll.SNL.Clients.Office.Excel.Functions.SPG($Y$56,"SP_LASTSALEPRICE",Y63)</f>
        <v>#NAME?</v>
      </c>
      <c r="AB63" s="214" t="str">
        <f t="shared" ca="1" si="25"/>
        <v>NA</v>
      </c>
      <c r="AD63" t="s">
        <v>5009</v>
      </c>
      <c r="AE63" s="201" t="e">
        <f t="shared" ca="1" si="19"/>
        <v>#NAME?</v>
      </c>
      <c r="AF63" s="201" t="e" cm="1">
        <f t="array" aca="1" ref="AF63" ca="1">IF(AD63="","",_xll.SNL.Clients.Office.Excel.Functions.SPG(AD63,"SPT_YTW",$E$15,"Options:NA=NA"))</f>
        <v>#NAME?</v>
      </c>
      <c r="AG63" s="201" t="e" cm="1">
        <f t="array" aca="1" ref="AG63" ca="1">IF(AD63="","",_xll.SNL.Clients.Office.Excel.Functions.SPG(AD63,"SPT_EOD_YTM_MID","EOD Close Price",$E$15,"Options:NA=NA"))</f>
        <v>#NAME?</v>
      </c>
      <c r="AH63" s="2" t="e" cm="1">
        <f t="array" aca="1" ref="AH63" ca="1">IF(OR(AD63="",AE63="NA"),"",_xll.SNL.Clients.Office.Excel.Functions.SPG(AD63,"SPT_ISSUE_DATE"))</f>
        <v>#NAME?</v>
      </c>
      <c r="AI63" s="1" t="e">
        <f ca="1">IF(OR($AD63="",$AE63="NA",$AH63=""),"",RANK(AH63,$AH$53:$AH$1052)+COUNTIF($AH$53:AH63,AH63)-1)</f>
        <v>#NAME?</v>
      </c>
      <c r="AJ63" s="2" t="e">
        <f t="shared" ca="1" si="20"/>
        <v>#NAME?</v>
      </c>
      <c r="AK63" s="1" t="e">
        <f ca="1">IF(OR($AD63="",$AE63="NA",$AJ63=""),"",RANK(AJ63,$AJ$53:$AJ$1052)+COUNTIF($AJ$53:AJ63,AJ63)-1)</f>
        <v>#NAME?</v>
      </c>
      <c r="AN63" s="208" t="e" cm="1">
        <f t="array" aca="1" ref="AN63" ca="1">_xll.SNL.Clients.Office.Excel.Functions.SPGDATE()</f>
        <v>#NAME?</v>
      </c>
      <c r="AP63" s="201" t="str">
        <f ca="1">IFERROR(AVERAGE(AP64:AP69),"NA")</f>
        <v>NA</v>
      </c>
      <c r="AS63" s="201"/>
      <c r="AT63" s="2"/>
      <c r="AV63" s="2"/>
      <c r="AZ63" s="208" t="e" cm="1">
        <f t="array" aca="1" ref="AZ63" ca="1">_xll.SNL.Clients.Office.Excel.Functions.SPGDATE()</f>
        <v>#NAME?</v>
      </c>
      <c r="BB63" s="201" t="str">
        <f>IFERROR(AVERAGE(BB64:BB69),"NA")</f>
        <v>NA</v>
      </c>
      <c r="BE63" s="140" t="str">
        <f t="shared" ca="1" si="13"/>
        <v>Bahraini Dinar</v>
      </c>
      <c r="BF63" s="144" t="s">
        <v>72</v>
      </c>
      <c r="BG63" s="144" t="s">
        <v>73</v>
      </c>
      <c r="BH63" s="142" t="s">
        <v>35</v>
      </c>
      <c r="BI63" s="145" t="s">
        <v>74</v>
      </c>
      <c r="BJ63">
        <v>11</v>
      </c>
      <c r="BK63" s="4" t="s">
        <v>75</v>
      </c>
      <c r="BL63" s="4" t="s">
        <v>75</v>
      </c>
      <c r="BM63" s="1">
        <v>11</v>
      </c>
      <c r="BO63" s="46" t="s">
        <v>4838</v>
      </c>
      <c r="BP63" s="46" t="s">
        <v>4839</v>
      </c>
    </row>
    <row r="64" spans="2:68" x14ac:dyDescent="0.2">
      <c r="B64" t="str">
        <f>VLOOKUP("E/(D+P+E)",Language_Data,Lookup_Column,FALSE)</f>
        <v>E/(D+P+E)</v>
      </c>
      <c r="C64" s="93">
        <v>0.05</v>
      </c>
      <c r="E64" s="56" t="str">
        <f>IF(V71="",V74,V71)&amp;" "&amp;VLOOKUP("Levered Beta",Language_Data,Lookup_Column,FALSE)</f>
        <v>BMV:BIMBO A Levered Beta</v>
      </c>
      <c r="F64" s="44"/>
      <c r="G64" s="60"/>
      <c r="H64" s="44"/>
      <c r="I64" s="44"/>
      <c r="J64" s="44"/>
      <c r="K64" s="44"/>
      <c r="L64" s="44"/>
      <c r="M64" s="44"/>
      <c r="N64" s="99">
        <f>IFERROR(N60*(1+N61*(1-N63)+N62),0)</f>
        <v>0.38496380072288022</v>
      </c>
      <c r="R64" s="16" t="s">
        <v>12</v>
      </c>
      <c r="S64" s="32" t="s">
        <v>19</v>
      </c>
      <c r="T64" s="133">
        <f>$E$15</f>
        <v>46311.25</v>
      </c>
      <c r="U64" s="39"/>
      <c r="V64" s="20">
        <f>Independent_Inputs!B24</f>
        <v>251762.254999</v>
      </c>
      <c r="X64" s="219">
        <f t="shared" si="23"/>
        <v>44120</v>
      </c>
      <c r="Y64" s="220">
        <f t="shared" si="24"/>
        <v>44485</v>
      </c>
      <c r="Z64" s="213" t="e" cm="1">
        <f t="array" aca="1" ref="Z64" ca="1">_xll.SNL.Clients.Office.Excel.Functions.SPG($Y$56,"SP_LASTSALEPRICE",X64)</f>
        <v>#NAME?</v>
      </c>
      <c r="AA64" s="213" t="e" cm="1">
        <f t="array" aca="1" ref="AA64" ca="1">_xll.SNL.Clients.Office.Excel.Functions.SPG($Y$56,"SP_LASTSALEPRICE",Y64)</f>
        <v>#NAME?</v>
      </c>
      <c r="AB64" s="214" t="str">
        <f t="shared" ca="1" si="25"/>
        <v>NA</v>
      </c>
      <c r="AD64" t="s">
        <v>5010</v>
      </c>
      <c r="AE64" s="201" t="e">
        <f t="shared" ca="1" si="19"/>
        <v>#NAME?</v>
      </c>
      <c r="AF64" s="201" t="e" cm="1">
        <f t="array" aca="1" ref="AF64" ca="1">IF(AD64="","",_xll.SNL.Clients.Office.Excel.Functions.SPG(AD64,"SPT_YTW",$E$15,"Options:NA=NA"))</f>
        <v>#NAME?</v>
      </c>
      <c r="AG64" s="201" t="e" cm="1">
        <f t="array" aca="1" ref="AG64" ca="1">IF(AD64="","",_xll.SNL.Clients.Office.Excel.Functions.SPG(AD64,"SPT_EOD_YTM_MID","EOD Close Price",$E$15,"Options:NA=NA"))</f>
        <v>#NAME?</v>
      </c>
      <c r="AH64" s="2" t="e" cm="1">
        <f t="array" aca="1" ref="AH64" ca="1">IF(OR(AD64="",AE64="NA"),"",_xll.SNL.Clients.Office.Excel.Functions.SPG(AD64,"SPT_ISSUE_DATE"))</f>
        <v>#NAME?</v>
      </c>
      <c r="AI64" s="1" t="e">
        <f ca="1">IF(OR($AD64="",$AE64="NA",$AH64=""),"",RANK(AH64,$AH$53:$AH$1052)+COUNTIF($AH$53:AH64,AH64)-1)</f>
        <v>#NAME?</v>
      </c>
      <c r="AJ64" s="2" t="e">
        <f t="shared" ca="1" si="20"/>
        <v>#NAME?</v>
      </c>
      <c r="AK64" s="1" t="e">
        <f ca="1">IF(OR($AD64="",$AE64="NA",$AJ64=""),"",RANK(AJ64,$AJ$53:$AJ$1052)+COUNTIF($AJ$53:AJ64,AJ64)-1)</f>
        <v>#NAME?</v>
      </c>
      <c r="AM64" s="21"/>
      <c r="AN64" s="22"/>
      <c r="AO64" s="203" t="s">
        <v>4641</v>
      </c>
      <c r="AP64" s="204" t="s">
        <v>4845</v>
      </c>
      <c r="AS64" s="201"/>
      <c r="AT64" s="2"/>
      <c r="AV64" s="2"/>
      <c r="AY64" s="21"/>
      <c r="AZ64" s="22"/>
      <c r="BA64" s="203" t="s">
        <v>4641</v>
      </c>
      <c r="BB64" s="204" t="s">
        <v>4642</v>
      </c>
      <c r="BE64" s="140" t="str">
        <f t="shared" ca="1" si="13"/>
        <v>Bangladeshi Taka</v>
      </c>
      <c r="BF64" s="144" t="s">
        <v>78</v>
      </c>
      <c r="BG64" s="144" t="s">
        <v>79</v>
      </c>
      <c r="BH64" s="142" t="s">
        <v>35</v>
      </c>
      <c r="BI64" s="145" t="s">
        <v>80</v>
      </c>
      <c r="BJ64">
        <v>10</v>
      </c>
      <c r="BK64" s="4" t="s">
        <v>81</v>
      </c>
      <c r="BL64" s="4" t="s">
        <v>81</v>
      </c>
      <c r="BM64" s="1">
        <v>10</v>
      </c>
      <c r="BO64" s="46" t="s">
        <v>4470</v>
      </c>
      <c r="BP64" s="46" t="s">
        <v>4665</v>
      </c>
    </row>
    <row r="65" spans="2:68" x14ac:dyDescent="0.2">
      <c r="R65" s="16" t="s">
        <v>11</v>
      </c>
      <c r="S65" s="32" t="s">
        <v>17</v>
      </c>
      <c r="T65" s="30" t="s">
        <v>4243</v>
      </c>
      <c r="U65" s="174">
        <f>U63</f>
        <v>46311.25</v>
      </c>
      <c r="V65" s="19">
        <f>Independent_Inputs!B16*100</f>
        <v>30</v>
      </c>
      <c r="X65" s="219">
        <f t="shared" si="23"/>
        <v>43754</v>
      </c>
      <c r="Y65" s="220">
        <f t="shared" si="24"/>
        <v>44120</v>
      </c>
      <c r="Z65" s="213" t="e" cm="1">
        <f t="array" aca="1" ref="Z65" ca="1">_xll.SNL.Clients.Office.Excel.Functions.SPG($Y$56,"SP_LASTSALEPRICE",X65)</f>
        <v>#NAME?</v>
      </c>
      <c r="AA65" s="213" t="e" cm="1">
        <f t="array" aca="1" ref="AA65" ca="1">_xll.SNL.Clients.Office.Excel.Functions.SPG($Y$56,"SP_LASTSALEPRICE",Y65)</f>
        <v>#NAME?</v>
      </c>
      <c r="AB65" s="214" t="str">
        <f t="shared" ca="1" si="25"/>
        <v>NA</v>
      </c>
      <c r="AD65" t="s">
        <v>5011</v>
      </c>
      <c r="AE65" s="201" t="e">
        <f t="shared" ca="1" si="19"/>
        <v>#NAME?</v>
      </c>
      <c r="AF65" s="201" t="e" cm="1">
        <f t="array" aca="1" ref="AF65" ca="1">IF(AD65="","",_xll.SNL.Clients.Office.Excel.Functions.SPG(AD65,"SPT_YTW",$E$15,"Options:NA=NA"))</f>
        <v>#NAME?</v>
      </c>
      <c r="AG65" s="201" t="e" cm="1">
        <f t="array" aca="1" ref="AG65" ca="1">IF(AD65="","",_xll.SNL.Clients.Office.Excel.Functions.SPG(AD65,"SPT_EOD_YTM_MID","EOD Close Price",$E$15,"Options:NA=NA"))</f>
        <v>#NAME?</v>
      </c>
      <c r="AH65" s="2" t="e" cm="1">
        <f t="array" aca="1" ref="AH65" ca="1">IF(OR(AD65="",AE65="NA"),"",_xll.SNL.Clients.Office.Excel.Functions.SPG(AD65,"SPT_ISSUE_DATE"))</f>
        <v>#NAME?</v>
      </c>
      <c r="AI65" s="1" t="e">
        <f ca="1">IF(OR($AD65="",$AE65="NA",$AH65=""),"",RANK(AH65,$AH$53:$AH$1052)+COUNTIF($AH$53:AH65,AH65)-1)</f>
        <v>#NAME?</v>
      </c>
      <c r="AJ65" s="2" t="e">
        <f t="shared" ca="1" si="20"/>
        <v>#NAME?</v>
      </c>
      <c r="AK65" s="1" t="e">
        <f ca="1">IF(OR($AD65="",$AE65="NA",$AJ65=""),"",RANK(AJ65,$AJ$53:$AJ$1052)+COUNTIF($AJ$53:AJ65,AJ65)-1)</f>
        <v>#NAME?</v>
      </c>
      <c r="AM65" s="24">
        <v>1</v>
      </c>
      <c r="AN65" t="str">
        <f ca="1">IFERROR(IF(INDEX($AD$53:$AD$1052,MATCH(AM56,$AI$53:$AI$1052,0))=0,"NA",INDEX($AD$53:$AD$1052,MATCH(AM56,$AI$53:$AI$1052,0))),"NA")</f>
        <v>NA</v>
      </c>
      <c r="AO65" s="2" t="str">
        <f t="shared" ref="AO65:AO69" ca="1" si="26">IF(AN65="NA","NA",VLOOKUP(AN65,$AD$53:$AH$1052,5,0))</f>
        <v>NA</v>
      </c>
      <c r="AP65" s="205" t="str">
        <f ca="1">IF(AN65="NA","NA",VLOOKUP(AN65,$AD$53:$AE$1052,2,0))</f>
        <v>NA</v>
      </c>
      <c r="AS65" s="201"/>
      <c r="AT65" s="2"/>
      <c r="AV65" s="2"/>
      <c r="AY65" s="24">
        <v>1</v>
      </c>
      <c r="AZ65" t="str">
        <f>IFERROR(IF(INDEX($AR$53:$AR$1052,MATCH(AY56,$AU$53:$AU$1052,0))=0,"NA",INDEX($AR$53:$AR$1052,MATCH(AY56,$AU$53:$AU$1052,0))),"NA")</f>
        <v>NA</v>
      </c>
      <c r="BA65" s="2" t="str">
        <f>IF(AZ65="NA","NA",VLOOKUP(AZ65,$AR$53:$AT$1052,3,0))</f>
        <v>NA</v>
      </c>
      <c r="BB65" s="205" t="str">
        <f>IF(AZ65="NA","NA",VLOOKUP(AZ65,$AR$53:$AS$1052,2,0))</f>
        <v>NA</v>
      </c>
      <c r="BE65" s="140" t="str">
        <f t="shared" ca="1" si="13"/>
        <v>Belarusian Ruble</v>
      </c>
      <c r="BF65" s="144" t="s">
        <v>83</v>
      </c>
      <c r="BG65" s="144" t="s">
        <v>84</v>
      </c>
      <c r="BH65" s="142" t="s">
        <v>35</v>
      </c>
      <c r="BI65" s="145" t="s">
        <v>85</v>
      </c>
      <c r="BJ65">
        <v>5</v>
      </c>
      <c r="BK65" s="4" t="s">
        <v>86</v>
      </c>
      <c r="BL65" s="4" t="s">
        <v>86</v>
      </c>
      <c r="BM65" s="1">
        <v>5</v>
      </c>
      <c r="BO65" s="46" t="s">
        <v>300</v>
      </c>
      <c r="BP65" s="46" t="s">
        <v>4666</v>
      </c>
    </row>
    <row r="66" spans="2:68" x14ac:dyDescent="0.2">
      <c r="B66" s="42" t="str">
        <f>VLOOKUP("WACC",Language_Data,Lookup_Column,FALSE)</f>
        <v>WACC</v>
      </c>
      <c r="C66" s="42"/>
      <c r="E66" s="81" t="str">
        <f>VLOOKUP("WACC SENSITIVITY ANALYSIS",Language_Data,Lookup_Column,FALSE)</f>
        <v>WACC SENSITIVITY ANALYSIS</v>
      </c>
      <c r="F66" s="82"/>
      <c r="G66" s="82"/>
      <c r="H66" s="82"/>
      <c r="I66" s="83"/>
      <c r="J66" s="83"/>
      <c r="K66" s="83"/>
      <c r="L66" s="83"/>
      <c r="M66" s="83"/>
      <c r="N66" s="84"/>
      <c r="R66" s="16" t="s">
        <v>11</v>
      </c>
      <c r="S66" s="32" t="s">
        <v>17</v>
      </c>
      <c r="T66" s="30" t="s">
        <v>4477</v>
      </c>
      <c r="U66" s="174">
        <f>U65</f>
        <v>46311.25</v>
      </c>
      <c r="V66" s="19">
        <f>Independent_Inputs!B16*100</f>
        <v>30</v>
      </c>
      <c r="X66" s="219">
        <f t="shared" si="23"/>
        <v>43389</v>
      </c>
      <c r="Y66" s="220">
        <f t="shared" si="24"/>
        <v>43754</v>
      </c>
      <c r="Z66" s="213" t="e" cm="1">
        <f t="array" aca="1" ref="Z66" ca="1">_xll.SNL.Clients.Office.Excel.Functions.SPG($Y$56,"SP_LASTSALEPRICE",X66)</f>
        <v>#NAME?</v>
      </c>
      <c r="AA66" s="213" t="e" cm="1">
        <f t="array" aca="1" ref="AA66" ca="1">_xll.SNL.Clients.Office.Excel.Functions.SPG($Y$56,"SP_LASTSALEPRICE",Y66)</f>
        <v>#NAME?</v>
      </c>
      <c r="AB66" s="214" t="str">
        <f t="shared" ca="1" si="25"/>
        <v>NA</v>
      </c>
      <c r="AD66" t="s">
        <v>5012</v>
      </c>
      <c r="AE66" s="201" t="e">
        <f t="shared" ca="1" si="19"/>
        <v>#NAME?</v>
      </c>
      <c r="AF66" s="201" t="e" cm="1">
        <f t="array" aca="1" ref="AF66" ca="1">IF(AD66="","",_xll.SNL.Clients.Office.Excel.Functions.SPG(AD66,"SPT_YTW",$E$15,"Options:NA=NA"))</f>
        <v>#NAME?</v>
      </c>
      <c r="AG66" s="201" t="e" cm="1">
        <f t="array" aca="1" ref="AG66" ca="1">IF(AD66="","",_xll.SNL.Clients.Office.Excel.Functions.SPG(AD66,"SPT_EOD_YTM_MID","EOD Close Price",$E$15,"Options:NA=NA"))</f>
        <v>#NAME?</v>
      </c>
      <c r="AH66" s="2" t="e" cm="1">
        <f t="array" aca="1" ref="AH66" ca="1">IF(OR(AD66="",AE66="NA"),"",_xll.SNL.Clients.Office.Excel.Functions.SPG(AD66,"SPT_ISSUE_DATE"))</f>
        <v>#NAME?</v>
      </c>
      <c r="AI66" s="1" t="e">
        <f ca="1">IF(OR($AD66="",$AE66="NA",$AH66=""),"",RANK(AH66,$AH$53:$AH$1052)+COUNTIF($AH$53:AH66,AH66)-1)</f>
        <v>#NAME?</v>
      </c>
      <c r="AJ66" s="2" t="e">
        <f t="shared" ca="1" si="20"/>
        <v>#NAME?</v>
      </c>
      <c r="AK66" s="1" t="e">
        <f ca="1">IF(OR($AD66="",$AE66="NA",$AJ66=""),"",RANK(AJ66,$AJ$53:$AJ$1052)+COUNTIF($AJ$53:AJ66,AJ66)-1)</f>
        <v>#NAME?</v>
      </c>
      <c r="AM66" s="24">
        <v>2</v>
      </c>
      <c r="AN66" t="str">
        <f ca="1">IFERROR(IF(INDEX($AD$53:$AD$1052,MATCH(AM57,$AI$53:$AI$1052,0))=0,"NA",INDEX($AD$53:$AD$1052,MATCH(AM57,$AI$53:$AI$1052,0))),"NA")</f>
        <v>NA</v>
      </c>
      <c r="AO66" s="2" t="str">
        <f t="shared" ca="1" si="26"/>
        <v>NA</v>
      </c>
      <c r="AP66" s="205" t="str">
        <f ca="1">IF(AN66="NA","NA",VLOOKUP(AN66,$AD$53:$AE$1052,2,0))</f>
        <v>NA</v>
      </c>
      <c r="AS66" s="201"/>
      <c r="AT66" s="2"/>
      <c r="AV66" s="2"/>
      <c r="AY66" s="24">
        <v>2</v>
      </c>
      <c r="AZ66" t="str">
        <f>IFERROR(IF(INDEX($AR$53:$AR$1052,MATCH(AY57,$AU$53:$AU$1052,0))=0,"NA",INDEX($AR$53:$AR$1052,MATCH(AY57,$AU$53:$AU$1052,0))),"NA")</f>
        <v>NA</v>
      </c>
      <c r="BA66" s="2" t="str">
        <f>IF(AZ66="NA","NA",VLOOKUP(AZ66,$AR$53:$AT$1052,3,0))</f>
        <v>NA</v>
      </c>
      <c r="BB66" s="205" t="str">
        <f>IF(AZ66="NA","NA",VLOOKUP(AZ66,$AR$53:$AS$1052,2,0))</f>
        <v>NA</v>
      </c>
      <c r="BE66" s="140" t="str">
        <f t="shared" ca="1" si="13"/>
        <v>Bosnian Convertible Marks</v>
      </c>
      <c r="BF66" s="144" t="s">
        <v>87</v>
      </c>
      <c r="BG66" s="144" t="s">
        <v>88</v>
      </c>
      <c r="BH66" s="142" t="s">
        <v>35</v>
      </c>
      <c r="BI66" s="145" t="s">
        <v>89</v>
      </c>
      <c r="BO66" s="46" t="s">
        <v>301</v>
      </c>
      <c r="BP66" s="46" t="s">
        <v>4667</v>
      </c>
    </row>
    <row r="67" spans="2:68" x14ac:dyDescent="0.2">
      <c r="B67" s="4" t="str">
        <f>VLOOKUP("Market Risk Premium (Rm - Rf)",Language_Data,Lookup_Column,FALSE)</f>
        <v>Market Risk Premium (Rm - Rf)</v>
      </c>
      <c r="C67" s="180">
        <f>IFERROR(C49-C47,0)</f>
        <v>4.200000000000001E-2</v>
      </c>
      <c r="E67" s="63" t="str">
        <f>VLOOKUP("D/(D+P+E)",Language_Data,Lookup_Column,FALSE)</f>
        <v>D/(D+P+E)</v>
      </c>
      <c r="F67" s="64" t="str">
        <f>VLOOKUP("Pre-Tax Cost of Debt",Language_Data,Lookup_Column,FALSE)</f>
        <v>Pre-Tax Cost of Debt</v>
      </c>
      <c r="G67" s="65"/>
      <c r="H67" s="65"/>
      <c r="I67" s="65"/>
      <c r="J67" s="65"/>
      <c r="K67" s="65"/>
      <c r="L67" s="65"/>
      <c r="M67" s="65"/>
      <c r="N67" s="66"/>
      <c r="R67" s="16" t="s">
        <v>11</v>
      </c>
      <c r="S67" s="32" t="s">
        <v>17</v>
      </c>
      <c r="T67" s="30" t="s">
        <v>4478</v>
      </c>
      <c r="U67" s="174">
        <f t="shared" ref="U67:U70" si="27">U66</f>
        <v>46311.25</v>
      </c>
      <c r="V67" s="19">
        <f>Independent_Inputs!B16*100</f>
        <v>30</v>
      </c>
      <c r="X67" s="219">
        <f t="shared" si="23"/>
        <v>43024</v>
      </c>
      <c r="Y67" s="220">
        <f t="shared" si="24"/>
        <v>43389</v>
      </c>
      <c r="Z67" s="213" t="e" cm="1">
        <f t="array" aca="1" ref="Z67" ca="1">_xll.SNL.Clients.Office.Excel.Functions.SPG($Y$56,"SP_LASTSALEPRICE",X67)</f>
        <v>#NAME?</v>
      </c>
      <c r="AA67" s="213" t="e" cm="1">
        <f t="array" aca="1" ref="AA67" ca="1">_xll.SNL.Clients.Office.Excel.Functions.SPG($Y$56,"SP_LASTSALEPRICE",Y67)</f>
        <v>#NAME?</v>
      </c>
      <c r="AB67" s="214" t="str">
        <f t="shared" ca="1" si="25"/>
        <v>NA</v>
      </c>
      <c r="AD67" t="s">
        <v>5013</v>
      </c>
      <c r="AE67" s="201" t="e">
        <f t="shared" ca="1" si="19"/>
        <v>#NAME?</v>
      </c>
      <c r="AF67" s="201" t="e" cm="1">
        <f t="array" aca="1" ref="AF67" ca="1">IF(AD67="","",_xll.SNL.Clients.Office.Excel.Functions.SPG(AD67,"SPT_YTW",$E$15,"Options:NA=NA"))</f>
        <v>#NAME?</v>
      </c>
      <c r="AG67" s="201" t="e" cm="1">
        <f t="array" aca="1" ref="AG67" ca="1">IF(AD67="","",_xll.SNL.Clients.Office.Excel.Functions.SPG(AD67,"SPT_EOD_YTM_MID","EOD Close Price",$E$15,"Options:NA=NA"))</f>
        <v>#NAME?</v>
      </c>
      <c r="AH67" s="2" t="e" cm="1">
        <f t="array" aca="1" ref="AH67" ca="1">IF(OR(AD67="",AE67="NA"),"",_xll.SNL.Clients.Office.Excel.Functions.SPG(AD67,"SPT_ISSUE_DATE"))</f>
        <v>#NAME?</v>
      </c>
      <c r="AI67" s="1" t="e">
        <f ca="1">IF(OR($AD67="",$AE67="NA",$AH67=""),"",RANK(AH67,$AH$53:$AH$1052)+COUNTIF($AH$53:AH67,AH67)-1)</f>
        <v>#NAME?</v>
      </c>
      <c r="AJ67" s="2" t="e">
        <f t="shared" ca="1" si="20"/>
        <v>#NAME?</v>
      </c>
      <c r="AK67" s="1" t="e">
        <f ca="1">IF(OR($AD67="",$AE67="NA",$AJ67=""),"",RANK(AJ67,$AJ$53:$AJ$1052)+COUNTIF($AJ$53:AJ67,AJ67)-1)</f>
        <v>#NAME?</v>
      </c>
      <c r="AM67" s="24">
        <v>3</v>
      </c>
      <c r="AN67" t="str">
        <f ca="1">IFERROR(IF(INDEX($AD$53:$AD$1052,MATCH(AM58,$AI$53:$AI$1052,0))=0,"NA",INDEX($AD$53:$AD$1052,MATCH(AM58,$AI$53:$AI$1052,0))),"NA")</f>
        <v>NA</v>
      </c>
      <c r="AO67" s="2" t="str">
        <f t="shared" ca="1" si="26"/>
        <v>NA</v>
      </c>
      <c r="AP67" s="205" t="str">
        <f ca="1">IF(AN67="NA","NA",VLOOKUP(AN67,$AD$53:$AE$1052,2,0))</f>
        <v>NA</v>
      </c>
      <c r="AS67" s="201"/>
      <c r="AT67" s="2"/>
      <c r="AV67" s="2"/>
      <c r="AY67" s="24">
        <v>3</v>
      </c>
      <c r="AZ67" t="str">
        <f>IFERROR(IF(INDEX($AR$53:$AR$1052,MATCH(AY58,$AU$53:$AU$1052,0))=0,"NA",INDEX($AR$53:$AR$1052,MATCH(AY58,$AU$53:$AU$1052,0))),"NA")</f>
        <v>NA</v>
      </c>
      <c r="BA67" s="2" t="str">
        <f>IF(AZ67="NA","NA",VLOOKUP(AZ67,$AR$53:$AT$1052,3,0))</f>
        <v>NA</v>
      </c>
      <c r="BB67" s="205" t="str">
        <f>IF(AZ67="NA","NA",VLOOKUP(AZ67,$AR$53:$AS$1052,2,0))</f>
        <v>NA</v>
      </c>
      <c r="BE67" s="140" t="str">
        <f t="shared" ca="1" si="13"/>
        <v>Brazilian Real</v>
      </c>
      <c r="BF67" s="144" t="s">
        <v>91</v>
      </c>
      <c r="BG67" s="144" t="s">
        <v>92</v>
      </c>
      <c r="BH67" s="142" t="s">
        <v>35</v>
      </c>
      <c r="BI67" s="145" t="s">
        <v>93</v>
      </c>
      <c r="BO67" s="46" t="s">
        <v>302</v>
      </c>
      <c r="BP67" s="46" t="s">
        <v>4668</v>
      </c>
    </row>
    <row r="68" spans="2:68" x14ac:dyDescent="0.2">
      <c r="B68" s="1" t="str">
        <f ca="1">VLOOKUP("Select Beta for Calculation ►",Language_Data,Lookup_Column,FALSE)</f>
        <v>Select Beta for Calculation ►</v>
      </c>
      <c r="C68" s="97" t="s">
        <v>4616</v>
      </c>
      <c r="E68" s="164">
        <f>C87</f>
        <v>0.10398289994023387</v>
      </c>
      <c r="F68" s="91">
        <v>0.05</v>
      </c>
      <c r="G68" s="67">
        <f t="shared" ref="G68:N68" si="28">F68+$C$61</f>
        <v>5.5E-2</v>
      </c>
      <c r="H68" s="67">
        <f t="shared" si="28"/>
        <v>0.06</v>
      </c>
      <c r="I68" s="67">
        <f t="shared" si="28"/>
        <v>6.5000000000000002E-2</v>
      </c>
      <c r="J68" s="67">
        <f t="shared" si="28"/>
        <v>7.0000000000000007E-2</v>
      </c>
      <c r="K68" s="67">
        <f t="shared" si="28"/>
        <v>7.5000000000000011E-2</v>
      </c>
      <c r="L68" s="67">
        <f t="shared" si="28"/>
        <v>8.0000000000000016E-2</v>
      </c>
      <c r="M68" s="67">
        <f t="shared" si="28"/>
        <v>8.500000000000002E-2</v>
      </c>
      <c r="N68" s="68">
        <f t="shared" si="28"/>
        <v>9.0000000000000024E-2</v>
      </c>
      <c r="R68" s="16" t="s">
        <v>11</v>
      </c>
      <c r="S68" s="32" t="s">
        <v>17</v>
      </c>
      <c r="T68" s="30" t="s">
        <v>4479</v>
      </c>
      <c r="U68" s="174">
        <f t="shared" si="27"/>
        <v>46311.25</v>
      </c>
      <c r="V68" s="19">
        <f>Independent_Inputs!B16*100</f>
        <v>30</v>
      </c>
      <c r="X68" s="221">
        <f t="shared" si="23"/>
        <v>42659</v>
      </c>
      <c r="Y68" s="222">
        <f t="shared" si="24"/>
        <v>43024</v>
      </c>
      <c r="Z68" s="215" t="e" cm="1">
        <f t="array" aca="1" ref="Z68" ca="1">_xll.SNL.Clients.Office.Excel.Functions.SPG($Y$56,"SP_LASTSALEPRICE",X68)</f>
        <v>#NAME?</v>
      </c>
      <c r="AA68" s="215" t="e" cm="1">
        <f t="array" aca="1" ref="AA68" ca="1">_xll.SNL.Clients.Office.Excel.Functions.SPG($Y$56,"SP_LASTSALEPRICE",Y68)</f>
        <v>#NAME?</v>
      </c>
      <c r="AB68" s="216" t="str">
        <f t="shared" ca="1" si="25"/>
        <v>NA</v>
      </c>
      <c r="AD68" t="s">
        <v>5014</v>
      </c>
      <c r="AE68" s="201" t="e">
        <f t="shared" ca="1" si="19"/>
        <v>#NAME?</v>
      </c>
      <c r="AF68" s="201" t="e" cm="1">
        <f t="array" aca="1" ref="AF68" ca="1">IF(AD68="","",_xll.SNL.Clients.Office.Excel.Functions.SPG(AD68,"SPT_YTW",$E$15,"Options:NA=NA"))</f>
        <v>#NAME?</v>
      </c>
      <c r="AG68" s="201" t="e" cm="1">
        <f t="array" aca="1" ref="AG68" ca="1">IF(AD68="","",_xll.SNL.Clients.Office.Excel.Functions.SPG(AD68,"SPT_EOD_YTM_MID","EOD Close Price",$E$15,"Options:NA=NA"))</f>
        <v>#NAME?</v>
      </c>
      <c r="AH68" s="2" t="e" cm="1">
        <f t="array" aca="1" ref="AH68" ca="1">IF(OR(AD68="",AE68="NA"),"",_xll.SNL.Clients.Office.Excel.Functions.SPG(AD68,"SPT_ISSUE_DATE"))</f>
        <v>#NAME?</v>
      </c>
      <c r="AI68" s="1" t="e">
        <f ca="1">IF(OR($AD68="",$AE68="NA",$AH68=""),"",RANK(AH68,$AH$53:$AH$1052)+COUNTIF($AH$53:AH68,AH68)-1)</f>
        <v>#NAME?</v>
      </c>
      <c r="AJ68" s="2" t="e">
        <f t="shared" ca="1" si="20"/>
        <v>#NAME?</v>
      </c>
      <c r="AK68" s="1" t="e">
        <f ca="1">IF(OR($AD68="",$AE68="NA",$AJ68=""),"",RANK(AJ68,$AJ$53:$AJ$1052)+COUNTIF($AJ$53:AJ68,AJ68)-1)</f>
        <v>#NAME?</v>
      </c>
      <c r="AM68" s="24">
        <v>4</v>
      </c>
      <c r="AN68" t="str">
        <f ca="1">IFERROR(IF(INDEX($AD$53:$AD$1052,MATCH(AM59,$AI$53:$AI$1052,0))=0,"NA",INDEX($AD$53:$AD$1052,MATCH(AM59,$AI$53:$AI$1052,0))),"NA")</f>
        <v>NA</v>
      </c>
      <c r="AO68" s="2" t="str">
        <f t="shared" ca="1" si="26"/>
        <v>NA</v>
      </c>
      <c r="AP68" s="205" t="str">
        <f ca="1">IF(AN68="NA","NA",VLOOKUP(AN68,$AD$53:$AE$1052,2,0))</f>
        <v>NA</v>
      </c>
      <c r="AS68" s="201"/>
      <c r="AT68" s="2"/>
      <c r="AV68" s="2"/>
      <c r="AY68" s="24">
        <v>4</v>
      </c>
      <c r="AZ68" t="str">
        <f>IFERROR(IF(INDEX($AR$53:$AR$1052,MATCH(AY59,$AU$53:$AU$1052,0))=0,"NA",INDEX($AR$53:$AR$1052,MATCH(AY59,$AU$53:$AU$1052,0))),"NA")</f>
        <v>NA</v>
      </c>
      <c r="BA68" s="2" t="str">
        <f>IF(AZ68="NA","NA",VLOOKUP(AZ68,$AR$53:$AT$1052,3,0))</f>
        <v>NA</v>
      </c>
      <c r="BB68" s="205" t="str">
        <f>IF(AZ68="NA","NA",VLOOKUP(AZ68,$AR$53:$AS$1052,2,0))</f>
        <v>NA</v>
      </c>
      <c r="BE68" s="140" t="str">
        <f t="shared" ca="1" si="13"/>
        <v>Bulgarian Lev</v>
      </c>
      <c r="BF68" s="144" t="s">
        <v>95</v>
      </c>
      <c r="BG68" s="144" t="s">
        <v>95</v>
      </c>
      <c r="BH68" s="142" t="s">
        <v>35</v>
      </c>
      <c r="BI68" s="145" t="s">
        <v>96</v>
      </c>
      <c r="BL68" s="182"/>
      <c r="BM68" s="183"/>
      <c r="BO68" s="46" t="s">
        <v>303</v>
      </c>
      <c r="BP68" s="46" t="s">
        <v>4669</v>
      </c>
    </row>
    <row r="69" spans="2:68" x14ac:dyDescent="0.2">
      <c r="B69" s="4" t="str">
        <f>VLOOKUP("Multiplied by: ",Language_Data,Lookup_Column,FALSE)&amp;TEXT(V71,"TTTTTT")&amp;" "&amp;IF(C68="Bottom-Up Beta",VLOOKUP(" Bottom-Up Beta",Language_Data,Lookup_Column,FALSE),VLOOKUP(" Regression Beta",Language_Data,Lookup_Column,FALSE))</f>
        <v>Multiplied by: BMV:BIMBO A  Regression Beta</v>
      </c>
      <c r="C69" s="3">
        <f>IF($W$41=1,$W$42,$W$43)</f>
        <v>0.86349256566022914</v>
      </c>
      <c r="E69" s="165">
        <f>E70-$C$62</f>
        <v>0.35000000000000003</v>
      </c>
      <c r="F69" s="69">
        <f t="dataTable" ref="F69:N75" dt2D="1" dtr="1" r1="C77" r2="C80" ca="1"/>
        <v>9.7962024782127372E-2</v>
      </c>
      <c r="G69" s="69">
        <v>9.9187024782127375E-2</v>
      </c>
      <c r="H69" s="69">
        <v>0.10041202478212738</v>
      </c>
      <c r="I69" s="69">
        <v>0.10163702478212738</v>
      </c>
      <c r="J69" s="69">
        <v>0.10286202478212737</v>
      </c>
      <c r="K69" s="69">
        <v>0.10408702478212738</v>
      </c>
      <c r="L69" s="69">
        <v>0.10531202478212738</v>
      </c>
      <c r="M69" s="69">
        <v>0.10653702478212738</v>
      </c>
      <c r="N69" s="70">
        <v>0.10776202478212737</v>
      </c>
      <c r="R69" s="16" t="s">
        <v>11</v>
      </c>
      <c r="S69" s="32" t="s">
        <v>17</v>
      </c>
      <c r="T69" s="30" t="s">
        <v>4480</v>
      </c>
      <c r="U69" s="174">
        <f t="shared" si="27"/>
        <v>46311.25</v>
      </c>
      <c r="V69" s="19">
        <f>Independent_Inputs!B16*100</f>
        <v>30</v>
      </c>
      <c r="AD69" t="s">
        <v>5015</v>
      </c>
      <c r="AE69" s="201" t="e">
        <f t="shared" ca="1" si="19"/>
        <v>#NAME?</v>
      </c>
      <c r="AF69" s="201" t="e" cm="1">
        <f t="array" aca="1" ref="AF69" ca="1">IF(AD69="","",_xll.SNL.Clients.Office.Excel.Functions.SPG(AD69,"SPT_YTW",$E$15,"Options:NA=NA"))</f>
        <v>#NAME?</v>
      </c>
      <c r="AG69" s="201" t="e" cm="1">
        <f t="array" aca="1" ref="AG69" ca="1">IF(AD69="","",_xll.SNL.Clients.Office.Excel.Functions.SPG(AD69,"SPT_EOD_YTM_MID","EOD Close Price",$E$15,"Options:NA=NA"))</f>
        <v>#NAME?</v>
      </c>
      <c r="AH69" s="2" t="e" cm="1">
        <f t="array" aca="1" ref="AH69" ca="1">IF(OR(AD69="",AE69="NA"),"",_xll.SNL.Clients.Office.Excel.Functions.SPG(AD69,"SPT_ISSUE_DATE"))</f>
        <v>#NAME?</v>
      </c>
      <c r="AI69" s="1" t="e">
        <f ca="1">IF(OR($AD69="",$AE69="NA",$AH69=""),"",RANK(AH69,$AH$53:$AH$1052)+COUNTIF($AH$53:AH69,AH69)-1)</f>
        <v>#NAME?</v>
      </c>
      <c r="AJ69" s="2" t="e">
        <f t="shared" ca="1" si="20"/>
        <v>#NAME?</v>
      </c>
      <c r="AK69" s="1" t="e">
        <f ca="1">IF(OR($AD69="",$AE69="NA",$AJ69=""),"",RANK(AJ69,$AJ$53:$AJ$1052)+COUNTIF($AJ$53:AJ69,AJ69)-1)</f>
        <v>#NAME?</v>
      </c>
      <c r="AM69" s="12">
        <v>5</v>
      </c>
      <c r="AN69" s="14" t="str">
        <f ca="1">IFERROR(IF(INDEX($AD$53:$AD$1052,MATCH(AM60,$AI$53:$AI$1052,0))=0,"NA",INDEX($AD$53:$AD$1052,MATCH(AM60,$AI$53:$AI$1052,0))),"NA")</f>
        <v>NA</v>
      </c>
      <c r="AO69" s="206" t="str">
        <f t="shared" ca="1" si="26"/>
        <v>NA</v>
      </c>
      <c r="AP69" s="207" t="str">
        <f ca="1">IF(AN69="NA","NA",VLOOKUP(AN69,$AD$53:$AE$1052,2,0))</f>
        <v>NA</v>
      </c>
      <c r="AS69" s="201"/>
      <c r="AT69" s="2"/>
      <c r="AV69" s="2"/>
      <c r="AY69" s="12">
        <v>5</v>
      </c>
      <c r="AZ69" s="14" t="str">
        <f>IFERROR(IF(INDEX($AR$53:$AR$1052,MATCH(AY60,$AU$53:$AU$1052,0))=0,"NA",INDEX($AR$53:$AR$1052,MATCH(AY60,$AU$53:$AU$1052,0))),"NA")</f>
        <v>NA</v>
      </c>
      <c r="BA69" s="206" t="str">
        <f>IF(AZ69="NA","NA",VLOOKUP(AZ69,$AR$53:$AT$1052,3,0))</f>
        <v>NA</v>
      </c>
      <c r="BB69" s="207" t="str">
        <f>IF(AZ69="NA","NA",VLOOKUP(AZ69,$AR$53:$AS$1052,2,0))</f>
        <v>NA</v>
      </c>
      <c r="BE69" s="140" t="str">
        <f t="shared" ca="1" si="13"/>
        <v>Cambodian Riel</v>
      </c>
      <c r="BF69" s="144" t="s">
        <v>97</v>
      </c>
      <c r="BG69" s="144" t="s">
        <v>98</v>
      </c>
      <c r="BH69" s="142" t="s">
        <v>42</v>
      </c>
      <c r="BI69" s="145" t="s">
        <v>99</v>
      </c>
      <c r="BK69" s="182"/>
      <c r="BL69" s="182"/>
      <c r="BM69" s="183"/>
      <c r="BO69" s="46" t="s">
        <v>304</v>
      </c>
      <c r="BP69" s="46" t="s">
        <v>4670</v>
      </c>
    </row>
    <row r="70" spans="2:68" x14ac:dyDescent="0.2">
      <c r="B70" s="4" t="str">
        <f>VLOOKUP("Adjusted Market Risk Premium",Language_Data,Lookup_Column,FALSE)</f>
        <v>Adjusted Market Risk Premium</v>
      </c>
      <c r="C70" s="96">
        <f>IFERROR(C69*C67,0)</f>
        <v>3.6266687757729635E-2</v>
      </c>
      <c r="E70" s="165">
        <f>E71-$C$62</f>
        <v>0.4</v>
      </c>
      <c r="F70" s="69">
        <v>9.3118792106579126E-2</v>
      </c>
      <c r="G70" s="69">
        <v>9.4518792106579125E-2</v>
      </c>
      <c r="H70" s="69">
        <v>9.5918792106579123E-2</v>
      </c>
      <c r="I70" s="69">
        <v>9.7318792106579122E-2</v>
      </c>
      <c r="J70" s="69">
        <v>9.8718792106579134E-2</v>
      </c>
      <c r="K70" s="69">
        <v>0.10011879210657913</v>
      </c>
      <c r="L70" s="69">
        <v>0.10151879210657913</v>
      </c>
      <c r="M70" s="69">
        <v>0.10291879210657913</v>
      </c>
      <c r="N70" s="70">
        <v>0.10431879210657913</v>
      </c>
      <c r="R70" s="16" t="s">
        <v>76</v>
      </c>
      <c r="S70" s="32" t="s">
        <v>77</v>
      </c>
      <c r="T70" s="30" t="s">
        <v>4243</v>
      </c>
      <c r="U70" s="174">
        <f t="shared" si="27"/>
        <v>46311.25</v>
      </c>
      <c r="V70" s="19" t="s">
        <v>174</v>
      </c>
      <c r="AD70" t="s">
        <v>5016</v>
      </c>
      <c r="AE70" s="201" t="e">
        <f t="shared" ca="1" si="19"/>
        <v>#NAME?</v>
      </c>
      <c r="AF70" s="201" t="e" cm="1">
        <f t="array" aca="1" ref="AF70" ca="1">IF(AD70="","",_xll.SNL.Clients.Office.Excel.Functions.SPG(AD70,"SPT_YTW",$E$15,"Options:NA=NA"))</f>
        <v>#NAME?</v>
      </c>
      <c r="AG70" s="201" t="e" cm="1">
        <f t="array" aca="1" ref="AG70" ca="1">IF(AD70="","",_xll.SNL.Clients.Office.Excel.Functions.SPG(AD70,"SPT_EOD_YTM_MID","EOD Close Price",$E$15,"Options:NA=NA"))</f>
        <v>#NAME?</v>
      </c>
      <c r="AH70" s="2" t="e" cm="1">
        <f t="array" aca="1" ref="AH70" ca="1">IF(OR(AD70="",AE70="NA"),"",_xll.SNL.Clients.Office.Excel.Functions.SPG(AD70,"SPT_ISSUE_DATE"))</f>
        <v>#NAME?</v>
      </c>
      <c r="AI70" s="1" t="e">
        <f ca="1">IF(OR($AD70="",$AE70="NA",$AH70=""),"",RANK(AH70,$AH$53:$AH$1052)+COUNTIF($AH$53:AH70,AH70)-1)</f>
        <v>#NAME?</v>
      </c>
      <c r="AJ70" s="2" t="e">
        <f t="shared" ca="1" si="20"/>
        <v>#NAME?</v>
      </c>
      <c r="AK70" s="1" t="e">
        <f ca="1">IF(OR($AD70="",$AE70="NA",$AJ70=""),"",RANK(AJ70,$AJ$53:$AJ$1052)+COUNTIF($AJ$53:AJ70,AJ70)-1)</f>
        <v>#NAME?</v>
      </c>
      <c r="AS70" s="201"/>
      <c r="AT70" s="2"/>
      <c r="AV70" s="2"/>
      <c r="BE70" s="140" t="str">
        <f t="shared" ca="1" si="13"/>
        <v>Canadian Dollar</v>
      </c>
      <c r="BF70" s="144" t="s">
        <v>100</v>
      </c>
      <c r="BG70" s="144" t="s">
        <v>101</v>
      </c>
      <c r="BH70" s="142" t="s">
        <v>35</v>
      </c>
      <c r="BI70" s="145" t="s">
        <v>102</v>
      </c>
      <c r="BK70" s="182"/>
      <c r="BL70" s="182"/>
      <c r="BM70" s="183"/>
      <c r="BO70" s="46" t="s">
        <v>305</v>
      </c>
      <c r="BP70" s="46" t="s">
        <v>4671</v>
      </c>
    </row>
    <row r="71" spans="2:68" x14ac:dyDescent="0.2">
      <c r="B71" s="4" t="str">
        <f>VLOOKUP("Add: Risk-Free Rate of Return (Rf)(1)",Language_Data,Lookup_Column,FALSE)</f>
        <v>Add: Risk-Free Rate of Return (Rf)(1)</v>
      </c>
      <c r="C71" s="96">
        <f>C47</f>
        <v>7.5101187761694166E-2</v>
      </c>
      <c r="E71" s="165">
        <f>E72-$C$62</f>
        <v>0.45</v>
      </c>
      <c r="F71" s="69">
        <v>8.8275559431030867E-2</v>
      </c>
      <c r="G71" s="69">
        <v>8.9850559431030874E-2</v>
      </c>
      <c r="H71" s="69">
        <v>9.1425559431030867E-2</v>
      </c>
      <c r="I71" s="69">
        <v>9.300055943103086E-2</v>
      </c>
      <c r="J71" s="69">
        <v>9.4575559431030867E-2</v>
      </c>
      <c r="K71" s="69">
        <v>9.6150559431030874E-2</v>
      </c>
      <c r="L71" s="69">
        <v>9.7725559431030867E-2</v>
      </c>
      <c r="M71" s="69">
        <v>9.9300559431030874E-2</v>
      </c>
      <c r="N71" s="70">
        <v>0.10087555943103088</v>
      </c>
      <c r="R71" s="16" t="s">
        <v>4163</v>
      </c>
      <c r="S71" s="32" t="s">
        <v>82</v>
      </c>
      <c r="T71" s="30"/>
      <c r="U71" s="39"/>
      <c r="V71" s="19" t="s">
        <v>5146</v>
      </c>
      <c r="AD71" t="s">
        <v>5017</v>
      </c>
      <c r="AE71" s="201" t="e">
        <f t="shared" ca="1" si="19"/>
        <v>#NAME?</v>
      </c>
      <c r="AF71" s="201" t="e" cm="1">
        <f t="array" aca="1" ref="AF71" ca="1">IF(AD71="","",_xll.SNL.Clients.Office.Excel.Functions.SPG(AD71,"SPT_YTW",$E$15,"Options:NA=NA"))</f>
        <v>#NAME?</v>
      </c>
      <c r="AG71" s="201" t="e" cm="1">
        <f t="array" aca="1" ref="AG71" ca="1">IF(AD71="","",_xll.SNL.Clients.Office.Excel.Functions.SPG(AD71,"SPT_EOD_YTM_MID","EOD Close Price",$E$15,"Options:NA=NA"))</f>
        <v>#NAME?</v>
      </c>
      <c r="AH71" s="2" t="e" cm="1">
        <f t="array" aca="1" ref="AH71" ca="1">IF(OR(AD71="",AE71="NA"),"",_xll.SNL.Clients.Office.Excel.Functions.SPG(AD71,"SPT_ISSUE_DATE"))</f>
        <v>#NAME?</v>
      </c>
      <c r="AI71" s="1" t="e">
        <f ca="1">IF(OR($AD71="",$AE71="NA",$AH71=""),"",RANK(AH71,$AH$53:$AH$1052)+COUNTIF($AH$53:AH71,AH71)-1)</f>
        <v>#NAME?</v>
      </c>
      <c r="AJ71" s="2" t="e">
        <f t="shared" ca="1" si="20"/>
        <v>#NAME?</v>
      </c>
      <c r="AK71" s="1" t="e">
        <f ca="1">IF(OR($AD71="",$AE71="NA",$AJ71=""),"",RANK(AJ71,$AJ$53:$AJ$1052)+COUNTIF($AJ$53:AJ71,AJ71)-1)</f>
        <v>#NAME?</v>
      </c>
      <c r="AS71" s="201"/>
      <c r="AT71" s="2"/>
      <c r="AV71" s="2"/>
      <c r="BE71" s="140" t="str">
        <f t="shared" ca="1" si="13"/>
        <v>Chilean Peso</v>
      </c>
      <c r="BF71" s="144" t="s">
        <v>103</v>
      </c>
      <c r="BG71" s="144" t="s">
        <v>104</v>
      </c>
      <c r="BH71" s="142" t="s">
        <v>42</v>
      </c>
      <c r="BI71" s="145" t="s">
        <v>105</v>
      </c>
      <c r="BK71" s="182"/>
      <c r="BL71" s="182"/>
      <c r="BM71" s="183"/>
      <c r="BO71" s="46" t="s">
        <v>306</v>
      </c>
      <c r="BP71" s="46" t="s">
        <v>4672</v>
      </c>
    </row>
    <row r="72" spans="2:68" x14ac:dyDescent="0.2">
      <c r="B72" s="4" t="str">
        <f>VLOOKUP("Add: Size Premium",Language_Data,Lookup_Column,FALSE)</f>
        <v>Add: Size Premium</v>
      </c>
      <c r="C72" s="96">
        <f>C54</f>
        <v>2.0496777991541398E-2</v>
      </c>
      <c r="E72" s="166">
        <v>0.5</v>
      </c>
      <c r="F72" s="69">
        <v>8.3432326755482608E-2</v>
      </c>
      <c r="G72" s="69">
        <v>8.518232675548261E-2</v>
      </c>
      <c r="H72" s="69">
        <v>8.6932326755482597E-2</v>
      </c>
      <c r="I72" s="69">
        <v>8.8682326755482599E-2</v>
      </c>
      <c r="J72" s="69">
        <v>9.04323267554826E-2</v>
      </c>
      <c r="K72" s="69">
        <v>9.2182326755482602E-2</v>
      </c>
      <c r="L72" s="69">
        <v>9.3932326755482604E-2</v>
      </c>
      <c r="M72" s="69">
        <v>9.5682326755482605E-2</v>
      </c>
      <c r="N72" s="70">
        <v>9.7432326755482607E-2</v>
      </c>
      <c r="R72" s="16" t="s">
        <v>10</v>
      </c>
      <c r="S72" s="32" t="s">
        <v>16</v>
      </c>
      <c r="T72" s="30"/>
      <c r="U72" s="39"/>
      <c r="V72" s="19" t="s">
        <v>5166</v>
      </c>
      <c r="AD72" t="s">
        <v>5018</v>
      </c>
      <c r="AE72" s="201" t="e">
        <f t="shared" ca="1" si="19"/>
        <v>#NAME?</v>
      </c>
      <c r="AF72" s="201" t="e" cm="1">
        <f t="array" aca="1" ref="AF72" ca="1">IF(AD72="","",_xll.SNL.Clients.Office.Excel.Functions.SPG(AD72,"SPT_YTW",$E$15,"Options:NA=NA"))</f>
        <v>#NAME?</v>
      </c>
      <c r="AG72" s="201" t="e" cm="1">
        <f t="array" aca="1" ref="AG72" ca="1">IF(AD72="","",_xll.SNL.Clients.Office.Excel.Functions.SPG(AD72,"SPT_EOD_YTM_MID","EOD Close Price",$E$15,"Options:NA=NA"))</f>
        <v>#NAME?</v>
      </c>
      <c r="AH72" s="2" t="e" cm="1">
        <f t="array" aca="1" ref="AH72" ca="1">IF(OR(AD72="",AE72="NA"),"",_xll.SNL.Clients.Office.Excel.Functions.SPG(AD72,"SPT_ISSUE_DATE"))</f>
        <v>#NAME?</v>
      </c>
      <c r="AI72" s="1" t="e">
        <f ca="1">IF(OR($AD72="",$AE72="NA",$AH72=""),"",RANK(AH72,$AH$53:$AH$1052)+COUNTIF($AH$53:AH72,AH72)-1)</f>
        <v>#NAME?</v>
      </c>
      <c r="AJ72" s="2" t="e">
        <f t="shared" ca="1" si="20"/>
        <v>#NAME?</v>
      </c>
      <c r="AK72" s="1" t="e">
        <f ca="1">IF(OR($AD72="",$AE72="NA",$AJ72=""),"",RANK(AJ72,$AJ$53:$AJ$1052)+COUNTIF($AJ$53:AJ72,AJ72)-1)</f>
        <v>#NAME?</v>
      </c>
      <c r="AS72" s="201"/>
      <c r="AT72" s="2"/>
      <c r="AV72" s="2"/>
      <c r="BE72" s="140" t="str">
        <f t="shared" ca="1" si="13"/>
        <v>Chinese Yuan Renminbi</v>
      </c>
      <c r="BF72" s="144" t="s">
        <v>106</v>
      </c>
      <c r="BG72" s="144" t="s">
        <v>107</v>
      </c>
      <c r="BH72" s="142" t="s">
        <v>35</v>
      </c>
      <c r="BI72" s="145" t="s">
        <v>108</v>
      </c>
      <c r="BK72" s="182"/>
      <c r="BL72" s="182"/>
      <c r="BM72" s="183"/>
      <c r="BO72" s="46" t="s">
        <v>4747</v>
      </c>
      <c r="BP72" s="46" t="s">
        <v>4673</v>
      </c>
    </row>
    <row r="73" spans="2:68" x14ac:dyDescent="0.2">
      <c r="B73" s="5" t="str">
        <f>VLOOKUP("Cost of Equity",Language_Data,Lookup_Column,FALSE)</f>
        <v>Cost of Equity</v>
      </c>
      <c r="C73" s="96">
        <f>SUM(C70,C71,C72)</f>
        <v>0.13186465351096521</v>
      </c>
      <c r="E73" s="165">
        <f>E72+$C$62</f>
        <v>0.55000000000000004</v>
      </c>
      <c r="F73" s="69">
        <v>7.8589094079934335E-2</v>
      </c>
      <c r="G73" s="69">
        <v>8.0514094079934345E-2</v>
      </c>
      <c r="H73" s="69">
        <v>8.2439094079934341E-2</v>
      </c>
      <c r="I73" s="69">
        <v>8.4364094079934338E-2</v>
      </c>
      <c r="J73" s="69">
        <v>8.6289094079934348E-2</v>
      </c>
      <c r="K73" s="69">
        <v>8.8214094079934344E-2</v>
      </c>
      <c r="L73" s="69">
        <v>9.013909407993434E-2</v>
      </c>
      <c r="M73" s="69">
        <v>9.206409407993435E-2</v>
      </c>
      <c r="N73" s="70">
        <v>9.398909407993436E-2</v>
      </c>
      <c r="R73" s="16" t="s">
        <v>8</v>
      </c>
      <c r="S73" s="32" t="s">
        <v>90</v>
      </c>
      <c r="T73" s="30"/>
      <c r="U73" s="39"/>
      <c r="V73" s="19" t="s">
        <v>5167</v>
      </c>
      <c r="AD73" t="s">
        <v>5019</v>
      </c>
      <c r="AE73" s="201" t="e">
        <f t="shared" ca="1" si="19"/>
        <v>#NAME?</v>
      </c>
      <c r="AF73" s="201" t="e" cm="1">
        <f t="array" aca="1" ref="AF73" ca="1">IF(AD73="","",_xll.SNL.Clients.Office.Excel.Functions.SPG(AD73,"SPT_YTW",$E$15,"Options:NA=NA"))</f>
        <v>#NAME?</v>
      </c>
      <c r="AG73" s="201" t="e" cm="1">
        <f t="array" aca="1" ref="AG73" ca="1">IF(AD73="","",_xll.SNL.Clients.Office.Excel.Functions.SPG(AD73,"SPT_EOD_YTM_MID","EOD Close Price",$E$15,"Options:NA=NA"))</f>
        <v>#NAME?</v>
      </c>
      <c r="AH73" s="2" t="e" cm="1">
        <f t="array" aca="1" ref="AH73" ca="1">IF(OR(AD73="",AE73="NA"),"",_xll.SNL.Clients.Office.Excel.Functions.SPG(AD73,"SPT_ISSUE_DATE"))</f>
        <v>#NAME?</v>
      </c>
      <c r="AI73" s="1" t="e">
        <f ca="1">IF(OR($AD73="",$AE73="NA",$AH73=""),"",RANK(AH73,$AH$53:$AH$1052)+COUNTIF($AH$53:AH73,AH73)-1)</f>
        <v>#NAME?</v>
      </c>
      <c r="AJ73" s="2" t="e">
        <f t="shared" ca="1" si="20"/>
        <v>#NAME?</v>
      </c>
      <c r="AK73" s="1" t="e">
        <f ca="1">IF(OR($AD73="",$AE73="NA",$AJ73=""),"",RANK(AJ73,$AJ$53:$AJ$1052)+COUNTIF($AJ$53:AJ73,AJ73)-1)</f>
        <v>#NAME?</v>
      </c>
      <c r="AS73" s="201"/>
      <c r="AT73" s="2"/>
      <c r="AV73" s="2"/>
      <c r="BE73" s="140" t="str">
        <f t="shared" ca="1" si="13"/>
        <v>Colombian Peso</v>
      </c>
      <c r="BF73" s="144" t="s">
        <v>109</v>
      </c>
      <c r="BG73" s="144" t="s">
        <v>110</v>
      </c>
      <c r="BH73" s="142" t="s">
        <v>42</v>
      </c>
      <c r="BI73" s="145" t="s">
        <v>111</v>
      </c>
      <c r="BK73" s="182"/>
      <c r="BL73" s="182"/>
      <c r="BM73" s="183"/>
      <c r="BO73" s="46" t="s">
        <v>307</v>
      </c>
      <c r="BP73" s="46" t="s">
        <v>4674</v>
      </c>
    </row>
    <row r="74" spans="2:68" x14ac:dyDescent="0.2">
      <c r="B74" s="4" t="str">
        <f>VLOOKUP("Multiplied by: ",Language_Data,Lookup_Column,FALSE)&amp;V71&amp;" - "&amp;VLOOKUP("E/(D+P+E)",Language_Data,Lookup_Column,FALSE)</f>
        <v>Multiplied by: BMV:BIMBO A - E/(D+P+E)</v>
      </c>
      <c r="C74" s="95">
        <f>IFERROR(1-C80-C84,0)</f>
        <v>0.56362931734270305</v>
      </c>
      <c r="E74" s="165">
        <f>E73+$C$62</f>
        <v>0.60000000000000009</v>
      </c>
      <c r="F74" s="69">
        <v>7.3745861404386076E-2</v>
      </c>
      <c r="G74" s="69">
        <v>7.5845861404386067E-2</v>
      </c>
      <c r="H74" s="69">
        <v>7.7945861404386071E-2</v>
      </c>
      <c r="I74" s="69">
        <v>8.0045861404386076E-2</v>
      </c>
      <c r="J74" s="69">
        <v>8.2145861404386081E-2</v>
      </c>
      <c r="K74" s="69">
        <v>8.4245861404386085E-2</v>
      </c>
      <c r="L74" s="69">
        <v>8.6345861404386076E-2</v>
      </c>
      <c r="M74" s="69">
        <v>8.8445861404386081E-2</v>
      </c>
      <c r="N74" s="70">
        <v>9.0545861404386085E-2</v>
      </c>
      <c r="R74" s="17" t="s">
        <v>9</v>
      </c>
      <c r="S74" s="33" t="s">
        <v>94</v>
      </c>
      <c r="T74" s="31"/>
      <c r="U74" s="40"/>
      <c r="V74" s="41" t="s">
        <v>5158</v>
      </c>
      <c r="AD74" t="s">
        <v>5020</v>
      </c>
      <c r="AE74" s="201" t="e">
        <f t="shared" ca="1" si="19"/>
        <v>#NAME?</v>
      </c>
      <c r="AF74" s="201" t="e" cm="1">
        <f t="array" aca="1" ref="AF74" ca="1">IF(AD74="","",_xll.SNL.Clients.Office.Excel.Functions.SPG(AD74,"SPT_YTW",$E$15,"Options:NA=NA"))</f>
        <v>#NAME?</v>
      </c>
      <c r="AG74" s="201" t="e" cm="1">
        <f t="array" aca="1" ref="AG74" ca="1">IF(AD74="","",_xll.SNL.Clients.Office.Excel.Functions.SPG(AD74,"SPT_EOD_YTM_MID","EOD Close Price",$E$15,"Options:NA=NA"))</f>
        <v>#NAME?</v>
      </c>
      <c r="AH74" s="2" t="e" cm="1">
        <f t="array" aca="1" ref="AH74" ca="1">IF(OR(AD74="",AE74="NA"),"",_xll.SNL.Clients.Office.Excel.Functions.SPG(AD74,"SPT_ISSUE_DATE"))</f>
        <v>#NAME?</v>
      </c>
      <c r="AI74" s="1" t="e">
        <f ca="1">IF(OR($AD74="",$AE74="NA",$AH74=""),"",RANK(AH74,$AH$53:$AH$1052)+COUNTIF($AH$53:AH74,AH74)-1)</f>
        <v>#NAME?</v>
      </c>
      <c r="AJ74" s="2" t="e">
        <f t="shared" ca="1" si="20"/>
        <v>#NAME?</v>
      </c>
      <c r="AK74" s="1" t="e">
        <f ca="1">IF(OR($AD74="",$AE74="NA",$AJ74=""),"",RANK(AJ74,$AJ$53:$AJ$1052)+COUNTIF($AJ$53:AJ74,AJ74)-1)</f>
        <v>#NAME?</v>
      </c>
      <c r="AS74" s="201"/>
      <c r="AT74" s="2"/>
      <c r="AV74" s="2"/>
      <c r="BE74" s="140" t="str">
        <f t="shared" ca="1" si="13"/>
        <v>Costa Rican Colon</v>
      </c>
      <c r="BF74" s="144" t="s">
        <v>112</v>
      </c>
      <c r="BG74" s="144" t="s">
        <v>113</v>
      </c>
      <c r="BH74" s="142" t="s">
        <v>35</v>
      </c>
      <c r="BI74" s="145" t="s">
        <v>114</v>
      </c>
      <c r="BO74" s="46" t="s">
        <v>308</v>
      </c>
      <c r="BP74" s="46" t="s">
        <v>4675</v>
      </c>
    </row>
    <row r="75" spans="2:68" x14ac:dyDescent="0.2">
      <c r="B75" s="44" t="str">
        <f>VLOOKUP("Cost of Equity Portion",Language_Data,Lookup_Column,FALSE)</f>
        <v>Cost of Equity Portion</v>
      </c>
      <c r="C75" s="98">
        <f>IFERROR((C73*C74),0)</f>
        <v>7.4322784640017389E-2</v>
      </c>
      <c r="E75" s="246">
        <f>E74+$C$62</f>
        <v>0.65000000000000013</v>
      </c>
      <c r="F75" s="247">
        <v>6.8902628728837803E-2</v>
      </c>
      <c r="G75" s="247">
        <v>7.1177628728837816E-2</v>
      </c>
      <c r="H75" s="247">
        <v>7.3452628728837802E-2</v>
      </c>
      <c r="I75" s="247">
        <v>7.5727628728837815E-2</v>
      </c>
      <c r="J75" s="247">
        <v>7.8002628728837814E-2</v>
      </c>
      <c r="K75" s="247">
        <v>8.0277628728837813E-2</v>
      </c>
      <c r="L75" s="247">
        <v>8.2552628728837812E-2</v>
      </c>
      <c r="M75" s="247">
        <v>8.4827628728837812E-2</v>
      </c>
      <c r="N75" s="248">
        <v>8.7102628728837825E-2</v>
      </c>
      <c r="AD75" t="s">
        <v>5021</v>
      </c>
      <c r="AE75" s="201" t="e">
        <f t="shared" ca="1" si="19"/>
        <v>#NAME?</v>
      </c>
      <c r="AF75" s="201" t="e" cm="1">
        <f t="array" aca="1" ref="AF75" ca="1">IF(AD75="","",_xll.SNL.Clients.Office.Excel.Functions.SPG(AD75,"SPT_YTW",$E$15,"Options:NA=NA"))</f>
        <v>#NAME?</v>
      </c>
      <c r="AG75" s="201" t="e" cm="1">
        <f t="array" aca="1" ref="AG75" ca="1">IF(AD75="","",_xll.SNL.Clients.Office.Excel.Functions.SPG(AD75,"SPT_EOD_YTM_MID","EOD Close Price",$E$15,"Options:NA=NA"))</f>
        <v>#NAME?</v>
      </c>
      <c r="AH75" s="2" t="e" cm="1">
        <f t="array" aca="1" ref="AH75" ca="1">IF(OR(AD75="",AE75="NA"),"",_xll.SNL.Clients.Office.Excel.Functions.SPG(AD75,"SPT_ISSUE_DATE"))</f>
        <v>#NAME?</v>
      </c>
      <c r="AI75" s="1" t="e">
        <f ca="1">IF(OR($AD75="",$AE75="NA",$AH75=""),"",RANK(AH75,$AH$53:$AH$1052)+COUNTIF($AH$53:AH75,AH75)-1)</f>
        <v>#NAME?</v>
      </c>
      <c r="AJ75" s="2" t="e">
        <f t="shared" ca="1" si="20"/>
        <v>#NAME?</v>
      </c>
      <c r="AK75" s="1" t="e">
        <f ca="1">IF(OR($AD75="",$AE75="NA",$AJ75=""),"",RANK(AJ75,$AJ$53:$AJ$1052)+COUNTIF($AJ$53:AJ75,AJ75)-1)</f>
        <v>#NAME?</v>
      </c>
      <c r="AS75" s="201"/>
      <c r="AT75" s="2"/>
      <c r="AV75" s="2"/>
      <c r="BE75" s="140" t="str">
        <f t="shared" ca="1" si="13"/>
        <v>Croatian Kuna</v>
      </c>
      <c r="BF75" s="144" t="s">
        <v>115</v>
      </c>
      <c r="BG75" s="144" t="s">
        <v>116</v>
      </c>
      <c r="BH75" s="142" t="s">
        <v>35</v>
      </c>
      <c r="BI75" s="145" t="s">
        <v>117</v>
      </c>
      <c r="BO75" s="46" t="s">
        <v>309</v>
      </c>
      <c r="BP75" s="46" t="s">
        <v>4676</v>
      </c>
    </row>
    <row r="76" spans="2:68" x14ac:dyDescent="0.2">
      <c r="B76" s="4"/>
      <c r="C76" s="1"/>
      <c r="AD76" t="s">
        <v>5023</v>
      </c>
      <c r="AE76" s="201" t="e">
        <f t="shared" ca="1" si="19"/>
        <v>#NAME?</v>
      </c>
      <c r="AF76" s="201" t="e" cm="1">
        <f t="array" aca="1" ref="AF76" ca="1">IF(AD76="","",_xll.SNL.Clients.Office.Excel.Functions.SPG(AD76,"SPT_YTW",$E$15,"Options:NA=NA"))</f>
        <v>#NAME?</v>
      </c>
      <c r="AG76" s="201" t="e" cm="1">
        <f t="array" aca="1" ref="AG76" ca="1">IF(AD76="","",_xll.SNL.Clients.Office.Excel.Functions.SPG(AD76,"SPT_EOD_YTM_MID","EOD Close Price",$E$15,"Options:NA=NA"))</f>
        <v>#NAME?</v>
      </c>
      <c r="AH76" s="2" t="e" cm="1">
        <f t="array" aca="1" ref="AH76" ca="1">IF(OR(AD76="",AE76="NA"),"",_xll.SNL.Clients.Office.Excel.Functions.SPG(AD76,"SPT_ISSUE_DATE"))</f>
        <v>#NAME?</v>
      </c>
      <c r="AI76" s="1" t="e">
        <f ca="1">IF(OR($AD76="",$AE76="NA",$AH76=""),"",RANK(AH76,$AH$53:$AH$1052)+COUNTIF($AH$53:AH76,AH76)-1)</f>
        <v>#NAME?</v>
      </c>
      <c r="AJ76" s="2" t="e">
        <f t="shared" ca="1" si="20"/>
        <v>#NAME?</v>
      </c>
      <c r="AK76" s="1" t="e">
        <f ca="1">IF(OR($AD76="",$AE76="NA",$AJ76=""),"",RANK(AJ76,$AJ$53:$AJ$1052)+COUNTIF($AJ$53:AJ76,AJ76)-1)</f>
        <v>#NAME?</v>
      </c>
      <c r="AS76" s="201"/>
      <c r="AT76" s="2"/>
      <c r="AV76" s="2"/>
      <c r="BE76" s="140" t="str">
        <f t="shared" ca="1" si="13"/>
        <v>Czech Koruna</v>
      </c>
      <c r="BF76" s="144" t="s">
        <v>118</v>
      </c>
      <c r="BG76" s="144" t="s">
        <v>119</v>
      </c>
      <c r="BH76" s="142" t="s">
        <v>35</v>
      </c>
      <c r="BI76" s="145" t="s">
        <v>120</v>
      </c>
      <c r="BO76" s="46" t="s">
        <v>4471</v>
      </c>
      <c r="BP76" s="46" t="s">
        <v>4677</v>
      </c>
    </row>
    <row r="77" spans="2:68" x14ac:dyDescent="0.2">
      <c r="B77" s="4" t="str">
        <f>V71&amp;" - "&amp;VLOOKUP("Cost of Debt (Rd) - Average of Last 5 Issued Bonds",Language_Data,Lookup_Column,FALSE)</f>
        <v>BMV:BIMBO A - Cost of Debt (Rd) - Average of Last 5 Issued Bonds</v>
      </c>
      <c r="C77" s="96">
        <f>C55</f>
        <v>9.7100000000000006E-2</v>
      </c>
      <c r="U77" s="183">
        <f>E15</f>
        <v>46311.25</v>
      </c>
      <c r="V77" s="183">
        <f>U77-1</f>
        <v>46310.25</v>
      </c>
      <c r="W77" s="183">
        <f>V77-1</f>
        <v>46309.25</v>
      </c>
      <c r="AD77" t="s">
        <v>5022</v>
      </c>
      <c r="AE77" s="201" t="e">
        <f t="shared" ca="1" si="19"/>
        <v>#NAME?</v>
      </c>
      <c r="AF77" s="201" t="e" cm="1">
        <f t="array" aca="1" ref="AF77" ca="1">IF(AD77="","",_xll.SNL.Clients.Office.Excel.Functions.SPG(AD77,"SPT_YTW",$E$15,"Options:NA=NA"))</f>
        <v>#NAME?</v>
      </c>
      <c r="AG77" s="201" t="e" cm="1">
        <f t="array" aca="1" ref="AG77" ca="1">IF(AD77="","",_xll.SNL.Clients.Office.Excel.Functions.SPG(AD77,"SPT_EOD_YTM_MID","EOD Close Price",$E$15,"Options:NA=NA"))</f>
        <v>#NAME?</v>
      </c>
      <c r="AH77" s="2" t="e" cm="1">
        <f t="array" aca="1" ref="AH77" ca="1">IF(OR(AD77="",AE77="NA"),"",_xll.SNL.Clients.Office.Excel.Functions.SPG(AD77,"SPT_ISSUE_DATE"))</f>
        <v>#NAME?</v>
      </c>
      <c r="AI77" s="1" t="e">
        <f ca="1">IF(OR($AD77="",$AE77="NA",$AH77=""),"",RANK(AH77,$AH$53:$AH$1052)+COUNTIF($AH$53:AH77,AH77)-1)</f>
        <v>#NAME?</v>
      </c>
      <c r="AJ77" s="2" t="e">
        <f t="shared" ca="1" si="20"/>
        <v>#NAME?</v>
      </c>
      <c r="AK77" s="1" t="e">
        <f ca="1">IF(OR($AD77="",$AE77="NA",$AJ77=""),"",RANK(AJ77,$AJ$53:$AJ$1052)+COUNTIF($AJ$53:AJ77,AJ77)-1)</f>
        <v>#NAME?</v>
      </c>
      <c r="AS77" s="201"/>
      <c r="AT77" s="2"/>
      <c r="AV77" s="2"/>
      <c r="BE77" s="140" t="str">
        <f t="shared" ca="1" si="13"/>
        <v>Danish Krone</v>
      </c>
      <c r="BF77" s="144" t="s">
        <v>121</v>
      </c>
      <c r="BG77" s="144" t="s">
        <v>122</v>
      </c>
      <c r="BH77" s="142" t="s">
        <v>35</v>
      </c>
      <c r="BI77" s="145" t="s">
        <v>123</v>
      </c>
      <c r="BO77" s="46" t="s">
        <v>4474</v>
      </c>
      <c r="BP77" s="46" t="s">
        <v>4678</v>
      </c>
    </row>
    <row r="78" spans="2:68" x14ac:dyDescent="0.2">
      <c r="B78" s="4" t="str">
        <f>VLOOKUP("Tax Rate (5 Year Average)",Language_Data,Lookup_Column,FALSE)</f>
        <v>Tax Rate (5 Year Average)</v>
      </c>
      <c r="C78" s="96">
        <f>C46</f>
        <v>0.3</v>
      </c>
      <c r="E78" s="81" t="str">
        <f>VLOOKUP("WACC SENSITIVITY ANALYSIS",Language_Data,Lookup_Column,FALSE)</f>
        <v>WACC SENSITIVITY ANALYSIS</v>
      </c>
      <c r="F78" s="82"/>
      <c r="G78" s="82"/>
      <c r="H78" s="82"/>
      <c r="I78" s="83"/>
      <c r="J78" s="83"/>
      <c r="K78" s="83"/>
      <c r="L78" s="83"/>
      <c r="M78" s="83"/>
      <c r="N78" s="84"/>
      <c r="R78" s="21" t="s">
        <v>4203</v>
      </c>
      <c r="S78" s="235" t="e">
        <f t="shared" ref="S78:S109" ca="1" si="29">IF(U78&lt;&gt;"NA",U78,IF(V78&lt;&gt;"NA",V78,W78))</f>
        <v>#NAME?</v>
      </c>
      <c r="T78" s="223" t="s">
        <v>4753</v>
      </c>
      <c r="U78" s="232" t="e" cm="1">
        <f t="array" aca="1" ref="U78" ca="1">_xll.SNL.Clients.Office.Excel.Functions.SPG($T78, "SP_RATE_VALUE",U$77,"Options:NA=NA")</f>
        <v>#NAME?</v>
      </c>
      <c r="V78" s="232" t="e" cm="1">
        <f t="array" aca="1" ref="V78" ca="1">_xll.SNL.Clients.Office.Excel.Functions.SPG($T78, "SP_RATE_VALUE",V$77,"Options:NA=NA")</f>
        <v>#NAME?</v>
      </c>
      <c r="W78" s="227" t="e" cm="1">
        <f t="array" aca="1" ref="W78" ca="1">_xll.SNL.Clients.Office.Excel.Functions.SPG($T78, "SP_RATE_VALUE",W$77,"Options:NA=NA")</f>
        <v>#NAME?</v>
      </c>
      <c r="AD78" t="s">
        <v>5024</v>
      </c>
      <c r="AE78" s="201" t="e">
        <f t="shared" ca="1" si="19"/>
        <v>#NAME?</v>
      </c>
      <c r="AF78" s="201" t="e" cm="1">
        <f t="array" aca="1" ref="AF78" ca="1">IF(AD78="","",_xll.SNL.Clients.Office.Excel.Functions.SPG(AD78,"SPT_YTW",$E$15,"Options:NA=NA"))</f>
        <v>#NAME?</v>
      </c>
      <c r="AG78" s="201" t="e" cm="1">
        <f t="array" aca="1" ref="AG78" ca="1">IF(AD78="","",_xll.SNL.Clients.Office.Excel.Functions.SPG(AD78,"SPT_EOD_YTM_MID","EOD Close Price",$E$15,"Options:NA=NA"))</f>
        <v>#NAME?</v>
      </c>
      <c r="AH78" s="2" t="e" cm="1">
        <f t="array" aca="1" ref="AH78" ca="1">IF(OR(AD78="",AE78="NA"),"",_xll.SNL.Clients.Office.Excel.Functions.SPG(AD78,"SPT_ISSUE_DATE"))</f>
        <v>#NAME?</v>
      </c>
      <c r="AI78" s="1" t="e">
        <f ca="1">IF(OR($AD78="",$AE78="NA",$AH78=""),"",RANK(AH78,$AH$53:$AH$1052)+COUNTIF($AH$53:AH78,AH78)-1)</f>
        <v>#NAME?</v>
      </c>
      <c r="AJ78" s="2" t="e">
        <f t="shared" ca="1" si="20"/>
        <v>#NAME?</v>
      </c>
      <c r="AK78" s="1" t="e">
        <f ca="1">IF(OR($AD78="",$AE78="NA",$AJ78=""),"",RANK(AJ78,$AJ$53:$AJ$1052)+COUNTIF($AJ$53:AJ78,AJ78)-1)</f>
        <v>#NAME?</v>
      </c>
      <c r="AS78" s="201"/>
      <c r="AT78" s="2"/>
      <c r="AV78" s="2"/>
      <c r="BE78" s="140" t="str">
        <f t="shared" ca="1" si="13"/>
        <v>Dominican Peso</v>
      </c>
      <c r="BF78" s="144" t="s">
        <v>125</v>
      </c>
      <c r="BG78" s="144" t="s">
        <v>126</v>
      </c>
      <c r="BH78" s="142" t="s">
        <v>35</v>
      </c>
      <c r="BI78" s="145" t="s">
        <v>127</v>
      </c>
      <c r="BO78" s="46" t="s">
        <v>310</v>
      </c>
      <c r="BP78" s="46" t="s">
        <v>4679</v>
      </c>
    </row>
    <row r="79" spans="2:68" x14ac:dyDescent="0.2">
      <c r="B79" s="5" t="str">
        <f>VLOOKUP("After-Tax Cost of Debt",Language_Data,Lookup_Column,FALSE)</f>
        <v>After-Tax Cost of Debt</v>
      </c>
      <c r="C79" s="96">
        <f>IFERROR(C77*(1-(C78)),0)</f>
        <v>6.7970000000000003E-2</v>
      </c>
      <c r="E79" s="63" t="str">
        <f>VLOOKUP("E/(D+P+E)",Language_Data,Lookup_Column,FALSE)</f>
        <v>E/(D+P+E)</v>
      </c>
      <c r="F79" s="64" t="str">
        <f>VLOOKUP("Cost of Equity",Language_Data,Lookup_Column,FALSE)</f>
        <v>Cost of Equity</v>
      </c>
      <c r="G79" s="65"/>
      <c r="H79" s="65"/>
      <c r="I79" s="65"/>
      <c r="J79" s="65"/>
      <c r="K79" s="65"/>
      <c r="L79" s="65"/>
      <c r="M79" s="65"/>
      <c r="N79" s="66"/>
      <c r="R79" s="24" t="s">
        <v>4204</v>
      </c>
      <c r="S79" s="236" t="e">
        <f t="shared" ca="1" si="29"/>
        <v>#NAME?</v>
      </c>
      <c r="T79" s="230" t="s">
        <v>4754</v>
      </c>
      <c r="U79" s="233" t="e" cm="1">
        <f t="array" aca="1" ref="U79" ca="1">_xll.SNL.Clients.Office.Excel.Functions.SPG($T79, "SP_RATE_VALUE",U$77,"Options:NA=NA")</f>
        <v>#NAME?</v>
      </c>
      <c r="V79" s="233" t="e" cm="1">
        <f t="array" aca="1" ref="V79" ca="1">_xll.SNL.Clients.Office.Excel.Functions.SPG($T79, "SP_RATE_VALUE",V$77,"Options:NA=NA")</f>
        <v>#NAME?</v>
      </c>
      <c r="W79" s="228" t="e" cm="1">
        <f t="array" aca="1" ref="W79" ca="1">_xll.SNL.Clients.Office.Excel.Functions.SPG($T79, "SP_RATE_VALUE",W$77,"Options:NA=NA")</f>
        <v>#NAME?</v>
      </c>
      <c r="AD79" t="s">
        <v>5025</v>
      </c>
      <c r="AE79" s="201" t="e">
        <f t="shared" ca="1" si="19"/>
        <v>#NAME?</v>
      </c>
      <c r="AF79" s="201" t="e" cm="1">
        <f t="array" aca="1" ref="AF79" ca="1">IF(AD79="","",_xll.SNL.Clients.Office.Excel.Functions.SPG(AD79,"SPT_YTW",$E$15,"Options:NA=NA"))</f>
        <v>#NAME?</v>
      </c>
      <c r="AG79" s="201" t="e" cm="1">
        <f t="array" aca="1" ref="AG79" ca="1">IF(AD79="","",_xll.SNL.Clients.Office.Excel.Functions.SPG(AD79,"SPT_EOD_YTM_MID","EOD Close Price",$E$15,"Options:NA=NA"))</f>
        <v>#NAME?</v>
      </c>
      <c r="AH79" s="2" t="e" cm="1">
        <f t="array" aca="1" ref="AH79" ca="1">IF(OR(AD79="",AE79="NA"),"",_xll.SNL.Clients.Office.Excel.Functions.SPG(AD79,"SPT_ISSUE_DATE"))</f>
        <v>#NAME?</v>
      </c>
      <c r="AI79" s="1" t="e">
        <f ca="1">IF(OR($AD79="",$AE79="NA",$AH79=""),"",RANK(AH79,$AH$53:$AH$1052)+COUNTIF($AH$53:AH79,AH79)-1)</f>
        <v>#NAME?</v>
      </c>
      <c r="AJ79" s="2" t="e">
        <f t="shared" ca="1" si="20"/>
        <v>#NAME?</v>
      </c>
      <c r="AK79" s="1" t="e">
        <f ca="1">IF(OR($AD79="",$AE79="NA",$AJ79=""),"",RANK(AJ79,$AJ$53:$AJ$1052)+COUNTIF($AJ$53:AJ79,AJ79)-1)</f>
        <v>#NAME?</v>
      </c>
      <c r="AS79" s="201"/>
      <c r="AT79" s="2"/>
      <c r="AV79" s="2"/>
      <c r="BE79" s="140" t="str">
        <f t="shared" ca="1" si="13"/>
        <v>Egyptian Pound</v>
      </c>
      <c r="BF79" s="144" t="s">
        <v>128</v>
      </c>
      <c r="BG79" s="144" t="s">
        <v>129</v>
      </c>
      <c r="BH79" s="142" t="s">
        <v>35</v>
      </c>
      <c r="BI79" s="145" t="s">
        <v>130</v>
      </c>
      <c r="BO79" s="46" t="s">
        <v>311</v>
      </c>
      <c r="BP79" s="46" t="s">
        <v>4680</v>
      </c>
    </row>
    <row r="80" spans="2:68" x14ac:dyDescent="0.2">
      <c r="B80" s="4" t="str">
        <f>VLOOKUP("Multiplied by: ",Language_Data,Lookup_Column,FALSE)&amp;V71&amp;" - "&amp;VLOOKUP("D/(D+P+E)",Language_Data,Lookup_Column,FALSE)</f>
        <v>Multiplied by: BMV:BIMBO A - D/(D+P+E)</v>
      </c>
      <c r="C80" s="96">
        <f>C51</f>
        <v>0.43637068265729695</v>
      </c>
      <c r="E80" s="164">
        <f>C87</f>
        <v>0.10398289994023387</v>
      </c>
      <c r="F80" s="73">
        <f>G80-$C$63</f>
        <v>2.0000000000000004E-2</v>
      </c>
      <c r="G80" s="74">
        <f>H80-$C$63</f>
        <v>2.7500000000000004E-2</v>
      </c>
      <c r="H80" s="74">
        <f>I80-$C$63</f>
        <v>3.5000000000000003E-2</v>
      </c>
      <c r="I80" s="74">
        <f>J80-$C$63</f>
        <v>4.2500000000000003E-2</v>
      </c>
      <c r="J80" s="90">
        <v>0.05</v>
      </c>
      <c r="K80" s="74">
        <f>J80+$C$63</f>
        <v>5.7500000000000002E-2</v>
      </c>
      <c r="L80" s="74">
        <f>K80+$C$63</f>
        <v>6.5000000000000002E-2</v>
      </c>
      <c r="M80" s="74">
        <f>L80+$C$63</f>
        <v>7.2500000000000009E-2</v>
      </c>
      <c r="N80" s="75">
        <f>M80+$C$63</f>
        <v>8.0000000000000016E-2</v>
      </c>
      <c r="R80" s="24" t="s">
        <v>4205</v>
      </c>
      <c r="S80" s="236" t="e">
        <f t="shared" ca="1" si="29"/>
        <v>#NAME?</v>
      </c>
      <c r="T80" s="230" t="s">
        <v>4755</v>
      </c>
      <c r="U80" s="233" t="e" cm="1">
        <f t="array" aca="1" ref="U80" ca="1">_xll.SNL.Clients.Office.Excel.Functions.SPG($T80, "SP_RATE_VALUE",U$77,"Options:NA=NA")</f>
        <v>#NAME?</v>
      </c>
      <c r="V80" s="233" t="e" cm="1">
        <f t="array" aca="1" ref="V80" ca="1">_xll.SNL.Clients.Office.Excel.Functions.SPG($T80, "SP_RATE_VALUE",V$77,"Options:NA=NA")</f>
        <v>#NAME?</v>
      </c>
      <c r="W80" s="228" t="e" cm="1">
        <f t="array" aca="1" ref="W80" ca="1">_xll.SNL.Clients.Office.Excel.Functions.SPG($T80, "SP_RATE_VALUE",W$77,"Options:NA=NA")</f>
        <v>#NAME?</v>
      </c>
      <c r="AD80" t="s">
        <v>5026</v>
      </c>
      <c r="AE80" s="201" t="e">
        <f t="shared" ca="1" si="19"/>
        <v>#NAME?</v>
      </c>
      <c r="AF80" s="201" t="e" cm="1">
        <f t="array" aca="1" ref="AF80" ca="1">IF(AD80="","",_xll.SNL.Clients.Office.Excel.Functions.SPG(AD80,"SPT_YTW",$E$15,"Options:NA=NA"))</f>
        <v>#NAME?</v>
      </c>
      <c r="AG80" s="201" t="e" cm="1">
        <f t="array" aca="1" ref="AG80" ca="1">IF(AD80="","",_xll.SNL.Clients.Office.Excel.Functions.SPG(AD80,"SPT_EOD_YTM_MID","EOD Close Price",$E$15,"Options:NA=NA"))</f>
        <v>#NAME?</v>
      </c>
      <c r="AH80" s="2" t="e" cm="1">
        <f t="array" aca="1" ref="AH80" ca="1">IF(OR(AD80="",AE80="NA"),"",_xll.SNL.Clients.Office.Excel.Functions.SPG(AD80,"SPT_ISSUE_DATE"))</f>
        <v>#NAME?</v>
      </c>
      <c r="AI80" s="1" t="e">
        <f ca="1">IF(OR($AD80="",$AE80="NA",$AH80=""),"",RANK(AH80,$AH$53:$AH$1052)+COUNTIF($AH$53:AH80,AH80)-1)</f>
        <v>#NAME?</v>
      </c>
      <c r="AJ80" s="2" t="e">
        <f t="shared" ca="1" si="20"/>
        <v>#NAME?</v>
      </c>
      <c r="AK80" s="1" t="e">
        <f ca="1">IF(OR($AD80="",$AE80="NA",$AJ80=""),"",RANK(AJ80,$AJ$53:$AJ$1052)+COUNTIF($AJ$53:AJ80,AJ80)-1)</f>
        <v>#NAME?</v>
      </c>
      <c r="AS80" s="201"/>
      <c r="AT80" s="2"/>
      <c r="AV80" s="2"/>
      <c r="BE80" s="140" t="str">
        <f t="shared" ca="1" si="13"/>
        <v>Georgian Lari</v>
      </c>
      <c r="BF80" s="144" t="s">
        <v>131</v>
      </c>
      <c r="BG80" s="144" t="s">
        <v>132</v>
      </c>
      <c r="BH80" s="142" t="s">
        <v>35</v>
      </c>
      <c r="BI80" s="145" t="s">
        <v>133</v>
      </c>
      <c r="BO80" s="46" t="s">
        <v>4743</v>
      </c>
      <c r="BP80" s="46" t="s">
        <v>4681</v>
      </c>
    </row>
    <row r="81" spans="2:68" x14ac:dyDescent="0.2">
      <c r="B81" s="44" t="str">
        <f>VLOOKUP("Cost of Debt Portion",Language_Data,Lookup_Column,FALSE)</f>
        <v>Cost of Debt Portion</v>
      </c>
      <c r="C81" s="98">
        <f>IFERROR((C79*C80),0)</f>
        <v>2.9660115300216474E-2</v>
      </c>
      <c r="E81" s="165">
        <f>E82-$C$64</f>
        <v>0.35000000000000003</v>
      </c>
      <c r="F81" s="76">
        <f t="dataTable" ref="F81:N87" dt2D="1" dtr="1" r1="C73" r2="C74"/>
        <v>3.6660115300216477E-2</v>
      </c>
      <c r="G81" s="76">
        <v>3.9285115300216472E-2</v>
      </c>
      <c r="H81" s="76">
        <v>4.1910115300216474E-2</v>
      </c>
      <c r="I81" s="76">
        <v>4.4535115300216477E-2</v>
      </c>
      <c r="J81" s="76">
        <v>4.7160115300216479E-2</v>
      </c>
      <c r="K81" s="76">
        <v>4.9785115300216481E-2</v>
      </c>
      <c r="L81" s="76">
        <v>5.2410115300216477E-2</v>
      </c>
      <c r="M81" s="76">
        <v>5.5035115300216479E-2</v>
      </c>
      <c r="N81" s="77">
        <v>5.7660115300216482E-2</v>
      </c>
      <c r="R81" s="24" t="s">
        <v>4206</v>
      </c>
      <c r="S81" s="236" t="e">
        <f t="shared" ca="1" si="29"/>
        <v>#NAME?</v>
      </c>
      <c r="T81" s="230" t="s">
        <v>4756</v>
      </c>
      <c r="U81" s="233" t="e" cm="1">
        <f t="array" aca="1" ref="U81" ca="1">_xll.SNL.Clients.Office.Excel.Functions.SPG($T81, "SP_RATE_VALUE",U$77,"Options:NA=NA")</f>
        <v>#NAME?</v>
      </c>
      <c r="V81" s="233" t="e" cm="1">
        <f t="array" aca="1" ref="V81" ca="1">_xll.SNL.Clients.Office.Excel.Functions.SPG($T81, "SP_RATE_VALUE",V$77,"Options:NA=NA")</f>
        <v>#NAME?</v>
      </c>
      <c r="W81" s="228" t="e" cm="1">
        <f t="array" aca="1" ref="W81" ca="1">_xll.SNL.Clients.Office.Excel.Functions.SPG($T81, "SP_RATE_VALUE",W$77,"Options:NA=NA")</f>
        <v>#NAME?</v>
      </c>
      <c r="AD81" t="s">
        <v>5027</v>
      </c>
      <c r="AE81" s="201" t="e">
        <f t="shared" ca="1" si="19"/>
        <v>#NAME?</v>
      </c>
      <c r="AF81" s="201" t="e" cm="1">
        <f t="array" aca="1" ref="AF81" ca="1">IF(AD81="","",_xll.SNL.Clients.Office.Excel.Functions.SPG(AD81,"SPT_YTW",$E$15,"Options:NA=NA"))</f>
        <v>#NAME?</v>
      </c>
      <c r="AG81" s="201" t="e" cm="1">
        <f t="array" aca="1" ref="AG81" ca="1">IF(AD81="","",_xll.SNL.Clients.Office.Excel.Functions.SPG(AD81,"SPT_EOD_YTM_MID","EOD Close Price",$E$15,"Options:NA=NA"))</f>
        <v>#NAME?</v>
      </c>
      <c r="AH81" s="2" t="e" cm="1">
        <f t="array" aca="1" ref="AH81" ca="1">IF(OR(AD81="",AE81="NA"),"",_xll.SNL.Clients.Office.Excel.Functions.SPG(AD81,"SPT_ISSUE_DATE"))</f>
        <v>#NAME?</v>
      </c>
      <c r="AI81" s="1" t="e">
        <f ca="1">IF(OR($AD81="",$AE81="NA",$AH81=""),"",RANK(AH81,$AH$53:$AH$1052)+COUNTIF($AH$53:AH81,AH81)-1)</f>
        <v>#NAME?</v>
      </c>
      <c r="AJ81" s="2" t="e">
        <f t="shared" ca="1" si="20"/>
        <v>#NAME?</v>
      </c>
      <c r="AK81" s="1" t="e">
        <f ca="1">IF(OR($AD81="",$AE81="NA",$AJ81=""),"",RANK(AJ81,$AJ$53:$AJ$1052)+COUNTIF($AJ$53:AJ81,AJ81)-1)</f>
        <v>#NAME?</v>
      </c>
      <c r="AS81" s="201"/>
      <c r="AT81" s="2"/>
      <c r="AV81" s="2"/>
      <c r="BE81" s="140" t="str">
        <f t="shared" ca="1" si="13"/>
        <v>Guatemalan Quetzal</v>
      </c>
      <c r="BF81" s="144" t="s">
        <v>134</v>
      </c>
      <c r="BG81" s="144" t="s">
        <v>135</v>
      </c>
      <c r="BH81" s="142" t="s">
        <v>35</v>
      </c>
      <c r="BI81" s="145" t="s">
        <v>136</v>
      </c>
      <c r="BO81" s="46" t="s">
        <v>312</v>
      </c>
      <c r="BP81" s="46" t="s">
        <v>4682</v>
      </c>
    </row>
    <row r="82" spans="2:68" x14ac:dyDescent="0.2">
      <c r="B82" s="4"/>
      <c r="C82" s="1"/>
      <c r="E82" s="165">
        <f>E83-$C$64</f>
        <v>0.4</v>
      </c>
      <c r="F82" s="76">
        <v>3.7660115300216478E-2</v>
      </c>
      <c r="G82" s="76">
        <v>4.0660115300216473E-2</v>
      </c>
      <c r="H82" s="76">
        <v>4.3660115300216476E-2</v>
      </c>
      <c r="I82" s="76">
        <v>4.6660115300216479E-2</v>
      </c>
      <c r="J82" s="76">
        <v>4.9660115300216481E-2</v>
      </c>
      <c r="K82" s="76">
        <v>5.2660115300216477E-2</v>
      </c>
      <c r="L82" s="76">
        <v>5.5660115300216473E-2</v>
      </c>
      <c r="M82" s="76">
        <v>5.8660115300216475E-2</v>
      </c>
      <c r="N82" s="77">
        <v>6.1660115300216478E-2</v>
      </c>
      <c r="R82" s="24" t="s">
        <v>4207</v>
      </c>
      <c r="S82" s="236" t="e">
        <f t="shared" ca="1" si="29"/>
        <v>#NAME?</v>
      </c>
      <c r="T82" s="230" t="s">
        <v>4757</v>
      </c>
      <c r="U82" s="233" t="e" cm="1">
        <f t="array" aca="1" ref="U82" ca="1">_xll.SNL.Clients.Office.Excel.Functions.SPG($T82, "SP_RATE_VALUE",U$77,"Options:NA=NA")</f>
        <v>#NAME?</v>
      </c>
      <c r="V82" s="233" t="e" cm="1">
        <f t="array" aca="1" ref="V82" ca="1">_xll.SNL.Clients.Office.Excel.Functions.SPG($T82, "SP_RATE_VALUE",V$77,"Options:NA=NA")</f>
        <v>#NAME?</v>
      </c>
      <c r="W82" s="228" t="e" cm="1">
        <f t="array" aca="1" ref="W82" ca="1">_xll.SNL.Clients.Office.Excel.Functions.SPG($T82, "SP_RATE_VALUE",W$77,"Options:NA=NA")</f>
        <v>#NAME?</v>
      </c>
      <c r="AD82" t="s">
        <v>5028</v>
      </c>
      <c r="AE82" s="201" t="e">
        <f t="shared" ca="1" si="19"/>
        <v>#NAME?</v>
      </c>
      <c r="AF82" s="201" t="e" cm="1">
        <f t="array" aca="1" ref="AF82" ca="1">IF(AD82="","",_xll.SNL.Clients.Office.Excel.Functions.SPG(AD82,"SPT_YTW",$E$15,"Options:NA=NA"))</f>
        <v>#NAME?</v>
      </c>
      <c r="AG82" s="201" t="e" cm="1">
        <f t="array" aca="1" ref="AG82" ca="1">IF(AD82="","",_xll.SNL.Clients.Office.Excel.Functions.SPG(AD82,"SPT_EOD_YTM_MID","EOD Close Price",$E$15,"Options:NA=NA"))</f>
        <v>#NAME?</v>
      </c>
      <c r="AH82" s="2" t="e" cm="1">
        <f t="array" aca="1" ref="AH82" ca="1">IF(OR(AD82="",AE82="NA"),"",_xll.SNL.Clients.Office.Excel.Functions.SPG(AD82,"SPT_ISSUE_DATE"))</f>
        <v>#NAME?</v>
      </c>
      <c r="AI82" s="1" t="e">
        <f ca="1">IF(OR($AD82="",$AE82="NA",$AH82=""),"",RANK(AH82,$AH$53:$AH$1052)+COUNTIF($AH$53:AH82,AH82)-1)</f>
        <v>#NAME?</v>
      </c>
      <c r="AJ82" s="2" t="e">
        <f t="shared" ca="1" si="20"/>
        <v>#NAME?</v>
      </c>
      <c r="AK82" s="1" t="e">
        <f ca="1">IF(OR($AD82="",$AE82="NA",$AJ82=""),"",RANK(AJ82,$AJ$53:$AJ$1052)+COUNTIF($AJ$53:AJ82,AJ82)-1)</f>
        <v>#NAME?</v>
      </c>
      <c r="AS82" s="201"/>
      <c r="AT82" s="2"/>
      <c r="AV82" s="2"/>
      <c r="BE82" s="140" t="str">
        <f t="shared" ca="1" si="13"/>
        <v>Honduran Lempira</v>
      </c>
      <c r="BF82" s="144" t="s">
        <v>137</v>
      </c>
      <c r="BG82" s="144" t="s">
        <v>138</v>
      </c>
      <c r="BH82" s="142" t="s">
        <v>35</v>
      </c>
      <c r="BI82" s="145" t="s">
        <v>139</v>
      </c>
      <c r="BO82" s="46" t="s">
        <v>4162</v>
      </c>
      <c r="BP82" s="46" t="s">
        <v>4683</v>
      </c>
    </row>
    <row r="83" spans="2:68" x14ac:dyDescent="0.2">
      <c r="B83" s="5" t="str">
        <f>V71&amp;" - "&amp;VLOOKUP("Cost of Preferred (Rp)",Language_Data,Lookup_Column,FALSE)</f>
        <v>BMV:BIMBO A - Cost of Preferred (Rp)</v>
      </c>
      <c r="C83" s="96">
        <f>C57</f>
        <v>0</v>
      </c>
      <c r="E83" s="165">
        <f>E84-$C$64</f>
        <v>0.45</v>
      </c>
      <c r="F83" s="76">
        <v>3.8660115300216479E-2</v>
      </c>
      <c r="G83" s="76">
        <v>4.2035115300216475E-2</v>
      </c>
      <c r="H83" s="76">
        <v>4.5410115300216478E-2</v>
      </c>
      <c r="I83" s="76">
        <v>4.8785115300216481E-2</v>
      </c>
      <c r="J83" s="76">
        <v>5.2160115300216477E-2</v>
      </c>
      <c r="K83" s="76">
        <v>5.5535115300216473E-2</v>
      </c>
      <c r="L83" s="76">
        <v>5.8910115300216476E-2</v>
      </c>
      <c r="M83" s="76">
        <v>6.2285115300216479E-2</v>
      </c>
      <c r="N83" s="77">
        <v>6.5660115300216482E-2</v>
      </c>
      <c r="R83" s="24" t="s">
        <v>4835</v>
      </c>
      <c r="S83" s="236" t="e">
        <f ca="1">IF(U83&lt;&gt;"NA",U83,IF(V83&lt;&gt;"NA",V83,W83))</f>
        <v>#NAME?</v>
      </c>
      <c r="T83" s="230" t="s">
        <v>4781</v>
      </c>
      <c r="U83" s="233" t="e" cm="1">
        <f t="array" aca="1" ref="U83" ca="1">_xll.SNL.Clients.Office.Excel.Functions.SPG($T83, "SP_RATE_VALUE",U$77,"Options:NA=NA")</f>
        <v>#NAME?</v>
      </c>
      <c r="V83" s="233" t="e" cm="1">
        <f t="array" aca="1" ref="V83" ca="1">_xll.SNL.Clients.Office.Excel.Functions.SPG($T83, "SP_RATE_VALUE",V$77,"Options:NA=NA")</f>
        <v>#NAME?</v>
      </c>
      <c r="W83" s="228" t="e" cm="1">
        <f t="array" aca="1" ref="W83" ca="1">_xll.SNL.Clients.Office.Excel.Functions.SPG($T83, "SP_RATE_VALUE",W$77,"Options:NA=NA")</f>
        <v>#NAME?</v>
      </c>
      <c r="AD83" t="s">
        <v>5029</v>
      </c>
      <c r="AE83" s="201" t="e">
        <f t="shared" ca="1" si="19"/>
        <v>#NAME?</v>
      </c>
      <c r="AF83" s="201" t="e" cm="1">
        <f t="array" aca="1" ref="AF83" ca="1">IF(AD83="","",_xll.SNL.Clients.Office.Excel.Functions.SPG(AD83,"SPT_YTW",$E$15,"Options:NA=NA"))</f>
        <v>#NAME?</v>
      </c>
      <c r="AG83" s="201" t="e" cm="1">
        <f t="array" aca="1" ref="AG83" ca="1">IF(AD83="","",_xll.SNL.Clients.Office.Excel.Functions.SPG(AD83,"SPT_EOD_YTM_MID","EOD Close Price",$E$15,"Options:NA=NA"))</f>
        <v>#NAME?</v>
      </c>
      <c r="AH83" s="2" t="e" cm="1">
        <f t="array" aca="1" ref="AH83" ca="1">IF(OR(AD83="",AE83="NA"),"",_xll.SNL.Clients.Office.Excel.Functions.SPG(AD83,"SPT_ISSUE_DATE"))</f>
        <v>#NAME?</v>
      </c>
      <c r="AI83" s="1" t="e">
        <f ca="1">IF(OR($AD83="",$AE83="NA",$AH83=""),"",RANK(AH83,$AH$53:$AH$1052)+COUNTIF($AH$53:AH83,AH83)-1)</f>
        <v>#NAME?</v>
      </c>
      <c r="AJ83" s="2" t="e">
        <f t="shared" ca="1" si="20"/>
        <v>#NAME?</v>
      </c>
      <c r="AK83" s="1" t="e">
        <f ca="1">IF(OR($AD83="",$AE83="NA",$AJ83=""),"",RANK(AJ83,$AJ$53:$AJ$1052)+COUNTIF($AJ$53:AJ83,AJ83)-1)</f>
        <v>#NAME?</v>
      </c>
      <c r="AS83" s="201"/>
      <c r="AT83" s="2"/>
      <c r="AV83" s="2"/>
      <c r="BE83" s="140" t="str">
        <f t="shared" ca="1" si="13"/>
        <v>Hong Kong Dollar</v>
      </c>
      <c r="BF83" s="144" t="s">
        <v>140</v>
      </c>
      <c r="BG83" s="144" t="s">
        <v>141</v>
      </c>
      <c r="BH83" s="142" t="s">
        <v>35</v>
      </c>
      <c r="BI83" s="145" t="s">
        <v>142</v>
      </c>
      <c r="BO83" s="46" t="s">
        <v>4748</v>
      </c>
      <c r="BP83" s="46" t="s">
        <v>4685</v>
      </c>
    </row>
    <row r="84" spans="2:68" x14ac:dyDescent="0.2">
      <c r="B84" s="4" t="str">
        <f>VLOOKUP("Multiplied by: ",Language_Data,Lookup_Column,FALSE)&amp;V71&amp;" - "&amp;VLOOKUP("P/(D+P+E)",Language_Data,Lookup_Column,FALSE)</f>
        <v>Multiplied by: BMV:BIMBO A - P/(D+P+E)</v>
      </c>
      <c r="C84" s="96">
        <f>IFERROR(V63/SUM(V62,V63,V64),0)</f>
        <v>0</v>
      </c>
      <c r="E84" s="166">
        <v>0.5</v>
      </c>
      <c r="F84" s="76">
        <v>3.9660115300216472E-2</v>
      </c>
      <c r="G84" s="76">
        <v>4.3410115300216476E-2</v>
      </c>
      <c r="H84" s="76">
        <v>4.7160115300216479E-2</v>
      </c>
      <c r="I84" s="76">
        <v>5.0910115300216476E-2</v>
      </c>
      <c r="J84" s="76">
        <v>5.4660115300216472E-2</v>
      </c>
      <c r="K84" s="76">
        <v>5.8410115300216475E-2</v>
      </c>
      <c r="L84" s="76">
        <v>6.2160115300216479E-2</v>
      </c>
      <c r="M84" s="76">
        <v>6.5910115300216482E-2</v>
      </c>
      <c r="N84" s="77">
        <v>6.9660115300216485E-2</v>
      </c>
      <c r="R84" s="24" t="s">
        <v>4208</v>
      </c>
      <c r="S84" s="236" t="e">
        <f t="shared" ca="1" si="29"/>
        <v>#NAME?</v>
      </c>
      <c r="T84" s="230" t="s">
        <v>4758</v>
      </c>
      <c r="U84" s="233" t="e" cm="1">
        <f t="array" aca="1" ref="U84" ca="1">_xll.SNL.Clients.Office.Excel.Functions.SPG($T84, "SP_RATE_VALUE",U$77,"Options:NA=NA")</f>
        <v>#NAME?</v>
      </c>
      <c r="V84" s="233" t="e" cm="1">
        <f t="array" aca="1" ref="V84" ca="1">_xll.SNL.Clients.Office.Excel.Functions.SPG($T84, "SP_RATE_VALUE",V$77,"Options:NA=NA")</f>
        <v>#NAME?</v>
      </c>
      <c r="W84" s="228" t="e" cm="1">
        <f t="array" aca="1" ref="W84" ca="1">_xll.SNL.Clients.Office.Excel.Functions.SPG($T84, "SP_RATE_VALUE",W$77,"Options:NA=NA")</f>
        <v>#NAME?</v>
      </c>
      <c r="AD84" t="s">
        <v>5030</v>
      </c>
      <c r="AE84" s="201" t="e">
        <f t="shared" ca="1" si="19"/>
        <v>#NAME?</v>
      </c>
      <c r="AF84" s="201" t="e" cm="1">
        <f t="array" aca="1" ref="AF84" ca="1">IF(AD84="","",_xll.SNL.Clients.Office.Excel.Functions.SPG(AD84,"SPT_YTW",$E$15,"Options:NA=NA"))</f>
        <v>#NAME?</v>
      </c>
      <c r="AG84" s="201" t="e" cm="1">
        <f t="array" aca="1" ref="AG84" ca="1">IF(AD84="","",_xll.SNL.Clients.Office.Excel.Functions.SPG(AD84,"SPT_EOD_YTM_MID","EOD Close Price",$E$15,"Options:NA=NA"))</f>
        <v>#NAME?</v>
      </c>
      <c r="AH84" s="2" t="e" cm="1">
        <f t="array" aca="1" ref="AH84" ca="1">IF(OR(AD84="",AE84="NA"),"",_xll.SNL.Clients.Office.Excel.Functions.SPG(AD84,"SPT_ISSUE_DATE"))</f>
        <v>#NAME?</v>
      </c>
      <c r="AI84" s="1" t="e">
        <f ca="1">IF(OR($AD84="",$AE84="NA",$AH84=""),"",RANK(AH84,$AH$53:$AH$1052)+COUNTIF($AH$53:AH84,AH84)-1)</f>
        <v>#NAME?</v>
      </c>
      <c r="AJ84" s="2" t="e">
        <f t="shared" ca="1" si="20"/>
        <v>#NAME?</v>
      </c>
      <c r="AK84" s="1" t="e">
        <f ca="1">IF(OR($AD84="",$AE84="NA",$AJ84=""),"",RANK(AJ84,$AJ$53:$AJ$1052)+COUNTIF($AJ$53:AJ84,AJ84)-1)</f>
        <v>#NAME?</v>
      </c>
      <c r="AS84" s="201"/>
      <c r="AT84" s="2"/>
      <c r="AV84" s="2"/>
      <c r="BE84" s="140" t="str">
        <f t="shared" ref="BE84:BE115" ca="1" si="30">VLOOKUP(BI84,Language_Data,Lookup_Column,FALSE)</f>
        <v>Hungarian Forint</v>
      </c>
      <c r="BF84" s="144" t="s">
        <v>143</v>
      </c>
      <c r="BG84" s="144" t="s">
        <v>144</v>
      </c>
      <c r="BH84" s="142" t="s">
        <v>42</v>
      </c>
      <c r="BI84" s="145" t="s">
        <v>145</v>
      </c>
      <c r="BO84" s="46" t="s">
        <v>4475</v>
      </c>
      <c r="BP84" s="46" t="s">
        <v>4684</v>
      </c>
    </row>
    <row r="85" spans="2:68" x14ac:dyDescent="0.2">
      <c r="B85" s="44" t="str">
        <f>VLOOKUP("Cost of Preferred Portion",Language_Data,Lookup_Column,FALSE)</f>
        <v>Cost of Preferred Portion</v>
      </c>
      <c r="C85" s="98">
        <f>IFERROR((C84*C83),0)</f>
        <v>0</v>
      </c>
      <c r="E85" s="165">
        <f>E84+$C$64</f>
        <v>0.55000000000000004</v>
      </c>
      <c r="F85" s="76">
        <v>4.0660115300216473E-2</v>
      </c>
      <c r="G85" s="76">
        <v>4.4785115300216477E-2</v>
      </c>
      <c r="H85" s="76">
        <v>4.8910115300216481E-2</v>
      </c>
      <c r="I85" s="76">
        <v>5.3035115300216477E-2</v>
      </c>
      <c r="J85" s="76">
        <v>5.7160115300216474E-2</v>
      </c>
      <c r="K85" s="76">
        <v>6.1285115300216478E-2</v>
      </c>
      <c r="L85" s="76">
        <v>6.5410115300216481E-2</v>
      </c>
      <c r="M85" s="76">
        <v>6.9535115300216485E-2</v>
      </c>
      <c r="N85" s="77">
        <v>7.3660115300216489E-2</v>
      </c>
      <c r="R85" s="24" t="s">
        <v>4209</v>
      </c>
      <c r="S85" s="236" t="e">
        <f t="shared" ca="1" si="29"/>
        <v>#NAME?</v>
      </c>
      <c r="T85" s="230" t="s">
        <v>4759</v>
      </c>
      <c r="U85" s="233" t="e" cm="1">
        <f t="array" aca="1" ref="U85" ca="1">_xll.SNL.Clients.Office.Excel.Functions.SPG($T85, "SP_RATE_VALUE",U$77,"Options:NA=NA")</f>
        <v>#NAME?</v>
      </c>
      <c r="V85" s="233" t="e" cm="1">
        <f t="array" aca="1" ref="V85" ca="1">_xll.SNL.Clients.Office.Excel.Functions.SPG($T85, "SP_RATE_VALUE",V$77,"Options:NA=NA")</f>
        <v>#NAME?</v>
      </c>
      <c r="W85" s="228" t="e" cm="1">
        <f t="array" aca="1" ref="W85" ca="1">_xll.SNL.Clients.Office.Excel.Functions.SPG($T85, "SP_RATE_VALUE",W$77,"Options:NA=NA")</f>
        <v>#NAME?</v>
      </c>
      <c r="AD85" t="s">
        <v>5031</v>
      </c>
      <c r="AE85" s="201" t="e">
        <f t="shared" ca="1" si="19"/>
        <v>#NAME?</v>
      </c>
      <c r="AF85" s="201" t="e" cm="1">
        <f t="array" aca="1" ref="AF85" ca="1">IF(AD85="","",_xll.SNL.Clients.Office.Excel.Functions.SPG(AD85,"SPT_YTW",$E$15,"Options:NA=NA"))</f>
        <v>#NAME?</v>
      </c>
      <c r="AG85" s="201" t="e" cm="1">
        <f t="array" aca="1" ref="AG85" ca="1">IF(AD85="","",_xll.SNL.Clients.Office.Excel.Functions.SPG(AD85,"SPT_EOD_YTM_MID","EOD Close Price",$E$15,"Options:NA=NA"))</f>
        <v>#NAME?</v>
      </c>
      <c r="AH85" s="2" t="e" cm="1">
        <f t="array" aca="1" ref="AH85" ca="1">IF(OR(AD85="",AE85="NA"),"",_xll.SNL.Clients.Office.Excel.Functions.SPG(AD85,"SPT_ISSUE_DATE"))</f>
        <v>#NAME?</v>
      </c>
      <c r="AI85" s="1" t="e">
        <f ca="1">IF(OR($AD85="",$AE85="NA",$AH85=""),"",RANK(AH85,$AH$53:$AH$1052)+COUNTIF($AH$53:AH85,AH85)-1)</f>
        <v>#NAME?</v>
      </c>
      <c r="AJ85" s="2" t="e">
        <f t="shared" ca="1" si="20"/>
        <v>#NAME?</v>
      </c>
      <c r="AK85" s="1" t="e">
        <f ca="1">IF(OR($AD85="",$AE85="NA",$AJ85=""),"",RANK(AJ85,$AJ$53:$AJ$1052)+COUNTIF($AJ$53:AJ85,AJ85)-1)</f>
        <v>#NAME?</v>
      </c>
      <c r="AS85" s="201"/>
      <c r="AT85" s="2"/>
      <c r="AV85" s="2"/>
      <c r="BE85" s="140" t="str">
        <f t="shared" ca="1" si="30"/>
        <v>Icelandic Krona</v>
      </c>
      <c r="BF85" s="144" t="s">
        <v>146</v>
      </c>
      <c r="BG85" s="144" t="s">
        <v>147</v>
      </c>
      <c r="BH85" s="142" t="s">
        <v>42</v>
      </c>
      <c r="BI85" s="145" t="s">
        <v>148</v>
      </c>
      <c r="BO85" s="46" t="s">
        <v>4476</v>
      </c>
      <c r="BP85" s="46" t="s">
        <v>4686</v>
      </c>
    </row>
    <row r="86" spans="2:68" x14ac:dyDescent="0.2">
      <c r="C86" s="1"/>
      <c r="E86" s="165">
        <f>E85+$C$64</f>
        <v>0.60000000000000009</v>
      </c>
      <c r="F86" s="76">
        <v>4.1660115300216474E-2</v>
      </c>
      <c r="G86" s="76">
        <v>4.6160115300216478E-2</v>
      </c>
      <c r="H86" s="76">
        <v>5.0660115300216482E-2</v>
      </c>
      <c r="I86" s="76">
        <v>5.5160115300216479E-2</v>
      </c>
      <c r="J86" s="76">
        <v>5.9660115300216476E-2</v>
      </c>
      <c r="K86" s="76">
        <v>6.416011530021648E-2</v>
      </c>
      <c r="L86" s="76">
        <v>6.8660115300216484E-2</v>
      </c>
      <c r="M86" s="76">
        <v>7.3160115300216488E-2</v>
      </c>
      <c r="N86" s="77">
        <v>7.7660115300216492E-2</v>
      </c>
      <c r="R86" s="24" t="s">
        <v>4210</v>
      </c>
      <c r="S86" s="236" t="e">
        <f t="shared" ca="1" si="29"/>
        <v>#NAME?</v>
      </c>
      <c r="T86" s="230" t="s">
        <v>4760</v>
      </c>
      <c r="U86" s="233" t="e" cm="1">
        <f t="array" aca="1" ref="U86" ca="1">_xll.SNL.Clients.Office.Excel.Functions.SPG($T86, "SP_RATE_VALUE",U$77,"Options:NA=NA")</f>
        <v>#NAME?</v>
      </c>
      <c r="V86" s="233" t="e" cm="1">
        <f t="array" aca="1" ref="V86" ca="1">_xll.SNL.Clients.Office.Excel.Functions.SPG($T86, "SP_RATE_VALUE",V$77,"Options:NA=NA")</f>
        <v>#NAME?</v>
      </c>
      <c r="W86" s="228" t="e" cm="1">
        <f t="array" aca="1" ref="W86" ca="1">_xll.SNL.Clients.Office.Excel.Functions.SPG($T86, "SP_RATE_VALUE",W$77,"Options:NA=NA")</f>
        <v>#NAME?</v>
      </c>
      <c r="AD86" t="s">
        <v>5032</v>
      </c>
      <c r="AE86" s="201" t="e">
        <f t="shared" ca="1" si="19"/>
        <v>#NAME?</v>
      </c>
      <c r="AF86" s="201" t="e" cm="1">
        <f t="array" aca="1" ref="AF86" ca="1">IF(AD86="","",_xll.SNL.Clients.Office.Excel.Functions.SPG(AD86,"SPT_YTW",$E$15,"Options:NA=NA"))</f>
        <v>#NAME?</v>
      </c>
      <c r="AG86" s="201" t="e" cm="1">
        <f t="array" aca="1" ref="AG86" ca="1">IF(AD86="","",_xll.SNL.Clients.Office.Excel.Functions.SPG(AD86,"SPT_EOD_YTM_MID","EOD Close Price",$E$15,"Options:NA=NA"))</f>
        <v>#NAME?</v>
      </c>
      <c r="AH86" s="2" t="e" cm="1">
        <f t="array" aca="1" ref="AH86" ca="1">IF(OR(AD86="",AE86="NA"),"",_xll.SNL.Clients.Office.Excel.Functions.SPG(AD86,"SPT_ISSUE_DATE"))</f>
        <v>#NAME?</v>
      </c>
      <c r="AI86" s="1" t="e">
        <f ca="1">IF(OR($AD86="",$AE86="NA",$AH86=""),"",RANK(AH86,$AH$53:$AH$1052)+COUNTIF($AH$53:AH86,AH86)-1)</f>
        <v>#NAME?</v>
      </c>
      <c r="AJ86" s="2" t="e">
        <f t="shared" ca="1" si="20"/>
        <v>#NAME?</v>
      </c>
      <c r="AK86" s="1" t="e">
        <f ca="1">IF(OR($AD86="",$AE86="NA",$AJ86=""),"",RANK(AJ86,$AJ$53:$AJ$1052)+COUNTIF($AJ$53:AJ86,AJ86)-1)</f>
        <v>#NAME?</v>
      </c>
      <c r="AS86" s="201"/>
      <c r="AT86" s="2"/>
      <c r="AV86" s="2"/>
      <c r="BE86" s="140" t="str">
        <f t="shared" ca="1" si="30"/>
        <v>Indian Rupee</v>
      </c>
      <c r="BF86" s="144" t="s">
        <v>149</v>
      </c>
      <c r="BG86" s="144" t="s">
        <v>150</v>
      </c>
      <c r="BH86" s="142" t="s">
        <v>35</v>
      </c>
      <c r="BI86" s="145" t="s">
        <v>151</v>
      </c>
      <c r="BO86" s="46" t="s">
        <v>313</v>
      </c>
      <c r="BP86" s="46" t="s">
        <v>4687</v>
      </c>
    </row>
    <row r="87" spans="2:68" ht="12" thickBot="1" x14ac:dyDescent="0.25">
      <c r="B87" s="179" t="str">
        <f>VLOOKUP("WACC",Language_Data,Lookup_Column,FALSE)&amp;" (%)"</f>
        <v>WACC (%)</v>
      </c>
      <c r="C87" s="294">
        <f>SUM(C85,C81,C75)</f>
        <v>0.10398289994023387</v>
      </c>
      <c r="E87" s="165">
        <f>E86+$C$64</f>
        <v>0.65000000000000013</v>
      </c>
      <c r="F87" s="76">
        <v>4.2660115300216475E-2</v>
      </c>
      <c r="G87" s="76">
        <v>4.7535115300216479E-2</v>
      </c>
      <c r="H87" s="76">
        <v>5.2410115300216484E-2</v>
      </c>
      <c r="I87" s="76">
        <v>5.7285115300216481E-2</v>
      </c>
      <c r="J87" s="76">
        <v>6.2160115300216479E-2</v>
      </c>
      <c r="K87" s="76">
        <v>6.7035115300216483E-2</v>
      </c>
      <c r="L87" s="76">
        <v>7.1910115300216487E-2</v>
      </c>
      <c r="M87" s="76">
        <v>7.6785115300216492E-2</v>
      </c>
      <c r="N87" s="77">
        <v>8.1660115300216496E-2</v>
      </c>
      <c r="R87" s="24" t="s">
        <v>4211</v>
      </c>
      <c r="S87" s="236" t="e">
        <f t="shared" ca="1" si="29"/>
        <v>#NAME?</v>
      </c>
      <c r="T87" s="230" t="s">
        <v>4761</v>
      </c>
      <c r="U87" s="233" t="e" cm="1">
        <f t="array" aca="1" ref="U87" ca="1">_xll.SNL.Clients.Office.Excel.Functions.SPG($T87, "SP_RATE_VALUE",U$77,"Options:NA=NA")</f>
        <v>#NAME?</v>
      </c>
      <c r="V87" s="233" t="e" cm="1">
        <f t="array" aca="1" ref="V87" ca="1">_xll.SNL.Clients.Office.Excel.Functions.SPG($T87, "SP_RATE_VALUE",V$77,"Options:NA=NA")</f>
        <v>#NAME?</v>
      </c>
      <c r="W87" s="228" t="e" cm="1">
        <f t="array" aca="1" ref="W87" ca="1">_xll.SNL.Clients.Office.Excel.Functions.SPG($T87, "SP_RATE_VALUE",W$77,"Options:NA=NA")</f>
        <v>#NAME?</v>
      </c>
      <c r="AD87" t="s">
        <v>5033</v>
      </c>
      <c r="AE87" s="201" t="e">
        <f t="shared" ca="1" si="19"/>
        <v>#NAME?</v>
      </c>
      <c r="AF87" s="201" t="e" cm="1">
        <f t="array" aca="1" ref="AF87" ca="1">IF(AD87="","",_xll.SNL.Clients.Office.Excel.Functions.SPG(AD87,"SPT_YTW",$E$15,"Options:NA=NA"))</f>
        <v>#NAME?</v>
      </c>
      <c r="AG87" s="201" t="e" cm="1">
        <f t="array" aca="1" ref="AG87" ca="1">IF(AD87="","",_xll.SNL.Clients.Office.Excel.Functions.SPG(AD87,"SPT_EOD_YTM_MID","EOD Close Price",$E$15,"Options:NA=NA"))</f>
        <v>#NAME?</v>
      </c>
      <c r="AH87" s="2" t="e" cm="1">
        <f t="array" aca="1" ref="AH87" ca="1">IF(OR(AD87="",AE87="NA"),"",_xll.SNL.Clients.Office.Excel.Functions.SPG(AD87,"SPT_ISSUE_DATE"))</f>
        <v>#NAME?</v>
      </c>
      <c r="AI87" s="1" t="e">
        <f ca="1">IF(OR($AD87="",$AE87="NA",$AH87=""),"",RANK(AH87,$AH$53:$AH$1052)+COUNTIF($AH$53:AH87,AH87)-1)</f>
        <v>#NAME?</v>
      </c>
      <c r="AJ87" s="2" t="e">
        <f t="shared" ca="1" si="20"/>
        <v>#NAME?</v>
      </c>
      <c r="AK87" s="1" t="e">
        <f ca="1">IF(OR($AD87="",$AE87="NA",$AJ87=""),"",RANK(AJ87,$AJ$53:$AJ$1052)+COUNTIF($AJ$53:AJ87,AJ87)-1)</f>
        <v>#NAME?</v>
      </c>
      <c r="AS87" s="201"/>
      <c r="AT87" s="2"/>
      <c r="AV87" s="2"/>
      <c r="BE87" s="140" t="str">
        <f t="shared" ca="1" si="30"/>
        <v>Indonesian Rupiah</v>
      </c>
      <c r="BF87" s="144" t="s">
        <v>152</v>
      </c>
      <c r="BG87" s="144" t="s">
        <v>153</v>
      </c>
      <c r="BH87" s="142" t="s">
        <v>42</v>
      </c>
      <c r="BI87" s="145" t="s">
        <v>154</v>
      </c>
      <c r="BO87" s="46" t="s">
        <v>314</v>
      </c>
      <c r="BP87" s="46" t="s">
        <v>4688</v>
      </c>
    </row>
    <row r="88" spans="2:68" ht="12" thickTop="1" x14ac:dyDescent="0.2">
      <c r="B88" s="4" t="str">
        <f>VLOOKUP("(1) Unlevered Beta = Levered Beta / ( 1 + ((D/E) * (1 - T)) + P/E)",Language_Data,Lookup_Column,FALSE)</f>
        <v>(1) Unlevered Beta = Levered Beta / ( 1 + ((D/E) * (1 - T)) + P/E)</v>
      </c>
      <c r="E88" s="71"/>
      <c r="F88" s="61"/>
      <c r="G88" s="61"/>
      <c r="H88" s="61"/>
      <c r="I88" s="61"/>
      <c r="J88" s="61"/>
      <c r="K88" s="61"/>
      <c r="L88" s="61"/>
      <c r="M88" s="61"/>
      <c r="N88" s="72"/>
      <c r="R88" s="24" t="s">
        <v>4212</v>
      </c>
      <c r="S88" s="236" t="e">
        <f t="shared" ca="1" si="29"/>
        <v>#NAME?</v>
      </c>
      <c r="T88" s="230" t="s">
        <v>4762</v>
      </c>
      <c r="U88" s="233" t="e" cm="1">
        <f t="array" aca="1" ref="U88" ca="1">_xll.SNL.Clients.Office.Excel.Functions.SPG($T88, "SP_RATE_VALUE",U$77,"Options:NA=NA")</f>
        <v>#NAME?</v>
      </c>
      <c r="V88" s="233" t="e" cm="1">
        <f t="array" aca="1" ref="V88" ca="1">_xll.SNL.Clients.Office.Excel.Functions.SPG($T88, "SP_RATE_VALUE",V$77,"Options:NA=NA")</f>
        <v>#NAME?</v>
      </c>
      <c r="W88" s="228" t="e" cm="1">
        <f t="array" aca="1" ref="W88" ca="1">_xll.SNL.Clients.Office.Excel.Functions.SPG($T88, "SP_RATE_VALUE",W$77,"Options:NA=NA")</f>
        <v>#NAME?</v>
      </c>
      <c r="AD88" t="s">
        <v>5034</v>
      </c>
      <c r="AE88" s="201" t="e">
        <f t="shared" ca="1" si="19"/>
        <v>#NAME?</v>
      </c>
      <c r="AF88" s="201" t="e" cm="1">
        <f t="array" aca="1" ref="AF88" ca="1">IF(AD88="","",_xll.SNL.Clients.Office.Excel.Functions.SPG(AD88,"SPT_YTW",$E$15,"Options:NA=NA"))</f>
        <v>#NAME?</v>
      </c>
      <c r="AG88" s="201" t="e" cm="1">
        <f t="array" aca="1" ref="AG88" ca="1">IF(AD88="","",_xll.SNL.Clients.Office.Excel.Functions.SPG(AD88,"SPT_EOD_YTM_MID","EOD Close Price",$E$15,"Options:NA=NA"))</f>
        <v>#NAME?</v>
      </c>
      <c r="AH88" s="2" t="e" cm="1">
        <f t="array" aca="1" ref="AH88" ca="1">IF(OR(AD88="",AE88="NA"),"",_xll.SNL.Clients.Office.Excel.Functions.SPG(AD88,"SPT_ISSUE_DATE"))</f>
        <v>#NAME?</v>
      </c>
      <c r="AI88" s="1" t="e">
        <f ca="1">IF(OR($AD88="",$AE88="NA",$AH88=""),"",RANK(AH88,$AH$53:$AH$1052)+COUNTIF($AH$53:AH88,AH88)-1)</f>
        <v>#NAME?</v>
      </c>
      <c r="AJ88" s="2" t="e">
        <f t="shared" ca="1" si="20"/>
        <v>#NAME?</v>
      </c>
      <c r="AK88" s="1" t="e">
        <f ca="1">IF(OR($AD88="",$AE88="NA",$AJ88=""),"",RANK(AJ88,$AJ$53:$AJ$1052)+COUNTIF($AJ$53:AJ88,AJ88)-1)</f>
        <v>#NAME?</v>
      </c>
      <c r="AS88" s="201"/>
      <c r="AT88" s="2"/>
      <c r="AV88" s="2"/>
      <c r="BE88" s="140" t="str">
        <f t="shared" ca="1" si="30"/>
        <v>Jordanian Dinar</v>
      </c>
      <c r="BF88" s="144" t="s">
        <v>155</v>
      </c>
      <c r="BG88" s="144" t="s">
        <v>156</v>
      </c>
      <c r="BH88" s="142" t="s">
        <v>35</v>
      </c>
      <c r="BI88" s="145" t="s">
        <v>157</v>
      </c>
      <c r="BO88" s="46" t="s">
        <v>315</v>
      </c>
      <c r="BP88" s="46" t="s">
        <v>4689</v>
      </c>
    </row>
    <row r="89" spans="2:68" x14ac:dyDescent="0.2">
      <c r="B89" s="61" t="str">
        <f>VLOOKUP("(2) Levered Beta = Unlevered Beta * ( 1 + ((D/E) * (1 - T)) + P/E)",Language_Data,Lookup_Column,FALSE)</f>
        <v>(2) Levered Beta = Unlevered Beta * ( 1 + ((D/E) * (1 - T)) + P/E)</v>
      </c>
      <c r="C89" s="14"/>
      <c r="D89" s="14"/>
      <c r="E89" s="14"/>
      <c r="F89" s="14"/>
      <c r="G89" s="14"/>
      <c r="H89" s="14"/>
      <c r="I89" s="14"/>
      <c r="J89" s="14"/>
      <c r="K89" s="14"/>
      <c r="L89" s="14"/>
      <c r="M89" s="14"/>
      <c r="N89" s="14"/>
      <c r="R89" s="24" t="s">
        <v>4213</v>
      </c>
      <c r="S89" s="236" t="e">
        <f t="shared" ca="1" si="29"/>
        <v>#NAME?</v>
      </c>
      <c r="T89" s="230" t="s">
        <v>4763</v>
      </c>
      <c r="U89" s="233" t="e" cm="1">
        <f t="array" aca="1" ref="U89" ca="1">_xll.SNL.Clients.Office.Excel.Functions.SPG($T89, "SP_RATE_VALUE",U$77,"Options:NA=NA")</f>
        <v>#NAME?</v>
      </c>
      <c r="V89" s="233" t="e" cm="1">
        <f t="array" aca="1" ref="V89" ca="1">_xll.SNL.Clients.Office.Excel.Functions.SPG($T89, "SP_RATE_VALUE",V$77,"Options:NA=NA")</f>
        <v>#NAME?</v>
      </c>
      <c r="W89" s="228" t="e" cm="1">
        <f t="array" aca="1" ref="W89" ca="1">_xll.SNL.Clients.Office.Excel.Functions.SPG($T89, "SP_RATE_VALUE",W$77,"Options:NA=NA")</f>
        <v>#NAME?</v>
      </c>
      <c r="AD89" t="s">
        <v>5035</v>
      </c>
      <c r="AE89" s="201" t="e">
        <f t="shared" ca="1" si="19"/>
        <v>#NAME?</v>
      </c>
      <c r="AF89" s="201" t="e" cm="1">
        <f t="array" aca="1" ref="AF89" ca="1">IF(AD89="","",_xll.SNL.Clients.Office.Excel.Functions.SPG(AD89,"SPT_YTW",$E$15,"Options:NA=NA"))</f>
        <v>#NAME?</v>
      </c>
      <c r="AG89" s="201" t="e" cm="1">
        <f t="array" aca="1" ref="AG89" ca="1">IF(AD89="","",_xll.SNL.Clients.Office.Excel.Functions.SPG(AD89,"SPT_EOD_YTM_MID","EOD Close Price",$E$15,"Options:NA=NA"))</f>
        <v>#NAME?</v>
      </c>
      <c r="AH89" s="2" t="e" cm="1">
        <f t="array" aca="1" ref="AH89" ca="1">IF(OR(AD89="",AE89="NA"),"",_xll.SNL.Clients.Office.Excel.Functions.SPG(AD89,"SPT_ISSUE_DATE"))</f>
        <v>#NAME?</v>
      </c>
      <c r="AI89" s="1" t="e">
        <f ca="1">IF(OR($AD89="",$AE89="NA",$AH89=""),"",RANK(AH89,$AH$53:$AH$1052)+COUNTIF($AH$53:AH89,AH89)-1)</f>
        <v>#NAME?</v>
      </c>
      <c r="AJ89" s="2" t="e">
        <f t="shared" ca="1" si="20"/>
        <v>#NAME?</v>
      </c>
      <c r="AK89" s="1" t="e">
        <f ca="1">IF(OR($AD89="",$AE89="NA",$AJ89=""),"",RANK(AJ89,$AJ$53:$AJ$1052)+COUNTIF($AJ$53:AJ89,AJ89)-1)</f>
        <v>#NAME?</v>
      </c>
      <c r="AS89" s="201"/>
      <c r="AT89" s="2"/>
      <c r="AV89" s="2"/>
      <c r="BE89" s="140" t="str">
        <f t="shared" ca="1" si="30"/>
        <v>Kazakhstan Tenge</v>
      </c>
      <c r="BF89" s="144" t="s">
        <v>158</v>
      </c>
      <c r="BG89" s="144" t="s">
        <v>158</v>
      </c>
      <c r="BH89" s="142" t="s">
        <v>35</v>
      </c>
      <c r="BI89" s="145" t="s">
        <v>159</v>
      </c>
      <c r="BO89" s="46" t="s">
        <v>316</v>
      </c>
      <c r="BP89" s="46" t="s">
        <v>4690</v>
      </c>
    </row>
    <row r="90" spans="2:68" x14ac:dyDescent="0.2">
      <c r="R90" s="24" t="s">
        <v>4214</v>
      </c>
      <c r="S90" s="236" t="e">
        <f t="shared" ca="1" si="29"/>
        <v>#NAME?</v>
      </c>
      <c r="T90" s="230" t="s">
        <v>4764</v>
      </c>
      <c r="U90" s="233" t="e" cm="1">
        <f t="array" aca="1" ref="U90" ca="1">_xll.SNL.Clients.Office.Excel.Functions.SPG($T90, "SP_RATE_VALUE",U$77,"Options:NA=NA")</f>
        <v>#NAME?</v>
      </c>
      <c r="V90" s="233" t="e" cm="1">
        <f t="array" aca="1" ref="V90" ca="1">_xll.SNL.Clients.Office.Excel.Functions.SPG($T90, "SP_RATE_VALUE",V$77,"Options:NA=NA")</f>
        <v>#NAME?</v>
      </c>
      <c r="W90" s="228" t="e" cm="1">
        <f t="array" aca="1" ref="W90" ca="1">_xll.SNL.Clients.Office.Excel.Functions.SPG($T90, "SP_RATE_VALUE",W$77,"Options:NA=NA")</f>
        <v>#NAME?</v>
      </c>
      <c r="AD90" t="s">
        <v>5036</v>
      </c>
      <c r="AE90" s="201" t="e">
        <f t="shared" ca="1" si="19"/>
        <v>#NAME?</v>
      </c>
      <c r="AF90" s="201" t="e" cm="1">
        <f t="array" aca="1" ref="AF90" ca="1">IF(AD90="","",_xll.SNL.Clients.Office.Excel.Functions.SPG(AD90,"SPT_YTW",$E$15,"Options:NA=NA"))</f>
        <v>#NAME?</v>
      </c>
      <c r="AG90" s="201" t="e" cm="1">
        <f t="array" aca="1" ref="AG90" ca="1">IF(AD90="","",_xll.SNL.Clients.Office.Excel.Functions.SPG(AD90,"SPT_EOD_YTM_MID","EOD Close Price",$E$15,"Options:NA=NA"))</f>
        <v>#NAME?</v>
      </c>
      <c r="AH90" s="2" t="e" cm="1">
        <f t="array" aca="1" ref="AH90" ca="1">IF(OR(AD90="",AE90="NA"),"",_xll.SNL.Clients.Office.Excel.Functions.SPG(AD90,"SPT_ISSUE_DATE"))</f>
        <v>#NAME?</v>
      </c>
      <c r="AI90" s="1" t="e">
        <f ca="1">IF(OR($AD90="",$AE90="NA",$AH90=""),"",RANK(AH90,$AH$53:$AH$1052)+COUNTIF($AH$53:AH90,AH90)-1)</f>
        <v>#NAME?</v>
      </c>
      <c r="AJ90" s="2" t="e">
        <f t="shared" ca="1" si="20"/>
        <v>#NAME?</v>
      </c>
      <c r="AK90" s="1" t="e">
        <f ca="1">IF(OR($AD90="",$AE90="NA",$AJ90=""),"",RANK(AJ90,$AJ$53:$AJ$1052)+COUNTIF($AJ$53:AJ90,AJ90)-1)</f>
        <v>#NAME?</v>
      </c>
      <c r="AS90" s="201"/>
      <c r="AT90" s="2"/>
      <c r="AV90" s="2"/>
      <c r="BE90" s="140" t="str">
        <f t="shared" ca="1" si="30"/>
        <v>Kenyan Shilling</v>
      </c>
      <c r="BF90" s="144" t="s">
        <v>160</v>
      </c>
      <c r="BG90" s="144" t="s">
        <v>161</v>
      </c>
      <c r="BH90" s="142" t="s">
        <v>35</v>
      </c>
      <c r="BI90" s="145" t="s">
        <v>162</v>
      </c>
      <c r="BO90" s="46" t="s">
        <v>317</v>
      </c>
      <c r="BP90" s="46" t="s">
        <v>4691</v>
      </c>
    </row>
    <row r="91" spans="2:68" x14ac:dyDescent="0.2">
      <c r="B91" s="167" t="str">
        <f>VLOOKUP("Source: S&amp;P Capital IQ Pro",Language_Data,Lookup_Column,FALSE)</f>
        <v>Source: S&amp;P Capital IQ Pro</v>
      </c>
      <c r="R91" s="24" t="s">
        <v>4241</v>
      </c>
      <c r="S91" s="236" t="e">
        <f t="shared" ca="1" si="29"/>
        <v>#NAME?</v>
      </c>
      <c r="T91" s="230" t="s">
        <v>4765</v>
      </c>
      <c r="U91" s="233" t="e" cm="1">
        <f t="array" aca="1" ref="U91" ca="1">_xll.SNL.Clients.Office.Excel.Functions.SPG($T91, "SP_RATE_VALUE",U$77,"Options:NA=NA")</f>
        <v>#NAME?</v>
      </c>
      <c r="V91" s="233" t="e" cm="1">
        <f t="array" aca="1" ref="V91" ca="1">_xll.SNL.Clients.Office.Excel.Functions.SPG($T91, "SP_RATE_VALUE",V$77,"Options:NA=NA")</f>
        <v>#NAME?</v>
      </c>
      <c r="W91" s="228" t="e" cm="1">
        <f t="array" aca="1" ref="W91" ca="1">_xll.SNL.Clients.Office.Excel.Functions.SPG($T91, "SP_RATE_VALUE",W$77,"Options:NA=NA")</f>
        <v>#NAME?</v>
      </c>
      <c r="AD91" t="s">
        <v>5037</v>
      </c>
      <c r="AE91" s="201" t="e">
        <f t="shared" ca="1" si="19"/>
        <v>#NAME?</v>
      </c>
      <c r="AF91" s="201" t="e" cm="1">
        <f t="array" aca="1" ref="AF91" ca="1">IF(AD91="","",_xll.SNL.Clients.Office.Excel.Functions.SPG(AD91,"SPT_YTW",$E$15,"Options:NA=NA"))</f>
        <v>#NAME?</v>
      </c>
      <c r="AG91" s="201" t="e" cm="1">
        <f t="array" aca="1" ref="AG91" ca="1">IF(AD91="","",_xll.SNL.Clients.Office.Excel.Functions.SPG(AD91,"SPT_EOD_YTM_MID","EOD Close Price",$E$15,"Options:NA=NA"))</f>
        <v>#NAME?</v>
      </c>
      <c r="AH91" s="2" t="e" cm="1">
        <f t="array" aca="1" ref="AH91" ca="1">IF(OR(AD91="",AE91="NA"),"",_xll.SNL.Clients.Office.Excel.Functions.SPG(AD91,"SPT_ISSUE_DATE"))</f>
        <v>#NAME?</v>
      </c>
      <c r="AI91" s="1" t="e">
        <f ca="1">IF(OR($AD91="",$AE91="NA",$AH91=""),"",RANK(AH91,$AH$53:$AH$1052)+COUNTIF($AH$53:AH91,AH91)-1)</f>
        <v>#NAME?</v>
      </c>
      <c r="AJ91" s="2" t="e">
        <f t="shared" ca="1" si="20"/>
        <v>#NAME?</v>
      </c>
      <c r="AK91" s="1" t="e">
        <f ca="1">IF(OR($AD91="",$AE91="NA",$AJ91=""),"",RANK(AJ91,$AJ$53:$AJ$1052)+COUNTIF($AJ$53:AJ91,AJ91)-1)</f>
        <v>#NAME?</v>
      </c>
      <c r="AS91" s="201"/>
      <c r="AT91" s="2"/>
      <c r="AV91" s="2"/>
      <c r="BE91" s="140" t="str">
        <f t="shared" ca="1" si="30"/>
        <v>Kuwaiti Dinar</v>
      </c>
      <c r="BF91" s="144" t="s">
        <v>163</v>
      </c>
      <c r="BG91" s="144" t="s">
        <v>164</v>
      </c>
      <c r="BH91" s="142" t="s">
        <v>35</v>
      </c>
      <c r="BI91" s="145" t="s">
        <v>165</v>
      </c>
      <c r="BO91" s="46" t="s">
        <v>318</v>
      </c>
      <c r="BP91" s="46" t="s">
        <v>4692</v>
      </c>
    </row>
    <row r="92" spans="2:68" x14ac:dyDescent="0.2">
      <c r="R92" s="24" t="s">
        <v>4215</v>
      </c>
      <c r="S92" s="236" t="e">
        <f t="shared" ca="1" si="29"/>
        <v>#NAME?</v>
      </c>
      <c r="T92" s="230" t="s">
        <v>4766</v>
      </c>
      <c r="U92" s="233" t="e" cm="1">
        <f t="array" aca="1" ref="U92" ca="1">_xll.SNL.Clients.Office.Excel.Functions.SPG($T92, "SP_RATE_VALUE",U$77,"Options:NA=NA")</f>
        <v>#NAME?</v>
      </c>
      <c r="V92" s="233" t="e" cm="1">
        <f t="array" aca="1" ref="V92" ca="1">_xll.SNL.Clients.Office.Excel.Functions.SPG($T92, "SP_RATE_VALUE",V$77,"Options:NA=NA")</f>
        <v>#NAME?</v>
      </c>
      <c r="W92" s="228" t="e" cm="1">
        <f t="array" aca="1" ref="W92" ca="1">_xll.SNL.Clients.Office.Excel.Functions.SPG($T92, "SP_RATE_VALUE",W$77,"Options:NA=NA")</f>
        <v>#NAME?</v>
      </c>
      <c r="AD92" t="s">
        <v>5038</v>
      </c>
      <c r="AE92" s="201" t="e">
        <f t="shared" ca="1" si="19"/>
        <v>#NAME?</v>
      </c>
      <c r="AF92" s="201" t="e" cm="1">
        <f t="array" aca="1" ref="AF92" ca="1">IF(AD92="","",_xll.SNL.Clients.Office.Excel.Functions.SPG(AD92,"SPT_YTW",$E$15,"Options:NA=NA"))</f>
        <v>#NAME?</v>
      </c>
      <c r="AG92" s="201" t="e" cm="1">
        <f t="array" aca="1" ref="AG92" ca="1">IF(AD92="","",_xll.SNL.Clients.Office.Excel.Functions.SPG(AD92,"SPT_EOD_YTM_MID","EOD Close Price",$E$15,"Options:NA=NA"))</f>
        <v>#NAME?</v>
      </c>
      <c r="AH92" s="2" t="e" cm="1">
        <f t="array" aca="1" ref="AH92" ca="1">IF(OR(AD92="",AE92="NA"),"",_xll.SNL.Clients.Office.Excel.Functions.SPG(AD92,"SPT_ISSUE_DATE"))</f>
        <v>#NAME?</v>
      </c>
      <c r="AI92" s="1" t="e">
        <f ca="1">IF(OR($AD92="",$AE92="NA",$AH92=""),"",RANK(AH92,$AH$53:$AH$1052)+COUNTIF($AH$53:AH92,AH92)-1)</f>
        <v>#NAME?</v>
      </c>
      <c r="AJ92" s="2" t="e">
        <f t="shared" ca="1" si="20"/>
        <v>#NAME?</v>
      </c>
      <c r="AK92" s="1" t="e">
        <f ca="1">IF(OR($AD92="",$AE92="NA",$AJ92=""),"",RANK(AJ92,$AJ$53:$AJ$1052)+COUNTIF($AJ$53:AJ92,AJ92)-1)</f>
        <v>#NAME?</v>
      </c>
      <c r="AS92" s="201"/>
      <c r="AT92" s="2"/>
      <c r="AV92" s="2"/>
      <c r="BE92" s="140" t="str">
        <f t="shared" ca="1" si="30"/>
        <v>Kyrgyzstani Som</v>
      </c>
      <c r="BF92" s="144" t="s">
        <v>166</v>
      </c>
      <c r="BG92" s="144" t="s">
        <v>167</v>
      </c>
      <c r="BH92" s="142" t="s">
        <v>35</v>
      </c>
      <c r="BI92" s="145" t="s">
        <v>168</v>
      </c>
      <c r="BO92" s="46" t="s">
        <v>319</v>
      </c>
      <c r="BP92" s="46" t="s">
        <v>4693</v>
      </c>
    </row>
    <row r="93" spans="2:68" x14ac:dyDescent="0.2">
      <c r="R93" s="24" t="s">
        <v>4216</v>
      </c>
      <c r="S93" s="236" t="e">
        <f t="shared" ca="1" si="29"/>
        <v>#NAME?</v>
      </c>
      <c r="T93" s="230" t="s">
        <v>4767</v>
      </c>
      <c r="U93" s="233" t="e" cm="1">
        <f t="array" aca="1" ref="U93" ca="1">_xll.SNL.Clients.Office.Excel.Functions.SPG($T93, "SP_RATE_VALUE",U$77,"Options:NA=NA")</f>
        <v>#NAME?</v>
      </c>
      <c r="V93" s="233" t="e" cm="1">
        <f t="array" aca="1" ref="V93" ca="1">_xll.SNL.Clients.Office.Excel.Functions.SPG($T93, "SP_RATE_VALUE",V$77,"Options:NA=NA")</f>
        <v>#NAME?</v>
      </c>
      <c r="W93" s="228" t="e" cm="1">
        <f t="array" aca="1" ref="W93" ca="1">_xll.SNL.Clients.Office.Excel.Functions.SPG($T93, "SP_RATE_VALUE",W$77,"Options:NA=NA")</f>
        <v>#NAME?</v>
      </c>
      <c r="AD93" t="s">
        <v>5039</v>
      </c>
      <c r="AE93" s="201" t="e">
        <f t="shared" ca="1" si="19"/>
        <v>#NAME?</v>
      </c>
      <c r="AF93" s="201" t="e" cm="1">
        <f t="array" aca="1" ref="AF93" ca="1">IF(AD93="","",_xll.SNL.Clients.Office.Excel.Functions.SPG(AD93,"SPT_YTW",$E$15,"Options:NA=NA"))</f>
        <v>#NAME?</v>
      </c>
      <c r="AG93" s="201" t="e" cm="1">
        <f t="array" aca="1" ref="AG93" ca="1">IF(AD93="","",_xll.SNL.Clients.Office.Excel.Functions.SPG(AD93,"SPT_EOD_YTM_MID","EOD Close Price",$E$15,"Options:NA=NA"))</f>
        <v>#NAME?</v>
      </c>
      <c r="AH93" s="2" t="e" cm="1">
        <f t="array" aca="1" ref="AH93" ca="1">IF(OR(AD93="",AE93="NA"),"",_xll.SNL.Clients.Office.Excel.Functions.SPG(AD93,"SPT_ISSUE_DATE"))</f>
        <v>#NAME?</v>
      </c>
      <c r="AI93" s="1" t="e">
        <f ca="1">IF(OR($AD93="",$AE93="NA",$AH93=""),"",RANK(AH93,$AH$53:$AH$1052)+COUNTIF($AH$53:AH93,AH93)-1)</f>
        <v>#NAME?</v>
      </c>
      <c r="AJ93" s="2" t="e">
        <f t="shared" ca="1" si="20"/>
        <v>#NAME?</v>
      </c>
      <c r="AK93" s="1" t="e">
        <f ca="1">IF(OR($AD93="",$AE93="NA",$AJ93=""),"",RANK(AJ93,$AJ$53:$AJ$1052)+COUNTIF($AJ$53:AJ93,AJ93)-1)</f>
        <v>#NAME?</v>
      </c>
      <c r="AS93" s="201"/>
      <c r="AT93" s="2"/>
      <c r="AV93" s="2"/>
      <c r="BE93" s="140" t="str">
        <f t="shared" ca="1" si="30"/>
        <v>Macedonian Denar</v>
      </c>
      <c r="BF93" s="144" t="s">
        <v>169</v>
      </c>
      <c r="BG93" s="144" t="s">
        <v>169</v>
      </c>
      <c r="BH93" s="142" t="s">
        <v>35</v>
      </c>
      <c r="BI93" s="145" t="s">
        <v>170</v>
      </c>
      <c r="BO93" s="46" t="s">
        <v>320</v>
      </c>
      <c r="BP93" s="46" t="s">
        <v>4694</v>
      </c>
    </row>
    <row r="94" spans="2:68" x14ac:dyDescent="0.2">
      <c r="R94" s="24" t="s">
        <v>4217</v>
      </c>
      <c r="S94" s="236" t="e">
        <f t="shared" ca="1" si="29"/>
        <v>#NAME?</v>
      </c>
      <c r="T94" s="230" t="s">
        <v>4768</v>
      </c>
      <c r="U94" s="233" t="e" cm="1">
        <f t="array" aca="1" ref="U94" ca="1">_xll.SNL.Clients.Office.Excel.Functions.SPG($T94, "SP_RATE_VALUE",U$77,"Options:NA=NA")</f>
        <v>#NAME?</v>
      </c>
      <c r="V94" s="233" t="e" cm="1">
        <f t="array" aca="1" ref="V94" ca="1">_xll.SNL.Clients.Office.Excel.Functions.SPG($T94, "SP_RATE_VALUE",V$77,"Options:NA=NA")</f>
        <v>#NAME?</v>
      </c>
      <c r="W94" s="228" t="e" cm="1">
        <f t="array" aca="1" ref="W94" ca="1">_xll.SNL.Clients.Office.Excel.Functions.SPG($T94, "SP_RATE_VALUE",W$77,"Options:NA=NA")</f>
        <v>#NAME?</v>
      </c>
      <c r="AD94" t="s">
        <v>5040</v>
      </c>
      <c r="AE94" s="201" t="e">
        <f t="shared" ca="1" si="19"/>
        <v>#NAME?</v>
      </c>
      <c r="AF94" s="201" t="e" cm="1">
        <f t="array" aca="1" ref="AF94" ca="1">IF(AD94="","",_xll.SNL.Clients.Office.Excel.Functions.SPG(AD94,"SPT_YTW",$E$15,"Options:NA=NA"))</f>
        <v>#NAME?</v>
      </c>
      <c r="AG94" s="201" t="e" cm="1">
        <f t="array" aca="1" ref="AG94" ca="1">IF(AD94="","",_xll.SNL.Clients.Office.Excel.Functions.SPG(AD94,"SPT_EOD_YTM_MID","EOD Close Price",$E$15,"Options:NA=NA"))</f>
        <v>#NAME?</v>
      </c>
      <c r="AH94" s="2" t="e" cm="1">
        <f t="array" aca="1" ref="AH94" ca="1">IF(OR(AD94="",AE94="NA"),"",_xll.SNL.Clients.Office.Excel.Functions.SPG(AD94,"SPT_ISSUE_DATE"))</f>
        <v>#NAME?</v>
      </c>
      <c r="AI94" s="1" t="e">
        <f ca="1">IF(OR($AD94="",$AE94="NA",$AH94=""),"",RANK(AH94,$AH$53:$AH$1052)+COUNTIF($AH$53:AH94,AH94)-1)</f>
        <v>#NAME?</v>
      </c>
      <c r="AJ94" s="2" t="e">
        <f t="shared" ca="1" si="20"/>
        <v>#NAME?</v>
      </c>
      <c r="AK94" s="1" t="e">
        <f ca="1">IF(OR($AD94="",$AE94="NA",$AJ94=""),"",RANK(AJ94,$AJ$53:$AJ$1052)+COUNTIF($AJ$53:AJ94,AJ94)-1)</f>
        <v>#NAME?</v>
      </c>
      <c r="AS94" s="201"/>
      <c r="AT94" s="2"/>
      <c r="AV94" s="2"/>
      <c r="BE94" s="140" t="str">
        <f t="shared" ca="1" si="30"/>
        <v>Malaysian Ringgit</v>
      </c>
      <c r="BF94" s="144" t="s">
        <v>171</v>
      </c>
      <c r="BG94" s="144" t="s">
        <v>172</v>
      </c>
      <c r="BH94" s="142" t="s">
        <v>35</v>
      </c>
      <c r="BI94" s="145" t="s">
        <v>173</v>
      </c>
      <c r="BO94" s="46" t="s">
        <v>321</v>
      </c>
      <c r="BP94" s="46" t="s">
        <v>4695</v>
      </c>
    </row>
    <row r="95" spans="2:68" x14ac:dyDescent="0.2">
      <c r="R95" s="24" t="s">
        <v>4218</v>
      </c>
      <c r="S95" s="236" t="e">
        <f t="shared" ca="1" si="29"/>
        <v>#NAME?</v>
      </c>
      <c r="T95" s="230" t="s">
        <v>4769</v>
      </c>
      <c r="U95" s="233" t="e" cm="1">
        <f t="array" aca="1" ref="U95" ca="1">_xll.SNL.Clients.Office.Excel.Functions.SPG($T95, "SP_RATE_VALUE",U$77,"Options:NA=NA")</f>
        <v>#NAME?</v>
      </c>
      <c r="V95" s="233" t="e" cm="1">
        <f t="array" aca="1" ref="V95" ca="1">_xll.SNL.Clients.Office.Excel.Functions.SPG($T95, "SP_RATE_VALUE",V$77,"Options:NA=NA")</f>
        <v>#NAME?</v>
      </c>
      <c r="W95" s="228" t="e" cm="1">
        <f t="array" aca="1" ref="W95" ca="1">_xll.SNL.Clients.Office.Excel.Functions.SPG($T95, "SP_RATE_VALUE",W$77,"Options:NA=NA")</f>
        <v>#NAME?</v>
      </c>
      <c r="AD95" t="s">
        <v>5041</v>
      </c>
      <c r="AE95" s="201" t="e">
        <f t="shared" ca="1" si="19"/>
        <v>#NAME?</v>
      </c>
      <c r="AF95" s="201" t="e" cm="1">
        <f t="array" aca="1" ref="AF95" ca="1">IF(AD95="","",_xll.SNL.Clients.Office.Excel.Functions.SPG(AD95,"SPT_YTW",$E$15,"Options:NA=NA"))</f>
        <v>#NAME?</v>
      </c>
      <c r="AG95" s="201" t="e" cm="1">
        <f t="array" aca="1" ref="AG95" ca="1">IF(AD95="","",_xll.SNL.Clients.Office.Excel.Functions.SPG(AD95,"SPT_EOD_YTM_MID","EOD Close Price",$E$15,"Options:NA=NA"))</f>
        <v>#NAME?</v>
      </c>
      <c r="AH95" s="2" t="e" cm="1">
        <f t="array" aca="1" ref="AH95" ca="1">IF(OR(AD95="",AE95="NA"),"",_xll.SNL.Clients.Office.Excel.Functions.SPG(AD95,"SPT_ISSUE_DATE"))</f>
        <v>#NAME?</v>
      </c>
      <c r="AI95" s="1" t="e">
        <f ca="1">IF(OR($AD95="",$AE95="NA",$AH95=""),"",RANK(AH95,$AH$53:$AH$1052)+COUNTIF($AH$53:AH95,AH95)-1)</f>
        <v>#NAME?</v>
      </c>
      <c r="AJ95" s="2" t="e">
        <f t="shared" ca="1" si="20"/>
        <v>#NAME?</v>
      </c>
      <c r="AK95" s="1" t="e">
        <f ca="1">IF(OR($AD95="",$AE95="NA",$AJ95=""),"",RANK(AJ95,$AJ$53:$AJ$1052)+COUNTIF($AJ$53:AJ95,AJ95)-1)</f>
        <v>#NAME?</v>
      </c>
      <c r="AS95" s="201"/>
      <c r="AT95" s="2"/>
      <c r="AV95" s="2"/>
      <c r="BE95" s="140" t="str">
        <f t="shared" ca="1" si="30"/>
        <v>Mexican Peso</v>
      </c>
      <c r="BF95" s="144" t="s">
        <v>174</v>
      </c>
      <c r="BG95" s="144" t="s">
        <v>175</v>
      </c>
      <c r="BH95" s="142" t="s">
        <v>35</v>
      </c>
      <c r="BI95" s="145" t="s">
        <v>176</v>
      </c>
      <c r="BO95" s="46" t="s">
        <v>322</v>
      </c>
      <c r="BP95" s="46" t="s">
        <v>4696</v>
      </c>
    </row>
    <row r="96" spans="2:68" x14ac:dyDescent="0.2">
      <c r="R96" s="24" t="s">
        <v>4242</v>
      </c>
      <c r="S96" s="236" t="e">
        <f t="shared" ca="1" si="29"/>
        <v>#NAME?</v>
      </c>
      <c r="T96" s="230" t="s">
        <v>4770</v>
      </c>
      <c r="U96" s="233" t="e" cm="1">
        <f t="array" aca="1" ref="U96" ca="1">_xll.SNL.Clients.Office.Excel.Functions.SPG($T96, "SP_RATE_VALUE",U$77,"Options:NA=NA")</f>
        <v>#NAME?</v>
      </c>
      <c r="V96" s="233" t="e" cm="1">
        <f t="array" aca="1" ref="V96" ca="1">_xll.SNL.Clients.Office.Excel.Functions.SPG($T96, "SP_RATE_VALUE",V$77,"Options:NA=NA")</f>
        <v>#NAME?</v>
      </c>
      <c r="W96" s="228" t="e" cm="1">
        <f t="array" aca="1" ref="W96" ca="1">_xll.SNL.Clients.Office.Excel.Functions.SPG($T96, "SP_RATE_VALUE",W$77,"Options:NA=NA")</f>
        <v>#NAME?</v>
      </c>
      <c r="AD96" t="s">
        <v>5042</v>
      </c>
      <c r="AE96" s="201" t="e">
        <f t="shared" ca="1" si="19"/>
        <v>#NAME?</v>
      </c>
      <c r="AF96" s="201" t="e" cm="1">
        <f t="array" aca="1" ref="AF96" ca="1">IF(AD96="","",_xll.SNL.Clients.Office.Excel.Functions.SPG(AD96,"SPT_YTW",$E$15,"Options:NA=NA"))</f>
        <v>#NAME?</v>
      </c>
      <c r="AG96" s="201" t="e" cm="1">
        <f t="array" aca="1" ref="AG96" ca="1">IF(AD96="","",_xll.SNL.Clients.Office.Excel.Functions.SPG(AD96,"SPT_EOD_YTM_MID","EOD Close Price",$E$15,"Options:NA=NA"))</f>
        <v>#NAME?</v>
      </c>
      <c r="AH96" s="2" t="e" cm="1">
        <f t="array" aca="1" ref="AH96" ca="1">IF(OR(AD96="",AE96="NA"),"",_xll.SNL.Clients.Office.Excel.Functions.SPG(AD96,"SPT_ISSUE_DATE"))</f>
        <v>#NAME?</v>
      </c>
      <c r="AI96" s="1" t="e">
        <f ca="1">IF(OR($AD96="",$AE96="NA",$AH96=""),"",RANK(AH96,$AH$53:$AH$1052)+COUNTIF($AH$53:AH96,AH96)-1)</f>
        <v>#NAME?</v>
      </c>
      <c r="AJ96" s="2" t="e">
        <f t="shared" ca="1" si="20"/>
        <v>#NAME?</v>
      </c>
      <c r="AK96" s="1" t="e">
        <f ca="1">IF(OR($AD96="",$AE96="NA",$AJ96=""),"",RANK(AJ96,$AJ$53:$AJ$1052)+COUNTIF($AJ$53:AJ96,AJ96)-1)</f>
        <v>#NAME?</v>
      </c>
      <c r="AS96" s="201"/>
      <c r="AT96" s="2"/>
      <c r="AV96" s="2"/>
      <c r="BE96" s="140" t="str">
        <f t="shared" ca="1" si="30"/>
        <v>Moldovan Leu</v>
      </c>
      <c r="BF96" s="144" t="s">
        <v>177</v>
      </c>
      <c r="BG96" s="144" t="s">
        <v>177</v>
      </c>
      <c r="BH96" s="142" t="s">
        <v>35</v>
      </c>
      <c r="BI96" s="145" t="s">
        <v>178</v>
      </c>
      <c r="BO96" s="46" t="s">
        <v>323</v>
      </c>
      <c r="BP96" s="46" t="s">
        <v>4697</v>
      </c>
    </row>
    <row r="97" spans="18:68" x14ac:dyDescent="0.2">
      <c r="R97" s="24" t="s">
        <v>4219</v>
      </c>
      <c r="S97" s="236" t="e">
        <f t="shared" ca="1" si="29"/>
        <v>#NAME?</v>
      </c>
      <c r="T97" s="230" t="s">
        <v>4771</v>
      </c>
      <c r="U97" s="233" t="e" cm="1">
        <f t="array" aca="1" ref="U97" ca="1">_xll.SNL.Clients.Office.Excel.Functions.SPG($T97, "SP_RATE_VALUE",U$77,"Options:NA=NA")</f>
        <v>#NAME?</v>
      </c>
      <c r="V97" s="233" t="e" cm="1">
        <f t="array" aca="1" ref="V97" ca="1">_xll.SNL.Clients.Office.Excel.Functions.SPG($T97, "SP_RATE_VALUE",V$77,"Options:NA=NA")</f>
        <v>#NAME?</v>
      </c>
      <c r="W97" s="228" t="e" cm="1">
        <f t="array" aca="1" ref="W97" ca="1">_xll.SNL.Clients.Office.Excel.Functions.SPG($T97, "SP_RATE_VALUE",W$77,"Options:NA=NA")</f>
        <v>#NAME?</v>
      </c>
      <c r="AD97" t="s">
        <v>5043</v>
      </c>
      <c r="AE97" s="201" t="e">
        <f t="shared" ca="1" si="19"/>
        <v>#NAME?</v>
      </c>
      <c r="AF97" s="201" t="e" cm="1">
        <f t="array" aca="1" ref="AF97" ca="1">IF(AD97="","",_xll.SNL.Clients.Office.Excel.Functions.SPG(AD97,"SPT_YTW",$E$15,"Options:NA=NA"))</f>
        <v>#NAME?</v>
      </c>
      <c r="AG97" s="201" t="e" cm="1">
        <f t="array" aca="1" ref="AG97" ca="1">IF(AD97="","",_xll.SNL.Clients.Office.Excel.Functions.SPG(AD97,"SPT_EOD_YTM_MID","EOD Close Price",$E$15,"Options:NA=NA"))</f>
        <v>#NAME?</v>
      </c>
      <c r="AH97" s="2" t="e" cm="1">
        <f t="array" aca="1" ref="AH97" ca="1">IF(OR(AD97="",AE97="NA"),"",_xll.SNL.Clients.Office.Excel.Functions.SPG(AD97,"SPT_ISSUE_DATE"))</f>
        <v>#NAME?</v>
      </c>
      <c r="AI97" s="1" t="e">
        <f ca="1">IF(OR($AD97="",$AE97="NA",$AH97=""),"",RANK(AH97,$AH$53:$AH$1052)+COUNTIF($AH$53:AH97,AH97)-1)</f>
        <v>#NAME?</v>
      </c>
      <c r="AJ97" s="2" t="e">
        <f t="shared" ca="1" si="20"/>
        <v>#NAME?</v>
      </c>
      <c r="AK97" s="1" t="e">
        <f ca="1">IF(OR($AD97="",$AE97="NA",$AJ97=""),"",RANK(AJ97,$AJ$53:$AJ$1052)+COUNTIF($AJ$53:AJ97,AJ97)-1)</f>
        <v>#NAME?</v>
      </c>
      <c r="AS97" s="201"/>
      <c r="AT97" s="2"/>
      <c r="AV97" s="2"/>
      <c r="BE97" s="140" t="str">
        <f t="shared" ca="1" si="30"/>
        <v>Mongolian Tugrik</v>
      </c>
      <c r="BF97" s="144" t="s">
        <v>179</v>
      </c>
      <c r="BG97" s="144" t="s">
        <v>180</v>
      </c>
      <c r="BH97" s="142" t="s">
        <v>42</v>
      </c>
      <c r="BI97" s="145" t="s">
        <v>181</v>
      </c>
      <c r="BO97" s="46" t="s">
        <v>324</v>
      </c>
      <c r="BP97" s="46" t="s">
        <v>4698</v>
      </c>
    </row>
    <row r="98" spans="18:68" x14ac:dyDescent="0.2">
      <c r="R98" s="24" t="s">
        <v>4220</v>
      </c>
      <c r="S98" s="236" t="e">
        <f t="shared" ca="1" si="29"/>
        <v>#NAME?</v>
      </c>
      <c r="T98" s="230" t="s">
        <v>4772</v>
      </c>
      <c r="U98" s="233" t="e" cm="1">
        <f t="array" aca="1" ref="U98" ca="1">_xll.SNL.Clients.Office.Excel.Functions.SPG($T98, "SP_RATE_VALUE",U$77,"Options:NA=NA")</f>
        <v>#NAME?</v>
      </c>
      <c r="V98" s="233" t="e" cm="1">
        <f t="array" aca="1" ref="V98" ca="1">_xll.SNL.Clients.Office.Excel.Functions.SPG($T98, "SP_RATE_VALUE",V$77,"Options:NA=NA")</f>
        <v>#NAME?</v>
      </c>
      <c r="W98" s="228" t="e" cm="1">
        <f t="array" aca="1" ref="W98" ca="1">_xll.SNL.Clients.Office.Excel.Functions.SPG($T98, "SP_RATE_VALUE",W$77,"Options:NA=NA")</f>
        <v>#NAME?</v>
      </c>
      <c r="AD98" t="s">
        <v>5044</v>
      </c>
      <c r="AE98" s="201" t="e">
        <f t="shared" ca="1" si="19"/>
        <v>#NAME?</v>
      </c>
      <c r="AF98" s="201" t="e" cm="1">
        <f t="array" aca="1" ref="AF98" ca="1">IF(AD98="","",_xll.SNL.Clients.Office.Excel.Functions.SPG(AD98,"SPT_YTW",$E$15,"Options:NA=NA"))</f>
        <v>#NAME?</v>
      </c>
      <c r="AG98" s="201" t="e" cm="1">
        <f t="array" aca="1" ref="AG98" ca="1">IF(AD98="","",_xll.SNL.Clients.Office.Excel.Functions.SPG(AD98,"SPT_EOD_YTM_MID","EOD Close Price",$E$15,"Options:NA=NA"))</f>
        <v>#NAME?</v>
      </c>
      <c r="AH98" s="2" t="e" cm="1">
        <f t="array" aca="1" ref="AH98" ca="1">IF(OR(AD98="",AE98="NA"),"",_xll.SNL.Clients.Office.Excel.Functions.SPG(AD98,"SPT_ISSUE_DATE"))</f>
        <v>#NAME?</v>
      </c>
      <c r="AI98" s="1" t="e">
        <f ca="1">IF(OR($AD98="",$AE98="NA",$AH98=""),"",RANK(AH98,$AH$53:$AH$1052)+COUNTIF($AH$53:AH98,AH98)-1)</f>
        <v>#NAME?</v>
      </c>
      <c r="AJ98" s="2" t="e">
        <f t="shared" ca="1" si="20"/>
        <v>#NAME?</v>
      </c>
      <c r="AK98" s="1" t="e">
        <f ca="1">IF(OR($AD98="",$AE98="NA",$AJ98=""),"",RANK(AJ98,$AJ$53:$AJ$1052)+COUNTIF($AJ$53:AJ98,AJ98)-1)</f>
        <v>#NAME?</v>
      </c>
      <c r="AS98" s="201"/>
      <c r="AT98" s="2"/>
      <c r="AV98" s="2"/>
      <c r="BE98" s="140" t="str">
        <f t="shared" ca="1" si="30"/>
        <v>Moroccan Dirham</v>
      </c>
      <c r="BF98" s="144" t="s">
        <v>182</v>
      </c>
      <c r="BG98" s="144" t="s">
        <v>183</v>
      </c>
      <c r="BH98" s="142" t="s">
        <v>35</v>
      </c>
      <c r="BI98" s="145" t="s">
        <v>184</v>
      </c>
      <c r="BO98" s="46" t="s">
        <v>325</v>
      </c>
      <c r="BP98" s="46" t="s">
        <v>4699</v>
      </c>
    </row>
    <row r="99" spans="18:68" x14ac:dyDescent="0.2">
      <c r="R99" s="24" t="s">
        <v>4221</v>
      </c>
      <c r="S99" s="236" t="e">
        <f t="shared" ca="1" si="29"/>
        <v>#NAME?</v>
      </c>
      <c r="T99" s="230" t="s">
        <v>4773</v>
      </c>
      <c r="U99" s="233" t="e" cm="1">
        <f t="array" aca="1" ref="U99" ca="1">_xll.SNL.Clients.Office.Excel.Functions.SPG($T99, "SP_RATE_VALUE",U$77,"Options:NA=NA")</f>
        <v>#NAME?</v>
      </c>
      <c r="V99" s="233" t="e" cm="1">
        <f t="array" aca="1" ref="V99" ca="1">_xll.SNL.Clients.Office.Excel.Functions.SPG($T99, "SP_RATE_VALUE",V$77,"Options:NA=NA")</f>
        <v>#NAME?</v>
      </c>
      <c r="W99" s="228" t="e" cm="1">
        <f t="array" aca="1" ref="W99" ca="1">_xll.SNL.Clients.Office.Excel.Functions.SPG($T99, "SP_RATE_VALUE",W$77,"Options:NA=NA")</f>
        <v>#NAME?</v>
      </c>
      <c r="AD99" t="s">
        <v>5045</v>
      </c>
      <c r="AE99" s="201" t="e">
        <f t="shared" ca="1" si="19"/>
        <v>#NAME?</v>
      </c>
      <c r="AF99" s="201" t="e" cm="1">
        <f t="array" aca="1" ref="AF99" ca="1">IF(AD99="","",_xll.SNL.Clients.Office.Excel.Functions.SPG(AD99,"SPT_YTW",$E$15,"Options:NA=NA"))</f>
        <v>#NAME?</v>
      </c>
      <c r="AG99" s="201" t="e" cm="1">
        <f t="array" aca="1" ref="AG99" ca="1">IF(AD99="","",_xll.SNL.Clients.Office.Excel.Functions.SPG(AD99,"SPT_EOD_YTM_MID","EOD Close Price",$E$15,"Options:NA=NA"))</f>
        <v>#NAME?</v>
      </c>
      <c r="AH99" s="2" t="e" cm="1">
        <f t="array" aca="1" ref="AH99" ca="1">IF(OR(AD99="",AE99="NA"),"",_xll.SNL.Clients.Office.Excel.Functions.SPG(AD99,"SPT_ISSUE_DATE"))</f>
        <v>#NAME?</v>
      </c>
      <c r="AI99" s="1" t="e">
        <f ca="1">IF(OR($AD99="",$AE99="NA",$AH99=""),"",RANK(AH99,$AH$53:$AH$1052)+COUNTIF($AH$53:AH99,AH99)-1)</f>
        <v>#NAME?</v>
      </c>
      <c r="AJ99" s="2" t="e">
        <f t="shared" ca="1" si="20"/>
        <v>#NAME?</v>
      </c>
      <c r="AK99" s="1" t="e">
        <f ca="1">IF(OR($AD99="",$AE99="NA",$AJ99=""),"",RANK(AJ99,$AJ$53:$AJ$1052)+COUNTIF($AJ$53:AJ99,AJ99)-1)</f>
        <v>#NAME?</v>
      </c>
      <c r="AS99" s="201"/>
      <c r="AT99" s="2"/>
      <c r="AV99" s="2"/>
      <c r="BE99" s="140" t="str">
        <f t="shared" ca="1" si="30"/>
        <v>New Israeli Shekel</v>
      </c>
      <c r="BF99" s="144" t="s">
        <v>185</v>
      </c>
      <c r="BG99" s="144" t="s">
        <v>186</v>
      </c>
      <c r="BH99" s="142" t="s">
        <v>35</v>
      </c>
      <c r="BI99" s="145" t="s">
        <v>187</v>
      </c>
      <c r="BO99" s="46" t="s">
        <v>4751</v>
      </c>
      <c r="BP99" s="46" t="s">
        <v>4750</v>
      </c>
    </row>
    <row r="100" spans="18:68" x14ac:dyDescent="0.2">
      <c r="R100" s="24" t="s">
        <v>4222</v>
      </c>
      <c r="S100" s="236" t="e">
        <f t="shared" ca="1" si="29"/>
        <v>#NAME?</v>
      </c>
      <c r="T100" s="230" t="s">
        <v>4774</v>
      </c>
      <c r="U100" s="233" t="e" cm="1">
        <f t="array" aca="1" ref="U100" ca="1">_xll.SNL.Clients.Office.Excel.Functions.SPG($T100, "SP_RATE_VALUE",U$77,"Options:NA=NA")</f>
        <v>#NAME?</v>
      </c>
      <c r="V100" s="233" t="e" cm="1">
        <f t="array" aca="1" ref="V100" ca="1">_xll.SNL.Clients.Office.Excel.Functions.SPG($T100, "SP_RATE_VALUE",V$77,"Options:NA=NA")</f>
        <v>#NAME?</v>
      </c>
      <c r="W100" s="228" t="e" cm="1">
        <f t="array" aca="1" ref="W100" ca="1">_xll.SNL.Clients.Office.Excel.Functions.SPG($T100, "SP_RATE_VALUE",W$77,"Options:NA=NA")</f>
        <v>#NAME?</v>
      </c>
      <c r="AD100" t="s">
        <v>5046</v>
      </c>
      <c r="AE100" s="201" t="e">
        <f t="shared" ca="1" si="19"/>
        <v>#NAME?</v>
      </c>
      <c r="AF100" s="201" t="e" cm="1">
        <f t="array" aca="1" ref="AF100" ca="1">IF(AD100="","",_xll.SNL.Clients.Office.Excel.Functions.SPG(AD100,"SPT_YTW",$E$15,"Options:NA=NA"))</f>
        <v>#NAME?</v>
      </c>
      <c r="AG100" s="201" t="e" cm="1">
        <f t="array" aca="1" ref="AG100" ca="1">IF(AD100="","",_xll.SNL.Clients.Office.Excel.Functions.SPG(AD100,"SPT_EOD_YTM_MID","EOD Close Price",$E$15,"Options:NA=NA"))</f>
        <v>#NAME?</v>
      </c>
      <c r="AH100" s="2" t="e" cm="1">
        <f t="array" aca="1" ref="AH100" ca="1">IF(OR(AD100="",AE100="NA"),"",_xll.SNL.Clients.Office.Excel.Functions.SPG(AD100,"SPT_ISSUE_DATE"))</f>
        <v>#NAME?</v>
      </c>
      <c r="AI100" s="1" t="e">
        <f ca="1">IF(OR($AD100="",$AE100="NA",$AH100=""),"",RANK(AH100,$AH$53:$AH$1052)+COUNTIF($AH$53:AH100,AH100)-1)</f>
        <v>#NAME?</v>
      </c>
      <c r="AJ100" s="2" t="e">
        <f t="shared" ca="1" si="20"/>
        <v>#NAME?</v>
      </c>
      <c r="AK100" s="1" t="e">
        <f ca="1">IF(OR($AD100="",$AE100="NA",$AJ100=""),"",RANK(AJ100,$AJ$53:$AJ$1052)+COUNTIF($AJ$53:AJ100,AJ100)-1)</f>
        <v>#NAME?</v>
      </c>
      <c r="AS100" s="201"/>
      <c r="AT100" s="2"/>
      <c r="AV100" s="2"/>
      <c r="BE100" s="140" t="str">
        <f t="shared" ca="1" si="30"/>
        <v>New Taiwan Dollar</v>
      </c>
      <c r="BF100" s="144" t="s">
        <v>188</v>
      </c>
      <c r="BG100" s="144" t="s">
        <v>189</v>
      </c>
      <c r="BH100" s="142" t="s">
        <v>35</v>
      </c>
      <c r="BI100" s="145" t="s">
        <v>190</v>
      </c>
      <c r="BO100" s="46" t="s">
        <v>4749</v>
      </c>
      <c r="BP100" s="46" t="s">
        <v>4744</v>
      </c>
    </row>
    <row r="101" spans="18:68" x14ac:dyDescent="0.2">
      <c r="R101" s="24" t="s">
        <v>4223</v>
      </c>
      <c r="S101" s="236" t="e">
        <f t="shared" ca="1" si="29"/>
        <v>#NAME?</v>
      </c>
      <c r="T101" s="230" t="s">
        <v>4775</v>
      </c>
      <c r="U101" s="233" t="e" cm="1">
        <f t="array" aca="1" ref="U101" ca="1">_xll.SNL.Clients.Office.Excel.Functions.SPG($T101, "SP_RATE_VALUE",U$77,"Options:NA=NA")</f>
        <v>#NAME?</v>
      </c>
      <c r="V101" s="233" t="e" cm="1">
        <f t="array" aca="1" ref="V101" ca="1">_xll.SNL.Clients.Office.Excel.Functions.SPG($T101, "SP_RATE_VALUE",V$77,"Options:NA=NA")</f>
        <v>#NAME?</v>
      </c>
      <c r="W101" s="228" t="e" cm="1">
        <f t="array" aca="1" ref="W101" ca="1">_xll.SNL.Clients.Office.Excel.Functions.SPG($T101, "SP_RATE_VALUE",W$77,"Options:NA=NA")</f>
        <v>#NAME?</v>
      </c>
      <c r="AD101" t="s">
        <v>5047</v>
      </c>
      <c r="AE101" s="201" t="e">
        <f t="shared" ca="1" si="19"/>
        <v>#NAME?</v>
      </c>
      <c r="AF101" s="201" t="e" cm="1">
        <f t="array" aca="1" ref="AF101" ca="1">IF(AD101="","",_xll.SNL.Clients.Office.Excel.Functions.SPG(AD101,"SPT_YTW",$E$15,"Options:NA=NA"))</f>
        <v>#NAME?</v>
      </c>
      <c r="AG101" s="201" t="e" cm="1">
        <f t="array" aca="1" ref="AG101" ca="1">IF(AD101="","",_xll.SNL.Clients.Office.Excel.Functions.SPG(AD101,"SPT_EOD_YTM_MID","EOD Close Price",$E$15,"Options:NA=NA"))</f>
        <v>#NAME?</v>
      </c>
      <c r="AH101" s="2" t="e" cm="1">
        <f t="array" aca="1" ref="AH101" ca="1">IF(OR(AD101="",AE101="NA"),"",_xll.SNL.Clients.Office.Excel.Functions.SPG(AD101,"SPT_ISSUE_DATE"))</f>
        <v>#NAME?</v>
      </c>
      <c r="AI101" s="1" t="e">
        <f ca="1">IF(OR($AD101="",$AE101="NA",$AH101=""),"",RANK(AH101,$AH$53:$AH$1052)+COUNTIF($AH$53:AH101,AH101)-1)</f>
        <v>#NAME?</v>
      </c>
      <c r="AJ101" s="2" t="e">
        <f t="shared" ca="1" si="20"/>
        <v>#NAME?</v>
      </c>
      <c r="AK101" s="1" t="e">
        <f ca="1">IF(OR($AD101="",$AE101="NA",$AJ101=""),"",RANK(AJ101,$AJ$53:$AJ$1052)+COUNTIF($AJ$53:AJ101,AJ101)-1)</f>
        <v>#NAME?</v>
      </c>
      <c r="AS101" s="201"/>
      <c r="AT101" s="2"/>
      <c r="AV101" s="2"/>
      <c r="BE101" s="140" t="str">
        <f t="shared" ca="1" si="30"/>
        <v>New Zealand Dollar</v>
      </c>
      <c r="BF101" s="144" t="s">
        <v>191</v>
      </c>
      <c r="BG101" s="144" t="s">
        <v>192</v>
      </c>
      <c r="BH101" s="142" t="s">
        <v>35</v>
      </c>
      <c r="BI101" s="145" t="s">
        <v>193</v>
      </c>
      <c r="BO101" s="46" t="s">
        <v>326</v>
      </c>
      <c r="BP101" s="46" t="s">
        <v>4700</v>
      </c>
    </row>
    <row r="102" spans="18:68" x14ac:dyDescent="0.2">
      <c r="R102" s="24" t="s">
        <v>4224</v>
      </c>
      <c r="S102" s="236" t="e">
        <f t="shared" ca="1" si="29"/>
        <v>#NAME?</v>
      </c>
      <c r="T102" s="230" t="s">
        <v>4776</v>
      </c>
      <c r="U102" s="233" t="e" cm="1">
        <f t="array" aca="1" ref="U102" ca="1">_xll.SNL.Clients.Office.Excel.Functions.SPG($T102, "SP_RATE_VALUE",U$77,"Options:NA=NA")</f>
        <v>#NAME?</v>
      </c>
      <c r="V102" s="233" t="e" cm="1">
        <f t="array" aca="1" ref="V102" ca="1">_xll.SNL.Clients.Office.Excel.Functions.SPG($T102, "SP_RATE_VALUE",V$77,"Options:NA=NA")</f>
        <v>#NAME?</v>
      </c>
      <c r="W102" s="228" t="e" cm="1">
        <f t="array" aca="1" ref="W102" ca="1">_xll.SNL.Clients.Office.Excel.Functions.SPG($T102, "SP_RATE_VALUE",W$77,"Options:NA=NA")</f>
        <v>#NAME?</v>
      </c>
      <c r="AD102" t="s">
        <v>5048</v>
      </c>
      <c r="AE102" s="201" t="e">
        <f t="shared" ca="1" si="19"/>
        <v>#NAME?</v>
      </c>
      <c r="AF102" s="201" t="e" cm="1">
        <f t="array" aca="1" ref="AF102" ca="1">IF(AD102="","",_xll.SNL.Clients.Office.Excel.Functions.SPG(AD102,"SPT_YTW",$E$15,"Options:NA=NA"))</f>
        <v>#NAME?</v>
      </c>
      <c r="AG102" s="201" t="e" cm="1">
        <f t="array" aca="1" ref="AG102" ca="1">IF(AD102="","",_xll.SNL.Clients.Office.Excel.Functions.SPG(AD102,"SPT_EOD_YTM_MID","EOD Close Price",$E$15,"Options:NA=NA"))</f>
        <v>#NAME?</v>
      </c>
      <c r="AH102" s="2" t="e" cm="1">
        <f t="array" aca="1" ref="AH102" ca="1">IF(OR(AD102="",AE102="NA"),"",_xll.SNL.Clients.Office.Excel.Functions.SPG(AD102,"SPT_ISSUE_DATE"))</f>
        <v>#NAME?</v>
      </c>
      <c r="AI102" s="1" t="e">
        <f ca="1">IF(OR($AD102="",$AE102="NA",$AH102=""),"",RANK(AH102,$AH$53:$AH$1052)+COUNTIF($AH$53:AH102,AH102)-1)</f>
        <v>#NAME?</v>
      </c>
      <c r="AJ102" s="2" t="e">
        <f t="shared" ca="1" si="20"/>
        <v>#NAME?</v>
      </c>
      <c r="AK102" s="1" t="e">
        <f ca="1">IF(OR($AD102="",$AE102="NA",$AJ102=""),"",RANK(AJ102,$AJ$53:$AJ$1052)+COUNTIF($AJ$53:AJ102,AJ102)-1)</f>
        <v>#NAME?</v>
      </c>
      <c r="AS102" s="201"/>
      <c r="AT102" s="2"/>
      <c r="AV102" s="2"/>
      <c r="BE102" s="140" t="str">
        <f t="shared" ca="1" si="30"/>
        <v>Norwegian Krone</v>
      </c>
      <c r="BF102" s="144" t="s">
        <v>194</v>
      </c>
      <c r="BG102" s="144" t="s">
        <v>195</v>
      </c>
      <c r="BH102" s="142" t="s">
        <v>35</v>
      </c>
      <c r="BI102" s="145" t="s">
        <v>196</v>
      </c>
      <c r="BO102" s="46" t="s">
        <v>327</v>
      </c>
      <c r="BP102" s="46" t="s">
        <v>4701</v>
      </c>
    </row>
    <row r="103" spans="18:68" x14ac:dyDescent="0.2">
      <c r="R103" s="24" t="s">
        <v>4225</v>
      </c>
      <c r="S103" s="236" t="e">
        <f t="shared" ca="1" si="29"/>
        <v>#NAME?</v>
      </c>
      <c r="T103" s="230" t="s">
        <v>4777</v>
      </c>
      <c r="U103" s="233" t="e" cm="1">
        <f t="array" aca="1" ref="U103" ca="1">_xll.SNL.Clients.Office.Excel.Functions.SPG($T103, "SP_RATE_VALUE",U$77,"Options:NA=NA")</f>
        <v>#NAME?</v>
      </c>
      <c r="V103" s="233" t="e" cm="1">
        <f t="array" aca="1" ref="V103" ca="1">_xll.SNL.Clients.Office.Excel.Functions.SPG($T103, "SP_RATE_VALUE",V$77,"Options:NA=NA")</f>
        <v>#NAME?</v>
      </c>
      <c r="W103" s="228" t="e" cm="1">
        <f t="array" aca="1" ref="W103" ca="1">_xll.SNL.Clients.Office.Excel.Functions.SPG($T103, "SP_RATE_VALUE",W$77,"Options:NA=NA")</f>
        <v>#NAME?</v>
      </c>
      <c r="AD103" t="s">
        <v>5049</v>
      </c>
      <c r="AE103" s="201" t="e">
        <f t="shared" ca="1" si="19"/>
        <v>#NAME?</v>
      </c>
      <c r="AF103" s="201" t="e" cm="1">
        <f t="array" aca="1" ref="AF103" ca="1">IF(AD103="","",_xll.SNL.Clients.Office.Excel.Functions.SPG(AD103,"SPT_YTW",$E$15,"Options:NA=NA"))</f>
        <v>#NAME?</v>
      </c>
      <c r="AG103" s="201" t="e" cm="1">
        <f t="array" aca="1" ref="AG103" ca="1">IF(AD103="","",_xll.SNL.Clients.Office.Excel.Functions.SPG(AD103,"SPT_EOD_YTM_MID","EOD Close Price",$E$15,"Options:NA=NA"))</f>
        <v>#NAME?</v>
      </c>
      <c r="AH103" s="2" t="e" cm="1">
        <f t="array" aca="1" ref="AH103" ca="1">IF(OR(AD103="",AE103="NA"),"",_xll.SNL.Clients.Office.Excel.Functions.SPG(AD103,"SPT_ISSUE_DATE"))</f>
        <v>#NAME?</v>
      </c>
      <c r="AI103" s="1" t="e">
        <f ca="1">IF(OR($AD103="",$AE103="NA",$AH103=""),"",RANK(AH103,$AH$53:$AH$1052)+COUNTIF($AH$53:AH103,AH103)-1)</f>
        <v>#NAME?</v>
      </c>
      <c r="AJ103" s="2" t="e">
        <f t="shared" ca="1" si="20"/>
        <v>#NAME?</v>
      </c>
      <c r="AK103" s="1" t="e">
        <f ca="1">IF(OR($AD103="",$AE103="NA",$AJ103=""),"",RANK(AJ103,$AJ$53:$AJ$1052)+COUNTIF($AJ$53:AJ103,AJ103)-1)</f>
        <v>#NAME?</v>
      </c>
      <c r="AS103" s="201"/>
      <c r="AT103" s="2"/>
      <c r="AV103" s="2"/>
      <c r="BE103" s="140" t="str">
        <f t="shared" ca="1" si="30"/>
        <v>Omani Rial</v>
      </c>
      <c r="BF103" s="144" t="s">
        <v>197</v>
      </c>
      <c r="BG103" s="144" t="s">
        <v>198</v>
      </c>
      <c r="BH103" s="142" t="s">
        <v>35</v>
      </c>
      <c r="BI103" s="145" t="s">
        <v>199</v>
      </c>
      <c r="BO103" s="46" t="s">
        <v>328</v>
      </c>
      <c r="BP103" s="46" t="s">
        <v>4702</v>
      </c>
    </row>
    <row r="104" spans="18:68" x14ac:dyDescent="0.2">
      <c r="R104" s="24" t="s">
        <v>4226</v>
      </c>
      <c r="S104" s="236" t="e">
        <f t="shared" ca="1" si="29"/>
        <v>#NAME?</v>
      </c>
      <c r="T104" s="230" t="s">
        <v>4778</v>
      </c>
      <c r="U104" s="233" t="e" cm="1">
        <f t="array" aca="1" ref="U104" ca="1">_xll.SNL.Clients.Office.Excel.Functions.SPG($T104, "SP_RATE_VALUE",U$77,"Options:NA=NA")</f>
        <v>#NAME?</v>
      </c>
      <c r="V104" s="233" t="e" cm="1">
        <f t="array" aca="1" ref="V104" ca="1">_xll.SNL.Clients.Office.Excel.Functions.SPG($T104, "SP_RATE_VALUE",V$77,"Options:NA=NA")</f>
        <v>#NAME?</v>
      </c>
      <c r="W104" s="228" t="e" cm="1">
        <f t="array" aca="1" ref="W104" ca="1">_xll.SNL.Clients.Office.Excel.Functions.SPG($T104, "SP_RATE_VALUE",W$77,"Options:NA=NA")</f>
        <v>#NAME?</v>
      </c>
      <c r="AD104" t="s">
        <v>5050</v>
      </c>
      <c r="AE104" s="201" t="e">
        <f t="shared" ca="1" si="19"/>
        <v>#NAME?</v>
      </c>
      <c r="AF104" s="201" t="e" cm="1">
        <f t="array" aca="1" ref="AF104" ca="1">IF(AD104="","",_xll.SNL.Clients.Office.Excel.Functions.SPG(AD104,"SPT_YTW",$E$15,"Options:NA=NA"))</f>
        <v>#NAME?</v>
      </c>
      <c r="AG104" s="201" t="e" cm="1">
        <f t="array" aca="1" ref="AG104" ca="1">IF(AD104="","",_xll.SNL.Clients.Office.Excel.Functions.SPG(AD104,"SPT_EOD_YTM_MID","EOD Close Price",$E$15,"Options:NA=NA"))</f>
        <v>#NAME?</v>
      </c>
      <c r="AH104" s="2" t="e" cm="1">
        <f t="array" aca="1" ref="AH104" ca="1">IF(OR(AD104="",AE104="NA"),"",_xll.SNL.Clients.Office.Excel.Functions.SPG(AD104,"SPT_ISSUE_DATE"))</f>
        <v>#NAME?</v>
      </c>
      <c r="AI104" s="1" t="e">
        <f ca="1">IF(OR($AD104="",$AE104="NA",$AH104=""),"",RANK(AH104,$AH$53:$AH$1052)+COUNTIF($AH$53:AH104,AH104)-1)</f>
        <v>#NAME?</v>
      </c>
      <c r="AJ104" s="2" t="e">
        <f t="shared" ca="1" si="20"/>
        <v>#NAME?</v>
      </c>
      <c r="AK104" s="1" t="e">
        <f ca="1">IF(OR($AD104="",$AE104="NA",$AJ104=""),"",RANK(AJ104,$AJ$53:$AJ$1052)+COUNTIF($AJ$53:AJ104,AJ104)-1)</f>
        <v>#NAME?</v>
      </c>
      <c r="AS104" s="201"/>
      <c r="AT104" s="2"/>
      <c r="AV104" s="2"/>
      <c r="BE104" s="140" t="str">
        <f t="shared" ca="1" si="30"/>
        <v>Pakistani Rupee</v>
      </c>
      <c r="BF104" s="144" t="s">
        <v>200</v>
      </c>
      <c r="BG104" s="144" t="s">
        <v>201</v>
      </c>
      <c r="BH104" s="142" t="s">
        <v>35</v>
      </c>
      <c r="BI104" s="145" t="s">
        <v>202</v>
      </c>
      <c r="BO104" s="46" t="s">
        <v>329</v>
      </c>
      <c r="BP104" s="46" t="s">
        <v>4703</v>
      </c>
    </row>
    <row r="105" spans="18:68" x14ac:dyDescent="0.2">
      <c r="R105" s="24" t="s">
        <v>4227</v>
      </c>
      <c r="S105" s="236" t="e">
        <f t="shared" ca="1" si="29"/>
        <v>#NAME?</v>
      </c>
      <c r="T105" s="230" t="s">
        <v>4779</v>
      </c>
      <c r="U105" s="233" t="e" cm="1">
        <f t="array" aca="1" ref="U105" ca="1">_xll.SNL.Clients.Office.Excel.Functions.SPG($T105, "SP_RATE_VALUE",U$77,"Options:NA=NA")</f>
        <v>#NAME?</v>
      </c>
      <c r="V105" s="233" t="e" cm="1">
        <f t="array" aca="1" ref="V105" ca="1">_xll.SNL.Clients.Office.Excel.Functions.SPG($T105, "SP_RATE_VALUE",V$77,"Options:NA=NA")</f>
        <v>#NAME?</v>
      </c>
      <c r="W105" s="228" t="e" cm="1">
        <f t="array" aca="1" ref="W105" ca="1">_xll.SNL.Clients.Office.Excel.Functions.SPG($T105, "SP_RATE_VALUE",W$77,"Options:NA=NA")</f>
        <v>#NAME?</v>
      </c>
      <c r="AD105" t="s">
        <v>5051</v>
      </c>
      <c r="AE105" s="201" t="e">
        <f t="shared" ca="1" si="19"/>
        <v>#NAME?</v>
      </c>
      <c r="AF105" s="201" t="e" cm="1">
        <f t="array" aca="1" ref="AF105" ca="1">IF(AD105="","",_xll.SNL.Clients.Office.Excel.Functions.SPG(AD105,"SPT_YTW",$E$15,"Options:NA=NA"))</f>
        <v>#NAME?</v>
      </c>
      <c r="AG105" s="201" t="e" cm="1">
        <f t="array" aca="1" ref="AG105" ca="1">IF(AD105="","",_xll.SNL.Clients.Office.Excel.Functions.SPG(AD105,"SPT_EOD_YTM_MID","EOD Close Price",$E$15,"Options:NA=NA"))</f>
        <v>#NAME?</v>
      </c>
      <c r="AH105" s="2" t="e" cm="1">
        <f t="array" aca="1" ref="AH105" ca="1">IF(OR(AD105="",AE105="NA"),"",_xll.SNL.Clients.Office.Excel.Functions.SPG(AD105,"SPT_ISSUE_DATE"))</f>
        <v>#NAME?</v>
      </c>
      <c r="AI105" s="1" t="e">
        <f ca="1">IF(OR($AD105="",$AE105="NA",$AH105=""),"",RANK(AH105,$AH$53:$AH$1052)+COUNTIF($AH$53:AH105,AH105)-1)</f>
        <v>#NAME?</v>
      </c>
      <c r="AJ105" s="2" t="e">
        <f t="shared" ca="1" si="20"/>
        <v>#NAME?</v>
      </c>
      <c r="AK105" s="1" t="e">
        <f ca="1">IF(OR($AD105="",$AE105="NA",$AJ105=""),"",RANK(AJ105,$AJ$53:$AJ$1052)+COUNTIF($AJ$53:AJ105,AJ105)-1)</f>
        <v>#NAME?</v>
      </c>
      <c r="AS105" s="201"/>
      <c r="AT105" s="2"/>
      <c r="AV105" s="2"/>
      <c r="BE105" s="140" t="str">
        <f t="shared" ca="1" si="30"/>
        <v>Panamanian Balboa</v>
      </c>
      <c r="BF105" s="144" t="s">
        <v>203</v>
      </c>
      <c r="BG105" s="144" t="s">
        <v>204</v>
      </c>
      <c r="BH105" s="142" t="s">
        <v>35</v>
      </c>
      <c r="BI105" s="145" t="s">
        <v>205</v>
      </c>
      <c r="BO105" s="46" t="s">
        <v>330</v>
      </c>
      <c r="BP105" s="46" t="s">
        <v>4704</v>
      </c>
    </row>
    <row r="106" spans="18:68" x14ac:dyDescent="0.2">
      <c r="R106" s="24" t="s">
        <v>4228</v>
      </c>
      <c r="S106" s="236" t="e">
        <f t="shared" ca="1" si="29"/>
        <v>#NAME?</v>
      </c>
      <c r="T106" s="230" t="s">
        <v>4780</v>
      </c>
      <c r="U106" s="233" t="e" cm="1">
        <f t="array" aca="1" ref="U106" ca="1">_xll.SNL.Clients.Office.Excel.Functions.SPG($T106, "SP_RATE_VALUE",U$77,"Options:NA=NA")</f>
        <v>#NAME?</v>
      </c>
      <c r="V106" s="233" t="e" cm="1">
        <f t="array" aca="1" ref="V106" ca="1">_xll.SNL.Clients.Office.Excel.Functions.SPG($T106, "SP_RATE_VALUE",V$77,"Options:NA=NA")</f>
        <v>#NAME?</v>
      </c>
      <c r="W106" s="228" t="e" cm="1">
        <f t="array" aca="1" ref="W106" ca="1">_xll.SNL.Clients.Office.Excel.Functions.SPG($T106, "SP_RATE_VALUE",W$77,"Options:NA=NA")</f>
        <v>#NAME?</v>
      </c>
      <c r="AD106" t="s">
        <v>5052</v>
      </c>
      <c r="AE106" s="201" t="e">
        <f t="shared" ca="1" si="19"/>
        <v>#NAME?</v>
      </c>
      <c r="AF106" s="201" t="e" cm="1">
        <f t="array" aca="1" ref="AF106" ca="1">IF(AD106="","",_xll.SNL.Clients.Office.Excel.Functions.SPG(AD106,"SPT_YTW",$E$15,"Options:NA=NA"))</f>
        <v>#NAME?</v>
      </c>
      <c r="AG106" s="201" t="e" cm="1">
        <f t="array" aca="1" ref="AG106" ca="1">IF(AD106="","",_xll.SNL.Clients.Office.Excel.Functions.SPG(AD106,"SPT_EOD_YTM_MID","EOD Close Price",$E$15,"Options:NA=NA"))</f>
        <v>#NAME?</v>
      </c>
      <c r="AH106" s="2" t="e" cm="1">
        <f t="array" aca="1" ref="AH106" ca="1">IF(OR(AD106="",AE106="NA"),"",_xll.SNL.Clients.Office.Excel.Functions.SPG(AD106,"SPT_ISSUE_DATE"))</f>
        <v>#NAME?</v>
      </c>
      <c r="AI106" s="1" t="e">
        <f ca="1">IF(OR($AD106="",$AE106="NA",$AH106=""),"",RANK(AH106,$AH$53:$AH$1052)+COUNTIF($AH$53:AH106,AH106)-1)</f>
        <v>#NAME?</v>
      </c>
      <c r="AJ106" s="2" t="e">
        <f t="shared" ca="1" si="20"/>
        <v>#NAME?</v>
      </c>
      <c r="AK106" s="1" t="e">
        <f ca="1">IF(OR($AD106="",$AE106="NA",$AJ106=""),"",RANK(AJ106,$AJ$53:$AJ$1052)+COUNTIF($AJ$53:AJ106,AJ106)-1)</f>
        <v>#NAME?</v>
      </c>
      <c r="AS106" s="201"/>
      <c r="AT106" s="2"/>
      <c r="AV106" s="2"/>
      <c r="BE106" s="140" t="str">
        <f t="shared" ca="1" si="30"/>
        <v>Peruvian Sol</v>
      </c>
      <c r="BF106" s="144" t="s">
        <v>206</v>
      </c>
      <c r="BG106" s="144" t="s">
        <v>207</v>
      </c>
      <c r="BH106" s="142" t="s">
        <v>35</v>
      </c>
      <c r="BI106" s="145" t="s">
        <v>208</v>
      </c>
      <c r="BO106" s="46" t="s">
        <v>331</v>
      </c>
      <c r="BP106" s="46" t="s">
        <v>4705</v>
      </c>
    </row>
    <row r="107" spans="18:68" x14ac:dyDescent="0.2">
      <c r="R107" s="24" t="s">
        <v>4229</v>
      </c>
      <c r="S107" s="236" t="e">
        <f t="shared" ca="1" si="29"/>
        <v>#NAME?</v>
      </c>
      <c r="T107" s="230" t="s">
        <v>4782</v>
      </c>
      <c r="U107" s="233" t="e" cm="1">
        <f t="array" aca="1" ref="U107" ca="1">_xll.SNL.Clients.Office.Excel.Functions.SPG($T107, "SP_RATE_VALUE",U$77,"Options:NA=NA")</f>
        <v>#NAME?</v>
      </c>
      <c r="V107" s="233" t="e" cm="1">
        <f t="array" aca="1" ref="V107" ca="1">_xll.SNL.Clients.Office.Excel.Functions.SPG($T107, "SP_RATE_VALUE",V$77,"Options:NA=NA")</f>
        <v>#NAME?</v>
      </c>
      <c r="W107" s="228" t="e" cm="1">
        <f t="array" aca="1" ref="W107" ca="1">_xll.SNL.Clients.Office.Excel.Functions.SPG($T107, "SP_RATE_VALUE",W$77,"Options:NA=NA")</f>
        <v>#NAME?</v>
      </c>
      <c r="AD107" t="s">
        <v>5053</v>
      </c>
      <c r="AE107" s="201" t="e">
        <f t="shared" ca="1" si="19"/>
        <v>#NAME?</v>
      </c>
      <c r="AF107" s="201" t="e" cm="1">
        <f t="array" aca="1" ref="AF107" ca="1">IF(AD107="","",_xll.SNL.Clients.Office.Excel.Functions.SPG(AD107,"SPT_YTW",$E$15,"Options:NA=NA"))</f>
        <v>#NAME?</v>
      </c>
      <c r="AG107" s="201" t="e" cm="1">
        <f t="array" aca="1" ref="AG107" ca="1">IF(AD107="","",_xll.SNL.Clients.Office.Excel.Functions.SPG(AD107,"SPT_EOD_YTM_MID","EOD Close Price",$E$15,"Options:NA=NA"))</f>
        <v>#NAME?</v>
      </c>
      <c r="AH107" s="2" t="e" cm="1">
        <f t="array" aca="1" ref="AH107" ca="1">IF(OR(AD107="",AE107="NA"),"",_xll.SNL.Clients.Office.Excel.Functions.SPG(AD107,"SPT_ISSUE_DATE"))</f>
        <v>#NAME?</v>
      </c>
      <c r="AI107" s="1" t="e">
        <f ca="1">IF(OR($AD107="",$AE107="NA",$AH107=""),"",RANK(AH107,$AH$53:$AH$1052)+COUNTIF($AH$53:AH107,AH107)-1)</f>
        <v>#NAME?</v>
      </c>
      <c r="AJ107" s="2" t="e">
        <f t="shared" ca="1" si="20"/>
        <v>#NAME?</v>
      </c>
      <c r="AK107" s="1" t="e">
        <f ca="1">IF(OR($AD107="",$AE107="NA",$AJ107=""),"",RANK(AJ107,$AJ$53:$AJ$1052)+COUNTIF($AJ$53:AJ107,AJ107)-1)</f>
        <v>#NAME?</v>
      </c>
      <c r="AS107" s="201"/>
      <c r="AT107" s="2"/>
      <c r="AV107" s="2"/>
      <c r="BE107" s="140" t="str">
        <f t="shared" ca="1" si="30"/>
        <v>Philippine Peso</v>
      </c>
      <c r="BF107" s="144" t="s">
        <v>209</v>
      </c>
      <c r="BG107" s="144" t="s">
        <v>209</v>
      </c>
      <c r="BH107" s="142" t="s">
        <v>35</v>
      </c>
      <c r="BI107" s="145" t="s">
        <v>210</v>
      </c>
      <c r="BO107" s="46" t="s">
        <v>332</v>
      </c>
      <c r="BP107" s="46" t="s">
        <v>4706</v>
      </c>
    </row>
    <row r="108" spans="18:68" x14ac:dyDescent="0.2">
      <c r="R108" s="24" t="s">
        <v>4230</v>
      </c>
      <c r="S108" s="236" t="e">
        <f t="shared" ca="1" si="29"/>
        <v>#NAME?</v>
      </c>
      <c r="T108" s="230" t="s">
        <v>4783</v>
      </c>
      <c r="U108" s="233" t="e" cm="1">
        <f t="array" aca="1" ref="U108" ca="1">_xll.SNL.Clients.Office.Excel.Functions.SPG($T108, "SP_RATE_VALUE",U$77,"Options:NA=NA")</f>
        <v>#NAME?</v>
      </c>
      <c r="V108" s="233" t="e" cm="1">
        <f t="array" aca="1" ref="V108" ca="1">_xll.SNL.Clients.Office.Excel.Functions.SPG($T108, "SP_RATE_VALUE",V$77,"Options:NA=NA")</f>
        <v>#NAME?</v>
      </c>
      <c r="W108" s="228" t="e" cm="1">
        <f t="array" aca="1" ref="W108" ca="1">_xll.SNL.Clients.Office.Excel.Functions.SPG($T108, "SP_RATE_VALUE",W$77,"Options:NA=NA")</f>
        <v>#NAME?</v>
      </c>
      <c r="AD108" t="s">
        <v>5054</v>
      </c>
      <c r="AE108" s="201" t="e">
        <f t="shared" ca="1" si="19"/>
        <v>#NAME?</v>
      </c>
      <c r="AF108" s="201" t="e" cm="1">
        <f t="array" aca="1" ref="AF108" ca="1">IF(AD108="","",_xll.SNL.Clients.Office.Excel.Functions.SPG(AD108,"SPT_YTW",$E$15,"Options:NA=NA"))</f>
        <v>#NAME?</v>
      </c>
      <c r="AG108" s="201" t="e" cm="1">
        <f t="array" aca="1" ref="AG108" ca="1">IF(AD108="","",_xll.SNL.Clients.Office.Excel.Functions.SPG(AD108,"SPT_EOD_YTM_MID","EOD Close Price",$E$15,"Options:NA=NA"))</f>
        <v>#NAME?</v>
      </c>
      <c r="AH108" s="2" t="e" cm="1">
        <f t="array" aca="1" ref="AH108" ca="1">IF(OR(AD108="",AE108="NA"),"",_xll.SNL.Clients.Office.Excel.Functions.SPG(AD108,"SPT_ISSUE_DATE"))</f>
        <v>#NAME?</v>
      </c>
      <c r="AI108" s="1" t="e">
        <f ca="1">IF(OR($AD108="",$AE108="NA",$AH108=""),"",RANK(AH108,$AH$53:$AH$1052)+COUNTIF($AH$53:AH108,AH108)-1)</f>
        <v>#NAME?</v>
      </c>
      <c r="AJ108" s="2" t="e">
        <f t="shared" ca="1" si="20"/>
        <v>#NAME?</v>
      </c>
      <c r="AK108" s="1" t="e">
        <f ca="1">IF(OR($AD108="",$AE108="NA",$AJ108=""),"",RANK(AJ108,$AJ$53:$AJ$1052)+COUNTIF($AJ$53:AJ108,AJ108)-1)</f>
        <v>#NAME?</v>
      </c>
      <c r="AS108" s="201"/>
      <c r="AT108" s="2"/>
      <c r="AV108" s="2"/>
      <c r="BE108" s="140" t="str">
        <f t="shared" ca="1" si="30"/>
        <v>Polish Zloty</v>
      </c>
      <c r="BF108" s="144" t="s">
        <v>211</v>
      </c>
      <c r="BG108" s="144" t="s">
        <v>212</v>
      </c>
      <c r="BH108" s="142" t="s">
        <v>35</v>
      </c>
      <c r="BI108" s="145" t="s">
        <v>213</v>
      </c>
      <c r="BO108" s="46" t="s">
        <v>333</v>
      </c>
      <c r="BP108" s="46" t="s">
        <v>4707</v>
      </c>
    </row>
    <row r="109" spans="18:68" x14ac:dyDescent="0.2">
      <c r="R109" s="24" t="s">
        <v>4231</v>
      </c>
      <c r="S109" s="236" t="e">
        <f t="shared" ca="1" si="29"/>
        <v>#NAME?</v>
      </c>
      <c r="T109" s="230" t="s">
        <v>4784</v>
      </c>
      <c r="U109" s="233" t="e" cm="1">
        <f t="array" aca="1" ref="U109" ca="1">_xll.SNL.Clients.Office.Excel.Functions.SPG($T109, "SP_RATE_VALUE",U$77,"Options:NA=NA")</f>
        <v>#NAME?</v>
      </c>
      <c r="V109" s="233" t="e" cm="1">
        <f t="array" aca="1" ref="V109" ca="1">_xll.SNL.Clients.Office.Excel.Functions.SPG($T109, "SP_RATE_VALUE",V$77,"Options:NA=NA")</f>
        <v>#NAME?</v>
      </c>
      <c r="W109" s="228" t="e" cm="1">
        <f t="array" aca="1" ref="W109" ca="1">_xll.SNL.Clients.Office.Excel.Functions.SPG($T109, "SP_RATE_VALUE",W$77,"Options:NA=NA")</f>
        <v>#NAME?</v>
      </c>
      <c r="AD109" t="s">
        <v>5055</v>
      </c>
      <c r="AE109" s="201" t="e">
        <f t="shared" ca="1" si="19"/>
        <v>#NAME?</v>
      </c>
      <c r="AF109" s="201" t="e" cm="1">
        <f t="array" aca="1" ref="AF109" ca="1">IF(AD109="","",_xll.SNL.Clients.Office.Excel.Functions.SPG(AD109,"SPT_YTW",$E$15,"Options:NA=NA"))</f>
        <v>#NAME?</v>
      </c>
      <c r="AG109" s="201" t="e" cm="1">
        <f t="array" aca="1" ref="AG109" ca="1">IF(AD109="","",_xll.SNL.Clients.Office.Excel.Functions.SPG(AD109,"SPT_EOD_YTM_MID","EOD Close Price",$E$15,"Options:NA=NA"))</f>
        <v>#NAME?</v>
      </c>
      <c r="AH109" s="2" t="e" cm="1">
        <f t="array" aca="1" ref="AH109" ca="1">IF(OR(AD109="",AE109="NA"),"",_xll.SNL.Clients.Office.Excel.Functions.SPG(AD109,"SPT_ISSUE_DATE"))</f>
        <v>#NAME?</v>
      </c>
      <c r="AI109" s="1" t="e">
        <f ca="1">IF(OR($AD109="",$AE109="NA",$AH109=""),"",RANK(AH109,$AH$53:$AH$1052)+COUNTIF($AH$53:AH109,AH109)-1)</f>
        <v>#NAME?</v>
      </c>
      <c r="AJ109" s="2" t="e">
        <f t="shared" ca="1" si="20"/>
        <v>#NAME?</v>
      </c>
      <c r="AK109" s="1" t="e">
        <f ca="1">IF(OR($AD109="",$AE109="NA",$AJ109=""),"",RANK(AJ109,$AJ$53:$AJ$1052)+COUNTIF($AJ$53:AJ109,AJ109)-1)</f>
        <v>#NAME?</v>
      </c>
      <c r="AS109" s="201"/>
      <c r="AT109" s="2"/>
      <c r="AV109" s="2"/>
      <c r="BE109" s="140" t="str">
        <f t="shared" ca="1" si="30"/>
        <v>Qatari Rial</v>
      </c>
      <c r="BF109" s="144" t="s">
        <v>214</v>
      </c>
      <c r="BG109" s="144" t="s">
        <v>215</v>
      </c>
      <c r="BH109" s="142" t="s">
        <v>35</v>
      </c>
      <c r="BI109" s="145" t="s">
        <v>216</v>
      </c>
      <c r="BO109" s="46" t="s">
        <v>334</v>
      </c>
      <c r="BP109" s="46" t="s">
        <v>4708</v>
      </c>
    </row>
    <row r="110" spans="18:68" x14ac:dyDescent="0.2">
      <c r="R110" s="24" t="s">
        <v>4232</v>
      </c>
      <c r="S110" s="236" t="e">
        <f t="shared" ref="S110:S142" ca="1" si="31">IF(U110&lt;&gt;"NA",U110,IF(V110&lt;&gt;"NA",V110,W110))</f>
        <v>#NAME?</v>
      </c>
      <c r="T110" s="230" t="s">
        <v>4785</v>
      </c>
      <c r="U110" s="233" t="e" cm="1">
        <f t="array" aca="1" ref="U110" ca="1">_xll.SNL.Clients.Office.Excel.Functions.SPG($T110, "SP_RATE_VALUE",U$77,"Options:NA=NA")</f>
        <v>#NAME?</v>
      </c>
      <c r="V110" s="233" t="e" cm="1">
        <f t="array" aca="1" ref="V110" ca="1">_xll.SNL.Clients.Office.Excel.Functions.SPG($T110, "SP_RATE_VALUE",V$77,"Options:NA=NA")</f>
        <v>#NAME?</v>
      </c>
      <c r="W110" s="228" t="e" cm="1">
        <f t="array" aca="1" ref="W110" ca="1">_xll.SNL.Clients.Office.Excel.Functions.SPG($T110, "SP_RATE_VALUE",W$77,"Options:NA=NA")</f>
        <v>#NAME?</v>
      </c>
      <c r="AD110" t="s">
        <v>5056</v>
      </c>
      <c r="AE110" s="201" t="e">
        <f t="shared" ca="1" si="19"/>
        <v>#NAME?</v>
      </c>
      <c r="AF110" s="201" t="e" cm="1">
        <f t="array" aca="1" ref="AF110" ca="1">IF(AD110="","",_xll.SNL.Clients.Office.Excel.Functions.SPG(AD110,"SPT_YTW",$E$15,"Options:NA=NA"))</f>
        <v>#NAME?</v>
      </c>
      <c r="AG110" s="201" t="e" cm="1">
        <f t="array" aca="1" ref="AG110" ca="1">IF(AD110="","",_xll.SNL.Clients.Office.Excel.Functions.SPG(AD110,"SPT_EOD_YTM_MID","EOD Close Price",$E$15,"Options:NA=NA"))</f>
        <v>#NAME?</v>
      </c>
      <c r="AH110" s="2" t="e" cm="1">
        <f t="array" aca="1" ref="AH110" ca="1">IF(OR(AD110="",AE110="NA"),"",_xll.SNL.Clients.Office.Excel.Functions.SPG(AD110,"SPT_ISSUE_DATE"))</f>
        <v>#NAME?</v>
      </c>
      <c r="AI110" s="1" t="e">
        <f ca="1">IF(OR($AD110="",$AE110="NA",$AH110=""),"",RANK(AH110,$AH$53:$AH$1052)+COUNTIF($AH$53:AH110,AH110)-1)</f>
        <v>#NAME?</v>
      </c>
      <c r="AJ110" s="2" t="e">
        <f t="shared" ca="1" si="20"/>
        <v>#NAME?</v>
      </c>
      <c r="AK110" s="1" t="e">
        <f ca="1">IF(OR($AD110="",$AE110="NA",$AJ110=""),"",RANK(AJ110,$AJ$53:$AJ$1052)+COUNTIF($AJ$53:AJ110,AJ110)-1)</f>
        <v>#NAME?</v>
      </c>
      <c r="AS110" s="201"/>
      <c r="AT110" s="2"/>
      <c r="AV110" s="2"/>
      <c r="BE110" s="140" t="str">
        <f t="shared" ca="1" si="30"/>
        <v>Romanian Leu</v>
      </c>
      <c r="BF110" s="144" t="s">
        <v>217</v>
      </c>
      <c r="BG110" s="144" t="s">
        <v>218</v>
      </c>
      <c r="BH110" s="142" t="s">
        <v>35</v>
      </c>
      <c r="BI110" s="145" t="s">
        <v>219</v>
      </c>
      <c r="BO110" s="46" t="s">
        <v>335</v>
      </c>
      <c r="BP110" s="46" t="s">
        <v>4709</v>
      </c>
    </row>
    <row r="111" spans="18:68" x14ac:dyDescent="0.2">
      <c r="R111" s="24" t="s">
        <v>4233</v>
      </c>
      <c r="S111" s="236" t="e">
        <f t="shared" ca="1" si="31"/>
        <v>#NAME?</v>
      </c>
      <c r="T111" s="230" t="s">
        <v>4786</v>
      </c>
      <c r="U111" s="233" t="e" cm="1">
        <f t="array" aca="1" ref="U111" ca="1">_xll.SNL.Clients.Office.Excel.Functions.SPG($T111, "SP_RATE_VALUE",U$77,"Options:NA=NA")</f>
        <v>#NAME?</v>
      </c>
      <c r="V111" s="233" t="e" cm="1">
        <f t="array" aca="1" ref="V111" ca="1">_xll.SNL.Clients.Office.Excel.Functions.SPG($T111, "SP_RATE_VALUE",V$77,"Options:NA=NA")</f>
        <v>#NAME?</v>
      </c>
      <c r="W111" s="228" t="e" cm="1">
        <f t="array" aca="1" ref="W111" ca="1">_xll.SNL.Clients.Office.Excel.Functions.SPG($T111, "SP_RATE_VALUE",W$77,"Options:NA=NA")</f>
        <v>#NAME?</v>
      </c>
      <c r="AD111" t="s">
        <v>5057</v>
      </c>
      <c r="AE111" s="201" t="e">
        <f t="shared" ca="1" si="19"/>
        <v>#NAME?</v>
      </c>
      <c r="AF111" s="201" t="e" cm="1">
        <f t="array" aca="1" ref="AF111" ca="1">IF(AD111="","",_xll.SNL.Clients.Office.Excel.Functions.SPG(AD111,"SPT_YTW",$E$15,"Options:NA=NA"))</f>
        <v>#NAME?</v>
      </c>
      <c r="AG111" s="201" t="e" cm="1">
        <f t="array" aca="1" ref="AG111" ca="1">IF(AD111="","",_xll.SNL.Clients.Office.Excel.Functions.SPG(AD111,"SPT_EOD_YTM_MID","EOD Close Price",$E$15,"Options:NA=NA"))</f>
        <v>#NAME?</v>
      </c>
      <c r="AH111" s="2" t="e" cm="1">
        <f t="array" aca="1" ref="AH111" ca="1">IF(OR(AD111="",AE111="NA"),"",_xll.SNL.Clients.Office.Excel.Functions.SPG(AD111,"SPT_ISSUE_DATE"))</f>
        <v>#NAME?</v>
      </c>
      <c r="AI111" s="1" t="e">
        <f ca="1">IF(OR($AD111="",$AE111="NA",$AH111=""),"",RANK(AH111,$AH$53:$AH$1052)+COUNTIF($AH$53:AH111,AH111)-1)</f>
        <v>#NAME?</v>
      </c>
      <c r="AJ111" s="2" t="e">
        <f t="shared" ca="1" si="20"/>
        <v>#NAME?</v>
      </c>
      <c r="AK111" s="1" t="e">
        <f ca="1">IF(OR($AD111="",$AE111="NA",$AJ111=""),"",RANK(AJ111,$AJ$53:$AJ$1052)+COUNTIF($AJ$53:AJ111,AJ111)-1)</f>
        <v>#NAME?</v>
      </c>
      <c r="AS111" s="201"/>
      <c r="AT111" s="2"/>
      <c r="AV111" s="2"/>
      <c r="BE111" s="140" t="str">
        <f t="shared" ca="1" si="30"/>
        <v>Russian Ruble</v>
      </c>
      <c r="BF111" s="144" t="s">
        <v>220</v>
      </c>
      <c r="BG111" s="144" t="s">
        <v>220</v>
      </c>
      <c r="BH111" s="142" t="s">
        <v>35</v>
      </c>
      <c r="BI111" s="145" t="s">
        <v>221</v>
      </c>
      <c r="BO111" s="46" t="s">
        <v>336</v>
      </c>
      <c r="BP111" s="46" t="s">
        <v>4710</v>
      </c>
    </row>
    <row r="112" spans="18:68" x14ac:dyDescent="0.2">
      <c r="R112" s="24" t="s">
        <v>4234</v>
      </c>
      <c r="S112" s="236" t="e">
        <f t="shared" ca="1" si="31"/>
        <v>#NAME?</v>
      </c>
      <c r="T112" s="230" t="s">
        <v>4787</v>
      </c>
      <c r="U112" s="233" t="e" cm="1">
        <f t="array" aca="1" ref="U112" ca="1">_xll.SNL.Clients.Office.Excel.Functions.SPG($T112, "SP_RATE_VALUE",U$77,"Options:NA=NA")</f>
        <v>#NAME?</v>
      </c>
      <c r="V112" s="233" t="e" cm="1">
        <f t="array" aca="1" ref="V112" ca="1">_xll.SNL.Clients.Office.Excel.Functions.SPG($T112, "SP_RATE_VALUE",V$77,"Options:NA=NA")</f>
        <v>#NAME?</v>
      </c>
      <c r="W112" s="228" t="e" cm="1">
        <f t="array" aca="1" ref="W112" ca="1">_xll.SNL.Clients.Office.Excel.Functions.SPG($T112, "SP_RATE_VALUE",W$77,"Options:NA=NA")</f>
        <v>#NAME?</v>
      </c>
      <c r="AD112" t="s">
        <v>5058</v>
      </c>
      <c r="AE112" s="201" t="e">
        <f t="shared" ca="1" si="19"/>
        <v>#NAME?</v>
      </c>
      <c r="AF112" s="201" t="e" cm="1">
        <f t="array" aca="1" ref="AF112" ca="1">IF(AD112="","",_xll.SNL.Clients.Office.Excel.Functions.SPG(AD112,"SPT_YTW",$E$15,"Options:NA=NA"))</f>
        <v>#NAME?</v>
      </c>
      <c r="AG112" s="201" t="e" cm="1">
        <f t="array" aca="1" ref="AG112" ca="1">IF(AD112="","",_xll.SNL.Clients.Office.Excel.Functions.SPG(AD112,"SPT_EOD_YTM_MID","EOD Close Price",$E$15,"Options:NA=NA"))</f>
        <v>#NAME?</v>
      </c>
      <c r="AH112" s="2" t="e" cm="1">
        <f t="array" aca="1" ref="AH112" ca="1">IF(OR(AD112="",AE112="NA"),"",_xll.SNL.Clients.Office.Excel.Functions.SPG(AD112,"SPT_ISSUE_DATE"))</f>
        <v>#NAME?</v>
      </c>
      <c r="AI112" s="1" t="e">
        <f ca="1">IF(OR($AD112="",$AE112="NA",$AH112=""),"",RANK(AH112,$AH$53:$AH$1052)+COUNTIF($AH$53:AH112,AH112)-1)</f>
        <v>#NAME?</v>
      </c>
      <c r="AJ112" s="2" t="e">
        <f t="shared" ca="1" si="20"/>
        <v>#NAME?</v>
      </c>
      <c r="AK112" s="1" t="e">
        <f ca="1">IF(OR($AD112="",$AE112="NA",$AJ112=""),"",RANK(AJ112,$AJ$53:$AJ$1052)+COUNTIF($AJ$53:AJ112,AJ112)-1)</f>
        <v>#NAME?</v>
      </c>
      <c r="AS112" s="201"/>
      <c r="AT112" s="2"/>
      <c r="AV112" s="2"/>
      <c r="BE112" s="140" t="str">
        <f t="shared" ca="1" si="30"/>
        <v>Samoan Tala</v>
      </c>
      <c r="BF112" s="144" t="s">
        <v>222</v>
      </c>
      <c r="BG112" s="144" t="s">
        <v>223</v>
      </c>
      <c r="BH112" s="142" t="s">
        <v>35</v>
      </c>
      <c r="BI112" s="145" t="s">
        <v>224</v>
      </c>
      <c r="BO112" s="46" t="s">
        <v>337</v>
      </c>
      <c r="BP112" s="46" t="s">
        <v>4711</v>
      </c>
    </row>
    <row r="113" spans="18:68" x14ac:dyDescent="0.2">
      <c r="R113" s="24" t="s">
        <v>4235</v>
      </c>
      <c r="S113" s="236" t="e">
        <f t="shared" ca="1" si="31"/>
        <v>#NAME?</v>
      </c>
      <c r="T113" s="230" t="s">
        <v>4788</v>
      </c>
      <c r="U113" s="233" t="e" cm="1">
        <f t="array" aca="1" ref="U113" ca="1">_xll.SNL.Clients.Office.Excel.Functions.SPG($T113, "SP_RATE_VALUE",U$77,"Options:NA=NA")</f>
        <v>#NAME?</v>
      </c>
      <c r="V113" s="233" t="e" cm="1">
        <f t="array" aca="1" ref="V113" ca="1">_xll.SNL.Clients.Office.Excel.Functions.SPG($T113, "SP_RATE_VALUE",V$77,"Options:NA=NA")</f>
        <v>#NAME?</v>
      </c>
      <c r="W113" s="228" t="e" cm="1">
        <f t="array" aca="1" ref="W113" ca="1">_xll.SNL.Clients.Office.Excel.Functions.SPG($T113, "SP_RATE_VALUE",W$77,"Options:NA=NA")</f>
        <v>#NAME?</v>
      </c>
      <c r="AD113" t="s">
        <v>5059</v>
      </c>
      <c r="AE113" s="201" t="e">
        <f t="shared" ca="1" si="19"/>
        <v>#NAME?</v>
      </c>
      <c r="AF113" s="201" t="e" cm="1">
        <f t="array" aca="1" ref="AF113" ca="1">IF(AD113="","",_xll.SNL.Clients.Office.Excel.Functions.SPG(AD113,"SPT_YTW",$E$15,"Options:NA=NA"))</f>
        <v>#NAME?</v>
      </c>
      <c r="AG113" s="201" t="e" cm="1">
        <f t="array" aca="1" ref="AG113" ca="1">IF(AD113="","",_xll.SNL.Clients.Office.Excel.Functions.SPG(AD113,"SPT_EOD_YTM_MID","EOD Close Price",$E$15,"Options:NA=NA"))</f>
        <v>#NAME?</v>
      </c>
      <c r="AH113" s="2" t="e" cm="1">
        <f t="array" aca="1" ref="AH113" ca="1">IF(OR(AD113="",AE113="NA"),"",_xll.SNL.Clients.Office.Excel.Functions.SPG(AD113,"SPT_ISSUE_DATE"))</f>
        <v>#NAME?</v>
      </c>
      <c r="AI113" s="1" t="e">
        <f ca="1">IF(OR($AD113="",$AE113="NA",$AH113=""),"",RANK(AH113,$AH$53:$AH$1052)+COUNTIF($AH$53:AH113,AH113)-1)</f>
        <v>#NAME?</v>
      </c>
      <c r="AJ113" s="2" t="e">
        <f t="shared" ca="1" si="20"/>
        <v>#NAME?</v>
      </c>
      <c r="AK113" s="1" t="e">
        <f ca="1">IF(OR($AD113="",$AE113="NA",$AJ113=""),"",RANK(AJ113,$AJ$53:$AJ$1052)+COUNTIF($AJ$53:AJ113,AJ113)-1)</f>
        <v>#NAME?</v>
      </c>
      <c r="AS113" s="201"/>
      <c r="AT113" s="2"/>
      <c r="AV113" s="2"/>
      <c r="BE113" s="140" t="str">
        <f t="shared" ca="1" si="30"/>
        <v>Saudi Riyal</v>
      </c>
      <c r="BF113" s="144" t="s">
        <v>225</v>
      </c>
      <c r="BG113" s="141" t="s">
        <v>226</v>
      </c>
      <c r="BH113" s="142" t="s">
        <v>35</v>
      </c>
      <c r="BI113" s="145" t="s">
        <v>227</v>
      </c>
      <c r="BO113" s="46" t="s">
        <v>338</v>
      </c>
      <c r="BP113" s="46" t="s">
        <v>4712</v>
      </c>
    </row>
    <row r="114" spans="18:68" x14ac:dyDescent="0.2">
      <c r="R114" s="24" t="s">
        <v>4236</v>
      </c>
      <c r="S114" s="236" t="e">
        <f t="shared" ca="1" si="31"/>
        <v>#NAME?</v>
      </c>
      <c r="T114" s="230" t="s">
        <v>4789</v>
      </c>
      <c r="U114" s="233" t="e" cm="1">
        <f t="array" aca="1" ref="U114" ca="1">_xll.SNL.Clients.Office.Excel.Functions.SPG($T114, "SP_RATE_VALUE",U$77,"Options:NA=NA")</f>
        <v>#NAME?</v>
      </c>
      <c r="V114" s="233" t="e" cm="1">
        <f t="array" aca="1" ref="V114" ca="1">_xll.SNL.Clients.Office.Excel.Functions.SPG($T114, "SP_RATE_VALUE",V$77,"Options:NA=NA")</f>
        <v>#NAME?</v>
      </c>
      <c r="W114" s="228" t="e" cm="1">
        <f t="array" aca="1" ref="W114" ca="1">_xll.SNL.Clients.Office.Excel.Functions.SPG($T114, "SP_RATE_VALUE",W$77,"Options:NA=NA")</f>
        <v>#NAME?</v>
      </c>
      <c r="AE114" s="201"/>
      <c r="AF114" s="201"/>
      <c r="AG114" s="201"/>
      <c r="AH114" s="2"/>
      <c r="AJ114" s="2"/>
      <c r="AS114" s="201"/>
      <c r="AT114" s="2"/>
      <c r="AV114" s="2"/>
      <c r="BE114" s="140" t="str">
        <f t="shared" ca="1" si="30"/>
        <v>Serbian Dinar</v>
      </c>
      <c r="BF114" s="144" t="s">
        <v>228</v>
      </c>
      <c r="BG114" s="144" t="s">
        <v>228</v>
      </c>
      <c r="BH114" s="142" t="s">
        <v>35</v>
      </c>
      <c r="BI114" s="145" t="s">
        <v>229</v>
      </c>
      <c r="BO114" s="46" t="s">
        <v>339</v>
      </c>
      <c r="BP114" s="46" t="s">
        <v>4713</v>
      </c>
    </row>
    <row r="115" spans="18:68" x14ac:dyDescent="0.2">
      <c r="R115" s="24" t="s">
        <v>4237</v>
      </c>
      <c r="S115" s="236" t="e">
        <f t="shared" ca="1" si="31"/>
        <v>#NAME?</v>
      </c>
      <c r="T115" s="230" t="s">
        <v>4790</v>
      </c>
      <c r="U115" s="233" t="e" cm="1">
        <f t="array" aca="1" ref="U115" ca="1">_xll.SNL.Clients.Office.Excel.Functions.SPG($T115, "SP_RATE_VALUE",U$77,"Options:NA=NA")</f>
        <v>#NAME?</v>
      </c>
      <c r="V115" s="233" t="e" cm="1">
        <f t="array" aca="1" ref="V115" ca="1">_xll.SNL.Clients.Office.Excel.Functions.SPG($T115, "SP_RATE_VALUE",V$77,"Options:NA=NA")</f>
        <v>#NAME?</v>
      </c>
      <c r="W115" s="228" t="e" cm="1">
        <f t="array" aca="1" ref="W115" ca="1">_xll.SNL.Clients.Office.Excel.Functions.SPG($T115, "SP_RATE_VALUE",W$77,"Options:NA=NA")</f>
        <v>#NAME?</v>
      </c>
      <c r="AE115" s="201"/>
      <c r="AF115" s="201"/>
      <c r="AG115" s="201"/>
      <c r="AH115" s="2"/>
      <c r="AJ115" s="2"/>
      <c r="AS115" s="201"/>
      <c r="AT115" s="2"/>
      <c r="AV115" s="2"/>
      <c r="BE115" s="140" t="str">
        <f t="shared" ca="1" si="30"/>
        <v>Singapore Dollar</v>
      </c>
      <c r="BF115" s="144" t="s">
        <v>230</v>
      </c>
      <c r="BG115" s="144" t="s">
        <v>231</v>
      </c>
      <c r="BH115" s="142" t="s">
        <v>35</v>
      </c>
      <c r="BI115" s="145" t="s">
        <v>232</v>
      </c>
      <c r="BO115" s="46" t="s">
        <v>340</v>
      </c>
      <c r="BP115" s="46" t="s">
        <v>4714</v>
      </c>
    </row>
    <row r="116" spans="18:68" x14ac:dyDescent="0.2">
      <c r="R116" s="24" t="s">
        <v>4238</v>
      </c>
      <c r="S116" s="236" t="e">
        <f t="shared" ca="1" si="31"/>
        <v>#NAME?</v>
      </c>
      <c r="T116" s="230" t="s">
        <v>4791</v>
      </c>
      <c r="U116" s="233" t="e" cm="1">
        <f t="array" aca="1" ref="U116" ca="1">_xll.SNL.Clients.Office.Excel.Functions.SPG($T116, "SP_RATE_VALUE",U$77,"Options:NA=NA")</f>
        <v>#NAME?</v>
      </c>
      <c r="V116" s="233" t="e" cm="1">
        <f t="array" aca="1" ref="V116" ca="1">_xll.SNL.Clients.Office.Excel.Functions.SPG($T116, "SP_RATE_VALUE",V$77,"Options:NA=NA")</f>
        <v>#NAME?</v>
      </c>
      <c r="W116" s="228" t="e" cm="1">
        <f t="array" aca="1" ref="W116" ca="1">_xll.SNL.Clients.Office.Excel.Functions.SPG($T116, "SP_RATE_VALUE",W$77,"Options:NA=NA")</f>
        <v>#NAME?</v>
      </c>
      <c r="AE116" s="201"/>
      <c r="AF116" s="201"/>
      <c r="AG116" s="201"/>
      <c r="AH116" s="2"/>
      <c r="AJ116" s="2"/>
      <c r="AS116" s="201"/>
      <c r="AT116" s="2"/>
      <c r="AV116" s="2"/>
      <c r="BE116" s="140" t="str">
        <f t="shared" ref="BE116:BE130" ca="1" si="32">VLOOKUP(BI116,Language_Data,Lookup_Column,FALSE)</f>
        <v>South African Rand</v>
      </c>
      <c r="BF116" s="144" t="s">
        <v>233</v>
      </c>
      <c r="BG116" s="144" t="s">
        <v>234</v>
      </c>
      <c r="BH116" s="142" t="s">
        <v>35</v>
      </c>
      <c r="BI116" s="145" t="s">
        <v>235</v>
      </c>
      <c r="BO116" s="46" t="s">
        <v>341</v>
      </c>
      <c r="BP116" s="46" t="s">
        <v>4715</v>
      </c>
    </row>
    <row r="117" spans="18:68" x14ac:dyDescent="0.2">
      <c r="R117" s="24" t="s">
        <v>4239</v>
      </c>
      <c r="S117" s="236" t="e">
        <f t="shared" ca="1" si="31"/>
        <v>#NAME?</v>
      </c>
      <c r="T117" s="230" t="s">
        <v>4792</v>
      </c>
      <c r="U117" s="233" t="e" cm="1">
        <f t="array" aca="1" ref="U117" ca="1">_xll.SNL.Clients.Office.Excel.Functions.SPG($T117, "SP_RATE_VALUE",U$77,"Options:NA=NA")</f>
        <v>#NAME?</v>
      </c>
      <c r="V117" s="233" t="e" cm="1">
        <f t="array" aca="1" ref="V117" ca="1">_xll.SNL.Clients.Office.Excel.Functions.SPG($T117, "SP_RATE_VALUE",V$77,"Options:NA=NA")</f>
        <v>#NAME?</v>
      </c>
      <c r="W117" s="228" t="e" cm="1">
        <f t="array" aca="1" ref="W117" ca="1">_xll.SNL.Clients.Office.Excel.Functions.SPG($T117, "SP_RATE_VALUE",W$77,"Options:NA=NA")</f>
        <v>#NAME?</v>
      </c>
      <c r="AE117" s="201"/>
      <c r="AF117" s="201"/>
      <c r="AG117" s="201"/>
      <c r="AH117" s="2"/>
      <c r="AJ117" s="2"/>
      <c r="AS117" s="201"/>
      <c r="AT117" s="2"/>
      <c r="AV117" s="2"/>
      <c r="BE117" s="140" t="str">
        <f t="shared" ca="1" si="32"/>
        <v>South Korean Won</v>
      </c>
      <c r="BF117" s="144" t="s">
        <v>236</v>
      </c>
      <c r="BG117" s="144" t="s">
        <v>237</v>
      </c>
      <c r="BH117" s="142" t="s">
        <v>42</v>
      </c>
      <c r="BI117" s="145" t="s">
        <v>238</v>
      </c>
      <c r="BO117" s="46" t="s">
        <v>342</v>
      </c>
      <c r="BP117" s="46" t="s">
        <v>4716</v>
      </c>
    </row>
    <row r="118" spans="18:68" x14ac:dyDescent="0.2">
      <c r="R118" s="24" t="s">
        <v>4240</v>
      </c>
      <c r="S118" s="236" t="e">
        <f t="shared" ca="1" si="31"/>
        <v>#NAME?</v>
      </c>
      <c r="T118" s="230" t="s">
        <v>4793</v>
      </c>
      <c r="U118" s="233" t="e" cm="1">
        <f t="array" aca="1" ref="U118" ca="1">_xll.SNL.Clients.Office.Excel.Functions.SPG($T118, "SP_RATE_VALUE",U$77,"Options:NA=NA")</f>
        <v>#NAME?</v>
      </c>
      <c r="V118" s="233" t="e" cm="1">
        <f t="array" aca="1" ref="V118" ca="1">_xll.SNL.Clients.Office.Excel.Functions.SPG($T118, "SP_RATE_VALUE",V$77,"Options:NA=NA")</f>
        <v>#NAME?</v>
      </c>
      <c r="W118" s="228" t="e" cm="1">
        <f t="array" aca="1" ref="W118" ca="1">_xll.SNL.Clients.Office.Excel.Functions.SPG($T118, "SP_RATE_VALUE",W$77,"Options:NA=NA")</f>
        <v>#NAME?</v>
      </c>
      <c r="AE118" s="201"/>
      <c r="AF118" s="201"/>
      <c r="AG118" s="201"/>
      <c r="AH118" s="2"/>
      <c r="AJ118" s="2"/>
      <c r="AS118" s="201"/>
      <c r="AT118" s="2"/>
      <c r="AV118" s="2"/>
      <c r="BE118" s="140" t="str">
        <f t="shared" ca="1" si="32"/>
        <v>Sri Lanka Rupee</v>
      </c>
      <c r="BF118" s="144" t="s">
        <v>239</v>
      </c>
      <c r="BG118" s="144" t="s">
        <v>240</v>
      </c>
      <c r="BH118" s="142" t="s">
        <v>35</v>
      </c>
      <c r="BI118" s="145" t="s">
        <v>241</v>
      </c>
      <c r="BO118" s="46" t="s">
        <v>343</v>
      </c>
      <c r="BP118" s="46" t="s">
        <v>4717</v>
      </c>
    </row>
    <row r="119" spans="18:68" x14ac:dyDescent="0.2">
      <c r="R119" s="24" t="s">
        <v>4164</v>
      </c>
      <c r="S119" s="236" t="e">
        <f t="shared" ca="1" si="31"/>
        <v>#NAME?</v>
      </c>
      <c r="T119" s="230" t="s">
        <v>4794</v>
      </c>
      <c r="U119" s="233" t="e" cm="1">
        <f t="array" aca="1" ref="U119" ca="1">_xll.SNL.Clients.Office.Excel.Functions.SPG($T119, "SP_RATE_VALUE",U$77,"Options:NA=NA")</f>
        <v>#NAME?</v>
      </c>
      <c r="V119" s="233" t="e" cm="1">
        <f t="array" aca="1" ref="V119" ca="1">_xll.SNL.Clients.Office.Excel.Functions.SPG($T119, "SP_RATE_VALUE",V$77,"Options:NA=NA")</f>
        <v>#NAME?</v>
      </c>
      <c r="W119" s="228" t="e" cm="1">
        <f t="array" aca="1" ref="W119" ca="1">_xll.SNL.Clients.Office.Excel.Functions.SPG($T119, "SP_RATE_VALUE",W$77,"Options:NA=NA")</f>
        <v>#NAME?</v>
      </c>
      <c r="AE119" s="201"/>
      <c r="AF119" s="201"/>
      <c r="AG119" s="201"/>
      <c r="AH119" s="2"/>
      <c r="AJ119" s="2"/>
      <c r="AS119" s="201"/>
      <c r="AT119" s="2"/>
      <c r="AV119" s="2"/>
      <c r="BE119" s="140" t="str">
        <f t="shared" ca="1" si="32"/>
        <v>Swedish Krona</v>
      </c>
      <c r="BF119" s="144" t="s">
        <v>242</v>
      </c>
      <c r="BG119" s="144" t="s">
        <v>147</v>
      </c>
      <c r="BH119" s="142" t="s">
        <v>35</v>
      </c>
      <c r="BI119" s="145" t="s">
        <v>243</v>
      </c>
      <c r="BO119" s="46" t="s">
        <v>344</v>
      </c>
      <c r="BP119" s="46" t="s">
        <v>4718</v>
      </c>
    </row>
    <row r="120" spans="18:68" x14ac:dyDescent="0.2">
      <c r="R120" s="24" t="s">
        <v>4165</v>
      </c>
      <c r="S120" s="236" t="e">
        <f t="shared" ca="1" si="31"/>
        <v>#NAME?</v>
      </c>
      <c r="T120" s="230" t="s">
        <v>4795</v>
      </c>
      <c r="U120" s="233" t="e" cm="1">
        <f t="array" aca="1" ref="U120" ca="1">_xll.SNL.Clients.Office.Excel.Functions.SPG($T120, "SP_RATE_VALUE",U$77,"Options:NA=NA")</f>
        <v>#NAME?</v>
      </c>
      <c r="V120" s="233" t="e" cm="1">
        <f t="array" aca="1" ref="V120" ca="1">_xll.SNL.Clients.Office.Excel.Functions.SPG($T120, "SP_RATE_VALUE",V$77,"Options:NA=NA")</f>
        <v>#NAME?</v>
      </c>
      <c r="W120" s="228" t="e" cm="1">
        <f t="array" aca="1" ref="W120" ca="1">_xll.SNL.Clients.Office.Excel.Functions.SPG($T120, "SP_RATE_VALUE",W$77,"Options:NA=NA")</f>
        <v>#NAME?</v>
      </c>
      <c r="AE120" s="201"/>
      <c r="AF120" s="201"/>
      <c r="AG120" s="201"/>
      <c r="AH120" s="2"/>
      <c r="AJ120" s="2"/>
      <c r="AS120" s="201"/>
      <c r="AT120" s="2"/>
      <c r="AV120" s="2"/>
      <c r="BE120" s="140" t="str">
        <f t="shared" ca="1" si="32"/>
        <v>Swiss Franc</v>
      </c>
      <c r="BF120" s="144" t="s">
        <v>244</v>
      </c>
      <c r="BG120" s="144" t="s">
        <v>245</v>
      </c>
      <c r="BH120" s="142" t="s">
        <v>35</v>
      </c>
      <c r="BI120" s="145" t="s">
        <v>246</v>
      </c>
      <c r="BO120" s="46" t="s">
        <v>345</v>
      </c>
      <c r="BP120" s="46" t="s">
        <v>4719</v>
      </c>
    </row>
    <row r="121" spans="18:68" x14ac:dyDescent="0.2">
      <c r="R121" s="24" t="s">
        <v>4166</v>
      </c>
      <c r="S121" s="236" t="e">
        <f t="shared" ca="1" si="31"/>
        <v>#NAME?</v>
      </c>
      <c r="T121" s="230" t="s">
        <v>4796</v>
      </c>
      <c r="U121" s="233" t="e" cm="1">
        <f t="array" aca="1" ref="U121" ca="1">_xll.SNL.Clients.Office.Excel.Functions.SPG($T121, "SP_RATE_VALUE",U$77,"Options:NA=NA")</f>
        <v>#NAME?</v>
      </c>
      <c r="V121" s="233" t="e" cm="1">
        <f t="array" aca="1" ref="V121" ca="1">_xll.SNL.Clients.Office.Excel.Functions.SPG($T121, "SP_RATE_VALUE",V$77,"Options:NA=NA")</f>
        <v>#NAME?</v>
      </c>
      <c r="W121" s="228" t="e" cm="1">
        <f t="array" aca="1" ref="W121" ca="1">_xll.SNL.Clients.Office.Excel.Functions.SPG($T121, "SP_RATE_VALUE",W$77,"Options:NA=NA")</f>
        <v>#NAME?</v>
      </c>
      <c r="AE121" s="201"/>
      <c r="AF121" s="201"/>
      <c r="AG121" s="201"/>
      <c r="AH121" s="2"/>
      <c r="AJ121" s="2"/>
      <c r="AS121" s="201"/>
      <c r="AT121" s="2"/>
      <c r="AV121" s="2"/>
      <c r="BE121" s="140" t="str">
        <f t="shared" ca="1" si="32"/>
        <v>Tajik Somoni</v>
      </c>
      <c r="BF121" s="144" t="s">
        <v>247</v>
      </c>
      <c r="BG121" s="144" t="s">
        <v>248</v>
      </c>
      <c r="BH121" s="142" t="s">
        <v>35</v>
      </c>
      <c r="BI121" s="145" t="s">
        <v>249</v>
      </c>
      <c r="BO121" s="46" t="s">
        <v>4</v>
      </c>
      <c r="BP121" s="46" t="s">
        <v>4720</v>
      </c>
    </row>
    <row r="122" spans="18:68" x14ac:dyDescent="0.2">
      <c r="R122" s="24" t="s">
        <v>4167</v>
      </c>
      <c r="S122" s="236" t="e">
        <f t="shared" ca="1" si="31"/>
        <v>#NAME?</v>
      </c>
      <c r="T122" s="230" t="s">
        <v>4797</v>
      </c>
      <c r="U122" s="233" t="e" cm="1">
        <f t="array" aca="1" ref="U122" ca="1">_xll.SNL.Clients.Office.Excel.Functions.SPG($T122, "SP_RATE_VALUE",U$77,"Options:NA=NA")</f>
        <v>#NAME?</v>
      </c>
      <c r="V122" s="233" t="e" cm="1">
        <f t="array" aca="1" ref="V122" ca="1">_xll.SNL.Clients.Office.Excel.Functions.SPG($T122, "SP_RATE_VALUE",V$77,"Options:NA=NA")</f>
        <v>#NAME?</v>
      </c>
      <c r="W122" s="228" t="e" cm="1">
        <f t="array" aca="1" ref="W122" ca="1">_xll.SNL.Clients.Office.Excel.Functions.SPG($T122, "SP_RATE_VALUE",W$77,"Options:NA=NA")</f>
        <v>#NAME?</v>
      </c>
      <c r="AE122" s="201"/>
      <c r="AF122" s="201"/>
      <c r="AG122" s="201"/>
      <c r="AH122" s="2"/>
      <c r="AJ122" s="2"/>
      <c r="AS122" s="201"/>
      <c r="AT122" s="2"/>
      <c r="AV122" s="2"/>
      <c r="BE122" s="140" t="str">
        <f t="shared" ca="1" si="32"/>
        <v>Thai Baht</v>
      </c>
      <c r="BF122" s="144" t="s">
        <v>250</v>
      </c>
      <c r="BG122" s="144" t="s">
        <v>251</v>
      </c>
      <c r="BH122" s="142" t="s">
        <v>35</v>
      </c>
      <c r="BI122" s="145" t="s">
        <v>252</v>
      </c>
      <c r="BO122" s="46" t="s">
        <v>346</v>
      </c>
      <c r="BP122" s="46" t="s">
        <v>4721</v>
      </c>
    </row>
    <row r="123" spans="18:68" x14ac:dyDescent="0.2">
      <c r="R123" s="24" t="s">
        <v>4168</v>
      </c>
      <c r="S123" s="236" t="e">
        <f t="shared" ca="1" si="31"/>
        <v>#NAME?</v>
      </c>
      <c r="T123" s="230" t="s">
        <v>4798</v>
      </c>
      <c r="U123" s="233" t="e" cm="1">
        <f t="array" aca="1" ref="U123" ca="1">_xll.SNL.Clients.Office.Excel.Functions.SPG($T123, "SP_RATE_VALUE",U$77,"Options:NA=NA")</f>
        <v>#NAME?</v>
      </c>
      <c r="V123" s="233" t="e" cm="1">
        <f t="array" aca="1" ref="V123" ca="1">_xll.SNL.Clients.Office.Excel.Functions.SPG($T123, "SP_RATE_VALUE",V$77,"Options:NA=NA")</f>
        <v>#NAME?</v>
      </c>
      <c r="W123" s="228" t="e" cm="1">
        <f t="array" aca="1" ref="W123" ca="1">_xll.SNL.Clients.Office.Excel.Functions.SPG($T123, "SP_RATE_VALUE",W$77,"Options:NA=NA")</f>
        <v>#NAME?</v>
      </c>
      <c r="AE123" s="201"/>
      <c r="AF123" s="201"/>
      <c r="AG123" s="201"/>
      <c r="AH123" s="2"/>
      <c r="AJ123" s="2"/>
      <c r="AS123" s="201"/>
      <c r="AT123" s="2"/>
      <c r="AV123" s="2"/>
      <c r="BE123" s="140" t="str">
        <f t="shared" ca="1" si="32"/>
        <v>Tunisian Dinar</v>
      </c>
      <c r="BF123" s="144" t="s">
        <v>253</v>
      </c>
      <c r="BG123" s="144" t="s">
        <v>254</v>
      </c>
      <c r="BH123" s="142" t="s">
        <v>35</v>
      </c>
      <c r="BI123" s="145" t="s">
        <v>255</v>
      </c>
      <c r="BO123" s="46" t="s">
        <v>347</v>
      </c>
      <c r="BP123" s="46" t="s">
        <v>4722</v>
      </c>
    </row>
    <row r="124" spans="18:68" x14ac:dyDescent="0.2">
      <c r="R124" s="24" t="s">
        <v>4836</v>
      </c>
      <c r="S124" s="236" t="e">
        <f ca="1">IF(U124&lt;&gt;"NA",U124,IF(V124&lt;&gt;"NA",V124,W124))</f>
        <v>#NAME?</v>
      </c>
      <c r="T124" s="230" t="s">
        <v>4822</v>
      </c>
      <c r="U124" s="233" t="e" cm="1">
        <f t="array" aca="1" ref="U124" ca="1">_xll.SNL.Clients.Office.Excel.Functions.SPG($T124, "SP_RATE_VALUE",U$77,"Options:NA=NA")</f>
        <v>#NAME?</v>
      </c>
      <c r="V124" s="233" t="e" cm="1">
        <f t="array" aca="1" ref="V124" ca="1">_xll.SNL.Clients.Office.Excel.Functions.SPG($T124, "SP_RATE_VALUE",V$77,"Options:NA=NA")</f>
        <v>#NAME?</v>
      </c>
      <c r="W124" s="228" t="e" cm="1">
        <f t="array" aca="1" ref="W124" ca="1">_xll.SNL.Clients.Office.Excel.Functions.SPG($T124, "SP_RATE_VALUE",W$77,"Options:NA=NA")</f>
        <v>#NAME?</v>
      </c>
      <c r="AE124" s="201"/>
      <c r="AF124" s="201"/>
      <c r="AG124" s="201"/>
      <c r="AH124" s="2"/>
      <c r="AJ124" s="2"/>
      <c r="AS124" s="201"/>
      <c r="AT124" s="2"/>
      <c r="AV124" s="2"/>
      <c r="BE124" s="140" t="str">
        <f t="shared" ca="1" si="32"/>
        <v>Turkish Lira</v>
      </c>
      <c r="BF124" s="144" t="s">
        <v>256</v>
      </c>
      <c r="BG124" s="144" t="s">
        <v>257</v>
      </c>
      <c r="BH124" s="142" t="s">
        <v>35</v>
      </c>
      <c r="BI124" s="145" t="s">
        <v>258</v>
      </c>
      <c r="BO124" s="46" t="s">
        <v>348</v>
      </c>
      <c r="BP124" s="46" t="s">
        <v>4723</v>
      </c>
    </row>
    <row r="125" spans="18:68" x14ac:dyDescent="0.2">
      <c r="R125" s="24" t="s">
        <v>4169</v>
      </c>
      <c r="S125" s="236" t="e">
        <f t="shared" ca="1" si="31"/>
        <v>#NAME?</v>
      </c>
      <c r="T125" s="230" t="s">
        <v>4799</v>
      </c>
      <c r="U125" s="233" t="e" cm="1">
        <f t="array" aca="1" ref="U125" ca="1">_xll.SNL.Clients.Office.Excel.Functions.SPG($T125, "SP_RATE_VALUE",U$77,"Options:NA=NA")</f>
        <v>#NAME?</v>
      </c>
      <c r="V125" s="233" t="e" cm="1">
        <f t="array" aca="1" ref="V125" ca="1">_xll.SNL.Clients.Office.Excel.Functions.SPG($T125, "SP_RATE_VALUE",V$77,"Options:NA=NA")</f>
        <v>#NAME?</v>
      </c>
      <c r="W125" s="228" t="e" cm="1">
        <f t="array" aca="1" ref="W125" ca="1">_xll.SNL.Clients.Office.Excel.Functions.SPG($T125, "SP_RATE_VALUE",W$77,"Options:NA=NA")</f>
        <v>#NAME?</v>
      </c>
      <c r="AE125" s="201"/>
      <c r="AF125" s="201"/>
      <c r="AG125" s="201"/>
      <c r="AH125" s="2"/>
      <c r="AJ125" s="2"/>
      <c r="AS125" s="201"/>
      <c r="AT125" s="2"/>
      <c r="AV125" s="2"/>
      <c r="BE125" s="140" t="str">
        <f t="shared" ca="1" si="32"/>
        <v>Turkmenistan Manat</v>
      </c>
      <c r="BF125" s="144" t="s">
        <v>259</v>
      </c>
      <c r="BG125" s="144" t="s">
        <v>65</v>
      </c>
      <c r="BH125" s="142" t="s">
        <v>35</v>
      </c>
      <c r="BI125" s="145" t="s">
        <v>260</v>
      </c>
      <c r="BO125" s="46" t="s">
        <v>349</v>
      </c>
      <c r="BP125" s="46" t="s">
        <v>4724</v>
      </c>
    </row>
    <row r="126" spans="18:68" x14ac:dyDescent="0.2">
      <c r="R126" s="24" t="s">
        <v>4170</v>
      </c>
      <c r="S126" s="236" t="e">
        <f t="shared" ca="1" si="31"/>
        <v>#NAME?</v>
      </c>
      <c r="T126" s="230" t="s">
        <v>4800</v>
      </c>
      <c r="U126" s="233" t="e" cm="1">
        <f t="array" aca="1" ref="U126" ca="1">_xll.SNL.Clients.Office.Excel.Functions.SPG($T126, "SP_RATE_VALUE",U$77,"Options:NA=NA")</f>
        <v>#NAME?</v>
      </c>
      <c r="V126" s="233" t="e" cm="1">
        <f t="array" aca="1" ref="V126" ca="1">_xll.SNL.Clients.Office.Excel.Functions.SPG($T126, "SP_RATE_VALUE",V$77,"Options:NA=NA")</f>
        <v>#NAME?</v>
      </c>
      <c r="W126" s="228" t="e" cm="1">
        <f t="array" aca="1" ref="W126" ca="1">_xll.SNL.Clients.Office.Excel.Functions.SPG($T126, "SP_RATE_VALUE",W$77,"Options:NA=NA")</f>
        <v>#NAME?</v>
      </c>
      <c r="AE126" s="201"/>
      <c r="AF126" s="201"/>
      <c r="AG126" s="201"/>
      <c r="AH126" s="2"/>
      <c r="AJ126" s="2"/>
      <c r="AS126" s="201"/>
      <c r="AT126" s="2"/>
      <c r="AV126" s="2"/>
      <c r="BE126" s="140" t="str">
        <f t="shared" ca="1" si="32"/>
        <v>Uae Dirham</v>
      </c>
      <c r="BF126" s="144" t="s">
        <v>261</v>
      </c>
      <c r="BG126" s="144" t="s">
        <v>262</v>
      </c>
      <c r="BH126" s="142" t="s">
        <v>35</v>
      </c>
      <c r="BI126" s="145" t="s">
        <v>263</v>
      </c>
      <c r="BO126" s="46" t="s">
        <v>350</v>
      </c>
      <c r="BP126" s="46" t="s">
        <v>4745</v>
      </c>
    </row>
    <row r="127" spans="18:68" x14ac:dyDescent="0.2">
      <c r="R127" s="24" t="s">
        <v>4171</v>
      </c>
      <c r="S127" s="236" t="e">
        <f t="shared" ca="1" si="31"/>
        <v>#NAME?</v>
      </c>
      <c r="T127" s="230" t="s">
        <v>4801</v>
      </c>
      <c r="U127" s="233" t="e" cm="1">
        <f t="array" aca="1" ref="U127" ca="1">_xll.SNL.Clients.Office.Excel.Functions.SPG($T127, "SP_RATE_VALUE",U$77,"Options:NA=NA")</f>
        <v>#NAME?</v>
      </c>
      <c r="V127" s="233" t="e" cm="1">
        <f t="array" aca="1" ref="V127" ca="1">_xll.SNL.Clients.Office.Excel.Functions.SPG($T127, "SP_RATE_VALUE",V$77,"Options:NA=NA")</f>
        <v>#NAME?</v>
      </c>
      <c r="W127" s="228" t="e" cm="1">
        <f t="array" aca="1" ref="W127" ca="1">_xll.SNL.Clients.Office.Excel.Functions.SPG($T127, "SP_RATE_VALUE",W$77,"Options:NA=NA")</f>
        <v>#NAME?</v>
      </c>
      <c r="AE127" s="201"/>
      <c r="AF127" s="201"/>
      <c r="AG127" s="201"/>
      <c r="AH127" s="2"/>
      <c r="AJ127" s="2"/>
      <c r="AS127" s="201"/>
      <c r="AT127" s="2"/>
      <c r="AV127" s="2"/>
      <c r="BE127" s="140" t="str">
        <f t="shared" ca="1" si="32"/>
        <v>Ukraine Hryvnia</v>
      </c>
      <c r="BF127" s="144" t="s">
        <v>264</v>
      </c>
      <c r="BG127" s="144" t="s">
        <v>264</v>
      </c>
      <c r="BH127" s="142" t="s">
        <v>35</v>
      </c>
      <c r="BI127" s="145" t="s">
        <v>265</v>
      </c>
      <c r="BO127" s="46" t="s">
        <v>351</v>
      </c>
      <c r="BP127" s="46" t="s">
        <v>4725</v>
      </c>
    </row>
    <row r="128" spans="18:68" x14ac:dyDescent="0.2">
      <c r="R128" s="24" t="s">
        <v>4172</v>
      </c>
      <c r="S128" s="236" t="e">
        <f t="shared" ca="1" si="31"/>
        <v>#NAME?</v>
      </c>
      <c r="T128" s="230" t="s">
        <v>4802</v>
      </c>
      <c r="U128" s="233" t="e" cm="1">
        <f t="array" aca="1" ref="U128" ca="1">_xll.SNL.Clients.Office.Excel.Functions.SPG($T128, "SP_RATE_VALUE",U$77,"Options:NA=NA")</f>
        <v>#NAME?</v>
      </c>
      <c r="V128" s="233" t="e" cm="1">
        <f t="array" aca="1" ref="V128" ca="1">_xll.SNL.Clients.Office.Excel.Functions.SPG($T128, "SP_RATE_VALUE",V$77,"Options:NA=NA")</f>
        <v>#NAME?</v>
      </c>
      <c r="W128" s="228" t="e" cm="1">
        <f t="array" aca="1" ref="W128" ca="1">_xll.SNL.Clients.Office.Excel.Functions.SPG($T128, "SP_RATE_VALUE",W$77,"Options:NA=NA")</f>
        <v>#NAME?</v>
      </c>
      <c r="AE128" s="201"/>
      <c r="AF128" s="201"/>
      <c r="AG128" s="201"/>
      <c r="AH128" s="2"/>
      <c r="AJ128" s="2"/>
      <c r="AS128" s="201"/>
      <c r="AT128" s="2"/>
      <c r="AV128" s="2"/>
      <c r="BE128" s="140" t="str">
        <f t="shared" ca="1" si="32"/>
        <v>Uzbekistani Som</v>
      </c>
      <c r="BF128" s="144" t="s">
        <v>266</v>
      </c>
      <c r="BG128" s="144" t="s">
        <v>266</v>
      </c>
      <c r="BH128" s="142" t="s">
        <v>42</v>
      </c>
      <c r="BI128" s="145" t="s">
        <v>267</v>
      </c>
      <c r="BO128" s="46" t="s">
        <v>352</v>
      </c>
      <c r="BP128" s="46" t="s">
        <v>4726</v>
      </c>
    </row>
    <row r="129" spans="18:68" x14ac:dyDescent="0.2">
      <c r="R129" s="24" t="s">
        <v>4173</v>
      </c>
      <c r="S129" s="236" t="e">
        <f t="shared" ca="1" si="31"/>
        <v>#NAME?</v>
      </c>
      <c r="T129" s="230" t="s">
        <v>4803</v>
      </c>
      <c r="U129" s="233" t="e" cm="1">
        <f t="array" aca="1" ref="U129" ca="1">_xll.SNL.Clients.Office.Excel.Functions.SPG($T129, "SP_RATE_VALUE",U$77,"Options:NA=NA")</f>
        <v>#NAME?</v>
      </c>
      <c r="V129" s="233" t="e" cm="1">
        <f t="array" aca="1" ref="V129" ca="1">_xll.SNL.Clients.Office.Excel.Functions.SPG($T129, "SP_RATE_VALUE",V$77,"Options:NA=NA")</f>
        <v>#NAME?</v>
      </c>
      <c r="W129" s="228" t="e" cm="1">
        <f t="array" aca="1" ref="W129" ca="1">_xll.SNL.Clients.Office.Excel.Functions.SPG($T129, "SP_RATE_VALUE",W$77,"Options:NA=NA")</f>
        <v>#NAME?</v>
      </c>
      <c r="AE129" s="201"/>
      <c r="AF129" s="201"/>
      <c r="AG129" s="201"/>
      <c r="AH129" s="2"/>
      <c r="AJ129" s="2"/>
      <c r="AS129" s="201"/>
      <c r="AT129" s="2"/>
      <c r="AV129" s="2"/>
      <c r="BE129" s="140" t="str">
        <f t="shared" ca="1" si="32"/>
        <v xml:space="preserve">Venezuelan Bolivar </v>
      </c>
      <c r="BF129" s="144" t="s">
        <v>268</v>
      </c>
      <c r="BG129" s="141" t="s">
        <v>269</v>
      </c>
      <c r="BH129" s="142" t="s">
        <v>35</v>
      </c>
      <c r="BI129" s="145" t="s">
        <v>270</v>
      </c>
      <c r="BO129" s="46" t="s">
        <v>353</v>
      </c>
      <c r="BP129" s="46" t="s">
        <v>4727</v>
      </c>
    </row>
    <row r="130" spans="18:68" x14ac:dyDescent="0.2">
      <c r="R130" s="24" t="s">
        <v>4174</v>
      </c>
      <c r="S130" s="236" t="e">
        <f t="shared" ca="1" si="31"/>
        <v>#NAME?</v>
      </c>
      <c r="T130" s="230" t="s">
        <v>4804</v>
      </c>
      <c r="U130" s="233" t="e" cm="1">
        <f t="array" aca="1" ref="U130" ca="1">_xll.SNL.Clients.Office.Excel.Functions.SPG($T130, "SP_RATE_VALUE",U$77,"Options:NA=NA")</f>
        <v>#NAME?</v>
      </c>
      <c r="V130" s="233" t="e" cm="1">
        <f t="array" aca="1" ref="V130" ca="1">_xll.SNL.Clients.Office.Excel.Functions.SPG($T130, "SP_RATE_VALUE",V$77,"Options:NA=NA")</f>
        <v>#NAME?</v>
      </c>
      <c r="W130" s="228" t="e" cm="1">
        <f t="array" aca="1" ref="W130" ca="1">_xll.SNL.Clients.Office.Excel.Functions.SPG($T130, "SP_RATE_VALUE",W$77,"Options:NA=NA")</f>
        <v>#NAME?</v>
      </c>
      <c r="AE130" s="201"/>
      <c r="AF130" s="201"/>
      <c r="AG130" s="201"/>
      <c r="AH130" s="2"/>
      <c r="AJ130" s="2"/>
      <c r="AS130" s="201"/>
      <c r="AT130" s="2"/>
      <c r="AV130" s="2"/>
      <c r="BE130" s="146" t="str">
        <f t="shared" ca="1" si="32"/>
        <v>Vietnam Dong</v>
      </c>
      <c r="BF130" s="147" t="s">
        <v>271</v>
      </c>
      <c r="BG130" s="147" t="s">
        <v>272</v>
      </c>
      <c r="BH130" s="148" t="s">
        <v>42</v>
      </c>
      <c r="BI130" s="149" t="s">
        <v>273</v>
      </c>
      <c r="BO130" s="46" t="s">
        <v>354</v>
      </c>
      <c r="BP130" s="46" t="s">
        <v>4746</v>
      </c>
    </row>
    <row r="131" spans="18:68" x14ac:dyDescent="0.2">
      <c r="R131" s="24" t="s">
        <v>4175</v>
      </c>
      <c r="S131" s="236" t="e">
        <f t="shared" ca="1" si="31"/>
        <v>#NAME?</v>
      </c>
      <c r="T131" s="230" t="s">
        <v>4805</v>
      </c>
      <c r="U131" s="233" t="e" cm="1">
        <f t="array" aca="1" ref="U131" ca="1">_xll.SNL.Clients.Office.Excel.Functions.SPG($T131, "SP_RATE_VALUE",U$77,"Options:NA=NA")</f>
        <v>#NAME?</v>
      </c>
      <c r="V131" s="233" t="e" cm="1">
        <f t="array" aca="1" ref="V131" ca="1">_xll.SNL.Clients.Office.Excel.Functions.SPG($T131, "SP_RATE_VALUE",V$77,"Options:NA=NA")</f>
        <v>#NAME?</v>
      </c>
      <c r="W131" s="228" t="e" cm="1">
        <f t="array" aca="1" ref="W131" ca="1">_xll.SNL.Clients.Office.Excel.Functions.SPG($T131, "SP_RATE_VALUE",W$77,"Options:NA=NA")</f>
        <v>#NAME?</v>
      </c>
      <c r="AE131" s="201"/>
      <c r="AF131" s="201"/>
      <c r="AG131" s="201"/>
      <c r="AH131" s="2"/>
      <c r="AJ131" s="2"/>
      <c r="AS131" s="201"/>
      <c r="AT131" s="2"/>
      <c r="AV131" s="2"/>
      <c r="BE131" s="4"/>
      <c r="BF131" s="4"/>
      <c r="BG131" s="4"/>
      <c r="BH131" s="4"/>
      <c r="BI131" s="4"/>
      <c r="BO131" s="46" t="s">
        <v>355</v>
      </c>
      <c r="BP131" s="46" t="s">
        <v>4728</v>
      </c>
    </row>
    <row r="132" spans="18:68" x14ac:dyDescent="0.2">
      <c r="R132" s="24" t="s">
        <v>4176</v>
      </c>
      <c r="S132" s="236" t="e">
        <f t="shared" ca="1" si="31"/>
        <v>#NAME?</v>
      </c>
      <c r="T132" s="230" t="s">
        <v>4806</v>
      </c>
      <c r="U132" s="233" t="e" cm="1">
        <f t="array" aca="1" ref="U132" ca="1">_xll.SNL.Clients.Office.Excel.Functions.SPG($T132, "SP_RATE_VALUE",U$77,"Options:NA=NA")</f>
        <v>#NAME?</v>
      </c>
      <c r="V132" s="233" t="e" cm="1">
        <f t="array" aca="1" ref="V132" ca="1">_xll.SNL.Clients.Office.Excel.Functions.SPG($T132, "SP_RATE_VALUE",V$77,"Options:NA=NA")</f>
        <v>#NAME?</v>
      </c>
      <c r="W132" s="228" t="e" cm="1">
        <f t="array" aca="1" ref="W132" ca="1">_xll.SNL.Clients.Office.Excel.Functions.SPG($T132, "SP_RATE_VALUE",W$77,"Options:NA=NA")</f>
        <v>#NAME?</v>
      </c>
      <c r="AE132" s="201"/>
      <c r="AF132" s="201"/>
      <c r="AG132" s="201"/>
      <c r="AH132" s="2"/>
      <c r="AJ132" s="2"/>
      <c r="AS132" s="201"/>
      <c r="AT132" s="2"/>
      <c r="AV132" s="2"/>
      <c r="BE132" s="150" t="str">
        <f ca="1">IFERROR(VLOOKUP($E$34,BD135:BG140,2,0),0)</f>
        <v>Millions</v>
      </c>
      <c r="BF132" s="151" t="str">
        <f ca="1">IF(VLOOKUP(BE132,$BE$135:$BF$140,2,FALSE)="","",VLOOKUP(BE132,$BE$135:$BF$140,2,FALSE))</f>
        <v>M</v>
      </c>
      <c r="BG132" s="152" t="str">
        <f ca="1">IF($E$34=BE135,INDEX(BF137:BF140,MATCH(BF132,BF137:BF140,0)+1),BF132)</f>
        <v>M</v>
      </c>
      <c r="BH132" s="4"/>
      <c r="BI132" s="4"/>
      <c r="BO132" s="46" t="s">
        <v>356</v>
      </c>
      <c r="BP132" s="46" t="s">
        <v>4729</v>
      </c>
    </row>
    <row r="133" spans="18:68" x14ac:dyDescent="0.2">
      <c r="R133" s="24" t="s">
        <v>4177</v>
      </c>
      <c r="S133" s="236" t="e">
        <f t="shared" ca="1" si="31"/>
        <v>#NAME?</v>
      </c>
      <c r="T133" s="230" t="s">
        <v>4807</v>
      </c>
      <c r="U133" s="233" t="e" cm="1">
        <f t="array" aca="1" ref="U133" ca="1">_xll.SNL.Clients.Office.Excel.Functions.SPG($T133, "SP_RATE_VALUE",U$77,"Options:NA=NA")</f>
        <v>#NAME?</v>
      </c>
      <c r="V133" s="233" t="e" cm="1">
        <f t="array" aca="1" ref="V133" ca="1">_xll.SNL.Clients.Office.Excel.Functions.SPG($T133, "SP_RATE_VALUE",V$77,"Options:NA=NA")</f>
        <v>#NAME?</v>
      </c>
      <c r="W133" s="228" t="e" cm="1">
        <f t="array" aca="1" ref="W133" ca="1">_xll.SNL.Clients.Office.Excel.Functions.SPG($T133, "SP_RATE_VALUE",W$77,"Options:NA=NA")</f>
        <v>#NAME?</v>
      </c>
      <c r="AE133" s="201"/>
      <c r="AF133" s="201"/>
      <c r="AG133" s="201"/>
      <c r="AH133" s="2"/>
      <c r="AJ133" s="2"/>
      <c r="AS133" s="201"/>
      <c r="AT133" s="2"/>
      <c r="AV133" s="2"/>
      <c r="BD133" s="4"/>
      <c r="BE133" s="71"/>
      <c r="BF133" s="153"/>
      <c r="BG133" s="154" t="str">
        <f ca="1">INDEX(BF137:BF140,MATCH(BF132,BF137:BF140,0)+1)</f>
        <v>B</v>
      </c>
      <c r="BH133" s="4"/>
      <c r="BI133" s="4"/>
      <c r="BO133" s="46" t="s">
        <v>357</v>
      </c>
      <c r="BP133" s="46" t="s">
        <v>4730</v>
      </c>
    </row>
    <row r="134" spans="18:68" x14ac:dyDescent="0.2">
      <c r="R134" s="24" t="s">
        <v>4178</v>
      </c>
      <c r="S134" s="236" t="e">
        <f t="shared" ca="1" si="31"/>
        <v>#NAME?</v>
      </c>
      <c r="T134" s="230" t="s">
        <v>4808</v>
      </c>
      <c r="U134" s="233" t="e" cm="1">
        <f t="array" aca="1" ref="U134" ca="1">_xll.SNL.Clients.Office.Excel.Functions.SPG($T134, "SP_RATE_VALUE",U$77,"Options:NA=NA")</f>
        <v>#NAME?</v>
      </c>
      <c r="V134" s="233" t="e" cm="1">
        <f t="array" aca="1" ref="V134" ca="1">_xll.SNL.Clients.Office.Excel.Functions.SPG($T134, "SP_RATE_VALUE",V$77,"Options:NA=NA")</f>
        <v>#NAME?</v>
      </c>
      <c r="W134" s="228" t="e" cm="1">
        <f t="array" aca="1" ref="W134" ca="1">_xll.SNL.Clients.Office.Excel.Functions.SPG($T134, "SP_RATE_VALUE",W$77,"Options:NA=NA")</f>
        <v>#NAME?</v>
      </c>
      <c r="AE134" s="201"/>
      <c r="AF134" s="201"/>
      <c r="AG134" s="201"/>
      <c r="AH134" s="2"/>
      <c r="AJ134" s="2"/>
      <c r="AS134" s="201"/>
      <c r="AT134" s="2"/>
      <c r="AV134" s="2"/>
      <c r="BD134" s="163" t="s">
        <v>274</v>
      </c>
      <c r="BE134" s="56" t="str">
        <f>VLOOKUP(BD134,Language_Data,Lookup_Column,FALSE)</f>
        <v>Magnitude</v>
      </c>
      <c r="BF134" s="117" t="s">
        <v>275</v>
      </c>
      <c r="BG134" s="139"/>
      <c r="BH134" s="4"/>
      <c r="BI134" s="4"/>
      <c r="BO134" s="46" t="s">
        <v>358</v>
      </c>
      <c r="BP134" s="46" t="s">
        <v>4731</v>
      </c>
    </row>
    <row r="135" spans="18:68" x14ac:dyDescent="0.2">
      <c r="R135" s="24" t="s">
        <v>4179</v>
      </c>
      <c r="S135" s="236" t="e">
        <f t="shared" ca="1" si="31"/>
        <v>#NAME?</v>
      </c>
      <c r="T135" s="230" t="s">
        <v>4809</v>
      </c>
      <c r="U135" s="233" t="e" cm="1">
        <f t="array" aca="1" ref="U135" ca="1">_xll.SNL.Clients.Office.Excel.Functions.SPG($T135, "SP_RATE_VALUE",U$77,"Options:NA=NA")</f>
        <v>#NAME?</v>
      </c>
      <c r="V135" s="233" t="e" cm="1">
        <f t="array" aca="1" ref="V135" ca="1">_xll.SNL.Clients.Office.Excel.Functions.SPG($T135, "SP_RATE_VALUE",V$77,"Options:NA=NA")</f>
        <v>#NAME?</v>
      </c>
      <c r="W135" s="228" t="e" cm="1">
        <f t="array" aca="1" ref="W135" ca="1">_xll.SNL.Clients.Office.Excel.Functions.SPG($T135, "SP_RATE_VALUE",W$77,"Options:NA=NA")</f>
        <v>#NAME?</v>
      </c>
      <c r="AE135" s="201"/>
      <c r="AF135" s="201"/>
      <c r="AG135" s="201"/>
      <c r="AH135" s="2"/>
      <c r="AJ135" s="2"/>
      <c r="AS135" s="201"/>
      <c r="AT135" s="2"/>
      <c r="AV135" s="2"/>
      <c r="BD135" s="145" t="s">
        <v>276</v>
      </c>
      <c r="BE135" s="140" t="s">
        <v>276</v>
      </c>
      <c r="BF135" s="155" t="str">
        <f ca="1">IF(BG48="Reported","",VLOOKUP(BG48,$BG$51:$BH$130,2,FALSE))</f>
        <v>000</v>
      </c>
      <c r="BG135" s="156"/>
      <c r="BH135" s="4"/>
      <c r="BI135" s="4"/>
      <c r="BO135" s="46" t="s">
        <v>359</v>
      </c>
      <c r="BP135" s="46" t="s">
        <v>4732</v>
      </c>
    </row>
    <row r="136" spans="18:68" x14ac:dyDescent="0.2">
      <c r="R136" s="24" t="s">
        <v>4180</v>
      </c>
      <c r="S136" s="236" t="e">
        <f t="shared" ca="1" si="31"/>
        <v>#NAME?</v>
      </c>
      <c r="T136" s="230" t="s">
        <v>4810</v>
      </c>
      <c r="U136" s="233" t="e" cm="1">
        <f t="array" aca="1" ref="U136" ca="1">_xll.SNL.Clients.Office.Excel.Functions.SPG($T136, "SP_RATE_VALUE",U$77,"Options:NA=NA")</f>
        <v>#NAME?</v>
      </c>
      <c r="V136" s="233" t="e" cm="1">
        <f t="array" aca="1" ref="V136" ca="1">_xll.SNL.Clients.Office.Excel.Functions.SPG($T136, "SP_RATE_VALUE",V$77,"Options:NA=NA")</f>
        <v>#NAME?</v>
      </c>
      <c r="W136" s="228" t="e" cm="1">
        <f t="array" aca="1" ref="W136" ca="1">_xll.SNL.Clients.Office.Excel.Functions.SPG($T136, "SP_RATE_VALUE",W$77,"Options:NA=NA")</f>
        <v>#NAME?</v>
      </c>
      <c r="AE136" s="201"/>
      <c r="AF136" s="201"/>
      <c r="AG136" s="201"/>
      <c r="AH136" s="2"/>
      <c r="AJ136" s="2"/>
      <c r="AS136" s="201"/>
      <c r="AT136" s="2"/>
      <c r="AV136" s="2"/>
      <c r="BD136" s="145" t="str">
        <f ca="1">VLOOKUP(BE136,Language_Data,Lookup_Column,FALSE)</f>
        <v>Actuals</v>
      </c>
      <c r="BE136" s="145" t="s">
        <v>277</v>
      </c>
      <c r="BF136" s="142" t="s">
        <v>278</v>
      </c>
      <c r="BG136" s="157">
        <v>0</v>
      </c>
      <c r="BH136" s="4"/>
      <c r="BI136" s="4"/>
      <c r="BO136" s="46" t="s">
        <v>360</v>
      </c>
      <c r="BP136" s="46" t="s">
        <v>4733</v>
      </c>
    </row>
    <row r="137" spans="18:68" x14ac:dyDescent="0.2">
      <c r="R137" s="24" t="s">
        <v>4181</v>
      </c>
      <c r="S137" s="236" t="e">
        <f t="shared" ca="1" si="31"/>
        <v>#NAME?</v>
      </c>
      <c r="T137" s="230" t="s">
        <v>4811</v>
      </c>
      <c r="U137" s="233" t="e" cm="1">
        <f t="array" aca="1" ref="U137" ca="1">_xll.SNL.Clients.Office.Excel.Functions.SPG($T137, "SP_RATE_VALUE",U$77,"Options:NA=NA")</f>
        <v>#NAME?</v>
      </c>
      <c r="V137" s="233" t="e" cm="1">
        <f t="array" aca="1" ref="V137" ca="1">_xll.SNL.Clients.Office.Excel.Functions.SPG($T137, "SP_RATE_VALUE",V$77,"Options:NA=NA")</f>
        <v>#NAME?</v>
      </c>
      <c r="W137" s="228" t="e" cm="1">
        <f t="array" aca="1" ref="W137" ca="1">_xll.SNL.Clients.Office.Excel.Functions.SPG($T137, "SP_RATE_VALUE",W$77,"Options:NA=NA")</f>
        <v>#NAME?</v>
      </c>
      <c r="AE137" s="201"/>
      <c r="AF137" s="201"/>
      <c r="AG137" s="201"/>
      <c r="AH137" s="2"/>
      <c r="AJ137" s="2"/>
      <c r="AS137" s="201"/>
      <c r="AT137" s="2"/>
      <c r="AV137" s="2"/>
      <c r="BD137" s="145" t="str">
        <f ca="1">VLOOKUP(BE137,Language_Data,Lookup_Column,FALSE)</f>
        <v>Thousands</v>
      </c>
      <c r="BE137" s="145" t="s">
        <v>6</v>
      </c>
      <c r="BF137" s="142" t="s">
        <v>35</v>
      </c>
      <c r="BG137" s="157">
        <v>3</v>
      </c>
      <c r="BH137" s="4"/>
      <c r="BI137" s="4"/>
      <c r="BO137" s="46" t="s">
        <v>361</v>
      </c>
      <c r="BP137" s="46" t="s">
        <v>4734</v>
      </c>
    </row>
    <row r="138" spans="18:68" x14ac:dyDescent="0.2">
      <c r="R138" s="24" t="s">
        <v>4182</v>
      </c>
      <c r="S138" s="236" t="e">
        <f t="shared" ca="1" si="31"/>
        <v>#NAME?</v>
      </c>
      <c r="T138" s="230" t="s">
        <v>4812</v>
      </c>
      <c r="U138" s="233" t="e" cm="1">
        <f t="array" aca="1" ref="U138" ca="1">_xll.SNL.Clients.Office.Excel.Functions.SPG($T138, "SP_RATE_VALUE",U$77,"Options:NA=NA")</f>
        <v>#NAME?</v>
      </c>
      <c r="V138" s="233" t="e" cm="1">
        <f t="array" aca="1" ref="V138" ca="1">_xll.SNL.Clients.Office.Excel.Functions.SPG($T138, "SP_RATE_VALUE",V$77,"Options:NA=NA")</f>
        <v>#NAME?</v>
      </c>
      <c r="W138" s="228" t="e" cm="1">
        <f t="array" aca="1" ref="W138" ca="1">_xll.SNL.Clients.Office.Excel.Functions.SPG($T138, "SP_RATE_VALUE",W$77,"Options:NA=NA")</f>
        <v>#NAME?</v>
      </c>
      <c r="AE138" s="201"/>
      <c r="AF138" s="201"/>
      <c r="AG138" s="201"/>
      <c r="AH138" s="2"/>
      <c r="AJ138" s="2"/>
      <c r="AS138" s="201"/>
      <c r="AT138" s="2"/>
      <c r="AV138" s="2"/>
      <c r="BD138" s="145" t="str">
        <f ca="1">VLOOKUP(BE138,Language_Data,Lookup_Column,FALSE)</f>
        <v>Millions</v>
      </c>
      <c r="BE138" s="145" t="s">
        <v>279</v>
      </c>
      <c r="BF138" s="156" t="s">
        <v>42</v>
      </c>
      <c r="BG138" s="158">
        <v>6</v>
      </c>
      <c r="BH138" s="4"/>
      <c r="BI138" s="4"/>
      <c r="BO138" s="46" t="s">
        <v>362</v>
      </c>
      <c r="BP138" s="46" t="s">
        <v>4735</v>
      </c>
    </row>
    <row r="139" spans="18:68" x14ac:dyDescent="0.2">
      <c r="R139" s="24" t="s">
        <v>4183</v>
      </c>
      <c r="S139" s="236" t="e">
        <f t="shared" ca="1" si="31"/>
        <v>#NAME?</v>
      </c>
      <c r="T139" s="230" t="s">
        <v>4813</v>
      </c>
      <c r="U139" s="233" t="e" cm="1">
        <f t="array" aca="1" ref="U139" ca="1">_xll.SNL.Clients.Office.Excel.Functions.SPG($T139, "SP_RATE_VALUE",U$77,"Options:NA=NA")</f>
        <v>#NAME?</v>
      </c>
      <c r="V139" s="233" t="e" cm="1">
        <f t="array" aca="1" ref="V139" ca="1">_xll.SNL.Clients.Office.Excel.Functions.SPG($T139, "SP_RATE_VALUE",V$77,"Options:NA=NA")</f>
        <v>#NAME?</v>
      </c>
      <c r="W139" s="228" t="e" cm="1">
        <f t="array" aca="1" ref="W139" ca="1">_xll.SNL.Clients.Office.Excel.Functions.SPG($T139, "SP_RATE_VALUE",W$77,"Options:NA=NA")</f>
        <v>#NAME?</v>
      </c>
      <c r="AE139" s="201"/>
      <c r="AF139" s="201"/>
      <c r="AG139" s="201"/>
      <c r="AH139" s="2"/>
      <c r="AJ139" s="2"/>
      <c r="AS139" s="201"/>
      <c r="AT139" s="2"/>
      <c r="AV139" s="2"/>
      <c r="BD139" s="145" t="str">
        <f ca="1">VLOOKUP(BE139,Language_Data,Lookup_Column,FALSE)</f>
        <v>Billions</v>
      </c>
      <c r="BE139" s="145" t="s">
        <v>280</v>
      </c>
      <c r="BF139" s="156" t="s">
        <v>204</v>
      </c>
      <c r="BG139" s="158">
        <v>9</v>
      </c>
      <c r="BH139" s="4"/>
      <c r="BI139" s="4"/>
      <c r="BO139" s="46" t="s">
        <v>4472</v>
      </c>
      <c r="BP139" s="46" t="s">
        <v>4736</v>
      </c>
    </row>
    <row r="140" spans="18:68" x14ac:dyDescent="0.2">
      <c r="R140" s="24" t="s">
        <v>4184</v>
      </c>
      <c r="S140" s="236" t="e">
        <f t="shared" ca="1" si="31"/>
        <v>#NAME?</v>
      </c>
      <c r="T140" s="230" t="s">
        <v>4814</v>
      </c>
      <c r="U140" s="233" t="e" cm="1">
        <f t="array" aca="1" ref="U140" ca="1">_xll.SNL.Clients.Office.Excel.Functions.SPG($T140, "SP_RATE_VALUE",U$77,"Options:NA=NA")</f>
        <v>#NAME?</v>
      </c>
      <c r="V140" s="233" t="e" cm="1">
        <f t="array" aca="1" ref="V140" ca="1">_xll.SNL.Clients.Office.Excel.Functions.SPG($T140, "SP_RATE_VALUE",V$77,"Options:NA=NA")</f>
        <v>#NAME?</v>
      </c>
      <c r="W140" s="228" t="e" cm="1">
        <f t="array" aca="1" ref="W140" ca="1">_xll.SNL.Clients.Office.Excel.Functions.SPG($T140, "SP_RATE_VALUE",W$77,"Options:NA=NA")</f>
        <v>#NAME?</v>
      </c>
      <c r="AE140" s="201"/>
      <c r="AF140" s="201"/>
      <c r="AG140" s="201"/>
      <c r="AH140" s="2"/>
      <c r="AJ140" s="2"/>
      <c r="AS140" s="201"/>
      <c r="AT140" s="2"/>
      <c r="AV140" s="2"/>
      <c r="BD140" s="149" t="str">
        <f ca="1">VLOOKUP(BE140,Language_Data,Lookup_Column,FALSE)</f>
        <v>Trillions</v>
      </c>
      <c r="BE140" s="149" t="s">
        <v>281</v>
      </c>
      <c r="BF140" s="154" t="s">
        <v>282</v>
      </c>
      <c r="BG140" s="159">
        <v>12</v>
      </c>
      <c r="BH140" s="4"/>
      <c r="BI140" s="4"/>
      <c r="BO140" s="46" t="s">
        <v>363</v>
      </c>
      <c r="BP140" s="46" t="s">
        <v>4737</v>
      </c>
    </row>
    <row r="141" spans="18:68" x14ac:dyDescent="0.2">
      <c r="R141" s="24" t="s">
        <v>4185</v>
      </c>
      <c r="S141" s="236" t="e">
        <f t="shared" ca="1" si="31"/>
        <v>#NAME?</v>
      </c>
      <c r="T141" s="230" t="s">
        <v>4815</v>
      </c>
      <c r="U141" s="233" t="e" cm="1">
        <f t="array" aca="1" ref="U141" ca="1">_xll.SNL.Clients.Office.Excel.Functions.SPG($T141, "SP_RATE_VALUE",U$77,"Options:NA=NA")</f>
        <v>#NAME?</v>
      </c>
      <c r="V141" s="233" t="e" cm="1">
        <f t="array" aca="1" ref="V141" ca="1">_xll.SNL.Clients.Office.Excel.Functions.SPG($T141, "SP_RATE_VALUE",V$77,"Options:NA=NA")</f>
        <v>#NAME?</v>
      </c>
      <c r="W141" s="228" t="e" cm="1">
        <f t="array" aca="1" ref="W141" ca="1">_xll.SNL.Clients.Office.Excel.Functions.SPG($T141, "SP_RATE_VALUE",W$77,"Options:NA=NA")</f>
        <v>#NAME?</v>
      </c>
      <c r="AE141" s="201"/>
      <c r="AF141" s="201"/>
      <c r="AG141" s="201"/>
      <c r="AH141" s="2"/>
      <c r="AJ141" s="2"/>
      <c r="AS141" s="201"/>
      <c r="AT141" s="2"/>
      <c r="AV141" s="2"/>
      <c r="BD141" s="4"/>
      <c r="BE141" s="4"/>
      <c r="BF141" s="4"/>
      <c r="BG141" s="4"/>
      <c r="BH141" s="4"/>
      <c r="BI141" s="4"/>
      <c r="BO141" s="46" t="s">
        <v>364</v>
      </c>
      <c r="BP141" s="46" t="s">
        <v>4738</v>
      </c>
    </row>
    <row r="142" spans="18:68" x14ac:dyDescent="0.2">
      <c r="R142" s="24" t="s">
        <v>4186</v>
      </c>
      <c r="S142" s="236" t="e">
        <f t="shared" ca="1" si="31"/>
        <v>#NAME?</v>
      </c>
      <c r="T142" s="230" t="s">
        <v>4816</v>
      </c>
      <c r="U142" s="233" t="e" cm="1">
        <f t="array" aca="1" ref="U142" ca="1">_xll.SNL.Clients.Office.Excel.Functions.SPG($T142, "SP_RATE_VALUE",U$77,"Options:NA=NA")</f>
        <v>#NAME?</v>
      </c>
      <c r="V142" s="233" t="e" cm="1">
        <f t="array" aca="1" ref="V142" ca="1">_xll.SNL.Clients.Office.Excel.Functions.SPG($T142, "SP_RATE_VALUE",V$77,"Options:NA=NA")</f>
        <v>#NAME?</v>
      </c>
      <c r="W142" s="228" t="e" cm="1">
        <f t="array" aca="1" ref="W142" ca="1">_xll.SNL.Clients.Office.Excel.Functions.SPG($T142, "SP_RATE_VALUE",W$77,"Options:NA=NA")</f>
        <v>#NAME?</v>
      </c>
      <c r="AE142" s="201"/>
      <c r="AF142" s="201"/>
      <c r="AG142" s="201"/>
      <c r="AH142" s="2"/>
      <c r="AJ142" s="2"/>
      <c r="AS142" s="201"/>
      <c r="AT142" s="2"/>
      <c r="AV142" s="2"/>
      <c r="BD142" s="4"/>
      <c r="BE142" s="56" t="s">
        <v>283</v>
      </c>
      <c r="BF142" s="160" t="str">
        <f>VLOOKUP(BE46,BE143:BF144,2,FALSE)</f>
        <v>Recommended</v>
      </c>
      <c r="BG142" s="117"/>
      <c r="BH142" s="4"/>
      <c r="BI142" s="4"/>
      <c r="BO142" s="46" t="s">
        <v>365</v>
      </c>
      <c r="BP142" s="46" t="s">
        <v>4739</v>
      </c>
    </row>
    <row r="143" spans="18:68" x14ac:dyDescent="0.2">
      <c r="R143" s="24" t="s">
        <v>4187</v>
      </c>
      <c r="S143" s="236" t="e">
        <f t="shared" ref="S143:S159" ca="1" si="33">IF(U143&lt;&gt;"NA",U143,IF(V143&lt;&gt;"NA",V143,W143))</f>
        <v>#NAME?</v>
      </c>
      <c r="T143" s="230" t="s">
        <v>4817</v>
      </c>
      <c r="U143" s="233" t="e" cm="1">
        <f t="array" aca="1" ref="U143" ca="1">_xll.SNL.Clients.Office.Excel.Functions.SPG($T143, "SP_RATE_VALUE",U$77,"Options:NA=NA")</f>
        <v>#NAME?</v>
      </c>
      <c r="V143" s="233" t="e" cm="1">
        <f t="array" aca="1" ref="V143" ca="1">_xll.SNL.Clients.Office.Excel.Functions.SPG($T143, "SP_RATE_VALUE",V$77,"Options:NA=NA")</f>
        <v>#NAME?</v>
      </c>
      <c r="W143" s="228" t="e" cm="1">
        <f t="array" aca="1" ref="W143" ca="1">_xll.SNL.Clients.Office.Excel.Functions.SPG($T143, "SP_RATE_VALUE",W$77,"Options:NA=NA")</f>
        <v>#NAME?</v>
      </c>
      <c r="AE143" s="201"/>
      <c r="AF143" s="201"/>
      <c r="AG143" s="201"/>
      <c r="AH143" s="2"/>
      <c r="AJ143" s="2"/>
      <c r="AS143" s="201"/>
      <c r="AT143" s="2"/>
      <c r="AV143" s="2"/>
      <c r="BE143" s="140" t="s">
        <v>25</v>
      </c>
      <c r="BF143" s="144" t="s">
        <v>25</v>
      </c>
      <c r="BG143" s="156"/>
      <c r="BH143" s="4"/>
      <c r="BI143" s="4"/>
      <c r="BO143" s="46" t="s">
        <v>366</v>
      </c>
      <c r="BP143" s="46" t="s">
        <v>4740</v>
      </c>
    </row>
    <row r="144" spans="18:68" x14ac:dyDescent="0.2">
      <c r="R144" s="24" t="s">
        <v>4188</v>
      </c>
      <c r="S144" s="236" t="e">
        <f t="shared" ca="1" si="33"/>
        <v>#NAME?</v>
      </c>
      <c r="T144" s="230" t="s">
        <v>4818</v>
      </c>
      <c r="U144" s="233" t="e" cm="1">
        <f t="array" aca="1" ref="U144" ca="1">_xll.SNL.Clients.Office.Excel.Functions.SPG($T144, "SP_RATE_VALUE",U$77,"Options:NA=NA")</f>
        <v>#NAME?</v>
      </c>
      <c r="V144" s="233" t="e" cm="1">
        <f t="array" aca="1" ref="V144" ca="1">_xll.SNL.Clients.Office.Excel.Functions.SPG($T144, "SP_RATE_VALUE",V$77,"Options:NA=NA")</f>
        <v>#NAME?</v>
      </c>
      <c r="W144" s="228" t="e" cm="1">
        <f t="array" aca="1" ref="W144" ca="1">_xll.SNL.Clients.Office.Excel.Functions.SPG($T144, "SP_RATE_VALUE",W$77,"Options:NA=NA")</f>
        <v>#NAME?</v>
      </c>
      <c r="AE144" s="201"/>
      <c r="AF144" s="201"/>
      <c r="AG144" s="201"/>
      <c r="AH144" s="2"/>
      <c r="AJ144" s="2"/>
      <c r="AS144" s="201"/>
      <c r="AT144" s="2"/>
      <c r="AV144" s="2"/>
      <c r="BE144" s="146" t="s">
        <v>284</v>
      </c>
      <c r="BF144" s="147" t="s">
        <v>285</v>
      </c>
      <c r="BG144" s="154"/>
      <c r="BH144" s="4"/>
      <c r="BI144" s="4"/>
      <c r="BO144" s="46" t="s">
        <v>367</v>
      </c>
      <c r="BP144" s="46" t="s">
        <v>4741</v>
      </c>
    </row>
    <row r="145" spans="18:68" x14ac:dyDescent="0.2">
      <c r="R145" s="24" t="s">
        <v>4189</v>
      </c>
      <c r="S145" s="236" t="e">
        <f t="shared" ca="1" si="33"/>
        <v>#NAME?</v>
      </c>
      <c r="T145" s="230" t="s">
        <v>4819</v>
      </c>
      <c r="U145" s="233" t="e" cm="1">
        <f t="array" aca="1" ref="U145" ca="1">_xll.SNL.Clients.Office.Excel.Functions.SPG($T145, "SP_RATE_VALUE",U$77,"Options:NA=NA")</f>
        <v>#NAME?</v>
      </c>
      <c r="V145" s="233" t="e" cm="1">
        <f t="array" aca="1" ref="V145" ca="1">_xll.SNL.Clients.Office.Excel.Functions.SPG($T145, "SP_RATE_VALUE",V$77,"Options:NA=NA")</f>
        <v>#NAME?</v>
      </c>
      <c r="W145" s="228" t="e" cm="1">
        <f t="array" aca="1" ref="W145" ca="1">_xll.SNL.Clients.Office.Excel.Functions.SPG($T145, "SP_RATE_VALUE",W$77,"Options:NA=NA")</f>
        <v>#NAME?</v>
      </c>
      <c r="AE145" s="201"/>
      <c r="AF145" s="201"/>
      <c r="AG145" s="201"/>
      <c r="AH145" s="2"/>
      <c r="AJ145" s="2"/>
      <c r="AS145" s="201"/>
      <c r="AT145" s="2"/>
      <c r="AV145" s="2"/>
      <c r="BO145" s="17" t="s">
        <v>368</v>
      </c>
      <c r="BP145" s="17" t="s">
        <v>4742</v>
      </c>
    </row>
    <row r="146" spans="18:68" x14ac:dyDescent="0.2">
      <c r="R146" s="24" t="s">
        <v>4190</v>
      </c>
      <c r="S146" s="236" t="e">
        <f t="shared" ca="1" si="33"/>
        <v>#NAME?</v>
      </c>
      <c r="T146" s="230" t="s">
        <v>4820</v>
      </c>
      <c r="U146" s="233" t="e" cm="1">
        <f t="array" aca="1" ref="U146" ca="1">_xll.SNL.Clients.Office.Excel.Functions.SPG($T146, "SP_RATE_VALUE",U$77,"Options:NA=NA")</f>
        <v>#NAME?</v>
      </c>
      <c r="V146" s="233" t="e" cm="1">
        <f t="array" aca="1" ref="V146" ca="1">_xll.SNL.Clients.Office.Excel.Functions.SPG($T146, "SP_RATE_VALUE",V$77,"Options:NA=NA")</f>
        <v>#NAME?</v>
      </c>
      <c r="W146" s="228" t="e" cm="1">
        <f t="array" aca="1" ref="W146" ca="1">_xll.SNL.Clients.Office.Excel.Functions.SPG($T146, "SP_RATE_VALUE",W$77,"Options:NA=NA")</f>
        <v>#NAME?</v>
      </c>
      <c r="AE146" s="201"/>
      <c r="AF146" s="201"/>
      <c r="AG146" s="201"/>
      <c r="AH146" s="2"/>
      <c r="AJ146" s="2"/>
      <c r="AS146" s="201"/>
      <c r="AT146" s="2"/>
      <c r="AV146" s="2"/>
    </row>
    <row r="147" spans="18:68" x14ac:dyDescent="0.2">
      <c r="R147" s="24" t="s">
        <v>4191</v>
      </c>
      <c r="S147" s="236" t="e">
        <f t="shared" ca="1" si="33"/>
        <v>#NAME?</v>
      </c>
      <c r="T147" s="230" t="s">
        <v>4821</v>
      </c>
      <c r="U147" s="233" t="e" cm="1">
        <f t="array" aca="1" ref="U147" ca="1">_xll.SNL.Clients.Office.Excel.Functions.SPG($T147, "SP_RATE_VALUE",U$77,"Options:NA=NA")</f>
        <v>#NAME?</v>
      </c>
      <c r="V147" s="233" t="e" cm="1">
        <f t="array" aca="1" ref="V147" ca="1">_xll.SNL.Clients.Office.Excel.Functions.SPG($T147, "SP_RATE_VALUE",V$77,"Options:NA=NA")</f>
        <v>#NAME?</v>
      </c>
      <c r="W147" s="228" t="e" cm="1">
        <f t="array" aca="1" ref="W147" ca="1">_xll.SNL.Clients.Office.Excel.Functions.SPG($T147, "SP_RATE_VALUE",W$77,"Options:NA=NA")</f>
        <v>#NAME?</v>
      </c>
      <c r="AE147" s="201"/>
      <c r="AF147" s="201"/>
      <c r="AG147" s="201"/>
      <c r="AH147" s="2"/>
      <c r="AJ147" s="2"/>
      <c r="AS147" s="201"/>
      <c r="AT147" s="2"/>
      <c r="AV147" s="2"/>
    </row>
    <row r="148" spans="18:68" x14ac:dyDescent="0.2">
      <c r="R148" s="24" t="s">
        <v>4192</v>
      </c>
      <c r="S148" s="236" t="e">
        <f t="shared" ca="1" si="33"/>
        <v>#NAME?</v>
      </c>
      <c r="T148" s="230" t="s">
        <v>4823</v>
      </c>
      <c r="U148" s="233" t="e" cm="1">
        <f t="array" aca="1" ref="U148" ca="1">_xll.SNL.Clients.Office.Excel.Functions.SPG($T148, "SP_RATE_VALUE",U$77,"Options:NA=NA")</f>
        <v>#NAME?</v>
      </c>
      <c r="V148" s="233" t="e" cm="1">
        <f t="array" aca="1" ref="V148" ca="1">_xll.SNL.Clients.Office.Excel.Functions.SPG($T148, "SP_RATE_VALUE",V$77,"Options:NA=NA")</f>
        <v>#NAME?</v>
      </c>
      <c r="W148" s="228" t="e" cm="1">
        <f t="array" aca="1" ref="W148" ca="1">_xll.SNL.Clients.Office.Excel.Functions.SPG($T148, "SP_RATE_VALUE",W$77,"Options:NA=NA")</f>
        <v>#NAME?</v>
      </c>
      <c r="AE148" s="201"/>
      <c r="AF148" s="201"/>
      <c r="AG148" s="201"/>
      <c r="AH148" s="2"/>
      <c r="AJ148" s="2"/>
      <c r="AS148" s="201"/>
      <c r="AT148" s="2"/>
      <c r="AV148" s="2"/>
    </row>
    <row r="149" spans="18:68" x14ac:dyDescent="0.2">
      <c r="R149" s="24" t="s">
        <v>4193</v>
      </c>
      <c r="S149" s="236" t="e">
        <f t="shared" ca="1" si="33"/>
        <v>#NAME?</v>
      </c>
      <c r="T149" s="230" t="s">
        <v>4824</v>
      </c>
      <c r="U149" s="233" t="e" cm="1">
        <f t="array" aca="1" ref="U149" ca="1">_xll.SNL.Clients.Office.Excel.Functions.SPG($T149, "SP_RATE_VALUE",U$77,"Options:NA=NA")</f>
        <v>#NAME?</v>
      </c>
      <c r="V149" s="233" t="e" cm="1">
        <f t="array" aca="1" ref="V149" ca="1">_xll.SNL.Clients.Office.Excel.Functions.SPG($T149, "SP_RATE_VALUE",V$77,"Options:NA=NA")</f>
        <v>#NAME?</v>
      </c>
      <c r="W149" s="228" t="e" cm="1">
        <f t="array" aca="1" ref="W149" ca="1">_xll.SNL.Clients.Office.Excel.Functions.SPG($T149, "SP_RATE_VALUE",W$77,"Options:NA=NA")</f>
        <v>#NAME?</v>
      </c>
      <c r="AE149" s="201"/>
      <c r="AF149" s="201"/>
      <c r="AG149" s="201"/>
      <c r="AH149" s="2"/>
      <c r="AJ149" s="2"/>
      <c r="AS149" s="201"/>
      <c r="AT149" s="2"/>
      <c r="AV149" s="2"/>
    </row>
    <row r="150" spans="18:68" x14ac:dyDescent="0.2">
      <c r="R150" s="24" t="s">
        <v>4194</v>
      </c>
      <c r="S150" s="236" t="e">
        <f t="shared" ca="1" si="33"/>
        <v>#NAME?</v>
      </c>
      <c r="T150" s="230" t="s">
        <v>4825</v>
      </c>
      <c r="U150" s="233" t="e" cm="1">
        <f t="array" aca="1" ref="U150" ca="1">_xll.SNL.Clients.Office.Excel.Functions.SPG($T150, "SP_RATE_VALUE",U$77,"Options:NA=NA")</f>
        <v>#NAME?</v>
      </c>
      <c r="V150" s="233" t="e" cm="1">
        <f t="array" aca="1" ref="V150" ca="1">_xll.SNL.Clients.Office.Excel.Functions.SPG($T150, "SP_RATE_VALUE",V$77,"Options:NA=NA")</f>
        <v>#NAME?</v>
      </c>
      <c r="W150" s="228" t="e" cm="1">
        <f t="array" aca="1" ref="W150" ca="1">_xll.SNL.Clients.Office.Excel.Functions.SPG($T150, "SP_RATE_VALUE",W$77,"Options:NA=NA")</f>
        <v>#NAME?</v>
      </c>
      <c r="AE150" s="201"/>
      <c r="AF150" s="201"/>
      <c r="AG150" s="201"/>
      <c r="AH150" s="2"/>
      <c r="AJ150" s="2"/>
      <c r="AS150" s="201"/>
      <c r="AT150" s="2"/>
      <c r="AV150" s="2"/>
    </row>
    <row r="151" spans="18:68" x14ac:dyDescent="0.2">
      <c r="R151" s="24" t="s">
        <v>4195</v>
      </c>
      <c r="S151" s="236" t="e">
        <f t="shared" ca="1" si="33"/>
        <v>#NAME?</v>
      </c>
      <c r="T151" s="230" t="s">
        <v>4826</v>
      </c>
      <c r="U151" s="233" t="e" cm="1">
        <f t="array" aca="1" ref="U151" ca="1">_xll.SNL.Clients.Office.Excel.Functions.SPG($T151, "SP_RATE_VALUE",U$77,"Options:NA=NA")</f>
        <v>#NAME?</v>
      </c>
      <c r="V151" s="233" t="e" cm="1">
        <f t="array" aca="1" ref="V151" ca="1">_xll.SNL.Clients.Office.Excel.Functions.SPG($T151, "SP_RATE_VALUE",V$77,"Options:NA=NA")</f>
        <v>#NAME?</v>
      </c>
      <c r="W151" s="228" t="e" cm="1">
        <f t="array" aca="1" ref="W151" ca="1">_xll.SNL.Clients.Office.Excel.Functions.SPG($T151, "SP_RATE_VALUE",W$77,"Options:NA=NA")</f>
        <v>#NAME?</v>
      </c>
      <c r="AE151" s="201"/>
      <c r="AF151" s="201"/>
      <c r="AG151" s="201"/>
      <c r="AH151" s="2"/>
      <c r="AJ151" s="2"/>
      <c r="AS151" s="201"/>
      <c r="AT151" s="2"/>
      <c r="AV151" s="2"/>
    </row>
    <row r="152" spans="18:68" x14ac:dyDescent="0.2">
      <c r="R152" s="24" t="s">
        <v>4196</v>
      </c>
      <c r="S152" s="236" t="e">
        <f t="shared" ca="1" si="33"/>
        <v>#NAME?</v>
      </c>
      <c r="T152" s="230" t="s">
        <v>4827</v>
      </c>
      <c r="U152" s="233" t="e" cm="1">
        <f t="array" aca="1" ref="U152" ca="1">_xll.SNL.Clients.Office.Excel.Functions.SPG($T152, "SP_RATE_VALUE",U$77,"Options:NA=NA")</f>
        <v>#NAME?</v>
      </c>
      <c r="V152" s="233" t="e" cm="1">
        <f t="array" aca="1" ref="V152" ca="1">_xll.SNL.Clients.Office.Excel.Functions.SPG($T152, "SP_RATE_VALUE",V$77,"Options:NA=NA")</f>
        <v>#NAME?</v>
      </c>
      <c r="W152" s="228" t="e" cm="1">
        <f t="array" aca="1" ref="W152" ca="1">_xll.SNL.Clients.Office.Excel.Functions.SPG($T152, "SP_RATE_VALUE",W$77,"Options:NA=NA")</f>
        <v>#NAME?</v>
      </c>
      <c r="AE152" s="201"/>
      <c r="AF152" s="201"/>
      <c r="AG152" s="201"/>
      <c r="AH152" s="2"/>
      <c r="AJ152" s="2"/>
      <c r="AS152" s="201"/>
      <c r="AT152" s="2"/>
      <c r="AV152" s="2"/>
    </row>
    <row r="153" spans="18:68" x14ac:dyDescent="0.2">
      <c r="R153" s="24" t="s">
        <v>4197</v>
      </c>
      <c r="S153" s="236" t="e">
        <f t="shared" ca="1" si="33"/>
        <v>#NAME?</v>
      </c>
      <c r="T153" s="230" t="s">
        <v>4828</v>
      </c>
      <c r="U153" s="233" t="e" cm="1">
        <f t="array" aca="1" ref="U153" ca="1">_xll.SNL.Clients.Office.Excel.Functions.SPG($T153, "SP_RATE_VALUE",U$77,"Options:NA=NA")</f>
        <v>#NAME?</v>
      </c>
      <c r="V153" s="233" t="e" cm="1">
        <f t="array" aca="1" ref="V153" ca="1">_xll.SNL.Clients.Office.Excel.Functions.SPG($T153, "SP_RATE_VALUE",V$77,"Options:NA=NA")</f>
        <v>#NAME?</v>
      </c>
      <c r="W153" s="228" t="e" cm="1">
        <f t="array" aca="1" ref="W153" ca="1">_xll.SNL.Clients.Office.Excel.Functions.SPG($T153, "SP_RATE_VALUE",W$77,"Options:NA=NA")</f>
        <v>#NAME?</v>
      </c>
      <c r="AE153" s="201"/>
      <c r="AF153" s="201"/>
      <c r="AG153" s="201"/>
      <c r="AH153" s="2"/>
      <c r="AJ153" s="2"/>
      <c r="AS153" s="201"/>
      <c r="AT153" s="2"/>
      <c r="AV153" s="2"/>
    </row>
    <row r="154" spans="18:68" x14ac:dyDescent="0.2">
      <c r="R154" s="24" t="s">
        <v>4198</v>
      </c>
      <c r="S154" s="236" t="e">
        <f t="shared" ca="1" si="33"/>
        <v>#NAME?</v>
      </c>
      <c r="T154" s="230" t="s">
        <v>4829</v>
      </c>
      <c r="U154" s="233" t="e" cm="1">
        <f t="array" aca="1" ref="U154" ca="1">_xll.SNL.Clients.Office.Excel.Functions.SPG($T154, "SP_RATE_VALUE",U$77,"Options:NA=NA")</f>
        <v>#NAME?</v>
      </c>
      <c r="V154" s="233" t="e" cm="1">
        <f t="array" aca="1" ref="V154" ca="1">_xll.SNL.Clients.Office.Excel.Functions.SPG($T154, "SP_RATE_VALUE",V$77,"Options:NA=NA")</f>
        <v>#NAME?</v>
      </c>
      <c r="W154" s="228" t="e" cm="1">
        <f t="array" aca="1" ref="W154" ca="1">_xll.SNL.Clients.Office.Excel.Functions.SPG($T154, "SP_RATE_VALUE",W$77,"Options:NA=NA")</f>
        <v>#NAME?</v>
      </c>
      <c r="AE154" s="201"/>
      <c r="AF154" s="201"/>
      <c r="AG154" s="201"/>
      <c r="AH154" s="2"/>
      <c r="AJ154" s="2"/>
      <c r="AS154" s="201"/>
      <c r="AT154" s="2"/>
      <c r="AV154" s="2"/>
    </row>
    <row r="155" spans="18:68" x14ac:dyDescent="0.2">
      <c r="R155" s="24" t="s">
        <v>4199</v>
      </c>
      <c r="S155" s="236" t="e">
        <f t="shared" ca="1" si="33"/>
        <v>#NAME?</v>
      </c>
      <c r="T155" s="230" t="s">
        <v>4830</v>
      </c>
      <c r="U155" s="233" t="e" cm="1">
        <f t="array" aca="1" ref="U155" ca="1">_xll.SNL.Clients.Office.Excel.Functions.SPG($T155, "SP_RATE_VALUE",U$77,"Options:NA=NA")</f>
        <v>#NAME?</v>
      </c>
      <c r="V155" s="233" t="e" cm="1">
        <f t="array" aca="1" ref="V155" ca="1">_xll.SNL.Clients.Office.Excel.Functions.SPG($T155, "SP_RATE_VALUE",V$77,"Options:NA=NA")</f>
        <v>#NAME?</v>
      </c>
      <c r="W155" s="228" t="e" cm="1">
        <f t="array" aca="1" ref="W155" ca="1">_xll.SNL.Clients.Office.Excel.Functions.SPG($T155, "SP_RATE_VALUE",W$77,"Options:NA=NA")</f>
        <v>#NAME?</v>
      </c>
      <c r="AE155" s="201"/>
      <c r="AF155" s="201"/>
      <c r="AG155" s="201"/>
      <c r="AH155" s="2"/>
      <c r="AJ155" s="2"/>
      <c r="AS155" s="201"/>
      <c r="AT155" s="2"/>
      <c r="AV155" s="2"/>
    </row>
    <row r="156" spans="18:68" x14ac:dyDescent="0.2">
      <c r="R156" s="24" t="s">
        <v>4200</v>
      </c>
      <c r="S156" s="236" t="e">
        <f t="shared" ca="1" si="33"/>
        <v>#NAME?</v>
      </c>
      <c r="T156" s="230" t="s">
        <v>4831</v>
      </c>
      <c r="U156" s="233" t="e" cm="1">
        <f t="array" aca="1" ref="U156" ca="1">_xll.SNL.Clients.Office.Excel.Functions.SPG($T156, "SP_RATE_VALUE",U$77,"Options:NA=NA")</f>
        <v>#NAME?</v>
      </c>
      <c r="V156" s="233" t="e" cm="1">
        <f t="array" aca="1" ref="V156" ca="1">_xll.SNL.Clients.Office.Excel.Functions.SPG($T156, "SP_RATE_VALUE",V$77,"Options:NA=NA")</f>
        <v>#NAME?</v>
      </c>
      <c r="W156" s="228" t="e" cm="1">
        <f t="array" aca="1" ref="W156" ca="1">_xll.SNL.Clients.Office.Excel.Functions.SPG($T156, "SP_RATE_VALUE",W$77,"Options:NA=NA")</f>
        <v>#NAME?</v>
      </c>
      <c r="AE156" s="201"/>
      <c r="AF156" s="201"/>
      <c r="AG156" s="201"/>
      <c r="AH156" s="2"/>
      <c r="AJ156" s="2"/>
      <c r="AS156" s="201"/>
      <c r="AT156" s="2"/>
      <c r="AV156" s="2"/>
    </row>
    <row r="157" spans="18:68" x14ac:dyDescent="0.2">
      <c r="R157" s="24" t="s">
        <v>4201</v>
      </c>
      <c r="S157" s="236" t="e">
        <f t="shared" ca="1" si="33"/>
        <v>#NAME?</v>
      </c>
      <c r="T157" s="230" t="s">
        <v>4832</v>
      </c>
      <c r="U157" s="233" t="e" cm="1">
        <f t="array" aca="1" ref="U157" ca="1">_xll.SNL.Clients.Office.Excel.Functions.SPG($T157, "SP_RATE_VALUE",U$77,"Options:NA=NA")</f>
        <v>#NAME?</v>
      </c>
      <c r="V157" s="233" t="e" cm="1">
        <f t="array" aca="1" ref="V157" ca="1">_xll.SNL.Clients.Office.Excel.Functions.SPG($T157, "SP_RATE_VALUE",V$77,"Options:NA=NA")</f>
        <v>#NAME?</v>
      </c>
      <c r="W157" s="228" t="e" cm="1">
        <f t="array" aca="1" ref="W157" ca="1">_xll.SNL.Clients.Office.Excel.Functions.SPG($T157, "SP_RATE_VALUE",W$77,"Options:NA=NA")</f>
        <v>#NAME?</v>
      </c>
      <c r="AE157" s="201"/>
      <c r="AF157" s="201"/>
      <c r="AG157" s="201"/>
      <c r="AH157" s="2"/>
      <c r="AJ157" s="2"/>
      <c r="AS157" s="201"/>
      <c r="AT157" s="2"/>
      <c r="AV157" s="2"/>
    </row>
    <row r="158" spans="18:68" x14ac:dyDescent="0.2">
      <c r="R158" s="24" t="s">
        <v>124</v>
      </c>
      <c r="S158" s="236" t="e">
        <f t="shared" ca="1" si="33"/>
        <v>#NAME?</v>
      </c>
      <c r="T158" s="230" t="s">
        <v>4833</v>
      </c>
      <c r="U158" s="233" t="e" cm="1">
        <f t="array" aca="1" ref="U158" ca="1">_xll.SNL.Clients.Office.Excel.Functions.SPG($T158, "SP_RATE_VALUE",U$77,"Options:NA=NA")</f>
        <v>#NAME?</v>
      </c>
      <c r="V158" s="233" t="e" cm="1">
        <f t="array" aca="1" ref="V158" ca="1">_xll.SNL.Clients.Office.Excel.Functions.SPG($T158, "SP_RATE_VALUE",V$77,"Options:NA=NA")</f>
        <v>#NAME?</v>
      </c>
      <c r="W158" s="228" t="e" cm="1">
        <f t="array" aca="1" ref="W158" ca="1">_xll.SNL.Clients.Office.Excel.Functions.SPG($T158, "SP_RATE_VALUE",W$77,"Options:NA=NA")</f>
        <v>#NAME?</v>
      </c>
      <c r="AE158" s="201"/>
      <c r="AF158" s="201"/>
      <c r="AG158" s="201"/>
      <c r="AH158" s="2"/>
      <c r="AJ158" s="2"/>
      <c r="AS158" s="201"/>
      <c r="AT158" s="2"/>
      <c r="AV158" s="2"/>
    </row>
    <row r="159" spans="18:68" x14ac:dyDescent="0.2">
      <c r="R159" s="12" t="s">
        <v>4202</v>
      </c>
      <c r="S159" s="237" t="e">
        <f t="shared" ca="1" si="33"/>
        <v>#NAME?</v>
      </c>
      <c r="T159" s="231" t="s">
        <v>4834</v>
      </c>
      <c r="U159" s="234" t="e" cm="1">
        <f t="array" aca="1" ref="U159" ca="1">_xll.SNL.Clients.Office.Excel.Functions.SPG($T159, "SP_RATE_VALUE",U$77,"Options:NA=NA")</f>
        <v>#NAME?</v>
      </c>
      <c r="V159" s="234" t="e" cm="1">
        <f t="array" aca="1" ref="V159" ca="1">_xll.SNL.Clients.Office.Excel.Functions.SPG($T159, "SP_RATE_VALUE",V$77,"Options:NA=NA")</f>
        <v>#NAME?</v>
      </c>
      <c r="W159" s="229" t="e" cm="1">
        <f t="array" aca="1" ref="W159" ca="1">_xll.SNL.Clients.Office.Excel.Functions.SPG($T159, "SP_RATE_VALUE",W$77,"Options:NA=NA")</f>
        <v>#NAME?</v>
      </c>
      <c r="AE159" s="201"/>
      <c r="AF159" s="201"/>
      <c r="AG159" s="201"/>
      <c r="AH159" s="2"/>
      <c r="AJ159" s="2"/>
      <c r="AS159" s="201"/>
      <c r="AT159" s="2"/>
      <c r="AV159" s="2"/>
    </row>
    <row r="160" spans="18:68" x14ac:dyDescent="0.2">
      <c r="AE160" s="201"/>
      <c r="AF160" s="201"/>
      <c r="AG160" s="201"/>
      <c r="AH160" s="2"/>
      <c r="AJ160" s="2"/>
      <c r="AS160" s="201"/>
      <c r="AT160" s="2"/>
      <c r="AV160" s="2"/>
    </row>
    <row r="161" spans="31:48" x14ac:dyDescent="0.2">
      <c r="AE161" s="201"/>
      <c r="AF161" s="201"/>
      <c r="AG161" s="201"/>
      <c r="AH161" s="2"/>
      <c r="AJ161" s="2"/>
      <c r="AS161" s="201"/>
      <c r="AT161" s="2"/>
      <c r="AV161" s="2"/>
    </row>
    <row r="162" spans="31:48" x14ac:dyDescent="0.2">
      <c r="AE162" s="201"/>
      <c r="AF162" s="201"/>
      <c r="AG162" s="201"/>
      <c r="AH162" s="2"/>
      <c r="AJ162" s="2"/>
      <c r="AS162" s="201"/>
      <c r="AT162" s="2"/>
      <c r="AV162" s="2"/>
    </row>
    <row r="163" spans="31:48" x14ac:dyDescent="0.2">
      <c r="AE163" s="201"/>
      <c r="AF163" s="201"/>
      <c r="AG163" s="201"/>
      <c r="AH163" s="2"/>
      <c r="AJ163" s="2"/>
      <c r="AS163" s="201"/>
      <c r="AT163" s="2"/>
      <c r="AV163" s="2"/>
    </row>
    <row r="164" spans="31:48" x14ac:dyDescent="0.2">
      <c r="AE164" s="201"/>
      <c r="AF164" s="201"/>
      <c r="AG164" s="201"/>
      <c r="AH164" s="2"/>
      <c r="AJ164" s="2"/>
      <c r="AS164" s="201"/>
      <c r="AT164" s="2"/>
      <c r="AV164" s="2"/>
    </row>
    <row r="165" spans="31:48" x14ac:dyDescent="0.2">
      <c r="AE165" s="201"/>
      <c r="AF165" s="201"/>
      <c r="AG165" s="201"/>
      <c r="AH165" s="2"/>
      <c r="AJ165" s="2"/>
      <c r="AS165" s="201"/>
      <c r="AT165" s="2"/>
      <c r="AV165" s="2"/>
    </row>
    <row r="166" spans="31:48" x14ac:dyDescent="0.2">
      <c r="AE166" s="201"/>
      <c r="AF166" s="201"/>
      <c r="AG166" s="201"/>
      <c r="AH166" s="2"/>
      <c r="AJ166" s="2"/>
      <c r="AS166" s="201"/>
      <c r="AT166" s="2"/>
      <c r="AV166" s="2"/>
    </row>
    <row r="167" spans="31:48" x14ac:dyDescent="0.2">
      <c r="AE167" s="201"/>
      <c r="AF167" s="201"/>
      <c r="AG167" s="201"/>
      <c r="AH167" s="2"/>
      <c r="AJ167" s="2"/>
      <c r="AS167" s="201"/>
      <c r="AT167" s="2"/>
      <c r="AV167" s="2"/>
    </row>
    <row r="168" spans="31:48" x14ac:dyDescent="0.2">
      <c r="AE168" s="201"/>
      <c r="AF168" s="201"/>
      <c r="AG168" s="201"/>
      <c r="AH168" s="2"/>
      <c r="AJ168" s="2"/>
      <c r="AS168" s="201"/>
      <c r="AT168" s="2"/>
      <c r="AV168" s="2"/>
    </row>
    <row r="169" spans="31:48" x14ac:dyDescent="0.2">
      <c r="AE169" s="201"/>
      <c r="AF169" s="201"/>
      <c r="AG169" s="201"/>
      <c r="AH169" s="2"/>
      <c r="AJ169" s="2"/>
      <c r="AS169" s="201"/>
      <c r="AT169" s="2"/>
      <c r="AV169" s="2"/>
    </row>
    <row r="170" spans="31:48" x14ac:dyDescent="0.2">
      <c r="AE170" s="201"/>
      <c r="AF170" s="201"/>
      <c r="AG170" s="201"/>
      <c r="AH170" s="2"/>
      <c r="AJ170" s="2"/>
      <c r="AS170" s="201"/>
      <c r="AT170" s="2"/>
      <c r="AV170" s="2"/>
    </row>
    <row r="171" spans="31:48" x14ac:dyDescent="0.2">
      <c r="AE171" s="201"/>
      <c r="AF171" s="201"/>
      <c r="AG171" s="201"/>
      <c r="AH171" s="2"/>
      <c r="AJ171" s="2"/>
      <c r="AS171" s="201"/>
      <c r="AT171" s="2"/>
      <c r="AV171" s="2"/>
    </row>
    <row r="172" spans="31:48" x14ac:dyDescent="0.2">
      <c r="AE172" s="201"/>
      <c r="AF172" s="201"/>
      <c r="AG172" s="201"/>
      <c r="AH172" s="2"/>
      <c r="AJ172" s="2"/>
      <c r="AS172" s="201"/>
      <c r="AT172" s="2"/>
      <c r="AV172" s="2"/>
    </row>
    <row r="173" spans="31:48" x14ac:dyDescent="0.2">
      <c r="AE173" s="201"/>
      <c r="AF173" s="201"/>
      <c r="AG173" s="201"/>
      <c r="AH173" s="2"/>
      <c r="AJ173" s="2"/>
      <c r="AS173" s="201"/>
      <c r="AT173" s="2"/>
      <c r="AV173" s="2"/>
    </row>
    <row r="174" spans="31:48" x14ac:dyDescent="0.2">
      <c r="AE174" s="201"/>
      <c r="AF174" s="201"/>
      <c r="AG174" s="201"/>
      <c r="AH174" s="2"/>
      <c r="AJ174" s="2"/>
      <c r="AS174" s="201"/>
      <c r="AT174" s="2"/>
      <c r="AV174" s="2"/>
    </row>
    <row r="175" spans="31:48" x14ac:dyDescent="0.2">
      <c r="AE175" s="201"/>
      <c r="AF175" s="201"/>
      <c r="AG175" s="201"/>
      <c r="AH175" s="2"/>
      <c r="AJ175" s="2"/>
      <c r="AS175" s="201"/>
      <c r="AT175" s="2"/>
      <c r="AV175" s="2"/>
    </row>
    <row r="176" spans="31:48" x14ac:dyDescent="0.2">
      <c r="AE176" s="201"/>
      <c r="AF176" s="201"/>
      <c r="AG176" s="201"/>
      <c r="AH176" s="2"/>
      <c r="AJ176" s="2"/>
      <c r="AS176" s="201"/>
      <c r="AT176" s="2"/>
      <c r="AV176" s="2"/>
    </row>
    <row r="177" spans="31:48" x14ac:dyDescent="0.2">
      <c r="AE177" s="201"/>
      <c r="AF177" s="201"/>
      <c r="AG177" s="201"/>
      <c r="AH177" s="2"/>
      <c r="AJ177" s="2"/>
      <c r="AS177" s="201"/>
      <c r="AT177" s="2"/>
      <c r="AV177" s="2"/>
    </row>
    <row r="178" spans="31:48" x14ac:dyDescent="0.2">
      <c r="AE178" s="201"/>
      <c r="AF178" s="201"/>
      <c r="AG178" s="201"/>
      <c r="AH178" s="2"/>
      <c r="AJ178" s="2"/>
      <c r="AS178" s="201"/>
      <c r="AT178" s="2"/>
      <c r="AV178" s="2"/>
    </row>
    <row r="179" spans="31:48" x14ac:dyDescent="0.2">
      <c r="AE179" s="201"/>
      <c r="AF179" s="201"/>
      <c r="AG179" s="201"/>
      <c r="AH179" s="2"/>
      <c r="AJ179" s="2"/>
      <c r="AS179" s="201"/>
      <c r="AT179" s="2"/>
      <c r="AV179" s="2"/>
    </row>
    <row r="180" spans="31:48" x14ac:dyDescent="0.2">
      <c r="AE180" s="201"/>
      <c r="AF180" s="201"/>
      <c r="AG180" s="201"/>
      <c r="AH180" s="2"/>
      <c r="AJ180" s="2"/>
      <c r="AS180" s="201"/>
      <c r="AT180" s="2"/>
      <c r="AV180" s="2"/>
    </row>
    <row r="181" spans="31:48" x14ac:dyDescent="0.2">
      <c r="AE181" s="201"/>
      <c r="AF181" s="201"/>
      <c r="AG181" s="201"/>
      <c r="AH181" s="2"/>
      <c r="AJ181" s="2"/>
      <c r="AS181" s="201"/>
      <c r="AT181" s="2"/>
      <c r="AV181" s="2"/>
    </row>
    <row r="182" spans="31:48" x14ac:dyDescent="0.2">
      <c r="AE182" s="201"/>
      <c r="AF182" s="201"/>
      <c r="AG182" s="201"/>
      <c r="AH182" s="2"/>
      <c r="AJ182" s="2"/>
      <c r="AS182" s="201"/>
      <c r="AT182" s="2"/>
      <c r="AV182" s="2"/>
    </row>
    <row r="183" spans="31:48" x14ac:dyDescent="0.2">
      <c r="AE183" s="201"/>
      <c r="AF183" s="201"/>
      <c r="AG183" s="201"/>
      <c r="AH183" s="2"/>
      <c r="AJ183" s="2"/>
      <c r="AS183" s="201"/>
      <c r="AT183" s="2"/>
      <c r="AV183" s="2"/>
    </row>
    <row r="184" spans="31:48" x14ac:dyDescent="0.2">
      <c r="AE184" s="201"/>
      <c r="AF184" s="201"/>
      <c r="AG184" s="201"/>
      <c r="AH184" s="2"/>
      <c r="AJ184" s="2"/>
      <c r="AS184" s="201"/>
      <c r="AT184" s="2"/>
      <c r="AV184" s="2"/>
    </row>
    <row r="185" spans="31:48" x14ac:dyDescent="0.2">
      <c r="AE185" s="201"/>
      <c r="AF185" s="201"/>
      <c r="AG185" s="201"/>
      <c r="AH185" s="2"/>
      <c r="AJ185" s="2"/>
      <c r="AS185" s="201"/>
      <c r="AT185" s="2"/>
      <c r="AV185" s="2"/>
    </row>
    <row r="186" spans="31:48" x14ac:dyDescent="0.2">
      <c r="AE186" s="201"/>
      <c r="AF186" s="201"/>
      <c r="AG186" s="201"/>
      <c r="AH186" s="2"/>
      <c r="AJ186" s="2"/>
      <c r="AS186" s="201"/>
      <c r="AT186" s="2"/>
      <c r="AV186" s="2"/>
    </row>
    <row r="187" spans="31:48" x14ac:dyDescent="0.2">
      <c r="AE187" s="201"/>
      <c r="AF187" s="201"/>
      <c r="AG187" s="201"/>
      <c r="AH187" s="2"/>
      <c r="AJ187" s="2"/>
      <c r="AS187" s="201"/>
      <c r="AT187" s="2"/>
      <c r="AV187" s="2"/>
    </row>
    <row r="188" spans="31:48" x14ac:dyDescent="0.2">
      <c r="AE188" s="201"/>
      <c r="AF188" s="201"/>
      <c r="AG188" s="201"/>
      <c r="AH188" s="2"/>
      <c r="AJ188" s="2"/>
      <c r="AS188" s="201"/>
      <c r="AT188" s="2"/>
      <c r="AV188" s="2"/>
    </row>
    <row r="189" spans="31:48" x14ac:dyDescent="0.2">
      <c r="AE189" s="201"/>
      <c r="AF189" s="201"/>
      <c r="AG189" s="201"/>
      <c r="AH189" s="2"/>
      <c r="AJ189" s="2"/>
      <c r="AS189" s="201"/>
      <c r="AT189" s="2"/>
      <c r="AV189" s="2"/>
    </row>
    <row r="190" spans="31:48" x14ac:dyDescent="0.2">
      <c r="AE190" s="201"/>
      <c r="AF190" s="201"/>
      <c r="AG190" s="201"/>
      <c r="AH190" s="2"/>
      <c r="AJ190" s="2"/>
      <c r="AS190" s="201"/>
      <c r="AT190" s="2"/>
      <c r="AV190" s="2"/>
    </row>
    <row r="191" spans="31:48" x14ac:dyDescent="0.2">
      <c r="AE191" s="201"/>
      <c r="AF191" s="201"/>
      <c r="AG191" s="201"/>
      <c r="AH191" s="2"/>
      <c r="AJ191" s="2"/>
      <c r="AS191" s="201"/>
      <c r="AT191" s="2"/>
      <c r="AV191" s="2"/>
    </row>
    <row r="192" spans="31:48" x14ac:dyDescent="0.2">
      <c r="AE192" s="201"/>
      <c r="AF192" s="201"/>
      <c r="AG192" s="201"/>
      <c r="AH192" s="2"/>
      <c r="AJ192" s="2"/>
      <c r="AS192" s="201"/>
      <c r="AT192" s="2"/>
      <c r="AV192" s="2"/>
    </row>
    <row r="193" spans="31:48" x14ac:dyDescent="0.2">
      <c r="AE193" s="201"/>
      <c r="AF193" s="201"/>
      <c r="AG193" s="201"/>
      <c r="AH193" s="2"/>
      <c r="AJ193" s="2"/>
      <c r="AS193" s="201"/>
      <c r="AT193" s="2"/>
      <c r="AV193" s="2"/>
    </row>
    <row r="194" spans="31:48" x14ac:dyDescent="0.2">
      <c r="AE194" s="201"/>
      <c r="AF194" s="201"/>
      <c r="AG194" s="201"/>
      <c r="AH194" s="2"/>
      <c r="AJ194" s="2"/>
      <c r="AS194" s="201"/>
      <c r="AT194" s="2"/>
      <c r="AV194" s="2"/>
    </row>
    <row r="195" spans="31:48" x14ac:dyDescent="0.2">
      <c r="AE195" s="201"/>
      <c r="AF195" s="201"/>
      <c r="AG195" s="201"/>
      <c r="AH195" s="2"/>
      <c r="AJ195" s="2"/>
      <c r="AS195" s="201"/>
      <c r="AT195" s="2"/>
      <c r="AV195" s="2"/>
    </row>
    <row r="196" spans="31:48" x14ac:dyDescent="0.2">
      <c r="AE196" s="201"/>
      <c r="AF196" s="201"/>
      <c r="AG196" s="201"/>
      <c r="AH196" s="2"/>
      <c r="AJ196" s="2"/>
      <c r="AS196" s="201"/>
      <c r="AT196" s="2"/>
      <c r="AV196" s="2"/>
    </row>
    <row r="197" spans="31:48" x14ac:dyDescent="0.2">
      <c r="AE197" s="201"/>
      <c r="AF197" s="201"/>
      <c r="AG197" s="201"/>
      <c r="AH197" s="2"/>
      <c r="AJ197" s="2"/>
      <c r="AS197" s="201"/>
      <c r="AT197" s="2"/>
      <c r="AV197" s="2"/>
    </row>
    <row r="198" spans="31:48" x14ac:dyDescent="0.2">
      <c r="AE198" s="201"/>
      <c r="AF198" s="201"/>
      <c r="AG198" s="201"/>
      <c r="AH198" s="2"/>
      <c r="AJ198" s="2"/>
      <c r="AS198" s="201"/>
      <c r="AT198" s="2"/>
      <c r="AV198" s="2"/>
    </row>
    <row r="199" spans="31:48" x14ac:dyDescent="0.2">
      <c r="AE199" s="201"/>
      <c r="AF199" s="201"/>
      <c r="AG199" s="201"/>
      <c r="AH199" s="2"/>
      <c r="AJ199" s="2"/>
      <c r="AS199" s="201"/>
      <c r="AT199" s="2"/>
      <c r="AV199" s="2"/>
    </row>
    <row r="200" spans="31:48" x14ac:dyDescent="0.2">
      <c r="AE200" s="201"/>
      <c r="AF200" s="201"/>
      <c r="AG200" s="201"/>
      <c r="AH200" s="2"/>
      <c r="AJ200" s="2"/>
      <c r="AS200" s="201"/>
      <c r="AT200" s="2"/>
      <c r="AV200" s="2"/>
    </row>
    <row r="201" spans="31:48" x14ac:dyDescent="0.2">
      <c r="AE201" s="201"/>
      <c r="AF201" s="201"/>
      <c r="AG201" s="201"/>
      <c r="AH201" s="2"/>
      <c r="AJ201" s="2"/>
      <c r="AS201" s="201"/>
      <c r="AT201" s="2"/>
      <c r="AV201" s="2"/>
    </row>
    <row r="202" spans="31:48" x14ac:dyDescent="0.2">
      <c r="AE202" s="201"/>
      <c r="AF202" s="201"/>
      <c r="AG202" s="201"/>
      <c r="AH202" s="2"/>
      <c r="AJ202" s="2"/>
      <c r="AS202" s="201"/>
      <c r="AT202" s="2"/>
      <c r="AV202" s="2"/>
    </row>
    <row r="203" spans="31:48" x14ac:dyDescent="0.2">
      <c r="AE203" s="201"/>
      <c r="AF203" s="201"/>
      <c r="AG203" s="201"/>
      <c r="AH203" s="2"/>
      <c r="AJ203" s="2"/>
      <c r="AS203" s="201"/>
      <c r="AT203" s="2"/>
      <c r="AV203" s="2"/>
    </row>
    <row r="204" spans="31:48" x14ac:dyDescent="0.2">
      <c r="AE204" s="201"/>
      <c r="AF204" s="201"/>
      <c r="AG204" s="201"/>
      <c r="AH204" s="2"/>
      <c r="AJ204" s="2"/>
      <c r="AS204" s="201"/>
      <c r="AT204" s="2"/>
      <c r="AV204" s="2"/>
    </row>
    <row r="205" spans="31:48" x14ac:dyDescent="0.2">
      <c r="AE205" s="201"/>
      <c r="AF205" s="201"/>
      <c r="AG205" s="201"/>
      <c r="AH205" s="2"/>
      <c r="AJ205" s="2"/>
      <c r="AS205" s="201"/>
      <c r="AT205" s="2"/>
      <c r="AV205" s="2"/>
    </row>
    <row r="206" spans="31:48" x14ac:dyDescent="0.2">
      <c r="AE206" s="201"/>
      <c r="AF206" s="201"/>
      <c r="AG206" s="201"/>
      <c r="AH206" s="2"/>
      <c r="AJ206" s="2"/>
      <c r="AS206" s="201"/>
      <c r="AT206" s="2"/>
      <c r="AV206" s="2"/>
    </row>
    <row r="207" spans="31:48" x14ac:dyDescent="0.2">
      <c r="AE207" s="201"/>
      <c r="AF207" s="201"/>
      <c r="AG207" s="201"/>
      <c r="AH207" s="2"/>
      <c r="AJ207" s="2"/>
      <c r="AS207" s="201"/>
      <c r="AT207" s="2"/>
      <c r="AV207" s="2"/>
    </row>
    <row r="208" spans="31:48" x14ac:dyDescent="0.2">
      <c r="AE208" s="201"/>
      <c r="AF208" s="201"/>
      <c r="AG208" s="201"/>
      <c r="AH208" s="2"/>
      <c r="AJ208" s="2"/>
      <c r="AS208" s="201"/>
      <c r="AT208" s="2"/>
      <c r="AV208" s="2"/>
    </row>
    <row r="209" spans="31:48" x14ac:dyDescent="0.2">
      <c r="AE209" s="201"/>
      <c r="AF209" s="201"/>
      <c r="AG209" s="201"/>
      <c r="AH209" s="2"/>
      <c r="AJ209" s="2"/>
      <c r="AS209" s="201"/>
      <c r="AT209" s="2"/>
      <c r="AV209" s="2"/>
    </row>
    <row r="210" spans="31:48" x14ac:dyDescent="0.2">
      <c r="AE210" s="201"/>
      <c r="AF210" s="201"/>
      <c r="AG210" s="201"/>
      <c r="AH210" s="2"/>
      <c r="AJ210" s="2"/>
      <c r="AS210" s="201"/>
      <c r="AT210" s="2"/>
      <c r="AV210" s="2"/>
    </row>
    <row r="211" spans="31:48" x14ac:dyDescent="0.2">
      <c r="AE211" s="201"/>
      <c r="AF211" s="201"/>
      <c r="AG211" s="201"/>
      <c r="AH211" s="2"/>
      <c r="AJ211" s="2"/>
      <c r="AS211" s="201"/>
      <c r="AT211" s="2"/>
      <c r="AV211" s="2"/>
    </row>
    <row r="212" spans="31:48" x14ac:dyDescent="0.2">
      <c r="AE212" s="201"/>
      <c r="AF212" s="201"/>
      <c r="AG212" s="201"/>
      <c r="AH212" s="2"/>
      <c r="AJ212" s="2"/>
      <c r="AS212" s="201"/>
      <c r="AT212" s="2"/>
      <c r="AV212" s="2"/>
    </row>
    <row r="213" spans="31:48" x14ac:dyDescent="0.2">
      <c r="AE213" s="201"/>
      <c r="AF213" s="201"/>
      <c r="AG213" s="201"/>
      <c r="AH213" s="2"/>
      <c r="AJ213" s="2"/>
      <c r="AS213" s="201"/>
      <c r="AT213" s="2"/>
      <c r="AV213" s="2"/>
    </row>
    <row r="214" spans="31:48" x14ac:dyDescent="0.2">
      <c r="AE214" s="201"/>
      <c r="AF214" s="201"/>
      <c r="AG214" s="201"/>
      <c r="AH214" s="2"/>
      <c r="AJ214" s="2"/>
      <c r="AS214" s="201"/>
      <c r="AT214" s="2"/>
      <c r="AV214" s="2"/>
    </row>
    <row r="215" spans="31:48" x14ac:dyDescent="0.2">
      <c r="AE215" s="201"/>
      <c r="AF215" s="201"/>
      <c r="AG215" s="201"/>
      <c r="AH215" s="2"/>
      <c r="AJ215" s="2"/>
      <c r="AS215" s="201"/>
      <c r="AT215" s="2"/>
      <c r="AV215" s="2"/>
    </row>
    <row r="216" spans="31:48" x14ac:dyDescent="0.2">
      <c r="AE216" s="201"/>
      <c r="AF216" s="201"/>
      <c r="AG216" s="201"/>
      <c r="AH216" s="2"/>
      <c r="AJ216" s="2"/>
      <c r="AS216" s="201"/>
      <c r="AT216" s="2"/>
      <c r="AV216" s="2"/>
    </row>
    <row r="217" spans="31:48" x14ac:dyDescent="0.2">
      <c r="AE217" s="201"/>
      <c r="AF217" s="201"/>
      <c r="AG217" s="201"/>
      <c r="AH217" s="2"/>
      <c r="AJ217" s="2"/>
      <c r="AS217" s="201"/>
      <c r="AT217" s="2"/>
      <c r="AV217" s="2"/>
    </row>
    <row r="218" spans="31:48" x14ac:dyDescent="0.2">
      <c r="AE218" s="201"/>
      <c r="AF218" s="201"/>
      <c r="AG218" s="201"/>
      <c r="AH218" s="2"/>
      <c r="AJ218" s="2"/>
      <c r="AS218" s="201"/>
      <c r="AT218" s="2"/>
      <c r="AV218" s="2"/>
    </row>
    <row r="219" spans="31:48" x14ac:dyDescent="0.2">
      <c r="AE219" s="201"/>
      <c r="AF219" s="201"/>
      <c r="AG219" s="201"/>
      <c r="AH219" s="2"/>
      <c r="AJ219" s="2"/>
      <c r="AS219" s="201"/>
      <c r="AT219" s="2"/>
      <c r="AV219" s="2"/>
    </row>
    <row r="220" spans="31:48" x14ac:dyDescent="0.2">
      <c r="AE220" s="201"/>
      <c r="AF220" s="201"/>
      <c r="AG220" s="201"/>
      <c r="AH220" s="2"/>
      <c r="AJ220" s="2"/>
      <c r="AS220" s="201"/>
      <c r="AT220" s="2"/>
      <c r="AV220" s="2"/>
    </row>
    <row r="221" spans="31:48" x14ac:dyDescent="0.2">
      <c r="AE221" s="201"/>
      <c r="AF221" s="201"/>
      <c r="AG221" s="201"/>
      <c r="AH221" s="2"/>
      <c r="AJ221" s="2"/>
      <c r="AS221" s="201"/>
      <c r="AT221" s="2"/>
      <c r="AV221" s="2"/>
    </row>
    <row r="222" spans="31:48" x14ac:dyDescent="0.2">
      <c r="AE222" s="201"/>
      <c r="AF222" s="201"/>
      <c r="AG222" s="201"/>
      <c r="AH222" s="2"/>
      <c r="AJ222" s="2"/>
      <c r="AS222" s="201"/>
      <c r="AT222" s="2"/>
      <c r="AV222" s="2"/>
    </row>
    <row r="223" spans="31:48" x14ac:dyDescent="0.2">
      <c r="AE223" s="201"/>
      <c r="AF223" s="201"/>
      <c r="AG223" s="201"/>
      <c r="AH223" s="2"/>
      <c r="AJ223" s="2"/>
      <c r="AS223" s="201"/>
      <c r="AT223" s="2"/>
      <c r="AV223" s="2"/>
    </row>
    <row r="224" spans="31:48" x14ac:dyDescent="0.2">
      <c r="AE224" s="201"/>
      <c r="AF224" s="201"/>
      <c r="AG224" s="201"/>
      <c r="AH224" s="2"/>
      <c r="AJ224" s="2"/>
      <c r="AS224" s="201"/>
      <c r="AT224" s="2"/>
      <c r="AV224" s="2"/>
    </row>
    <row r="225" spans="31:48" x14ac:dyDescent="0.2">
      <c r="AE225" s="201"/>
      <c r="AF225" s="201"/>
      <c r="AG225" s="201"/>
      <c r="AH225" s="2"/>
      <c r="AJ225" s="2"/>
      <c r="AS225" s="201"/>
      <c r="AT225" s="2"/>
      <c r="AV225" s="2"/>
    </row>
    <row r="226" spans="31:48" x14ac:dyDescent="0.2">
      <c r="AE226" s="201"/>
      <c r="AF226" s="201"/>
      <c r="AG226" s="201"/>
      <c r="AH226" s="2"/>
      <c r="AJ226" s="2"/>
      <c r="AS226" s="201"/>
      <c r="AT226" s="2"/>
      <c r="AV226" s="2"/>
    </row>
    <row r="227" spans="31:48" x14ac:dyDescent="0.2">
      <c r="AE227" s="201"/>
      <c r="AF227" s="201"/>
      <c r="AG227" s="201"/>
      <c r="AH227" s="2"/>
      <c r="AJ227" s="2"/>
      <c r="AS227" s="201"/>
      <c r="AT227" s="2"/>
      <c r="AV227" s="2"/>
    </row>
    <row r="228" spans="31:48" x14ac:dyDescent="0.2">
      <c r="AE228" s="201"/>
      <c r="AF228" s="201"/>
      <c r="AG228" s="201"/>
      <c r="AH228" s="2"/>
      <c r="AJ228" s="2"/>
      <c r="AS228" s="201"/>
      <c r="AT228" s="2"/>
      <c r="AV228" s="2"/>
    </row>
    <row r="229" spans="31:48" x14ac:dyDescent="0.2">
      <c r="AE229" s="201"/>
      <c r="AF229" s="201"/>
      <c r="AG229" s="201"/>
      <c r="AH229" s="2"/>
      <c r="AJ229" s="2"/>
      <c r="AS229" s="201"/>
      <c r="AT229" s="2"/>
      <c r="AV229" s="2"/>
    </row>
    <row r="230" spans="31:48" x14ac:dyDescent="0.2">
      <c r="AE230" s="201"/>
      <c r="AF230" s="201"/>
      <c r="AG230" s="201"/>
      <c r="AH230" s="2"/>
      <c r="AJ230" s="2"/>
      <c r="AS230" s="201"/>
      <c r="AT230" s="2"/>
      <c r="AV230" s="2"/>
    </row>
    <row r="231" spans="31:48" x14ac:dyDescent="0.2">
      <c r="AE231" s="201"/>
      <c r="AF231" s="201"/>
      <c r="AG231" s="201"/>
      <c r="AH231" s="2"/>
      <c r="AJ231" s="2"/>
      <c r="AS231" s="201"/>
      <c r="AT231" s="2"/>
      <c r="AV231" s="2"/>
    </row>
    <row r="232" spans="31:48" x14ac:dyDescent="0.2">
      <c r="AE232" s="201"/>
      <c r="AF232" s="201"/>
      <c r="AG232" s="201"/>
      <c r="AH232" s="2"/>
      <c r="AJ232" s="2"/>
      <c r="AS232" s="201"/>
      <c r="AT232" s="2"/>
      <c r="AV232" s="2"/>
    </row>
    <row r="233" spans="31:48" x14ac:dyDescent="0.2">
      <c r="AE233" s="201"/>
      <c r="AF233" s="201"/>
      <c r="AG233" s="201"/>
      <c r="AH233" s="2"/>
      <c r="AJ233" s="2"/>
      <c r="AS233" s="201"/>
      <c r="AT233" s="2"/>
      <c r="AV233" s="2"/>
    </row>
    <row r="234" spans="31:48" x14ac:dyDescent="0.2">
      <c r="AE234" s="201"/>
      <c r="AF234" s="201"/>
      <c r="AG234" s="201"/>
      <c r="AH234" s="2"/>
      <c r="AJ234" s="2"/>
      <c r="AS234" s="201"/>
      <c r="AT234" s="2"/>
      <c r="AV234" s="2"/>
    </row>
    <row r="235" spans="31:48" x14ac:dyDescent="0.2">
      <c r="AE235" s="201"/>
      <c r="AF235" s="201"/>
      <c r="AG235" s="201"/>
      <c r="AH235" s="2"/>
      <c r="AJ235" s="2"/>
      <c r="AS235" s="201"/>
      <c r="AT235" s="2"/>
      <c r="AV235" s="2"/>
    </row>
    <row r="236" spans="31:48" x14ac:dyDescent="0.2">
      <c r="AE236" s="201"/>
      <c r="AF236" s="201"/>
      <c r="AG236" s="201"/>
      <c r="AH236" s="2"/>
      <c r="AJ236" s="2"/>
      <c r="AS236" s="201"/>
      <c r="AT236" s="2"/>
      <c r="AV236" s="2"/>
    </row>
    <row r="237" spans="31:48" x14ac:dyDescent="0.2">
      <c r="AE237" s="201"/>
      <c r="AF237" s="201"/>
      <c r="AG237" s="201"/>
      <c r="AH237" s="2"/>
      <c r="AJ237" s="2"/>
      <c r="AS237" s="201"/>
      <c r="AT237" s="2"/>
      <c r="AV237" s="2"/>
    </row>
    <row r="238" spans="31:48" x14ac:dyDescent="0.2">
      <c r="AE238" s="201"/>
      <c r="AF238" s="201"/>
      <c r="AG238" s="201"/>
      <c r="AH238" s="2"/>
      <c r="AJ238" s="2"/>
      <c r="AS238" s="201"/>
      <c r="AT238" s="2"/>
      <c r="AV238" s="2"/>
    </row>
    <row r="239" spans="31:48" x14ac:dyDescent="0.2">
      <c r="AE239" s="201"/>
      <c r="AF239" s="201"/>
      <c r="AG239" s="201"/>
      <c r="AH239" s="2"/>
      <c r="AJ239" s="2"/>
      <c r="AS239" s="201"/>
      <c r="AT239" s="2"/>
      <c r="AV239" s="2"/>
    </row>
    <row r="240" spans="31:48" x14ac:dyDescent="0.2">
      <c r="AE240" s="201"/>
      <c r="AF240" s="201"/>
      <c r="AG240" s="201"/>
      <c r="AH240" s="2"/>
      <c r="AJ240" s="2"/>
      <c r="AS240" s="201"/>
      <c r="AT240" s="2"/>
      <c r="AV240" s="2"/>
    </row>
    <row r="241" spans="31:48" x14ac:dyDescent="0.2">
      <c r="AE241" s="201"/>
      <c r="AF241" s="201"/>
      <c r="AG241" s="201"/>
      <c r="AH241" s="2"/>
      <c r="AJ241" s="2"/>
      <c r="AS241" s="201"/>
      <c r="AT241" s="2"/>
      <c r="AV241" s="2"/>
    </row>
    <row r="242" spans="31:48" x14ac:dyDescent="0.2">
      <c r="AE242" s="201"/>
      <c r="AF242" s="201"/>
      <c r="AG242" s="201"/>
      <c r="AH242" s="2"/>
      <c r="AJ242" s="2"/>
      <c r="AS242" s="201"/>
      <c r="AT242" s="2"/>
      <c r="AV242" s="2"/>
    </row>
    <row r="243" spans="31:48" x14ac:dyDescent="0.2">
      <c r="AE243" s="201"/>
      <c r="AF243" s="201"/>
      <c r="AG243" s="201"/>
      <c r="AH243" s="2"/>
      <c r="AJ243" s="2"/>
      <c r="AS243" s="201"/>
      <c r="AT243" s="2"/>
      <c r="AV243" s="2"/>
    </row>
    <row r="244" spans="31:48" x14ac:dyDescent="0.2">
      <c r="AE244" s="201"/>
      <c r="AF244" s="201"/>
      <c r="AG244" s="201"/>
      <c r="AH244" s="2"/>
      <c r="AJ244" s="2"/>
      <c r="AS244" s="201"/>
      <c r="AT244" s="2"/>
      <c r="AV244" s="2"/>
    </row>
    <row r="245" spans="31:48" x14ac:dyDescent="0.2">
      <c r="AE245" s="201"/>
      <c r="AF245" s="201"/>
      <c r="AG245" s="201"/>
      <c r="AH245" s="2"/>
      <c r="AJ245" s="2"/>
      <c r="AS245" s="201"/>
      <c r="AT245" s="2"/>
      <c r="AV245" s="2"/>
    </row>
    <row r="246" spans="31:48" x14ac:dyDescent="0.2">
      <c r="AE246" s="201"/>
      <c r="AF246" s="201"/>
      <c r="AG246" s="201"/>
      <c r="AH246" s="2"/>
      <c r="AJ246" s="2"/>
      <c r="AS246" s="201"/>
      <c r="AT246" s="2"/>
      <c r="AV246" s="2"/>
    </row>
    <row r="247" spans="31:48" x14ac:dyDescent="0.2">
      <c r="AE247" s="201"/>
      <c r="AF247" s="201"/>
      <c r="AG247" s="201"/>
      <c r="AH247" s="2"/>
      <c r="AJ247" s="2"/>
      <c r="AS247" s="201"/>
      <c r="AT247" s="2"/>
      <c r="AV247" s="2"/>
    </row>
    <row r="248" spans="31:48" x14ac:dyDescent="0.2">
      <c r="AE248" s="201"/>
      <c r="AF248" s="201"/>
      <c r="AG248" s="201"/>
      <c r="AH248" s="2"/>
      <c r="AJ248" s="2"/>
      <c r="AS248" s="201"/>
      <c r="AT248" s="2"/>
      <c r="AV248" s="2"/>
    </row>
    <row r="249" spans="31:48" x14ac:dyDescent="0.2">
      <c r="AE249" s="201"/>
      <c r="AF249" s="201"/>
      <c r="AG249" s="201"/>
      <c r="AH249" s="2"/>
      <c r="AJ249" s="2"/>
      <c r="AS249" s="201"/>
      <c r="AT249" s="2"/>
      <c r="AV249" s="2"/>
    </row>
    <row r="250" spans="31:48" x14ac:dyDescent="0.2">
      <c r="AE250" s="201"/>
      <c r="AF250" s="201"/>
      <c r="AG250" s="201"/>
      <c r="AH250" s="2"/>
      <c r="AJ250" s="2"/>
      <c r="AS250" s="201"/>
      <c r="AT250" s="2"/>
      <c r="AV250" s="2"/>
    </row>
    <row r="251" spans="31:48" x14ac:dyDescent="0.2">
      <c r="AE251" s="201"/>
      <c r="AF251" s="201"/>
      <c r="AG251" s="201"/>
      <c r="AH251" s="2"/>
      <c r="AJ251" s="2"/>
      <c r="AS251" s="201"/>
      <c r="AT251" s="2"/>
      <c r="AV251" s="2"/>
    </row>
    <row r="252" spans="31:48" x14ac:dyDescent="0.2">
      <c r="AE252" s="201"/>
      <c r="AF252" s="201"/>
      <c r="AG252" s="201"/>
      <c r="AH252" s="2"/>
      <c r="AJ252" s="2"/>
      <c r="AS252" s="201"/>
      <c r="AT252" s="2"/>
      <c r="AV252" s="2"/>
    </row>
    <row r="253" spans="31:48" x14ac:dyDescent="0.2">
      <c r="AE253" s="1"/>
      <c r="AF253" s="1"/>
      <c r="AG253" s="1"/>
      <c r="AH253" s="2"/>
      <c r="AJ253" s="2"/>
      <c r="AS253" s="1"/>
      <c r="AT253" s="2"/>
      <c r="AV253" s="2"/>
    </row>
    <row r="254" spans="31:48" x14ac:dyDescent="0.2">
      <c r="AE254" s="1"/>
      <c r="AF254" s="1"/>
      <c r="AG254" s="1"/>
      <c r="AH254" s="2"/>
      <c r="AJ254" s="2"/>
      <c r="AS254" s="1"/>
      <c r="AT254" s="2"/>
      <c r="AV254" s="2"/>
    </row>
    <row r="255" spans="31:48" x14ac:dyDescent="0.2">
      <c r="AE255" s="1"/>
      <c r="AF255" s="1"/>
      <c r="AG255" s="1"/>
      <c r="AH255" s="2"/>
      <c r="AJ255" s="2"/>
      <c r="AS255" s="1"/>
      <c r="AT255" s="2"/>
      <c r="AV255" s="2"/>
    </row>
    <row r="256" spans="31:48" x14ac:dyDescent="0.2">
      <c r="AE256" s="1"/>
      <c r="AF256" s="1"/>
      <c r="AG256" s="1"/>
      <c r="AH256" s="2"/>
      <c r="AJ256" s="2"/>
      <c r="AS256" s="1"/>
      <c r="AT256" s="2"/>
      <c r="AV256" s="2"/>
    </row>
    <row r="257" spans="31:48" x14ac:dyDescent="0.2">
      <c r="AE257" s="1"/>
      <c r="AF257" s="1"/>
      <c r="AG257" s="1"/>
      <c r="AH257" s="2"/>
      <c r="AJ257" s="2"/>
      <c r="AS257" s="1"/>
      <c r="AT257" s="2"/>
      <c r="AV257" s="2"/>
    </row>
    <row r="258" spans="31:48" x14ac:dyDescent="0.2">
      <c r="AE258" s="1"/>
      <c r="AF258" s="1"/>
      <c r="AG258" s="1"/>
      <c r="AH258" s="2"/>
      <c r="AJ258" s="2"/>
      <c r="AS258" s="1"/>
      <c r="AT258" s="2"/>
      <c r="AV258" s="2"/>
    </row>
    <row r="259" spans="31:48" x14ac:dyDescent="0.2">
      <c r="AE259" s="1"/>
      <c r="AF259" s="1"/>
      <c r="AG259" s="1"/>
      <c r="AH259" s="2"/>
      <c r="AJ259" s="2"/>
      <c r="AS259" s="1"/>
      <c r="AT259" s="2"/>
      <c r="AV259" s="2"/>
    </row>
    <row r="260" spans="31:48" x14ac:dyDescent="0.2">
      <c r="AE260" s="1"/>
      <c r="AF260" s="1"/>
      <c r="AG260" s="1"/>
      <c r="AH260" s="2"/>
      <c r="AJ260" s="2"/>
      <c r="AS260" s="1"/>
      <c r="AT260" s="2"/>
      <c r="AV260" s="2"/>
    </row>
    <row r="261" spans="31:48" x14ac:dyDescent="0.2">
      <c r="AE261" s="1"/>
      <c r="AF261" s="1"/>
      <c r="AG261" s="1"/>
      <c r="AH261" s="2"/>
      <c r="AJ261" s="2"/>
      <c r="AS261" s="1"/>
      <c r="AT261" s="2"/>
      <c r="AV261" s="2"/>
    </row>
    <row r="262" spans="31:48" x14ac:dyDescent="0.2">
      <c r="AE262" s="1"/>
      <c r="AF262" s="1"/>
      <c r="AG262" s="1"/>
      <c r="AH262" s="2"/>
      <c r="AJ262" s="2"/>
      <c r="AS262" s="1"/>
      <c r="AT262" s="2"/>
      <c r="AV262" s="2"/>
    </row>
    <row r="263" spans="31:48" x14ac:dyDescent="0.2">
      <c r="AE263" s="1"/>
      <c r="AF263" s="1"/>
      <c r="AG263" s="1"/>
      <c r="AH263" s="2"/>
      <c r="AJ263" s="2"/>
      <c r="AS263" s="1"/>
      <c r="AT263" s="2"/>
      <c r="AV263" s="2"/>
    </row>
    <row r="264" spans="31:48" x14ac:dyDescent="0.2">
      <c r="AE264" s="1"/>
      <c r="AF264" s="1"/>
      <c r="AG264" s="1"/>
      <c r="AH264" s="2"/>
      <c r="AJ264" s="2"/>
      <c r="AS264" s="1"/>
      <c r="AT264" s="2"/>
      <c r="AV264" s="2"/>
    </row>
    <row r="265" spans="31:48" x14ac:dyDescent="0.2">
      <c r="AE265" s="1"/>
      <c r="AF265" s="1"/>
      <c r="AG265" s="1"/>
      <c r="AH265" s="2"/>
      <c r="AJ265" s="2"/>
      <c r="AS265" s="1"/>
      <c r="AT265" s="2"/>
      <c r="AV265" s="2"/>
    </row>
    <row r="266" spans="31:48" x14ac:dyDescent="0.2">
      <c r="AE266" s="1"/>
      <c r="AF266" s="1"/>
      <c r="AG266" s="1"/>
      <c r="AH266" s="2"/>
      <c r="AJ266" s="2"/>
      <c r="AS266" s="1"/>
      <c r="AT266" s="2"/>
      <c r="AV266" s="2"/>
    </row>
    <row r="267" spans="31:48" x14ac:dyDescent="0.2">
      <c r="AE267" s="1"/>
      <c r="AF267" s="1"/>
      <c r="AG267" s="1"/>
      <c r="AH267" s="2"/>
      <c r="AJ267" s="2"/>
      <c r="AS267" s="1"/>
      <c r="AT267" s="2"/>
      <c r="AV267" s="2"/>
    </row>
    <row r="268" spans="31:48" x14ac:dyDescent="0.2">
      <c r="AE268" s="1"/>
      <c r="AF268" s="1"/>
      <c r="AG268" s="1"/>
      <c r="AH268" s="2"/>
      <c r="AJ268" s="2"/>
      <c r="AS268" s="1"/>
      <c r="AT268" s="2"/>
      <c r="AV268" s="2"/>
    </row>
    <row r="269" spans="31:48" x14ac:dyDescent="0.2">
      <c r="AE269" s="1"/>
      <c r="AF269" s="1"/>
      <c r="AG269" s="1"/>
      <c r="AH269" s="2"/>
      <c r="AJ269" s="2"/>
      <c r="AS269" s="1"/>
      <c r="AT269" s="2"/>
      <c r="AV269" s="2"/>
    </row>
    <row r="270" spans="31:48" x14ac:dyDescent="0.2">
      <c r="AE270" s="1"/>
      <c r="AF270" s="1"/>
      <c r="AG270" s="1"/>
      <c r="AH270" s="2"/>
      <c r="AJ270" s="2"/>
      <c r="AS270" s="1"/>
      <c r="AT270" s="2"/>
      <c r="AV270" s="2"/>
    </row>
    <row r="271" spans="31:48" x14ac:dyDescent="0.2">
      <c r="AE271" s="1"/>
      <c r="AF271" s="1"/>
      <c r="AG271" s="1"/>
      <c r="AH271" s="2"/>
      <c r="AJ271" s="2"/>
      <c r="AS271" s="1"/>
      <c r="AT271" s="2"/>
      <c r="AV271" s="2"/>
    </row>
    <row r="272" spans="31:48" x14ac:dyDescent="0.2">
      <c r="AE272" s="1"/>
      <c r="AF272" s="1"/>
      <c r="AG272" s="1"/>
      <c r="AH272" s="2"/>
      <c r="AJ272" s="2"/>
      <c r="AS272" s="1"/>
      <c r="AT272" s="2"/>
      <c r="AV272" s="2"/>
    </row>
    <row r="273" spans="31:48" x14ac:dyDescent="0.2">
      <c r="AE273" s="1"/>
      <c r="AF273" s="1"/>
      <c r="AG273" s="1"/>
      <c r="AH273" s="2"/>
      <c r="AJ273" s="2"/>
      <c r="AS273" s="1"/>
      <c r="AT273" s="2"/>
      <c r="AV273" s="2"/>
    </row>
    <row r="274" spans="31:48" x14ac:dyDescent="0.2">
      <c r="AE274" s="1"/>
      <c r="AF274" s="1"/>
      <c r="AG274" s="1"/>
      <c r="AH274" s="2"/>
      <c r="AJ274" s="2"/>
      <c r="AS274" s="1"/>
      <c r="AT274" s="2"/>
      <c r="AV274" s="2"/>
    </row>
    <row r="275" spans="31:48" x14ac:dyDescent="0.2">
      <c r="AE275" s="1"/>
      <c r="AF275" s="1"/>
      <c r="AG275" s="1"/>
      <c r="AH275" s="2"/>
      <c r="AJ275" s="2"/>
      <c r="AS275" s="1"/>
      <c r="AT275" s="2"/>
      <c r="AV275" s="2"/>
    </row>
    <row r="276" spans="31:48" x14ac:dyDescent="0.2">
      <c r="AE276" s="1"/>
      <c r="AF276" s="1"/>
      <c r="AG276" s="1"/>
      <c r="AH276" s="2"/>
      <c r="AJ276" s="2"/>
      <c r="AS276" s="1"/>
      <c r="AT276" s="2"/>
      <c r="AV276" s="2"/>
    </row>
    <row r="277" spans="31:48" x14ac:dyDescent="0.2">
      <c r="AE277" s="1"/>
      <c r="AF277" s="1"/>
      <c r="AG277" s="1"/>
      <c r="AH277" s="2"/>
      <c r="AJ277" s="2"/>
      <c r="AS277" s="1"/>
      <c r="AT277" s="2"/>
      <c r="AV277" s="2"/>
    </row>
    <row r="278" spans="31:48" x14ac:dyDescent="0.2">
      <c r="AE278" s="1"/>
      <c r="AF278" s="1"/>
      <c r="AG278" s="1"/>
      <c r="AH278" s="2"/>
      <c r="AJ278" s="2"/>
      <c r="AS278" s="1"/>
      <c r="AT278" s="2"/>
      <c r="AV278" s="2"/>
    </row>
    <row r="279" spans="31:48" x14ac:dyDescent="0.2">
      <c r="AE279" s="1"/>
      <c r="AF279" s="1"/>
      <c r="AG279" s="1"/>
      <c r="AH279" s="2"/>
      <c r="AJ279" s="2"/>
      <c r="AS279" s="1"/>
      <c r="AT279" s="2"/>
      <c r="AV279" s="2"/>
    </row>
    <row r="280" spans="31:48" x14ac:dyDescent="0.2">
      <c r="AE280" s="1"/>
      <c r="AF280" s="1"/>
      <c r="AG280" s="1"/>
      <c r="AH280" s="2"/>
      <c r="AJ280" s="2"/>
      <c r="AS280" s="1"/>
      <c r="AT280" s="2"/>
      <c r="AV280" s="2"/>
    </row>
    <row r="281" spans="31:48" x14ac:dyDescent="0.2">
      <c r="AE281" s="1"/>
      <c r="AF281" s="1"/>
      <c r="AG281" s="1"/>
      <c r="AH281" s="2"/>
      <c r="AJ281" s="2"/>
      <c r="AS281" s="1"/>
      <c r="AT281" s="2"/>
      <c r="AV281" s="2"/>
    </row>
    <row r="282" spans="31:48" x14ac:dyDescent="0.2">
      <c r="AE282" s="1"/>
      <c r="AF282" s="1"/>
      <c r="AG282" s="1"/>
      <c r="AH282" s="2"/>
      <c r="AJ282" s="2"/>
      <c r="AS282" s="1"/>
      <c r="AT282" s="2"/>
      <c r="AV282" s="2"/>
    </row>
    <row r="283" spans="31:48" x14ac:dyDescent="0.2">
      <c r="AE283" s="1"/>
      <c r="AF283" s="1"/>
      <c r="AG283" s="1"/>
      <c r="AH283" s="2"/>
      <c r="AJ283" s="2"/>
      <c r="AS283" s="1"/>
      <c r="AT283" s="2"/>
      <c r="AV283" s="2"/>
    </row>
    <row r="284" spans="31:48" x14ac:dyDescent="0.2">
      <c r="AE284" s="1"/>
      <c r="AF284" s="1"/>
      <c r="AG284" s="1"/>
      <c r="AH284" s="2"/>
      <c r="AJ284" s="2"/>
      <c r="AS284" s="1"/>
      <c r="AT284" s="2"/>
      <c r="AV284" s="2"/>
    </row>
    <row r="285" spans="31:48" x14ac:dyDescent="0.2">
      <c r="AE285" s="1"/>
      <c r="AF285" s="1"/>
      <c r="AG285" s="1"/>
      <c r="AH285" s="2"/>
      <c r="AJ285" s="2"/>
      <c r="AS285" s="1"/>
      <c r="AT285" s="2"/>
      <c r="AV285" s="2"/>
    </row>
    <row r="286" spans="31:48" x14ac:dyDescent="0.2">
      <c r="AE286" s="1"/>
      <c r="AF286" s="1"/>
      <c r="AG286" s="1"/>
      <c r="AH286" s="2"/>
      <c r="AJ286" s="2"/>
      <c r="AS286" s="1"/>
      <c r="AT286" s="2"/>
      <c r="AV286" s="2"/>
    </row>
    <row r="287" spans="31:48" x14ac:dyDescent="0.2">
      <c r="AE287" s="1"/>
      <c r="AF287" s="1"/>
      <c r="AG287" s="1"/>
      <c r="AH287" s="2"/>
      <c r="AJ287" s="2"/>
      <c r="AS287" s="1"/>
      <c r="AT287" s="2"/>
      <c r="AV287" s="2"/>
    </row>
    <row r="288" spans="31:48" x14ac:dyDescent="0.2">
      <c r="AE288" s="1"/>
      <c r="AF288" s="1"/>
      <c r="AG288" s="1"/>
      <c r="AH288" s="2"/>
      <c r="AJ288" s="2"/>
      <c r="AS288" s="1"/>
      <c r="AT288" s="2"/>
      <c r="AV288" s="2"/>
    </row>
    <row r="289" spans="31:48" x14ac:dyDescent="0.2">
      <c r="AE289" s="1"/>
      <c r="AF289" s="1"/>
      <c r="AG289" s="1"/>
      <c r="AH289" s="2"/>
      <c r="AJ289" s="2"/>
      <c r="AS289" s="1"/>
      <c r="AT289" s="2"/>
      <c r="AV289" s="2"/>
    </row>
    <row r="290" spans="31:48" x14ac:dyDescent="0.2">
      <c r="AE290" s="1"/>
      <c r="AF290" s="1"/>
      <c r="AG290" s="1"/>
      <c r="AH290" s="2"/>
      <c r="AJ290" s="2"/>
      <c r="AS290" s="1"/>
      <c r="AT290" s="2"/>
      <c r="AV290" s="2"/>
    </row>
    <row r="291" spans="31:48" x14ac:dyDescent="0.2">
      <c r="AE291" s="1"/>
      <c r="AF291" s="1"/>
      <c r="AG291" s="1"/>
      <c r="AH291" s="2"/>
      <c r="AJ291" s="2"/>
      <c r="AS291" s="1"/>
      <c r="AT291" s="2"/>
      <c r="AV291" s="2"/>
    </row>
    <row r="292" spans="31:48" x14ac:dyDescent="0.2">
      <c r="AE292" s="1"/>
      <c r="AF292" s="1"/>
      <c r="AG292" s="1"/>
      <c r="AH292" s="2"/>
      <c r="AJ292" s="2"/>
      <c r="AS292" s="1"/>
      <c r="AT292" s="2"/>
      <c r="AV292" s="2"/>
    </row>
    <row r="293" spans="31:48" x14ac:dyDescent="0.2">
      <c r="AE293" s="1"/>
      <c r="AF293" s="1"/>
      <c r="AG293" s="1"/>
      <c r="AH293" s="2"/>
      <c r="AJ293" s="2"/>
      <c r="AS293" s="1"/>
      <c r="AT293" s="2"/>
      <c r="AV293" s="2"/>
    </row>
    <row r="294" spans="31:48" x14ac:dyDescent="0.2">
      <c r="AE294" s="1"/>
      <c r="AF294" s="1"/>
      <c r="AG294" s="1"/>
      <c r="AH294" s="2"/>
      <c r="AJ294" s="2"/>
      <c r="AS294" s="1"/>
      <c r="AT294" s="2"/>
      <c r="AV294" s="2"/>
    </row>
    <row r="295" spans="31:48" x14ac:dyDescent="0.2">
      <c r="AE295" s="1"/>
      <c r="AF295" s="1"/>
      <c r="AG295" s="1"/>
      <c r="AH295" s="2"/>
      <c r="AJ295" s="2"/>
      <c r="AS295" s="1"/>
      <c r="AT295" s="2"/>
      <c r="AV295" s="2"/>
    </row>
    <row r="296" spans="31:48" x14ac:dyDescent="0.2">
      <c r="AE296" s="1"/>
      <c r="AF296" s="1"/>
      <c r="AG296" s="1"/>
      <c r="AH296" s="2"/>
      <c r="AJ296" s="2"/>
      <c r="AS296" s="1"/>
      <c r="AT296" s="2"/>
      <c r="AV296" s="2"/>
    </row>
    <row r="297" spans="31:48" x14ac:dyDescent="0.2">
      <c r="AE297" s="1"/>
      <c r="AF297" s="1"/>
      <c r="AG297" s="1"/>
      <c r="AH297" s="2"/>
      <c r="AJ297" s="2"/>
      <c r="AS297" s="1"/>
      <c r="AT297" s="2"/>
      <c r="AV297" s="2"/>
    </row>
    <row r="298" spans="31:48" x14ac:dyDescent="0.2">
      <c r="AE298" s="1"/>
      <c r="AF298" s="1"/>
      <c r="AG298" s="1"/>
      <c r="AH298" s="2"/>
      <c r="AJ298" s="2"/>
      <c r="AS298" s="1"/>
      <c r="AT298" s="2"/>
      <c r="AV298" s="2"/>
    </row>
    <row r="299" spans="31:48" x14ac:dyDescent="0.2">
      <c r="AE299" s="1"/>
      <c r="AF299" s="1"/>
      <c r="AG299" s="1"/>
      <c r="AH299" s="2"/>
      <c r="AJ299" s="2"/>
      <c r="AS299" s="1"/>
      <c r="AT299" s="2"/>
      <c r="AV299" s="2"/>
    </row>
    <row r="300" spans="31:48" x14ac:dyDescent="0.2">
      <c r="AE300" s="1"/>
      <c r="AF300" s="1"/>
      <c r="AG300" s="1"/>
      <c r="AH300" s="2"/>
      <c r="AJ300" s="2"/>
      <c r="AS300" s="1"/>
      <c r="AT300" s="2"/>
      <c r="AV300" s="2"/>
    </row>
    <row r="301" spans="31:48" x14ac:dyDescent="0.2">
      <c r="AE301" s="1"/>
      <c r="AF301" s="1"/>
      <c r="AG301" s="1"/>
      <c r="AH301" s="2"/>
      <c r="AJ301" s="2"/>
      <c r="AS301" s="1"/>
      <c r="AT301" s="2"/>
      <c r="AV301" s="2"/>
    </row>
    <row r="302" spans="31:48" x14ac:dyDescent="0.2">
      <c r="AE302" s="1"/>
      <c r="AF302" s="1"/>
      <c r="AG302" s="1"/>
      <c r="AH302" s="2"/>
      <c r="AJ302" s="2"/>
      <c r="AS302" s="1"/>
      <c r="AT302" s="2"/>
      <c r="AV302" s="2"/>
    </row>
    <row r="303" spans="31:48" x14ac:dyDescent="0.2">
      <c r="AE303" s="1"/>
      <c r="AF303" s="1"/>
      <c r="AG303" s="1"/>
      <c r="AH303" s="2"/>
      <c r="AJ303" s="2"/>
      <c r="AS303" s="1"/>
      <c r="AT303" s="2"/>
      <c r="AV303" s="2"/>
    </row>
    <row r="304" spans="31:48" x14ac:dyDescent="0.2">
      <c r="AE304" s="1"/>
      <c r="AF304" s="1"/>
      <c r="AG304" s="1"/>
      <c r="AH304" s="2"/>
      <c r="AJ304" s="2"/>
      <c r="AS304" s="1"/>
      <c r="AT304" s="2"/>
      <c r="AV304" s="2"/>
    </row>
    <row r="305" spans="31:48" x14ac:dyDescent="0.2">
      <c r="AE305" s="1"/>
      <c r="AF305" s="1"/>
      <c r="AG305" s="1"/>
      <c r="AH305" s="2"/>
      <c r="AJ305" s="2"/>
      <c r="AS305" s="1"/>
      <c r="AT305" s="2"/>
      <c r="AV305" s="2"/>
    </row>
    <row r="306" spans="31:48" x14ac:dyDescent="0.2">
      <c r="AE306" s="1"/>
      <c r="AF306" s="1"/>
      <c r="AG306" s="1"/>
      <c r="AH306" s="2"/>
      <c r="AJ306" s="2"/>
      <c r="AS306" s="1"/>
      <c r="AT306" s="2"/>
      <c r="AV306" s="2"/>
    </row>
    <row r="307" spans="31:48" x14ac:dyDescent="0.2">
      <c r="AE307" s="1"/>
      <c r="AF307" s="1"/>
      <c r="AG307" s="1"/>
      <c r="AH307" s="2"/>
      <c r="AJ307" s="2"/>
      <c r="AS307" s="1"/>
      <c r="AT307" s="2"/>
      <c r="AV307" s="2"/>
    </row>
    <row r="308" spans="31:48" x14ac:dyDescent="0.2">
      <c r="AE308" s="1"/>
      <c r="AF308" s="1"/>
      <c r="AG308" s="1"/>
      <c r="AH308" s="2"/>
      <c r="AJ308" s="2"/>
      <c r="AS308" s="1"/>
      <c r="AT308" s="2"/>
      <c r="AV308" s="2"/>
    </row>
    <row r="309" spans="31:48" x14ac:dyDescent="0.2">
      <c r="AE309" s="1"/>
      <c r="AF309" s="1"/>
      <c r="AG309" s="1"/>
      <c r="AH309" s="2"/>
      <c r="AJ309" s="2"/>
      <c r="AS309" s="1"/>
      <c r="AT309" s="2"/>
      <c r="AV309" s="2"/>
    </row>
    <row r="310" spans="31:48" x14ac:dyDescent="0.2">
      <c r="AE310" s="1"/>
      <c r="AF310" s="1"/>
      <c r="AG310" s="1"/>
      <c r="AH310" s="2"/>
      <c r="AJ310" s="2"/>
      <c r="AS310" s="1"/>
      <c r="AT310" s="2"/>
      <c r="AV310" s="2"/>
    </row>
    <row r="311" spans="31:48" x14ac:dyDescent="0.2">
      <c r="AE311" s="1"/>
      <c r="AF311" s="1"/>
      <c r="AG311" s="1"/>
      <c r="AH311" s="2"/>
      <c r="AJ311" s="2"/>
      <c r="AS311" s="1"/>
      <c r="AT311" s="2"/>
      <c r="AV311" s="2"/>
    </row>
    <row r="312" spans="31:48" x14ac:dyDescent="0.2">
      <c r="AE312" s="1"/>
      <c r="AF312" s="1"/>
      <c r="AG312" s="1"/>
      <c r="AH312" s="2"/>
      <c r="AJ312" s="2"/>
      <c r="AS312" s="1"/>
      <c r="AT312" s="2"/>
      <c r="AV312" s="2"/>
    </row>
    <row r="313" spans="31:48" x14ac:dyDescent="0.2">
      <c r="AE313" s="1"/>
      <c r="AF313" s="1"/>
      <c r="AG313" s="1"/>
      <c r="AH313" s="2"/>
      <c r="AJ313" s="2"/>
      <c r="AS313" s="1"/>
      <c r="AT313" s="2"/>
      <c r="AV313" s="2"/>
    </row>
    <row r="314" spans="31:48" x14ac:dyDescent="0.2">
      <c r="AE314" s="1"/>
      <c r="AF314" s="1"/>
      <c r="AG314" s="1"/>
      <c r="AH314" s="2"/>
      <c r="AJ314" s="2"/>
      <c r="AS314" s="1"/>
      <c r="AT314" s="2"/>
      <c r="AV314" s="2"/>
    </row>
    <row r="315" spans="31:48" x14ac:dyDescent="0.2">
      <c r="AE315" s="1"/>
      <c r="AF315" s="1"/>
      <c r="AG315" s="1"/>
      <c r="AH315" s="2"/>
      <c r="AJ315" s="2"/>
      <c r="AS315" s="1"/>
      <c r="AT315" s="2"/>
      <c r="AV315" s="2"/>
    </row>
    <row r="316" spans="31:48" x14ac:dyDescent="0.2">
      <c r="AE316" s="1"/>
      <c r="AF316" s="1"/>
      <c r="AG316" s="1"/>
      <c r="AH316" s="2"/>
      <c r="AJ316" s="2"/>
      <c r="AS316" s="1"/>
      <c r="AT316" s="2"/>
      <c r="AV316" s="2"/>
    </row>
    <row r="317" spans="31:48" x14ac:dyDescent="0.2">
      <c r="AE317" s="1"/>
      <c r="AF317" s="1"/>
      <c r="AG317" s="1"/>
      <c r="AH317" s="2"/>
      <c r="AJ317" s="2"/>
      <c r="AS317" s="1"/>
      <c r="AT317" s="2"/>
      <c r="AV317" s="2"/>
    </row>
    <row r="318" spans="31:48" x14ac:dyDescent="0.2">
      <c r="AE318" s="1"/>
      <c r="AF318" s="1"/>
      <c r="AG318" s="1"/>
      <c r="AH318" s="2"/>
      <c r="AJ318" s="2"/>
      <c r="AS318" s="1"/>
      <c r="AT318" s="2"/>
      <c r="AV318" s="2"/>
    </row>
    <row r="319" spans="31:48" x14ac:dyDescent="0.2">
      <c r="AE319" s="1"/>
      <c r="AF319" s="1"/>
      <c r="AG319" s="1"/>
      <c r="AH319" s="2"/>
      <c r="AJ319" s="2"/>
      <c r="AS319" s="1"/>
      <c r="AT319" s="2"/>
      <c r="AV319" s="2"/>
    </row>
    <row r="320" spans="31:48" x14ac:dyDescent="0.2">
      <c r="AE320" s="1"/>
      <c r="AF320" s="1"/>
      <c r="AG320" s="1"/>
      <c r="AH320" s="2"/>
      <c r="AJ320" s="2"/>
      <c r="AS320" s="1"/>
      <c r="AT320" s="2"/>
      <c r="AV320" s="2"/>
    </row>
    <row r="321" spans="31:48" x14ac:dyDescent="0.2">
      <c r="AE321" s="1"/>
      <c r="AF321" s="1"/>
      <c r="AG321" s="1"/>
      <c r="AH321" s="2"/>
      <c r="AJ321" s="2"/>
      <c r="AS321" s="1"/>
      <c r="AT321" s="2"/>
      <c r="AV321" s="2"/>
    </row>
    <row r="322" spans="31:48" x14ac:dyDescent="0.2">
      <c r="AE322" s="1"/>
      <c r="AF322" s="1"/>
      <c r="AG322" s="1"/>
      <c r="AH322" s="2"/>
      <c r="AJ322" s="2"/>
      <c r="AS322" s="1"/>
      <c r="AT322" s="2"/>
      <c r="AV322" s="2"/>
    </row>
    <row r="323" spans="31:48" x14ac:dyDescent="0.2">
      <c r="AE323" s="1"/>
      <c r="AF323" s="1"/>
      <c r="AG323" s="1"/>
      <c r="AH323" s="2"/>
      <c r="AJ323" s="2"/>
      <c r="AS323" s="1"/>
      <c r="AT323" s="2"/>
      <c r="AV323" s="2"/>
    </row>
    <row r="324" spans="31:48" x14ac:dyDescent="0.2">
      <c r="AE324" s="1"/>
      <c r="AF324" s="1"/>
      <c r="AG324" s="1"/>
      <c r="AH324" s="2"/>
      <c r="AJ324" s="2"/>
      <c r="AS324" s="1"/>
      <c r="AT324" s="2"/>
      <c r="AV324" s="2"/>
    </row>
    <row r="325" spans="31:48" x14ac:dyDescent="0.2">
      <c r="AE325" s="1"/>
      <c r="AF325" s="1"/>
      <c r="AG325" s="1"/>
      <c r="AH325" s="2"/>
      <c r="AJ325" s="2"/>
      <c r="AS325" s="1"/>
      <c r="AT325" s="2"/>
      <c r="AV325" s="2"/>
    </row>
    <row r="326" spans="31:48" x14ac:dyDescent="0.2">
      <c r="AE326" s="1"/>
      <c r="AF326" s="1"/>
      <c r="AG326" s="1"/>
      <c r="AH326" s="2"/>
      <c r="AJ326" s="2"/>
      <c r="AS326" s="1"/>
      <c r="AT326" s="2"/>
      <c r="AV326" s="2"/>
    </row>
    <row r="327" spans="31:48" x14ac:dyDescent="0.2">
      <c r="AE327" s="1"/>
      <c r="AF327" s="1"/>
      <c r="AG327" s="1"/>
      <c r="AH327" s="2"/>
      <c r="AJ327" s="2"/>
      <c r="AS327" s="1"/>
      <c r="AT327" s="2"/>
      <c r="AV327" s="2"/>
    </row>
    <row r="328" spans="31:48" x14ac:dyDescent="0.2">
      <c r="AE328" s="1"/>
      <c r="AF328" s="1"/>
      <c r="AG328" s="1"/>
      <c r="AH328" s="2"/>
      <c r="AJ328" s="2"/>
      <c r="AS328" s="1"/>
      <c r="AT328" s="2"/>
      <c r="AV328" s="2"/>
    </row>
    <row r="329" spans="31:48" x14ac:dyDescent="0.2">
      <c r="AE329" s="1"/>
      <c r="AF329" s="1"/>
      <c r="AG329" s="1"/>
      <c r="AH329" s="2"/>
      <c r="AJ329" s="2"/>
      <c r="AS329" s="1"/>
      <c r="AT329" s="2"/>
      <c r="AV329" s="2"/>
    </row>
    <row r="330" spans="31:48" x14ac:dyDescent="0.2">
      <c r="AE330" s="1"/>
      <c r="AF330" s="1"/>
      <c r="AG330" s="1"/>
      <c r="AH330" s="2"/>
      <c r="AJ330" s="2"/>
      <c r="AS330" s="1"/>
      <c r="AT330" s="2"/>
      <c r="AV330" s="2"/>
    </row>
    <row r="331" spans="31:48" x14ac:dyDescent="0.2">
      <c r="AE331" s="1"/>
      <c r="AF331" s="1"/>
      <c r="AG331" s="1"/>
      <c r="AH331" s="2"/>
      <c r="AJ331" s="2"/>
      <c r="AS331" s="1"/>
      <c r="AT331" s="2"/>
      <c r="AV331" s="2"/>
    </row>
    <row r="332" spans="31:48" x14ac:dyDescent="0.2">
      <c r="AE332" s="1"/>
      <c r="AF332" s="1"/>
      <c r="AG332" s="1"/>
      <c r="AH332" s="2"/>
      <c r="AJ332" s="2"/>
      <c r="AS332" s="1"/>
      <c r="AT332" s="2"/>
      <c r="AV332" s="2"/>
    </row>
    <row r="333" spans="31:48" x14ac:dyDescent="0.2">
      <c r="AE333" s="1"/>
      <c r="AF333" s="1"/>
      <c r="AG333" s="1"/>
      <c r="AH333" s="2"/>
      <c r="AJ333" s="2"/>
      <c r="AS333" s="1"/>
      <c r="AT333" s="2"/>
      <c r="AV333" s="2"/>
    </row>
    <row r="334" spans="31:48" x14ac:dyDescent="0.2">
      <c r="AE334" s="1"/>
      <c r="AF334" s="1"/>
      <c r="AG334" s="1"/>
      <c r="AH334" s="2"/>
      <c r="AJ334" s="2"/>
      <c r="AS334" s="1"/>
      <c r="AT334" s="2"/>
      <c r="AV334" s="2"/>
    </row>
    <row r="335" spans="31:48" x14ac:dyDescent="0.2">
      <c r="AE335" s="1"/>
      <c r="AF335" s="1"/>
      <c r="AG335" s="1"/>
      <c r="AH335" s="2"/>
      <c r="AJ335" s="2"/>
      <c r="AS335" s="1"/>
      <c r="AT335" s="2"/>
      <c r="AV335" s="2"/>
    </row>
    <row r="336" spans="31:48" x14ac:dyDescent="0.2">
      <c r="AE336" s="1"/>
      <c r="AF336" s="1"/>
      <c r="AG336" s="1"/>
      <c r="AH336" s="2"/>
      <c r="AJ336" s="2"/>
      <c r="AS336" s="1"/>
      <c r="AT336" s="2"/>
      <c r="AV336" s="2"/>
    </row>
    <row r="337" spans="31:48" x14ac:dyDescent="0.2">
      <c r="AE337" s="1"/>
      <c r="AF337" s="1"/>
      <c r="AG337" s="1"/>
      <c r="AH337" s="2"/>
      <c r="AJ337" s="2"/>
      <c r="AS337" s="1"/>
      <c r="AT337" s="2"/>
      <c r="AV337" s="2"/>
    </row>
    <row r="338" spans="31:48" x14ac:dyDescent="0.2">
      <c r="AE338" s="1"/>
      <c r="AF338" s="1"/>
      <c r="AG338" s="1"/>
      <c r="AH338" s="2"/>
      <c r="AJ338" s="2"/>
      <c r="AS338" s="1"/>
      <c r="AT338" s="2"/>
      <c r="AV338" s="2"/>
    </row>
    <row r="339" spans="31:48" x14ac:dyDescent="0.2">
      <c r="AE339" s="1"/>
      <c r="AF339" s="1"/>
      <c r="AG339" s="1"/>
      <c r="AH339" s="2"/>
      <c r="AJ339" s="2"/>
      <c r="AS339" s="1"/>
      <c r="AT339" s="2"/>
      <c r="AV339" s="2"/>
    </row>
    <row r="340" spans="31:48" x14ac:dyDescent="0.2">
      <c r="AE340" s="1"/>
      <c r="AF340" s="1"/>
      <c r="AG340" s="1"/>
      <c r="AH340" s="2"/>
      <c r="AJ340" s="2"/>
      <c r="AS340" s="1"/>
      <c r="AT340" s="2"/>
      <c r="AV340" s="2"/>
    </row>
    <row r="341" spans="31:48" x14ac:dyDescent="0.2">
      <c r="AE341" s="1"/>
      <c r="AF341" s="1"/>
      <c r="AG341" s="1"/>
      <c r="AH341" s="2"/>
      <c r="AJ341" s="2"/>
      <c r="AS341" s="1"/>
      <c r="AT341" s="2"/>
      <c r="AV341" s="2"/>
    </row>
    <row r="342" spans="31:48" x14ac:dyDescent="0.2">
      <c r="AE342" s="1"/>
      <c r="AF342" s="1"/>
      <c r="AG342" s="1"/>
      <c r="AH342" s="2"/>
      <c r="AJ342" s="2"/>
      <c r="AS342" s="1"/>
      <c r="AT342" s="2"/>
      <c r="AV342" s="2"/>
    </row>
    <row r="343" spans="31:48" x14ac:dyDescent="0.2">
      <c r="AE343" s="1"/>
      <c r="AF343" s="1"/>
      <c r="AG343" s="1"/>
      <c r="AH343" s="2"/>
      <c r="AJ343" s="2"/>
      <c r="AS343" s="1"/>
      <c r="AT343" s="2"/>
      <c r="AV343" s="2"/>
    </row>
    <row r="344" spans="31:48" x14ac:dyDescent="0.2">
      <c r="AE344" s="1"/>
      <c r="AF344" s="1"/>
      <c r="AG344" s="1"/>
      <c r="AH344" s="2"/>
      <c r="AJ344" s="2"/>
      <c r="AS344" s="1"/>
      <c r="AT344" s="2"/>
      <c r="AV344" s="2"/>
    </row>
    <row r="345" spans="31:48" x14ac:dyDescent="0.2">
      <c r="AE345" s="1"/>
      <c r="AF345" s="1"/>
      <c r="AG345" s="1"/>
      <c r="AH345" s="2"/>
      <c r="AJ345" s="2"/>
      <c r="AS345" s="1"/>
      <c r="AT345" s="2"/>
      <c r="AV345" s="2"/>
    </row>
    <row r="346" spans="31:48" x14ac:dyDescent="0.2">
      <c r="AE346" s="1"/>
      <c r="AF346" s="1"/>
      <c r="AG346" s="1"/>
      <c r="AH346" s="2"/>
      <c r="AJ346" s="2"/>
      <c r="AS346" s="1"/>
      <c r="AT346" s="2"/>
      <c r="AV346" s="2"/>
    </row>
    <row r="347" spans="31:48" x14ac:dyDescent="0.2">
      <c r="AE347" s="1"/>
      <c r="AF347" s="1"/>
      <c r="AG347" s="1"/>
      <c r="AH347" s="2"/>
      <c r="AJ347" s="2"/>
      <c r="AS347" s="1"/>
      <c r="AT347" s="2"/>
      <c r="AV347" s="2"/>
    </row>
    <row r="348" spans="31:48" x14ac:dyDescent="0.2">
      <c r="AE348" s="1"/>
      <c r="AF348" s="1"/>
      <c r="AG348" s="1"/>
      <c r="AH348" s="2"/>
      <c r="AJ348" s="2"/>
      <c r="AS348" s="1"/>
      <c r="AT348" s="2"/>
      <c r="AV348" s="2"/>
    </row>
    <row r="349" spans="31:48" x14ac:dyDescent="0.2">
      <c r="AE349" s="1"/>
      <c r="AF349" s="1"/>
      <c r="AG349" s="1"/>
      <c r="AH349" s="2"/>
      <c r="AJ349" s="2"/>
      <c r="AS349" s="1"/>
      <c r="AT349" s="2"/>
      <c r="AV349" s="2"/>
    </row>
    <row r="350" spans="31:48" x14ac:dyDescent="0.2">
      <c r="AE350" s="1"/>
      <c r="AF350" s="1"/>
      <c r="AG350" s="1"/>
      <c r="AH350" s="2"/>
      <c r="AJ350" s="2"/>
      <c r="AS350" s="1"/>
      <c r="AT350" s="2"/>
      <c r="AV350" s="2"/>
    </row>
    <row r="351" spans="31:48" x14ac:dyDescent="0.2">
      <c r="AE351" s="1"/>
      <c r="AF351" s="1"/>
      <c r="AG351" s="1"/>
      <c r="AH351" s="2"/>
      <c r="AJ351" s="2"/>
      <c r="AS351" s="1"/>
      <c r="AT351" s="2"/>
      <c r="AV351" s="2"/>
    </row>
    <row r="352" spans="31:48" x14ac:dyDescent="0.2">
      <c r="AE352" s="1"/>
      <c r="AF352" s="1"/>
      <c r="AG352" s="1"/>
      <c r="AH352" s="2"/>
      <c r="AJ352" s="2"/>
      <c r="AS352" s="1"/>
      <c r="AT352" s="2"/>
      <c r="AV352" s="2"/>
    </row>
    <row r="353" spans="31:48" x14ac:dyDescent="0.2">
      <c r="AE353" s="1"/>
      <c r="AF353" s="1"/>
      <c r="AG353" s="1"/>
      <c r="AH353" s="2"/>
      <c r="AJ353" s="2"/>
      <c r="AS353" s="1"/>
      <c r="AT353" s="2"/>
      <c r="AV353" s="2"/>
    </row>
    <row r="354" spans="31:48" x14ac:dyDescent="0.2">
      <c r="AE354" s="1"/>
      <c r="AF354" s="1"/>
      <c r="AG354" s="1"/>
      <c r="AH354" s="2"/>
      <c r="AJ354" s="2"/>
      <c r="AS354" s="1"/>
      <c r="AT354" s="2"/>
      <c r="AV354" s="2"/>
    </row>
    <row r="355" spans="31:48" x14ac:dyDescent="0.2">
      <c r="AE355" s="1"/>
      <c r="AF355" s="1"/>
      <c r="AG355" s="1"/>
      <c r="AH355" s="2"/>
      <c r="AJ355" s="2"/>
      <c r="AS355" s="1"/>
      <c r="AT355" s="2"/>
      <c r="AV355" s="2"/>
    </row>
    <row r="356" spans="31:48" x14ac:dyDescent="0.2">
      <c r="AE356" s="1"/>
      <c r="AF356" s="1"/>
      <c r="AG356" s="1"/>
      <c r="AH356" s="2"/>
      <c r="AJ356" s="2"/>
      <c r="AS356" s="1"/>
      <c r="AT356" s="2"/>
      <c r="AV356" s="2"/>
    </row>
    <row r="357" spans="31:48" x14ac:dyDescent="0.2">
      <c r="AE357" s="1"/>
      <c r="AF357" s="1"/>
      <c r="AG357" s="1"/>
      <c r="AH357" s="2"/>
      <c r="AJ357" s="2"/>
      <c r="AS357" s="1"/>
      <c r="AT357" s="2"/>
      <c r="AV357" s="2"/>
    </row>
    <row r="358" spans="31:48" x14ac:dyDescent="0.2">
      <c r="AE358" s="1"/>
      <c r="AF358" s="1"/>
      <c r="AG358" s="1"/>
      <c r="AH358" s="2"/>
      <c r="AJ358" s="2"/>
      <c r="AS358" s="1"/>
      <c r="AT358" s="2"/>
      <c r="AV358" s="2"/>
    </row>
    <row r="359" spans="31:48" x14ac:dyDescent="0.2">
      <c r="AE359" s="1"/>
      <c r="AF359" s="1"/>
      <c r="AG359" s="1"/>
      <c r="AH359" s="2"/>
      <c r="AJ359" s="2"/>
      <c r="AS359" s="1"/>
      <c r="AT359" s="2"/>
      <c r="AV359" s="2"/>
    </row>
    <row r="360" spans="31:48" x14ac:dyDescent="0.2">
      <c r="AE360" s="1"/>
      <c r="AF360" s="1"/>
      <c r="AG360" s="1"/>
      <c r="AH360" s="2"/>
      <c r="AJ360" s="2"/>
      <c r="AS360" s="1"/>
      <c r="AT360" s="2"/>
      <c r="AV360" s="2"/>
    </row>
    <row r="361" spans="31:48" x14ac:dyDescent="0.2">
      <c r="AE361" s="1"/>
      <c r="AF361" s="1"/>
      <c r="AG361" s="1"/>
      <c r="AH361" s="2"/>
      <c r="AJ361" s="2"/>
      <c r="AS361" s="1"/>
      <c r="AT361" s="2"/>
      <c r="AV361" s="2"/>
    </row>
    <row r="362" spans="31:48" x14ac:dyDescent="0.2">
      <c r="AE362" s="1"/>
      <c r="AF362" s="1"/>
      <c r="AG362" s="1"/>
      <c r="AH362" s="2"/>
      <c r="AJ362" s="2"/>
      <c r="AS362" s="1"/>
      <c r="AT362" s="2"/>
      <c r="AV362" s="2"/>
    </row>
    <row r="363" spans="31:48" x14ac:dyDescent="0.2">
      <c r="AE363" s="1"/>
      <c r="AF363" s="1"/>
      <c r="AG363" s="1"/>
      <c r="AH363" s="2"/>
      <c r="AJ363" s="2"/>
      <c r="AS363" s="1"/>
      <c r="AT363" s="2"/>
      <c r="AV363" s="2"/>
    </row>
    <row r="364" spans="31:48" x14ac:dyDescent="0.2">
      <c r="AE364" s="1"/>
      <c r="AF364" s="1"/>
      <c r="AG364" s="1"/>
      <c r="AH364" s="2"/>
      <c r="AJ364" s="2"/>
      <c r="AS364" s="1"/>
      <c r="AT364" s="2"/>
      <c r="AV364" s="2"/>
    </row>
    <row r="365" spans="31:48" x14ac:dyDescent="0.2">
      <c r="AE365" s="1"/>
      <c r="AF365" s="1"/>
      <c r="AG365" s="1"/>
      <c r="AH365" s="2"/>
      <c r="AJ365" s="2"/>
      <c r="AS365" s="1"/>
      <c r="AT365" s="2"/>
      <c r="AV365" s="2"/>
    </row>
    <row r="366" spans="31:48" x14ac:dyDescent="0.2">
      <c r="AE366" s="1"/>
      <c r="AF366" s="1"/>
      <c r="AG366" s="1"/>
      <c r="AH366" s="2"/>
      <c r="AJ366" s="2"/>
      <c r="AS366" s="1"/>
      <c r="AT366" s="2"/>
      <c r="AV366" s="2"/>
    </row>
    <row r="367" spans="31:48" x14ac:dyDescent="0.2">
      <c r="AE367" s="1"/>
      <c r="AF367" s="1"/>
      <c r="AG367" s="1"/>
      <c r="AH367" s="2"/>
      <c r="AJ367" s="2"/>
      <c r="AS367" s="1"/>
      <c r="AT367" s="2"/>
      <c r="AV367" s="2"/>
    </row>
    <row r="368" spans="31:48" x14ac:dyDescent="0.2">
      <c r="AE368" s="1"/>
      <c r="AF368" s="1"/>
      <c r="AG368" s="1"/>
      <c r="AH368" s="2"/>
      <c r="AJ368" s="2"/>
      <c r="AS368" s="1"/>
      <c r="AT368" s="2"/>
      <c r="AV368" s="2"/>
    </row>
    <row r="369" spans="31:48" x14ac:dyDescent="0.2">
      <c r="AE369" s="1"/>
      <c r="AF369" s="1"/>
      <c r="AG369" s="1"/>
      <c r="AH369" s="2"/>
      <c r="AJ369" s="2"/>
      <c r="AS369" s="1"/>
      <c r="AT369" s="2"/>
      <c r="AV369" s="2"/>
    </row>
    <row r="370" spans="31:48" x14ac:dyDescent="0.2">
      <c r="AE370" s="1"/>
      <c r="AF370" s="1"/>
      <c r="AG370" s="1"/>
      <c r="AH370" s="2"/>
      <c r="AJ370" s="2"/>
      <c r="AS370" s="1"/>
      <c r="AT370" s="2"/>
      <c r="AV370" s="2"/>
    </row>
    <row r="371" spans="31:48" x14ac:dyDescent="0.2">
      <c r="AE371" s="1"/>
      <c r="AF371" s="1"/>
      <c r="AG371" s="1"/>
      <c r="AH371" s="2"/>
      <c r="AJ371" s="2"/>
      <c r="AS371" s="1"/>
      <c r="AT371" s="2"/>
      <c r="AV371" s="2"/>
    </row>
    <row r="372" spans="31:48" x14ac:dyDescent="0.2">
      <c r="AE372" s="1"/>
      <c r="AF372" s="1"/>
      <c r="AG372" s="1"/>
      <c r="AH372" s="2"/>
      <c r="AJ372" s="2"/>
      <c r="AS372" s="1"/>
      <c r="AT372" s="2"/>
      <c r="AV372" s="2"/>
    </row>
    <row r="373" spans="31:48" x14ac:dyDescent="0.2">
      <c r="AE373" s="1"/>
      <c r="AF373" s="1"/>
      <c r="AG373" s="1"/>
      <c r="AH373" s="2"/>
      <c r="AJ373" s="2"/>
      <c r="AS373" s="1"/>
      <c r="AT373" s="2"/>
      <c r="AV373" s="2"/>
    </row>
    <row r="374" spans="31:48" x14ac:dyDescent="0.2">
      <c r="AE374" s="1"/>
      <c r="AF374" s="1"/>
      <c r="AG374" s="1"/>
      <c r="AH374" s="2"/>
      <c r="AJ374" s="2"/>
      <c r="AS374" s="1"/>
      <c r="AT374" s="2"/>
      <c r="AV374" s="2"/>
    </row>
    <row r="375" spans="31:48" x14ac:dyDescent="0.2">
      <c r="AE375" s="1"/>
      <c r="AF375" s="1"/>
      <c r="AG375" s="1"/>
      <c r="AH375" s="2"/>
      <c r="AJ375" s="2"/>
      <c r="AS375" s="1"/>
      <c r="AT375" s="2"/>
      <c r="AV375" s="2"/>
    </row>
    <row r="376" spans="31:48" x14ac:dyDescent="0.2">
      <c r="AE376" s="1"/>
      <c r="AF376" s="1"/>
      <c r="AG376" s="1"/>
      <c r="AH376" s="2"/>
      <c r="AJ376" s="2"/>
      <c r="AS376" s="1"/>
      <c r="AT376" s="2"/>
      <c r="AV376" s="2"/>
    </row>
    <row r="377" spans="31:48" x14ac:dyDescent="0.2">
      <c r="AE377" s="1"/>
      <c r="AF377" s="1"/>
      <c r="AG377" s="1"/>
      <c r="AH377" s="2"/>
      <c r="AJ377" s="2"/>
      <c r="AS377" s="1"/>
      <c r="AT377" s="2"/>
      <c r="AV377" s="2"/>
    </row>
    <row r="378" spans="31:48" x14ac:dyDescent="0.2">
      <c r="AE378" s="1"/>
      <c r="AF378" s="1"/>
      <c r="AG378" s="1"/>
      <c r="AH378" s="2"/>
      <c r="AJ378" s="2"/>
      <c r="AS378" s="1"/>
      <c r="AT378" s="2"/>
      <c r="AV378" s="2"/>
    </row>
    <row r="379" spans="31:48" x14ac:dyDescent="0.2">
      <c r="AE379" s="1"/>
      <c r="AF379" s="1"/>
      <c r="AG379" s="1"/>
      <c r="AH379" s="2"/>
      <c r="AJ379" s="2"/>
      <c r="AS379" s="1"/>
      <c r="AT379" s="2"/>
      <c r="AV379" s="2"/>
    </row>
    <row r="380" spans="31:48" x14ac:dyDescent="0.2">
      <c r="AE380" s="1"/>
      <c r="AF380" s="1"/>
      <c r="AG380" s="1"/>
      <c r="AH380" s="2"/>
      <c r="AJ380" s="2"/>
      <c r="AS380" s="1"/>
      <c r="AT380" s="2"/>
      <c r="AV380" s="2"/>
    </row>
    <row r="381" spans="31:48" x14ac:dyDescent="0.2">
      <c r="AE381" s="1"/>
      <c r="AF381" s="1"/>
      <c r="AG381" s="1"/>
      <c r="AH381" s="2"/>
      <c r="AJ381" s="2"/>
      <c r="AS381" s="1"/>
      <c r="AT381" s="2"/>
      <c r="AV381" s="2"/>
    </row>
    <row r="382" spans="31:48" x14ac:dyDescent="0.2">
      <c r="AE382" s="1"/>
      <c r="AF382" s="1"/>
      <c r="AG382" s="1"/>
      <c r="AH382" s="2"/>
      <c r="AJ382" s="2"/>
      <c r="AS382" s="1"/>
      <c r="AT382" s="2"/>
      <c r="AV382" s="2"/>
    </row>
    <row r="383" spans="31:48" x14ac:dyDescent="0.2">
      <c r="AE383" s="1"/>
      <c r="AF383" s="1"/>
      <c r="AG383" s="1"/>
      <c r="AH383" s="2"/>
      <c r="AJ383" s="2"/>
      <c r="AS383" s="1"/>
      <c r="AT383" s="2"/>
      <c r="AV383" s="2"/>
    </row>
    <row r="384" spans="31:48" x14ac:dyDescent="0.2">
      <c r="AE384" s="1"/>
      <c r="AF384" s="1"/>
      <c r="AG384" s="1"/>
      <c r="AH384" s="2"/>
      <c r="AJ384" s="2"/>
      <c r="AS384" s="1"/>
      <c r="AT384" s="2"/>
      <c r="AV384" s="2"/>
    </row>
    <row r="385" spans="31:48" x14ac:dyDescent="0.2">
      <c r="AE385" s="1"/>
      <c r="AF385" s="1"/>
      <c r="AG385" s="1"/>
      <c r="AH385" s="2"/>
      <c r="AJ385" s="2"/>
      <c r="AS385" s="1"/>
      <c r="AT385" s="2"/>
      <c r="AV385" s="2"/>
    </row>
    <row r="386" spans="31:48" x14ac:dyDescent="0.2">
      <c r="AE386" s="1"/>
      <c r="AF386" s="1"/>
      <c r="AG386" s="1"/>
      <c r="AH386" s="2"/>
      <c r="AJ386" s="2"/>
      <c r="AS386" s="1"/>
      <c r="AT386" s="2"/>
      <c r="AV386" s="2"/>
    </row>
    <row r="387" spans="31:48" x14ac:dyDescent="0.2">
      <c r="AE387" s="1"/>
      <c r="AF387" s="1"/>
      <c r="AG387" s="1"/>
      <c r="AH387" s="2"/>
      <c r="AJ387" s="2"/>
      <c r="AS387" s="1"/>
      <c r="AT387" s="2"/>
      <c r="AV387" s="2"/>
    </row>
    <row r="388" spans="31:48" x14ac:dyDescent="0.2">
      <c r="AE388" s="1"/>
      <c r="AF388" s="1"/>
      <c r="AG388" s="1"/>
      <c r="AH388" s="2"/>
      <c r="AJ388" s="2"/>
      <c r="AS388" s="1"/>
      <c r="AT388" s="2"/>
      <c r="AV388" s="2"/>
    </row>
    <row r="389" spans="31:48" x14ac:dyDescent="0.2">
      <c r="AE389" s="1"/>
      <c r="AF389" s="1"/>
      <c r="AG389" s="1"/>
      <c r="AH389" s="2"/>
      <c r="AJ389" s="2"/>
      <c r="AS389" s="1"/>
      <c r="AT389" s="2"/>
      <c r="AV389" s="2"/>
    </row>
    <row r="390" spans="31:48" x14ac:dyDescent="0.2">
      <c r="AE390" s="1"/>
      <c r="AF390" s="1"/>
      <c r="AG390" s="1"/>
      <c r="AH390" s="2"/>
      <c r="AJ390" s="2"/>
      <c r="AS390" s="1"/>
      <c r="AT390" s="2"/>
      <c r="AV390" s="2"/>
    </row>
    <row r="391" spans="31:48" x14ac:dyDescent="0.2">
      <c r="AE391" s="1"/>
      <c r="AF391" s="1"/>
      <c r="AG391" s="1"/>
      <c r="AH391" s="2"/>
      <c r="AJ391" s="2"/>
      <c r="AS391" s="1"/>
      <c r="AT391" s="2"/>
      <c r="AV391" s="2"/>
    </row>
    <row r="392" spans="31:48" x14ac:dyDescent="0.2">
      <c r="AE392" s="1"/>
      <c r="AF392" s="1"/>
      <c r="AG392" s="1"/>
      <c r="AH392" s="2"/>
      <c r="AJ392" s="2"/>
      <c r="AS392" s="1"/>
      <c r="AT392" s="2"/>
      <c r="AV392" s="2"/>
    </row>
    <row r="393" spans="31:48" x14ac:dyDescent="0.2">
      <c r="AE393" s="1"/>
      <c r="AF393" s="1"/>
      <c r="AG393" s="1"/>
      <c r="AH393" s="2"/>
      <c r="AJ393" s="2"/>
      <c r="AS393" s="1"/>
      <c r="AT393" s="2"/>
      <c r="AV393" s="2"/>
    </row>
    <row r="394" spans="31:48" x14ac:dyDescent="0.2">
      <c r="AE394" s="1"/>
      <c r="AF394" s="1"/>
      <c r="AG394" s="1"/>
      <c r="AH394" s="2"/>
      <c r="AJ394" s="2"/>
      <c r="AS394" s="1"/>
      <c r="AT394" s="2"/>
      <c r="AV394" s="2"/>
    </row>
    <row r="395" spans="31:48" x14ac:dyDescent="0.2">
      <c r="AE395" s="1"/>
      <c r="AF395" s="1"/>
      <c r="AG395" s="1"/>
      <c r="AH395" s="2"/>
      <c r="AJ395" s="2"/>
      <c r="AS395" s="1"/>
      <c r="AT395" s="2"/>
      <c r="AV395" s="2"/>
    </row>
    <row r="396" spans="31:48" x14ac:dyDescent="0.2">
      <c r="AE396" s="1"/>
      <c r="AF396" s="1"/>
      <c r="AG396" s="1"/>
      <c r="AH396" s="2"/>
      <c r="AJ396" s="2"/>
      <c r="AS396" s="1"/>
      <c r="AT396" s="2"/>
      <c r="AV396" s="2"/>
    </row>
    <row r="397" spans="31:48" x14ac:dyDescent="0.2">
      <c r="AE397" s="1"/>
      <c r="AF397" s="1"/>
      <c r="AG397" s="1"/>
      <c r="AH397" s="2"/>
      <c r="AJ397" s="2"/>
      <c r="AS397" s="1"/>
      <c r="AT397" s="2"/>
      <c r="AV397" s="2"/>
    </row>
    <row r="398" spans="31:48" x14ac:dyDescent="0.2">
      <c r="AE398" s="1"/>
      <c r="AF398" s="1"/>
      <c r="AG398" s="1"/>
      <c r="AH398" s="2"/>
      <c r="AJ398" s="2"/>
      <c r="AS398" s="1"/>
      <c r="AT398" s="2"/>
      <c r="AV398" s="2"/>
    </row>
    <row r="399" spans="31:48" x14ac:dyDescent="0.2">
      <c r="AE399" s="1"/>
      <c r="AF399" s="1"/>
      <c r="AG399" s="1"/>
      <c r="AH399" s="2"/>
      <c r="AJ399" s="2"/>
      <c r="AS399" s="1"/>
      <c r="AT399" s="2"/>
      <c r="AV399" s="2"/>
    </row>
    <row r="400" spans="31:48" x14ac:dyDescent="0.2">
      <c r="AE400" s="1"/>
      <c r="AF400" s="1"/>
      <c r="AG400" s="1"/>
      <c r="AH400" s="2"/>
      <c r="AJ400" s="2"/>
      <c r="AS400" s="1"/>
      <c r="AT400" s="2"/>
      <c r="AV400" s="2"/>
    </row>
    <row r="401" spans="31:48" x14ac:dyDescent="0.2">
      <c r="AE401" s="1"/>
      <c r="AF401" s="1"/>
      <c r="AG401" s="1"/>
      <c r="AH401" s="2"/>
      <c r="AJ401" s="2"/>
      <c r="AS401" s="1"/>
      <c r="AT401" s="2"/>
      <c r="AV401" s="2"/>
    </row>
    <row r="402" spans="31:48" x14ac:dyDescent="0.2">
      <c r="AE402" s="1"/>
      <c r="AF402" s="1"/>
      <c r="AG402" s="1"/>
      <c r="AH402" s="2"/>
      <c r="AJ402" s="2"/>
      <c r="AS402" s="1"/>
      <c r="AT402" s="2"/>
      <c r="AV402" s="2"/>
    </row>
    <row r="403" spans="31:48" x14ac:dyDescent="0.2">
      <c r="AE403" s="1"/>
      <c r="AF403" s="1"/>
      <c r="AG403" s="1"/>
      <c r="AH403" s="2"/>
      <c r="AJ403" s="2"/>
      <c r="AS403" s="1"/>
      <c r="AT403" s="2"/>
      <c r="AV403" s="2"/>
    </row>
    <row r="404" spans="31:48" x14ac:dyDescent="0.2">
      <c r="AE404" s="1"/>
      <c r="AF404" s="1"/>
      <c r="AG404" s="1"/>
      <c r="AH404" s="2"/>
      <c r="AJ404" s="2"/>
      <c r="AS404" s="1"/>
      <c r="AT404" s="2"/>
      <c r="AV404" s="2"/>
    </row>
    <row r="405" spans="31:48" x14ac:dyDescent="0.2">
      <c r="AE405" s="1"/>
      <c r="AF405" s="1"/>
      <c r="AG405" s="1"/>
      <c r="AH405" s="2"/>
      <c r="AJ405" s="2"/>
      <c r="AS405" s="1"/>
      <c r="AT405" s="2"/>
      <c r="AV405" s="2"/>
    </row>
    <row r="406" spans="31:48" x14ac:dyDescent="0.2">
      <c r="AE406" s="1"/>
      <c r="AF406" s="1"/>
      <c r="AG406" s="1"/>
      <c r="AH406" s="2"/>
      <c r="AJ406" s="2"/>
      <c r="AS406" s="1"/>
      <c r="AT406" s="2"/>
      <c r="AV406" s="2"/>
    </row>
    <row r="407" spans="31:48" x14ac:dyDescent="0.2">
      <c r="AE407" s="1"/>
      <c r="AF407" s="1"/>
      <c r="AG407" s="1"/>
      <c r="AH407" s="2"/>
      <c r="AJ407" s="2"/>
      <c r="AS407" s="1"/>
      <c r="AT407" s="2"/>
      <c r="AV407" s="2"/>
    </row>
    <row r="408" spans="31:48" x14ac:dyDescent="0.2">
      <c r="AE408" s="1"/>
      <c r="AF408" s="1"/>
      <c r="AG408" s="1"/>
      <c r="AH408" s="2"/>
      <c r="AJ408" s="2"/>
      <c r="AS408" s="1"/>
      <c r="AT408" s="2"/>
      <c r="AV408" s="2"/>
    </row>
    <row r="409" spans="31:48" x14ac:dyDescent="0.2">
      <c r="AE409" s="1"/>
      <c r="AF409" s="1"/>
      <c r="AG409" s="1"/>
      <c r="AH409" s="2"/>
      <c r="AJ409" s="2"/>
      <c r="AS409" s="1"/>
      <c r="AT409" s="2"/>
      <c r="AV409" s="2"/>
    </row>
    <row r="410" spans="31:48" x14ac:dyDescent="0.2">
      <c r="AE410" s="1"/>
      <c r="AF410" s="1"/>
      <c r="AG410" s="1"/>
      <c r="AH410" s="2"/>
      <c r="AJ410" s="2"/>
      <c r="AS410" s="1"/>
      <c r="AT410" s="2"/>
      <c r="AV410" s="2"/>
    </row>
    <row r="411" spans="31:48" x14ac:dyDescent="0.2">
      <c r="AE411" s="1"/>
      <c r="AF411" s="1"/>
      <c r="AG411" s="1"/>
      <c r="AH411" s="2"/>
      <c r="AJ411" s="2"/>
      <c r="AS411" s="1"/>
      <c r="AT411" s="2"/>
      <c r="AV411" s="2"/>
    </row>
    <row r="412" spans="31:48" x14ac:dyDescent="0.2">
      <c r="AE412" s="1"/>
      <c r="AF412" s="1"/>
      <c r="AG412" s="1"/>
      <c r="AH412" s="2"/>
      <c r="AJ412" s="2"/>
      <c r="AS412" s="1"/>
      <c r="AT412" s="2"/>
      <c r="AV412" s="2"/>
    </row>
    <row r="413" spans="31:48" x14ac:dyDescent="0.2">
      <c r="AE413" s="1"/>
      <c r="AF413" s="1"/>
      <c r="AG413" s="1"/>
      <c r="AH413" s="2"/>
      <c r="AJ413" s="2"/>
      <c r="AS413" s="1"/>
      <c r="AT413" s="2"/>
      <c r="AV413" s="2"/>
    </row>
    <row r="414" spans="31:48" x14ac:dyDescent="0.2">
      <c r="AE414" s="1"/>
      <c r="AF414" s="1"/>
      <c r="AG414" s="1"/>
      <c r="AH414" s="2"/>
      <c r="AJ414" s="2"/>
      <c r="AS414" s="1"/>
      <c r="AT414" s="2"/>
      <c r="AV414" s="2"/>
    </row>
    <row r="415" spans="31:48" x14ac:dyDescent="0.2">
      <c r="AE415" s="1"/>
      <c r="AF415" s="1"/>
      <c r="AG415" s="1"/>
      <c r="AH415" s="2"/>
      <c r="AJ415" s="2"/>
      <c r="AS415" s="1"/>
      <c r="AT415" s="2"/>
      <c r="AV415" s="2"/>
    </row>
    <row r="416" spans="31:48" x14ac:dyDescent="0.2">
      <c r="AE416" s="1"/>
      <c r="AF416" s="1"/>
      <c r="AG416" s="1"/>
      <c r="AH416" s="2"/>
      <c r="AJ416" s="2"/>
      <c r="AS416" s="1"/>
      <c r="AT416" s="2"/>
      <c r="AV416" s="2"/>
    </row>
    <row r="417" spans="31:48" x14ac:dyDescent="0.2">
      <c r="AE417" s="1"/>
      <c r="AF417" s="1"/>
      <c r="AG417" s="1"/>
      <c r="AH417" s="2"/>
      <c r="AJ417" s="2"/>
      <c r="AS417" s="1"/>
      <c r="AT417" s="2"/>
      <c r="AV417" s="2"/>
    </row>
    <row r="418" spans="31:48" x14ac:dyDescent="0.2">
      <c r="AE418" s="1"/>
      <c r="AF418" s="1"/>
      <c r="AG418" s="1"/>
      <c r="AH418" s="2"/>
      <c r="AJ418" s="2"/>
      <c r="AS418" s="1"/>
      <c r="AT418" s="2"/>
      <c r="AV418" s="2"/>
    </row>
    <row r="419" spans="31:48" x14ac:dyDescent="0.2">
      <c r="AE419" s="1"/>
      <c r="AF419" s="1"/>
      <c r="AG419" s="1"/>
      <c r="AH419" s="2"/>
      <c r="AJ419" s="2"/>
      <c r="AS419" s="1"/>
      <c r="AT419" s="2"/>
      <c r="AV419" s="2"/>
    </row>
    <row r="420" spans="31:48" x14ac:dyDescent="0.2">
      <c r="AE420" s="1"/>
      <c r="AF420" s="1"/>
      <c r="AG420" s="1"/>
      <c r="AH420" s="2"/>
      <c r="AJ420" s="2"/>
      <c r="AS420" s="1"/>
      <c r="AT420" s="2"/>
      <c r="AV420" s="2"/>
    </row>
    <row r="421" spans="31:48" x14ac:dyDescent="0.2">
      <c r="AE421" s="1"/>
      <c r="AF421" s="1"/>
      <c r="AG421" s="1"/>
      <c r="AH421" s="2"/>
      <c r="AJ421" s="2"/>
      <c r="AS421" s="1"/>
      <c r="AT421" s="2"/>
      <c r="AV421" s="2"/>
    </row>
    <row r="422" spans="31:48" x14ac:dyDescent="0.2">
      <c r="AE422" s="1"/>
      <c r="AF422" s="1"/>
      <c r="AG422" s="1"/>
      <c r="AH422" s="2"/>
      <c r="AJ422" s="2"/>
      <c r="AS422" s="1"/>
      <c r="AT422" s="2"/>
      <c r="AV422" s="2"/>
    </row>
    <row r="423" spans="31:48" x14ac:dyDescent="0.2">
      <c r="AE423" s="1"/>
      <c r="AF423" s="1"/>
      <c r="AG423" s="1"/>
      <c r="AH423" s="2"/>
      <c r="AJ423" s="2"/>
      <c r="AS423" s="1"/>
      <c r="AT423" s="2"/>
      <c r="AV423" s="2"/>
    </row>
    <row r="424" spans="31:48" x14ac:dyDescent="0.2">
      <c r="AE424" s="1"/>
      <c r="AF424" s="1"/>
      <c r="AG424" s="1"/>
      <c r="AH424" s="2"/>
      <c r="AJ424" s="2"/>
      <c r="AS424" s="1"/>
      <c r="AT424" s="2"/>
      <c r="AV424" s="2"/>
    </row>
    <row r="425" spans="31:48" x14ac:dyDescent="0.2">
      <c r="AE425" s="1"/>
      <c r="AF425" s="1"/>
      <c r="AG425" s="1"/>
      <c r="AH425" s="2"/>
      <c r="AJ425" s="2"/>
      <c r="AS425" s="1"/>
      <c r="AT425" s="2"/>
      <c r="AV425" s="2"/>
    </row>
    <row r="426" spans="31:48" x14ac:dyDescent="0.2">
      <c r="AE426" s="1"/>
      <c r="AF426" s="1"/>
      <c r="AG426" s="1"/>
      <c r="AH426" s="2"/>
      <c r="AJ426" s="2"/>
      <c r="AS426" s="1"/>
      <c r="AT426" s="2"/>
      <c r="AV426" s="2"/>
    </row>
    <row r="427" spans="31:48" x14ac:dyDescent="0.2">
      <c r="AE427" s="1"/>
      <c r="AF427" s="1"/>
      <c r="AG427" s="1"/>
      <c r="AH427" s="2"/>
      <c r="AJ427" s="2"/>
      <c r="AS427" s="1"/>
      <c r="AT427" s="2"/>
      <c r="AV427" s="2"/>
    </row>
    <row r="428" spans="31:48" x14ac:dyDescent="0.2">
      <c r="AE428" s="1"/>
      <c r="AF428" s="1"/>
      <c r="AG428" s="1"/>
      <c r="AH428" s="2"/>
      <c r="AJ428" s="2"/>
      <c r="AS428" s="1"/>
      <c r="AT428" s="2"/>
      <c r="AV428" s="2"/>
    </row>
    <row r="429" spans="31:48" x14ac:dyDescent="0.2">
      <c r="AE429" s="1"/>
      <c r="AF429" s="1"/>
      <c r="AG429" s="1"/>
      <c r="AH429" s="2"/>
      <c r="AJ429" s="2"/>
      <c r="AS429" s="1"/>
      <c r="AT429" s="2"/>
      <c r="AV429" s="2"/>
    </row>
    <row r="430" spans="31:48" x14ac:dyDescent="0.2">
      <c r="AE430" s="1"/>
      <c r="AF430" s="1"/>
      <c r="AG430" s="1"/>
      <c r="AH430" s="2"/>
      <c r="AJ430" s="2"/>
      <c r="AS430" s="1"/>
      <c r="AT430" s="2"/>
      <c r="AV430" s="2"/>
    </row>
    <row r="431" spans="31:48" x14ac:dyDescent="0.2">
      <c r="AE431" s="1"/>
      <c r="AF431" s="1"/>
      <c r="AG431" s="1"/>
      <c r="AH431" s="2"/>
      <c r="AJ431" s="2"/>
      <c r="AS431" s="1"/>
      <c r="AT431" s="2"/>
      <c r="AV431" s="2"/>
    </row>
    <row r="432" spans="31:48" x14ac:dyDescent="0.2">
      <c r="AE432" s="1"/>
      <c r="AF432" s="1"/>
      <c r="AG432" s="1"/>
      <c r="AH432" s="2"/>
      <c r="AJ432" s="2"/>
      <c r="AS432" s="1"/>
      <c r="AT432" s="2"/>
      <c r="AV432" s="2"/>
    </row>
    <row r="433" spans="31:48" x14ac:dyDescent="0.2">
      <c r="AE433" s="1"/>
      <c r="AF433" s="1"/>
      <c r="AG433" s="1"/>
      <c r="AH433" s="2"/>
      <c r="AJ433" s="2"/>
      <c r="AS433" s="1"/>
      <c r="AT433" s="2"/>
      <c r="AV433" s="2"/>
    </row>
    <row r="434" spans="31:48" x14ac:dyDescent="0.2">
      <c r="AE434" s="1"/>
      <c r="AF434" s="1"/>
      <c r="AG434" s="1"/>
      <c r="AH434" s="2"/>
      <c r="AJ434" s="2"/>
      <c r="AS434" s="1"/>
      <c r="AT434" s="2"/>
      <c r="AV434" s="2"/>
    </row>
    <row r="435" spans="31:48" x14ac:dyDescent="0.2">
      <c r="AE435" s="1"/>
      <c r="AF435" s="1"/>
      <c r="AG435" s="1"/>
      <c r="AH435" s="2"/>
      <c r="AJ435" s="2"/>
      <c r="AS435" s="1"/>
      <c r="AT435" s="2"/>
      <c r="AV435" s="2"/>
    </row>
    <row r="436" spans="31:48" x14ac:dyDescent="0.2">
      <c r="AE436" s="1"/>
      <c r="AF436" s="1"/>
      <c r="AG436" s="1"/>
      <c r="AH436" s="2"/>
      <c r="AJ436" s="2"/>
      <c r="AS436" s="1"/>
      <c r="AT436" s="2"/>
      <c r="AV436" s="2"/>
    </row>
    <row r="437" spans="31:48" x14ac:dyDescent="0.2">
      <c r="AE437" s="1"/>
      <c r="AF437" s="1"/>
      <c r="AG437" s="1"/>
      <c r="AH437" s="2"/>
      <c r="AJ437" s="2"/>
      <c r="AS437" s="1"/>
      <c r="AT437" s="2"/>
      <c r="AV437" s="2"/>
    </row>
    <row r="438" spans="31:48" x14ac:dyDescent="0.2">
      <c r="AE438" s="1"/>
      <c r="AF438" s="1"/>
      <c r="AG438" s="1"/>
      <c r="AH438" s="2"/>
      <c r="AJ438" s="2"/>
      <c r="AS438" s="1"/>
      <c r="AT438" s="2"/>
      <c r="AV438" s="2"/>
    </row>
    <row r="439" spans="31:48" x14ac:dyDescent="0.2">
      <c r="AE439" s="1"/>
      <c r="AF439" s="1"/>
      <c r="AG439" s="1"/>
      <c r="AH439" s="2"/>
      <c r="AJ439" s="2"/>
      <c r="AS439" s="1"/>
      <c r="AT439" s="2"/>
      <c r="AV439" s="2"/>
    </row>
    <row r="440" spans="31:48" x14ac:dyDescent="0.2">
      <c r="AE440" s="1"/>
      <c r="AF440" s="1"/>
      <c r="AG440" s="1"/>
      <c r="AH440" s="2"/>
      <c r="AJ440" s="2"/>
      <c r="AS440" s="1"/>
      <c r="AT440" s="2"/>
      <c r="AV440" s="2"/>
    </row>
    <row r="441" spans="31:48" x14ac:dyDescent="0.2">
      <c r="AE441" s="1"/>
      <c r="AF441" s="1"/>
      <c r="AG441" s="1"/>
      <c r="AH441" s="2"/>
      <c r="AJ441" s="2"/>
      <c r="AS441" s="1"/>
      <c r="AT441" s="2"/>
      <c r="AV441" s="2"/>
    </row>
    <row r="442" spans="31:48" x14ac:dyDescent="0.2">
      <c r="AE442" s="1"/>
      <c r="AF442" s="1"/>
      <c r="AG442" s="1"/>
      <c r="AH442" s="2"/>
      <c r="AJ442" s="2"/>
      <c r="AS442" s="1"/>
      <c r="AT442" s="2"/>
      <c r="AV442" s="2"/>
    </row>
    <row r="443" spans="31:48" x14ac:dyDescent="0.2">
      <c r="AE443" s="1"/>
      <c r="AF443" s="1"/>
      <c r="AG443" s="1"/>
      <c r="AH443" s="2"/>
      <c r="AJ443" s="2"/>
      <c r="AS443" s="1"/>
      <c r="AT443" s="2"/>
      <c r="AV443" s="2"/>
    </row>
    <row r="444" spans="31:48" x14ac:dyDescent="0.2">
      <c r="AE444" s="1"/>
      <c r="AF444" s="1"/>
      <c r="AG444" s="1"/>
      <c r="AH444" s="2"/>
      <c r="AJ444" s="2"/>
      <c r="AS444" s="1"/>
      <c r="AT444" s="2"/>
      <c r="AV444" s="2"/>
    </row>
    <row r="445" spans="31:48" x14ac:dyDescent="0.2">
      <c r="AE445" s="1"/>
      <c r="AF445" s="1"/>
      <c r="AG445" s="1"/>
      <c r="AH445" s="2"/>
      <c r="AJ445" s="2"/>
      <c r="AS445" s="1"/>
      <c r="AT445" s="2"/>
      <c r="AV445" s="2"/>
    </row>
    <row r="446" spans="31:48" x14ac:dyDescent="0.2">
      <c r="AE446" s="1"/>
      <c r="AF446" s="1"/>
      <c r="AG446" s="1"/>
      <c r="AH446" s="2"/>
      <c r="AJ446" s="2"/>
      <c r="AS446" s="1"/>
      <c r="AT446" s="2"/>
      <c r="AV446" s="2"/>
    </row>
    <row r="447" spans="31:48" x14ac:dyDescent="0.2">
      <c r="AE447" s="1"/>
      <c r="AF447" s="1"/>
      <c r="AG447" s="1"/>
      <c r="AH447" s="2"/>
      <c r="AJ447" s="2"/>
      <c r="AS447" s="1"/>
      <c r="AT447" s="2"/>
      <c r="AV447" s="2"/>
    </row>
    <row r="448" spans="31:48" x14ac:dyDescent="0.2">
      <c r="AE448" s="1"/>
      <c r="AF448" s="1"/>
      <c r="AG448" s="1"/>
      <c r="AH448" s="2"/>
      <c r="AJ448" s="2"/>
      <c r="AS448" s="1"/>
      <c r="AT448" s="2"/>
      <c r="AV448" s="2"/>
    </row>
    <row r="449" spans="31:48" x14ac:dyDescent="0.2">
      <c r="AE449" s="1"/>
      <c r="AF449" s="1"/>
      <c r="AG449" s="1"/>
      <c r="AH449" s="2"/>
      <c r="AJ449" s="2"/>
      <c r="AS449" s="1"/>
      <c r="AT449" s="2"/>
      <c r="AV449" s="2"/>
    </row>
    <row r="450" spans="31:48" x14ac:dyDescent="0.2">
      <c r="AE450" s="1"/>
      <c r="AF450" s="1"/>
      <c r="AG450" s="1"/>
      <c r="AH450" s="2"/>
      <c r="AJ450" s="2"/>
      <c r="AS450" s="1"/>
      <c r="AT450" s="2"/>
      <c r="AV450" s="2"/>
    </row>
    <row r="451" spans="31:48" x14ac:dyDescent="0.2">
      <c r="AE451" s="1"/>
      <c r="AF451" s="1"/>
      <c r="AG451" s="1"/>
      <c r="AH451" s="2"/>
      <c r="AJ451" s="2"/>
      <c r="AS451" s="1"/>
      <c r="AT451" s="2"/>
      <c r="AV451" s="2"/>
    </row>
    <row r="452" spans="31:48" x14ac:dyDescent="0.2">
      <c r="AE452" s="1"/>
      <c r="AF452" s="1"/>
      <c r="AG452" s="1"/>
      <c r="AH452" s="2"/>
      <c r="AJ452" s="2"/>
      <c r="AS452" s="1"/>
      <c r="AT452" s="2"/>
      <c r="AV452" s="2"/>
    </row>
    <row r="453" spans="31:48" x14ac:dyDescent="0.2">
      <c r="AE453" s="1"/>
      <c r="AF453" s="1"/>
      <c r="AG453" s="1"/>
      <c r="AH453" s="2"/>
      <c r="AJ453" s="2"/>
      <c r="AS453" s="1"/>
      <c r="AT453" s="2"/>
      <c r="AV453" s="2"/>
    </row>
    <row r="454" spans="31:48" x14ac:dyDescent="0.2">
      <c r="AE454" s="1"/>
      <c r="AF454" s="1"/>
      <c r="AG454" s="1"/>
      <c r="AH454" s="2"/>
      <c r="AJ454" s="2"/>
      <c r="AS454" s="1"/>
      <c r="AT454" s="2"/>
      <c r="AV454" s="2"/>
    </row>
    <row r="455" spans="31:48" x14ac:dyDescent="0.2">
      <c r="AE455" s="1"/>
      <c r="AF455" s="1"/>
      <c r="AG455" s="1"/>
      <c r="AH455" s="2"/>
      <c r="AJ455" s="2"/>
      <c r="AS455" s="1"/>
      <c r="AT455" s="2"/>
      <c r="AV455" s="2"/>
    </row>
    <row r="456" spans="31:48" x14ac:dyDescent="0.2">
      <c r="AE456" s="1"/>
      <c r="AF456" s="1"/>
      <c r="AG456" s="1"/>
      <c r="AH456" s="2"/>
      <c r="AJ456" s="2"/>
      <c r="AS456" s="1"/>
      <c r="AT456" s="2"/>
      <c r="AV456" s="2"/>
    </row>
    <row r="457" spans="31:48" x14ac:dyDescent="0.2">
      <c r="AE457" s="1"/>
      <c r="AF457" s="1"/>
      <c r="AG457" s="1"/>
      <c r="AH457" s="2"/>
      <c r="AJ457" s="2"/>
      <c r="AS457" s="1"/>
      <c r="AT457" s="2"/>
      <c r="AV457" s="2"/>
    </row>
    <row r="458" spans="31:48" x14ac:dyDescent="0.2">
      <c r="AE458" s="1"/>
      <c r="AF458" s="1"/>
      <c r="AG458" s="1"/>
      <c r="AH458" s="2"/>
      <c r="AJ458" s="2"/>
      <c r="AS458" s="1"/>
      <c r="AT458" s="2"/>
      <c r="AV458" s="2"/>
    </row>
    <row r="459" spans="31:48" x14ac:dyDescent="0.2">
      <c r="AE459" s="1"/>
      <c r="AF459" s="1"/>
      <c r="AG459" s="1"/>
      <c r="AH459" s="2"/>
      <c r="AJ459" s="2"/>
      <c r="AS459" s="1"/>
      <c r="AT459" s="2"/>
      <c r="AV459" s="2"/>
    </row>
    <row r="460" spans="31:48" x14ac:dyDescent="0.2">
      <c r="AE460" s="1"/>
      <c r="AF460" s="1"/>
      <c r="AG460" s="1"/>
      <c r="AH460" s="2"/>
      <c r="AJ460" s="2"/>
      <c r="AS460" s="1"/>
      <c r="AT460" s="2"/>
      <c r="AV460" s="2"/>
    </row>
    <row r="461" spans="31:48" x14ac:dyDescent="0.2">
      <c r="AE461" s="1"/>
      <c r="AF461" s="1"/>
      <c r="AG461" s="1"/>
      <c r="AH461" s="2"/>
      <c r="AJ461" s="2"/>
      <c r="AS461" s="1"/>
      <c r="AT461" s="2"/>
      <c r="AV461" s="2"/>
    </row>
    <row r="462" spans="31:48" x14ac:dyDescent="0.2">
      <c r="AE462" s="1"/>
      <c r="AF462" s="1"/>
      <c r="AG462" s="1"/>
      <c r="AH462" s="2"/>
      <c r="AJ462" s="2"/>
      <c r="AS462" s="1"/>
      <c r="AT462" s="2"/>
      <c r="AV462" s="2"/>
    </row>
    <row r="463" spans="31:48" x14ac:dyDescent="0.2">
      <c r="AE463" s="1"/>
      <c r="AF463" s="1"/>
      <c r="AG463" s="1"/>
      <c r="AH463" s="2"/>
      <c r="AJ463" s="2"/>
      <c r="AS463" s="1"/>
      <c r="AT463" s="2"/>
      <c r="AV463" s="2"/>
    </row>
    <row r="464" spans="31:48" x14ac:dyDescent="0.2">
      <c r="AE464" s="1"/>
      <c r="AF464" s="1"/>
      <c r="AG464" s="1"/>
      <c r="AH464" s="2"/>
      <c r="AJ464" s="2"/>
      <c r="AS464" s="1"/>
      <c r="AT464" s="2"/>
      <c r="AV464" s="2"/>
    </row>
    <row r="465" spans="31:48" x14ac:dyDescent="0.2">
      <c r="AE465" s="1"/>
      <c r="AF465" s="1"/>
      <c r="AG465" s="1"/>
      <c r="AH465" s="2"/>
      <c r="AJ465" s="2"/>
      <c r="AS465" s="1"/>
      <c r="AT465" s="2"/>
      <c r="AV465" s="2"/>
    </row>
    <row r="466" spans="31:48" x14ac:dyDescent="0.2">
      <c r="AE466" s="1"/>
      <c r="AF466" s="1"/>
      <c r="AG466" s="1"/>
      <c r="AH466" s="2"/>
      <c r="AJ466" s="2"/>
      <c r="AS466" s="1"/>
      <c r="AT466" s="2"/>
      <c r="AV466" s="2"/>
    </row>
    <row r="467" spans="31:48" x14ac:dyDescent="0.2">
      <c r="AE467" s="1"/>
      <c r="AF467" s="1"/>
      <c r="AG467" s="1"/>
      <c r="AH467" s="2"/>
      <c r="AJ467" s="2"/>
      <c r="AS467" s="1"/>
      <c r="AT467" s="2"/>
      <c r="AV467" s="2"/>
    </row>
    <row r="468" spans="31:48" x14ac:dyDescent="0.2">
      <c r="AE468" s="1"/>
      <c r="AF468" s="1"/>
      <c r="AG468" s="1"/>
      <c r="AH468" s="2"/>
      <c r="AJ468" s="2"/>
      <c r="AS468" s="1"/>
      <c r="AT468" s="2"/>
      <c r="AV468" s="2"/>
    </row>
    <row r="469" spans="31:48" x14ac:dyDescent="0.2">
      <c r="AE469" s="1"/>
      <c r="AF469" s="1"/>
      <c r="AG469" s="1"/>
      <c r="AH469" s="2"/>
      <c r="AJ469" s="2"/>
      <c r="AS469" s="1"/>
      <c r="AT469" s="2"/>
      <c r="AV469" s="2"/>
    </row>
    <row r="470" spans="31:48" x14ac:dyDescent="0.2">
      <c r="AE470" s="1"/>
      <c r="AF470" s="1"/>
      <c r="AG470" s="1"/>
      <c r="AH470" s="2"/>
      <c r="AJ470" s="2"/>
      <c r="AS470" s="1"/>
      <c r="AT470" s="2"/>
      <c r="AV470" s="2"/>
    </row>
    <row r="471" spans="31:48" x14ac:dyDescent="0.2">
      <c r="AE471" s="1"/>
      <c r="AF471" s="1"/>
      <c r="AG471" s="1"/>
      <c r="AH471" s="2"/>
      <c r="AJ471" s="2"/>
      <c r="AS471" s="1"/>
      <c r="AT471" s="2"/>
      <c r="AV471" s="2"/>
    </row>
    <row r="472" spans="31:48" x14ac:dyDescent="0.2">
      <c r="AE472" s="1"/>
      <c r="AF472" s="1"/>
      <c r="AG472" s="1"/>
      <c r="AH472" s="2"/>
      <c r="AJ472" s="2"/>
      <c r="AS472" s="1"/>
      <c r="AT472" s="2"/>
      <c r="AV472" s="2"/>
    </row>
    <row r="473" spans="31:48" x14ac:dyDescent="0.2">
      <c r="AE473" s="1"/>
      <c r="AF473" s="1"/>
      <c r="AG473" s="1"/>
      <c r="AH473" s="2"/>
      <c r="AJ473" s="2"/>
      <c r="AS473" s="1"/>
      <c r="AT473" s="2"/>
      <c r="AV473" s="2"/>
    </row>
    <row r="474" spans="31:48" x14ac:dyDescent="0.2">
      <c r="AE474" s="1"/>
      <c r="AF474" s="1"/>
      <c r="AG474" s="1"/>
      <c r="AH474" s="2"/>
      <c r="AJ474" s="2"/>
      <c r="AS474" s="1"/>
      <c r="AT474" s="2"/>
      <c r="AV474" s="2"/>
    </row>
    <row r="475" spans="31:48" x14ac:dyDescent="0.2">
      <c r="AE475" s="1"/>
      <c r="AF475" s="1"/>
      <c r="AG475" s="1"/>
      <c r="AH475" s="2"/>
      <c r="AJ475" s="2"/>
      <c r="AS475" s="1"/>
      <c r="AT475" s="2"/>
      <c r="AV475" s="2"/>
    </row>
    <row r="476" spans="31:48" x14ac:dyDescent="0.2">
      <c r="AE476" s="1"/>
      <c r="AF476" s="1"/>
      <c r="AG476" s="1"/>
      <c r="AH476" s="2"/>
      <c r="AJ476" s="2"/>
      <c r="AS476" s="1"/>
      <c r="AT476" s="2"/>
      <c r="AV476" s="2"/>
    </row>
    <row r="477" spans="31:48" x14ac:dyDescent="0.2">
      <c r="AE477" s="1"/>
      <c r="AF477" s="1"/>
      <c r="AG477" s="1"/>
      <c r="AH477" s="2"/>
      <c r="AJ477" s="2"/>
      <c r="AS477" s="1"/>
      <c r="AT477" s="2"/>
      <c r="AV477" s="2"/>
    </row>
    <row r="478" spans="31:48" x14ac:dyDescent="0.2">
      <c r="AE478" s="1"/>
      <c r="AF478" s="1"/>
      <c r="AG478" s="1"/>
      <c r="AH478" s="2"/>
      <c r="AJ478" s="2"/>
      <c r="AS478" s="1"/>
      <c r="AT478" s="2"/>
      <c r="AV478" s="2"/>
    </row>
    <row r="479" spans="31:48" x14ac:dyDescent="0.2">
      <c r="AE479" s="1"/>
      <c r="AF479" s="1"/>
      <c r="AG479" s="1"/>
      <c r="AH479" s="2"/>
      <c r="AJ479" s="2"/>
      <c r="AS479" s="1"/>
      <c r="AT479" s="2"/>
      <c r="AV479" s="2"/>
    </row>
    <row r="480" spans="31:48" x14ac:dyDescent="0.2">
      <c r="AE480" s="1"/>
      <c r="AF480" s="1"/>
      <c r="AG480" s="1"/>
      <c r="AH480" s="2"/>
      <c r="AJ480" s="2"/>
      <c r="AS480" s="1"/>
      <c r="AT480" s="2"/>
      <c r="AV480" s="2"/>
    </row>
    <row r="481" spans="31:48" x14ac:dyDescent="0.2">
      <c r="AE481" s="1"/>
      <c r="AF481" s="1"/>
      <c r="AG481" s="1"/>
      <c r="AH481" s="2"/>
      <c r="AJ481" s="2"/>
      <c r="AS481" s="1"/>
      <c r="AT481" s="2"/>
      <c r="AV481" s="2"/>
    </row>
    <row r="482" spans="31:48" x14ac:dyDescent="0.2">
      <c r="AE482" s="1"/>
      <c r="AF482" s="1"/>
      <c r="AG482" s="1"/>
      <c r="AH482" s="2"/>
      <c r="AJ482" s="2"/>
      <c r="AS482" s="1"/>
      <c r="AT482" s="2"/>
      <c r="AV482" s="2"/>
    </row>
    <row r="483" spans="31:48" x14ac:dyDescent="0.2">
      <c r="AE483" s="1"/>
      <c r="AF483" s="1"/>
      <c r="AG483" s="1"/>
      <c r="AH483" s="2"/>
      <c r="AJ483" s="2"/>
      <c r="AS483" s="1"/>
      <c r="AT483" s="2"/>
      <c r="AV483" s="2"/>
    </row>
    <row r="484" spans="31:48" x14ac:dyDescent="0.2">
      <c r="AE484" s="1"/>
      <c r="AF484" s="1"/>
      <c r="AG484" s="1"/>
      <c r="AH484" s="2"/>
      <c r="AJ484" s="2"/>
      <c r="AS484" s="1"/>
      <c r="AT484" s="2"/>
      <c r="AV484" s="2"/>
    </row>
    <row r="485" spans="31:48" x14ac:dyDescent="0.2">
      <c r="AE485" s="1"/>
      <c r="AF485" s="1"/>
      <c r="AG485" s="1"/>
      <c r="AH485" s="2"/>
      <c r="AJ485" s="2"/>
      <c r="AS485" s="1"/>
      <c r="AT485" s="2"/>
      <c r="AV485" s="2"/>
    </row>
    <row r="486" spans="31:48" x14ac:dyDescent="0.2">
      <c r="AE486" s="1"/>
      <c r="AF486" s="1"/>
      <c r="AG486" s="1"/>
      <c r="AH486" s="2"/>
      <c r="AJ486" s="2"/>
      <c r="AS486" s="1"/>
      <c r="AT486" s="2"/>
      <c r="AV486" s="2"/>
    </row>
    <row r="487" spans="31:48" x14ac:dyDescent="0.2">
      <c r="AE487" s="1"/>
      <c r="AF487" s="1"/>
      <c r="AG487" s="1"/>
      <c r="AH487" s="2"/>
      <c r="AJ487" s="2"/>
      <c r="AS487" s="1"/>
      <c r="AT487" s="2"/>
      <c r="AV487" s="2"/>
    </row>
    <row r="488" spans="31:48" x14ac:dyDescent="0.2">
      <c r="AE488" s="1"/>
      <c r="AF488" s="1"/>
      <c r="AG488" s="1"/>
      <c r="AH488" s="2"/>
      <c r="AJ488" s="2"/>
      <c r="AS488" s="1"/>
      <c r="AT488" s="2"/>
      <c r="AV488" s="2"/>
    </row>
    <row r="489" spans="31:48" x14ac:dyDescent="0.2">
      <c r="AE489" s="1"/>
      <c r="AF489" s="1"/>
      <c r="AG489" s="1"/>
      <c r="AH489" s="2"/>
      <c r="AJ489" s="2"/>
      <c r="AS489" s="1"/>
      <c r="AT489" s="2"/>
      <c r="AV489" s="2"/>
    </row>
    <row r="490" spans="31:48" x14ac:dyDescent="0.2">
      <c r="AE490" s="1"/>
      <c r="AF490" s="1"/>
      <c r="AG490" s="1"/>
      <c r="AH490" s="2"/>
      <c r="AJ490" s="2"/>
      <c r="AS490" s="1"/>
      <c r="AT490" s="2"/>
      <c r="AV490" s="2"/>
    </row>
    <row r="491" spans="31:48" x14ac:dyDescent="0.2">
      <c r="AE491" s="1"/>
      <c r="AF491" s="1"/>
      <c r="AG491" s="1"/>
      <c r="AH491" s="2"/>
      <c r="AJ491" s="2"/>
      <c r="AS491" s="1"/>
      <c r="AT491" s="2"/>
      <c r="AV491" s="2"/>
    </row>
    <row r="492" spans="31:48" x14ac:dyDescent="0.2">
      <c r="AE492" s="1"/>
      <c r="AF492" s="1"/>
      <c r="AG492" s="1"/>
      <c r="AH492" s="2"/>
      <c r="AJ492" s="2"/>
      <c r="AS492" s="1"/>
      <c r="AT492" s="2"/>
      <c r="AV492" s="2"/>
    </row>
    <row r="493" spans="31:48" x14ac:dyDescent="0.2">
      <c r="AE493" s="1"/>
      <c r="AF493" s="1"/>
      <c r="AG493" s="1"/>
      <c r="AH493" s="2"/>
      <c r="AJ493" s="2"/>
      <c r="AS493" s="1"/>
      <c r="AT493" s="2"/>
      <c r="AV493" s="2"/>
    </row>
    <row r="494" spans="31:48" x14ac:dyDescent="0.2">
      <c r="AE494" s="1"/>
      <c r="AF494" s="1"/>
      <c r="AG494" s="1"/>
      <c r="AH494" s="2"/>
      <c r="AJ494" s="2"/>
      <c r="AS494" s="1"/>
      <c r="AT494" s="2"/>
      <c r="AV494" s="2"/>
    </row>
    <row r="495" spans="31:48" x14ac:dyDescent="0.2">
      <c r="AE495" s="1"/>
      <c r="AF495" s="1"/>
      <c r="AG495" s="1"/>
      <c r="AH495" s="2"/>
      <c r="AJ495" s="2"/>
      <c r="AS495" s="1"/>
      <c r="AT495" s="2"/>
      <c r="AV495" s="2"/>
    </row>
    <row r="496" spans="31:48" x14ac:dyDescent="0.2">
      <c r="AE496" s="1"/>
      <c r="AF496" s="1"/>
      <c r="AG496" s="1"/>
      <c r="AH496" s="2"/>
      <c r="AJ496" s="2"/>
      <c r="AS496" s="1"/>
      <c r="AT496" s="2"/>
      <c r="AV496" s="2"/>
    </row>
    <row r="497" spans="31:48" x14ac:dyDescent="0.2">
      <c r="AE497" s="1"/>
      <c r="AF497" s="1"/>
      <c r="AG497" s="1"/>
      <c r="AH497" s="2"/>
      <c r="AJ497" s="2"/>
      <c r="AS497" s="1"/>
      <c r="AT497" s="2"/>
      <c r="AV497" s="2"/>
    </row>
    <row r="498" spans="31:48" x14ac:dyDescent="0.2">
      <c r="AE498" s="1"/>
      <c r="AF498" s="1"/>
      <c r="AG498" s="1"/>
      <c r="AH498" s="2"/>
      <c r="AJ498" s="2"/>
      <c r="AS498" s="1"/>
      <c r="AT498" s="2"/>
      <c r="AV498" s="2"/>
    </row>
    <row r="499" spans="31:48" x14ac:dyDescent="0.2">
      <c r="AE499" s="1"/>
      <c r="AF499" s="1"/>
      <c r="AG499" s="1"/>
      <c r="AH499" s="2"/>
      <c r="AJ499" s="2"/>
      <c r="AS499" s="1"/>
      <c r="AT499" s="2"/>
      <c r="AV499" s="2"/>
    </row>
    <row r="500" spans="31:48" x14ac:dyDescent="0.2">
      <c r="AE500" s="1"/>
      <c r="AF500" s="1"/>
      <c r="AG500" s="1"/>
      <c r="AH500" s="2"/>
      <c r="AJ500" s="2"/>
      <c r="AS500" s="1"/>
      <c r="AT500" s="2"/>
      <c r="AV500" s="2"/>
    </row>
    <row r="501" spans="31:48" x14ac:dyDescent="0.2">
      <c r="AE501" s="1"/>
      <c r="AF501" s="1"/>
      <c r="AG501" s="1"/>
      <c r="AH501" s="2"/>
      <c r="AJ501" s="2"/>
      <c r="AS501" s="1"/>
      <c r="AT501" s="2"/>
      <c r="AV501" s="2"/>
    </row>
    <row r="502" spans="31:48" x14ac:dyDescent="0.2">
      <c r="AE502" s="1"/>
      <c r="AF502" s="1"/>
      <c r="AG502" s="1"/>
      <c r="AH502" s="2"/>
      <c r="AJ502" s="2"/>
      <c r="AS502" s="1"/>
      <c r="AT502" s="2"/>
      <c r="AV502" s="2"/>
    </row>
    <row r="503" spans="31:48" x14ac:dyDescent="0.2">
      <c r="AE503" s="1"/>
      <c r="AF503" s="1"/>
      <c r="AG503" s="1"/>
      <c r="AH503" s="2"/>
      <c r="AJ503" s="2"/>
      <c r="AS503" s="1"/>
      <c r="AT503" s="2"/>
      <c r="AV503" s="2"/>
    </row>
    <row r="504" spans="31:48" x14ac:dyDescent="0.2">
      <c r="AE504" s="1"/>
      <c r="AF504" s="1"/>
      <c r="AG504" s="1"/>
      <c r="AH504" s="2"/>
      <c r="AJ504" s="2"/>
      <c r="AS504" s="1"/>
      <c r="AT504" s="2"/>
      <c r="AV504" s="2"/>
    </row>
    <row r="505" spans="31:48" x14ac:dyDescent="0.2">
      <c r="AE505" s="1"/>
      <c r="AF505" s="1"/>
      <c r="AG505" s="1"/>
      <c r="AH505" s="2"/>
      <c r="AJ505" s="2"/>
      <c r="AS505" s="1"/>
      <c r="AT505" s="2"/>
      <c r="AV505" s="2"/>
    </row>
    <row r="506" spans="31:48" x14ac:dyDescent="0.2">
      <c r="AE506" s="1"/>
      <c r="AF506" s="1"/>
      <c r="AG506" s="1"/>
      <c r="AH506" s="2"/>
      <c r="AJ506" s="2"/>
      <c r="AS506" s="1"/>
      <c r="AT506" s="2"/>
      <c r="AV506" s="2"/>
    </row>
    <row r="507" spans="31:48" x14ac:dyDescent="0.2">
      <c r="AE507" s="1"/>
      <c r="AF507" s="1"/>
      <c r="AG507" s="1"/>
      <c r="AH507" s="2"/>
      <c r="AJ507" s="2"/>
      <c r="AS507" s="1"/>
      <c r="AT507" s="2"/>
      <c r="AV507" s="2"/>
    </row>
    <row r="508" spans="31:48" x14ac:dyDescent="0.2">
      <c r="AE508" s="1"/>
      <c r="AF508" s="1"/>
      <c r="AG508" s="1"/>
      <c r="AH508" s="2"/>
      <c r="AJ508" s="2"/>
      <c r="AS508" s="1"/>
      <c r="AT508" s="2"/>
      <c r="AV508" s="2"/>
    </row>
    <row r="509" spans="31:48" x14ac:dyDescent="0.2">
      <c r="AE509" s="1"/>
      <c r="AF509" s="1"/>
      <c r="AG509" s="1"/>
      <c r="AH509" s="2"/>
      <c r="AJ509" s="2"/>
      <c r="AS509" s="1"/>
      <c r="AT509" s="2"/>
      <c r="AV509" s="2"/>
    </row>
    <row r="510" spans="31:48" x14ac:dyDescent="0.2">
      <c r="AE510" s="1"/>
      <c r="AF510" s="1"/>
      <c r="AG510" s="1"/>
      <c r="AH510" s="2"/>
      <c r="AJ510" s="2"/>
      <c r="AS510" s="1"/>
      <c r="AT510" s="2"/>
      <c r="AV510" s="2"/>
    </row>
    <row r="511" spans="31:48" x14ac:dyDescent="0.2">
      <c r="AE511" s="1"/>
      <c r="AF511" s="1"/>
      <c r="AG511" s="1"/>
      <c r="AH511" s="2"/>
      <c r="AJ511" s="2"/>
      <c r="AS511" s="1"/>
      <c r="AT511" s="2"/>
      <c r="AV511" s="2"/>
    </row>
    <row r="512" spans="31:48" x14ac:dyDescent="0.2">
      <c r="AE512" s="1"/>
      <c r="AF512" s="1"/>
      <c r="AG512" s="1"/>
      <c r="AH512" s="2"/>
      <c r="AJ512" s="2"/>
      <c r="AS512" s="1"/>
      <c r="AT512" s="2"/>
      <c r="AV512" s="2"/>
    </row>
    <row r="513" spans="31:48" x14ac:dyDescent="0.2">
      <c r="AE513" s="1"/>
      <c r="AF513" s="1"/>
      <c r="AG513" s="1"/>
      <c r="AH513" s="2"/>
      <c r="AJ513" s="2"/>
      <c r="AS513" s="1"/>
      <c r="AT513" s="2"/>
      <c r="AV513" s="2"/>
    </row>
    <row r="514" spans="31:48" x14ac:dyDescent="0.2">
      <c r="AE514" s="1"/>
      <c r="AF514" s="1"/>
      <c r="AG514" s="1"/>
      <c r="AH514" s="2"/>
      <c r="AJ514" s="2"/>
      <c r="AS514" s="1"/>
      <c r="AT514" s="2"/>
      <c r="AV514" s="2"/>
    </row>
    <row r="515" spans="31:48" x14ac:dyDescent="0.2">
      <c r="AE515" s="1"/>
      <c r="AF515" s="1"/>
      <c r="AG515" s="1"/>
      <c r="AH515" s="2"/>
      <c r="AJ515" s="2"/>
      <c r="AS515" s="1"/>
      <c r="AT515" s="2"/>
      <c r="AV515" s="2"/>
    </row>
    <row r="516" spans="31:48" x14ac:dyDescent="0.2">
      <c r="AE516" s="1"/>
      <c r="AF516" s="1"/>
      <c r="AG516" s="1"/>
      <c r="AH516" s="2"/>
      <c r="AJ516" s="2"/>
      <c r="AS516" s="1"/>
      <c r="AT516" s="2"/>
      <c r="AV516" s="2"/>
    </row>
    <row r="517" spans="31:48" x14ac:dyDescent="0.2">
      <c r="AE517" s="1"/>
      <c r="AF517" s="1"/>
      <c r="AG517" s="1"/>
      <c r="AH517" s="2"/>
      <c r="AJ517" s="2"/>
      <c r="AS517" s="1"/>
      <c r="AT517" s="2"/>
      <c r="AV517" s="2"/>
    </row>
    <row r="518" spans="31:48" x14ac:dyDescent="0.2">
      <c r="AE518" s="1"/>
      <c r="AF518" s="1"/>
      <c r="AG518" s="1"/>
      <c r="AH518" s="2"/>
      <c r="AJ518" s="2"/>
      <c r="AS518" s="1"/>
      <c r="AT518" s="2"/>
      <c r="AV518" s="2"/>
    </row>
    <row r="519" spans="31:48" x14ac:dyDescent="0.2">
      <c r="AE519" s="1"/>
      <c r="AF519" s="1"/>
      <c r="AG519" s="1"/>
      <c r="AH519" s="2"/>
      <c r="AJ519" s="2"/>
      <c r="AS519" s="1"/>
      <c r="AT519" s="2"/>
      <c r="AV519" s="2"/>
    </row>
    <row r="520" spans="31:48" x14ac:dyDescent="0.2">
      <c r="AE520" s="1"/>
      <c r="AF520" s="1"/>
      <c r="AG520" s="1"/>
      <c r="AH520" s="2"/>
      <c r="AJ520" s="2"/>
      <c r="AS520" s="1"/>
      <c r="AT520" s="2"/>
      <c r="AV520" s="2"/>
    </row>
    <row r="521" spans="31:48" x14ac:dyDescent="0.2">
      <c r="AE521" s="1"/>
      <c r="AF521" s="1"/>
      <c r="AG521" s="1"/>
      <c r="AH521" s="2"/>
      <c r="AJ521" s="2"/>
      <c r="AS521" s="1"/>
      <c r="AT521" s="2"/>
      <c r="AV521" s="2"/>
    </row>
    <row r="522" spans="31:48" x14ac:dyDescent="0.2">
      <c r="AE522" s="1"/>
      <c r="AF522" s="1"/>
      <c r="AG522" s="1"/>
      <c r="AH522" s="2"/>
      <c r="AJ522" s="2"/>
      <c r="AS522" s="1"/>
      <c r="AT522" s="2"/>
      <c r="AV522" s="2"/>
    </row>
    <row r="523" spans="31:48" x14ac:dyDescent="0.2">
      <c r="AE523" s="1"/>
      <c r="AF523" s="1"/>
      <c r="AG523" s="1"/>
      <c r="AH523" s="2"/>
      <c r="AJ523" s="2"/>
      <c r="AS523" s="1"/>
      <c r="AT523" s="2"/>
      <c r="AV523" s="2"/>
    </row>
    <row r="524" spans="31:48" x14ac:dyDescent="0.2">
      <c r="AE524" s="1"/>
      <c r="AF524" s="1"/>
      <c r="AG524" s="1"/>
      <c r="AH524" s="2"/>
      <c r="AJ524" s="2"/>
      <c r="AS524" s="1"/>
      <c r="AT524" s="2"/>
      <c r="AV524" s="2"/>
    </row>
    <row r="525" spans="31:48" x14ac:dyDescent="0.2">
      <c r="AE525" s="1"/>
      <c r="AF525" s="1"/>
      <c r="AG525" s="1"/>
      <c r="AH525" s="2"/>
      <c r="AJ525" s="2"/>
      <c r="AS525" s="1"/>
      <c r="AT525" s="2"/>
      <c r="AV525" s="2"/>
    </row>
    <row r="526" spans="31:48" x14ac:dyDescent="0.2">
      <c r="AE526" s="1"/>
      <c r="AF526" s="1"/>
      <c r="AG526" s="1"/>
      <c r="AH526" s="2"/>
      <c r="AJ526" s="2"/>
      <c r="AS526" s="1"/>
      <c r="AT526" s="2"/>
      <c r="AV526" s="2"/>
    </row>
    <row r="527" spans="31:48" x14ac:dyDescent="0.2">
      <c r="AE527" s="1"/>
      <c r="AF527" s="1"/>
      <c r="AG527" s="1"/>
      <c r="AH527" s="2"/>
      <c r="AJ527" s="2"/>
      <c r="AS527" s="1"/>
      <c r="AT527" s="2"/>
      <c r="AV527" s="2"/>
    </row>
    <row r="528" spans="31:48" x14ac:dyDescent="0.2">
      <c r="AE528" s="1"/>
      <c r="AF528" s="1"/>
      <c r="AG528" s="1"/>
      <c r="AH528" s="2"/>
      <c r="AJ528" s="2"/>
      <c r="AS528" s="1"/>
      <c r="AT528" s="2"/>
      <c r="AV528" s="2"/>
    </row>
    <row r="529" spans="31:48" x14ac:dyDescent="0.2">
      <c r="AE529" s="1"/>
      <c r="AF529" s="1"/>
      <c r="AG529" s="1"/>
      <c r="AH529" s="2"/>
      <c r="AJ529" s="2"/>
      <c r="AS529" s="1"/>
      <c r="AT529" s="2"/>
      <c r="AV529" s="2"/>
    </row>
    <row r="530" spans="31:48" x14ac:dyDescent="0.2">
      <c r="AE530" s="1"/>
      <c r="AF530" s="1"/>
      <c r="AG530" s="1"/>
      <c r="AH530" s="2"/>
      <c r="AJ530" s="2"/>
      <c r="AS530" s="1"/>
      <c r="AT530" s="2"/>
      <c r="AV530" s="2"/>
    </row>
    <row r="531" spans="31:48" x14ac:dyDescent="0.2">
      <c r="AE531" s="1"/>
      <c r="AF531" s="1"/>
      <c r="AG531" s="1"/>
      <c r="AH531" s="2"/>
      <c r="AJ531" s="2"/>
      <c r="AS531" s="1"/>
      <c r="AT531" s="2"/>
      <c r="AV531" s="2"/>
    </row>
    <row r="532" spans="31:48" x14ac:dyDescent="0.2">
      <c r="AE532" s="1"/>
      <c r="AF532" s="1"/>
      <c r="AG532" s="1"/>
      <c r="AH532" s="2"/>
      <c r="AJ532" s="2"/>
      <c r="AS532" s="1"/>
      <c r="AT532" s="2"/>
      <c r="AV532" s="2"/>
    </row>
    <row r="533" spans="31:48" x14ac:dyDescent="0.2">
      <c r="AE533" s="1"/>
      <c r="AF533" s="1"/>
      <c r="AG533" s="1"/>
      <c r="AH533" s="2"/>
      <c r="AJ533" s="2"/>
      <c r="AS533" s="1"/>
      <c r="AT533" s="2"/>
      <c r="AV533" s="2"/>
    </row>
    <row r="534" spans="31:48" x14ac:dyDescent="0.2">
      <c r="AE534" s="1"/>
      <c r="AF534" s="1"/>
      <c r="AG534" s="1"/>
      <c r="AH534" s="2"/>
      <c r="AJ534" s="2"/>
      <c r="AS534" s="1"/>
      <c r="AT534" s="2"/>
      <c r="AV534" s="2"/>
    </row>
    <row r="535" spans="31:48" x14ac:dyDescent="0.2">
      <c r="AE535" s="1"/>
      <c r="AF535" s="1"/>
      <c r="AG535" s="1"/>
      <c r="AH535" s="2"/>
      <c r="AJ535" s="2"/>
      <c r="AS535" s="1"/>
      <c r="AT535" s="2"/>
      <c r="AV535" s="2"/>
    </row>
    <row r="536" spans="31:48" x14ac:dyDescent="0.2">
      <c r="AE536" s="1"/>
      <c r="AF536" s="1"/>
      <c r="AG536" s="1"/>
      <c r="AH536" s="2"/>
      <c r="AJ536" s="2"/>
      <c r="AS536" s="1"/>
      <c r="AT536" s="2"/>
      <c r="AV536" s="2"/>
    </row>
    <row r="537" spans="31:48" x14ac:dyDescent="0.2">
      <c r="AE537" s="1"/>
      <c r="AF537" s="1"/>
      <c r="AG537" s="1"/>
      <c r="AH537" s="2"/>
      <c r="AJ537" s="2"/>
      <c r="AS537" s="1"/>
      <c r="AT537" s="2"/>
      <c r="AV537" s="2"/>
    </row>
    <row r="538" spans="31:48" x14ac:dyDescent="0.2">
      <c r="AE538" s="1"/>
      <c r="AF538" s="1"/>
      <c r="AG538" s="1"/>
      <c r="AH538" s="2"/>
      <c r="AJ538" s="2"/>
      <c r="AS538" s="1"/>
      <c r="AT538" s="2"/>
      <c r="AV538" s="2"/>
    </row>
    <row r="539" spans="31:48" x14ac:dyDescent="0.2">
      <c r="AE539" s="1"/>
      <c r="AF539" s="1"/>
      <c r="AG539" s="1"/>
      <c r="AH539" s="2"/>
      <c r="AJ539" s="2"/>
      <c r="AS539" s="1"/>
      <c r="AT539" s="2"/>
      <c r="AV539" s="2"/>
    </row>
    <row r="540" spans="31:48" x14ac:dyDescent="0.2">
      <c r="AE540" s="1"/>
      <c r="AF540" s="1"/>
      <c r="AG540" s="1"/>
      <c r="AH540" s="2"/>
      <c r="AJ540" s="2"/>
      <c r="AS540" s="1"/>
      <c r="AT540" s="2"/>
      <c r="AV540" s="2"/>
    </row>
    <row r="541" spans="31:48" x14ac:dyDescent="0.2">
      <c r="AE541" s="1"/>
      <c r="AF541" s="1"/>
      <c r="AG541" s="1"/>
      <c r="AH541" s="2"/>
      <c r="AJ541" s="2"/>
      <c r="AS541" s="1"/>
      <c r="AT541" s="2"/>
      <c r="AV541" s="2"/>
    </row>
    <row r="542" spans="31:48" x14ac:dyDescent="0.2">
      <c r="AE542" s="1"/>
      <c r="AF542" s="1"/>
      <c r="AG542" s="1"/>
      <c r="AH542" s="2"/>
      <c r="AJ542" s="2"/>
      <c r="AS542" s="1"/>
      <c r="AT542" s="2"/>
      <c r="AV542" s="2"/>
    </row>
    <row r="543" spans="31:48" x14ac:dyDescent="0.2">
      <c r="AE543" s="1"/>
      <c r="AF543" s="1"/>
      <c r="AG543" s="1"/>
      <c r="AH543" s="2"/>
      <c r="AJ543" s="2"/>
      <c r="AS543" s="1"/>
      <c r="AT543" s="2"/>
      <c r="AV543" s="2"/>
    </row>
    <row r="544" spans="31:48" x14ac:dyDescent="0.2">
      <c r="AE544" s="1"/>
      <c r="AF544" s="1"/>
      <c r="AG544" s="1"/>
      <c r="AH544" s="2"/>
      <c r="AJ544" s="2"/>
      <c r="AS544" s="1"/>
      <c r="AT544" s="2"/>
      <c r="AV544" s="2"/>
    </row>
    <row r="545" spans="31:48" x14ac:dyDescent="0.2">
      <c r="AE545" s="1"/>
      <c r="AF545" s="1"/>
      <c r="AG545" s="1"/>
      <c r="AH545" s="2"/>
      <c r="AJ545" s="2"/>
      <c r="AS545" s="1"/>
      <c r="AT545" s="2"/>
      <c r="AV545" s="2"/>
    </row>
    <row r="546" spans="31:48" x14ac:dyDescent="0.2">
      <c r="AE546" s="1"/>
      <c r="AF546" s="1"/>
      <c r="AG546" s="1"/>
      <c r="AH546" s="2"/>
      <c r="AJ546" s="2"/>
      <c r="AS546" s="1"/>
      <c r="AT546" s="2"/>
      <c r="AV546" s="2"/>
    </row>
    <row r="547" spans="31:48" x14ac:dyDescent="0.2">
      <c r="AE547" s="1"/>
      <c r="AF547" s="1"/>
      <c r="AG547" s="1"/>
      <c r="AH547" s="2"/>
      <c r="AJ547" s="2"/>
      <c r="AS547" s="1"/>
      <c r="AT547" s="2"/>
      <c r="AV547" s="2"/>
    </row>
    <row r="548" spans="31:48" x14ac:dyDescent="0.2">
      <c r="AE548" s="1"/>
      <c r="AF548" s="1"/>
      <c r="AG548" s="1"/>
      <c r="AH548" s="2"/>
      <c r="AJ548" s="2"/>
      <c r="AS548" s="1"/>
      <c r="AT548" s="2"/>
      <c r="AV548" s="2"/>
    </row>
    <row r="549" spans="31:48" x14ac:dyDescent="0.2">
      <c r="AE549" s="1"/>
      <c r="AF549" s="1"/>
      <c r="AG549" s="1"/>
      <c r="AH549" s="2"/>
      <c r="AJ549" s="2"/>
      <c r="AS549" s="1"/>
      <c r="AT549" s="2"/>
      <c r="AV549" s="2"/>
    </row>
    <row r="550" spans="31:48" x14ac:dyDescent="0.2">
      <c r="AE550" s="1"/>
      <c r="AF550" s="1"/>
      <c r="AG550" s="1"/>
      <c r="AH550" s="2"/>
      <c r="AJ550" s="2"/>
      <c r="AS550" s="1"/>
      <c r="AT550" s="2"/>
      <c r="AV550" s="2"/>
    </row>
    <row r="551" spans="31:48" x14ac:dyDescent="0.2">
      <c r="AE551" s="1"/>
      <c r="AF551" s="1"/>
      <c r="AG551" s="1"/>
      <c r="AH551" s="2"/>
      <c r="AJ551" s="2"/>
      <c r="AS551" s="1"/>
      <c r="AT551" s="2"/>
      <c r="AV551" s="2"/>
    </row>
    <row r="552" spans="31:48" x14ac:dyDescent="0.2">
      <c r="AE552" s="1"/>
      <c r="AF552" s="1"/>
      <c r="AG552" s="1"/>
      <c r="AH552" s="2"/>
      <c r="AJ552" s="2"/>
      <c r="AS552" s="1"/>
      <c r="AT552" s="2"/>
      <c r="AV552" s="2"/>
    </row>
  </sheetData>
  <mergeCells count="26">
    <mergeCell ref="G27:H27"/>
    <mergeCell ref="G28:H28"/>
    <mergeCell ref="G29:H29"/>
    <mergeCell ref="G30:H30"/>
    <mergeCell ref="G31:H31"/>
    <mergeCell ref="AH51:AI51"/>
    <mergeCell ref="AJ51:AK51"/>
    <mergeCell ref="AT51:AU51"/>
    <mergeCell ref="AV51:AW51"/>
    <mergeCell ref="L45:L46"/>
    <mergeCell ref="BE46:BF46"/>
    <mergeCell ref="B24:B25"/>
    <mergeCell ref="D4:E4"/>
    <mergeCell ref="BE45:BF45"/>
    <mergeCell ref="M45:M46"/>
    <mergeCell ref="I13:N15"/>
    <mergeCell ref="C18:E18"/>
    <mergeCell ref="H45:H46"/>
    <mergeCell ref="I45:I46"/>
    <mergeCell ref="K45:K46"/>
    <mergeCell ref="B11:C11"/>
    <mergeCell ref="G22:H22"/>
    <mergeCell ref="G23:H23"/>
    <mergeCell ref="G24:H24"/>
    <mergeCell ref="G25:H25"/>
    <mergeCell ref="G26:H26"/>
  </mergeCells>
  <phoneticPr fontId="3" type="noConversion"/>
  <dataValidations count="6">
    <dataValidation type="list" operator="equal" allowBlank="1" showInputMessage="1" showErrorMessage="1" error="Period must be in quarterly format.  Example:  yyyyQq &gt;&gt; 2010Q2." sqref="E34" xr:uid="{00000000-0002-0000-0200-000000000000}">
      <formula1>$BD$136:$BD$140</formula1>
    </dataValidation>
    <dataValidation type="list" operator="equal" allowBlank="1" showInputMessage="1" showErrorMessage="1" error="Period must be in quarterly format.  Example:  yyyyQq &gt;&gt; 2010Q2." sqref="E33" xr:uid="{00000000-0002-0000-0200-000001000000}">
      <formula1>$BE$52:$BE$130</formula1>
    </dataValidation>
    <dataValidation type="list" allowBlank="1" showInputMessage="1" showErrorMessage="1" sqref="D4" xr:uid="{00000000-0002-0000-0200-000004000000}">
      <formula1>$BL$55:$BL$65</formula1>
    </dataValidation>
    <dataValidation type="list" allowBlank="1" showInputMessage="1" showErrorMessage="1" sqref="C18:E18" xr:uid="{CBA8000A-2D02-4531-B68A-F60B4C7476EC}">
      <formula1>$BO$48:$BO$145</formula1>
    </dataValidation>
    <dataValidation type="list" allowBlank="1" showInputMessage="1" showErrorMessage="1" sqref="B47" xr:uid="{00000000-0002-0000-0200-000003000000}">
      <formula1>$R$78:$R$159</formula1>
    </dataValidation>
    <dataValidation type="list" allowBlank="1" showInputMessage="1" showErrorMessage="1" sqref="C68" xr:uid="{E682F267-B81F-499A-A205-7382DF75009C}">
      <formula1>$V$42:$V$43</formula1>
    </dataValidation>
  </dataValidations>
  <hyperlinks>
    <hyperlink ref="J6" r:id="rId1" xr:uid="{03975F0A-18D6-472C-8632-D6498E48AEED}"/>
  </hyperlinks>
  <pageMargins left="0.25" right="0.25" top="0.25" bottom="0.25" header="0.25" footer="0.25"/>
  <pageSetup paperSize="9" scale="78"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2054" r:id="rId5" name="Button 1">
              <controlPr defaultSize="0" print="0" autoFill="0" autoPict="0" macro="[0]!Update_TERMINOLOGY">
                <anchor moveWithCells="1" sizeWithCells="1">
                  <from>
                    <xdr:col>2</xdr:col>
                    <xdr:colOff>781050</xdr:colOff>
                    <xdr:row>4</xdr:row>
                    <xdr:rowOff>85725</xdr:rowOff>
                  </from>
                  <to>
                    <xdr:col>5</xdr:col>
                    <xdr:colOff>0</xdr:colOff>
                    <xdr:row>6</xdr:row>
                    <xdr:rowOff>85725</xdr:rowOff>
                  </to>
                </anchor>
              </controlPr>
            </control>
          </mc:Choice>
        </mc:AlternateContent>
        <mc:AlternateContent xmlns:mc="http://schemas.openxmlformats.org/markup-compatibility/2006">
          <mc:Choice Requires="x14">
            <control shapeId="2057" r:id="rId6" name="Button 2">
              <controlPr defaultSize="0" print="0" autoFill="0" autoPict="0" macro="[0]!Refresh_Template">
                <anchor moveWithCells="1" sizeWithCells="1">
                  <from>
                    <xdr:col>4</xdr:col>
                    <xdr:colOff>0</xdr:colOff>
                    <xdr:row>34</xdr:row>
                    <xdr:rowOff>76200</xdr:rowOff>
                  </from>
                  <to>
                    <xdr:col>5</xdr:col>
                    <xdr:colOff>9525</xdr:colOff>
                    <xdr:row>36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O445"/>
  <sheetViews>
    <sheetView showGridLines="0" zoomScale="96" workbookViewId="0">
      <pane ySplit="7" topLeftCell="A306" activePane="bottomLeft" state="frozen"/>
      <selection pane="bottomLeft" activeCell="K319" sqref="K319"/>
    </sheetView>
  </sheetViews>
  <sheetFormatPr baseColWidth="10" defaultColWidth="9.33203125" defaultRowHeight="11.25" x14ac:dyDescent="0.2"/>
  <cols>
    <col min="1" max="1" width="2.83203125" customWidth="1"/>
    <col min="2" max="2" width="40" customWidth="1"/>
    <col min="3" max="12" width="20.6640625" customWidth="1"/>
  </cols>
  <sheetData>
    <row r="1" spans="2:15" x14ac:dyDescent="0.2">
      <c r="O1">
        <f ca="1">YEAR(TODAY())</f>
        <v>2026</v>
      </c>
    </row>
    <row r="2" spans="2:15" ht="15" customHeight="1" x14ac:dyDescent="0.25">
      <c r="B2" s="127" t="s">
        <v>4837</v>
      </c>
      <c r="C2" s="14"/>
      <c r="D2" s="14"/>
      <c r="E2" s="14"/>
      <c r="F2" s="14"/>
      <c r="G2" s="14"/>
      <c r="H2" s="14"/>
      <c r="I2" s="14"/>
      <c r="J2" s="14"/>
      <c r="K2" s="14"/>
      <c r="L2" s="14"/>
    </row>
    <row r="4" spans="2:15" x14ac:dyDescent="0.2">
      <c r="B4" s="126">
        <v>1</v>
      </c>
    </row>
    <row r="6" spans="2:15" x14ac:dyDescent="0.2">
      <c r="B6" s="114">
        <v>1</v>
      </c>
      <c r="C6" s="115">
        <v>2</v>
      </c>
      <c r="D6" s="114">
        <v>3</v>
      </c>
      <c r="E6" s="115">
        <v>4</v>
      </c>
      <c r="F6" s="114">
        <v>5</v>
      </c>
      <c r="G6" s="115">
        <v>6</v>
      </c>
      <c r="H6" s="114">
        <v>7</v>
      </c>
      <c r="I6" s="115">
        <v>8</v>
      </c>
      <c r="J6" s="114">
        <v>9</v>
      </c>
      <c r="K6" s="115">
        <v>10</v>
      </c>
      <c r="L6" s="114">
        <v>11</v>
      </c>
    </row>
    <row r="7" spans="2:15" s="4" customFormat="1" x14ac:dyDescent="0.2">
      <c r="B7" s="56" t="s">
        <v>2</v>
      </c>
      <c r="C7" s="57" t="s">
        <v>48</v>
      </c>
      <c r="D7" s="57" t="s">
        <v>51</v>
      </c>
      <c r="E7" s="57" t="s">
        <v>67</v>
      </c>
      <c r="F7" s="57" t="s">
        <v>86</v>
      </c>
      <c r="G7" s="57" t="s">
        <v>59</v>
      </c>
      <c r="H7" s="57" t="s">
        <v>55</v>
      </c>
      <c r="I7" s="57" t="s">
        <v>63</v>
      </c>
      <c r="J7" s="57" t="s">
        <v>71</v>
      </c>
      <c r="K7" s="57" t="s">
        <v>81</v>
      </c>
      <c r="L7" s="117" t="s">
        <v>75</v>
      </c>
    </row>
    <row r="8" spans="2:15" x14ac:dyDescent="0.2">
      <c r="B8" s="21" t="s">
        <v>369</v>
      </c>
      <c r="C8" s="22" t="s">
        <v>370</v>
      </c>
      <c r="D8" s="22" t="s">
        <v>371</v>
      </c>
      <c r="E8" s="22" t="s">
        <v>372</v>
      </c>
      <c r="F8" s="22" t="s">
        <v>373</v>
      </c>
      <c r="G8" s="22" t="s">
        <v>374</v>
      </c>
      <c r="H8" s="22" t="s">
        <v>375</v>
      </c>
      <c r="I8" s="22" t="s">
        <v>376</v>
      </c>
      <c r="J8" s="22" t="s">
        <v>377</v>
      </c>
      <c r="K8" s="22" t="s">
        <v>378</v>
      </c>
      <c r="L8" s="23" t="s">
        <v>379</v>
      </c>
    </row>
    <row r="9" spans="2:15" x14ac:dyDescent="0.2">
      <c r="B9" s="24" t="s">
        <v>380</v>
      </c>
      <c r="C9" t="s">
        <v>381</v>
      </c>
      <c r="D9" t="s">
        <v>382</v>
      </c>
      <c r="E9" t="s">
        <v>383</v>
      </c>
      <c r="F9" t="s">
        <v>384</v>
      </c>
      <c r="G9" t="s">
        <v>385</v>
      </c>
      <c r="H9" t="s">
        <v>386</v>
      </c>
      <c r="I9" t="s">
        <v>387</v>
      </c>
      <c r="J9" t="s">
        <v>388</v>
      </c>
      <c r="K9" t="s">
        <v>389</v>
      </c>
      <c r="L9" s="25" t="s">
        <v>390</v>
      </c>
    </row>
    <row r="10" spans="2:15" x14ac:dyDescent="0.2">
      <c r="B10" s="24" t="s">
        <v>391</v>
      </c>
      <c r="C10" t="s">
        <v>392</v>
      </c>
      <c r="D10" t="s">
        <v>393</v>
      </c>
      <c r="E10" t="s">
        <v>394</v>
      </c>
      <c r="F10" t="s">
        <v>395</v>
      </c>
      <c r="G10" t="s">
        <v>396</v>
      </c>
      <c r="H10" t="s">
        <v>397</v>
      </c>
      <c r="I10" t="s">
        <v>398</v>
      </c>
      <c r="J10" t="s">
        <v>399</v>
      </c>
      <c r="K10" t="s">
        <v>400</v>
      </c>
      <c r="L10" s="25" t="s">
        <v>401</v>
      </c>
    </row>
    <row r="11" spans="2:15" x14ac:dyDescent="0.2">
      <c r="B11" s="24" t="s">
        <v>402</v>
      </c>
      <c r="C11" t="s">
        <v>403</v>
      </c>
      <c r="D11" t="s">
        <v>404</v>
      </c>
      <c r="E11" t="s">
        <v>408</v>
      </c>
      <c r="F11" t="s">
        <v>407</v>
      </c>
      <c r="G11" t="s">
        <v>409</v>
      </c>
      <c r="H11" t="s">
        <v>405</v>
      </c>
      <c r="I11" t="s">
        <v>411</v>
      </c>
      <c r="J11" t="s">
        <v>406</v>
      </c>
      <c r="K11" t="s">
        <v>410</v>
      </c>
      <c r="L11" s="25" t="s">
        <v>412</v>
      </c>
    </row>
    <row r="12" spans="2:15" x14ac:dyDescent="0.2">
      <c r="B12" s="62" t="s">
        <v>413</v>
      </c>
      <c r="C12" s="132" t="s">
        <v>414</v>
      </c>
      <c r="D12" s="132" t="s">
        <v>415</v>
      </c>
      <c r="E12" s="132" t="s">
        <v>416</v>
      </c>
      <c r="F12" s="132" t="s">
        <v>417</v>
      </c>
      <c r="G12" s="132" t="s">
        <v>418</v>
      </c>
      <c r="H12" s="132" t="s">
        <v>419</v>
      </c>
      <c r="I12" s="132" t="s">
        <v>420</v>
      </c>
      <c r="J12" s="132" t="s">
        <v>421</v>
      </c>
      <c r="K12" s="132" t="s">
        <v>422</v>
      </c>
      <c r="L12" s="130" t="s">
        <v>423</v>
      </c>
    </row>
    <row r="13" spans="2:15" x14ac:dyDescent="0.2">
      <c r="B13" s="24" t="s">
        <v>424</v>
      </c>
      <c r="C13" t="s">
        <v>425</v>
      </c>
      <c r="D13" t="s">
        <v>426</v>
      </c>
      <c r="E13" t="s">
        <v>427</v>
      </c>
      <c r="F13" t="s">
        <v>428</v>
      </c>
      <c r="G13" t="s">
        <v>429</v>
      </c>
      <c r="H13" t="s">
        <v>430</v>
      </c>
      <c r="I13" t="s">
        <v>431</v>
      </c>
      <c r="J13" t="s">
        <v>432</v>
      </c>
      <c r="K13" t="s">
        <v>433</v>
      </c>
      <c r="L13" s="25" t="s">
        <v>434</v>
      </c>
    </row>
    <row r="14" spans="2:15" x14ac:dyDescent="0.2">
      <c r="B14" s="24" t="s">
        <v>435</v>
      </c>
      <c r="C14" t="s">
        <v>436</v>
      </c>
      <c r="D14" t="s">
        <v>437</v>
      </c>
      <c r="E14" t="s">
        <v>438</v>
      </c>
      <c r="F14" t="s">
        <v>439</v>
      </c>
      <c r="G14" t="s">
        <v>440</v>
      </c>
      <c r="H14" t="s">
        <v>441</v>
      </c>
      <c r="I14" t="s">
        <v>442</v>
      </c>
      <c r="J14" t="s">
        <v>443</v>
      </c>
      <c r="K14" t="s">
        <v>444</v>
      </c>
      <c r="L14" s="25" t="s">
        <v>445</v>
      </c>
    </row>
    <row r="15" spans="2:15" x14ac:dyDescent="0.2">
      <c r="B15" s="24" t="s">
        <v>446</v>
      </c>
      <c r="C15" t="s">
        <v>447</v>
      </c>
      <c r="D15" t="s">
        <v>448</v>
      </c>
      <c r="E15" t="s">
        <v>452</v>
      </c>
      <c r="F15" t="s">
        <v>451</v>
      </c>
      <c r="G15" t="s">
        <v>453</v>
      </c>
      <c r="H15" t="s">
        <v>449</v>
      </c>
      <c r="I15" t="s">
        <v>455</v>
      </c>
      <c r="J15" t="s">
        <v>450</v>
      </c>
      <c r="K15" t="s">
        <v>454</v>
      </c>
      <c r="L15" s="25" t="s">
        <v>4579</v>
      </c>
    </row>
    <row r="16" spans="2:15" x14ac:dyDescent="0.2">
      <c r="B16" s="24" t="s">
        <v>456</v>
      </c>
      <c r="C16" t="s">
        <v>457</v>
      </c>
      <c r="D16" t="s">
        <v>458</v>
      </c>
      <c r="E16" t="s">
        <v>462</v>
      </c>
      <c r="F16" t="s">
        <v>461</v>
      </c>
      <c r="G16" t="s">
        <v>463</v>
      </c>
      <c r="H16" t="s">
        <v>459</v>
      </c>
      <c r="I16" t="s">
        <v>465</v>
      </c>
      <c r="J16" t="s">
        <v>460</v>
      </c>
      <c r="K16" t="s">
        <v>464</v>
      </c>
      <c r="L16" s="25" t="s">
        <v>466</v>
      </c>
    </row>
    <row r="17" spans="2:12" x14ac:dyDescent="0.2">
      <c r="B17" s="24" t="s">
        <v>467</v>
      </c>
      <c r="C17" t="s">
        <v>468</v>
      </c>
      <c r="D17" t="s">
        <v>469</v>
      </c>
      <c r="E17" t="s">
        <v>473</v>
      </c>
      <c r="F17" t="s">
        <v>472</v>
      </c>
      <c r="G17" t="s">
        <v>474</v>
      </c>
      <c r="H17" t="s">
        <v>470</v>
      </c>
      <c r="I17" t="s">
        <v>476</v>
      </c>
      <c r="J17" t="s">
        <v>471</v>
      </c>
      <c r="K17" t="s">
        <v>475</v>
      </c>
      <c r="L17" s="25" t="s">
        <v>477</v>
      </c>
    </row>
    <row r="18" spans="2:12" x14ac:dyDescent="0.2">
      <c r="B18" s="24" t="s">
        <v>478</v>
      </c>
      <c r="C18" t="s">
        <v>479</v>
      </c>
      <c r="D18" t="s">
        <v>479</v>
      </c>
      <c r="E18" t="s">
        <v>483</v>
      </c>
      <c r="F18" t="s">
        <v>482</v>
      </c>
      <c r="G18" t="s">
        <v>484</v>
      </c>
      <c r="H18" t="s">
        <v>480</v>
      </c>
      <c r="I18" t="s">
        <v>486</v>
      </c>
      <c r="J18" t="s">
        <v>481</v>
      </c>
      <c r="K18" t="s">
        <v>485</v>
      </c>
      <c r="L18" s="25" t="s">
        <v>487</v>
      </c>
    </row>
    <row r="19" spans="2:12" ht="12" customHeight="1" x14ac:dyDescent="0.2">
      <c r="B19" s="24" t="s">
        <v>4580</v>
      </c>
      <c r="C19" s="132" t="s">
        <v>4581</v>
      </c>
      <c r="D19" s="132" t="s">
        <v>4582</v>
      </c>
      <c r="E19" s="132" t="s">
        <v>4583</v>
      </c>
      <c r="F19" s="132" t="s">
        <v>488</v>
      </c>
      <c r="G19" s="132" t="s">
        <v>489</v>
      </c>
      <c r="H19" s="132" t="s">
        <v>490</v>
      </c>
      <c r="I19" s="132" t="s">
        <v>491</v>
      </c>
      <c r="J19" s="132" t="s">
        <v>4584</v>
      </c>
      <c r="K19" s="132" t="s">
        <v>492</v>
      </c>
      <c r="L19" s="130" t="s">
        <v>4512</v>
      </c>
    </row>
    <row r="20" spans="2:12" x14ac:dyDescent="0.2">
      <c r="B20" s="24" t="s">
        <v>493</v>
      </c>
      <c r="C20" t="s">
        <v>494</v>
      </c>
      <c r="D20" t="s">
        <v>495</v>
      </c>
      <c r="E20" t="s">
        <v>499</v>
      </c>
      <c r="F20" t="s">
        <v>498</v>
      </c>
      <c r="G20" t="s">
        <v>500</v>
      </c>
      <c r="H20" t="s">
        <v>496</v>
      </c>
      <c r="I20" t="s">
        <v>502</v>
      </c>
      <c r="J20" t="s">
        <v>497</v>
      </c>
      <c r="K20" t="s">
        <v>501</v>
      </c>
      <c r="L20" s="25" t="s">
        <v>503</v>
      </c>
    </row>
    <row r="21" spans="2:12" x14ac:dyDescent="0.2">
      <c r="B21" s="24" t="s">
        <v>504</v>
      </c>
      <c r="C21" t="s">
        <v>505</v>
      </c>
      <c r="D21" t="s">
        <v>506</v>
      </c>
      <c r="E21" t="s">
        <v>507</v>
      </c>
      <c r="F21" t="s">
        <v>508</v>
      </c>
      <c r="G21" t="s">
        <v>509</v>
      </c>
      <c r="H21" t="s">
        <v>510</v>
      </c>
      <c r="I21" t="s">
        <v>511</v>
      </c>
      <c r="J21" t="s">
        <v>512</v>
      </c>
      <c r="K21" t="s">
        <v>513</v>
      </c>
      <c r="L21" s="25" t="s">
        <v>504</v>
      </c>
    </row>
    <row r="22" spans="2:12" x14ac:dyDescent="0.2">
      <c r="B22" s="24" t="s">
        <v>514</v>
      </c>
      <c r="C22" s="116" t="s">
        <v>515</v>
      </c>
      <c r="D22" s="116" t="s">
        <v>516</v>
      </c>
      <c r="E22" s="116" t="s">
        <v>517</v>
      </c>
      <c r="F22" s="116" t="s">
        <v>518</v>
      </c>
      <c r="G22" s="116" t="s">
        <v>519</v>
      </c>
      <c r="H22" s="116" t="s">
        <v>520</v>
      </c>
      <c r="I22" s="116" t="s">
        <v>521</v>
      </c>
      <c r="J22" s="116" t="s">
        <v>522</v>
      </c>
      <c r="K22" s="116" t="s">
        <v>523</v>
      </c>
      <c r="L22" s="25" t="s">
        <v>524</v>
      </c>
    </row>
    <row r="23" spans="2:12" x14ac:dyDescent="0.2">
      <c r="B23" s="24" t="s">
        <v>525</v>
      </c>
      <c r="C23" t="s">
        <v>526</v>
      </c>
      <c r="D23" t="s">
        <v>527</v>
      </c>
      <c r="E23" t="s">
        <v>528</v>
      </c>
      <c r="F23" t="s">
        <v>529</v>
      </c>
      <c r="G23" t="s">
        <v>530</v>
      </c>
      <c r="H23" t="s">
        <v>531</v>
      </c>
      <c r="I23" t="s">
        <v>532</v>
      </c>
      <c r="J23" t="s">
        <v>533</v>
      </c>
      <c r="K23" t="s">
        <v>534</v>
      </c>
      <c r="L23" s="25" t="s">
        <v>529</v>
      </c>
    </row>
    <row r="24" spans="2:12" x14ac:dyDescent="0.2">
      <c r="B24" s="24" t="s">
        <v>535</v>
      </c>
      <c r="C24" t="s">
        <v>536</v>
      </c>
      <c r="D24" t="s">
        <v>537</v>
      </c>
      <c r="E24" t="s">
        <v>538</v>
      </c>
      <c r="F24" t="s">
        <v>539</v>
      </c>
      <c r="G24" t="s">
        <v>540</v>
      </c>
      <c r="H24" t="s">
        <v>541</v>
      </c>
      <c r="I24" t="s">
        <v>542</v>
      </c>
      <c r="J24" s="132" t="s">
        <v>543</v>
      </c>
      <c r="K24" t="s">
        <v>544</v>
      </c>
      <c r="L24" s="25" t="s">
        <v>545</v>
      </c>
    </row>
    <row r="25" spans="2:12" x14ac:dyDescent="0.2">
      <c r="B25" s="24" t="s">
        <v>557</v>
      </c>
      <c r="C25" t="s">
        <v>558</v>
      </c>
      <c r="D25" t="s">
        <v>559</v>
      </c>
      <c r="E25" t="s">
        <v>560</v>
      </c>
      <c r="F25" t="s">
        <v>561</v>
      </c>
      <c r="G25" t="s">
        <v>562</v>
      </c>
      <c r="H25" t="s">
        <v>563</v>
      </c>
      <c r="I25" t="s">
        <v>564</v>
      </c>
      <c r="J25" t="s">
        <v>565</v>
      </c>
      <c r="K25" t="s">
        <v>566</v>
      </c>
      <c r="L25" s="25" t="s">
        <v>567</v>
      </c>
    </row>
    <row r="26" spans="2:12" x14ac:dyDescent="0.2">
      <c r="B26" s="24" t="s">
        <v>602</v>
      </c>
      <c r="C26" t="s">
        <v>603</v>
      </c>
      <c r="D26" t="s">
        <v>604</v>
      </c>
      <c r="E26" t="s">
        <v>605</v>
      </c>
      <c r="F26" t="s">
        <v>606</v>
      </c>
      <c r="G26" t="s">
        <v>607</v>
      </c>
      <c r="H26" t="s">
        <v>608</v>
      </c>
      <c r="I26" t="s">
        <v>609</v>
      </c>
      <c r="J26" t="s">
        <v>610</v>
      </c>
      <c r="K26" t="s">
        <v>611</v>
      </c>
      <c r="L26" s="25" t="s">
        <v>612</v>
      </c>
    </row>
    <row r="27" spans="2:12" x14ac:dyDescent="0.2">
      <c r="B27" s="24" t="s">
        <v>613</v>
      </c>
      <c r="C27" t="s">
        <v>614</v>
      </c>
      <c r="D27" t="s">
        <v>615</v>
      </c>
      <c r="E27" t="s">
        <v>616</v>
      </c>
      <c r="F27" t="s">
        <v>617</v>
      </c>
      <c r="G27" t="s">
        <v>618</v>
      </c>
      <c r="H27" t="s">
        <v>619</v>
      </c>
      <c r="I27" t="s">
        <v>620</v>
      </c>
      <c r="J27" t="s">
        <v>621</v>
      </c>
      <c r="K27" t="s">
        <v>622</v>
      </c>
      <c r="L27" s="25" t="s">
        <v>623</v>
      </c>
    </row>
    <row r="28" spans="2:12" x14ac:dyDescent="0.2">
      <c r="B28" s="24" t="s">
        <v>274</v>
      </c>
      <c r="C28" t="s">
        <v>624</v>
      </c>
      <c r="D28" t="s">
        <v>624</v>
      </c>
      <c r="E28" t="s">
        <v>625</v>
      </c>
      <c r="F28" t="s">
        <v>626</v>
      </c>
      <c r="G28" t="s">
        <v>627</v>
      </c>
      <c r="H28" t="s">
        <v>274</v>
      </c>
      <c r="I28" t="s">
        <v>628</v>
      </c>
      <c r="J28" t="s">
        <v>629</v>
      </c>
      <c r="K28" t="s">
        <v>630</v>
      </c>
      <c r="L28" s="25" t="s">
        <v>274</v>
      </c>
    </row>
    <row r="29" spans="2:12" x14ac:dyDescent="0.2">
      <c r="B29" s="24" t="s">
        <v>639</v>
      </c>
      <c r="C29" t="s">
        <v>640</v>
      </c>
      <c r="D29" t="s">
        <v>641</v>
      </c>
      <c r="E29" t="s">
        <v>645</v>
      </c>
      <c r="F29" t="s">
        <v>644</v>
      </c>
      <c r="G29" t="s">
        <v>646</v>
      </c>
      <c r="H29" t="s">
        <v>642</v>
      </c>
      <c r="I29" t="s">
        <v>648</v>
      </c>
      <c r="J29" t="s">
        <v>643</v>
      </c>
      <c r="K29" t="s">
        <v>647</v>
      </c>
      <c r="L29" s="25" t="s">
        <v>649</v>
      </c>
    </row>
    <row r="30" spans="2:12" x14ac:dyDescent="0.2">
      <c r="B30" s="24" t="s">
        <v>650</v>
      </c>
      <c r="C30" t="s">
        <v>651</v>
      </c>
      <c r="D30" t="s">
        <v>652</v>
      </c>
      <c r="E30" t="s">
        <v>656</v>
      </c>
      <c r="F30" t="s">
        <v>655</v>
      </c>
      <c r="G30" t="s">
        <v>657</v>
      </c>
      <c r="H30" t="s">
        <v>653</v>
      </c>
      <c r="I30" t="s">
        <v>659</v>
      </c>
      <c r="J30" t="s">
        <v>654</v>
      </c>
      <c r="K30" t="s">
        <v>658</v>
      </c>
      <c r="L30" s="25" t="s">
        <v>660</v>
      </c>
    </row>
    <row r="31" spans="2:12" x14ac:dyDescent="0.2">
      <c r="B31" s="24" t="s">
        <v>661</v>
      </c>
      <c r="C31" t="s">
        <v>662</v>
      </c>
      <c r="D31" t="s">
        <v>663</v>
      </c>
      <c r="E31" t="s">
        <v>664</v>
      </c>
      <c r="F31" t="s">
        <v>665</v>
      </c>
      <c r="G31" t="s">
        <v>666</v>
      </c>
      <c r="H31" t="s">
        <v>667</v>
      </c>
      <c r="I31" t="s">
        <v>4493</v>
      </c>
      <c r="J31" t="s">
        <v>668</v>
      </c>
      <c r="K31" t="s">
        <v>669</v>
      </c>
      <c r="L31" s="25" t="s">
        <v>670</v>
      </c>
    </row>
    <row r="32" spans="2:12" x14ac:dyDescent="0.2">
      <c r="B32" s="118" t="s">
        <v>671</v>
      </c>
      <c r="C32" t="s">
        <v>672</v>
      </c>
      <c r="D32" t="s">
        <v>673</v>
      </c>
      <c r="E32" t="s">
        <v>674</v>
      </c>
      <c r="F32" t="s">
        <v>675</v>
      </c>
      <c r="G32" t="s">
        <v>676</v>
      </c>
      <c r="H32" t="s">
        <v>677</v>
      </c>
      <c r="I32" t="s">
        <v>678</v>
      </c>
      <c r="J32" t="s">
        <v>679</v>
      </c>
      <c r="K32" t="s">
        <v>680</v>
      </c>
      <c r="L32" s="25" t="s">
        <v>681</v>
      </c>
    </row>
    <row r="33" spans="2:12" x14ac:dyDescent="0.2">
      <c r="B33" s="24" t="s">
        <v>7</v>
      </c>
      <c r="C33" t="s">
        <v>688</v>
      </c>
      <c r="D33" t="s">
        <v>689</v>
      </c>
      <c r="E33" t="s">
        <v>690</v>
      </c>
      <c r="F33" t="s">
        <v>691</v>
      </c>
      <c r="G33" t="s">
        <v>692</v>
      </c>
      <c r="H33" t="s">
        <v>693</v>
      </c>
      <c r="I33" t="s">
        <v>694</v>
      </c>
      <c r="J33" t="s">
        <v>695</v>
      </c>
      <c r="K33" t="s">
        <v>696</v>
      </c>
      <c r="L33" s="25" t="s">
        <v>697</v>
      </c>
    </row>
    <row r="34" spans="2:12" x14ac:dyDescent="0.2">
      <c r="B34" s="24" t="s">
        <v>13</v>
      </c>
      <c r="C34" t="s">
        <v>698</v>
      </c>
      <c r="D34" t="s">
        <v>699</v>
      </c>
      <c r="E34" t="s">
        <v>700</v>
      </c>
      <c r="F34" t="s">
        <v>701</v>
      </c>
      <c r="G34" t="s">
        <v>702</v>
      </c>
      <c r="H34" t="s">
        <v>703</v>
      </c>
      <c r="I34" t="s">
        <v>704</v>
      </c>
      <c r="J34" t="s">
        <v>705</v>
      </c>
      <c r="K34" t="s">
        <v>706</v>
      </c>
      <c r="L34" s="25" t="s">
        <v>707</v>
      </c>
    </row>
    <row r="35" spans="2:12" x14ac:dyDescent="0.2">
      <c r="B35" s="24" t="s">
        <v>14</v>
      </c>
      <c r="C35" t="s">
        <v>708</v>
      </c>
      <c r="D35" t="s">
        <v>709</v>
      </c>
      <c r="E35" t="s">
        <v>710</v>
      </c>
      <c r="F35" t="s">
        <v>711</v>
      </c>
      <c r="G35" t="s">
        <v>712</v>
      </c>
      <c r="H35" t="s">
        <v>713</v>
      </c>
      <c r="I35" t="s">
        <v>711</v>
      </c>
      <c r="J35" t="s">
        <v>714</v>
      </c>
      <c r="K35" t="s">
        <v>715</v>
      </c>
      <c r="L35" s="25" t="s">
        <v>716</v>
      </c>
    </row>
    <row r="36" spans="2:12" x14ac:dyDescent="0.2">
      <c r="B36" s="24" t="s">
        <v>717</v>
      </c>
      <c r="C36" t="s">
        <v>718</v>
      </c>
      <c r="D36" t="s">
        <v>719</v>
      </c>
      <c r="E36" t="s">
        <v>720</v>
      </c>
      <c r="F36" t="s">
        <v>721</v>
      </c>
      <c r="G36" t="s">
        <v>722</v>
      </c>
      <c r="H36" t="s">
        <v>723</v>
      </c>
      <c r="I36" t="s">
        <v>724</v>
      </c>
      <c r="J36" t="s">
        <v>725</v>
      </c>
      <c r="K36" t="s">
        <v>726</v>
      </c>
      <c r="L36" s="25" t="s">
        <v>727</v>
      </c>
    </row>
    <row r="37" spans="2:12" x14ac:dyDescent="0.2">
      <c r="B37" s="24" t="s">
        <v>728</v>
      </c>
      <c r="C37" t="s">
        <v>729</v>
      </c>
      <c r="D37" t="s">
        <v>730</v>
      </c>
      <c r="E37" t="s">
        <v>731</v>
      </c>
      <c r="F37" t="s">
        <v>732</v>
      </c>
      <c r="G37" t="s">
        <v>733</v>
      </c>
      <c r="H37" t="s">
        <v>734</v>
      </c>
      <c r="I37" t="s">
        <v>735</v>
      </c>
      <c r="J37" t="s">
        <v>736</v>
      </c>
      <c r="K37" t="s">
        <v>737</v>
      </c>
      <c r="L37" s="25" t="s">
        <v>732</v>
      </c>
    </row>
    <row r="38" spans="2:12" x14ac:dyDescent="0.2">
      <c r="B38" s="24" t="s">
        <v>3256</v>
      </c>
      <c r="C38" t="s">
        <v>3252</v>
      </c>
      <c r="D38" t="s">
        <v>3253</v>
      </c>
      <c r="E38" t="s">
        <v>3254</v>
      </c>
      <c r="F38" t="s">
        <v>3255</v>
      </c>
      <c r="G38" t="s">
        <v>4612</v>
      </c>
      <c r="H38" t="s">
        <v>4613</v>
      </c>
      <c r="I38" t="s">
        <v>4614</v>
      </c>
      <c r="J38" t="s">
        <v>4615</v>
      </c>
      <c r="K38" t="s">
        <v>3260</v>
      </c>
      <c r="L38" s="25" t="s">
        <v>3261</v>
      </c>
    </row>
    <row r="39" spans="2:12" x14ac:dyDescent="0.2">
      <c r="B39" s="24" t="s">
        <v>21</v>
      </c>
      <c r="C39" t="s">
        <v>738</v>
      </c>
      <c r="D39" t="s">
        <v>738</v>
      </c>
      <c r="E39" t="s">
        <v>739</v>
      </c>
      <c r="F39" t="s">
        <v>740</v>
      </c>
      <c r="G39" t="s">
        <v>741</v>
      </c>
      <c r="H39" t="s">
        <v>742</v>
      </c>
      <c r="I39" t="s">
        <v>743</v>
      </c>
      <c r="J39" t="s">
        <v>744</v>
      </c>
      <c r="K39" t="s">
        <v>745</v>
      </c>
      <c r="L39" s="25" t="s">
        <v>746</v>
      </c>
    </row>
    <row r="40" spans="2:12" x14ac:dyDescent="0.2">
      <c r="B40" s="24" t="s">
        <v>747</v>
      </c>
      <c r="C40" t="s">
        <v>748</v>
      </c>
      <c r="D40" t="s">
        <v>748</v>
      </c>
      <c r="E40" t="s">
        <v>749</v>
      </c>
      <c r="F40" t="s">
        <v>750</v>
      </c>
      <c r="G40" t="s">
        <v>751</v>
      </c>
      <c r="H40" t="s">
        <v>752</v>
      </c>
      <c r="I40" t="s">
        <v>753</v>
      </c>
      <c r="J40" t="s">
        <v>754</v>
      </c>
      <c r="K40" t="s">
        <v>755</v>
      </c>
      <c r="L40" s="25" t="s">
        <v>756</v>
      </c>
    </row>
    <row r="41" spans="2:12" x14ac:dyDescent="0.2">
      <c r="B41" s="24" t="s">
        <v>757</v>
      </c>
      <c r="C41" t="s">
        <v>758</v>
      </c>
      <c r="D41" t="s">
        <v>759</v>
      </c>
      <c r="E41" t="s">
        <v>760</v>
      </c>
      <c r="F41" t="s">
        <v>761</v>
      </c>
      <c r="G41" t="s">
        <v>762</v>
      </c>
      <c r="H41" t="s">
        <v>763</v>
      </c>
      <c r="I41" t="s">
        <v>757</v>
      </c>
      <c r="J41" t="s">
        <v>764</v>
      </c>
      <c r="K41" t="s">
        <v>765</v>
      </c>
      <c r="L41" s="25" t="s">
        <v>766</v>
      </c>
    </row>
    <row r="42" spans="2:12" x14ac:dyDescent="0.2">
      <c r="B42" s="24" t="s">
        <v>767</v>
      </c>
      <c r="C42" t="s">
        <v>768</v>
      </c>
      <c r="D42" t="s">
        <v>769</v>
      </c>
      <c r="E42" t="s">
        <v>770</v>
      </c>
      <c r="F42" t="s">
        <v>767</v>
      </c>
      <c r="G42" t="s">
        <v>771</v>
      </c>
      <c r="H42" t="s">
        <v>767</v>
      </c>
      <c r="I42" t="s">
        <v>772</v>
      </c>
      <c r="J42" t="s">
        <v>773</v>
      </c>
      <c r="K42" t="s">
        <v>774</v>
      </c>
      <c r="L42" s="25" t="s">
        <v>767</v>
      </c>
    </row>
    <row r="43" spans="2:12" x14ac:dyDescent="0.2">
      <c r="B43" s="24" t="s">
        <v>775</v>
      </c>
      <c r="C43" t="s">
        <v>776</v>
      </c>
      <c r="D43" t="s">
        <v>776</v>
      </c>
      <c r="E43" t="s">
        <v>777</v>
      </c>
      <c r="F43" t="s">
        <v>778</v>
      </c>
      <c r="G43" t="s">
        <v>779</v>
      </c>
      <c r="H43" t="s">
        <v>780</v>
      </c>
      <c r="I43" t="s">
        <v>781</v>
      </c>
      <c r="J43" t="s">
        <v>782</v>
      </c>
      <c r="K43" t="s">
        <v>783</v>
      </c>
      <c r="L43" s="25" t="s">
        <v>778</v>
      </c>
    </row>
    <row r="44" spans="2:12" x14ac:dyDescent="0.2">
      <c r="B44" s="24" t="s">
        <v>784</v>
      </c>
      <c r="C44" t="s">
        <v>785</v>
      </c>
      <c r="D44" t="s">
        <v>786</v>
      </c>
      <c r="E44" t="s">
        <v>787</v>
      </c>
      <c r="F44" t="s">
        <v>788</v>
      </c>
      <c r="G44" t="s">
        <v>789</v>
      </c>
      <c r="H44" t="s">
        <v>790</v>
      </c>
      <c r="I44" t="s">
        <v>791</v>
      </c>
      <c r="J44" t="s">
        <v>792</v>
      </c>
      <c r="K44" t="s">
        <v>793</v>
      </c>
      <c r="L44" s="25" t="s">
        <v>794</v>
      </c>
    </row>
    <row r="45" spans="2:12" x14ac:dyDescent="0.2">
      <c r="B45" s="24" t="s">
        <v>795</v>
      </c>
      <c r="C45" t="s">
        <v>796</v>
      </c>
      <c r="D45" t="s">
        <v>797</v>
      </c>
      <c r="E45" t="s">
        <v>798</v>
      </c>
      <c r="F45" t="s">
        <v>799</v>
      </c>
      <c r="G45" t="s">
        <v>800</v>
      </c>
      <c r="H45" t="s">
        <v>801</v>
      </c>
      <c r="I45" t="s">
        <v>802</v>
      </c>
      <c r="J45" t="s">
        <v>803</v>
      </c>
      <c r="K45" t="s">
        <v>804</v>
      </c>
      <c r="L45" s="25" t="s">
        <v>805</v>
      </c>
    </row>
    <row r="46" spans="2:12" x14ac:dyDescent="0.2">
      <c r="B46" s="24" t="s">
        <v>806</v>
      </c>
      <c r="C46" t="s">
        <v>807</v>
      </c>
      <c r="D46" t="s">
        <v>808</v>
      </c>
      <c r="E46" t="s">
        <v>787</v>
      </c>
      <c r="F46" t="s">
        <v>809</v>
      </c>
      <c r="G46" t="s">
        <v>810</v>
      </c>
      <c r="H46" t="s">
        <v>811</v>
      </c>
      <c r="I46" t="s">
        <v>812</v>
      </c>
      <c r="J46" t="s">
        <v>813</v>
      </c>
      <c r="K46" t="s">
        <v>814</v>
      </c>
      <c r="L46" s="25" t="s">
        <v>815</v>
      </c>
    </row>
    <row r="47" spans="2:12" x14ac:dyDescent="0.2">
      <c r="B47" s="24" t="s">
        <v>816</v>
      </c>
      <c r="C47" t="s">
        <v>817</v>
      </c>
      <c r="D47" t="s">
        <v>818</v>
      </c>
      <c r="E47" t="s">
        <v>819</v>
      </c>
      <c r="F47" t="s">
        <v>820</v>
      </c>
      <c r="G47" t="s">
        <v>821</v>
      </c>
      <c r="H47" t="s">
        <v>822</v>
      </c>
      <c r="I47" t="s">
        <v>816</v>
      </c>
      <c r="J47" t="s">
        <v>823</v>
      </c>
      <c r="K47" t="s">
        <v>824</v>
      </c>
      <c r="L47" s="25" t="s">
        <v>825</v>
      </c>
    </row>
    <row r="48" spans="2:12" x14ac:dyDescent="0.2">
      <c r="B48" s="24" t="s">
        <v>4616</v>
      </c>
      <c r="C48" t="s">
        <v>3263</v>
      </c>
      <c r="D48" t="s">
        <v>3264</v>
      </c>
      <c r="E48" t="s">
        <v>3265</v>
      </c>
      <c r="F48" t="s">
        <v>3266</v>
      </c>
      <c r="G48" t="s">
        <v>3267</v>
      </c>
      <c r="H48" t="s">
        <v>4617</v>
      </c>
      <c r="I48" t="s">
        <v>4618</v>
      </c>
      <c r="J48" t="s">
        <v>4619</v>
      </c>
      <c r="K48" t="s">
        <v>3271</v>
      </c>
      <c r="L48" s="25" t="s">
        <v>3272</v>
      </c>
    </row>
    <row r="49" spans="2:12" x14ac:dyDescent="0.2">
      <c r="B49" s="24" t="s">
        <v>22</v>
      </c>
      <c r="C49" t="s">
        <v>22</v>
      </c>
      <c r="D49" t="s">
        <v>22</v>
      </c>
      <c r="E49" t="s">
        <v>826</v>
      </c>
      <c r="F49" t="s">
        <v>827</v>
      </c>
      <c r="G49" t="s">
        <v>828</v>
      </c>
      <c r="H49" t="s">
        <v>829</v>
      </c>
      <c r="I49" t="s">
        <v>22</v>
      </c>
      <c r="J49" t="s">
        <v>830</v>
      </c>
      <c r="K49" t="s">
        <v>831</v>
      </c>
      <c r="L49" s="25" t="s">
        <v>832</v>
      </c>
    </row>
    <row r="50" spans="2:12" x14ac:dyDescent="0.2">
      <c r="B50" s="24" t="s">
        <v>23</v>
      </c>
      <c r="C50" t="s">
        <v>23</v>
      </c>
      <c r="D50" t="s">
        <v>23</v>
      </c>
      <c r="E50" t="s">
        <v>833</v>
      </c>
      <c r="F50" t="s">
        <v>834</v>
      </c>
      <c r="G50" t="s">
        <v>835</v>
      </c>
      <c r="H50" t="s">
        <v>836</v>
      </c>
      <c r="I50" t="s">
        <v>23</v>
      </c>
      <c r="J50" t="s">
        <v>837</v>
      </c>
      <c r="K50" t="s">
        <v>838</v>
      </c>
      <c r="L50" s="25" t="s">
        <v>839</v>
      </c>
    </row>
    <row r="51" spans="2:12" x14ac:dyDescent="0.2">
      <c r="B51" s="24" t="s">
        <v>24</v>
      </c>
      <c r="C51" t="s">
        <v>840</v>
      </c>
      <c r="D51" t="s">
        <v>841</v>
      </c>
      <c r="E51" t="s">
        <v>842</v>
      </c>
      <c r="F51" t="s">
        <v>843</v>
      </c>
      <c r="G51" t="s">
        <v>844</v>
      </c>
      <c r="H51" t="s">
        <v>845</v>
      </c>
      <c r="I51" t="s">
        <v>846</v>
      </c>
      <c r="J51" t="s">
        <v>847</v>
      </c>
      <c r="K51" t="s">
        <v>848</v>
      </c>
      <c r="L51" s="25" t="s">
        <v>849</v>
      </c>
    </row>
    <row r="52" spans="2:12" x14ac:dyDescent="0.2">
      <c r="B52" s="24" t="s">
        <v>850</v>
      </c>
      <c r="C52" t="s">
        <v>851</v>
      </c>
      <c r="D52" t="s">
        <v>852</v>
      </c>
      <c r="E52" t="s">
        <v>853</v>
      </c>
      <c r="F52" t="s">
        <v>854</v>
      </c>
      <c r="G52" t="s">
        <v>855</v>
      </c>
      <c r="H52" t="s">
        <v>856</v>
      </c>
      <c r="I52" t="s">
        <v>857</v>
      </c>
      <c r="J52" t="s">
        <v>858</v>
      </c>
      <c r="K52" t="s">
        <v>859</v>
      </c>
      <c r="L52" s="25" t="s">
        <v>860</v>
      </c>
    </row>
    <row r="53" spans="2:12" x14ac:dyDescent="0.2">
      <c r="B53" s="24" t="s">
        <v>861</v>
      </c>
      <c r="C53" t="s">
        <v>862</v>
      </c>
      <c r="D53" t="s">
        <v>863</v>
      </c>
      <c r="E53" t="s">
        <v>864</v>
      </c>
      <c r="F53" t="s">
        <v>865</v>
      </c>
      <c r="G53" t="s">
        <v>861</v>
      </c>
      <c r="H53" t="s">
        <v>866</v>
      </c>
      <c r="I53" t="s">
        <v>867</v>
      </c>
      <c r="J53" t="s">
        <v>868</v>
      </c>
      <c r="K53" t="s">
        <v>869</v>
      </c>
      <c r="L53" s="25" t="s">
        <v>867</v>
      </c>
    </row>
    <row r="54" spans="2:12" x14ac:dyDescent="0.2">
      <c r="B54" s="24" t="s">
        <v>682</v>
      </c>
      <c r="C54" t="s">
        <v>683</v>
      </c>
      <c r="D54" t="s">
        <v>684</v>
      </c>
      <c r="E54" t="s">
        <v>685</v>
      </c>
      <c r="F54" t="s">
        <v>682</v>
      </c>
      <c r="G54" t="s">
        <v>682</v>
      </c>
      <c r="H54" t="s">
        <v>686</v>
      </c>
      <c r="I54" t="s">
        <v>682</v>
      </c>
      <c r="J54" t="s">
        <v>687</v>
      </c>
      <c r="K54" t="s">
        <v>4996</v>
      </c>
      <c r="L54" s="25" t="s">
        <v>682</v>
      </c>
    </row>
    <row r="55" spans="2:12" x14ac:dyDescent="0.2">
      <c r="B55" s="24" t="s">
        <v>879</v>
      </c>
      <c r="C55" t="s">
        <v>880</v>
      </c>
      <c r="D55" t="s">
        <v>881</v>
      </c>
      <c r="E55" t="s">
        <v>882</v>
      </c>
      <c r="F55" t="s">
        <v>883</v>
      </c>
      <c r="G55" t="s">
        <v>884</v>
      </c>
      <c r="H55" t="s">
        <v>885</v>
      </c>
      <c r="I55" t="s">
        <v>886</v>
      </c>
      <c r="J55" t="s">
        <v>887</v>
      </c>
      <c r="K55" t="s">
        <v>4997</v>
      </c>
      <c r="L55" s="25" t="s">
        <v>888</v>
      </c>
    </row>
    <row r="56" spans="2:12" x14ac:dyDescent="0.2">
      <c r="B56" s="24" t="s">
        <v>889</v>
      </c>
      <c r="C56" t="s">
        <v>890</v>
      </c>
      <c r="D56" t="s">
        <v>891</v>
      </c>
      <c r="E56" t="s">
        <v>892</v>
      </c>
      <c r="F56" t="s">
        <v>893</v>
      </c>
      <c r="G56" t="s">
        <v>894</v>
      </c>
      <c r="H56" t="s">
        <v>893</v>
      </c>
      <c r="I56" t="s">
        <v>895</v>
      </c>
      <c r="J56" t="s">
        <v>896</v>
      </c>
      <c r="K56" t="s">
        <v>4998</v>
      </c>
      <c r="L56" s="25" t="s">
        <v>897</v>
      </c>
    </row>
    <row r="57" spans="2:12" x14ac:dyDescent="0.2">
      <c r="B57" s="24" t="s">
        <v>898</v>
      </c>
      <c r="C57" t="s">
        <v>899</v>
      </c>
      <c r="D57" t="s">
        <v>900</v>
      </c>
      <c r="E57" t="s">
        <v>901</v>
      </c>
      <c r="F57" t="s">
        <v>902</v>
      </c>
      <c r="G57" t="s">
        <v>903</v>
      </c>
      <c r="H57" t="s">
        <v>904</v>
      </c>
      <c r="I57" t="s">
        <v>905</v>
      </c>
      <c r="J57" t="s">
        <v>906</v>
      </c>
      <c r="K57" t="s">
        <v>907</v>
      </c>
      <c r="L57" s="25" t="s">
        <v>908</v>
      </c>
    </row>
    <row r="58" spans="2:12" x14ac:dyDescent="0.2">
      <c r="B58" s="24" t="s">
        <v>26</v>
      </c>
      <c r="C58" t="s">
        <v>909</v>
      </c>
      <c r="D58" t="s">
        <v>910</v>
      </c>
      <c r="E58" t="s">
        <v>911</v>
      </c>
      <c r="F58" t="s">
        <v>912</v>
      </c>
      <c r="G58" t="s">
        <v>913</v>
      </c>
      <c r="H58" t="s">
        <v>914</v>
      </c>
      <c r="I58" t="s">
        <v>915</v>
      </c>
      <c r="J58" t="s">
        <v>916</v>
      </c>
      <c r="K58" t="s">
        <v>917</v>
      </c>
      <c r="L58" s="25" t="s">
        <v>918</v>
      </c>
    </row>
    <row r="59" spans="2:12" x14ac:dyDescent="0.2">
      <c r="B59" s="24" t="s">
        <v>27</v>
      </c>
      <c r="C59" t="s">
        <v>919</v>
      </c>
      <c r="D59" t="s">
        <v>920</v>
      </c>
      <c r="E59" t="s">
        <v>921</v>
      </c>
      <c r="F59" t="s">
        <v>922</v>
      </c>
      <c r="G59" t="s">
        <v>923</v>
      </c>
      <c r="H59" t="s">
        <v>924</v>
      </c>
      <c r="I59" t="s">
        <v>925</v>
      </c>
      <c r="J59" t="s">
        <v>926</v>
      </c>
      <c r="K59" t="s">
        <v>927</v>
      </c>
      <c r="L59" s="25" t="s">
        <v>928</v>
      </c>
    </row>
    <row r="60" spans="2:12" x14ac:dyDescent="0.2">
      <c r="B60" s="24" t="s">
        <v>28</v>
      </c>
      <c r="C60" t="s">
        <v>929</v>
      </c>
      <c r="D60" t="s">
        <v>929</v>
      </c>
      <c r="E60" t="s">
        <v>930</v>
      </c>
      <c r="F60" t="s">
        <v>931</v>
      </c>
      <c r="G60" t="s">
        <v>932</v>
      </c>
      <c r="H60" t="s">
        <v>933</v>
      </c>
      <c r="I60" t="s">
        <v>934</v>
      </c>
      <c r="J60" t="s">
        <v>935</v>
      </c>
      <c r="K60" t="s">
        <v>936</v>
      </c>
      <c r="L60" s="25" t="s">
        <v>937</v>
      </c>
    </row>
    <row r="61" spans="2:12" x14ac:dyDescent="0.2">
      <c r="B61" s="24" t="s">
        <v>938</v>
      </c>
      <c r="C61" t="s">
        <v>939</v>
      </c>
      <c r="D61" t="s">
        <v>939</v>
      </c>
      <c r="E61" t="s">
        <v>940</v>
      </c>
      <c r="F61" t="s">
        <v>941</v>
      </c>
      <c r="G61" t="s">
        <v>942</v>
      </c>
      <c r="H61" t="s">
        <v>943</v>
      </c>
      <c r="I61" t="s">
        <v>944</v>
      </c>
      <c r="J61" t="s">
        <v>945</v>
      </c>
      <c r="K61" t="s">
        <v>946</v>
      </c>
      <c r="L61" s="25" t="s">
        <v>947</v>
      </c>
    </row>
    <row r="62" spans="2:12" x14ac:dyDescent="0.2">
      <c r="B62" s="24" t="s">
        <v>957</v>
      </c>
      <c r="C62" t="s">
        <v>958</v>
      </c>
      <c r="D62" t="s">
        <v>959</v>
      </c>
      <c r="E62" t="s">
        <v>960</v>
      </c>
      <c r="F62" t="s">
        <v>961</v>
      </c>
      <c r="G62" t="s">
        <v>962</v>
      </c>
      <c r="H62" t="s">
        <v>963</v>
      </c>
      <c r="I62" t="s">
        <v>964</v>
      </c>
      <c r="J62" t="s">
        <v>965</v>
      </c>
      <c r="K62" t="s">
        <v>966</v>
      </c>
      <c r="L62" s="25" t="s">
        <v>967</v>
      </c>
    </row>
    <row r="63" spans="2:12" x14ac:dyDescent="0.2">
      <c r="B63" s="24" t="s">
        <v>976</v>
      </c>
      <c r="C63" t="s">
        <v>977</v>
      </c>
      <c r="D63" t="s">
        <v>978</v>
      </c>
      <c r="E63" t="s">
        <v>979</v>
      </c>
      <c r="F63" t="s">
        <v>980</v>
      </c>
      <c r="G63" t="s">
        <v>981</v>
      </c>
      <c r="H63" t="s">
        <v>982</v>
      </c>
      <c r="I63" t="s">
        <v>4494</v>
      </c>
      <c r="J63" t="s">
        <v>983</v>
      </c>
      <c r="K63" t="s">
        <v>984</v>
      </c>
      <c r="L63" s="25" t="s">
        <v>985</v>
      </c>
    </row>
    <row r="64" spans="2:12" x14ac:dyDescent="0.2">
      <c r="B64" s="24" t="s">
        <v>996</v>
      </c>
      <c r="C64" t="s">
        <v>997</v>
      </c>
      <c r="D64" t="s">
        <v>998</v>
      </c>
      <c r="E64" t="s">
        <v>999</v>
      </c>
      <c r="F64" t="s">
        <v>1000</v>
      </c>
      <c r="G64" t="s">
        <v>1001</v>
      </c>
      <c r="H64" t="s">
        <v>1002</v>
      </c>
      <c r="I64" t="s">
        <v>4495</v>
      </c>
      <c r="J64" t="s">
        <v>1003</v>
      </c>
      <c r="K64" t="s">
        <v>1004</v>
      </c>
      <c r="L64" s="25" t="s">
        <v>1005</v>
      </c>
    </row>
    <row r="65" spans="2:12" x14ac:dyDescent="0.2">
      <c r="B65" s="24" t="s">
        <v>1006</v>
      </c>
      <c r="C65" t="s">
        <v>1007</v>
      </c>
      <c r="D65" t="s">
        <v>1008</v>
      </c>
      <c r="E65" t="s">
        <v>1009</v>
      </c>
      <c r="F65" t="s">
        <v>1010</v>
      </c>
      <c r="G65" t="s">
        <v>1011</v>
      </c>
      <c r="H65" t="s">
        <v>1012</v>
      </c>
      <c r="I65" t="s">
        <v>4496</v>
      </c>
      <c r="J65" t="s">
        <v>1013</v>
      </c>
      <c r="K65" t="s">
        <v>1014</v>
      </c>
      <c r="L65" s="25" t="s">
        <v>1015</v>
      </c>
    </row>
    <row r="66" spans="2:12" x14ac:dyDescent="0.2">
      <c r="B66" s="24" t="s">
        <v>1016</v>
      </c>
      <c r="C66" t="s">
        <v>1017</v>
      </c>
      <c r="D66" t="s">
        <v>1018</v>
      </c>
      <c r="E66" t="s">
        <v>1019</v>
      </c>
      <c r="F66" t="s">
        <v>1020</v>
      </c>
      <c r="G66" t="s">
        <v>1021</v>
      </c>
      <c r="H66" t="s">
        <v>1022</v>
      </c>
      <c r="I66" t="s">
        <v>4497</v>
      </c>
      <c r="J66" t="s">
        <v>1023</v>
      </c>
      <c r="K66" t="s">
        <v>1024</v>
      </c>
      <c r="L66" s="25" t="s">
        <v>1025</v>
      </c>
    </row>
    <row r="67" spans="2:12" x14ac:dyDescent="0.2">
      <c r="B67" s="24" t="s">
        <v>1026</v>
      </c>
      <c r="C67" t="s">
        <v>1027</v>
      </c>
      <c r="D67" t="s">
        <v>1028</v>
      </c>
      <c r="E67" t="s">
        <v>1029</v>
      </c>
      <c r="F67" t="s">
        <v>1030</v>
      </c>
      <c r="G67" t="s">
        <v>1031</v>
      </c>
      <c r="H67" t="s">
        <v>1032</v>
      </c>
      <c r="I67" t="s">
        <v>1033</v>
      </c>
      <c r="J67" t="s">
        <v>1034</v>
      </c>
      <c r="K67" t="s">
        <v>1035</v>
      </c>
      <c r="L67" s="25" t="s">
        <v>1036</v>
      </c>
    </row>
    <row r="68" spans="2:12" x14ac:dyDescent="0.2">
      <c r="B68" s="24" t="s">
        <v>1047</v>
      </c>
      <c r="C68" t="s">
        <v>1048</v>
      </c>
      <c r="D68" t="s">
        <v>1049</v>
      </c>
      <c r="E68" t="s">
        <v>1050</v>
      </c>
      <c r="F68" t="s">
        <v>1051</v>
      </c>
      <c r="G68" t="s">
        <v>1052</v>
      </c>
      <c r="H68" t="s">
        <v>1051</v>
      </c>
      <c r="I68" t="s">
        <v>1051</v>
      </c>
      <c r="J68" t="s">
        <v>1047</v>
      </c>
      <c r="K68" t="s">
        <v>1053</v>
      </c>
      <c r="L68" s="25" t="s">
        <v>1047</v>
      </c>
    </row>
    <row r="69" spans="2:12" x14ac:dyDescent="0.2">
      <c r="B69" s="24" t="s">
        <v>1054</v>
      </c>
      <c r="C69" t="s">
        <v>1055</v>
      </c>
      <c r="D69" t="s">
        <v>1056</v>
      </c>
      <c r="E69" t="s">
        <v>1057</v>
      </c>
      <c r="F69" t="s">
        <v>1058</v>
      </c>
      <c r="G69" t="s">
        <v>1059</v>
      </c>
      <c r="H69" t="s">
        <v>1060</v>
      </c>
      <c r="I69" t="s">
        <v>1061</v>
      </c>
      <c r="J69" t="s">
        <v>1062</v>
      </c>
      <c r="K69" t="s">
        <v>1063</v>
      </c>
      <c r="L69" s="25" t="s">
        <v>1064</v>
      </c>
    </row>
    <row r="70" spans="2:12" x14ac:dyDescent="0.2">
      <c r="B70" s="24" t="s">
        <v>10</v>
      </c>
      <c r="C70" t="s">
        <v>1065</v>
      </c>
      <c r="D70" t="s">
        <v>1066</v>
      </c>
      <c r="E70" t="s">
        <v>1067</v>
      </c>
      <c r="F70" t="s">
        <v>1068</v>
      </c>
      <c r="G70" t="s">
        <v>1069</v>
      </c>
      <c r="H70" t="s">
        <v>1070</v>
      </c>
      <c r="I70" t="s">
        <v>1071</v>
      </c>
      <c r="J70" t="s">
        <v>1072</v>
      </c>
      <c r="K70" t="s">
        <v>1073</v>
      </c>
      <c r="L70" s="25" t="s">
        <v>1074</v>
      </c>
    </row>
    <row r="71" spans="2:12" x14ac:dyDescent="0.2">
      <c r="B71" s="24" t="s">
        <v>1082</v>
      </c>
      <c r="C71" t="s">
        <v>1083</v>
      </c>
      <c r="D71" t="s">
        <v>1084</v>
      </c>
      <c r="E71" t="s">
        <v>1085</v>
      </c>
      <c r="F71" t="s">
        <v>1086</v>
      </c>
      <c r="G71" t="s">
        <v>1087</v>
      </c>
      <c r="H71" t="s">
        <v>1088</v>
      </c>
      <c r="I71" t="s">
        <v>1089</v>
      </c>
      <c r="J71" t="s">
        <v>1090</v>
      </c>
      <c r="K71" t="s">
        <v>1091</v>
      </c>
      <c r="L71" s="25" t="s">
        <v>1082</v>
      </c>
    </row>
    <row r="72" spans="2:12" x14ac:dyDescent="0.2">
      <c r="B72" s="24" t="s">
        <v>1092</v>
      </c>
      <c r="C72" t="s">
        <v>1093</v>
      </c>
      <c r="D72" t="s">
        <v>1094</v>
      </c>
      <c r="E72" t="s">
        <v>1095</v>
      </c>
      <c r="F72" t="s">
        <v>1096</v>
      </c>
      <c r="G72" t="s">
        <v>1097</v>
      </c>
      <c r="H72" t="s">
        <v>1098</v>
      </c>
      <c r="I72" t="s">
        <v>1099</v>
      </c>
      <c r="J72" t="s">
        <v>1100</v>
      </c>
      <c r="K72" t="s">
        <v>1101</v>
      </c>
      <c r="L72" s="25" t="s">
        <v>1102</v>
      </c>
    </row>
    <row r="73" spans="2:12" x14ac:dyDescent="0.2">
      <c r="B73" s="24" t="s">
        <v>1103</v>
      </c>
      <c r="C73" t="s">
        <v>1104</v>
      </c>
      <c r="D73" t="s">
        <v>1105</v>
      </c>
      <c r="E73" t="s">
        <v>1106</v>
      </c>
      <c r="F73" t="s">
        <v>1107</v>
      </c>
      <c r="G73" t="s">
        <v>1108</v>
      </c>
      <c r="H73" t="s">
        <v>1109</v>
      </c>
      <c r="I73" t="s">
        <v>1110</v>
      </c>
      <c r="J73" t="s">
        <v>1111</v>
      </c>
      <c r="K73" t="s">
        <v>1112</v>
      </c>
      <c r="L73" s="25" t="s">
        <v>1113</v>
      </c>
    </row>
    <row r="74" spans="2:12" x14ac:dyDescent="0.2">
      <c r="B74" s="24" t="s">
        <v>1114</v>
      </c>
      <c r="C74" t="s">
        <v>1115</v>
      </c>
      <c r="D74" t="s">
        <v>1116</v>
      </c>
      <c r="E74" t="s">
        <v>1117</v>
      </c>
      <c r="F74" t="s">
        <v>1118</v>
      </c>
      <c r="G74" t="s">
        <v>1119</v>
      </c>
      <c r="H74" t="s">
        <v>1120</v>
      </c>
      <c r="I74" t="s">
        <v>1121</v>
      </c>
      <c r="J74" t="s">
        <v>1122</v>
      </c>
      <c r="K74" t="s">
        <v>1123</v>
      </c>
      <c r="L74" s="25" t="s">
        <v>1124</v>
      </c>
    </row>
    <row r="75" spans="2:12" x14ac:dyDescent="0.2">
      <c r="B75" s="24" t="s">
        <v>1125</v>
      </c>
      <c r="C75" t="s">
        <v>1126</v>
      </c>
      <c r="D75" t="s">
        <v>1127</v>
      </c>
      <c r="E75" t="s">
        <v>1128</v>
      </c>
      <c r="F75" t="s">
        <v>1129</v>
      </c>
      <c r="G75" t="s">
        <v>1130</v>
      </c>
      <c r="H75" t="s">
        <v>1131</v>
      </c>
      <c r="I75" t="s">
        <v>1132</v>
      </c>
      <c r="J75" t="s">
        <v>1133</v>
      </c>
      <c r="K75" t="s">
        <v>1134</v>
      </c>
      <c r="L75" s="25" t="s">
        <v>1135</v>
      </c>
    </row>
    <row r="76" spans="2:12" x14ac:dyDescent="0.2">
      <c r="B76" s="24" t="s">
        <v>1136</v>
      </c>
      <c r="C76" t="s">
        <v>1137</v>
      </c>
      <c r="D76" t="s">
        <v>1138</v>
      </c>
      <c r="E76" t="s">
        <v>1139</v>
      </c>
      <c r="F76" t="s">
        <v>1140</v>
      </c>
      <c r="G76" t="s">
        <v>1141</v>
      </c>
      <c r="H76" t="s">
        <v>1142</v>
      </c>
      <c r="I76" t="s">
        <v>1143</v>
      </c>
      <c r="J76" t="s">
        <v>1144</v>
      </c>
      <c r="K76" t="s">
        <v>1145</v>
      </c>
      <c r="L76" s="25" t="s">
        <v>1146</v>
      </c>
    </row>
    <row r="77" spans="2:12" x14ac:dyDescent="0.2">
      <c r="B77" s="24" t="s">
        <v>1147</v>
      </c>
      <c r="C77" t="s">
        <v>1148</v>
      </c>
      <c r="D77" t="s">
        <v>1149</v>
      </c>
      <c r="E77" t="s">
        <v>1150</v>
      </c>
      <c r="F77" t="s">
        <v>1151</v>
      </c>
      <c r="G77" t="s">
        <v>1152</v>
      </c>
      <c r="H77" t="s">
        <v>1153</v>
      </c>
      <c r="I77" t="s">
        <v>1154</v>
      </c>
      <c r="J77" t="s">
        <v>1155</v>
      </c>
      <c r="K77" t="s">
        <v>1156</v>
      </c>
      <c r="L77" s="25" t="s">
        <v>1157</v>
      </c>
    </row>
    <row r="78" spans="2:12" x14ac:dyDescent="0.2">
      <c r="B78" s="24" t="s">
        <v>1158</v>
      </c>
      <c r="C78" t="s">
        <v>1159</v>
      </c>
      <c r="D78" t="s">
        <v>1160</v>
      </c>
      <c r="E78" t="s">
        <v>1161</v>
      </c>
      <c r="F78" t="s">
        <v>1162</v>
      </c>
      <c r="G78" t="s">
        <v>1163</v>
      </c>
      <c r="H78" t="s">
        <v>1158</v>
      </c>
      <c r="I78" t="s">
        <v>1162</v>
      </c>
      <c r="J78" t="s">
        <v>1158</v>
      </c>
      <c r="K78" t="s">
        <v>1023</v>
      </c>
      <c r="L78" s="25" t="s">
        <v>1158</v>
      </c>
    </row>
    <row r="79" spans="2:12" x14ac:dyDescent="0.2">
      <c r="B79" s="24" t="s">
        <v>1164</v>
      </c>
      <c r="C79" t="s">
        <v>1165</v>
      </c>
      <c r="D79" t="s">
        <v>1166</v>
      </c>
      <c r="E79" t="s">
        <v>1167</v>
      </c>
      <c r="F79" t="s">
        <v>1168</v>
      </c>
      <c r="G79" t="s">
        <v>1169</v>
      </c>
      <c r="H79" t="s">
        <v>1170</v>
      </c>
      <c r="I79" t="s">
        <v>1171</v>
      </c>
      <c r="J79" t="s">
        <v>1172</v>
      </c>
      <c r="K79" t="s">
        <v>1173</v>
      </c>
      <c r="L79" s="25" t="s">
        <v>1174</v>
      </c>
    </row>
    <row r="80" spans="2:12" x14ac:dyDescent="0.2">
      <c r="B80" s="24" t="s">
        <v>1175</v>
      </c>
      <c r="C80" t="s">
        <v>1176</v>
      </c>
      <c r="D80" t="s">
        <v>1177</v>
      </c>
      <c r="E80" t="s">
        <v>1178</v>
      </c>
      <c r="F80" t="s">
        <v>1179</v>
      </c>
      <c r="G80" t="s">
        <v>1180</v>
      </c>
      <c r="H80" t="s">
        <v>1181</v>
      </c>
      <c r="I80" t="s">
        <v>1182</v>
      </c>
      <c r="J80" t="s">
        <v>1183</v>
      </c>
      <c r="K80" t="s">
        <v>1184</v>
      </c>
      <c r="L80" s="25" t="s">
        <v>1185</v>
      </c>
    </row>
    <row r="81" spans="2:13" x14ac:dyDescent="0.2">
      <c r="B81" s="24" t="s">
        <v>1186</v>
      </c>
      <c r="C81" t="s">
        <v>1187</v>
      </c>
      <c r="D81" t="s">
        <v>1188</v>
      </c>
      <c r="E81" t="s">
        <v>1189</v>
      </c>
      <c r="F81" t="s">
        <v>1190</v>
      </c>
      <c r="G81" t="s">
        <v>1191</v>
      </c>
      <c r="H81" t="s">
        <v>1192</v>
      </c>
      <c r="I81" t="s">
        <v>1193</v>
      </c>
      <c r="J81" t="s">
        <v>1194</v>
      </c>
      <c r="K81" t="s">
        <v>1195</v>
      </c>
      <c r="L81" s="25" t="s">
        <v>1196</v>
      </c>
    </row>
    <row r="82" spans="2:13" x14ac:dyDescent="0.2">
      <c r="B82" s="24" t="s">
        <v>1197</v>
      </c>
      <c r="C82" s="131" t="s">
        <v>1198</v>
      </c>
      <c r="D82" s="131" t="s">
        <v>1199</v>
      </c>
      <c r="E82" s="131" t="s">
        <v>1200</v>
      </c>
      <c r="F82" s="131" t="s">
        <v>1201</v>
      </c>
      <c r="G82" s="131" t="s">
        <v>1202</v>
      </c>
      <c r="H82" s="131" t="s">
        <v>1203</v>
      </c>
      <c r="I82" s="131" t="s">
        <v>1204</v>
      </c>
      <c r="J82" s="131" t="s">
        <v>1205</v>
      </c>
      <c r="K82" s="131" t="s">
        <v>1206</v>
      </c>
      <c r="L82" s="129" t="s">
        <v>1207</v>
      </c>
    </row>
    <row r="83" spans="2:13" x14ac:dyDescent="0.2">
      <c r="B83" s="24" t="s">
        <v>1208</v>
      </c>
      <c r="C83" s="131" t="s">
        <v>1209</v>
      </c>
      <c r="D83" s="131" t="s">
        <v>1210</v>
      </c>
      <c r="E83" s="131" t="s">
        <v>1211</v>
      </c>
      <c r="F83" s="131" t="s">
        <v>1212</v>
      </c>
      <c r="G83" s="131" t="s">
        <v>1213</v>
      </c>
      <c r="H83" s="131" t="s">
        <v>1214</v>
      </c>
      <c r="I83" s="131" t="s">
        <v>1215</v>
      </c>
      <c r="J83" s="131" t="s">
        <v>1216</v>
      </c>
      <c r="K83" s="131" t="s">
        <v>1217</v>
      </c>
      <c r="L83" s="129" t="s">
        <v>1218</v>
      </c>
    </row>
    <row r="84" spans="2:13" x14ac:dyDescent="0.2">
      <c r="B84" s="24" t="s">
        <v>1219</v>
      </c>
      <c r="C84" t="s">
        <v>1220</v>
      </c>
      <c r="D84" t="s">
        <v>1221</v>
      </c>
      <c r="E84" t="s">
        <v>1222</v>
      </c>
      <c r="F84" t="s">
        <v>1223</v>
      </c>
      <c r="G84" t="s">
        <v>1224</v>
      </c>
      <c r="H84" t="s">
        <v>1225</v>
      </c>
      <c r="I84" t="s">
        <v>4498</v>
      </c>
      <c r="J84" t="s">
        <v>1226</v>
      </c>
      <c r="K84" s="25" t="s">
        <v>1227</v>
      </c>
      <c r="L84" s="25" t="s">
        <v>1228</v>
      </c>
    </row>
    <row r="85" spans="2:13" x14ac:dyDescent="0.2">
      <c r="B85" s="118" t="s">
        <v>1229</v>
      </c>
      <c r="C85" t="s">
        <v>1230</v>
      </c>
      <c r="D85" t="s">
        <v>1231</v>
      </c>
      <c r="E85" t="s">
        <v>1232</v>
      </c>
      <c r="F85" t="s">
        <v>1233</v>
      </c>
      <c r="G85" t="s">
        <v>1234</v>
      </c>
      <c r="H85" t="s">
        <v>1235</v>
      </c>
      <c r="I85" t="s">
        <v>1236</v>
      </c>
      <c r="J85" t="s">
        <v>1237</v>
      </c>
      <c r="K85" t="s">
        <v>1238</v>
      </c>
      <c r="L85" s="25" t="s">
        <v>1239</v>
      </c>
    </row>
    <row r="86" spans="2:13" x14ac:dyDescent="0.2">
      <c r="B86" s="118" t="s">
        <v>1240</v>
      </c>
      <c r="C86" t="s">
        <v>1241</v>
      </c>
      <c r="D86" t="s">
        <v>1242</v>
      </c>
      <c r="E86" t="s">
        <v>1243</v>
      </c>
      <c r="F86" t="s">
        <v>1244</v>
      </c>
      <c r="G86" t="s">
        <v>1245</v>
      </c>
      <c r="H86" t="s">
        <v>1246</v>
      </c>
      <c r="I86" t="s">
        <v>1247</v>
      </c>
      <c r="J86" t="s">
        <v>1248</v>
      </c>
      <c r="K86" t="s">
        <v>1249</v>
      </c>
      <c r="L86" s="25" t="s">
        <v>1250</v>
      </c>
    </row>
    <row r="87" spans="2:13" ht="11.25" customHeight="1" x14ac:dyDescent="0.35">
      <c r="B87" s="62" t="s">
        <v>2</v>
      </c>
      <c r="C87" t="s">
        <v>1251</v>
      </c>
      <c r="D87" t="s">
        <v>1252</v>
      </c>
      <c r="E87" t="s">
        <v>1252</v>
      </c>
      <c r="F87" t="s">
        <v>1253</v>
      </c>
      <c r="G87" t="s">
        <v>1254</v>
      </c>
      <c r="H87" t="s">
        <v>1255</v>
      </c>
      <c r="I87" t="s">
        <v>1256</v>
      </c>
      <c r="J87" t="s">
        <v>1257</v>
      </c>
      <c r="K87" t="s">
        <v>1258</v>
      </c>
      <c r="L87" s="25" t="s">
        <v>1259</v>
      </c>
      <c r="M87" s="128"/>
    </row>
    <row r="88" spans="2:13" x14ac:dyDescent="0.2">
      <c r="B88" s="62" t="s">
        <v>48</v>
      </c>
      <c r="C88" t="s">
        <v>1260</v>
      </c>
      <c r="D88" t="s">
        <v>1261</v>
      </c>
      <c r="E88" t="s">
        <v>1262</v>
      </c>
      <c r="F88" t="s">
        <v>1263</v>
      </c>
      <c r="G88" t="s">
        <v>1264</v>
      </c>
      <c r="H88" t="s">
        <v>1265</v>
      </c>
      <c r="I88" t="s">
        <v>1266</v>
      </c>
      <c r="J88" t="s">
        <v>1267</v>
      </c>
      <c r="K88" t="s">
        <v>1268</v>
      </c>
      <c r="L88" s="25" t="s">
        <v>1269</v>
      </c>
    </row>
    <row r="89" spans="2:13" x14ac:dyDescent="0.2">
      <c r="B89" s="62" t="s">
        <v>51</v>
      </c>
      <c r="C89" t="s">
        <v>1270</v>
      </c>
      <c r="D89" t="s">
        <v>1271</v>
      </c>
      <c r="E89" t="s">
        <v>1272</v>
      </c>
      <c r="F89" t="s">
        <v>1273</v>
      </c>
      <c r="G89" t="s">
        <v>1274</v>
      </c>
      <c r="H89" t="s">
        <v>1275</v>
      </c>
      <c r="I89" t="s">
        <v>1276</v>
      </c>
      <c r="J89" t="s">
        <v>1277</v>
      </c>
      <c r="K89" t="s">
        <v>1278</v>
      </c>
      <c r="L89" s="25" t="s">
        <v>1279</v>
      </c>
    </row>
    <row r="90" spans="2:13" x14ac:dyDescent="0.2">
      <c r="B90" s="62" t="s">
        <v>67</v>
      </c>
      <c r="C90" t="s">
        <v>1280</v>
      </c>
      <c r="D90" t="s">
        <v>1281</v>
      </c>
      <c r="E90" t="s">
        <v>1282</v>
      </c>
      <c r="F90" t="s">
        <v>1283</v>
      </c>
      <c r="G90" t="s">
        <v>1284</v>
      </c>
      <c r="H90" t="s">
        <v>1285</v>
      </c>
      <c r="I90" t="s">
        <v>1286</v>
      </c>
      <c r="J90" t="s">
        <v>1287</v>
      </c>
      <c r="K90" t="s">
        <v>1288</v>
      </c>
      <c r="L90" s="25" t="s">
        <v>1289</v>
      </c>
    </row>
    <row r="91" spans="2:13" x14ac:dyDescent="0.2">
      <c r="B91" s="62" t="s">
        <v>86</v>
      </c>
      <c r="C91" t="s">
        <v>1290</v>
      </c>
      <c r="D91" t="s">
        <v>1291</v>
      </c>
      <c r="E91" t="s">
        <v>1292</v>
      </c>
      <c r="F91" t="s">
        <v>1293</v>
      </c>
      <c r="G91" t="s">
        <v>1294</v>
      </c>
      <c r="H91" t="s">
        <v>1295</v>
      </c>
      <c r="I91" t="s">
        <v>1296</v>
      </c>
      <c r="J91" t="s">
        <v>1297</v>
      </c>
      <c r="K91" t="s">
        <v>1298</v>
      </c>
      <c r="L91" s="25" t="s">
        <v>1299</v>
      </c>
    </row>
    <row r="92" spans="2:13" x14ac:dyDescent="0.2">
      <c r="B92" s="62" t="s">
        <v>59</v>
      </c>
      <c r="C92" t="s">
        <v>1300</v>
      </c>
      <c r="D92" t="s">
        <v>1301</v>
      </c>
      <c r="E92" t="s">
        <v>1302</v>
      </c>
      <c r="F92" t="s">
        <v>1303</v>
      </c>
      <c r="G92" t="s">
        <v>1304</v>
      </c>
      <c r="H92" t="s">
        <v>1305</v>
      </c>
      <c r="I92" t="s">
        <v>1306</v>
      </c>
      <c r="J92" t="s">
        <v>1307</v>
      </c>
      <c r="K92" t="s">
        <v>1308</v>
      </c>
      <c r="L92" s="25" t="s">
        <v>1309</v>
      </c>
    </row>
    <row r="93" spans="2:13" x14ac:dyDescent="0.2">
      <c r="B93" s="62" t="s">
        <v>55</v>
      </c>
      <c r="C93" t="s">
        <v>1310</v>
      </c>
      <c r="D93" t="s">
        <v>1311</v>
      </c>
      <c r="E93" t="s">
        <v>1312</v>
      </c>
      <c r="F93" t="s">
        <v>1313</v>
      </c>
      <c r="G93" t="s">
        <v>1314</v>
      </c>
      <c r="H93" t="s">
        <v>1315</v>
      </c>
      <c r="I93" t="s">
        <v>1316</v>
      </c>
      <c r="J93" t="s">
        <v>1317</v>
      </c>
      <c r="K93" t="s">
        <v>1318</v>
      </c>
      <c r="L93" s="25" t="s">
        <v>1319</v>
      </c>
    </row>
    <row r="94" spans="2:13" x14ac:dyDescent="0.2">
      <c r="B94" s="62" t="s">
        <v>63</v>
      </c>
      <c r="C94" t="s">
        <v>1320</v>
      </c>
      <c r="D94" t="s">
        <v>1321</v>
      </c>
      <c r="E94" t="s">
        <v>1322</v>
      </c>
      <c r="F94" t="s">
        <v>1323</v>
      </c>
      <c r="G94" t="s">
        <v>1324</v>
      </c>
      <c r="H94" t="s">
        <v>1325</v>
      </c>
      <c r="I94" t="s">
        <v>1323</v>
      </c>
      <c r="J94" t="s">
        <v>1326</v>
      </c>
      <c r="K94" t="s">
        <v>1327</v>
      </c>
      <c r="L94" s="25" t="s">
        <v>1323</v>
      </c>
    </row>
    <row r="95" spans="2:13" x14ac:dyDescent="0.2">
      <c r="B95" s="62" t="s">
        <v>71</v>
      </c>
      <c r="C95" t="s">
        <v>1328</v>
      </c>
      <c r="D95" t="s">
        <v>1329</v>
      </c>
      <c r="E95" t="s">
        <v>1330</v>
      </c>
      <c r="F95" t="s">
        <v>1331</v>
      </c>
      <c r="G95" t="s">
        <v>1332</v>
      </c>
      <c r="H95" t="s">
        <v>1333</v>
      </c>
      <c r="I95" t="s">
        <v>1331</v>
      </c>
      <c r="J95" t="s">
        <v>1334</v>
      </c>
      <c r="K95" t="s">
        <v>1335</v>
      </c>
      <c r="L95" s="25" t="s">
        <v>1331</v>
      </c>
    </row>
    <row r="96" spans="2:13" x14ac:dyDescent="0.2">
      <c r="B96" s="62" t="s">
        <v>81</v>
      </c>
      <c r="C96" t="s">
        <v>1336</v>
      </c>
      <c r="D96" t="s">
        <v>1337</v>
      </c>
      <c r="E96" t="s">
        <v>1338</v>
      </c>
      <c r="F96" t="s">
        <v>1339</v>
      </c>
      <c r="G96" t="s">
        <v>1340</v>
      </c>
      <c r="H96" t="s">
        <v>1341</v>
      </c>
      <c r="I96" t="s">
        <v>1342</v>
      </c>
      <c r="J96" t="s">
        <v>1343</v>
      </c>
      <c r="K96" t="s">
        <v>1344</v>
      </c>
      <c r="L96" s="25" t="s">
        <v>1345</v>
      </c>
    </row>
    <row r="97" spans="2:12" x14ac:dyDescent="0.2">
      <c r="B97" s="62" t="s">
        <v>75</v>
      </c>
      <c r="C97" t="s">
        <v>1346</v>
      </c>
      <c r="D97" t="s">
        <v>1347</v>
      </c>
      <c r="E97" t="s">
        <v>1348</v>
      </c>
      <c r="F97" t="s">
        <v>1349</v>
      </c>
      <c r="G97" t="s">
        <v>1350</v>
      </c>
      <c r="H97" t="s">
        <v>1350</v>
      </c>
      <c r="I97" t="s">
        <v>1351</v>
      </c>
      <c r="J97" t="s">
        <v>1352</v>
      </c>
      <c r="K97" t="s">
        <v>1353</v>
      </c>
      <c r="L97" s="25" t="s">
        <v>1354</v>
      </c>
    </row>
    <row r="98" spans="2:12" x14ac:dyDescent="0.2">
      <c r="B98" s="24" t="s">
        <v>1355</v>
      </c>
      <c r="C98" t="s">
        <v>1356</v>
      </c>
      <c r="D98" t="s">
        <v>1357</v>
      </c>
      <c r="E98" t="s">
        <v>1358</v>
      </c>
      <c r="F98" t="s">
        <v>1359</v>
      </c>
      <c r="G98" t="s">
        <v>1360</v>
      </c>
      <c r="H98" t="s">
        <v>1361</v>
      </c>
      <c r="I98" t="s">
        <v>1362</v>
      </c>
      <c r="J98" t="s">
        <v>1363</v>
      </c>
      <c r="K98" t="s">
        <v>1364</v>
      </c>
      <c r="L98" s="25" t="s">
        <v>1365</v>
      </c>
    </row>
    <row r="99" spans="2:12" x14ac:dyDescent="0.2">
      <c r="B99" s="24" t="s">
        <v>1366</v>
      </c>
      <c r="C99" t="s">
        <v>1367</v>
      </c>
      <c r="D99" t="s">
        <v>1368</v>
      </c>
      <c r="E99" t="s">
        <v>1369</v>
      </c>
      <c r="F99" t="s">
        <v>1370</v>
      </c>
      <c r="G99" t="s">
        <v>1371</v>
      </c>
      <c r="H99" t="s">
        <v>1372</v>
      </c>
      <c r="I99" t="s">
        <v>1373</v>
      </c>
      <c r="J99" t="s">
        <v>1374</v>
      </c>
      <c r="K99" t="s">
        <v>1375</v>
      </c>
      <c r="L99" s="129" t="s">
        <v>412</v>
      </c>
    </row>
    <row r="100" spans="2:12" x14ac:dyDescent="0.2">
      <c r="B100" s="24" t="s">
        <v>1376</v>
      </c>
      <c r="C100" s="131" t="s">
        <v>1377</v>
      </c>
      <c r="D100" s="131" t="s">
        <v>1378</v>
      </c>
      <c r="E100" s="131" t="s">
        <v>1379</v>
      </c>
      <c r="F100" s="131" t="s">
        <v>1380</v>
      </c>
      <c r="G100" s="131" t="s">
        <v>1381</v>
      </c>
      <c r="H100" s="131" t="s">
        <v>1382</v>
      </c>
      <c r="I100" s="131" t="s">
        <v>1383</v>
      </c>
      <c r="J100" s="131" t="s">
        <v>1384</v>
      </c>
      <c r="K100" s="131" t="s">
        <v>1385</v>
      </c>
      <c r="L100" s="129" t="s">
        <v>1386</v>
      </c>
    </row>
    <row r="101" spans="2:12" x14ac:dyDescent="0.2">
      <c r="B101" s="24" t="s">
        <v>1387</v>
      </c>
      <c r="C101" t="s">
        <v>1388</v>
      </c>
      <c r="D101" t="s">
        <v>1389</v>
      </c>
      <c r="E101" t="s">
        <v>1390</v>
      </c>
      <c r="F101" t="s">
        <v>1391</v>
      </c>
      <c r="G101" t="s">
        <v>1392</v>
      </c>
      <c r="H101" t="s">
        <v>1393</v>
      </c>
      <c r="I101" t="s">
        <v>1394</v>
      </c>
      <c r="J101" t="s">
        <v>1395</v>
      </c>
      <c r="K101" t="s">
        <v>1396</v>
      </c>
      <c r="L101" s="129" t="s">
        <v>1397</v>
      </c>
    </row>
    <row r="102" spans="2:12" x14ac:dyDescent="0.2">
      <c r="B102" s="24" t="s">
        <v>1398</v>
      </c>
      <c r="C102" t="s">
        <v>1399</v>
      </c>
      <c r="D102" t="s">
        <v>1400</v>
      </c>
      <c r="E102" t="s">
        <v>1401</v>
      </c>
      <c r="F102" t="s">
        <v>1402</v>
      </c>
      <c r="G102" t="s">
        <v>1403</v>
      </c>
      <c r="H102" t="s">
        <v>1404</v>
      </c>
      <c r="I102" t="s">
        <v>4499</v>
      </c>
      <c r="J102" t="s">
        <v>1405</v>
      </c>
      <c r="K102" t="s">
        <v>1406</v>
      </c>
      <c r="L102" s="25" t="s">
        <v>1407</v>
      </c>
    </row>
    <row r="103" spans="2:12" x14ac:dyDescent="0.2">
      <c r="B103" s="24" t="s">
        <v>1408</v>
      </c>
      <c r="C103" t="s">
        <v>1409</v>
      </c>
      <c r="D103" t="s">
        <v>1409</v>
      </c>
      <c r="E103" t="s">
        <v>1410</v>
      </c>
      <c r="F103" t="s">
        <v>1411</v>
      </c>
      <c r="G103" t="s">
        <v>1412</v>
      </c>
      <c r="H103" t="s">
        <v>1408</v>
      </c>
      <c r="I103" t="s">
        <v>1411</v>
      </c>
      <c r="J103" t="s">
        <v>1413</v>
      </c>
      <c r="K103" t="s">
        <v>1414</v>
      </c>
      <c r="L103" s="130" t="s">
        <v>1411</v>
      </c>
    </row>
    <row r="104" spans="2:12" x14ac:dyDescent="0.2">
      <c r="B104" s="24" t="s">
        <v>1415</v>
      </c>
      <c r="C104" t="s">
        <v>1416</v>
      </c>
      <c r="D104" t="s">
        <v>1416</v>
      </c>
      <c r="E104" t="s">
        <v>1417</v>
      </c>
      <c r="F104" t="s">
        <v>1418</v>
      </c>
      <c r="G104" t="s">
        <v>1419</v>
      </c>
      <c r="H104" t="s">
        <v>1420</v>
      </c>
      <c r="I104" t="s">
        <v>1421</v>
      </c>
      <c r="J104" t="s">
        <v>1422</v>
      </c>
      <c r="K104" t="s">
        <v>1423</v>
      </c>
      <c r="L104" s="25" t="s">
        <v>1424</v>
      </c>
    </row>
    <row r="105" spans="2:12" x14ac:dyDescent="0.2">
      <c r="B105" s="24" t="s">
        <v>1425</v>
      </c>
      <c r="C105" t="s">
        <v>1426</v>
      </c>
      <c r="D105" t="s">
        <v>1427</v>
      </c>
      <c r="E105" t="s">
        <v>1428</v>
      </c>
      <c r="F105" t="s">
        <v>1429</v>
      </c>
      <c r="G105" t="s">
        <v>1430</v>
      </c>
      <c r="H105" t="s">
        <v>1431</v>
      </c>
      <c r="I105" t="s">
        <v>1432</v>
      </c>
      <c r="J105" t="s">
        <v>1433</v>
      </c>
      <c r="K105" t="s">
        <v>1434</v>
      </c>
      <c r="L105" s="25" t="s">
        <v>1435</v>
      </c>
    </row>
    <row r="106" spans="2:12" x14ac:dyDescent="0.2">
      <c r="B106" s="24" t="s">
        <v>546</v>
      </c>
      <c r="C106" t="s">
        <v>547</v>
      </c>
      <c r="D106" t="s">
        <v>548</v>
      </c>
      <c r="E106" t="s">
        <v>549</v>
      </c>
      <c r="F106" t="s">
        <v>550</v>
      </c>
      <c r="G106" t="s">
        <v>551</v>
      </c>
      <c r="H106" t="s">
        <v>552</v>
      </c>
      <c r="I106" t="s">
        <v>553</v>
      </c>
      <c r="J106" t="s">
        <v>554</v>
      </c>
      <c r="K106" t="s">
        <v>555</v>
      </c>
      <c r="L106" s="25" t="s">
        <v>556</v>
      </c>
    </row>
    <row r="107" spans="2:12" x14ac:dyDescent="0.2">
      <c r="B107" s="24" t="s">
        <v>4469</v>
      </c>
      <c r="C107" t="s">
        <v>1436</v>
      </c>
      <c r="D107" t="s">
        <v>1437</v>
      </c>
      <c r="E107" t="s">
        <v>1438</v>
      </c>
      <c r="F107" t="s">
        <v>1439</v>
      </c>
      <c r="G107" t="s">
        <v>1440</v>
      </c>
      <c r="H107" t="s">
        <v>1441</v>
      </c>
      <c r="I107" t="s">
        <v>4500</v>
      </c>
      <c r="J107" t="s">
        <v>1442</v>
      </c>
      <c r="K107" t="s">
        <v>1443</v>
      </c>
      <c r="L107" s="25" t="s">
        <v>1444</v>
      </c>
    </row>
    <row r="108" spans="2:12" x14ac:dyDescent="0.2">
      <c r="B108" s="24" t="s">
        <v>570</v>
      </c>
      <c r="C108" t="s">
        <v>571</v>
      </c>
      <c r="D108" t="s">
        <v>572</v>
      </c>
      <c r="E108" t="s">
        <v>573</v>
      </c>
      <c r="F108" t="s">
        <v>574</v>
      </c>
      <c r="G108" t="s">
        <v>575</v>
      </c>
      <c r="H108" t="s">
        <v>576</v>
      </c>
      <c r="I108" t="s">
        <v>577</v>
      </c>
      <c r="J108" t="s">
        <v>578</v>
      </c>
      <c r="K108" t="s">
        <v>579</v>
      </c>
      <c r="L108" s="25" t="s">
        <v>580</v>
      </c>
    </row>
    <row r="109" spans="2:12" x14ac:dyDescent="0.2">
      <c r="B109" s="24" t="s">
        <v>1445</v>
      </c>
      <c r="C109" t="s">
        <v>1446</v>
      </c>
      <c r="D109" t="s">
        <v>1447</v>
      </c>
      <c r="E109" t="s">
        <v>1448</v>
      </c>
      <c r="F109" t="s">
        <v>1449</v>
      </c>
      <c r="G109" t="s">
        <v>1450</v>
      </c>
      <c r="H109" t="s">
        <v>1451</v>
      </c>
      <c r="I109" t="s">
        <v>4501</v>
      </c>
      <c r="J109" t="s">
        <v>1452</v>
      </c>
      <c r="K109" t="s">
        <v>1453</v>
      </c>
      <c r="L109" s="25" t="s">
        <v>1454</v>
      </c>
    </row>
    <row r="110" spans="2:12" x14ac:dyDescent="0.2">
      <c r="B110" s="24" t="s">
        <v>583</v>
      </c>
      <c r="C110" t="s">
        <v>584</v>
      </c>
      <c r="D110" t="s">
        <v>585</v>
      </c>
      <c r="E110" t="s">
        <v>586</v>
      </c>
      <c r="F110" t="s">
        <v>587</v>
      </c>
      <c r="G110" t="s">
        <v>588</v>
      </c>
      <c r="H110" t="s">
        <v>589</v>
      </c>
      <c r="I110" t="s">
        <v>590</v>
      </c>
      <c r="J110" t="s">
        <v>591</v>
      </c>
      <c r="K110" t="s">
        <v>592</v>
      </c>
      <c r="L110" s="25" t="s">
        <v>593</v>
      </c>
    </row>
    <row r="111" spans="2:12" x14ac:dyDescent="0.2">
      <c r="B111" s="24" t="s">
        <v>1455</v>
      </c>
      <c r="C111" t="s">
        <v>1456</v>
      </c>
      <c r="D111" t="s">
        <v>1457</v>
      </c>
      <c r="E111" t="s">
        <v>1458</v>
      </c>
      <c r="F111" t="s">
        <v>1459</v>
      </c>
      <c r="G111" t="s">
        <v>1460</v>
      </c>
      <c r="H111" t="s">
        <v>1461</v>
      </c>
      <c r="I111" t="s">
        <v>1462</v>
      </c>
      <c r="J111" t="s">
        <v>1463</v>
      </c>
      <c r="K111" t="s">
        <v>1464</v>
      </c>
      <c r="L111" s="25" t="s">
        <v>1465</v>
      </c>
    </row>
    <row r="112" spans="2:12" x14ac:dyDescent="0.2">
      <c r="B112" s="24" t="s">
        <v>1466</v>
      </c>
      <c r="C112" t="s">
        <v>631</v>
      </c>
      <c r="D112" t="s">
        <v>632</v>
      </c>
      <c r="E112" t="s">
        <v>633</v>
      </c>
      <c r="F112" t="s">
        <v>634</v>
      </c>
      <c r="G112" t="s">
        <v>635</v>
      </c>
      <c r="H112" t="s">
        <v>636</v>
      </c>
      <c r="I112" t="s">
        <v>4502</v>
      </c>
      <c r="J112" t="s">
        <v>4511</v>
      </c>
      <c r="K112" t="s">
        <v>637</v>
      </c>
      <c r="L112" s="25" t="s">
        <v>638</v>
      </c>
    </row>
    <row r="113" spans="2:12" x14ac:dyDescent="0.2">
      <c r="B113" s="24" t="s">
        <v>1467</v>
      </c>
      <c r="C113" t="s">
        <v>1468</v>
      </c>
      <c r="D113" t="s">
        <v>1469</v>
      </c>
      <c r="E113" t="s">
        <v>1470</v>
      </c>
      <c r="F113" t="s">
        <v>1471</v>
      </c>
      <c r="G113" t="s">
        <v>1472</v>
      </c>
      <c r="H113" t="s">
        <v>1473</v>
      </c>
      <c r="I113" t="s">
        <v>4503</v>
      </c>
      <c r="J113" t="s">
        <v>4510</v>
      </c>
      <c r="K113" t="s">
        <v>1474</v>
      </c>
      <c r="L113" s="25" t="s">
        <v>1475</v>
      </c>
    </row>
    <row r="114" spans="2:12" x14ac:dyDescent="0.2">
      <c r="B114" s="24" t="s">
        <v>1476</v>
      </c>
      <c r="C114" t="s">
        <v>1477</v>
      </c>
      <c r="D114" t="s">
        <v>1478</v>
      </c>
      <c r="E114" t="s">
        <v>1479</v>
      </c>
      <c r="F114" t="s">
        <v>1480</v>
      </c>
      <c r="G114" t="s">
        <v>1481</v>
      </c>
      <c r="H114" t="s">
        <v>1482</v>
      </c>
      <c r="I114" t="s">
        <v>1483</v>
      </c>
      <c r="J114" t="s">
        <v>1484</v>
      </c>
      <c r="K114" t="s">
        <v>1485</v>
      </c>
      <c r="L114" s="25" t="s">
        <v>1486</v>
      </c>
    </row>
    <row r="115" spans="2:12" x14ac:dyDescent="0.2">
      <c r="B115" s="24" t="s">
        <v>1487</v>
      </c>
      <c r="C115" t="s">
        <v>1488</v>
      </c>
      <c r="D115" t="s">
        <v>1489</v>
      </c>
      <c r="E115" t="s">
        <v>1490</v>
      </c>
      <c r="F115" t="s">
        <v>1491</v>
      </c>
      <c r="G115" t="s">
        <v>1492</v>
      </c>
      <c r="H115" t="s">
        <v>1493</v>
      </c>
      <c r="I115" t="s">
        <v>1494</v>
      </c>
      <c r="J115" t="s">
        <v>1495</v>
      </c>
      <c r="K115" t="s">
        <v>1496</v>
      </c>
      <c r="L115" s="25" t="s">
        <v>1497</v>
      </c>
    </row>
    <row r="116" spans="2:12" x14ac:dyDescent="0.2">
      <c r="B116" s="24" t="s">
        <v>1498</v>
      </c>
      <c r="C116" t="s">
        <v>1499</v>
      </c>
      <c r="D116" t="s">
        <v>1500</v>
      </c>
      <c r="E116" t="s">
        <v>1501</v>
      </c>
      <c r="F116" t="s">
        <v>1502</v>
      </c>
      <c r="G116" t="s">
        <v>1503</v>
      </c>
      <c r="H116" t="s">
        <v>1504</v>
      </c>
      <c r="I116" t="s">
        <v>1505</v>
      </c>
      <c r="J116" t="s">
        <v>1506</v>
      </c>
      <c r="K116" t="s">
        <v>1507</v>
      </c>
      <c r="L116" s="25" t="s">
        <v>1508</v>
      </c>
    </row>
    <row r="117" spans="2:12" x14ac:dyDescent="0.2">
      <c r="B117" s="24" t="s">
        <v>1509</v>
      </c>
      <c r="C117" t="s">
        <v>1510</v>
      </c>
      <c r="D117" t="s">
        <v>1511</v>
      </c>
      <c r="E117" t="s">
        <v>1512</v>
      </c>
      <c r="F117" t="s">
        <v>1513</v>
      </c>
      <c r="G117" t="s">
        <v>1514</v>
      </c>
      <c r="H117" t="s">
        <v>1515</v>
      </c>
      <c r="I117" t="s">
        <v>4504</v>
      </c>
      <c r="J117" t="s">
        <v>1516</v>
      </c>
      <c r="K117" t="s">
        <v>1517</v>
      </c>
      <c r="L117" s="25" t="s">
        <v>1518</v>
      </c>
    </row>
    <row r="118" spans="2:12" x14ac:dyDescent="0.2">
      <c r="B118" s="24" t="s">
        <v>1519</v>
      </c>
      <c r="C118" t="s">
        <v>1520</v>
      </c>
      <c r="D118" t="s">
        <v>1521</v>
      </c>
      <c r="E118" t="s">
        <v>1522</v>
      </c>
      <c r="F118" t="s">
        <v>1523</v>
      </c>
      <c r="G118" t="s">
        <v>1524</v>
      </c>
      <c r="H118" t="s">
        <v>1525</v>
      </c>
      <c r="I118" t="s">
        <v>1526</v>
      </c>
      <c r="J118" t="s">
        <v>1527</v>
      </c>
      <c r="K118" t="s">
        <v>1528</v>
      </c>
      <c r="L118" s="25" t="s">
        <v>1529</v>
      </c>
    </row>
    <row r="119" spans="2:12" x14ac:dyDescent="0.2">
      <c r="B119" s="24" t="s">
        <v>1530</v>
      </c>
      <c r="C119" t="s">
        <v>1531</v>
      </c>
      <c r="D119" t="s">
        <v>1532</v>
      </c>
      <c r="E119" t="s">
        <v>1533</v>
      </c>
      <c r="F119" t="s">
        <v>1534</v>
      </c>
      <c r="G119" t="s">
        <v>1535</v>
      </c>
      <c r="H119" t="s">
        <v>1536</v>
      </c>
      <c r="I119" t="s">
        <v>1537</v>
      </c>
      <c r="J119" t="s">
        <v>1538</v>
      </c>
      <c r="K119" t="s">
        <v>1539</v>
      </c>
      <c r="L119" s="25" t="s">
        <v>1540</v>
      </c>
    </row>
    <row r="120" spans="2:12" x14ac:dyDescent="0.2">
      <c r="B120" s="24" t="s">
        <v>1541</v>
      </c>
      <c r="C120" t="s">
        <v>1542</v>
      </c>
      <c r="D120" t="s">
        <v>1543</v>
      </c>
      <c r="E120" t="s">
        <v>1544</v>
      </c>
      <c r="F120" t="s">
        <v>1545</v>
      </c>
      <c r="G120" t="s">
        <v>1546</v>
      </c>
      <c r="H120" t="s">
        <v>1547</v>
      </c>
      <c r="I120" t="s">
        <v>1548</v>
      </c>
      <c r="J120" t="s">
        <v>1549</v>
      </c>
      <c r="K120" t="s">
        <v>1550</v>
      </c>
      <c r="L120" s="25" t="s">
        <v>1551</v>
      </c>
    </row>
    <row r="121" spans="2:12" x14ac:dyDescent="0.2">
      <c r="B121" s="24" t="s">
        <v>1552</v>
      </c>
      <c r="C121" t="s">
        <v>1553</v>
      </c>
      <c r="D121" t="s">
        <v>1554</v>
      </c>
      <c r="E121" t="s">
        <v>1555</v>
      </c>
      <c r="F121" t="s">
        <v>1556</v>
      </c>
      <c r="G121" t="s">
        <v>1557</v>
      </c>
      <c r="H121" t="s">
        <v>1558</v>
      </c>
      <c r="I121" t="s">
        <v>4505</v>
      </c>
      <c r="J121" t="s">
        <v>1559</v>
      </c>
      <c r="K121" t="s">
        <v>1560</v>
      </c>
      <c r="L121" s="25" t="s">
        <v>1561</v>
      </c>
    </row>
    <row r="122" spans="2:12" x14ac:dyDescent="0.2">
      <c r="B122" s="24" t="s">
        <v>1562</v>
      </c>
      <c r="C122" t="s">
        <v>1563</v>
      </c>
      <c r="D122" t="s">
        <v>1564</v>
      </c>
      <c r="E122" t="s">
        <v>1565</v>
      </c>
      <c r="F122" t="s">
        <v>1566</v>
      </c>
      <c r="G122" t="s">
        <v>1567</v>
      </c>
      <c r="H122" t="s">
        <v>1568</v>
      </c>
      <c r="I122" t="s">
        <v>1569</v>
      </c>
      <c r="J122" t="s">
        <v>1570</v>
      </c>
      <c r="K122" t="s">
        <v>1571</v>
      </c>
      <c r="L122" s="25" t="s">
        <v>1572</v>
      </c>
    </row>
    <row r="123" spans="2:12" x14ac:dyDescent="0.2">
      <c r="B123" s="24" t="s">
        <v>1573</v>
      </c>
      <c r="C123" t="s">
        <v>1574</v>
      </c>
      <c r="D123" t="s">
        <v>1575</v>
      </c>
      <c r="E123" t="s">
        <v>1576</v>
      </c>
      <c r="F123" t="s">
        <v>1573</v>
      </c>
      <c r="G123" t="s">
        <v>1577</v>
      </c>
      <c r="H123" t="s">
        <v>1578</v>
      </c>
      <c r="I123" t="s">
        <v>1573</v>
      </c>
      <c r="J123" t="s">
        <v>1579</v>
      </c>
      <c r="K123" t="s">
        <v>1580</v>
      </c>
      <c r="L123" s="25" t="s">
        <v>1573</v>
      </c>
    </row>
    <row r="124" spans="2:12" x14ac:dyDescent="0.2">
      <c r="B124" s="24" t="s">
        <v>1581</v>
      </c>
      <c r="C124" t="s">
        <v>1582</v>
      </c>
      <c r="D124" t="s">
        <v>1583</v>
      </c>
      <c r="E124" t="s">
        <v>1584</v>
      </c>
      <c r="F124" t="s">
        <v>1585</v>
      </c>
      <c r="G124" t="s">
        <v>1586</v>
      </c>
      <c r="H124" t="s">
        <v>1587</v>
      </c>
      <c r="I124" t="s">
        <v>1588</v>
      </c>
      <c r="J124" t="s">
        <v>1589</v>
      </c>
      <c r="K124" t="s">
        <v>1590</v>
      </c>
      <c r="L124" s="25" t="s">
        <v>1591</v>
      </c>
    </row>
    <row r="125" spans="2:12" x14ac:dyDescent="0.2">
      <c r="B125" s="24" t="s">
        <v>1592</v>
      </c>
      <c r="C125" t="s">
        <v>1593</v>
      </c>
      <c r="D125" t="s">
        <v>1594</v>
      </c>
      <c r="E125" t="s">
        <v>1595</v>
      </c>
      <c r="F125" t="s">
        <v>1596</v>
      </c>
      <c r="G125" t="s">
        <v>1597</v>
      </c>
      <c r="H125" t="s">
        <v>1598</v>
      </c>
      <c r="I125" t="s">
        <v>1599</v>
      </c>
      <c r="J125" t="s">
        <v>1600</v>
      </c>
      <c r="K125" t="s">
        <v>1601</v>
      </c>
      <c r="L125" s="25" t="s">
        <v>1602</v>
      </c>
    </row>
    <row r="126" spans="2:12" x14ac:dyDescent="0.2">
      <c r="B126" s="24" t="s">
        <v>1603</v>
      </c>
      <c r="C126" t="s">
        <v>1604</v>
      </c>
      <c r="D126" t="s">
        <v>1605</v>
      </c>
      <c r="E126" t="s">
        <v>1606</v>
      </c>
      <c r="F126" t="s">
        <v>1607</v>
      </c>
      <c r="G126" t="s">
        <v>1608</v>
      </c>
      <c r="H126" t="s">
        <v>1609</v>
      </c>
      <c r="I126" t="s">
        <v>1610</v>
      </c>
      <c r="J126" t="s">
        <v>1611</v>
      </c>
      <c r="K126" t="s">
        <v>1612</v>
      </c>
      <c r="L126" s="25" t="s">
        <v>1603</v>
      </c>
    </row>
    <row r="127" spans="2:12" x14ac:dyDescent="0.2">
      <c r="B127" s="24" t="s">
        <v>1613</v>
      </c>
      <c r="C127" t="s">
        <v>1614</v>
      </c>
      <c r="D127" t="s">
        <v>1615</v>
      </c>
      <c r="E127" t="s">
        <v>1616</v>
      </c>
      <c r="F127" t="s">
        <v>1617</v>
      </c>
      <c r="G127" t="s">
        <v>1618</v>
      </c>
      <c r="H127" t="s">
        <v>1619</v>
      </c>
      <c r="I127" t="s">
        <v>1620</v>
      </c>
      <c r="J127" t="s">
        <v>1621</v>
      </c>
      <c r="K127" t="s">
        <v>1622</v>
      </c>
      <c r="L127" s="25" t="s">
        <v>1623</v>
      </c>
    </row>
    <row r="128" spans="2:12" x14ac:dyDescent="0.2">
      <c r="B128" s="24" t="s">
        <v>1624</v>
      </c>
      <c r="C128" t="s">
        <v>1625</v>
      </c>
      <c r="D128" t="s">
        <v>1626</v>
      </c>
      <c r="E128" t="s">
        <v>1627</v>
      </c>
      <c r="F128" t="s">
        <v>1628</v>
      </c>
      <c r="G128" t="s">
        <v>1629</v>
      </c>
      <c r="H128" t="s">
        <v>1630</v>
      </c>
      <c r="I128" t="s">
        <v>1631</v>
      </c>
      <c r="J128" t="s">
        <v>1632</v>
      </c>
      <c r="K128" t="s">
        <v>1633</v>
      </c>
      <c r="L128" s="25" t="s">
        <v>1634</v>
      </c>
    </row>
    <row r="129" spans="2:12" x14ac:dyDescent="0.2">
      <c r="B129" s="24" t="s">
        <v>1635</v>
      </c>
      <c r="C129" t="s">
        <v>1636</v>
      </c>
      <c r="D129" t="s">
        <v>1636</v>
      </c>
      <c r="E129" t="s">
        <v>1637</v>
      </c>
      <c r="F129" t="s">
        <v>1638</v>
      </c>
      <c r="G129" t="s">
        <v>1639</v>
      </c>
      <c r="H129" t="s">
        <v>1640</v>
      </c>
      <c r="I129" t="s">
        <v>1641</v>
      </c>
      <c r="J129" t="s">
        <v>1642</v>
      </c>
      <c r="K129" t="s">
        <v>1643</v>
      </c>
      <c r="L129" s="25" t="s">
        <v>1644</v>
      </c>
    </row>
    <row r="130" spans="2:12" x14ac:dyDescent="0.2">
      <c r="B130" s="24" t="s">
        <v>1645</v>
      </c>
      <c r="C130" t="s">
        <v>1646</v>
      </c>
      <c r="D130" t="s">
        <v>1647</v>
      </c>
      <c r="E130" t="s">
        <v>1648</v>
      </c>
      <c r="F130" t="s">
        <v>1649</v>
      </c>
      <c r="G130" t="s">
        <v>1650</v>
      </c>
      <c r="H130" t="s">
        <v>1650</v>
      </c>
      <c r="I130" t="s">
        <v>1651</v>
      </c>
      <c r="J130" t="s">
        <v>1652</v>
      </c>
      <c r="K130" t="s">
        <v>1653</v>
      </c>
      <c r="L130" s="25" t="s">
        <v>1654</v>
      </c>
    </row>
    <row r="131" spans="2:12" x14ac:dyDescent="0.2">
      <c r="B131" s="24" t="s">
        <v>1655</v>
      </c>
      <c r="C131" t="s">
        <v>1656</v>
      </c>
      <c r="D131" t="s">
        <v>1657</v>
      </c>
      <c r="E131" t="s">
        <v>1655</v>
      </c>
      <c r="F131" t="s">
        <v>1655</v>
      </c>
      <c r="G131" t="s">
        <v>1655</v>
      </c>
      <c r="H131" t="s">
        <v>1655</v>
      </c>
      <c r="I131" t="s">
        <v>1655</v>
      </c>
      <c r="J131" t="s">
        <v>1655</v>
      </c>
      <c r="K131" t="s">
        <v>1655</v>
      </c>
      <c r="L131" s="25" t="s">
        <v>1658</v>
      </c>
    </row>
    <row r="132" spans="2:12" x14ac:dyDescent="0.2">
      <c r="B132" s="24" t="s">
        <v>1659</v>
      </c>
      <c r="C132" t="s">
        <v>1660</v>
      </c>
      <c r="D132" t="s">
        <v>1661</v>
      </c>
      <c r="E132" t="s">
        <v>1662</v>
      </c>
      <c r="F132" t="s">
        <v>1663</v>
      </c>
      <c r="G132" t="s">
        <v>1664</v>
      </c>
      <c r="H132" t="s">
        <v>1665</v>
      </c>
      <c r="I132" t="s">
        <v>1666</v>
      </c>
      <c r="J132" t="s">
        <v>1667</v>
      </c>
      <c r="K132" t="s">
        <v>1668</v>
      </c>
      <c r="L132" s="25" t="s">
        <v>1669</v>
      </c>
    </row>
    <row r="133" spans="2:12" x14ac:dyDescent="0.2">
      <c r="B133" s="24" t="s">
        <v>1670</v>
      </c>
      <c r="C133" t="s">
        <v>1671</v>
      </c>
      <c r="D133" t="s">
        <v>1672</v>
      </c>
      <c r="E133" t="s">
        <v>1673</v>
      </c>
      <c r="F133" t="s">
        <v>1674</v>
      </c>
      <c r="G133" t="s">
        <v>1675</v>
      </c>
      <c r="H133" t="s">
        <v>1670</v>
      </c>
      <c r="I133" t="s">
        <v>4506</v>
      </c>
      <c r="J133" t="s">
        <v>1676</v>
      </c>
      <c r="K133" t="s">
        <v>1677</v>
      </c>
      <c r="L133" s="25" t="s">
        <v>1678</v>
      </c>
    </row>
    <row r="134" spans="2:12" x14ac:dyDescent="0.2">
      <c r="B134" s="24" t="s">
        <v>1679</v>
      </c>
      <c r="C134" t="s">
        <v>1680</v>
      </c>
      <c r="D134" t="s">
        <v>1681</v>
      </c>
      <c r="E134" t="s">
        <v>1682</v>
      </c>
      <c r="F134" t="s">
        <v>1683</v>
      </c>
      <c r="G134" t="s">
        <v>1684</v>
      </c>
      <c r="H134" t="s">
        <v>1685</v>
      </c>
      <c r="I134" t="s">
        <v>1686</v>
      </c>
      <c r="J134" t="s">
        <v>1687</v>
      </c>
      <c r="K134" t="s">
        <v>1688</v>
      </c>
      <c r="L134" s="25" t="s">
        <v>1689</v>
      </c>
    </row>
    <row r="135" spans="2:12" x14ac:dyDescent="0.2">
      <c r="B135" s="24" t="s">
        <v>1690</v>
      </c>
      <c r="C135" t="s">
        <v>1691</v>
      </c>
      <c r="D135" t="s">
        <v>1691</v>
      </c>
      <c r="E135" t="s">
        <v>1690</v>
      </c>
      <c r="F135" t="s">
        <v>1690</v>
      </c>
      <c r="G135" t="s">
        <v>1690</v>
      </c>
      <c r="H135" t="s">
        <v>1690</v>
      </c>
      <c r="I135" t="s">
        <v>1690</v>
      </c>
      <c r="J135" t="s">
        <v>1690</v>
      </c>
      <c r="K135" t="s">
        <v>1690</v>
      </c>
      <c r="L135" s="25" t="s">
        <v>1692</v>
      </c>
    </row>
    <row r="136" spans="2:12" x14ac:dyDescent="0.2">
      <c r="B136" s="24" t="s">
        <v>1693</v>
      </c>
      <c r="C136" t="s">
        <v>1694</v>
      </c>
      <c r="D136" t="s">
        <v>1695</v>
      </c>
      <c r="E136" t="s">
        <v>1696</v>
      </c>
      <c r="F136" t="s">
        <v>1697</v>
      </c>
      <c r="G136" t="s">
        <v>1698</v>
      </c>
      <c r="H136" t="s">
        <v>1699</v>
      </c>
      <c r="I136" t="s">
        <v>1700</v>
      </c>
      <c r="J136" t="s">
        <v>1701</v>
      </c>
      <c r="K136" t="s">
        <v>1702</v>
      </c>
      <c r="L136" s="25" t="s">
        <v>1703</v>
      </c>
    </row>
    <row r="137" spans="2:12" x14ac:dyDescent="0.2">
      <c r="B137" s="24" t="s">
        <v>1704</v>
      </c>
      <c r="C137" t="s">
        <v>1705</v>
      </c>
      <c r="D137" t="s">
        <v>1706</v>
      </c>
      <c r="E137" t="s">
        <v>1707</v>
      </c>
      <c r="F137" t="s">
        <v>1708</v>
      </c>
      <c r="G137" t="s">
        <v>1709</v>
      </c>
      <c r="H137" t="s">
        <v>1710</v>
      </c>
      <c r="I137" t="s">
        <v>1711</v>
      </c>
      <c r="J137" t="s">
        <v>1712</v>
      </c>
      <c r="K137" t="s">
        <v>1713</v>
      </c>
      <c r="L137" s="25" t="s">
        <v>1714</v>
      </c>
    </row>
    <row r="138" spans="2:12" x14ac:dyDescent="0.2">
      <c r="B138" s="24" t="s">
        <v>1715</v>
      </c>
      <c r="C138" t="s">
        <v>1716</v>
      </c>
      <c r="D138" t="s">
        <v>1717</v>
      </c>
      <c r="E138" t="s">
        <v>1718</v>
      </c>
      <c r="F138" t="s">
        <v>1719</v>
      </c>
      <c r="G138" t="s">
        <v>1720</v>
      </c>
      <c r="H138" t="s">
        <v>1721</v>
      </c>
      <c r="I138" t="s">
        <v>1722</v>
      </c>
      <c r="J138" t="s">
        <v>1723</v>
      </c>
      <c r="K138" t="s">
        <v>1724</v>
      </c>
      <c r="L138" s="25" t="s">
        <v>1725</v>
      </c>
    </row>
    <row r="139" spans="2:12" x14ac:dyDescent="0.2">
      <c r="B139" s="24" t="s">
        <v>1726</v>
      </c>
      <c r="C139" t="s">
        <v>1727</v>
      </c>
      <c r="D139" t="s">
        <v>1728</v>
      </c>
      <c r="E139" t="s">
        <v>1729</v>
      </c>
      <c r="F139" t="s">
        <v>1730</v>
      </c>
      <c r="G139" t="s">
        <v>1731</v>
      </c>
      <c r="H139" t="s">
        <v>1732</v>
      </c>
      <c r="I139" t="s">
        <v>1733</v>
      </c>
      <c r="J139" t="s">
        <v>1734</v>
      </c>
      <c r="K139" t="s">
        <v>1735</v>
      </c>
      <c r="L139" s="25" t="s">
        <v>1736</v>
      </c>
    </row>
    <row r="140" spans="2:12" x14ac:dyDescent="0.2">
      <c r="B140" s="24" t="s">
        <v>1737</v>
      </c>
      <c r="C140" t="s">
        <v>1738</v>
      </c>
      <c r="D140" t="s">
        <v>1739</v>
      </c>
      <c r="E140" t="s">
        <v>1740</v>
      </c>
      <c r="F140" t="s">
        <v>1741</v>
      </c>
      <c r="G140" t="s">
        <v>1742</v>
      </c>
      <c r="H140" t="s">
        <v>1743</v>
      </c>
      <c r="I140" t="s">
        <v>1744</v>
      </c>
      <c r="J140" t="s">
        <v>1745</v>
      </c>
      <c r="K140" t="s">
        <v>1746</v>
      </c>
      <c r="L140" s="25" t="s">
        <v>1747</v>
      </c>
    </row>
    <row r="141" spans="2:12" x14ac:dyDescent="0.2">
      <c r="B141" s="24" t="s">
        <v>1748</v>
      </c>
      <c r="C141" t="s">
        <v>1749</v>
      </c>
      <c r="D141" t="s">
        <v>1750</v>
      </c>
      <c r="E141" t="s">
        <v>1751</v>
      </c>
      <c r="F141" t="s">
        <v>1752</v>
      </c>
      <c r="G141" t="s">
        <v>1753</v>
      </c>
      <c r="H141" t="s">
        <v>1754</v>
      </c>
      <c r="I141" t="s">
        <v>1755</v>
      </c>
      <c r="J141" t="s">
        <v>1756</v>
      </c>
      <c r="K141" t="s">
        <v>1757</v>
      </c>
      <c r="L141" s="25" t="s">
        <v>1758</v>
      </c>
    </row>
    <row r="142" spans="2:12" x14ac:dyDescent="0.2">
      <c r="B142" s="24" t="s">
        <v>1759</v>
      </c>
      <c r="C142" t="s">
        <v>1760</v>
      </c>
      <c r="D142" t="s">
        <v>1761</v>
      </c>
      <c r="E142" t="s">
        <v>1762</v>
      </c>
      <c r="F142" t="s">
        <v>1763</v>
      </c>
      <c r="G142" t="s">
        <v>1764</v>
      </c>
      <c r="H142" t="s">
        <v>1765</v>
      </c>
      <c r="I142" t="s">
        <v>1766</v>
      </c>
      <c r="J142" t="s">
        <v>1767</v>
      </c>
      <c r="K142" t="s">
        <v>1768</v>
      </c>
      <c r="L142" s="25" t="s">
        <v>1769</v>
      </c>
    </row>
    <row r="143" spans="2:12" x14ac:dyDescent="0.2">
      <c r="B143" s="24" t="s">
        <v>1770</v>
      </c>
      <c r="C143" t="s">
        <v>1771</v>
      </c>
      <c r="D143" t="s">
        <v>1772</v>
      </c>
      <c r="E143" t="s">
        <v>1773</v>
      </c>
      <c r="F143" t="s">
        <v>1774</v>
      </c>
      <c r="G143" t="s">
        <v>1775</v>
      </c>
      <c r="H143" t="s">
        <v>1776</v>
      </c>
      <c r="I143" t="s">
        <v>1777</v>
      </c>
      <c r="J143" t="s">
        <v>1778</v>
      </c>
      <c r="K143" t="s">
        <v>1779</v>
      </c>
      <c r="L143" s="25" t="s">
        <v>1780</v>
      </c>
    </row>
    <row r="144" spans="2:12" x14ac:dyDescent="0.2">
      <c r="B144" s="24" t="s">
        <v>1781</v>
      </c>
      <c r="C144" t="s">
        <v>1782</v>
      </c>
      <c r="D144" t="s">
        <v>1783</v>
      </c>
      <c r="E144" t="s">
        <v>1784</v>
      </c>
      <c r="F144" t="s">
        <v>1785</v>
      </c>
      <c r="G144" t="s">
        <v>1786</v>
      </c>
      <c r="H144" t="s">
        <v>1787</v>
      </c>
      <c r="I144" t="s">
        <v>1788</v>
      </c>
      <c r="J144" t="s">
        <v>1789</v>
      </c>
      <c r="K144" t="s">
        <v>1790</v>
      </c>
      <c r="L144" s="25" t="s">
        <v>1791</v>
      </c>
    </row>
    <row r="145" spans="2:12" x14ac:dyDescent="0.2">
      <c r="B145" s="24" t="s">
        <v>1792</v>
      </c>
      <c r="C145" t="s">
        <v>1793</v>
      </c>
      <c r="D145" t="s">
        <v>1794</v>
      </c>
      <c r="E145" t="s">
        <v>1795</v>
      </c>
      <c r="F145" t="s">
        <v>1796</v>
      </c>
      <c r="G145" t="s">
        <v>1797</v>
      </c>
      <c r="H145" t="s">
        <v>1798</v>
      </c>
      <c r="I145" t="s">
        <v>1799</v>
      </c>
      <c r="J145" t="s">
        <v>1800</v>
      </c>
      <c r="K145" t="s">
        <v>1801</v>
      </c>
      <c r="L145" s="25" t="s">
        <v>1802</v>
      </c>
    </row>
    <row r="146" spans="2:12" x14ac:dyDescent="0.2">
      <c r="B146" s="24" t="s">
        <v>1803</v>
      </c>
      <c r="C146" t="s">
        <v>1804</v>
      </c>
      <c r="D146" t="s">
        <v>1805</v>
      </c>
      <c r="E146" t="s">
        <v>1806</v>
      </c>
      <c r="F146" t="s">
        <v>1807</v>
      </c>
      <c r="G146" t="s">
        <v>1808</v>
      </c>
      <c r="H146" t="s">
        <v>1809</v>
      </c>
      <c r="I146" t="s">
        <v>1810</v>
      </c>
      <c r="J146" t="s">
        <v>1811</v>
      </c>
      <c r="K146" t="s">
        <v>1812</v>
      </c>
      <c r="L146" s="25" t="s">
        <v>1813</v>
      </c>
    </row>
    <row r="147" spans="2:12" x14ac:dyDescent="0.2">
      <c r="B147" s="24" t="s">
        <v>1814</v>
      </c>
      <c r="C147" t="s">
        <v>1815</v>
      </c>
      <c r="D147" t="s">
        <v>1816</v>
      </c>
      <c r="E147" t="s">
        <v>1817</v>
      </c>
      <c r="F147" t="s">
        <v>1818</v>
      </c>
      <c r="G147" t="s">
        <v>1819</v>
      </c>
      <c r="H147" t="s">
        <v>1820</v>
      </c>
      <c r="I147" t="s">
        <v>1821</v>
      </c>
      <c r="J147" t="s">
        <v>1822</v>
      </c>
      <c r="K147" t="s">
        <v>1823</v>
      </c>
      <c r="L147" s="25" t="s">
        <v>1824</v>
      </c>
    </row>
    <row r="148" spans="2:12" x14ac:dyDescent="0.2">
      <c r="B148" s="24" t="s">
        <v>1825</v>
      </c>
      <c r="C148" t="s">
        <v>1826</v>
      </c>
      <c r="D148" t="s">
        <v>1826</v>
      </c>
      <c r="E148" t="s">
        <v>1827</v>
      </c>
      <c r="F148" t="s">
        <v>1828</v>
      </c>
      <c r="G148" t="s">
        <v>1829</v>
      </c>
      <c r="H148" t="s">
        <v>1830</v>
      </c>
      <c r="I148" t="s">
        <v>1831</v>
      </c>
      <c r="J148" t="s">
        <v>1832</v>
      </c>
      <c r="K148" t="s">
        <v>1833</v>
      </c>
      <c r="L148" s="25" t="s">
        <v>1834</v>
      </c>
    </row>
    <row r="149" spans="2:12" x14ac:dyDescent="0.2">
      <c r="B149" s="24" t="s">
        <v>1835</v>
      </c>
      <c r="C149" t="s">
        <v>1836</v>
      </c>
      <c r="D149" t="s">
        <v>1837</v>
      </c>
      <c r="E149" t="s">
        <v>1838</v>
      </c>
      <c r="F149" t="s">
        <v>1839</v>
      </c>
      <c r="G149" t="s">
        <v>1840</v>
      </c>
      <c r="H149" t="s">
        <v>1841</v>
      </c>
      <c r="I149" t="s">
        <v>1842</v>
      </c>
      <c r="J149" t="s">
        <v>1843</v>
      </c>
      <c r="K149" t="s">
        <v>1844</v>
      </c>
      <c r="L149" s="25" t="s">
        <v>1845</v>
      </c>
    </row>
    <row r="150" spans="2:12" x14ac:dyDescent="0.2">
      <c r="B150" s="24" t="s">
        <v>1846</v>
      </c>
      <c r="C150" t="s">
        <v>1847</v>
      </c>
      <c r="D150" t="s">
        <v>1847</v>
      </c>
      <c r="E150" t="s">
        <v>1848</v>
      </c>
      <c r="F150" t="s">
        <v>1849</v>
      </c>
      <c r="G150" t="s">
        <v>1850</v>
      </c>
      <c r="H150" t="s">
        <v>1851</v>
      </c>
      <c r="I150" t="s">
        <v>1852</v>
      </c>
      <c r="J150" t="s">
        <v>1853</v>
      </c>
      <c r="K150" t="s">
        <v>1854</v>
      </c>
      <c r="L150" s="25" t="s">
        <v>1855</v>
      </c>
    </row>
    <row r="151" spans="2:12" x14ac:dyDescent="0.2">
      <c r="B151" s="24" t="s">
        <v>1856</v>
      </c>
      <c r="C151" t="s">
        <v>1857</v>
      </c>
      <c r="D151" t="s">
        <v>1858</v>
      </c>
      <c r="E151" t="s">
        <v>1859</v>
      </c>
      <c r="F151" t="s">
        <v>1860</v>
      </c>
      <c r="G151" t="s">
        <v>1861</v>
      </c>
      <c r="H151" t="s">
        <v>1862</v>
      </c>
      <c r="I151" t="s">
        <v>1863</v>
      </c>
      <c r="J151" t="s">
        <v>1864</v>
      </c>
      <c r="K151" t="s">
        <v>1865</v>
      </c>
      <c r="L151" s="25" t="s">
        <v>1866</v>
      </c>
    </row>
    <row r="152" spans="2:12" x14ac:dyDescent="0.2">
      <c r="B152" s="24" t="s">
        <v>1867</v>
      </c>
      <c r="C152" t="s">
        <v>1868</v>
      </c>
      <c r="D152" t="s">
        <v>1869</v>
      </c>
      <c r="E152" t="s">
        <v>1870</v>
      </c>
      <c r="F152" t="s">
        <v>1871</v>
      </c>
      <c r="G152" t="s">
        <v>1872</v>
      </c>
      <c r="H152" t="s">
        <v>1873</v>
      </c>
      <c r="I152" t="s">
        <v>1874</v>
      </c>
      <c r="J152" t="s">
        <v>1875</v>
      </c>
      <c r="K152" t="s">
        <v>1876</v>
      </c>
      <c r="L152" s="25" t="s">
        <v>1877</v>
      </c>
    </row>
    <row r="153" spans="2:12" x14ac:dyDescent="0.2">
      <c r="B153" s="24" t="s">
        <v>1878</v>
      </c>
      <c r="C153" t="s">
        <v>1879</v>
      </c>
      <c r="D153" t="s">
        <v>1880</v>
      </c>
      <c r="E153" t="s">
        <v>1881</v>
      </c>
      <c r="F153" t="s">
        <v>1882</v>
      </c>
      <c r="G153" t="s">
        <v>1883</v>
      </c>
      <c r="H153" t="s">
        <v>1884</v>
      </c>
      <c r="I153" t="s">
        <v>1885</v>
      </c>
      <c r="J153" t="s">
        <v>1886</v>
      </c>
      <c r="K153" t="s">
        <v>1887</v>
      </c>
      <c r="L153" s="25" t="s">
        <v>1888</v>
      </c>
    </row>
    <row r="154" spans="2:12" x14ac:dyDescent="0.2">
      <c r="B154" s="24" t="s">
        <v>1889</v>
      </c>
      <c r="C154" t="s">
        <v>1890</v>
      </c>
      <c r="D154" t="s">
        <v>1891</v>
      </c>
      <c r="E154" t="s">
        <v>1892</v>
      </c>
      <c r="F154" t="s">
        <v>1893</v>
      </c>
      <c r="G154" t="s">
        <v>1894</v>
      </c>
      <c r="H154" t="s">
        <v>1895</v>
      </c>
      <c r="I154" t="s">
        <v>1896</v>
      </c>
      <c r="J154" t="s">
        <v>1897</v>
      </c>
      <c r="K154" t="s">
        <v>1898</v>
      </c>
      <c r="L154" s="25" t="s">
        <v>1899</v>
      </c>
    </row>
    <row r="155" spans="2:12" x14ac:dyDescent="0.2">
      <c r="B155" s="24" t="s">
        <v>1900</v>
      </c>
      <c r="C155" t="s">
        <v>1901</v>
      </c>
      <c r="D155" t="s">
        <v>1902</v>
      </c>
      <c r="E155" t="s">
        <v>1903</v>
      </c>
      <c r="F155" t="s">
        <v>1904</v>
      </c>
      <c r="G155" t="s">
        <v>1905</v>
      </c>
      <c r="H155" t="s">
        <v>1906</v>
      </c>
      <c r="I155" t="s">
        <v>1907</v>
      </c>
      <c r="J155" t="s">
        <v>1900</v>
      </c>
      <c r="K155" t="s">
        <v>1908</v>
      </c>
      <c r="L155" s="25" t="s">
        <v>1909</v>
      </c>
    </row>
    <row r="156" spans="2:12" x14ac:dyDescent="0.2">
      <c r="B156" s="24" t="s">
        <v>1910</v>
      </c>
      <c r="C156" t="s">
        <v>1911</v>
      </c>
      <c r="D156" t="s">
        <v>1912</v>
      </c>
      <c r="E156" t="s">
        <v>1913</v>
      </c>
      <c r="F156" t="s">
        <v>1914</v>
      </c>
      <c r="G156" t="s">
        <v>1915</v>
      </c>
      <c r="H156" t="s">
        <v>1916</v>
      </c>
      <c r="I156" t="s">
        <v>1917</v>
      </c>
      <c r="J156" t="s">
        <v>1910</v>
      </c>
      <c r="K156" t="s">
        <v>1918</v>
      </c>
      <c r="L156" s="25" t="s">
        <v>1919</v>
      </c>
    </row>
    <row r="157" spans="2:12" x14ac:dyDescent="0.2">
      <c r="B157" s="24" t="s">
        <v>1920</v>
      </c>
      <c r="C157" t="s">
        <v>1083</v>
      </c>
      <c r="D157" t="s">
        <v>1084</v>
      </c>
      <c r="E157" t="s">
        <v>1921</v>
      </c>
      <c r="F157" t="s">
        <v>1922</v>
      </c>
      <c r="G157" t="s">
        <v>1923</v>
      </c>
      <c r="H157" t="s">
        <v>1924</v>
      </c>
      <c r="I157" t="s">
        <v>1925</v>
      </c>
      <c r="J157" t="s">
        <v>1926</v>
      </c>
      <c r="K157" t="s">
        <v>1927</v>
      </c>
      <c r="L157" s="25" t="s">
        <v>1928</v>
      </c>
    </row>
    <row r="158" spans="2:12" x14ac:dyDescent="0.2">
      <c r="B158" s="24" t="s">
        <v>1929</v>
      </c>
      <c r="C158" t="s">
        <v>1930</v>
      </c>
      <c r="D158" t="s">
        <v>1931</v>
      </c>
      <c r="E158" t="s">
        <v>1932</v>
      </c>
      <c r="F158" t="s">
        <v>1933</v>
      </c>
      <c r="G158" t="s">
        <v>1929</v>
      </c>
      <c r="H158" t="s">
        <v>1934</v>
      </c>
      <c r="I158" t="s">
        <v>1935</v>
      </c>
      <c r="J158" t="s">
        <v>1936</v>
      </c>
      <c r="K158" t="s">
        <v>1937</v>
      </c>
      <c r="L158" s="25" t="s">
        <v>1938</v>
      </c>
    </row>
    <row r="159" spans="2:12" x14ac:dyDescent="0.2">
      <c r="B159" s="24" t="s">
        <v>1939</v>
      </c>
      <c r="C159" t="s">
        <v>1940</v>
      </c>
      <c r="D159" t="s">
        <v>1941</v>
      </c>
      <c r="E159" t="s">
        <v>1942</v>
      </c>
      <c r="F159" t="s">
        <v>1943</v>
      </c>
      <c r="G159" t="s">
        <v>1944</v>
      </c>
      <c r="H159" t="s">
        <v>1945</v>
      </c>
      <c r="I159" t="s">
        <v>1946</v>
      </c>
      <c r="J159" t="s">
        <v>1947</v>
      </c>
      <c r="K159" t="s">
        <v>1948</v>
      </c>
      <c r="L159" s="25" t="s">
        <v>1949</v>
      </c>
    </row>
    <row r="160" spans="2:12" x14ac:dyDescent="0.2">
      <c r="B160" s="24" t="s">
        <v>1950</v>
      </c>
      <c r="C160" t="s">
        <v>1951</v>
      </c>
      <c r="D160" t="s">
        <v>1952</v>
      </c>
      <c r="E160" t="s">
        <v>1953</v>
      </c>
      <c r="F160" t="s">
        <v>1954</v>
      </c>
      <c r="G160" t="s">
        <v>1955</v>
      </c>
      <c r="H160" t="s">
        <v>1956</v>
      </c>
      <c r="I160" t="s">
        <v>1957</v>
      </c>
      <c r="J160" t="s">
        <v>1958</v>
      </c>
      <c r="K160" t="s">
        <v>1959</v>
      </c>
      <c r="L160" s="25" t="s">
        <v>1960</v>
      </c>
    </row>
    <row r="161" spans="2:12" x14ac:dyDescent="0.2">
      <c r="B161" s="24" t="s">
        <v>1961</v>
      </c>
      <c r="C161" t="s">
        <v>1962</v>
      </c>
      <c r="D161" t="s">
        <v>1963</v>
      </c>
      <c r="E161" t="s">
        <v>1964</v>
      </c>
      <c r="F161" t="s">
        <v>1965</v>
      </c>
      <c r="G161" t="s">
        <v>1966</v>
      </c>
      <c r="H161" t="s">
        <v>1967</v>
      </c>
      <c r="I161" t="s">
        <v>1968</v>
      </c>
      <c r="J161" t="s">
        <v>1964</v>
      </c>
      <c r="K161" t="s">
        <v>1969</v>
      </c>
      <c r="L161" s="25" t="s">
        <v>1965</v>
      </c>
    </row>
    <row r="162" spans="2:12" x14ac:dyDescent="0.2">
      <c r="B162" s="24" t="s">
        <v>1970</v>
      </c>
      <c r="C162" t="s">
        <v>1971</v>
      </c>
      <c r="D162" t="s">
        <v>1972</v>
      </c>
      <c r="E162" t="s">
        <v>1973</v>
      </c>
      <c r="F162" t="s">
        <v>1974</v>
      </c>
      <c r="G162" t="s">
        <v>1975</v>
      </c>
      <c r="H162" t="s">
        <v>1976</v>
      </c>
      <c r="I162" t="s">
        <v>1977</v>
      </c>
      <c r="J162" t="s">
        <v>1978</v>
      </c>
      <c r="K162" t="s">
        <v>1979</v>
      </c>
      <c r="L162" s="25" t="s">
        <v>1980</v>
      </c>
    </row>
    <row r="163" spans="2:12" x14ac:dyDescent="0.2">
      <c r="B163" s="24" t="s">
        <v>1981</v>
      </c>
      <c r="C163" t="s">
        <v>785</v>
      </c>
      <c r="D163" t="s">
        <v>786</v>
      </c>
      <c r="E163" t="s">
        <v>1982</v>
      </c>
      <c r="F163" t="s">
        <v>1983</v>
      </c>
      <c r="G163" t="s">
        <v>1984</v>
      </c>
      <c r="H163" t="s">
        <v>1985</v>
      </c>
      <c r="I163" t="s">
        <v>1986</v>
      </c>
      <c r="J163" t="s">
        <v>792</v>
      </c>
      <c r="K163" t="s">
        <v>1987</v>
      </c>
      <c r="L163" s="25" t="s">
        <v>1988</v>
      </c>
    </row>
    <row r="164" spans="2:12" x14ac:dyDescent="0.2">
      <c r="B164" s="24" t="s">
        <v>1989</v>
      </c>
      <c r="C164" t="s">
        <v>1990</v>
      </c>
      <c r="D164" t="s">
        <v>1991</v>
      </c>
      <c r="E164" t="s">
        <v>1953</v>
      </c>
      <c r="F164" t="s">
        <v>1992</v>
      </c>
      <c r="G164" t="s">
        <v>1993</v>
      </c>
      <c r="H164" t="s">
        <v>1956</v>
      </c>
      <c r="I164" t="s">
        <v>1994</v>
      </c>
      <c r="J164" t="s">
        <v>1995</v>
      </c>
      <c r="K164" t="s">
        <v>1996</v>
      </c>
      <c r="L164" s="25" t="s">
        <v>1997</v>
      </c>
    </row>
    <row r="165" spans="2:12" x14ac:dyDescent="0.2">
      <c r="B165" s="24" t="s">
        <v>1998</v>
      </c>
      <c r="C165" t="s">
        <v>1999</v>
      </c>
      <c r="D165" t="s">
        <v>1999</v>
      </c>
      <c r="E165" t="s">
        <v>2000</v>
      </c>
      <c r="F165" t="s">
        <v>2001</v>
      </c>
      <c r="G165" t="s">
        <v>1998</v>
      </c>
      <c r="H165" t="s">
        <v>1998</v>
      </c>
      <c r="I165" t="s">
        <v>2002</v>
      </c>
      <c r="J165" t="s">
        <v>2000</v>
      </c>
      <c r="K165" t="s">
        <v>2003</v>
      </c>
      <c r="L165" s="25" t="s">
        <v>2004</v>
      </c>
    </row>
    <row r="166" spans="2:12" x14ac:dyDescent="0.2">
      <c r="B166" s="24" t="s">
        <v>286</v>
      </c>
      <c r="C166" t="s">
        <v>2005</v>
      </c>
      <c r="D166" t="s">
        <v>2006</v>
      </c>
      <c r="E166" t="s">
        <v>2007</v>
      </c>
      <c r="F166" t="s">
        <v>2008</v>
      </c>
      <c r="G166" t="s">
        <v>2009</v>
      </c>
      <c r="H166" t="s">
        <v>2010</v>
      </c>
      <c r="I166" t="s">
        <v>2011</v>
      </c>
      <c r="J166" t="s">
        <v>2012</v>
      </c>
      <c r="K166" t="s">
        <v>2013</v>
      </c>
      <c r="L166" s="25" t="s">
        <v>2014</v>
      </c>
    </row>
    <row r="167" spans="2:12" x14ac:dyDescent="0.2">
      <c r="B167" s="24" t="s">
        <v>2015</v>
      </c>
      <c r="C167" t="s">
        <v>2016</v>
      </c>
      <c r="D167" t="s">
        <v>2017</v>
      </c>
      <c r="E167" t="s">
        <v>2018</v>
      </c>
      <c r="F167" t="s">
        <v>2019</v>
      </c>
      <c r="G167" t="s">
        <v>2020</v>
      </c>
      <c r="H167" t="s">
        <v>2021</v>
      </c>
      <c r="I167" t="s">
        <v>2022</v>
      </c>
      <c r="J167" t="s">
        <v>2023</v>
      </c>
      <c r="K167" t="s">
        <v>2024</v>
      </c>
      <c r="L167" s="25" t="s">
        <v>2019</v>
      </c>
    </row>
    <row r="168" spans="2:12" x14ac:dyDescent="0.2">
      <c r="B168" s="24" t="s">
        <v>2025</v>
      </c>
      <c r="C168" t="s">
        <v>2026</v>
      </c>
      <c r="D168" t="s">
        <v>2027</v>
      </c>
      <c r="E168" t="s">
        <v>2028</v>
      </c>
      <c r="F168" t="s">
        <v>2029</v>
      </c>
      <c r="G168" t="s">
        <v>2030</v>
      </c>
      <c r="H168" t="s">
        <v>2031</v>
      </c>
      <c r="I168" t="s">
        <v>2032</v>
      </c>
      <c r="J168" t="s">
        <v>2033</v>
      </c>
      <c r="K168" t="s">
        <v>2034</v>
      </c>
      <c r="L168" s="25" t="s">
        <v>2035</v>
      </c>
    </row>
    <row r="169" spans="2:12" x14ac:dyDescent="0.2">
      <c r="B169" s="24" t="s">
        <v>2036</v>
      </c>
      <c r="C169" t="s">
        <v>2037</v>
      </c>
      <c r="D169" t="s">
        <v>2038</v>
      </c>
      <c r="E169" t="s">
        <v>2039</v>
      </c>
      <c r="F169" t="s">
        <v>2040</v>
      </c>
      <c r="G169" t="s">
        <v>2041</v>
      </c>
      <c r="H169" t="s">
        <v>2042</v>
      </c>
      <c r="I169" t="s">
        <v>2043</v>
      </c>
      <c r="J169" t="s">
        <v>2044</v>
      </c>
      <c r="K169" t="s">
        <v>2045</v>
      </c>
      <c r="L169" s="25" t="s">
        <v>2046</v>
      </c>
    </row>
    <row r="170" spans="2:12" x14ac:dyDescent="0.2">
      <c r="B170" s="24" t="s">
        <v>2047</v>
      </c>
      <c r="C170" t="s">
        <v>2048</v>
      </c>
      <c r="D170" t="s">
        <v>2049</v>
      </c>
      <c r="E170" t="s">
        <v>2050</v>
      </c>
      <c r="F170" t="s">
        <v>2051</v>
      </c>
      <c r="G170" t="s">
        <v>2052</v>
      </c>
      <c r="H170" t="s">
        <v>2053</v>
      </c>
      <c r="I170" t="s">
        <v>2054</v>
      </c>
      <c r="J170" t="s">
        <v>2055</v>
      </c>
      <c r="K170" t="s">
        <v>2056</v>
      </c>
      <c r="L170" s="25" t="s">
        <v>2057</v>
      </c>
    </row>
    <row r="171" spans="2:12" x14ac:dyDescent="0.2">
      <c r="B171" s="24" t="s">
        <v>2058</v>
      </c>
      <c r="C171" t="s">
        <v>2059</v>
      </c>
      <c r="D171" t="s">
        <v>2059</v>
      </c>
      <c r="E171" t="s">
        <v>2060</v>
      </c>
      <c r="F171" t="s">
        <v>2061</v>
      </c>
      <c r="G171" t="s">
        <v>2062</v>
      </c>
      <c r="H171" t="s">
        <v>2063</v>
      </c>
      <c r="I171" t="s">
        <v>2064</v>
      </c>
      <c r="J171" t="s">
        <v>2065</v>
      </c>
      <c r="K171" t="s">
        <v>2066</v>
      </c>
      <c r="L171" s="25" t="s">
        <v>2067</v>
      </c>
    </row>
    <row r="172" spans="2:12" x14ac:dyDescent="0.2">
      <c r="B172" s="24" t="s">
        <v>2068</v>
      </c>
      <c r="C172" t="s">
        <v>2069</v>
      </c>
      <c r="D172" t="s">
        <v>2070</v>
      </c>
      <c r="E172" t="s">
        <v>2071</v>
      </c>
      <c r="F172" t="s">
        <v>2072</v>
      </c>
      <c r="G172" t="s">
        <v>2073</v>
      </c>
      <c r="H172" t="s">
        <v>2074</v>
      </c>
      <c r="I172" t="s">
        <v>2075</v>
      </c>
      <c r="J172" t="s">
        <v>2076</v>
      </c>
      <c r="K172" t="s">
        <v>2077</v>
      </c>
      <c r="L172" s="25" t="s">
        <v>2078</v>
      </c>
    </row>
    <row r="173" spans="2:12" x14ac:dyDescent="0.2">
      <c r="B173" s="24" t="s">
        <v>2079</v>
      </c>
      <c r="C173" t="s">
        <v>2080</v>
      </c>
      <c r="D173" t="s">
        <v>2081</v>
      </c>
      <c r="E173" t="s">
        <v>2082</v>
      </c>
      <c r="F173" t="s">
        <v>2083</v>
      </c>
      <c r="G173" t="s">
        <v>2084</v>
      </c>
      <c r="H173" t="s">
        <v>2085</v>
      </c>
      <c r="I173" t="s">
        <v>2086</v>
      </c>
      <c r="J173" t="s">
        <v>2087</v>
      </c>
      <c r="K173" t="s">
        <v>2088</v>
      </c>
      <c r="L173" s="25" t="s">
        <v>2089</v>
      </c>
    </row>
    <row r="174" spans="2:12" x14ac:dyDescent="0.2">
      <c r="B174" s="24" t="s">
        <v>2090</v>
      </c>
      <c r="C174" t="s">
        <v>2091</v>
      </c>
      <c r="D174" t="s">
        <v>2092</v>
      </c>
      <c r="E174" t="s">
        <v>2093</v>
      </c>
      <c r="F174" t="s">
        <v>2094</v>
      </c>
      <c r="G174" t="s">
        <v>2095</v>
      </c>
      <c r="H174" t="s">
        <v>2096</v>
      </c>
      <c r="I174" t="s">
        <v>2097</v>
      </c>
      <c r="J174" t="s">
        <v>2098</v>
      </c>
      <c r="K174" t="s">
        <v>2099</v>
      </c>
      <c r="L174" s="25" t="s">
        <v>2100</v>
      </c>
    </row>
    <row r="175" spans="2:12" x14ac:dyDescent="0.2">
      <c r="B175" s="24" t="s">
        <v>2101</v>
      </c>
      <c r="C175" t="s">
        <v>2102</v>
      </c>
      <c r="D175" t="s">
        <v>2103</v>
      </c>
      <c r="E175" t="s">
        <v>2104</v>
      </c>
      <c r="F175" t="s">
        <v>2105</v>
      </c>
      <c r="G175" t="s">
        <v>2106</v>
      </c>
      <c r="H175" t="s">
        <v>2107</v>
      </c>
      <c r="I175" t="s">
        <v>2108</v>
      </c>
      <c r="J175" t="s">
        <v>2109</v>
      </c>
      <c r="K175" t="s">
        <v>2110</v>
      </c>
      <c r="L175" s="25" t="s">
        <v>2111</v>
      </c>
    </row>
    <row r="176" spans="2:12" x14ac:dyDescent="0.2">
      <c r="B176" s="24" t="s">
        <v>2112</v>
      </c>
      <c r="C176" t="s">
        <v>2113</v>
      </c>
      <c r="D176" t="s">
        <v>2113</v>
      </c>
      <c r="E176" t="s">
        <v>2114</v>
      </c>
      <c r="F176" t="s">
        <v>2115</v>
      </c>
      <c r="G176" t="s">
        <v>2116</v>
      </c>
      <c r="H176" t="s">
        <v>2117</v>
      </c>
      <c r="I176" t="s">
        <v>2118</v>
      </c>
      <c r="J176" t="s">
        <v>2119</v>
      </c>
      <c r="K176" t="s">
        <v>2120</v>
      </c>
      <c r="L176" s="25" t="s">
        <v>2121</v>
      </c>
    </row>
    <row r="177" spans="2:12" x14ac:dyDescent="0.2">
      <c r="B177" s="24" t="s">
        <v>2122</v>
      </c>
      <c r="C177" t="s">
        <v>2123</v>
      </c>
      <c r="D177" t="s">
        <v>2124</v>
      </c>
      <c r="E177" t="s">
        <v>2125</v>
      </c>
      <c r="F177" t="s">
        <v>2126</v>
      </c>
      <c r="G177" t="s">
        <v>2127</v>
      </c>
      <c r="H177" t="s">
        <v>2128</v>
      </c>
      <c r="I177" t="s">
        <v>2129</v>
      </c>
      <c r="J177" t="s">
        <v>2130</v>
      </c>
      <c r="K177" t="s">
        <v>2131</v>
      </c>
      <c r="L177" s="25" t="s">
        <v>2132</v>
      </c>
    </row>
    <row r="178" spans="2:12" x14ac:dyDescent="0.2">
      <c r="B178" s="24" t="s">
        <v>2133</v>
      </c>
      <c r="C178" t="s">
        <v>2134</v>
      </c>
      <c r="D178" t="s">
        <v>2135</v>
      </c>
      <c r="E178" t="s">
        <v>2136</v>
      </c>
      <c r="F178" t="s">
        <v>2137</v>
      </c>
      <c r="G178" t="s">
        <v>2138</v>
      </c>
      <c r="H178" t="s">
        <v>2139</v>
      </c>
      <c r="I178" t="s">
        <v>2140</v>
      </c>
      <c r="J178" t="s">
        <v>2141</v>
      </c>
      <c r="K178" t="s">
        <v>2142</v>
      </c>
      <c r="L178" s="25" t="s">
        <v>2143</v>
      </c>
    </row>
    <row r="179" spans="2:12" x14ac:dyDescent="0.2">
      <c r="B179" s="24" t="s">
        <v>2144</v>
      </c>
      <c r="C179" t="s">
        <v>2145</v>
      </c>
      <c r="D179" t="s">
        <v>2146</v>
      </c>
      <c r="E179" t="s">
        <v>1953</v>
      </c>
      <c r="F179" t="s">
        <v>2147</v>
      </c>
      <c r="G179" t="s">
        <v>2148</v>
      </c>
      <c r="H179" t="s">
        <v>2149</v>
      </c>
      <c r="I179" t="s">
        <v>2150</v>
      </c>
      <c r="J179" t="s">
        <v>2151</v>
      </c>
      <c r="K179" t="s">
        <v>2152</v>
      </c>
      <c r="L179" s="25" t="s">
        <v>2153</v>
      </c>
    </row>
    <row r="180" spans="2:12" x14ac:dyDescent="0.2">
      <c r="B180" s="24" t="s">
        <v>2154</v>
      </c>
      <c r="C180" t="s">
        <v>2155</v>
      </c>
      <c r="D180" t="s">
        <v>2156</v>
      </c>
      <c r="E180" t="s">
        <v>2157</v>
      </c>
      <c r="F180" t="s">
        <v>2158</v>
      </c>
      <c r="G180" t="s">
        <v>2154</v>
      </c>
      <c r="H180" t="s">
        <v>2154</v>
      </c>
      <c r="I180" t="s">
        <v>2159</v>
      </c>
      <c r="J180" t="s">
        <v>2160</v>
      </c>
      <c r="K180" t="s">
        <v>2161</v>
      </c>
      <c r="L180" s="25" t="s">
        <v>2162</v>
      </c>
    </row>
    <row r="181" spans="2:12" x14ac:dyDescent="0.2">
      <c r="B181" s="24" t="s">
        <v>2163</v>
      </c>
      <c r="C181" t="s">
        <v>2164</v>
      </c>
      <c r="D181" t="s">
        <v>2165</v>
      </c>
      <c r="E181" t="s">
        <v>2166</v>
      </c>
      <c r="F181" t="s">
        <v>2167</v>
      </c>
      <c r="G181" t="s">
        <v>2163</v>
      </c>
      <c r="H181" t="s">
        <v>2168</v>
      </c>
      <c r="I181" t="s">
        <v>2169</v>
      </c>
      <c r="J181" t="s">
        <v>2170</v>
      </c>
      <c r="K181" t="s">
        <v>2171</v>
      </c>
      <c r="L181" s="25" t="s">
        <v>2172</v>
      </c>
    </row>
    <row r="182" spans="2:12" x14ac:dyDescent="0.2">
      <c r="B182" s="24" t="s">
        <v>2173</v>
      </c>
      <c r="C182" t="s">
        <v>2174</v>
      </c>
      <c r="D182" t="s">
        <v>2175</v>
      </c>
      <c r="E182" t="s">
        <v>2176</v>
      </c>
      <c r="F182" t="s">
        <v>2177</v>
      </c>
      <c r="G182" t="s">
        <v>2178</v>
      </c>
      <c r="H182" t="s">
        <v>2179</v>
      </c>
      <c r="I182" t="s">
        <v>4507</v>
      </c>
      <c r="J182" t="s">
        <v>2180</v>
      </c>
      <c r="K182" t="s">
        <v>2181</v>
      </c>
      <c r="L182" s="25" t="s">
        <v>2182</v>
      </c>
    </row>
    <row r="183" spans="2:12" x14ac:dyDescent="0.2">
      <c r="B183" s="24" t="s">
        <v>2183</v>
      </c>
      <c r="C183" t="s">
        <v>2184</v>
      </c>
      <c r="D183" t="s">
        <v>2185</v>
      </c>
      <c r="E183" t="s">
        <v>2186</v>
      </c>
      <c r="F183" t="s">
        <v>2187</v>
      </c>
      <c r="G183" t="s">
        <v>2188</v>
      </c>
      <c r="H183" t="s">
        <v>2189</v>
      </c>
      <c r="I183" t="s">
        <v>4508</v>
      </c>
      <c r="J183" t="s">
        <v>2190</v>
      </c>
      <c r="K183" t="s">
        <v>2191</v>
      </c>
      <c r="L183" s="25" t="s">
        <v>2192</v>
      </c>
    </row>
    <row r="184" spans="2:12" x14ac:dyDescent="0.2">
      <c r="B184" s="24" t="s">
        <v>2193</v>
      </c>
      <c r="C184" t="s">
        <v>2194</v>
      </c>
      <c r="D184" t="s">
        <v>2195</v>
      </c>
      <c r="E184" t="s">
        <v>2196</v>
      </c>
      <c r="F184" t="s">
        <v>2197</v>
      </c>
      <c r="G184" t="s">
        <v>2198</v>
      </c>
      <c r="H184" t="s">
        <v>2199</v>
      </c>
      <c r="I184" t="s">
        <v>2200</v>
      </c>
      <c r="J184" t="s">
        <v>2201</v>
      </c>
      <c r="K184" t="s">
        <v>2202</v>
      </c>
      <c r="L184" s="25" t="s">
        <v>2203</v>
      </c>
    </row>
    <row r="185" spans="2:12" x14ac:dyDescent="0.2">
      <c r="B185" s="24" t="s">
        <v>2204</v>
      </c>
      <c r="C185" t="s">
        <v>2205</v>
      </c>
      <c r="D185" t="s">
        <v>2206</v>
      </c>
      <c r="E185" t="s">
        <v>2018</v>
      </c>
      <c r="F185" t="s">
        <v>2207</v>
      </c>
      <c r="G185" t="s">
        <v>2208</v>
      </c>
      <c r="H185" t="s">
        <v>2209</v>
      </c>
      <c r="I185" t="s">
        <v>2210</v>
      </c>
      <c r="J185" t="s">
        <v>2211</v>
      </c>
      <c r="K185" t="s">
        <v>2212</v>
      </c>
      <c r="L185" s="25" t="s">
        <v>2213</v>
      </c>
    </row>
    <row r="186" spans="2:12" x14ac:dyDescent="0.2">
      <c r="B186" s="24" t="s">
        <v>2214</v>
      </c>
      <c r="C186" t="s">
        <v>2215</v>
      </c>
      <c r="D186" t="s">
        <v>2216</v>
      </c>
      <c r="E186" t="s">
        <v>2050</v>
      </c>
      <c r="F186" t="s">
        <v>2217</v>
      </c>
      <c r="G186" t="s">
        <v>2218</v>
      </c>
      <c r="H186" t="s">
        <v>2219</v>
      </c>
      <c r="I186" t="s">
        <v>2220</v>
      </c>
      <c r="J186" t="s">
        <v>2221</v>
      </c>
      <c r="K186" t="s">
        <v>2222</v>
      </c>
      <c r="L186" s="25" t="s">
        <v>2223</v>
      </c>
    </row>
    <row r="187" spans="2:12" x14ac:dyDescent="0.2">
      <c r="B187" s="24" t="s">
        <v>2224</v>
      </c>
      <c r="C187" t="s">
        <v>2225</v>
      </c>
      <c r="D187" t="s">
        <v>2225</v>
      </c>
      <c r="E187" t="s">
        <v>2224</v>
      </c>
      <c r="F187" t="s">
        <v>2226</v>
      </c>
      <c r="G187" t="s">
        <v>2227</v>
      </c>
      <c r="H187" t="s">
        <v>2228</v>
      </c>
      <c r="I187" t="s">
        <v>2229</v>
      </c>
      <c r="J187" t="s">
        <v>2230</v>
      </c>
      <c r="K187" t="s">
        <v>2231</v>
      </c>
      <c r="L187" s="25" t="s">
        <v>2232</v>
      </c>
    </row>
    <row r="188" spans="2:12" x14ac:dyDescent="0.2">
      <c r="B188" s="24" t="s">
        <v>2233</v>
      </c>
      <c r="C188" t="s">
        <v>2234</v>
      </c>
      <c r="D188" t="s">
        <v>2234</v>
      </c>
      <c r="E188" t="s">
        <v>2235</v>
      </c>
      <c r="F188" t="s">
        <v>2236</v>
      </c>
      <c r="G188" t="s">
        <v>2237</v>
      </c>
      <c r="H188" t="s">
        <v>2238</v>
      </c>
      <c r="I188" t="s">
        <v>2239</v>
      </c>
      <c r="J188" t="s">
        <v>2235</v>
      </c>
      <c r="K188" t="s">
        <v>2240</v>
      </c>
      <c r="L188" s="25" t="s">
        <v>2236</v>
      </c>
    </row>
    <row r="189" spans="2:12" x14ac:dyDescent="0.2">
      <c r="B189" s="24" t="s">
        <v>2241</v>
      </c>
      <c r="C189" t="s">
        <v>4585</v>
      </c>
      <c r="D189" t="s">
        <v>2225</v>
      </c>
      <c r="E189" t="s">
        <v>2241</v>
      </c>
      <c r="F189" t="s">
        <v>2242</v>
      </c>
      <c r="G189" t="s">
        <v>2243</v>
      </c>
      <c r="H189" t="s">
        <v>2244</v>
      </c>
      <c r="I189" t="s">
        <v>2245</v>
      </c>
      <c r="J189" t="s">
        <v>2246</v>
      </c>
      <c r="K189" t="s">
        <v>2247</v>
      </c>
      <c r="L189" s="25" t="s">
        <v>2242</v>
      </c>
    </row>
    <row r="190" spans="2:12" x14ac:dyDescent="0.2">
      <c r="B190" s="24" t="s">
        <v>2248</v>
      </c>
      <c r="C190" t="s">
        <v>2249</v>
      </c>
      <c r="D190" t="s">
        <v>2249</v>
      </c>
      <c r="E190" t="s">
        <v>2250</v>
      </c>
      <c r="F190" t="s">
        <v>2251</v>
      </c>
      <c r="G190" t="s">
        <v>2252</v>
      </c>
      <c r="H190" t="s">
        <v>2253</v>
      </c>
      <c r="I190" t="s">
        <v>2254</v>
      </c>
      <c r="J190" t="s">
        <v>2255</v>
      </c>
      <c r="K190" t="s">
        <v>2256</v>
      </c>
      <c r="L190" s="25" t="s">
        <v>2257</v>
      </c>
    </row>
    <row r="191" spans="2:12" x14ac:dyDescent="0.2">
      <c r="B191" s="24" t="s">
        <v>2258</v>
      </c>
      <c r="C191" t="s">
        <v>2259</v>
      </c>
      <c r="D191" t="s">
        <v>2260</v>
      </c>
      <c r="E191" t="s">
        <v>2261</v>
      </c>
      <c r="F191" t="s">
        <v>2262</v>
      </c>
      <c r="G191" t="s">
        <v>2263</v>
      </c>
      <c r="H191" t="s">
        <v>2264</v>
      </c>
      <c r="I191" t="s">
        <v>2265</v>
      </c>
      <c r="J191" t="s">
        <v>2266</v>
      </c>
      <c r="K191" t="s">
        <v>2267</v>
      </c>
      <c r="L191" s="25" t="s">
        <v>2268</v>
      </c>
    </row>
    <row r="192" spans="2:12" x14ac:dyDescent="0.2">
      <c r="B192" s="24" t="s">
        <v>2269</v>
      </c>
      <c r="C192" t="s">
        <v>2270</v>
      </c>
      <c r="D192" t="s">
        <v>2271</v>
      </c>
      <c r="E192" t="s">
        <v>2093</v>
      </c>
      <c r="F192" t="s">
        <v>2272</v>
      </c>
      <c r="G192" t="s">
        <v>2273</v>
      </c>
      <c r="H192" t="s">
        <v>2274</v>
      </c>
      <c r="I192" t="s">
        <v>2275</v>
      </c>
      <c r="J192" t="s">
        <v>2276</v>
      </c>
      <c r="K192" t="s">
        <v>2277</v>
      </c>
      <c r="L192" s="25" t="s">
        <v>2278</v>
      </c>
    </row>
    <row r="193" spans="2:12" x14ac:dyDescent="0.2">
      <c r="B193" s="24" t="s">
        <v>2279</v>
      </c>
      <c r="C193" t="s">
        <v>2280</v>
      </c>
      <c r="D193" t="s">
        <v>2281</v>
      </c>
      <c r="E193" t="s">
        <v>2282</v>
      </c>
      <c r="F193" t="s">
        <v>2283</v>
      </c>
      <c r="G193" t="s">
        <v>2284</v>
      </c>
      <c r="H193" t="s">
        <v>2285</v>
      </c>
      <c r="I193" t="s">
        <v>2286</v>
      </c>
      <c r="J193" t="s">
        <v>2287</v>
      </c>
      <c r="K193" t="s">
        <v>2288</v>
      </c>
      <c r="L193" s="25" t="s">
        <v>2289</v>
      </c>
    </row>
    <row r="194" spans="2:12" x14ac:dyDescent="0.2">
      <c r="B194" s="24" t="s">
        <v>2290</v>
      </c>
      <c r="C194" t="s">
        <v>2291</v>
      </c>
      <c r="D194" t="s">
        <v>2292</v>
      </c>
      <c r="E194" t="s">
        <v>2293</v>
      </c>
      <c r="F194" t="s">
        <v>2294</v>
      </c>
      <c r="G194" t="s">
        <v>2295</v>
      </c>
      <c r="H194" t="s">
        <v>2296</v>
      </c>
      <c r="I194" t="s">
        <v>2297</v>
      </c>
      <c r="J194" t="s">
        <v>2298</v>
      </c>
      <c r="K194" t="s">
        <v>2299</v>
      </c>
      <c r="L194" s="25" t="s">
        <v>2300</v>
      </c>
    </row>
    <row r="195" spans="2:12" x14ac:dyDescent="0.2">
      <c r="B195" s="24" t="s">
        <v>2301</v>
      </c>
      <c r="C195" t="s">
        <v>2302</v>
      </c>
      <c r="D195" t="s">
        <v>2303</v>
      </c>
      <c r="E195" t="s">
        <v>2304</v>
      </c>
      <c r="F195" t="s">
        <v>2305</v>
      </c>
      <c r="G195" t="s">
        <v>2306</v>
      </c>
      <c r="H195" t="s">
        <v>2307</v>
      </c>
      <c r="I195" t="s">
        <v>2308</v>
      </c>
      <c r="J195" t="s">
        <v>2309</v>
      </c>
      <c r="K195" t="s">
        <v>2310</v>
      </c>
      <c r="L195" s="25" t="s">
        <v>2311</v>
      </c>
    </row>
    <row r="196" spans="2:12" x14ac:dyDescent="0.2">
      <c r="B196" s="24" t="s">
        <v>2312</v>
      </c>
      <c r="C196" t="s">
        <v>2313</v>
      </c>
      <c r="D196" t="s">
        <v>2314</v>
      </c>
      <c r="E196" t="s">
        <v>2315</v>
      </c>
      <c r="F196" t="s">
        <v>2316</v>
      </c>
      <c r="G196" t="s">
        <v>2317</v>
      </c>
      <c r="H196" t="s">
        <v>2318</v>
      </c>
      <c r="I196" t="s">
        <v>2319</v>
      </c>
      <c r="J196" t="s">
        <v>2320</v>
      </c>
      <c r="K196" t="s">
        <v>2321</v>
      </c>
      <c r="L196" s="25" t="s">
        <v>2322</v>
      </c>
    </row>
    <row r="197" spans="2:12" x14ac:dyDescent="0.2">
      <c r="B197" s="24" t="s">
        <v>2323</v>
      </c>
      <c r="C197" t="s">
        <v>2324</v>
      </c>
      <c r="D197" t="s">
        <v>2325</v>
      </c>
      <c r="E197" t="s">
        <v>2326</v>
      </c>
      <c r="F197" t="s">
        <v>2327</v>
      </c>
      <c r="G197" t="s">
        <v>2328</v>
      </c>
      <c r="H197" t="s">
        <v>2329</v>
      </c>
      <c r="I197" t="s">
        <v>2327</v>
      </c>
      <c r="J197" t="s">
        <v>2330</v>
      </c>
      <c r="K197" t="s">
        <v>2331</v>
      </c>
      <c r="L197" s="25" t="s">
        <v>2332</v>
      </c>
    </row>
    <row r="198" spans="2:12" x14ac:dyDescent="0.2">
      <c r="B198" s="24" t="s">
        <v>2333</v>
      </c>
      <c r="C198" t="s">
        <v>2334</v>
      </c>
      <c r="D198" t="s">
        <v>2335</v>
      </c>
      <c r="E198" t="s">
        <v>2336</v>
      </c>
      <c r="F198" t="s">
        <v>2337</v>
      </c>
      <c r="G198" t="s">
        <v>2338</v>
      </c>
      <c r="H198" t="s">
        <v>2339</v>
      </c>
      <c r="I198" t="s">
        <v>2340</v>
      </c>
      <c r="J198" t="s">
        <v>2341</v>
      </c>
      <c r="K198" t="s">
        <v>2342</v>
      </c>
      <c r="L198" s="25" t="s">
        <v>2343</v>
      </c>
    </row>
    <row r="199" spans="2:12" x14ac:dyDescent="0.2">
      <c r="B199" s="24" t="s">
        <v>2344</v>
      </c>
      <c r="C199" t="s">
        <v>2345</v>
      </c>
      <c r="D199" t="s">
        <v>2346</v>
      </c>
      <c r="E199" t="s">
        <v>2347</v>
      </c>
      <c r="F199" t="s">
        <v>2348</v>
      </c>
      <c r="G199" t="s">
        <v>2349</v>
      </c>
      <c r="H199" t="s">
        <v>2350</v>
      </c>
      <c r="I199" t="s">
        <v>2351</v>
      </c>
      <c r="J199" t="s">
        <v>2352</v>
      </c>
      <c r="K199" t="s">
        <v>2353</v>
      </c>
      <c r="L199" s="25" t="s">
        <v>2354</v>
      </c>
    </row>
    <row r="200" spans="2:12" x14ac:dyDescent="0.2">
      <c r="B200" s="24" t="s">
        <v>2355</v>
      </c>
      <c r="C200" t="s">
        <v>2356</v>
      </c>
      <c r="D200" t="s">
        <v>2357</v>
      </c>
      <c r="E200" t="s">
        <v>2358</v>
      </c>
      <c r="F200" t="s">
        <v>2359</v>
      </c>
      <c r="G200" t="s">
        <v>2360</v>
      </c>
      <c r="H200" t="s">
        <v>2361</v>
      </c>
      <c r="I200" t="s">
        <v>2362</v>
      </c>
      <c r="J200" t="s">
        <v>2363</v>
      </c>
      <c r="K200" t="s">
        <v>2364</v>
      </c>
      <c r="L200" s="25" t="s">
        <v>2365</v>
      </c>
    </row>
    <row r="201" spans="2:12" x14ac:dyDescent="0.2">
      <c r="B201" s="24" t="s">
        <v>2366</v>
      </c>
      <c r="C201" t="s">
        <v>2367</v>
      </c>
      <c r="D201" t="s">
        <v>2368</v>
      </c>
      <c r="E201" t="s">
        <v>2369</v>
      </c>
      <c r="F201" t="s">
        <v>2370</v>
      </c>
      <c r="G201" t="s">
        <v>2371</v>
      </c>
      <c r="H201" t="s">
        <v>2372</v>
      </c>
      <c r="I201" t="s">
        <v>2373</v>
      </c>
      <c r="J201" t="s">
        <v>2374</v>
      </c>
      <c r="K201" t="s">
        <v>2375</v>
      </c>
      <c r="L201" s="25" t="s">
        <v>2376</v>
      </c>
    </row>
    <row r="202" spans="2:12" x14ac:dyDescent="0.2">
      <c r="B202" s="24" t="s">
        <v>2377</v>
      </c>
      <c r="C202" t="s">
        <v>2378</v>
      </c>
      <c r="D202" t="s">
        <v>2379</v>
      </c>
      <c r="E202" t="s">
        <v>2380</v>
      </c>
      <c r="F202" t="s">
        <v>2381</v>
      </c>
      <c r="G202" t="s">
        <v>2382</v>
      </c>
      <c r="H202" t="s">
        <v>2383</v>
      </c>
      <c r="I202" t="s">
        <v>2384</v>
      </c>
      <c r="J202" t="s">
        <v>2385</v>
      </c>
      <c r="K202" t="s">
        <v>2386</v>
      </c>
      <c r="L202" s="25" t="s">
        <v>2387</v>
      </c>
    </row>
    <row r="203" spans="2:12" x14ac:dyDescent="0.2">
      <c r="B203" s="24" t="s">
        <v>2388</v>
      </c>
      <c r="C203" t="s">
        <v>2389</v>
      </c>
      <c r="D203" t="s">
        <v>2390</v>
      </c>
      <c r="E203" t="s">
        <v>2391</v>
      </c>
      <c r="F203" t="s">
        <v>2392</v>
      </c>
      <c r="G203" t="s">
        <v>2393</v>
      </c>
      <c r="H203" t="s">
        <v>2394</v>
      </c>
      <c r="I203" t="s">
        <v>2395</v>
      </c>
      <c r="J203" t="s">
        <v>2396</v>
      </c>
      <c r="K203" t="s">
        <v>2397</v>
      </c>
      <c r="L203" s="25" t="s">
        <v>2398</v>
      </c>
    </row>
    <row r="204" spans="2:12" x14ac:dyDescent="0.2">
      <c r="B204" s="24" t="s">
        <v>2399</v>
      </c>
      <c r="C204" t="s">
        <v>2400</v>
      </c>
      <c r="D204" t="s">
        <v>2401</v>
      </c>
      <c r="E204" t="s">
        <v>2402</v>
      </c>
      <c r="F204" t="s">
        <v>2403</v>
      </c>
      <c r="G204" t="s">
        <v>2404</v>
      </c>
      <c r="H204" t="s">
        <v>2405</v>
      </c>
      <c r="I204" t="s">
        <v>2406</v>
      </c>
      <c r="J204" t="s">
        <v>2407</v>
      </c>
      <c r="K204" t="s">
        <v>2408</v>
      </c>
      <c r="L204" s="25" t="s">
        <v>2409</v>
      </c>
    </row>
    <row r="205" spans="2:12" x14ac:dyDescent="0.2">
      <c r="B205" s="24" t="s">
        <v>2410</v>
      </c>
      <c r="C205" t="s">
        <v>2411</v>
      </c>
      <c r="D205" t="s">
        <v>2412</v>
      </c>
      <c r="E205" t="s">
        <v>2413</v>
      </c>
      <c r="F205" t="s">
        <v>2414</v>
      </c>
      <c r="G205" t="s">
        <v>2415</v>
      </c>
      <c r="H205" t="s">
        <v>2416</v>
      </c>
      <c r="I205" t="s">
        <v>2417</v>
      </c>
      <c r="J205" t="s">
        <v>2418</v>
      </c>
      <c r="K205" t="s">
        <v>2419</v>
      </c>
      <c r="L205" s="25" t="s">
        <v>2420</v>
      </c>
    </row>
    <row r="206" spans="2:12" x14ac:dyDescent="0.2">
      <c r="B206" s="24" t="s">
        <v>2421</v>
      </c>
      <c r="C206" t="s">
        <v>2422</v>
      </c>
      <c r="D206" t="s">
        <v>2423</v>
      </c>
      <c r="E206" t="s">
        <v>2424</v>
      </c>
      <c r="F206" t="s">
        <v>2425</v>
      </c>
      <c r="G206" t="s">
        <v>2426</v>
      </c>
      <c r="H206" t="s">
        <v>2427</v>
      </c>
      <c r="I206" t="s">
        <v>2428</v>
      </c>
      <c r="J206" t="s">
        <v>2429</v>
      </c>
      <c r="K206" t="s">
        <v>2430</v>
      </c>
      <c r="L206" s="25" t="s">
        <v>2431</v>
      </c>
    </row>
    <row r="207" spans="2:12" x14ac:dyDescent="0.2">
      <c r="B207" s="24" t="s">
        <v>2432</v>
      </c>
      <c r="C207" t="s">
        <v>2433</v>
      </c>
      <c r="D207" t="s">
        <v>2434</v>
      </c>
      <c r="E207" t="s">
        <v>2435</v>
      </c>
      <c r="F207" t="s">
        <v>2436</v>
      </c>
      <c r="G207" t="s">
        <v>2437</v>
      </c>
      <c r="H207" t="s">
        <v>2438</v>
      </c>
      <c r="I207" t="s">
        <v>2439</v>
      </c>
      <c r="J207" t="s">
        <v>2440</v>
      </c>
      <c r="K207" t="s">
        <v>2441</v>
      </c>
      <c r="L207" s="25" t="s">
        <v>2442</v>
      </c>
    </row>
    <row r="208" spans="2:12" x14ac:dyDescent="0.2">
      <c r="B208" s="24" t="s">
        <v>2443</v>
      </c>
      <c r="C208" t="s">
        <v>2444</v>
      </c>
      <c r="D208" t="s">
        <v>2445</v>
      </c>
      <c r="E208" t="s">
        <v>2446</v>
      </c>
      <c r="F208" t="s">
        <v>2447</v>
      </c>
      <c r="G208" t="s">
        <v>2448</v>
      </c>
      <c r="H208" t="s">
        <v>2449</v>
      </c>
      <c r="I208" t="s">
        <v>2450</v>
      </c>
      <c r="J208" t="s">
        <v>2451</v>
      </c>
      <c r="K208" t="s">
        <v>2452</v>
      </c>
      <c r="L208" s="25" t="s">
        <v>2453</v>
      </c>
    </row>
    <row r="209" spans="2:12" x14ac:dyDescent="0.2">
      <c r="B209" s="24" t="s">
        <v>2454</v>
      </c>
      <c r="C209" t="s">
        <v>2455</v>
      </c>
      <c r="D209" t="s">
        <v>2456</v>
      </c>
      <c r="E209" t="s">
        <v>2457</v>
      </c>
      <c r="F209" t="s">
        <v>2458</v>
      </c>
      <c r="G209" t="s">
        <v>2459</v>
      </c>
      <c r="H209" t="s">
        <v>2460</v>
      </c>
      <c r="I209" t="s">
        <v>2461</v>
      </c>
      <c r="J209" t="s">
        <v>2462</v>
      </c>
      <c r="K209" t="s">
        <v>2463</v>
      </c>
      <c r="L209" s="25" t="s">
        <v>2464</v>
      </c>
    </row>
    <row r="210" spans="2:12" x14ac:dyDescent="0.2">
      <c r="B210" s="24" t="s">
        <v>2465</v>
      </c>
      <c r="C210" t="s">
        <v>2466</v>
      </c>
      <c r="D210" t="s">
        <v>2467</v>
      </c>
      <c r="E210" t="s">
        <v>2468</v>
      </c>
      <c r="F210" t="s">
        <v>2469</v>
      </c>
      <c r="G210" t="s">
        <v>2470</v>
      </c>
      <c r="H210" t="s">
        <v>2471</v>
      </c>
      <c r="I210" t="s">
        <v>2472</v>
      </c>
      <c r="J210" t="s">
        <v>2473</v>
      </c>
      <c r="K210" t="s">
        <v>2474</v>
      </c>
      <c r="L210" s="25" t="s">
        <v>2475</v>
      </c>
    </row>
    <row r="211" spans="2:12" x14ac:dyDescent="0.2">
      <c r="B211" s="24" t="s">
        <v>2476</v>
      </c>
      <c r="C211" t="s">
        <v>2477</v>
      </c>
      <c r="D211" t="s">
        <v>2478</v>
      </c>
      <c r="E211" t="s">
        <v>2479</v>
      </c>
      <c r="F211" t="s">
        <v>2480</v>
      </c>
      <c r="G211" t="s">
        <v>2481</v>
      </c>
      <c r="H211" t="s">
        <v>2482</v>
      </c>
      <c r="I211" t="s">
        <v>2483</v>
      </c>
      <c r="J211" t="s">
        <v>2484</v>
      </c>
      <c r="K211" t="s">
        <v>2485</v>
      </c>
      <c r="L211" s="25" t="s">
        <v>2486</v>
      </c>
    </row>
    <row r="212" spans="2:12" x14ac:dyDescent="0.2">
      <c r="B212" s="24" t="s">
        <v>2487</v>
      </c>
      <c r="C212" t="s">
        <v>2488</v>
      </c>
      <c r="D212" t="s">
        <v>2489</v>
      </c>
      <c r="E212" t="s">
        <v>2490</v>
      </c>
      <c r="F212" t="s">
        <v>2491</v>
      </c>
      <c r="G212" t="s">
        <v>2492</v>
      </c>
      <c r="H212" t="s">
        <v>2493</v>
      </c>
      <c r="I212" t="s">
        <v>2494</v>
      </c>
      <c r="J212" t="s">
        <v>2495</v>
      </c>
      <c r="K212" t="s">
        <v>2496</v>
      </c>
      <c r="L212" s="25" t="s">
        <v>2497</v>
      </c>
    </row>
    <row r="213" spans="2:12" x14ac:dyDescent="0.2">
      <c r="B213" s="24" t="s">
        <v>2498</v>
      </c>
      <c r="C213" t="s">
        <v>2499</v>
      </c>
      <c r="D213" t="s">
        <v>2500</v>
      </c>
      <c r="E213" t="s">
        <v>2501</v>
      </c>
      <c r="F213" t="s">
        <v>2502</v>
      </c>
      <c r="G213" t="s">
        <v>2503</v>
      </c>
      <c r="H213" t="s">
        <v>2502</v>
      </c>
      <c r="I213" t="s">
        <v>2502</v>
      </c>
      <c r="J213" t="s">
        <v>2498</v>
      </c>
      <c r="K213" t="s">
        <v>2498</v>
      </c>
      <c r="L213" s="25" t="s">
        <v>2498</v>
      </c>
    </row>
    <row r="214" spans="2:12" x14ac:dyDescent="0.2">
      <c r="B214" s="24" t="s">
        <v>2504</v>
      </c>
      <c r="C214" t="s">
        <v>2505</v>
      </c>
      <c r="D214" t="s">
        <v>2506</v>
      </c>
      <c r="E214" t="s">
        <v>2507</v>
      </c>
      <c r="F214" t="s">
        <v>2508</v>
      </c>
      <c r="G214" t="s">
        <v>2509</v>
      </c>
      <c r="H214" t="s">
        <v>2508</v>
      </c>
      <c r="I214" t="s">
        <v>2508</v>
      </c>
      <c r="J214" t="s">
        <v>2504</v>
      </c>
      <c r="K214" t="s">
        <v>2504</v>
      </c>
      <c r="L214" s="25" t="s">
        <v>2504</v>
      </c>
    </row>
    <row r="215" spans="2:12" x14ac:dyDescent="0.2">
      <c r="B215" s="24" t="s">
        <v>2510</v>
      </c>
      <c r="C215" t="s">
        <v>2511</v>
      </c>
      <c r="D215" t="s">
        <v>2512</v>
      </c>
      <c r="E215" t="s">
        <v>2513</v>
      </c>
      <c r="F215" t="s">
        <v>2514</v>
      </c>
      <c r="G215" t="s">
        <v>2515</v>
      </c>
      <c r="H215" t="s">
        <v>2516</v>
      </c>
      <c r="I215" t="s">
        <v>2517</v>
      </c>
      <c r="J215" t="s">
        <v>2518</v>
      </c>
      <c r="K215" t="s">
        <v>2519</v>
      </c>
      <c r="L215" s="25" t="s">
        <v>2520</v>
      </c>
    </row>
    <row r="216" spans="2:12" x14ac:dyDescent="0.2">
      <c r="B216" s="24" t="s">
        <v>2521</v>
      </c>
      <c r="C216" t="s">
        <v>2522</v>
      </c>
      <c r="D216" t="s">
        <v>2523</v>
      </c>
      <c r="E216" t="s">
        <v>2524</v>
      </c>
      <c r="F216" t="s">
        <v>2525</v>
      </c>
      <c r="G216" t="s">
        <v>2526</v>
      </c>
      <c r="H216" t="s">
        <v>2527</v>
      </c>
      <c r="I216" t="s">
        <v>2528</v>
      </c>
      <c r="J216" t="s">
        <v>2529</v>
      </c>
      <c r="K216" t="s">
        <v>2530</v>
      </c>
      <c r="L216" s="25" t="s">
        <v>2531</v>
      </c>
    </row>
    <row r="217" spans="2:12" x14ac:dyDescent="0.2">
      <c r="B217" s="24" t="s">
        <v>870</v>
      </c>
      <c r="C217" t="s">
        <v>871</v>
      </c>
      <c r="D217" t="s">
        <v>872</v>
      </c>
      <c r="E217" t="s">
        <v>871</v>
      </c>
      <c r="F217" t="s">
        <v>873</v>
      </c>
      <c r="G217" t="s">
        <v>874</v>
      </c>
      <c r="H217" t="s">
        <v>875</v>
      </c>
      <c r="I217" t="s">
        <v>876</v>
      </c>
      <c r="J217" t="s">
        <v>877</v>
      </c>
      <c r="K217" t="s">
        <v>4995</v>
      </c>
      <c r="L217" s="25" t="s">
        <v>878</v>
      </c>
    </row>
    <row r="218" spans="2:12" x14ac:dyDescent="0.2">
      <c r="B218" s="24" t="s">
        <v>2532</v>
      </c>
      <c r="C218" t="s">
        <v>2533</v>
      </c>
      <c r="D218" t="s">
        <v>2534</v>
      </c>
      <c r="E218" t="s">
        <v>2535</v>
      </c>
      <c r="F218" t="s">
        <v>2536</v>
      </c>
      <c r="G218" t="s">
        <v>2537</v>
      </c>
      <c r="H218" t="s">
        <v>2538</v>
      </c>
      <c r="I218" t="s">
        <v>2539</v>
      </c>
      <c r="J218" t="s">
        <v>2540</v>
      </c>
      <c r="K218" t="s">
        <v>2541</v>
      </c>
      <c r="L218" s="25" t="s">
        <v>2542</v>
      </c>
    </row>
    <row r="219" spans="2:12" x14ac:dyDescent="0.2">
      <c r="B219" s="24" t="s">
        <v>2543</v>
      </c>
      <c r="C219" t="s">
        <v>2544</v>
      </c>
      <c r="D219" t="s">
        <v>2545</v>
      </c>
      <c r="E219" t="s">
        <v>2546</v>
      </c>
      <c r="F219" t="s">
        <v>2547</v>
      </c>
      <c r="G219" t="s">
        <v>2548</v>
      </c>
      <c r="H219" t="s">
        <v>2549</v>
      </c>
      <c r="I219" t="s">
        <v>2550</v>
      </c>
      <c r="J219" t="s">
        <v>2551</v>
      </c>
      <c r="K219" t="s">
        <v>2552</v>
      </c>
      <c r="L219" s="25" t="s">
        <v>2553</v>
      </c>
    </row>
    <row r="220" spans="2:12" x14ac:dyDescent="0.2">
      <c r="B220" s="24" t="s">
        <v>2554</v>
      </c>
      <c r="C220" t="s">
        <v>2555</v>
      </c>
      <c r="D220" t="s">
        <v>2556</v>
      </c>
      <c r="E220" t="s">
        <v>2557</v>
      </c>
      <c r="F220" t="s">
        <v>2558</v>
      </c>
      <c r="G220" t="s">
        <v>2559</v>
      </c>
      <c r="H220" t="s">
        <v>2560</v>
      </c>
      <c r="I220" t="s">
        <v>2561</v>
      </c>
      <c r="J220" t="s">
        <v>2562</v>
      </c>
      <c r="K220" t="s">
        <v>2563</v>
      </c>
      <c r="L220" s="25" t="s">
        <v>2564</v>
      </c>
    </row>
    <row r="221" spans="2:12" x14ac:dyDescent="0.2">
      <c r="B221" s="24" t="s">
        <v>2576</v>
      </c>
      <c r="C221" t="s">
        <v>2577</v>
      </c>
      <c r="D221" t="s">
        <v>2578</v>
      </c>
      <c r="E221" t="s">
        <v>2579</v>
      </c>
      <c r="F221" t="s">
        <v>2580</v>
      </c>
      <c r="G221" t="s">
        <v>2581</v>
      </c>
      <c r="H221" t="s">
        <v>2582</v>
      </c>
      <c r="I221" t="s">
        <v>2583</v>
      </c>
      <c r="J221" t="s">
        <v>2584</v>
      </c>
      <c r="K221" t="s">
        <v>2585</v>
      </c>
      <c r="L221" s="25" t="s">
        <v>2586</v>
      </c>
    </row>
    <row r="222" spans="2:12" x14ac:dyDescent="0.2">
      <c r="B222" s="24" t="s">
        <v>2587</v>
      </c>
      <c r="C222" t="s">
        <v>2588</v>
      </c>
      <c r="D222" t="s">
        <v>2589</v>
      </c>
      <c r="E222" t="s">
        <v>2590</v>
      </c>
      <c r="F222" t="s">
        <v>2587</v>
      </c>
      <c r="G222" t="s">
        <v>2591</v>
      </c>
      <c r="H222" t="s">
        <v>2592</v>
      </c>
      <c r="I222" t="s">
        <v>2587</v>
      </c>
      <c r="J222" t="s">
        <v>2593</v>
      </c>
      <c r="K222" t="s">
        <v>2594</v>
      </c>
      <c r="L222" s="25" t="s">
        <v>2595</v>
      </c>
    </row>
    <row r="223" spans="2:12" x14ac:dyDescent="0.2">
      <c r="B223" s="24" t="s">
        <v>2596</v>
      </c>
      <c r="C223" t="s">
        <v>2597</v>
      </c>
      <c r="D223" t="s">
        <v>2598</v>
      </c>
      <c r="E223" t="s">
        <v>2599</v>
      </c>
      <c r="F223" t="s">
        <v>2596</v>
      </c>
      <c r="G223" t="s">
        <v>2600</v>
      </c>
      <c r="H223" t="s">
        <v>2601</v>
      </c>
      <c r="I223" t="s">
        <v>2596</v>
      </c>
      <c r="J223" t="s">
        <v>2602</v>
      </c>
      <c r="K223" t="s">
        <v>2603</v>
      </c>
      <c r="L223" s="25" t="s">
        <v>2596</v>
      </c>
    </row>
    <row r="224" spans="2:12" x14ac:dyDescent="0.2">
      <c r="B224" s="24" t="s">
        <v>2604</v>
      </c>
      <c r="C224" t="s">
        <v>2605</v>
      </c>
      <c r="D224" t="s">
        <v>2606</v>
      </c>
      <c r="E224" t="s">
        <v>2607</v>
      </c>
      <c r="F224" t="s">
        <v>2608</v>
      </c>
      <c r="G224" t="s">
        <v>2609</v>
      </c>
      <c r="H224" t="s">
        <v>2610</v>
      </c>
      <c r="I224" t="s">
        <v>2611</v>
      </c>
      <c r="J224" t="s">
        <v>2612</v>
      </c>
      <c r="K224" t="s">
        <v>2613</v>
      </c>
      <c r="L224" s="25" t="s">
        <v>2614</v>
      </c>
    </row>
    <row r="225" spans="2:12" x14ac:dyDescent="0.2">
      <c r="B225" s="24" t="s">
        <v>2615</v>
      </c>
      <c r="C225" t="s">
        <v>2616</v>
      </c>
      <c r="D225" t="s">
        <v>2616</v>
      </c>
      <c r="E225" t="s">
        <v>2617</v>
      </c>
      <c r="F225" t="s">
        <v>2618</v>
      </c>
      <c r="G225" t="s">
        <v>2619</v>
      </c>
      <c r="H225" t="s">
        <v>2620</v>
      </c>
      <c r="I225" t="s">
        <v>2621</v>
      </c>
      <c r="J225" t="s">
        <v>2622</v>
      </c>
      <c r="K225" t="s">
        <v>2623</v>
      </c>
      <c r="L225" s="25" t="s">
        <v>2615</v>
      </c>
    </row>
    <row r="226" spans="2:12" x14ac:dyDescent="0.2">
      <c r="B226" s="24" t="s">
        <v>2624</v>
      </c>
      <c r="C226" t="s">
        <v>2625</v>
      </c>
      <c r="D226" t="s">
        <v>2626</v>
      </c>
      <c r="E226" t="s">
        <v>2627</v>
      </c>
      <c r="F226" t="s">
        <v>2624</v>
      </c>
      <c r="G226" t="s">
        <v>2628</v>
      </c>
      <c r="H226" t="s">
        <v>2629</v>
      </c>
      <c r="I226" t="s">
        <v>2624</v>
      </c>
      <c r="J226" t="s">
        <v>2630</v>
      </c>
      <c r="K226" t="s">
        <v>2631</v>
      </c>
      <c r="L226" s="25" t="s">
        <v>2632</v>
      </c>
    </row>
    <row r="227" spans="2:12" x14ac:dyDescent="0.2">
      <c r="B227" s="24" t="s">
        <v>2633</v>
      </c>
      <c r="C227" t="s">
        <v>2634</v>
      </c>
      <c r="D227" t="s">
        <v>2634</v>
      </c>
      <c r="E227" t="s">
        <v>2635</v>
      </c>
      <c r="F227" t="s">
        <v>2636</v>
      </c>
      <c r="G227" t="s">
        <v>2637</v>
      </c>
      <c r="H227" t="s">
        <v>2633</v>
      </c>
      <c r="I227" t="s">
        <v>2633</v>
      </c>
      <c r="J227" t="s">
        <v>2638</v>
      </c>
      <c r="K227" t="s">
        <v>2639</v>
      </c>
      <c r="L227" s="25" t="s">
        <v>2636</v>
      </c>
    </row>
    <row r="228" spans="2:12" x14ac:dyDescent="0.2">
      <c r="B228" s="24" t="s">
        <v>2640</v>
      </c>
      <c r="C228" t="s">
        <v>2641</v>
      </c>
      <c r="D228" t="s">
        <v>2642</v>
      </c>
      <c r="E228" t="s">
        <v>2641</v>
      </c>
      <c r="F228" t="s">
        <v>2640</v>
      </c>
      <c r="G228" t="s">
        <v>2640</v>
      </c>
      <c r="H228" t="s">
        <v>2643</v>
      </c>
      <c r="I228" t="s">
        <v>2644</v>
      </c>
      <c r="J228" t="s">
        <v>2645</v>
      </c>
      <c r="K228" t="s">
        <v>2646</v>
      </c>
      <c r="L228" s="25" t="s">
        <v>2640</v>
      </c>
    </row>
    <row r="229" spans="2:12" x14ac:dyDescent="0.2">
      <c r="B229" s="24" t="s">
        <v>2647</v>
      </c>
      <c r="C229" t="s">
        <v>2648</v>
      </c>
      <c r="D229" t="s">
        <v>2649</v>
      </c>
      <c r="E229" t="s">
        <v>2650</v>
      </c>
      <c r="F229" t="s">
        <v>2651</v>
      </c>
      <c r="G229" t="s">
        <v>2652</v>
      </c>
      <c r="H229" t="s">
        <v>2653</v>
      </c>
      <c r="I229" t="s">
        <v>2654</v>
      </c>
      <c r="J229" t="s">
        <v>2655</v>
      </c>
      <c r="K229" t="s">
        <v>2656</v>
      </c>
      <c r="L229" s="25" t="s">
        <v>2657</v>
      </c>
    </row>
    <row r="230" spans="2:12" x14ac:dyDescent="0.2">
      <c r="B230" s="24" t="s">
        <v>2658</v>
      </c>
      <c r="C230" t="s">
        <v>2659</v>
      </c>
      <c r="D230" t="s">
        <v>2660</v>
      </c>
      <c r="E230" t="s">
        <v>2661</v>
      </c>
      <c r="F230" t="s">
        <v>2662</v>
      </c>
      <c r="G230" t="s">
        <v>2663</v>
      </c>
      <c r="H230" t="s">
        <v>2664</v>
      </c>
      <c r="I230" t="s">
        <v>2665</v>
      </c>
      <c r="J230" t="s">
        <v>2666</v>
      </c>
      <c r="K230" t="s">
        <v>2667</v>
      </c>
      <c r="L230" s="25" t="s">
        <v>2662</v>
      </c>
    </row>
    <row r="231" spans="2:12" x14ac:dyDescent="0.2">
      <c r="B231" s="24" t="s">
        <v>2668</v>
      </c>
      <c r="C231" t="s">
        <v>2669</v>
      </c>
      <c r="D231" t="s">
        <v>2670</v>
      </c>
      <c r="E231" t="s">
        <v>2671</v>
      </c>
      <c r="F231" t="s">
        <v>2672</v>
      </c>
      <c r="G231" t="s">
        <v>2668</v>
      </c>
      <c r="H231" t="s">
        <v>2673</v>
      </c>
      <c r="I231" t="s">
        <v>2674</v>
      </c>
      <c r="J231" t="s">
        <v>2675</v>
      </c>
      <c r="K231" t="s">
        <v>2676</v>
      </c>
      <c r="L231" s="25" t="s">
        <v>2677</v>
      </c>
    </row>
    <row r="232" spans="2:12" x14ac:dyDescent="0.2">
      <c r="B232" s="24" t="s">
        <v>2678</v>
      </c>
      <c r="C232" t="s">
        <v>2679</v>
      </c>
      <c r="D232" t="s">
        <v>2680</v>
      </c>
      <c r="E232" t="s">
        <v>2681</v>
      </c>
      <c r="F232" t="s">
        <v>2682</v>
      </c>
      <c r="G232" t="s">
        <v>2683</v>
      </c>
      <c r="H232" t="s">
        <v>2684</v>
      </c>
      <c r="I232" t="s">
        <v>2682</v>
      </c>
      <c r="J232" t="s">
        <v>2685</v>
      </c>
      <c r="K232" t="s">
        <v>2686</v>
      </c>
      <c r="L232" s="25" t="s">
        <v>2687</v>
      </c>
    </row>
    <row r="233" spans="2:12" x14ac:dyDescent="0.2">
      <c r="B233" s="24" t="s">
        <v>2688</v>
      </c>
      <c r="C233" t="s">
        <v>2689</v>
      </c>
      <c r="D233" t="s">
        <v>2690</v>
      </c>
      <c r="E233" t="s">
        <v>2691</v>
      </c>
      <c r="F233" t="s">
        <v>2692</v>
      </c>
      <c r="G233" t="s">
        <v>2693</v>
      </c>
      <c r="H233" t="s">
        <v>2688</v>
      </c>
      <c r="I233" t="s">
        <v>2692</v>
      </c>
      <c r="J233" t="s">
        <v>2694</v>
      </c>
      <c r="K233" t="s">
        <v>2695</v>
      </c>
      <c r="L233" s="25" t="s">
        <v>2696</v>
      </c>
    </row>
    <row r="234" spans="2:12" x14ac:dyDescent="0.2">
      <c r="B234" s="24" t="s">
        <v>2697</v>
      </c>
      <c r="C234" t="s">
        <v>2698</v>
      </c>
      <c r="D234" t="s">
        <v>2699</v>
      </c>
      <c r="E234" t="s">
        <v>2700</v>
      </c>
      <c r="F234" t="s">
        <v>2701</v>
      </c>
      <c r="G234" t="s">
        <v>2702</v>
      </c>
      <c r="H234" t="s">
        <v>2703</v>
      </c>
      <c r="I234" t="s">
        <v>2704</v>
      </c>
      <c r="J234" t="s">
        <v>2705</v>
      </c>
      <c r="K234" t="s">
        <v>2706</v>
      </c>
      <c r="L234" s="25" t="s">
        <v>2707</v>
      </c>
    </row>
    <row r="235" spans="2:12" x14ac:dyDescent="0.2">
      <c r="B235" s="24" t="s">
        <v>2708</v>
      </c>
      <c r="C235" t="s">
        <v>2709</v>
      </c>
      <c r="D235" t="s">
        <v>2710</v>
      </c>
      <c r="E235" t="s">
        <v>2711</v>
      </c>
      <c r="F235" t="s">
        <v>2712</v>
      </c>
      <c r="G235" t="s">
        <v>2713</v>
      </c>
      <c r="H235" t="s">
        <v>2714</v>
      </c>
      <c r="I235" t="s">
        <v>2712</v>
      </c>
      <c r="J235" t="s">
        <v>2715</v>
      </c>
      <c r="K235" t="s">
        <v>2716</v>
      </c>
      <c r="L235" s="25" t="s">
        <v>2717</v>
      </c>
    </row>
    <row r="236" spans="2:12" x14ac:dyDescent="0.2">
      <c r="B236" s="24" t="s">
        <v>2718</v>
      </c>
      <c r="C236" t="s">
        <v>2719</v>
      </c>
      <c r="D236" t="s">
        <v>2719</v>
      </c>
      <c r="E236" t="s">
        <v>2719</v>
      </c>
      <c r="F236" t="s">
        <v>2718</v>
      </c>
      <c r="G236" t="s">
        <v>2720</v>
      </c>
      <c r="H236" t="s">
        <v>2718</v>
      </c>
      <c r="I236" t="s">
        <v>2718</v>
      </c>
      <c r="J236" t="s">
        <v>2721</v>
      </c>
      <c r="K236" t="s">
        <v>2722</v>
      </c>
      <c r="L236" s="25" t="s">
        <v>2718</v>
      </c>
    </row>
    <row r="237" spans="2:12" x14ac:dyDescent="0.2">
      <c r="B237" s="24" t="s">
        <v>2723</v>
      </c>
      <c r="C237" t="s">
        <v>2724</v>
      </c>
      <c r="D237" t="s">
        <v>2724</v>
      </c>
      <c r="E237" t="s">
        <v>2725</v>
      </c>
      <c r="F237" t="s">
        <v>2726</v>
      </c>
      <c r="G237" t="s">
        <v>2727</v>
      </c>
      <c r="H237" t="s">
        <v>2728</v>
      </c>
      <c r="I237" t="s">
        <v>2729</v>
      </c>
      <c r="J237" t="s">
        <v>2730</v>
      </c>
      <c r="K237" t="s">
        <v>2731</v>
      </c>
      <c r="L237" s="25" t="s">
        <v>2732</v>
      </c>
    </row>
    <row r="238" spans="2:12" x14ac:dyDescent="0.2">
      <c r="B238" s="24" t="s">
        <v>2733</v>
      </c>
      <c r="C238" t="s">
        <v>2734</v>
      </c>
      <c r="D238" t="s">
        <v>2734</v>
      </c>
      <c r="E238" t="s">
        <v>2735</v>
      </c>
      <c r="F238" t="s">
        <v>2733</v>
      </c>
      <c r="G238" t="s">
        <v>2736</v>
      </c>
      <c r="H238" t="s">
        <v>2737</v>
      </c>
      <c r="I238" t="s">
        <v>2733</v>
      </c>
      <c r="J238" t="s">
        <v>2738</v>
      </c>
      <c r="K238" t="s">
        <v>2739</v>
      </c>
      <c r="L238" s="25" t="s">
        <v>2740</v>
      </c>
    </row>
    <row r="239" spans="2:12" x14ac:dyDescent="0.2">
      <c r="B239" s="24" t="s">
        <v>2741</v>
      </c>
      <c r="C239" t="s">
        <v>2742</v>
      </c>
      <c r="D239" t="s">
        <v>2742</v>
      </c>
      <c r="E239" t="s">
        <v>2743</v>
      </c>
      <c r="F239" t="s">
        <v>2741</v>
      </c>
      <c r="G239" t="s">
        <v>2744</v>
      </c>
      <c r="H239" t="s">
        <v>2745</v>
      </c>
      <c r="I239" t="s">
        <v>2741</v>
      </c>
      <c r="J239" t="s">
        <v>2746</v>
      </c>
      <c r="K239" t="s">
        <v>2747</v>
      </c>
      <c r="L239" s="25" t="s">
        <v>2748</v>
      </c>
    </row>
    <row r="240" spans="2:12" x14ac:dyDescent="0.2">
      <c r="B240" s="24" t="s">
        <v>2749</v>
      </c>
      <c r="C240" t="s">
        <v>2750</v>
      </c>
      <c r="D240" t="s">
        <v>2751</v>
      </c>
      <c r="E240" t="s">
        <v>2752</v>
      </c>
      <c r="F240" t="s">
        <v>2753</v>
      </c>
      <c r="G240" t="s">
        <v>2754</v>
      </c>
      <c r="H240" t="s">
        <v>2755</v>
      </c>
      <c r="I240" t="s">
        <v>2753</v>
      </c>
      <c r="J240" t="s">
        <v>2756</v>
      </c>
      <c r="K240" t="s">
        <v>2757</v>
      </c>
      <c r="L240" s="25" t="s">
        <v>2753</v>
      </c>
    </row>
    <row r="241" spans="2:12" x14ac:dyDescent="0.2">
      <c r="B241" s="24" t="s">
        <v>2758</v>
      </c>
      <c r="C241" t="s">
        <v>2759</v>
      </c>
      <c r="D241" t="s">
        <v>2759</v>
      </c>
      <c r="E241" t="s">
        <v>2760</v>
      </c>
      <c r="F241" t="s">
        <v>2758</v>
      </c>
      <c r="G241" t="s">
        <v>2758</v>
      </c>
      <c r="H241" t="s">
        <v>2761</v>
      </c>
      <c r="I241" t="s">
        <v>2762</v>
      </c>
      <c r="J241" t="s">
        <v>2763</v>
      </c>
      <c r="K241" t="s">
        <v>2764</v>
      </c>
      <c r="L241" s="25" t="s">
        <v>2758</v>
      </c>
    </row>
    <row r="242" spans="2:12" x14ac:dyDescent="0.2">
      <c r="B242" s="24" t="s">
        <v>2765</v>
      </c>
      <c r="C242" t="s">
        <v>2766</v>
      </c>
      <c r="D242" t="s">
        <v>2766</v>
      </c>
      <c r="E242" t="s">
        <v>2767</v>
      </c>
      <c r="F242" t="s">
        <v>2768</v>
      </c>
      <c r="G242" t="s">
        <v>1325</v>
      </c>
      <c r="H242" t="s">
        <v>2769</v>
      </c>
      <c r="I242" t="s">
        <v>2768</v>
      </c>
      <c r="J242" t="s">
        <v>2770</v>
      </c>
      <c r="K242" t="s">
        <v>2771</v>
      </c>
      <c r="L242" s="25" t="s">
        <v>2768</v>
      </c>
    </row>
    <row r="243" spans="2:12" x14ac:dyDescent="0.2">
      <c r="B243" s="24" t="s">
        <v>2772</v>
      </c>
      <c r="C243" t="s">
        <v>2773</v>
      </c>
      <c r="D243" t="s">
        <v>2773</v>
      </c>
      <c r="E243" t="s">
        <v>2773</v>
      </c>
      <c r="F243" t="s">
        <v>2772</v>
      </c>
      <c r="G243" t="s">
        <v>2772</v>
      </c>
      <c r="H243" t="s">
        <v>2774</v>
      </c>
      <c r="I243" t="s">
        <v>2775</v>
      </c>
      <c r="J243" t="s">
        <v>2776</v>
      </c>
      <c r="K243" t="s">
        <v>2777</v>
      </c>
      <c r="L243" s="25" t="s">
        <v>2778</v>
      </c>
    </row>
    <row r="244" spans="2:12" x14ac:dyDescent="0.2">
      <c r="B244" s="24" t="s">
        <v>2779</v>
      </c>
      <c r="C244" t="s">
        <v>2780</v>
      </c>
      <c r="D244" t="s">
        <v>2781</v>
      </c>
      <c r="E244" t="s">
        <v>2782</v>
      </c>
      <c r="F244" t="s">
        <v>2783</v>
      </c>
      <c r="G244" t="s">
        <v>2783</v>
      </c>
      <c r="H244" t="s">
        <v>2779</v>
      </c>
      <c r="I244" t="s">
        <v>2783</v>
      </c>
      <c r="J244" t="s">
        <v>2784</v>
      </c>
      <c r="K244" t="s">
        <v>2785</v>
      </c>
      <c r="L244" s="25" t="s">
        <v>2786</v>
      </c>
    </row>
    <row r="245" spans="2:12" x14ac:dyDescent="0.2">
      <c r="B245" s="24" t="s">
        <v>2787</v>
      </c>
      <c r="C245" t="s">
        <v>2788</v>
      </c>
      <c r="D245" t="s">
        <v>2789</v>
      </c>
      <c r="E245" t="s">
        <v>2790</v>
      </c>
      <c r="F245" t="s">
        <v>2791</v>
      </c>
      <c r="G245" t="s">
        <v>2787</v>
      </c>
      <c r="H245" t="s">
        <v>2792</v>
      </c>
      <c r="I245" t="s">
        <v>2791</v>
      </c>
      <c r="J245" t="s">
        <v>2793</v>
      </c>
      <c r="K245" t="s">
        <v>2794</v>
      </c>
      <c r="L245" s="25" t="s">
        <v>2795</v>
      </c>
    </row>
    <row r="246" spans="2:12" x14ac:dyDescent="0.2">
      <c r="B246" s="24" t="s">
        <v>2796</v>
      </c>
      <c r="C246" t="s">
        <v>2797</v>
      </c>
      <c r="D246" t="s">
        <v>2797</v>
      </c>
      <c r="E246" t="s">
        <v>2798</v>
      </c>
      <c r="F246" t="s">
        <v>2799</v>
      </c>
      <c r="G246" t="s">
        <v>2800</v>
      </c>
      <c r="H246" t="s">
        <v>2796</v>
      </c>
      <c r="I246" t="s">
        <v>2801</v>
      </c>
      <c r="J246" t="s">
        <v>2802</v>
      </c>
      <c r="K246" t="s">
        <v>2803</v>
      </c>
      <c r="L246" s="25" t="s">
        <v>2796</v>
      </c>
    </row>
    <row r="247" spans="2:12" x14ac:dyDescent="0.2">
      <c r="B247" s="24" t="s">
        <v>2804</v>
      </c>
      <c r="C247" t="s">
        <v>2805</v>
      </c>
      <c r="D247" t="s">
        <v>2806</v>
      </c>
      <c r="E247" t="s">
        <v>2807</v>
      </c>
      <c r="F247" t="s">
        <v>2808</v>
      </c>
      <c r="G247" t="s">
        <v>2809</v>
      </c>
      <c r="H247" t="s">
        <v>2810</v>
      </c>
      <c r="I247" t="s">
        <v>2811</v>
      </c>
      <c r="J247" t="s">
        <v>2812</v>
      </c>
      <c r="K247" t="s">
        <v>2813</v>
      </c>
      <c r="L247" s="25" t="s">
        <v>2808</v>
      </c>
    </row>
    <row r="248" spans="2:12" x14ac:dyDescent="0.2">
      <c r="B248" s="24" t="s">
        <v>2814</v>
      </c>
      <c r="C248" t="s">
        <v>2815</v>
      </c>
      <c r="D248" t="s">
        <v>2816</v>
      </c>
      <c r="E248" t="s">
        <v>2817</v>
      </c>
      <c r="F248" t="s">
        <v>2818</v>
      </c>
      <c r="G248" t="s">
        <v>2819</v>
      </c>
      <c r="H248" t="s">
        <v>2820</v>
      </c>
      <c r="I248" t="s">
        <v>2821</v>
      </c>
      <c r="J248" t="s">
        <v>2822</v>
      </c>
      <c r="K248" t="s">
        <v>2823</v>
      </c>
      <c r="L248" s="25" t="s">
        <v>2824</v>
      </c>
    </row>
    <row r="249" spans="2:12" x14ac:dyDescent="0.2">
      <c r="B249" s="24" t="s">
        <v>2825</v>
      </c>
      <c r="C249" t="s">
        <v>2826</v>
      </c>
      <c r="D249" t="s">
        <v>2826</v>
      </c>
      <c r="E249" t="s">
        <v>2827</v>
      </c>
      <c r="F249" t="s">
        <v>2828</v>
      </c>
      <c r="G249" t="s">
        <v>2829</v>
      </c>
      <c r="H249" t="s">
        <v>2830</v>
      </c>
      <c r="I249" t="s">
        <v>2831</v>
      </c>
      <c r="J249" t="s">
        <v>2832</v>
      </c>
      <c r="K249" t="s">
        <v>2833</v>
      </c>
      <c r="L249" s="25" t="s">
        <v>2828</v>
      </c>
    </row>
    <row r="250" spans="2:12" x14ac:dyDescent="0.2">
      <c r="B250" s="24" t="s">
        <v>2834</v>
      </c>
      <c r="C250" t="s">
        <v>2835</v>
      </c>
      <c r="D250" t="s">
        <v>2836</v>
      </c>
      <c r="E250" t="s">
        <v>2837</v>
      </c>
      <c r="F250" t="s">
        <v>2838</v>
      </c>
      <c r="G250" t="s">
        <v>2839</v>
      </c>
      <c r="H250" t="s">
        <v>2834</v>
      </c>
      <c r="I250" t="s">
        <v>2840</v>
      </c>
      <c r="J250" t="s">
        <v>2841</v>
      </c>
      <c r="K250" t="s">
        <v>2842</v>
      </c>
      <c r="L250" s="25" t="s">
        <v>2838</v>
      </c>
    </row>
    <row r="251" spans="2:12" x14ac:dyDescent="0.2">
      <c r="B251" s="24" t="s">
        <v>2843</v>
      </c>
      <c r="C251" t="s">
        <v>2844</v>
      </c>
      <c r="D251" t="s">
        <v>2845</v>
      </c>
      <c r="E251" t="s">
        <v>2846</v>
      </c>
      <c r="F251" t="s">
        <v>2847</v>
      </c>
      <c r="G251" t="s">
        <v>2848</v>
      </c>
      <c r="H251" t="s">
        <v>2849</v>
      </c>
      <c r="I251" t="s">
        <v>2847</v>
      </c>
      <c r="J251" t="s">
        <v>2850</v>
      </c>
      <c r="K251" t="s">
        <v>2851</v>
      </c>
      <c r="L251" s="25" t="s">
        <v>2852</v>
      </c>
    </row>
    <row r="252" spans="2:12" x14ac:dyDescent="0.2">
      <c r="B252" s="24" t="s">
        <v>2853</v>
      </c>
      <c r="C252" t="s">
        <v>2854</v>
      </c>
      <c r="D252" t="s">
        <v>2854</v>
      </c>
      <c r="E252" t="s">
        <v>2855</v>
      </c>
      <c r="F252" t="s">
        <v>2856</v>
      </c>
      <c r="G252" t="s">
        <v>2853</v>
      </c>
      <c r="H252" t="s">
        <v>2853</v>
      </c>
      <c r="I252" t="s">
        <v>2857</v>
      </c>
      <c r="J252" t="s">
        <v>2858</v>
      </c>
      <c r="K252" t="s">
        <v>2859</v>
      </c>
      <c r="L252" s="25" t="s">
        <v>2853</v>
      </c>
    </row>
    <row r="253" spans="2:12" x14ac:dyDescent="0.2">
      <c r="B253" s="24" t="s">
        <v>2860</v>
      </c>
      <c r="C253" t="s">
        <v>2861</v>
      </c>
      <c r="D253" t="s">
        <v>2862</v>
      </c>
      <c r="E253" t="s">
        <v>2863</v>
      </c>
      <c r="F253" t="s">
        <v>2864</v>
      </c>
      <c r="G253" t="s">
        <v>2865</v>
      </c>
      <c r="H253" t="s">
        <v>2866</v>
      </c>
      <c r="I253" t="s">
        <v>2860</v>
      </c>
      <c r="J253" t="s">
        <v>2867</v>
      </c>
      <c r="K253" t="s">
        <v>2868</v>
      </c>
      <c r="L253" s="25" t="s">
        <v>2869</v>
      </c>
    </row>
    <row r="254" spans="2:12" x14ac:dyDescent="0.2">
      <c r="B254" s="24" t="s">
        <v>2870</v>
      </c>
      <c r="C254" t="s">
        <v>2871</v>
      </c>
      <c r="D254" t="s">
        <v>2871</v>
      </c>
      <c r="E254" t="s">
        <v>2872</v>
      </c>
      <c r="F254" t="s">
        <v>2873</v>
      </c>
      <c r="G254" t="s">
        <v>2873</v>
      </c>
      <c r="H254" t="s">
        <v>2874</v>
      </c>
      <c r="I254" t="s">
        <v>2870</v>
      </c>
      <c r="J254" t="s">
        <v>2875</v>
      </c>
      <c r="K254" t="s">
        <v>2876</v>
      </c>
      <c r="L254" s="25" t="s">
        <v>2877</v>
      </c>
    </row>
    <row r="255" spans="2:12" x14ac:dyDescent="0.2">
      <c r="B255" s="24" t="s">
        <v>2878</v>
      </c>
      <c r="C255" t="s">
        <v>2879</v>
      </c>
      <c r="D255" t="s">
        <v>2879</v>
      </c>
      <c r="E255" t="s">
        <v>2880</v>
      </c>
      <c r="F255" t="s">
        <v>2881</v>
      </c>
      <c r="G255" t="s">
        <v>2882</v>
      </c>
      <c r="H255" t="s">
        <v>2883</v>
      </c>
      <c r="I255" t="s">
        <v>2884</v>
      </c>
      <c r="J255" t="s">
        <v>2885</v>
      </c>
      <c r="K255" t="s">
        <v>2886</v>
      </c>
      <c r="L255" s="25" t="s">
        <v>2887</v>
      </c>
    </row>
    <row r="256" spans="2:12" x14ac:dyDescent="0.2">
      <c r="B256" s="24" t="s">
        <v>2888</v>
      </c>
      <c r="C256" t="s">
        <v>2889</v>
      </c>
      <c r="D256" t="s">
        <v>2889</v>
      </c>
      <c r="E256" t="s">
        <v>2890</v>
      </c>
      <c r="F256" t="s">
        <v>2891</v>
      </c>
      <c r="G256" t="s">
        <v>2892</v>
      </c>
      <c r="H256" t="s">
        <v>2893</v>
      </c>
      <c r="I256" t="s">
        <v>2894</v>
      </c>
      <c r="J256" t="s">
        <v>2895</v>
      </c>
      <c r="K256" t="s">
        <v>2896</v>
      </c>
      <c r="L256" s="25" t="s">
        <v>2888</v>
      </c>
    </row>
    <row r="257" spans="2:12" x14ac:dyDescent="0.2">
      <c r="B257" s="24" t="s">
        <v>2897</v>
      </c>
      <c r="C257" t="s">
        <v>2898</v>
      </c>
      <c r="D257" t="s">
        <v>2899</v>
      </c>
      <c r="E257" t="s">
        <v>2900</v>
      </c>
      <c r="F257" t="s">
        <v>2901</v>
      </c>
      <c r="G257" t="s">
        <v>2902</v>
      </c>
      <c r="H257" t="s">
        <v>2903</v>
      </c>
      <c r="I257" t="s">
        <v>2904</v>
      </c>
      <c r="J257" t="s">
        <v>2905</v>
      </c>
      <c r="K257" t="s">
        <v>2906</v>
      </c>
      <c r="L257" s="25" t="s">
        <v>2907</v>
      </c>
    </row>
    <row r="258" spans="2:12" x14ac:dyDescent="0.2">
      <c r="B258" s="24" t="s">
        <v>2908</v>
      </c>
      <c r="C258" t="s">
        <v>2909</v>
      </c>
      <c r="D258" t="s">
        <v>2909</v>
      </c>
      <c r="E258" t="s">
        <v>2910</v>
      </c>
      <c r="F258" t="s">
        <v>2911</v>
      </c>
      <c r="G258" t="s">
        <v>2912</v>
      </c>
      <c r="H258" t="s">
        <v>2913</v>
      </c>
      <c r="I258" t="s">
        <v>2914</v>
      </c>
      <c r="J258" t="s">
        <v>2915</v>
      </c>
      <c r="K258" t="s">
        <v>2916</v>
      </c>
      <c r="L258" s="25" t="s">
        <v>2911</v>
      </c>
    </row>
    <row r="259" spans="2:12" x14ac:dyDescent="0.2">
      <c r="B259" s="24" t="s">
        <v>2917</v>
      </c>
      <c r="C259" t="s">
        <v>2918</v>
      </c>
      <c r="D259" t="s">
        <v>2918</v>
      </c>
      <c r="E259" t="s">
        <v>2919</v>
      </c>
      <c r="F259" t="s">
        <v>2920</v>
      </c>
      <c r="G259" t="s">
        <v>2921</v>
      </c>
      <c r="H259" t="s">
        <v>2922</v>
      </c>
      <c r="I259" t="s">
        <v>2923</v>
      </c>
      <c r="J259" t="s">
        <v>2924</v>
      </c>
      <c r="K259" t="s">
        <v>2925</v>
      </c>
      <c r="L259" s="25" t="s">
        <v>2920</v>
      </c>
    </row>
    <row r="260" spans="2:12" x14ac:dyDescent="0.2">
      <c r="B260" s="24" t="s">
        <v>2926</v>
      </c>
      <c r="C260" t="s">
        <v>2927</v>
      </c>
      <c r="D260" t="s">
        <v>2927</v>
      </c>
      <c r="E260" t="s">
        <v>2928</v>
      </c>
      <c r="F260" t="s">
        <v>2929</v>
      </c>
      <c r="G260" t="s">
        <v>2930</v>
      </c>
      <c r="H260" t="s">
        <v>2931</v>
      </c>
      <c r="I260" t="s">
        <v>2932</v>
      </c>
      <c r="J260" t="s">
        <v>2933</v>
      </c>
      <c r="K260" t="s">
        <v>2934</v>
      </c>
      <c r="L260" s="25" t="s">
        <v>2935</v>
      </c>
    </row>
    <row r="261" spans="2:12" x14ac:dyDescent="0.2">
      <c r="B261" s="24" t="s">
        <v>2936</v>
      </c>
      <c r="C261" t="s">
        <v>2937</v>
      </c>
      <c r="D261" t="s">
        <v>2938</v>
      </c>
      <c r="E261" t="s">
        <v>2939</v>
      </c>
      <c r="F261" t="s">
        <v>2940</v>
      </c>
      <c r="G261" t="s">
        <v>2936</v>
      </c>
      <c r="H261" t="s">
        <v>2936</v>
      </c>
      <c r="I261" t="s">
        <v>2936</v>
      </c>
      <c r="J261" t="s">
        <v>2941</v>
      </c>
      <c r="K261" t="s">
        <v>2942</v>
      </c>
      <c r="L261" s="25" t="s">
        <v>2936</v>
      </c>
    </row>
    <row r="262" spans="2:12" x14ac:dyDescent="0.2">
      <c r="B262" s="24" t="s">
        <v>2943</v>
      </c>
      <c r="C262" t="s">
        <v>2944</v>
      </c>
      <c r="D262" t="s">
        <v>2945</v>
      </c>
      <c r="E262" t="s">
        <v>2946</v>
      </c>
      <c r="F262" t="s">
        <v>2947</v>
      </c>
      <c r="G262" t="s">
        <v>2943</v>
      </c>
      <c r="H262" t="s">
        <v>2948</v>
      </c>
      <c r="I262" t="s">
        <v>2947</v>
      </c>
      <c r="J262" t="s">
        <v>2949</v>
      </c>
      <c r="K262" t="s">
        <v>2950</v>
      </c>
      <c r="L262" s="25" t="s">
        <v>2951</v>
      </c>
    </row>
    <row r="263" spans="2:12" x14ac:dyDescent="0.2">
      <c r="B263" s="24" t="s">
        <v>2952</v>
      </c>
      <c r="C263" t="s">
        <v>2953</v>
      </c>
      <c r="D263" t="s">
        <v>2954</v>
      </c>
      <c r="E263" t="s">
        <v>2955</v>
      </c>
      <c r="F263" t="s">
        <v>2956</v>
      </c>
      <c r="G263" t="s">
        <v>2957</v>
      </c>
      <c r="H263" t="s">
        <v>2958</v>
      </c>
      <c r="I263" t="s">
        <v>2959</v>
      </c>
      <c r="J263" t="s">
        <v>2960</v>
      </c>
      <c r="K263" t="s">
        <v>2961</v>
      </c>
      <c r="L263" s="25" t="s">
        <v>2962</v>
      </c>
    </row>
    <row r="264" spans="2:12" x14ac:dyDescent="0.2">
      <c r="B264" s="24" t="s">
        <v>2963</v>
      </c>
      <c r="C264" t="s">
        <v>2964</v>
      </c>
      <c r="D264" t="s">
        <v>2965</v>
      </c>
      <c r="E264" t="s">
        <v>2966</v>
      </c>
      <c r="F264" t="s">
        <v>2967</v>
      </c>
      <c r="G264" t="s">
        <v>2968</v>
      </c>
      <c r="H264" t="s">
        <v>2969</v>
      </c>
      <c r="I264" t="s">
        <v>2970</v>
      </c>
      <c r="J264" t="s">
        <v>2971</v>
      </c>
      <c r="K264" t="s">
        <v>2972</v>
      </c>
      <c r="L264" s="25" t="s">
        <v>2967</v>
      </c>
    </row>
    <row r="265" spans="2:12" x14ac:dyDescent="0.2">
      <c r="B265" s="24" t="s">
        <v>2973</v>
      </c>
      <c r="C265" t="s">
        <v>2974</v>
      </c>
      <c r="D265" t="s">
        <v>2975</v>
      </c>
      <c r="E265" t="s">
        <v>2976</v>
      </c>
      <c r="F265" t="s">
        <v>2977</v>
      </c>
      <c r="G265" t="s">
        <v>2978</v>
      </c>
      <c r="H265" t="s">
        <v>2973</v>
      </c>
      <c r="I265" t="s">
        <v>2979</v>
      </c>
      <c r="J265" t="s">
        <v>2980</v>
      </c>
      <c r="K265" t="s">
        <v>2981</v>
      </c>
      <c r="L265" s="25" t="s">
        <v>2982</v>
      </c>
    </row>
    <row r="266" spans="2:12" x14ac:dyDescent="0.2">
      <c r="B266" s="24" t="s">
        <v>2983</v>
      </c>
      <c r="C266" t="s">
        <v>2984</v>
      </c>
      <c r="D266" t="s">
        <v>2984</v>
      </c>
      <c r="E266" t="s">
        <v>2985</v>
      </c>
      <c r="F266" t="s">
        <v>2983</v>
      </c>
      <c r="G266" t="s">
        <v>2983</v>
      </c>
      <c r="H266" t="s">
        <v>2983</v>
      </c>
      <c r="I266" t="s">
        <v>2983</v>
      </c>
      <c r="J266" t="s">
        <v>2986</v>
      </c>
      <c r="K266" t="s">
        <v>2987</v>
      </c>
      <c r="L266" s="25" t="s">
        <v>2988</v>
      </c>
    </row>
    <row r="267" spans="2:12" x14ac:dyDescent="0.2">
      <c r="B267" s="24" t="s">
        <v>2989</v>
      </c>
      <c r="C267" t="s">
        <v>2990</v>
      </c>
      <c r="D267" t="s">
        <v>2991</v>
      </c>
      <c r="E267" t="s">
        <v>2992</v>
      </c>
      <c r="F267" t="s">
        <v>2993</v>
      </c>
      <c r="G267" t="s">
        <v>2994</v>
      </c>
      <c r="H267" t="s">
        <v>2995</v>
      </c>
      <c r="I267" t="s">
        <v>2996</v>
      </c>
      <c r="J267" t="s">
        <v>2997</v>
      </c>
      <c r="K267" t="s">
        <v>2998</v>
      </c>
      <c r="L267" s="25" t="s">
        <v>2999</v>
      </c>
    </row>
    <row r="268" spans="2:12" x14ac:dyDescent="0.2">
      <c r="B268" s="24" t="s">
        <v>3000</v>
      </c>
      <c r="C268" t="s">
        <v>3001</v>
      </c>
      <c r="D268" t="s">
        <v>3001</v>
      </c>
      <c r="E268" t="s">
        <v>3002</v>
      </c>
      <c r="F268" t="s">
        <v>3003</v>
      </c>
      <c r="G268" t="s">
        <v>3000</v>
      </c>
      <c r="H268" t="s">
        <v>3004</v>
      </c>
      <c r="I268" t="s">
        <v>3005</v>
      </c>
      <c r="J268" t="s">
        <v>3006</v>
      </c>
      <c r="K268" t="s">
        <v>3007</v>
      </c>
      <c r="L268" s="25" t="s">
        <v>3000</v>
      </c>
    </row>
    <row r="269" spans="2:12" x14ac:dyDescent="0.2">
      <c r="B269" s="24" t="s">
        <v>3008</v>
      </c>
      <c r="C269" t="s">
        <v>3009</v>
      </c>
      <c r="D269" t="s">
        <v>3009</v>
      </c>
      <c r="E269" t="s">
        <v>3010</v>
      </c>
      <c r="F269" t="s">
        <v>3008</v>
      </c>
      <c r="G269" t="s">
        <v>3008</v>
      </c>
      <c r="H269" t="s">
        <v>3011</v>
      </c>
      <c r="I269" t="s">
        <v>3008</v>
      </c>
      <c r="J269" t="s">
        <v>3012</v>
      </c>
      <c r="K269" t="s">
        <v>3013</v>
      </c>
      <c r="L269" s="25" t="s">
        <v>3008</v>
      </c>
    </row>
    <row r="270" spans="2:12" x14ac:dyDescent="0.2">
      <c r="B270" s="24" t="s">
        <v>3014</v>
      </c>
      <c r="C270" t="s">
        <v>3015</v>
      </c>
      <c r="D270" t="s">
        <v>3015</v>
      </c>
      <c r="E270" t="s">
        <v>3016</v>
      </c>
      <c r="F270" t="s">
        <v>3014</v>
      </c>
      <c r="G270" t="s">
        <v>3017</v>
      </c>
      <c r="H270" t="s">
        <v>3018</v>
      </c>
      <c r="I270" t="s">
        <v>3014</v>
      </c>
      <c r="J270" t="s">
        <v>3019</v>
      </c>
      <c r="K270" t="s">
        <v>3020</v>
      </c>
      <c r="L270" s="25" t="s">
        <v>3014</v>
      </c>
    </row>
    <row r="271" spans="2:12" x14ac:dyDescent="0.2">
      <c r="B271" s="24" t="s">
        <v>3021</v>
      </c>
      <c r="C271" t="s">
        <v>3022</v>
      </c>
      <c r="D271" t="s">
        <v>3022</v>
      </c>
      <c r="E271" t="s">
        <v>3023</v>
      </c>
      <c r="F271" t="s">
        <v>3024</v>
      </c>
      <c r="G271" t="s">
        <v>3021</v>
      </c>
      <c r="H271" t="s">
        <v>3025</v>
      </c>
      <c r="I271" t="s">
        <v>3021</v>
      </c>
      <c r="J271" t="s">
        <v>3026</v>
      </c>
      <c r="K271" t="s">
        <v>3027</v>
      </c>
      <c r="L271" s="25" t="s">
        <v>3024</v>
      </c>
    </row>
    <row r="272" spans="2:12" x14ac:dyDescent="0.2">
      <c r="B272" s="24" t="s">
        <v>3028</v>
      </c>
      <c r="C272" t="s">
        <v>3029</v>
      </c>
      <c r="D272" t="s">
        <v>3029</v>
      </c>
      <c r="E272" t="s">
        <v>3030</v>
      </c>
      <c r="F272" t="s">
        <v>3031</v>
      </c>
      <c r="G272" t="s">
        <v>3032</v>
      </c>
      <c r="H272" t="s">
        <v>3032</v>
      </c>
      <c r="I272" t="s">
        <v>3033</v>
      </c>
      <c r="J272" t="s">
        <v>3034</v>
      </c>
      <c r="K272" t="s">
        <v>3035</v>
      </c>
      <c r="L272" s="25" t="s">
        <v>3032</v>
      </c>
    </row>
    <row r="273" spans="2:12" x14ac:dyDescent="0.2">
      <c r="B273" s="24" t="s">
        <v>3036</v>
      </c>
      <c r="C273" t="s">
        <v>3037</v>
      </c>
      <c r="D273" t="s">
        <v>3037</v>
      </c>
      <c r="E273" t="s">
        <v>3038</v>
      </c>
      <c r="F273" t="s">
        <v>3036</v>
      </c>
      <c r="G273" t="s">
        <v>3039</v>
      </c>
      <c r="H273" t="s">
        <v>3040</v>
      </c>
      <c r="I273" t="s">
        <v>3041</v>
      </c>
      <c r="J273" t="s">
        <v>3042</v>
      </c>
      <c r="K273" t="s">
        <v>3043</v>
      </c>
      <c r="L273" s="25" t="s">
        <v>3036</v>
      </c>
    </row>
    <row r="274" spans="2:12" x14ac:dyDescent="0.2">
      <c r="B274" s="24" t="s">
        <v>3044</v>
      </c>
      <c r="C274" t="s">
        <v>3045</v>
      </c>
      <c r="D274" t="s">
        <v>3045</v>
      </c>
      <c r="E274" t="s">
        <v>3046</v>
      </c>
      <c r="F274" t="s">
        <v>3044</v>
      </c>
      <c r="G274" t="s">
        <v>3047</v>
      </c>
      <c r="H274" t="s">
        <v>3048</v>
      </c>
      <c r="I274" t="s">
        <v>3049</v>
      </c>
      <c r="J274" t="s">
        <v>3050</v>
      </c>
      <c r="K274" t="s">
        <v>3051</v>
      </c>
      <c r="L274" s="25" t="s">
        <v>3044</v>
      </c>
    </row>
    <row r="275" spans="2:12" x14ac:dyDescent="0.2">
      <c r="B275" s="24" t="s">
        <v>3052</v>
      </c>
      <c r="C275" t="s">
        <v>3053</v>
      </c>
      <c r="D275" t="s">
        <v>3053</v>
      </c>
      <c r="E275" t="s">
        <v>3054</v>
      </c>
      <c r="F275" t="s">
        <v>3055</v>
      </c>
      <c r="G275" t="s">
        <v>3052</v>
      </c>
      <c r="H275" t="s">
        <v>3056</v>
      </c>
      <c r="I275" t="s">
        <v>3055</v>
      </c>
      <c r="J275" t="s">
        <v>3057</v>
      </c>
      <c r="K275" t="s">
        <v>3058</v>
      </c>
      <c r="L275" s="25" t="s">
        <v>3055</v>
      </c>
    </row>
    <row r="276" spans="2:12" x14ac:dyDescent="0.2">
      <c r="B276" s="24" t="s">
        <v>3059</v>
      </c>
      <c r="C276" t="s">
        <v>3060</v>
      </c>
      <c r="D276" t="s">
        <v>3060</v>
      </c>
      <c r="E276" t="s">
        <v>3061</v>
      </c>
      <c r="F276" t="s">
        <v>3059</v>
      </c>
      <c r="G276" t="s">
        <v>3059</v>
      </c>
      <c r="H276" t="s">
        <v>3062</v>
      </c>
      <c r="I276" t="s">
        <v>3063</v>
      </c>
      <c r="J276" t="s">
        <v>3064</v>
      </c>
      <c r="K276" t="s">
        <v>3065</v>
      </c>
      <c r="L276" s="25" t="s">
        <v>3066</v>
      </c>
    </row>
    <row r="277" spans="2:12" x14ac:dyDescent="0.2">
      <c r="B277" s="24" t="s">
        <v>3067</v>
      </c>
      <c r="C277" t="s">
        <v>3068</v>
      </c>
      <c r="D277" t="s">
        <v>3068</v>
      </c>
      <c r="E277" t="s">
        <v>3069</v>
      </c>
      <c r="F277" t="s">
        <v>3067</v>
      </c>
      <c r="G277" t="s">
        <v>3070</v>
      </c>
      <c r="H277" t="s">
        <v>3071</v>
      </c>
      <c r="I277" t="s">
        <v>3072</v>
      </c>
      <c r="J277" t="s">
        <v>3073</v>
      </c>
      <c r="K277" t="s">
        <v>3074</v>
      </c>
      <c r="L277" s="25" t="s">
        <v>3075</v>
      </c>
    </row>
    <row r="278" spans="2:12" x14ac:dyDescent="0.2">
      <c r="B278" s="24" t="s">
        <v>3076</v>
      </c>
      <c r="C278" t="s">
        <v>3077</v>
      </c>
      <c r="D278" t="s">
        <v>3077</v>
      </c>
      <c r="E278" t="s">
        <v>3078</v>
      </c>
      <c r="F278" t="s">
        <v>3076</v>
      </c>
      <c r="G278" t="s">
        <v>3076</v>
      </c>
      <c r="H278" t="s">
        <v>3079</v>
      </c>
      <c r="I278" t="s">
        <v>3076</v>
      </c>
      <c r="J278" t="s">
        <v>3080</v>
      </c>
      <c r="K278" t="s">
        <v>3081</v>
      </c>
      <c r="L278" s="25" t="s">
        <v>3076</v>
      </c>
    </row>
    <row r="279" spans="2:12" x14ac:dyDescent="0.2">
      <c r="B279" s="24" t="s">
        <v>3082</v>
      </c>
      <c r="C279" t="s">
        <v>3083</v>
      </c>
      <c r="D279" t="s">
        <v>3083</v>
      </c>
      <c r="E279" t="s">
        <v>3084</v>
      </c>
      <c r="F279" t="s">
        <v>3085</v>
      </c>
      <c r="G279" t="s">
        <v>3086</v>
      </c>
      <c r="H279" t="s">
        <v>3087</v>
      </c>
      <c r="I279" t="s">
        <v>3085</v>
      </c>
      <c r="J279" t="s">
        <v>3088</v>
      </c>
      <c r="K279" t="s">
        <v>3089</v>
      </c>
      <c r="L279" s="25" t="s">
        <v>3086</v>
      </c>
    </row>
    <row r="280" spans="2:12" x14ac:dyDescent="0.2">
      <c r="B280" s="24" t="s">
        <v>948</v>
      </c>
      <c r="C280" t="s">
        <v>949</v>
      </c>
      <c r="D280" t="s">
        <v>949</v>
      </c>
      <c r="E280" t="s">
        <v>949</v>
      </c>
      <c r="F280" t="s">
        <v>950</v>
      </c>
      <c r="G280" t="s">
        <v>951</v>
      </c>
      <c r="H280" t="s">
        <v>952</v>
      </c>
      <c r="I280" t="s">
        <v>953</v>
      </c>
      <c r="J280" t="s">
        <v>954</v>
      </c>
      <c r="K280" t="s">
        <v>955</v>
      </c>
      <c r="L280" s="25" t="s">
        <v>956</v>
      </c>
    </row>
    <row r="281" spans="2:12" x14ac:dyDescent="0.2">
      <c r="B281" s="24" t="s">
        <v>12</v>
      </c>
      <c r="C281" t="s">
        <v>776</v>
      </c>
      <c r="D281" t="s">
        <v>776</v>
      </c>
      <c r="E281" t="s">
        <v>968</v>
      </c>
      <c r="F281" t="s">
        <v>969</v>
      </c>
      <c r="G281" t="s">
        <v>970</v>
      </c>
      <c r="H281" t="s">
        <v>971</v>
      </c>
      <c r="I281" t="s">
        <v>972</v>
      </c>
      <c r="J281" t="s">
        <v>973</v>
      </c>
      <c r="K281" t="s">
        <v>974</v>
      </c>
      <c r="L281" s="25" t="s">
        <v>975</v>
      </c>
    </row>
    <row r="282" spans="2:12" x14ac:dyDescent="0.2">
      <c r="B282" s="24" t="s">
        <v>11</v>
      </c>
      <c r="C282" t="s">
        <v>986</v>
      </c>
      <c r="D282" t="s">
        <v>987</v>
      </c>
      <c r="E282" t="s">
        <v>988</v>
      </c>
      <c r="F282" t="s">
        <v>989</v>
      </c>
      <c r="G282" t="s">
        <v>990</v>
      </c>
      <c r="H282" t="s">
        <v>991</v>
      </c>
      <c r="I282" t="s">
        <v>992</v>
      </c>
      <c r="J282" t="s">
        <v>993</v>
      </c>
      <c r="K282" t="s">
        <v>994</v>
      </c>
      <c r="L282" s="25" t="s">
        <v>995</v>
      </c>
    </row>
    <row r="283" spans="2:12" x14ac:dyDescent="0.2">
      <c r="B283" s="24" t="s">
        <v>76</v>
      </c>
      <c r="C283" t="s">
        <v>1037</v>
      </c>
      <c r="D283" t="s">
        <v>1038</v>
      </c>
      <c r="E283" t="s">
        <v>1039</v>
      </c>
      <c r="F283" t="s">
        <v>1040</v>
      </c>
      <c r="G283" t="s">
        <v>1041</v>
      </c>
      <c r="H283" t="s">
        <v>1042</v>
      </c>
      <c r="I283" t="s">
        <v>1043</v>
      </c>
      <c r="J283" t="s">
        <v>1044</v>
      </c>
      <c r="K283" t="s">
        <v>1045</v>
      </c>
      <c r="L283" s="25" t="s">
        <v>1046</v>
      </c>
    </row>
    <row r="284" spans="2:12" x14ac:dyDescent="0.2">
      <c r="B284" s="24" t="s">
        <v>8</v>
      </c>
      <c r="C284" t="s">
        <v>909</v>
      </c>
      <c r="D284" t="s">
        <v>910</v>
      </c>
      <c r="E284" t="s">
        <v>911</v>
      </c>
      <c r="F284" t="s">
        <v>1075</v>
      </c>
      <c r="G284" t="s">
        <v>1076</v>
      </c>
      <c r="H284" t="s">
        <v>1077</v>
      </c>
      <c r="I284" t="s">
        <v>1078</v>
      </c>
      <c r="J284" t="s">
        <v>1079</v>
      </c>
      <c r="K284" t="s">
        <v>1080</v>
      </c>
      <c r="L284" s="25" t="s">
        <v>1081</v>
      </c>
    </row>
    <row r="285" spans="2:12" x14ac:dyDescent="0.2">
      <c r="B285" s="24" t="s">
        <v>3090</v>
      </c>
      <c r="C285" t="s">
        <v>3091</v>
      </c>
      <c r="D285" t="s">
        <v>3092</v>
      </c>
      <c r="E285" t="s">
        <v>3093</v>
      </c>
      <c r="F285" t="s">
        <v>3094</v>
      </c>
      <c r="G285" t="s">
        <v>3095</v>
      </c>
      <c r="H285" t="s">
        <v>3096</v>
      </c>
      <c r="I285" t="s">
        <v>3097</v>
      </c>
      <c r="J285" t="s">
        <v>3098</v>
      </c>
      <c r="K285" t="s">
        <v>3099</v>
      </c>
      <c r="L285" s="25" t="s">
        <v>3100</v>
      </c>
    </row>
    <row r="286" spans="2:12" x14ac:dyDescent="0.2">
      <c r="B286" s="24" t="s">
        <v>3101</v>
      </c>
      <c r="C286" t="s">
        <v>3102</v>
      </c>
      <c r="D286" t="s">
        <v>3103</v>
      </c>
      <c r="E286" t="s">
        <v>3104</v>
      </c>
      <c r="F286" t="s">
        <v>3105</v>
      </c>
      <c r="G286" t="s">
        <v>3106</v>
      </c>
      <c r="H286" t="s">
        <v>3107</v>
      </c>
      <c r="I286" t="s">
        <v>3108</v>
      </c>
      <c r="J286" t="s">
        <v>3109</v>
      </c>
      <c r="K286" t="s">
        <v>3110</v>
      </c>
      <c r="L286" s="25" t="s">
        <v>3111</v>
      </c>
    </row>
    <row r="287" spans="2:12" x14ac:dyDescent="0.2">
      <c r="B287" s="24" t="s">
        <v>3112</v>
      </c>
      <c r="C287" t="s">
        <v>3113</v>
      </c>
      <c r="D287" t="s">
        <v>3114</v>
      </c>
      <c r="E287" t="s">
        <v>3115</v>
      </c>
      <c r="F287" t="s">
        <v>3116</v>
      </c>
      <c r="G287" t="s">
        <v>3117</v>
      </c>
      <c r="H287" t="s">
        <v>3118</v>
      </c>
      <c r="I287" t="s">
        <v>3119</v>
      </c>
      <c r="J287" t="s">
        <v>3120</v>
      </c>
      <c r="K287" t="s">
        <v>3121</v>
      </c>
      <c r="L287" s="25" t="s">
        <v>3122</v>
      </c>
    </row>
    <row r="288" spans="2:12" x14ac:dyDescent="0.2">
      <c r="B288" s="24" t="s">
        <v>3123</v>
      </c>
      <c r="C288" t="s">
        <v>3124</v>
      </c>
      <c r="D288" t="s">
        <v>3125</v>
      </c>
      <c r="E288" t="s">
        <v>3126</v>
      </c>
      <c r="F288" t="s">
        <v>3127</v>
      </c>
      <c r="G288" t="s">
        <v>3128</v>
      </c>
      <c r="H288" t="s">
        <v>3129</v>
      </c>
      <c r="I288" t="s">
        <v>3130</v>
      </c>
      <c r="J288" t="s">
        <v>3131</v>
      </c>
      <c r="K288" t="s">
        <v>3132</v>
      </c>
      <c r="L288" s="25" t="s">
        <v>3133</v>
      </c>
    </row>
    <row r="289" spans="2:12" x14ac:dyDescent="0.2">
      <c r="B289" s="24" t="s">
        <v>3134</v>
      </c>
      <c r="C289" t="s">
        <v>3135</v>
      </c>
      <c r="D289" t="s">
        <v>3136</v>
      </c>
      <c r="E289" t="s">
        <v>3137</v>
      </c>
      <c r="F289" t="s">
        <v>3138</v>
      </c>
      <c r="G289" t="s">
        <v>3139</v>
      </c>
      <c r="H289" t="s">
        <v>3140</v>
      </c>
      <c r="I289" t="s">
        <v>3141</v>
      </c>
      <c r="J289" t="s">
        <v>3142</v>
      </c>
      <c r="K289" t="s">
        <v>3143</v>
      </c>
      <c r="L289" s="25" t="s">
        <v>3144</v>
      </c>
    </row>
    <row r="290" spans="2:12" x14ac:dyDescent="0.2">
      <c r="B290" s="24" t="s">
        <v>2565</v>
      </c>
      <c r="C290" t="s">
        <v>2566</v>
      </c>
      <c r="D290" t="s">
        <v>2567</v>
      </c>
      <c r="E290" t="s">
        <v>2568</v>
      </c>
      <c r="F290" t="s">
        <v>2569</v>
      </c>
      <c r="G290" t="s">
        <v>2570</v>
      </c>
      <c r="H290" t="s">
        <v>2571</v>
      </c>
      <c r="I290" t="s">
        <v>2572</v>
      </c>
      <c r="J290" t="s">
        <v>2573</v>
      </c>
      <c r="K290" t="s">
        <v>2574</v>
      </c>
      <c r="L290" s="25" t="s">
        <v>2575</v>
      </c>
    </row>
    <row r="291" spans="2:12" x14ac:dyDescent="0.2">
      <c r="B291" s="24" t="s">
        <v>3145</v>
      </c>
      <c r="C291" t="s">
        <v>3146</v>
      </c>
      <c r="D291" t="s">
        <v>3147</v>
      </c>
      <c r="E291" t="s">
        <v>3148</v>
      </c>
      <c r="F291" t="s">
        <v>3149</v>
      </c>
      <c r="G291" t="s">
        <v>3150</v>
      </c>
      <c r="H291" t="s">
        <v>3129</v>
      </c>
      <c r="I291" t="s">
        <v>3130</v>
      </c>
      <c r="J291" t="s">
        <v>3151</v>
      </c>
      <c r="K291" t="s">
        <v>3132</v>
      </c>
      <c r="L291" s="25" t="s">
        <v>3152</v>
      </c>
    </row>
    <row r="292" spans="2:12" x14ac:dyDescent="0.2">
      <c r="B292" s="24" t="s">
        <v>3153</v>
      </c>
      <c r="C292" t="s">
        <v>3001</v>
      </c>
      <c r="D292" t="s">
        <v>3001</v>
      </c>
      <c r="E292" t="s">
        <v>3002</v>
      </c>
      <c r="F292" t="s">
        <v>3154</v>
      </c>
      <c r="G292" t="s">
        <v>3155</v>
      </c>
      <c r="H292" t="s">
        <v>3156</v>
      </c>
      <c r="I292" t="s">
        <v>3157</v>
      </c>
      <c r="J292" t="s">
        <v>3006</v>
      </c>
      <c r="K292" t="s">
        <v>3158</v>
      </c>
      <c r="L292" s="25" t="s">
        <v>3159</v>
      </c>
    </row>
    <row r="293" spans="2:12" x14ac:dyDescent="0.2">
      <c r="B293" s="24" t="s">
        <v>3160</v>
      </c>
      <c r="C293" t="s">
        <v>3009</v>
      </c>
      <c r="D293" t="s">
        <v>3009</v>
      </c>
      <c r="E293" t="s">
        <v>3010</v>
      </c>
      <c r="F293" t="s">
        <v>3161</v>
      </c>
      <c r="G293" t="s">
        <v>3162</v>
      </c>
      <c r="H293" t="s">
        <v>3163</v>
      </c>
      <c r="I293" t="s">
        <v>3164</v>
      </c>
      <c r="J293" t="s">
        <v>3012</v>
      </c>
      <c r="K293" t="s">
        <v>3165</v>
      </c>
      <c r="L293" s="25" t="s">
        <v>3166</v>
      </c>
    </row>
    <row r="294" spans="2:12" x14ac:dyDescent="0.2">
      <c r="B294" s="24" t="s">
        <v>3167</v>
      </c>
      <c r="C294" t="s">
        <v>3015</v>
      </c>
      <c r="D294" t="s">
        <v>3015</v>
      </c>
      <c r="E294" t="s">
        <v>3016</v>
      </c>
      <c r="F294" t="s">
        <v>3168</v>
      </c>
      <c r="G294" t="s">
        <v>3169</v>
      </c>
      <c r="H294" t="s">
        <v>3018</v>
      </c>
      <c r="I294" t="s">
        <v>3168</v>
      </c>
      <c r="J294" t="s">
        <v>3019</v>
      </c>
      <c r="K294" t="s">
        <v>3170</v>
      </c>
      <c r="L294" s="25" t="s">
        <v>3171</v>
      </c>
    </row>
    <row r="295" spans="2:12" x14ac:dyDescent="0.2">
      <c r="B295" s="24" t="s">
        <v>3172</v>
      </c>
      <c r="C295" t="s">
        <v>3022</v>
      </c>
      <c r="D295" t="s">
        <v>3022</v>
      </c>
      <c r="E295" t="s">
        <v>3023</v>
      </c>
      <c r="F295" t="s">
        <v>3173</v>
      </c>
      <c r="G295" t="s">
        <v>3172</v>
      </c>
      <c r="H295" t="s">
        <v>3174</v>
      </c>
      <c r="I295" t="s">
        <v>3175</v>
      </c>
      <c r="J295" t="s">
        <v>3026</v>
      </c>
      <c r="K295" t="s">
        <v>3176</v>
      </c>
      <c r="L295" s="25" t="s">
        <v>3177</v>
      </c>
    </row>
    <row r="296" spans="2:12" x14ac:dyDescent="0.2">
      <c r="B296" s="24" t="s">
        <v>3178</v>
      </c>
      <c r="C296" t="s">
        <v>3037</v>
      </c>
      <c r="D296" t="s">
        <v>3037</v>
      </c>
      <c r="E296" t="s">
        <v>3038</v>
      </c>
      <c r="F296" t="s">
        <v>3179</v>
      </c>
      <c r="G296" t="s">
        <v>3039</v>
      </c>
      <c r="H296" t="s">
        <v>3040</v>
      </c>
      <c r="I296" t="s">
        <v>3180</v>
      </c>
      <c r="J296" t="s">
        <v>3042</v>
      </c>
      <c r="K296" t="s">
        <v>3181</v>
      </c>
      <c r="L296" s="25" t="s">
        <v>3182</v>
      </c>
    </row>
    <row r="297" spans="2:12" x14ac:dyDescent="0.2">
      <c r="B297" s="24" t="s">
        <v>3183</v>
      </c>
      <c r="C297" t="s">
        <v>3045</v>
      </c>
      <c r="D297" t="s">
        <v>3045</v>
      </c>
      <c r="E297" t="s">
        <v>3046</v>
      </c>
      <c r="F297" t="s">
        <v>3184</v>
      </c>
      <c r="G297" t="s">
        <v>3047</v>
      </c>
      <c r="H297" t="s">
        <v>3048</v>
      </c>
      <c r="I297" t="s">
        <v>3185</v>
      </c>
      <c r="J297" t="s">
        <v>3050</v>
      </c>
      <c r="K297" t="s">
        <v>3186</v>
      </c>
      <c r="L297" s="25" t="s">
        <v>3187</v>
      </c>
    </row>
    <row r="298" spans="2:12" x14ac:dyDescent="0.2">
      <c r="B298" s="24" t="s">
        <v>3188</v>
      </c>
      <c r="C298" t="s">
        <v>3053</v>
      </c>
      <c r="D298" t="s">
        <v>3053</v>
      </c>
      <c r="E298" t="s">
        <v>3054</v>
      </c>
      <c r="F298" t="s">
        <v>3189</v>
      </c>
      <c r="G298" t="s">
        <v>3188</v>
      </c>
      <c r="H298" t="s">
        <v>3190</v>
      </c>
      <c r="I298" t="s">
        <v>3189</v>
      </c>
      <c r="J298" t="s">
        <v>3057</v>
      </c>
      <c r="K298" t="s">
        <v>3191</v>
      </c>
      <c r="L298" s="25" t="s">
        <v>3192</v>
      </c>
    </row>
    <row r="299" spans="2:12" x14ac:dyDescent="0.2">
      <c r="B299" s="24" t="s">
        <v>3193</v>
      </c>
      <c r="C299" t="s">
        <v>3060</v>
      </c>
      <c r="D299" t="s">
        <v>3060</v>
      </c>
      <c r="E299" t="s">
        <v>3061</v>
      </c>
      <c r="F299" t="s">
        <v>3194</v>
      </c>
      <c r="G299" t="s">
        <v>3193</v>
      </c>
      <c r="H299" t="s">
        <v>3195</v>
      </c>
      <c r="I299" t="s">
        <v>3196</v>
      </c>
      <c r="J299" t="s">
        <v>3064</v>
      </c>
      <c r="K299" t="s">
        <v>3197</v>
      </c>
      <c r="L299" s="25" t="s">
        <v>3198</v>
      </c>
    </row>
    <row r="300" spans="2:12" x14ac:dyDescent="0.2">
      <c r="B300" s="24" t="s">
        <v>3199</v>
      </c>
      <c r="C300" t="s">
        <v>3068</v>
      </c>
      <c r="D300" t="s">
        <v>3068</v>
      </c>
      <c r="E300" t="s">
        <v>3069</v>
      </c>
      <c r="F300" t="s">
        <v>3200</v>
      </c>
      <c r="G300" t="s">
        <v>3201</v>
      </c>
      <c r="H300" t="s">
        <v>3202</v>
      </c>
      <c r="I300" t="s">
        <v>3203</v>
      </c>
      <c r="J300" t="s">
        <v>3073</v>
      </c>
      <c r="K300" t="s">
        <v>3204</v>
      </c>
      <c r="L300" s="25" t="s">
        <v>3205</v>
      </c>
    </row>
    <row r="301" spans="2:12" x14ac:dyDescent="0.2">
      <c r="B301" s="24" t="s">
        <v>3206</v>
      </c>
      <c r="C301" t="s">
        <v>3077</v>
      </c>
      <c r="D301" t="s">
        <v>3077</v>
      </c>
      <c r="E301" t="s">
        <v>3078</v>
      </c>
      <c r="F301" t="s">
        <v>3207</v>
      </c>
      <c r="G301" t="s">
        <v>3206</v>
      </c>
      <c r="H301" t="s">
        <v>3208</v>
      </c>
      <c r="I301" t="s">
        <v>3209</v>
      </c>
      <c r="J301" t="s">
        <v>3080</v>
      </c>
      <c r="K301" t="s">
        <v>3210</v>
      </c>
      <c r="L301" s="25" t="s">
        <v>3211</v>
      </c>
    </row>
    <row r="302" spans="2:12" x14ac:dyDescent="0.2">
      <c r="B302" s="24" t="s">
        <v>3212</v>
      </c>
      <c r="C302" t="s">
        <v>3083</v>
      </c>
      <c r="D302" t="s">
        <v>3083</v>
      </c>
      <c r="E302" t="s">
        <v>3084</v>
      </c>
      <c r="F302" t="s">
        <v>3213</v>
      </c>
      <c r="G302" t="s">
        <v>3214</v>
      </c>
      <c r="H302" t="s">
        <v>3215</v>
      </c>
      <c r="I302" t="s">
        <v>3216</v>
      </c>
      <c r="J302" t="s">
        <v>3088</v>
      </c>
      <c r="K302" t="s">
        <v>3217</v>
      </c>
      <c r="L302" s="25" t="s">
        <v>3218</v>
      </c>
    </row>
    <row r="303" spans="2:12" x14ac:dyDescent="0.2">
      <c r="B303" s="24" t="s">
        <v>3219</v>
      </c>
      <c r="C303" t="s">
        <v>3220</v>
      </c>
      <c r="D303" t="s">
        <v>3221</v>
      </c>
      <c r="E303" t="s">
        <v>3222</v>
      </c>
      <c r="F303" t="s">
        <v>3223</v>
      </c>
      <c r="G303" t="s">
        <v>3224</v>
      </c>
      <c r="H303" t="s">
        <v>3225</v>
      </c>
      <c r="I303" t="s">
        <v>4509</v>
      </c>
      <c r="J303" t="s">
        <v>3226</v>
      </c>
      <c r="K303" t="s">
        <v>3227</v>
      </c>
      <c r="L303" s="25" t="s">
        <v>3228</v>
      </c>
    </row>
    <row r="304" spans="2:12" x14ac:dyDescent="0.2">
      <c r="B304" s="24" t="s">
        <v>3229</v>
      </c>
      <c r="C304" t="s">
        <v>3230</v>
      </c>
      <c r="D304" t="s">
        <v>3231</v>
      </c>
      <c r="E304" t="s">
        <v>3232</v>
      </c>
      <c r="F304" t="s">
        <v>3233</v>
      </c>
      <c r="G304" t="s">
        <v>3234</v>
      </c>
      <c r="H304" t="s">
        <v>3235</v>
      </c>
      <c r="I304" t="s">
        <v>3236</v>
      </c>
      <c r="J304" t="s">
        <v>3237</v>
      </c>
      <c r="K304" t="s">
        <v>3238</v>
      </c>
      <c r="L304" s="25" t="s">
        <v>3239</v>
      </c>
    </row>
    <row r="305" spans="2:12" x14ac:dyDescent="0.2">
      <c r="B305" s="24" t="s">
        <v>4244</v>
      </c>
      <c r="C305" t="s">
        <v>4245</v>
      </c>
      <c r="D305" t="s">
        <v>4245</v>
      </c>
      <c r="E305" t="s">
        <v>568</v>
      </c>
      <c r="F305" t="s">
        <v>4246</v>
      </c>
      <c r="G305" t="s">
        <v>4247</v>
      </c>
      <c r="H305" t="s">
        <v>4248</v>
      </c>
      <c r="I305" t="s">
        <v>4249</v>
      </c>
      <c r="J305" t="s">
        <v>4250</v>
      </c>
      <c r="K305" t="s">
        <v>4251</v>
      </c>
      <c r="L305" s="25" t="s">
        <v>569</v>
      </c>
    </row>
    <row r="306" spans="2:12" x14ac:dyDescent="0.2">
      <c r="B306" s="24" t="s">
        <v>4252</v>
      </c>
      <c r="C306" t="s">
        <v>4253</v>
      </c>
      <c r="D306" t="s">
        <v>4253</v>
      </c>
      <c r="E306" t="s">
        <v>581</v>
      </c>
      <c r="F306" t="s">
        <v>4254</v>
      </c>
      <c r="G306" t="s">
        <v>4255</v>
      </c>
      <c r="H306" t="s">
        <v>4256</v>
      </c>
      <c r="I306" t="s">
        <v>4257</v>
      </c>
      <c r="J306" t="s">
        <v>4840</v>
      </c>
      <c r="K306" t="s">
        <v>4258</v>
      </c>
      <c r="L306" s="25" t="s">
        <v>582</v>
      </c>
    </row>
    <row r="307" spans="2:12" x14ac:dyDescent="0.2">
      <c r="B307" s="24" t="s">
        <v>4259</v>
      </c>
      <c r="C307" t="s">
        <v>4260</v>
      </c>
      <c r="D307" t="s">
        <v>4260</v>
      </c>
      <c r="E307" t="s">
        <v>594</v>
      </c>
      <c r="F307" t="s">
        <v>4261</v>
      </c>
      <c r="G307" t="s">
        <v>4262</v>
      </c>
      <c r="H307" t="s">
        <v>4263</v>
      </c>
      <c r="I307" t="s">
        <v>4264</v>
      </c>
      <c r="J307" t="s">
        <v>4841</v>
      </c>
      <c r="K307" t="s">
        <v>4265</v>
      </c>
      <c r="L307" s="25" t="s">
        <v>595</v>
      </c>
    </row>
    <row r="308" spans="2:12" x14ac:dyDescent="0.2">
      <c r="B308" s="24" t="s">
        <v>4266</v>
      </c>
      <c r="C308" t="s">
        <v>4267</v>
      </c>
      <c r="D308" t="s">
        <v>4267</v>
      </c>
      <c r="E308" t="s">
        <v>596</v>
      </c>
      <c r="F308" t="s">
        <v>4268</v>
      </c>
      <c r="G308" t="s">
        <v>4269</v>
      </c>
      <c r="H308" t="s">
        <v>4270</v>
      </c>
      <c r="I308" t="s">
        <v>4271</v>
      </c>
      <c r="J308" t="s">
        <v>4842</v>
      </c>
      <c r="K308" t="s">
        <v>4272</v>
      </c>
      <c r="L308" s="25" t="s">
        <v>597</v>
      </c>
    </row>
    <row r="309" spans="2:12" x14ac:dyDescent="0.2">
      <c r="B309" s="24" t="s">
        <v>4273</v>
      </c>
      <c r="C309" t="s">
        <v>4274</v>
      </c>
      <c r="D309" t="s">
        <v>4274</v>
      </c>
      <c r="E309" t="s">
        <v>598</v>
      </c>
      <c r="F309" t="s">
        <v>4275</v>
      </c>
      <c r="G309" t="s">
        <v>4276</v>
      </c>
      <c r="H309" t="s">
        <v>4277</v>
      </c>
      <c r="I309" t="s">
        <v>4278</v>
      </c>
      <c r="J309" t="s">
        <v>4843</v>
      </c>
      <c r="K309" t="s">
        <v>4279</v>
      </c>
      <c r="L309" s="25" t="s">
        <v>599</v>
      </c>
    </row>
    <row r="310" spans="2:12" x14ac:dyDescent="0.2">
      <c r="B310" s="24" t="s">
        <v>4280</v>
      </c>
      <c r="C310" t="s">
        <v>4281</v>
      </c>
      <c r="D310" t="s">
        <v>4281</v>
      </c>
      <c r="E310" t="s">
        <v>600</v>
      </c>
      <c r="F310" t="s">
        <v>4282</v>
      </c>
      <c r="G310" t="s">
        <v>4283</v>
      </c>
      <c r="H310" t="s">
        <v>4284</v>
      </c>
      <c r="I310" t="s">
        <v>4285</v>
      </c>
      <c r="J310" t="s">
        <v>4844</v>
      </c>
      <c r="K310" t="s">
        <v>4286</v>
      </c>
      <c r="L310" s="25" t="s">
        <v>601</v>
      </c>
    </row>
    <row r="311" spans="2:12" x14ac:dyDescent="0.2">
      <c r="B311" s="24" t="s">
        <v>3240</v>
      </c>
      <c r="C311" t="s">
        <v>3241</v>
      </c>
      <c r="D311" t="s">
        <v>3242</v>
      </c>
      <c r="E311" t="s">
        <v>3243</v>
      </c>
      <c r="F311" t="s">
        <v>3244</v>
      </c>
      <c r="G311" t="s">
        <v>3245</v>
      </c>
      <c r="H311" t="s">
        <v>3246</v>
      </c>
      <c r="I311" t="s">
        <v>3247</v>
      </c>
      <c r="J311" t="s">
        <v>3248</v>
      </c>
      <c r="K311" t="s">
        <v>3249</v>
      </c>
      <c r="L311" s="25" t="s">
        <v>3250</v>
      </c>
    </row>
    <row r="312" spans="2:12" x14ac:dyDescent="0.2">
      <c r="B312" s="24" t="s">
        <v>3251</v>
      </c>
      <c r="C312" t="s">
        <v>3252</v>
      </c>
      <c r="D312" t="s">
        <v>3253</v>
      </c>
      <c r="E312" t="s">
        <v>3254</v>
      </c>
      <c r="F312" t="s">
        <v>3255</v>
      </c>
      <c r="G312" t="s">
        <v>3256</v>
      </c>
      <c r="H312" t="s">
        <v>3257</v>
      </c>
      <c r="I312" t="s">
        <v>3258</v>
      </c>
      <c r="J312" t="s">
        <v>3259</v>
      </c>
      <c r="K312" t="s">
        <v>3260</v>
      </c>
      <c r="L312" s="25" t="s">
        <v>3261</v>
      </c>
    </row>
    <row r="313" spans="2:12" x14ac:dyDescent="0.2">
      <c r="B313" s="24" t="s">
        <v>3262</v>
      </c>
      <c r="C313" t="s">
        <v>3263</v>
      </c>
      <c r="D313" t="s">
        <v>3264</v>
      </c>
      <c r="E313" t="s">
        <v>3265</v>
      </c>
      <c r="F313" t="s">
        <v>3266</v>
      </c>
      <c r="G313" t="s">
        <v>3267</v>
      </c>
      <c r="H313" t="s">
        <v>3268</v>
      </c>
      <c r="I313" t="s">
        <v>3269</v>
      </c>
      <c r="J313" t="s">
        <v>3270</v>
      </c>
      <c r="K313" t="s">
        <v>3271</v>
      </c>
      <c r="L313" s="25" t="s">
        <v>3272</v>
      </c>
    </row>
    <row r="314" spans="2:12" x14ac:dyDescent="0.2">
      <c r="B314" s="24" t="s">
        <v>3273</v>
      </c>
      <c r="C314" t="s">
        <v>3274</v>
      </c>
      <c r="D314" t="s">
        <v>3275</v>
      </c>
      <c r="E314" t="s">
        <v>3276</v>
      </c>
      <c r="F314" t="s">
        <v>3277</v>
      </c>
      <c r="G314" t="s">
        <v>3278</v>
      </c>
      <c r="H314" t="s">
        <v>3273</v>
      </c>
      <c r="I314" t="s">
        <v>3277</v>
      </c>
      <c r="J314" t="s">
        <v>3273</v>
      </c>
      <c r="K314" t="s">
        <v>3273</v>
      </c>
      <c r="L314" s="25" t="s">
        <v>3273</v>
      </c>
    </row>
    <row r="315" spans="2:12" x14ac:dyDescent="0.2">
      <c r="B315" s="24" t="s">
        <v>3279</v>
      </c>
      <c r="C315" t="s">
        <v>3280</v>
      </c>
      <c r="D315" t="s">
        <v>3281</v>
      </c>
      <c r="E315" t="s">
        <v>3282</v>
      </c>
      <c r="F315" t="s">
        <v>3283</v>
      </c>
      <c r="G315" t="s">
        <v>3284</v>
      </c>
      <c r="H315" t="s">
        <v>3285</v>
      </c>
      <c r="I315" t="s">
        <v>3286</v>
      </c>
      <c r="J315" t="s">
        <v>3287</v>
      </c>
      <c r="K315" t="s">
        <v>3288</v>
      </c>
      <c r="L315" s="25" t="s">
        <v>3289</v>
      </c>
    </row>
    <row r="316" spans="2:12" x14ac:dyDescent="0.2">
      <c r="B316" s="24" t="s">
        <v>3290</v>
      </c>
      <c r="C316" t="s">
        <v>3291</v>
      </c>
      <c r="D316" t="s">
        <v>3291</v>
      </c>
      <c r="E316" t="s">
        <v>3292</v>
      </c>
      <c r="F316" t="s">
        <v>3293</v>
      </c>
      <c r="G316" t="s">
        <v>3294</v>
      </c>
      <c r="H316" t="s">
        <v>3295</v>
      </c>
      <c r="I316" t="s">
        <v>3296</v>
      </c>
      <c r="J316" t="s">
        <v>3297</v>
      </c>
      <c r="K316" t="s">
        <v>3298</v>
      </c>
      <c r="L316" s="25" t="s">
        <v>3299</v>
      </c>
    </row>
    <row r="317" spans="2:12" x14ac:dyDescent="0.2">
      <c r="B317" s="24" t="s">
        <v>3300</v>
      </c>
      <c r="C317" t="s">
        <v>3301</v>
      </c>
      <c r="D317" t="s">
        <v>3302</v>
      </c>
      <c r="E317" t="s">
        <v>3303</v>
      </c>
      <c r="F317" t="s">
        <v>3304</v>
      </c>
      <c r="G317" t="s">
        <v>3305</v>
      </c>
      <c r="H317" t="s">
        <v>3306</v>
      </c>
      <c r="I317" t="s">
        <v>3307</v>
      </c>
      <c r="J317" t="s">
        <v>3308</v>
      </c>
      <c r="K317" t="s">
        <v>3309</v>
      </c>
      <c r="L317" s="25" t="s">
        <v>3310</v>
      </c>
    </row>
    <row r="318" spans="2:12" x14ac:dyDescent="0.2">
      <c r="B318" s="24" t="s">
        <v>3311</v>
      </c>
      <c r="C318" t="s">
        <v>3312</v>
      </c>
      <c r="D318" t="s">
        <v>3313</v>
      </c>
      <c r="E318" t="s">
        <v>3314</v>
      </c>
      <c r="F318" t="s">
        <v>3315</v>
      </c>
      <c r="G318" t="s">
        <v>3316</v>
      </c>
      <c r="H318" t="s">
        <v>3317</v>
      </c>
      <c r="I318" t="s">
        <v>3318</v>
      </c>
      <c r="J318" t="s">
        <v>3319</v>
      </c>
      <c r="K318" t="s">
        <v>3320</v>
      </c>
      <c r="L318" s="25" t="s">
        <v>3321</v>
      </c>
    </row>
    <row r="319" spans="2:12" x14ac:dyDescent="0.2">
      <c r="B319" s="24" t="s">
        <v>3322</v>
      </c>
      <c r="C319" t="s">
        <v>3323</v>
      </c>
      <c r="D319" t="s">
        <v>3324</v>
      </c>
      <c r="E319" t="s">
        <v>3325</v>
      </c>
      <c r="F319" t="s">
        <v>3326</v>
      </c>
      <c r="G319" t="s">
        <v>3327</v>
      </c>
      <c r="H319" t="s">
        <v>3328</v>
      </c>
      <c r="I319" t="s">
        <v>3329</v>
      </c>
      <c r="J319" t="s">
        <v>3330</v>
      </c>
      <c r="K319" t="s">
        <v>5060</v>
      </c>
      <c r="L319" s="25" t="s">
        <v>3331</v>
      </c>
    </row>
    <row r="320" spans="2:12" x14ac:dyDescent="0.2">
      <c r="B320" s="24" t="s">
        <v>3332</v>
      </c>
      <c r="C320" t="s">
        <v>3333</v>
      </c>
      <c r="D320" t="s">
        <v>3333</v>
      </c>
      <c r="E320" t="s">
        <v>3334</v>
      </c>
      <c r="F320" t="s">
        <v>3335</v>
      </c>
      <c r="G320" t="s">
        <v>3336</v>
      </c>
      <c r="H320" t="s">
        <v>3337</v>
      </c>
      <c r="I320" t="s">
        <v>3338</v>
      </c>
      <c r="J320" t="s">
        <v>3339</v>
      </c>
      <c r="K320" t="s">
        <v>3340</v>
      </c>
      <c r="L320" s="25" t="s">
        <v>2232</v>
      </c>
    </row>
    <row r="321" spans="2:12" x14ac:dyDescent="0.2">
      <c r="B321" s="24" t="s">
        <v>3341</v>
      </c>
      <c r="C321" t="s">
        <v>3342</v>
      </c>
      <c r="D321" t="s">
        <v>3343</v>
      </c>
      <c r="E321" t="s">
        <v>3344</v>
      </c>
      <c r="F321" t="s">
        <v>3345</v>
      </c>
      <c r="G321" t="s">
        <v>3346</v>
      </c>
      <c r="H321" t="s">
        <v>3347</v>
      </c>
      <c r="I321" t="s">
        <v>3345</v>
      </c>
      <c r="J321" t="s">
        <v>3348</v>
      </c>
      <c r="K321" t="s">
        <v>3349</v>
      </c>
      <c r="L321" s="25" t="s">
        <v>3345</v>
      </c>
    </row>
    <row r="322" spans="2:12" x14ac:dyDescent="0.2">
      <c r="B322" s="24" t="str">
        <f ca="1">"Copyright © "&amp;$O$1&amp;" S&amp;P Global Market Intelligence LLC (and its affiliates as applicable)"</f>
        <v>Copyright © 2026 S&amp;P Global Market Intelligence LLC (and its affiliates as applicable)</v>
      </c>
      <c r="C322" t="str">
        <f ca="1">"版权所有©"&amp;$O$1&amp;" S＆P Global Market Intelligence LLC（及其适用的附属公司）"</f>
        <v>版权所有©2026 S＆P Global Market Intelligence LLC（及其适用的附属公司）</v>
      </c>
      <c r="D322" t="str">
        <f ca="1">"版權所有©"&amp;$O$1&amp;" S＆P Global Market Intelligence LLC（及其適用的附屬公司）"</f>
        <v>版權所有©2026 S＆P Global Market Intelligence LLC（及其適用的附屬公司）</v>
      </c>
      <c r="E322" t="str">
        <f ca="1">"著作権©"&amp;O1&amp;" S&amp;P Global Market Intelligence LLC（およびその関連会社）"</f>
        <v>著作権©2026 S&amp;P Global Market Intelligence LLC（およびその関連会社）</v>
      </c>
      <c r="F322" t="str">
        <f ca="1">"Copyright © "&amp;$O$1&amp;" 2024 S&amp;P Global Market Intelligence LLC (and its affiliates as applicable)"</f>
        <v>Copyright © 2026 2024 S&amp;P Global Market Intelligence LLC (and its affiliates as applicable)</v>
      </c>
      <c r="G322" t="str">
        <f ca="1">"Copyright © "&amp;$O$1&amp;" S&amp;P Global Market Intelligence LLC (und seine verbundenen Unternehmen, falls zutreffend)"</f>
        <v>Copyright © 2026 S&amp;P Global Market Intelligence LLC (und seine verbundenen Unternehmen, falls zutreffend)</v>
      </c>
      <c r="H322" t="str">
        <f ca="1">"Copyright © "&amp;$O$1&amp;" S&amp;P Global Market Intelligence LLC (et ses filiales le cas échéant)"</f>
        <v>Copyright © 2026 S&amp;P Global Market Intelligence LLC (et ses filiales le cas échéant)</v>
      </c>
      <c r="I322" t="str">
        <f ca="1">"Copyright © "&amp;$O$1&amp;" S&amp;P Global Market Intelligence LLC (e sue affiliate, ove applicabile)"</f>
        <v>Copyright © 2026 S&amp;P Global Market Intelligence LLC (e sue affiliate, ove applicabile)</v>
      </c>
      <c r="J322" t="str">
        <f ca="1">"저작권 © "&amp;$O$1&amp;" S&amp;P Global Market Intelligence LLC(및 그의 계열사)"</f>
        <v>저작권 © 2026 S&amp;P Global Market Intelligence LLC(및 그의 계열사)</v>
      </c>
      <c r="K322" t="str">
        <f ca="1">"Авторские права © "&amp;$O$1&amp;" S&amp;P Global Market Intelligence LLC (и ее аффилированные лица, если применимо)"</f>
        <v>Авторские права © 2026 S&amp;P Global Market Intelligence LLC (и ее аффилированные лица, если применимо)</v>
      </c>
      <c r="L322" s="25" t="str">
        <f ca="1">"Copyright © "&amp;$O$1&amp;" S&amp;P Global Market Intelligence LLC (e suas afiliadas conforme aplicável)"</f>
        <v>Copyright © 2026 S&amp;P Global Market Intelligence LLC (e suas afiliadas conforme aplicável)</v>
      </c>
    </row>
    <row r="323" spans="2:12" x14ac:dyDescent="0.2">
      <c r="B323" s="24" t="s">
        <v>3350</v>
      </c>
      <c r="C323" t="s">
        <v>3351</v>
      </c>
      <c r="D323" t="s">
        <v>3352</v>
      </c>
      <c r="E323" t="s">
        <v>3353</v>
      </c>
      <c r="F323" t="s">
        <v>3350</v>
      </c>
      <c r="G323" t="s">
        <v>3354</v>
      </c>
      <c r="H323" t="s">
        <v>3355</v>
      </c>
      <c r="I323" t="s">
        <v>3356</v>
      </c>
      <c r="J323" t="s">
        <v>3357</v>
      </c>
      <c r="K323" t="s">
        <v>3358</v>
      </c>
      <c r="L323" s="25" t="s">
        <v>3359</v>
      </c>
    </row>
    <row r="324" spans="2:12" x14ac:dyDescent="0.2">
      <c r="B324" s="24" t="s">
        <v>3360</v>
      </c>
      <c r="C324" t="s">
        <v>3361</v>
      </c>
      <c r="D324" t="s">
        <v>3362</v>
      </c>
      <c r="E324" t="s">
        <v>3363</v>
      </c>
      <c r="F324" t="s">
        <v>3364</v>
      </c>
      <c r="G324" t="s">
        <v>3365</v>
      </c>
      <c r="H324" t="s">
        <v>3366</v>
      </c>
      <c r="I324" t="s">
        <v>3367</v>
      </c>
      <c r="J324" t="s">
        <v>3368</v>
      </c>
      <c r="K324" t="s">
        <v>3369</v>
      </c>
      <c r="L324" s="25" t="s">
        <v>3370</v>
      </c>
    </row>
    <row r="325" spans="2:12" x14ac:dyDescent="0.2">
      <c r="B325" s="118" t="s">
        <v>3371</v>
      </c>
      <c r="C325" t="s">
        <v>3372</v>
      </c>
      <c r="D325" t="s">
        <v>3373</v>
      </c>
      <c r="E325" t="s">
        <v>3374</v>
      </c>
      <c r="F325" t="s">
        <v>3375</v>
      </c>
      <c r="G325" t="s">
        <v>3371</v>
      </c>
      <c r="H325" t="s">
        <v>3376</v>
      </c>
      <c r="I325" t="s">
        <v>3377</v>
      </c>
      <c r="J325" t="s">
        <v>3378</v>
      </c>
      <c r="K325" t="s">
        <v>3371</v>
      </c>
      <c r="L325" s="25" t="s">
        <v>3378</v>
      </c>
    </row>
    <row r="326" spans="2:12" x14ac:dyDescent="0.2">
      <c r="B326" s="118" t="s">
        <v>3379</v>
      </c>
      <c r="C326" t="s">
        <v>3380</v>
      </c>
      <c r="D326" t="s">
        <v>3381</v>
      </c>
      <c r="E326" t="s">
        <v>3379</v>
      </c>
      <c r="F326" t="s">
        <v>3382</v>
      </c>
      <c r="G326" t="s">
        <v>3383</v>
      </c>
      <c r="H326" t="s">
        <v>3384</v>
      </c>
      <c r="I326" t="s">
        <v>3379</v>
      </c>
      <c r="J326" t="s">
        <v>3385</v>
      </c>
      <c r="K326" t="s">
        <v>3379</v>
      </c>
      <c r="L326" s="25" t="s">
        <v>3385</v>
      </c>
    </row>
    <row r="327" spans="2:12" x14ac:dyDescent="0.2">
      <c r="B327" s="118" t="s">
        <v>36</v>
      </c>
      <c r="C327" t="s">
        <v>3386</v>
      </c>
      <c r="D327" t="s">
        <v>3387</v>
      </c>
      <c r="E327" t="s">
        <v>3388</v>
      </c>
      <c r="F327" t="s">
        <v>36</v>
      </c>
      <c r="G327" t="s">
        <v>36</v>
      </c>
      <c r="H327" t="s">
        <v>36</v>
      </c>
      <c r="I327" t="s">
        <v>36</v>
      </c>
      <c r="J327" t="s">
        <v>3389</v>
      </c>
      <c r="K327" t="s">
        <v>3390</v>
      </c>
      <c r="L327" s="25" t="s">
        <v>36</v>
      </c>
    </row>
    <row r="328" spans="2:12" x14ac:dyDescent="0.2">
      <c r="B328" s="118" t="s">
        <v>39</v>
      </c>
      <c r="C328" t="s">
        <v>3391</v>
      </c>
      <c r="D328" t="s">
        <v>3392</v>
      </c>
      <c r="E328" t="s">
        <v>3393</v>
      </c>
      <c r="F328" t="s">
        <v>3394</v>
      </c>
      <c r="G328" t="s">
        <v>3395</v>
      </c>
      <c r="H328" t="s">
        <v>3396</v>
      </c>
      <c r="I328" t="s">
        <v>3397</v>
      </c>
      <c r="J328" t="s">
        <v>3398</v>
      </c>
      <c r="K328" t="s">
        <v>3399</v>
      </c>
      <c r="L328" s="25" t="s">
        <v>3400</v>
      </c>
    </row>
    <row r="329" spans="2:12" x14ac:dyDescent="0.2">
      <c r="B329" s="118" t="s">
        <v>43</v>
      </c>
      <c r="C329" t="s">
        <v>3401</v>
      </c>
      <c r="D329" t="s">
        <v>3402</v>
      </c>
      <c r="E329" t="s">
        <v>3403</v>
      </c>
      <c r="F329" t="s">
        <v>3404</v>
      </c>
      <c r="G329" t="s">
        <v>3405</v>
      </c>
      <c r="H329" t="s">
        <v>3406</v>
      </c>
      <c r="I329" t="s">
        <v>3407</v>
      </c>
      <c r="J329" t="s">
        <v>3408</v>
      </c>
      <c r="K329" t="s">
        <v>3409</v>
      </c>
      <c r="L329" s="25" t="s">
        <v>3410</v>
      </c>
    </row>
    <row r="330" spans="2:12" x14ac:dyDescent="0.2">
      <c r="B330" s="118" t="s">
        <v>5</v>
      </c>
      <c r="C330" t="s">
        <v>3411</v>
      </c>
      <c r="D330" t="s">
        <v>3411</v>
      </c>
      <c r="E330" t="s">
        <v>3412</v>
      </c>
      <c r="F330" t="s">
        <v>3413</v>
      </c>
      <c r="G330" t="s">
        <v>3414</v>
      </c>
      <c r="H330" t="s">
        <v>3415</v>
      </c>
      <c r="I330" t="s">
        <v>3416</v>
      </c>
      <c r="J330" t="s">
        <v>3417</v>
      </c>
      <c r="K330" t="s">
        <v>3418</v>
      </c>
      <c r="L330" s="25" t="s">
        <v>3419</v>
      </c>
    </row>
    <row r="331" spans="2:12" x14ac:dyDescent="0.2">
      <c r="B331" s="118" t="s">
        <v>47</v>
      </c>
      <c r="C331" t="s">
        <v>3420</v>
      </c>
      <c r="D331" t="s">
        <v>3421</v>
      </c>
      <c r="E331" t="s">
        <v>3422</v>
      </c>
      <c r="F331" t="s">
        <v>3423</v>
      </c>
      <c r="G331" t="s">
        <v>3424</v>
      </c>
      <c r="H331" t="s">
        <v>3425</v>
      </c>
      <c r="I331" t="s">
        <v>3426</v>
      </c>
      <c r="J331" t="s">
        <v>3427</v>
      </c>
      <c r="K331" t="s">
        <v>3428</v>
      </c>
      <c r="L331" s="25" t="s">
        <v>3429</v>
      </c>
    </row>
    <row r="332" spans="2:12" x14ac:dyDescent="0.2">
      <c r="B332" s="118" t="s">
        <v>50</v>
      </c>
      <c r="C332" t="s">
        <v>3430</v>
      </c>
      <c r="D332" t="s">
        <v>3431</v>
      </c>
      <c r="E332" t="s">
        <v>3432</v>
      </c>
      <c r="F332" t="s">
        <v>3433</v>
      </c>
      <c r="G332" t="s">
        <v>3434</v>
      </c>
      <c r="H332" t="s">
        <v>3435</v>
      </c>
      <c r="I332" t="s">
        <v>3436</v>
      </c>
      <c r="J332" t="s">
        <v>3437</v>
      </c>
      <c r="K332" t="s">
        <v>3438</v>
      </c>
      <c r="L332" s="25" t="s">
        <v>3439</v>
      </c>
    </row>
    <row r="333" spans="2:12" x14ac:dyDescent="0.2">
      <c r="B333" s="118" t="s">
        <v>54</v>
      </c>
      <c r="C333" t="s">
        <v>3440</v>
      </c>
      <c r="D333" t="s">
        <v>3441</v>
      </c>
      <c r="E333" t="s">
        <v>3442</v>
      </c>
      <c r="F333" t="s">
        <v>3443</v>
      </c>
      <c r="G333" t="s">
        <v>3444</v>
      </c>
      <c r="H333" t="s">
        <v>3445</v>
      </c>
      <c r="I333" t="s">
        <v>3443</v>
      </c>
      <c r="J333" t="s">
        <v>3446</v>
      </c>
      <c r="K333" t="s">
        <v>3447</v>
      </c>
      <c r="L333" s="25" t="s">
        <v>3443</v>
      </c>
    </row>
    <row r="334" spans="2:12" x14ac:dyDescent="0.2">
      <c r="B334" s="118" t="s">
        <v>58</v>
      </c>
      <c r="C334" t="s">
        <v>3448</v>
      </c>
      <c r="D334" t="s">
        <v>3449</v>
      </c>
      <c r="E334" t="s">
        <v>3450</v>
      </c>
      <c r="F334" t="s">
        <v>3451</v>
      </c>
      <c r="G334" t="s">
        <v>3452</v>
      </c>
      <c r="H334" t="s">
        <v>3453</v>
      </c>
      <c r="I334" t="s">
        <v>3454</v>
      </c>
      <c r="J334" t="s">
        <v>3455</v>
      </c>
      <c r="K334" t="s">
        <v>3456</v>
      </c>
      <c r="L334" s="25" t="s">
        <v>3457</v>
      </c>
    </row>
    <row r="335" spans="2:12" x14ac:dyDescent="0.2">
      <c r="B335" s="118" t="s">
        <v>62</v>
      </c>
      <c r="C335" t="s">
        <v>3458</v>
      </c>
      <c r="D335" t="s">
        <v>3459</v>
      </c>
      <c r="E335" t="s">
        <v>3460</v>
      </c>
      <c r="F335" t="s">
        <v>3461</v>
      </c>
      <c r="G335" t="s">
        <v>3462</v>
      </c>
      <c r="H335" t="s">
        <v>3463</v>
      </c>
      <c r="I335" t="s">
        <v>3464</v>
      </c>
      <c r="J335" t="s">
        <v>3465</v>
      </c>
      <c r="K335" t="s">
        <v>3466</v>
      </c>
      <c r="L335" s="25" t="s">
        <v>3467</v>
      </c>
    </row>
    <row r="336" spans="2:12" x14ac:dyDescent="0.2">
      <c r="B336" s="118" t="s">
        <v>66</v>
      </c>
      <c r="C336" t="s">
        <v>3468</v>
      </c>
      <c r="D336" t="s">
        <v>3469</v>
      </c>
      <c r="E336" t="s">
        <v>3470</v>
      </c>
      <c r="F336" t="s">
        <v>3471</v>
      </c>
      <c r="G336" t="s">
        <v>3472</v>
      </c>
      <c r="H336" t="s">
        <v>3473</v>
      </c>
      <c r="I336" t="s">
        <v>3474</v>
      </c>
      <c r="J336" t="s">
        <v>3475</v>
      </c>
      <c r="K336" t="s">
        <v>3476</v>
      </c>
      <c r="L336" s="25" t="s">
        <v>3477</v>
      </c>
    </row>
    <row r="337" spans="2:12" x14ac:dyDescent="0.2">
      <c r="B337" s="118" t="s">
        <v>70</v>
      </c>
      <c r="C337" t="s">
        <v>3478</v>
      </c>
      <c r="D337" t="s">
        <v>3479</v>
      </c>
      <c r="E337" t="s">
        <v>3480</v>
      </c>
      <c r="F337" t="s">
        <v>3481</v>
      </c>
      <c r="G337" t="s">
        <v>3482</v>
      </c>
      <c r="H337" t="s">
        <v>3483</v>
      </c>
      <c r="I337" t="s">
        <v>3484</v>
      </c>
      <c r="J337" t="s">
        <v>3485</v>
      </c>
      <c r="K337" t="s">
        <v>3486</v>
      </c>
      <c r="L337" s="25" t="s">
        <v>3487</v>
      </c>
    </row>
    <row r="338" spans="2:12" x14ac:dyDescent="0.2">
      <c r="B338" s="118" t="s">
        <v>74</v>
      </c>
      <c r="C338" t="s">
        <v>3488</v>
      </c>
      <c r="D338" t="s">
        <v>3489</v>
      </c>
      <c r="E338" t="s">
        <v>3490</v>
      </c>
      <c r="F338" t="s">
        <v>3491</v>
      </c>
      <c r="G338" t="s">
        <v>3492</v>
      </c>
      <c r="H338" t="s">
        <v>3493</v>
      </c>
      <c r="I338" t="s">
        <v>3494</v>
      </c>
      <c r="J338" t="s">
        <v>3495</v>
      </c>
      <c r="K338" t="s">
        <v>3496</v>
      </c>
      <c r="L338" s="25" t="s">
        <v>3497</v>
      </c>
    </row>
    <row r="339" spans="2:12" x14ac:dyDescent="0.2">
      <c r="B339" s="118" t="s">
        <v>80</v>
      </c>
      <c r="C339" t="s">
        <v>3498</v>
      </c>
      <c r="D339" t="s">
        <v>3498</v>
      </c>
      <c r="E339" t="s">
        <v>3499</v>
      </c>
      <c r="F339" t="s">
        <v>3500</v>
      </c>
      <c r="G339" t="s">
        <v>3501</v>
      </c>
      <c r="H339" t="s">
        <v>3502</v>
      </c>
      <c r="I339" t="s">
        <v>3503</v>
      </c>
      <c r="J339" t="s">
        <v>3504</v>
      </c>
      <c r="K339" t="s">
        <v>3505</v>
      </c>
      <c r="L339" s="25" t="s">
        <v>3506</v>
      </c>
    </row>
    <row r="340" spans="2:12" x14ac:dyDescent="0.2">
      <c r="B340" s="118" t="s">
        <v>85</v>
      </c>
      <c r="C340" t="s">
        <v>3507</v>
      </c>
      <c r="D340" t="s">
        <v>3508</v>
      </c>
      <c r="E340" t="s">
        <v>3509</v>
      </c>
      <c r="F340" t="s">
        <v>3510</v>
      </c>
      <c r="G340" t="s">
        <v>3511</v>
      </c>
      <c r="H340" t="s">
        <v>3512</v>
      </c>
      <c r="I340" t="s">
        <v>3513</v>
      </c>
      <c r="J340" t="s">
        <v>3514</v>
      </c>
      <c r="K340" t="s">
        <v>3515</v>
      </c>
      <c r="L340" s="25" t="s">
        <v>3516</v>
      </c>
    </row>
    <row r="341" spans="2:12" x14ac:dyDescent="0.2">
      <c r="B341" s="118" t="s">
        <v>89</v>
      </c>
      <c r="C341" t="s">
        <v>3517</v>
      </c>
      <c r="D341" t="s">
        <v>3518</v>
      </c>
      <c r="E341" t="s">
        <v>3519</v>
      </c>
      <c r="F341" t="s">
        <v>3520</v>
      </c>
      <c r="G341" t="s">
        <v>3521</v>
      </c>
      <c r="H341" t="s">
        <v>3522</v>
      </c>
      <c r="I341" t="s">
        <v>3523</v>
      </c>
      <c r="J341" t="s">
        <v>3524</v>
      </c>
      <c r="K341" t="s">
        <v>3525</v>
      </c>
      <c r="L341" s="25" t="s">
        <v>3526</v>
      </c>
    </row>
    <row r="342" spans="2:12" x14ac:dyDescent="0.2">
      <c r="B342" s="118" t="s">
        <v>93</v>
      </c>
      <c r="C342" t="s">
        <v>3527</v>
      </c>
      <c r="D342" t="s">
        <v>3528</v>
      </c>
      <c r="E342" t="s">
        <v>3529</v>
      </c>
      <c r="F342" t="s">
        <v>3530</v>
      </c>
      <c r="G342" t="s">
        <v>3531</v>
      </c>
      <c r="H342" t="s">
        <v>3532</v>
      </c>
      <c r="I342" t="s">
        <v>3533</v>
      </c>
      <c r="J342" t="s">
        <v>3534</v>
      </c>
      <c r="K342" t="s">
        <v>3535</v>
      </c>
      <c r="L342" s="25" t="s">
        <v>3536</v>
      </c>
    </row>
    <row r="343" spans="2:12" x14ac:dyDescent="0.2">
      <c r="B343" s="118" t="s">
        <v>96</v>
      </c>
      <c r="C343" t="s">
        <v>3537</v>
      </c>
      <c r="D343" t="s">
        <v>3538</v>
      </c>
      <c r="E343" t="s">
        <v>3539</v>
      </c>
      <c r="F343" t="s">
        <v>3540</v>
      </c>
      <c r="G343" t="s">
        <v>3541</v>
      </c>
      <c r="H343" t="s">
        <v>3542</v>
      </c>
      <c r="I343" t="s">
        <v>3543</v>
      </c>
      <c r="J343" t="s">
        <v>3544</v>
      </c>
      <c r="K343" t="s">
        <v>3545</v>
      </c>
      <c r="L343" s="25" t="s">
        <v>3540</v>
      </c>
    </row>
    <row r="344" spans="2:12" x14ac:dyDescent="0.2">
      <c r="B344" s="118" t="s">
        <v>99</v>
      </c>
      <c r="C344" t="s">
        <v>3546</v>
      </c>
      <c r="D344" t="s">
        <v>3547</v>
      </c>
      <c r="E344" t="s">
        <v>3548</v>
      </c>
      <c r="F344" t="s">
        <v>3549</v>
      </c>
      <c r="G344" t="s">
        <v>3550</v>
      </c>
      <c r="H344" t="s">
        <v>3551</v>
      </c>
      <c r="I344" t="s">
        <v>3552</v>
      </c>
      <c r="J344" t="s">
        <v>3553</v>
      </c>
      <c r="K344" t="s">
        <v>3554</v>
      </c>
      <c r="L344" s="25" t="s">
        <v>3555</v>
      </c>
    </row>
    <row r="345" spans="2:12" x14ac:dyDescent="0.2">
      <c r="B345" s="118" t="s">
        <v>102</v>
      </c>
      <c r="C345" t="s">
        <v>3556</v>
      </c>
      <c r="D345" t="s">
        <v>3557</v>
      </c>
      <c r="E345" t="s">
        <v>3558</v>
      </c>
      <c r="F345" t="s">
        <v>3559</v>
      </c>
      <c r="G345" t="s">
        <v>3560</v>
      </c>
      <c r="H345" t="s">
        <v>3561</v>
      </c>
      <c r="I345" t="s">
        <v>3562</v>
      </c>
      <c r="J345" t="s">
        <v>3563</v>
      </c>
      <c r="K345" t="s">
        <v>3564</v>
      </c>
      <c r="L345" s="25" t="s">
        <v>3565</v>
      </c>
    </row>
    <row r="346" spans="2:12" x14ac:dyDescent="0.2">
      <c r="B346" s="118" t="s">
        <v>105</v>
      </c>
      <c r="C346" t="s">
        <v>3566</v>
      </c>
      <c r="D346" t="s">
        <v>3567</v>
      </c>
      <c r="E346" t="s">
        <v>3568</v>
      </c>
      <c r="F346" t="s">
        <v>3569</v>
      </c>
      <c r="G346" t="s">
        <v>3570</v>
      </c>
      <c r="H346" t="s">
        <v>3571</v>
      </c>
      <c r="I346" t="s">
        <v>3572</v>
      </c>
      <c r="J346" t="s">
        <v>3573</v>
      </c>
      <c r="K346" t="s">
        <v>3574</v>
      </c>
      <c r="L346" s="25" t="s">
        <v>3575</v>
      </c>
    </row>
    <row r="347" spans="2:12" x14ac:dyDescent="0.2">
      <c r="B347" s="118" t="s">
        <v>108</v>
      </c>
      <c r="C347" t="s">
        <v>3576</v>
      </c>
      <c r="D347" t="s">
        <v>3577</v>
      </c>
      <c r="E347" t="s">
        <v>3578</v>
      </c>
      <c r="F347" t="s">
        <v>3579</v>
      </c>
      <c r="G347" t="s">
        <v>3580</v>
      </c>
      <c r="H347" t="s">
        <v>3581</v>
      </c>
      <c r="I347" t="s">
        <v>3582</v>
      </c>
      <c r="J347" t="s">
        <v>3583</v>
      </c>
      <c r="K347" t="s">
        <v>3584</v>
      </c>
      <c r="L347" s="25" t="s">
        <v>3585</v>
      </c>
    </row>
    <row r="348" spans="2:12" x14ac:dyDescent="0.2">
      <c r="B348" s="118" t="s">
        <v>111</v>
      </c>
      <c r="C348" t="s">
        <v>3586</v>
      </c>
      <c r="D348" t="s">
        <v>3587</v>
      </c>
      <c r="E348" t="s">
        <v>3588</v>
      </c>
      <c r="F348" t="s">
        <v>3589</v>
      </c>
      <c r="G348" t="s">
        <v>3590</v>
      </c>
      <c r="H348" t="s">
        <v>3591</v>
      </c>
      <c r="I348" t="s">
        <v>3589</v>
      </c>
      <c r="J348" t="s">
        <v>3592</v>
      </c>
      <c r="K348" t="s">
        <v>3593</v>
      </c>
      <c r="L348" s="25" t="s">
        <v>3589</v>
      </c>
    </row>
    <row r="349" spans="2:12" x14ac:dyDescent="0.2">
      <c r="B349" s="118" t="s">
        <v>114</v>
      </c>
      <c r="C349" t="s">
        <v>3594</v>
      </c>
      <c r="D349" t="s">
        <v>3595</v>
      </c>
      <c r="E349" t="s">
        <v>3596</v>
      </c>
      <c r="F349" t="s">
        <v>3597</v>
      </c>
      <c r="G349" t="s">
        <v>3598</v>
      </c>
      <c r="H349" t="s">
        <v>3599</v>
      </c>
      <c r="I349" t="s">
        <v>3600</v>
      </c>
      <c r="J349" t="s">
        <v>3601</v>
      </c>
      <c r="K349" t="s">
        <v>3602</v>
      </c>
      <c r="L349" s="25" t="s">
        <v>3603</v>
      </c>
    </row>
    <row r="350" spans="2:12" x14ac:dyDescent="0.2">
      <c r="B350" s="118" t="s">
        <v>117</v>
      </c>
      <c r="C350" t="s">
        <v>3604</v>
      </c>
      <c r="D350" t="s">
        <v>3605</v>
      </c>
      <c r="E350" t="s">
        <v>3606</v>
      </c>
      <c r="F350" t="s">
        <v>3607</v>
      </c>
      <c r="G350" t="s">
        <v>3608</v>
      </c>
      <c r="H350" t="s">
        <v>3609</v>
      </c>
      <c r="I350" t="s">
        <v>3607</v>
      </c>
      <c r="J350" t="s">
        <v>3610</v>
      </c>
      <c r="K350" t="s">
        <v>3611</v>
      </c>
      <c r="L350" s="25" t="s">
        <v>3607</v>
      </c>
    </row>
    <row r="351" spans="2:12" x14ac:dyDescent="0.2">
      <c r="B351" s="118" t="s">
        <v>120</v>
      </c>
      <c r="C351" t="s">
        <v>3612</v>
      </c>
      <c r="D351" t="s">
        <v>3612</v>
      </c>
      <c r="E351" t="s">
        <v>3613</v>
      </c>
      <c r="F351" t="s">
        <v>3614</v>
      </c>
      <c r="G351" t="s">
        <v>3615</v>
      </c>
      <c r="H351" t="s">
        <v>3616</v>
      </c>
      <c r="I351" t="s">
        <v>3617</v>
      </c>
      <c r="J351" t="s">
        <v>3618</v>
      </c>
      <c r="K351" t="s">
        <v>3619</v>
      </c>
      <c r="L351" s="25" t="s">
        <v>3620</v>
      </c>
    </row>
    <row r="352" spans="2:12" x14ac:dyDescent="0.2">
      <c r="B352" s="118" t="s">
        <v>123</v>
      </c>
      <c r="C352" t="s">
        <v>3621</v>
      </c>
      <c r="D352" t="s">
        <v>3622</v>
      </c>
      <c r="E352" t="s">
        <v>3623</v>
      </c>
      <c r="F352" t="s">
        <v>3624</v>
      </c>
      <c r="G352" t="s">
        <v>3625</v>
      </c>
      <c r="H352" t="s">
        <v>3626</v>
      </c>
      <c r="I352" t="s">
        <v>3627</v>
      </c>
      <c r="J352" t="s">
        <v>3628</v>
      </c>
      <c r="K352" t="s">
        <v>3629</v>
      </c>
      <c r="L352" s="25" t="s">
        <v>3630</v>
      </c>
    </row>
    <row r="353" spans="2:12" x14ac:dyDescent="0.2">
      <c r="B353" s="118" t="s">
        <v>127</v>
      </c>
      <c r="C353" t="s">
        <v>3631</v>
      </c>
      <c r="D353" t="s">
        <v>3632</v>
      </c>
      <c r="E353" t="s">
        <v>3633</v>
      </c>
      <c r="F353" t="s">
        <v>3634</v>
      </c>
      <c r="G353" t="s">
        <v>3635</v>
      </c>
      <c r="H353" t="s">
        <v>3636</v>
      </c>
      <c r="I353" t="s">
        <v>3634</v>
      </c>
      <c r="J353" t="s">
        <v>3637</v>
      </c>
      <c r="K353" t="s">
        <v>3638</v>
      </c>
      <c r="L353" s="25" t="s">
        <v>3639</v>
      </c>
    </row>
    <row r="354" spans="2:12" x14ac:dyDescent="0.2">
      <c r="B354" s="118" t="s">
        <v>130</v>
      </c>
      <c r="C354" t="s">
        <v>3640</v>
      </c>
      <c r="D354" t="s">
        <v>3641</v>
      </c>
      <c r="E354" t="s">
        <v>3642</v>
      </c>
      <c r="F354" t="s">
        <v>3643</v>
      </c>
      <c r="G354" t="s">
        <v>3644</v>
      </c>
      <c r="H354" t="s">
        <v>3645</v>
      </c>
      <c r="I354" t="s">
        <v>3646</v>
      </c>
      <c r="J354" t="s">
        <v>3647</v>
      </c>
      <c r="K354" t="s">
        <v>3648</v>
      </c>
      <c r="L354" s="25" t="s">
        <v>3643</v>
      </c>
    </row>
    <row r="355" spans="2:12" x14ac:dyDescent="0.2">
      <c r="B355" s="118" t="s">
        <v>133</v>
      </c>
      <c r="C355" t="s">
        <v>3649</v>
      </c>
      <c r="D355" t="s">
        <v>3650</v>
      </c>
      <c r="E355" t="s">
        <v>3651</v>
      </c>
      <c r="F355" t="s">
        <v>3652</v>
      </c>
      <c r="G355" t="s">
        <v>3653</v>
      </c>
      <c r="H355" t="s">
        <v>3654</v>
      </c>
      <c r="I355" t="s">
        <v>3652</v>
      </c>
      <c r="J355" t="s">
        <v>3655</v>
      </c>
      <c r="K355" t="s">
        <v>3656</v>
      </c>
      <c r="L355" s="25" t="s">
        <v>3652</v>
      </c>
    </row>
    <row r="356" spans="2:12" x14ac:dyDescent="0.2">
      <c r="B356" s="118" t="s">
        <v>136</v>
      </c>
      <c r="C356" t="s">
        <v>3657</v>
      </c>
      <c r="D356" t="s">
        <v>3658</v>
      </c>
      <c r="E356" t="s">
        <v>3659</v>
      </c>
      <c r="F356" t="s">
        <v>3660</v>
      </c>
      <c r="G356" t="s">
        <v>3661</v>
      </c>
      <c r="H356" t="s">
        <v>3662</v>
      </c>
      <c r="I356" t="s">
        <v>3660</v>
      </c>
      <c r="J356" t="s">
        <v>3663</v>
      </c>
      <c r="K356" t="s">
        <v>3664</v>
      </c>
      <c r="L356" s="25" t="s">
        <v>3665</v>
      </c>
    </row>
    <row r="357" spans="2:12" x14ac:dyDescent="0.2">
      <c r="B357" s="118" t="s">
        <v>139</v>
      </c>
      <c r="C357" t="s">
        <v>3666</v>
      </c>
      <c r="D357" t="s">
        <v>3667</v>
      </c>
      <c r="E357" t="s">
        <v>3668</v>
      </c>
      <c r="F357" t="s">
        <v>3669</v>
      </c>
      <c r="G357" t="s">
        <v>3670</v>
      </c>
      <c r="H357" t="s">
        <v>3671</v>
      </c>
      <c r="I357" t="s">
        <v>3672</v>
      </c>
      <c r="J357" t="s">
        <v>3673</v>
      </c>
      <c r="K357" t="s">
        <v>3674</v>
      </c>
      <c r="L357" s="25" t="s">
        <v>3675</v>
      </c>
    </row>
    <row r="358" spans="2:12" x14ac:dyDescent="0.2">
      <c r="B358" s="118" t="s">
        <v>142</v>
      </c>
      <c r="C358" t="s">
        <v>3676</v>
      </c>
      <c r="D358" t="s">
        <v>3677</v>
      </c>
      <c r="E358" t="s">
        <v>3678</v>
      </c>
      <c r="F358" t="s">
        <v>3679</v>
      </c>
      <c r="G358" t="s">
        <v>3680</v>
      </c>
      <c r="H358" t="s">
        <v>3681</v>
      </c>
      <c r="I358" t="s">
        <v>3682</v>
      </c>
      <c r="J358" t="s">
        <v>3683</v>
      </c>
      <c r="K358" t="s">
        <v>3684</v>
      </c>
      <c r="L358" s="25" t="s">
        <v>3685</v>
      </c>
    </row>
    <row r="359" spans="2:12" x14ac:dyDescent="0.2">
      <c r="B359" s="118" t="s">
        <v>145</v>
      </c>
      <c r="C359" t="s">
        <v>3686</v>
      </c>
      <c r="D359" t="s">
        <v>3686</v>
      </c>
      <c r="E359" t="s">
        <v>3687</v>
      </c>
      <c r="F359" t="s">
        <v>3688</v>
      </c>
      <c r="G359" t="s">
        <v>3689</v>
      </c>
      <c r="H359" t="s">
        <v>3690</v>
      </c>
      <c r="I359" t="s">
        <v>3691</v>
      </c>
      <c r="J359" t="s">
        <v>3692</v>
      </c>
      <c r="K359" t="s">
        <v>3693</v>
      </c>
      <c r="L359" s="25" t="s">
        <v>3694</v>
      </c>
    </row>
    <row r="360" spans="2:12" x14ac:dyDescent="0.2">
      <c r="B360" s="118" t="s">
        <v>148</v>
      </c>
      <c r="C360" t="s">
        <v>3695</v>
      </c>
      <c r="D360" t="s">
        <v>3696</v>
      </c>
      <c r="E360" t="s">
        <v>3697</v>
      </c>
      <c r="F360" t="s">
        <v>3698</v>
      </c>
      <c r="G360" t="s">
        <v>3699</v>
      </c>
      <c r="H360" t="s">
        <v>3700</v>
      </c>
      <c r="I360" t="s">
        <v>3701</v>
      </c>
      <c r="J360" t="s">
        <v>3702</v>
      </c>
      <c r="K360" t="s">
        <v>3703</v>
      </c>
      <c r="L360" s="25" t="s">
        <v>3704</v>
      </c>
    </row>
    <row r="361" spans="2:12" x14ac:dyDescent="0.2">
      <c r="B361" s="118" t="s">
        <v>151</v>
      </c>
      <c r="C361" t="s">
        <v>3705</v>
      </c>
      <c r="D361" t="s">
        <v>3706</v>
      </c>
      <c r="E361" t="s">
        <v>3707</v>
      </c>
      <c r="F361" t="s">
        <v>3708</v>
      </c>
      <c r="G361" t="s">
        <v>3709</v>
      </c>
      <c r="H361" t="s">
        <v>3710</v>
      </c>
      <c r="I361" t="s">
        <v>3711</v>
      </c>
      <c r="J361" t="s">
        <v>3712</v>
      </c>
      <c r="K361" t="s">
        <v>3713</v>
      </c>
      <c r="L361" s="25" t="s">
        <v>3714</v>
      </c>
    </row>
    <row r="362" spans="2:12" x14ac:dyDescent="0.2">
      <c r="B362" s="118" t="s">
        <v>154</v>
      </c>
      <c r="C362" t="s">
        <v>3715</v>
      </c>
      <c r="D362" t="s">
        <v>3716</v>
      </c>
      <c r="E362" t="s">
        <v>3717</v>
      </c>
      <c r="F362" t="s">
        <v>3718</v>
      </c>
      <c r="G362" t="s">
        <v>3719</v>
      </c>
      <c r="H362" t="s">
        <v>3720</v>
      </c>
      <c r="I362" t="s">
        <v>3721</v>
      </c>
      <c r="J362" t="s">
        <v>3722</v>
      </c>
      <c r="K362" t="s">
        <v>3723</v>
      </c>
      <c r="L362" s="25" t="s">
        <v>3724</v>
      </c>
    </row>
    <row r="363" spans="2:12" x14ac:dyDescent="0.2">
      <c r="B363" s="118" t="s">
        <v>157</v>
      </c>
      <c r="C363" t="s">
        <v>3725</v>
      </c>
      <c r="D363" t="s">
        <v>3726</v>
      </c>
      <c r="E363" t="s">
        <v>3727</v>
      </c>
      <c r="F363" t="s">
        <v>3728</v>
      </c>
      <c r="G363" t="s">
        <v>3729</v>
      </c>
      <c r="H363" t="s">
        <v>3730</v>
      </c>
      <c r="I363" t="s">
        <v>3731</v>
      </c>
      <c r="J363" t="s">
        <v>3732</v>
      </c>
      <c r="K363" t="s">
        <v>3733</v>
      </c>
      <c r="L363" s="25" t="s">
        <v>3734</v>
      </c>
    </row>
    <row r="364" spans="2:12" x14ac:dyDescent="0.2">
      <c r="B364" s="118" t="s">
        <v>159</v>
      </c>
      <c r="C364" t="s">
        <v>3735</v>
      </c>
      <c r="D364" t="s">
        <v>3736</v>
      </c>
      <c r="E364" t="s">
        <v>3737</v>
      </c>
      <c r="F364" t="s">
        <v>3738</v>
      </c>
      <c r="G364" t="s">
        <v>3739</v>
      </c>
      <c r="H364" t="s">
        <v>3740</v>
      </c>
      <c r="I364" t="s">
        <v>3741</v>
      </c>
      <c r="J364" t="s">
        <v>3742</v>
      </c>
      <c r="K364" t="s">
        <v>3743</v>
      </c>
      <c r="L364" s="25" t="s">
        <v>3744</v>
      </c>
    </row>
    <row r="365" spans="2:12" x14ac:dyDescent="0.2">
      <c r="B365" s="118" t="s">
        <v>162</v>
      </c>
      <c r="C365" t="s">
        <v>3745</v>
      </c>
      <c r="D365" t="s">
        <v>3746</v>
      </c>
      <c r="E365" t="s">
        <v>3747</v>
      </c>
      <c r="F365" t="s">
        <v>3748</v>
      </c>
      <c r="G365" t="s">
        <v>3749</v>
      </c>
      <c r="H365" t="s">
        <v>3750</v>
      </c>
      <c r="I365" t="s">
        <v>3751</v>
      </c>
      <c r="J365" t="s">
        <v>3752</v>
      </c>
      <c r="K365" t="s">
        <v>3753</v>
      </c>
      <c r="L365" s="25" t="s">
        <v>3754</v>
      </c>
    </row>
    <row r="366" spans="2:12" x14ac:dyDescent="0.2">
      <c r="B366" s="118" t="s">
        <v>165</v>
      </c>
      <c r="C366" t="s">
        <v>3755</v>
      </c>
      <c r="D366" t="s">
        <v>3756</v>
      </c>
      <c r="E366" t="s">
        <v>3757</v>
      </c>
      <c r="F366" t="s">
        <v>3758</v>
      </c>
      <c r="G366" t="s">
        <v>3759</v>
      </c>
      <c r="H366" t="s">
        <v>3760</v>
      </c>
      <c r="I366" t="s">
        <v>3761</v>
      </c>
      <c r="J366" t="s">
        <v>3762</v>
      </c>
      <c r="K366" t="s">
        <v>3763</v>
      </c>
      <c r="L366" s="25" t="s">
        <v>3764</v>
      </c>
    </row>
    <row r="367" spans="2:12" x14ac:dyDescent="0.2">
      <c r="B367" s="118" t="s">
        <v>168</v>
      </c>
      <c r="C367" t="s">
        <v>3765</v>
      </c>
      <c r="D367" t="s">
        <v>3766</v>
      </c>
      <c r="E367" t="s">
        <v>3767</v>
      </c>
      <c r="F367" t="s">
        <v>3768</v>
      </c>
      <c r="G367" t="s">
        <v>3769</v>
      </c>
      <c r="H367" t="s">
        <v>3770</v>
      </c>
      <c r="I367" t="s">
        <v>3771</v>
      </c>
      <c r="J367" t="s">
        <v>3772</v>
      </c>
      <c r="K367" t="s">
        <v>3773</v>
      </c>
      <c r="L367" s="25" t="s">
        <v>168</v>
      </c>
    </row>
    <row r="368" spans="2:12" x14ac:dyDescent="0.2">
      <c r="B368" s="118" t="s">
        <v>170</v>
      </c>
      <c r="C368" t="s">
        <v>3774</v>
      </c>
      <c r="D368" t="s">
        <v>3775</v>
      </c>
      <c r="E368" t="s">
        <v>3776</v>
      </c>
      <c r="F368" t="s">
        <v>3777</v>
      </c>
      <c r="G368" t="s">
        <v>3778</v>
      </c>
      <c r="H368" t="s">
        <v>3779</v>
      </c>
      <c r="I368" t="s">
        <v>3780</v>
      </c>
      <c r="J368" t="s">
        <v>3781</v>
      </c>
      <c r="K368" t="s">
        <v>3782</v>
      </c>
      <c r="L368" s="25" t="s">
        <v>3783</v>
      </c>
    </row>
    <row r="369" spans="2:12" x14ac:dyDescent="0.2">
      <c r="B369" s="118" t="s">
        <v>173</v>
      </c>
      <c r="C369" t="s">
        <v>3784</v>
      </c>
      <c r="D369" t="s">
        <v>3785</v>
      </c>
      <c r="E369" t="s">
        <v>3786</v>
      </c>
      <c r="F369" t="s">
        <v>3787</v>
      </c>
      <c r="G369" t="s">
        <v>3788</v>
      </c>
      <c r="H369" t="s">
        <v>3789</v>
      </c>
      <c r="I369" t="s">
        <v>3790</v>
      </c>
      <c r="J369" t="s">
        <v>3791</v>
      </c>
      <c r="K369" t="s">
        <v>3792</v>
      </c>
      <c r="L369" s="25" t="s">
        <v>3793</v>
      </c>
    </row>
    <row r="370" spans="2:12" x14ac:dyDescent="0.2">
      <c r="B370" s="118" t="s">
        <v>176</v>
      </c>
      <c r="C370" t="s">
        <v>3794</v>
      </c>
      <c r="D370" t="s">
        <v>3795</v>
      </c>
      <c r="E370" t="s">
        <v>3796</v>
      </c>
      <c r="F370" t="s">
        <v>3797</v>
      </c>
      <c r="G370" t="s">
        <v>3798</v>
      </c>
      <c r="H370" t="s">
        <v>3799</v>
      </c>
      <c r="I370" t="s">
        <v>3800</v>
      </c>
      <c r="J370" t="s">
        <v>3801</v>
      </c>
      <c r="K370" t="s">
        <v>3802</v>
      </c>
      <c r="L370" s="25" t="s">
        <v>3803</v>
      </c>
    </row>
    <row r="371" spans="2:12" x14ac:dyDescent="0.2">
      <c r="B371" s="118" t="s">
        <v>178</v>
      </c>
      <c r="C371" t="s">
        <v>3804</v>
      </c>
      <c r="D371" t="s">
        <v>3805</v>
      </c>
      <c r="E371" t="s">
        <v>3806</v>
      </c>
      <c r="F371" t="s">
        <v>3807</v>
      </c>
      <c r="G371" t="s">
        <v>3808</v>
      </c>
      <c r="H371" t="s">
        <v>3809</v>
      </c>
      <c r="I371" t="s">
        <v>3807</v>
      </c>
      <c r="J371" t="s">
        <v>3810</v>
      </c>
      <c r="K371" t="s">
        <v>3811</v>
      </c>
      <c r="L371" s="25" t="s">
        <v>3812</v>
      </c>
    </row>
    <row r="372" spans="2:12" x14ac:dyDescent="0.2">
      <c r="B372" s="118" t="s">
        <v>181</v>
      </c>
      <c r="C372" t="s">
        <v>3813</v>
      </c>
      <c r="D372" t="s">
        <v>3814</v>
      </c>
      <c r="E372" t="s">
        <v>3815</v>
      </c>
      <c r="F372" t="s">
        <v>3816</v>
      </c>
      <c r="G372" t="s">
        <v>3817</v>
      </c>
      <c r="H372" t="s">
        <v>3818</v>
      </c>
      <c r="I372" t="s">
        <v>3819</v>
      </c>
      <c r="J372" t="s">
        <v>3820</v>
      </c>
      <c r="K372" t="s">
        <v>3821</v>
      </c>
      <c r="L372" s="25" t="s">
        <v>3822</v>
      </c>
    </row>
    <row r="373" spans="2:12" x14ac:dyDescent="0.2">
      <c r="B373" s="118" t="s">
        <v>184</v>
      </c>
      <c r="C373" t="s">
        <v>3823</v>
      </c>
      <c r="D373" t="s">
        <v>3823</v>
      </c>
      <c r="E373" t="s">
        <v>3824</v>
      </c>
      <c r="F373" t="s">
        <v>3825</v>
      </c>
      <c r="G373" t="s">
        <v>3826</v>
      </c>
      <c r="H373" t="s">
        <v>3827</v>
      </c>
      <c r="I373" t="s">
        <v>3828</v>
      </c>
      <c r="J373" t="s">
        <v>3829</v>
      </c>
      <c r="K373" t="s">
        <v>3830</v>
      </c>
      <c r="L373" s="25" t="s">
        <v>3831</v>
      </c>
    </row>
    <row r="374" spans="2:12" x14ac:dyDescent="0.2">
      <c r="B374" s="118" t="s">
        <v>187</v>
      </c>
      <c r="C374" t="s">
        <v>3832</v>
      </c>
      <c r="D374" t="s">
        <v>3833</v>
      </c>
      <c r="E374" t="s">
        <v>3834</v>
      </c>
      <c r="F374" t="s">
        <v>3835</v>
      </c>
      <c r="G374" t="s">
        <v>3836</v>
      </c>
      <c r="H374" t="s">
        <v>3837</v>
      </c>
      <c r="I374" t="s">
        <v>3838</v>
      </c>
      <c r="J374" t="s">
        <v>3839</v>
      </c>
      <c r="K374" t="s">
        <v>3840</v>
      </c>
      <c r="L374" s="25" t="s">
        <v>3841</v>
      </c>
    </row>
    <row r="375" spans="2:12" x14ac:dyDescent="0.2">
      <c r="B375" s="118" t="s">
        <v>190</v>
      </c>
      <c r="C375" t="s">
        <v>3842</v>
      </c>
      <c r="D375" t="s">
        <v>3843</v>
      </c>
      <c r="E375" t="s">
        <v>3844</v>
      </c>
      <c r="F375" t="s">
        <v>3845</v>
      </c>
      <c r="G375" t="s">
        <v>3846</v>
      </c>
      <c r="H375" t="s">
        <v>3847</v>
      </c>
      <c r="I375" t="s">
        <v>3848</v>
      </c>
      <c r="J375" t="s">
        <v>3849</v>
      </c>
      <c r="K375" t="s">
        <v>3850</v>
      </c>
      <c r="L375" s="25" t="s">
        <v>3851</v>
      </c>
    </row>
    <row r="376" spans="2:12" x14ac:dyDescent="0.2">
      <c r="B376" s="118" t="s">
        <v>193</v>
      </c>
      <c r="C376" t="s">
        <v>3852</v>
      </c>
      <c r="D376" t="s">
        <v>3853</v>
      </c>
      <c r="E376" t="s">
        <v>3854</v>
      </c>
      <c r="F376" t="s">
        <v>3855</v>
      </c>
      <c r="G376" t="s">
        <v>3856</v>
      </c>
      <c r="H376" t="s">
        <v>3857</v>
      </c>
      <c r="I376" t="s">
        <v>3858</v>
      </c>
      <c r="J376" t="s">
        <v>3859</v>
      </c>
      <c r="K376" t="s">
        <v>3860</v>
      </c>
      <c r="L376" s="25" t="s">
        <v>3861</v>
      </c>
    </row>
    <row r="377" spans="2:12" x14ac:dyDescent="0.2">
      <c r="B377" s="118" t="s">
        <v>196</v>
      </c>
      <c r="C377" t="s">
        <v>3862</v>
      </c>
      <c r="D377" t="s">
        <v>3862</v>
      </c>
      <c r="E377" t="s">
        <v>3863</v>
      </c>
      <c r="F377" t="s">
        <v>3864</v>
      </c>
      <c r="G377" t="s">
        <v>3865</v>
      </c>
      <c r="H377" t="s">
        <v>3866</v>
      </c>
      <c r="I377" t="s">
        <v>3867</v>
      </c>
      <c r="J377" t="s">
        <v>3868</v>
      </c>
      <c r="K377" t="s">
        <v>3869</v>
      </c>
      <c r="L377" s="25" t="s">
        <v>3870</v>
      </c>
    </row>
    <row r="378" spans="2:12" x14ac:dyDescent="0.2">
      <c r="B378" s="118" t="s">
        <v>199</v>
      </c>
      <c r="C378" t="s">
        <v>3871</v>
      </c>
      <c r="D378" t="s">
        <v>3872</v>
      </c>
      <c r="E378" t="s">
        <v>3873</v>
      </c>
      <c r="F378" t="s">
        <v>3874</v>
      </c>
      <c r="G378" t="s">
        <v>3875</v>
      </c>
      <c r="H378" t="s">
        <v>3876</v>
      </c>
      <c r="I378" t="s">
        <v>3877</v>
      </c>
      <c r="J378" t="s">
        <v>3878</v>
      </c>
      <c r="K378" t="s">
        <v>3879</v>
      </c>
      <c r="L378" s="25" t="s">
        <v>3880</v>
      </c>
    </row>
    <row r="379" spans="2:12" x14ac:dyDescent="0.2">
      <c r="B379" s="118" t="s">
        <v>202</v>
      </c>
      <c r="C379" t="s">
        <v>3881</v>
      </c>
      <c r="D379" t="s">
        <v>3882</v>
      </c>
      <c r="E379" t="s">
        <v>3883</v>
      </c>
      <c r="F379" t="s">
        <v>3884</v>
      </c>
      <c r="G379" t="s">
        <v>3885</v>
      </c>
      <c r="H379" t="s">
        <v>3886</v>
      </c>
      <c r="I379" t="s">
        <v>3887</v>
      </c>
      <c r="J379" t="s">
        <v>3888</v>
      </c>
      <c r="K379" t="s">
        <v>3889</v>
      </c>
      <c r="L379" s="25" t="s">
        <v>3890</v>
      </c>
    </row>
    <row r="380" spans="2:12" x14ac:dyDescent="0.2">
      <c r="B380" s="118" t="s">
        <v>205</v>
      </c>
      <c r="C380" t="s">
        <v>3891</v>
      </c>
      <c r="D380" t="s">
        <v>3892</v>
      </c>
      <c r="E380" t="s">
        <v>3893</v>
      </c>
      <c r="F380" t="s">
        <v>3894</v>
      </c>
      <c r="G380" t="s">
        <v>3895</v>
      </c>
      <c r="H380" t="s">
        <v>3896</v>
      </c>
      <c r="I380" t="s">
        <v>3897</v>
      </c>
      <c r="J380" t="s">
        <v>3898</v>
      </c>
      <c r="K380" t="s">
        <v>3899</v>
      </c>
      <c r="L380" s="25" t="s">
        <v>3900</v>
      </c>
    </row>
    <row r="381" spans="2:12" x14ac:dyDescent="0.2">
      <c r="B381" s="118" t="s">
        <v>208</v>
      </c>
      <c r="C381" t="s">
        <v>3901</v>
      </c>
      <c r="D381" t="s">
        <v>3902</v>
      </c>
      <c r="E381" t="s">
        <v>3903</v>
      </c>
      <c r="F381" t="s">
        <v>3904</v>
      </c>
      <c r="G381" t="s">
        <v>3905</v>
      </c>
      <c r="H381" t="s">
        <v>3906</v>
      </c>
      <c r="I381" t="s">
        <v>3907</v>
      </c>
      <c r="J381" t="s">
        <v>3908</v>
      </c>
      <c r="K381" t="s">
        <v>3909</v>
      </c>
      <c r="L381" s="25" t="s">
        <v>3904</v>
      </c>
    </row>
    <row r="382" spans="2:12" x14ac:dyDescent="0.2">
      <c r="B382" s="118" t="s">
        <v>210</v>
      </c>
      <c r="C382" t="s">
        <v>3910</v>
      </c>
      <c r="D382" t="s">
        <v>3911</v>
      </c>
      <c r="E382" t="s">
        <v>3912</v>
      </c>
      <c r="F382" t="s">
        <v>3913</v>
      </c>
      <c r="G382" t="s">
        <v>3914</v>
      </c>
      <c r="H382" t="s">
        <v>3915</v>
      </c>
      <c r="I382" t="s">
        <v>3916</v>
      </c>
      <c r="J382" t="s">
        <v>3917</v>
      </c>
      <c r="K382" t="s">
        <v>3918</v>
      </c>
      <c r="L382" s="25" t="s">
        <v>3913</v>
      </c>
    </row>
    <row r="383" spans="2:12" x14ac:dyDescent="0.2">
      <c r="B383" s="118" t="s">
        <v>213</v>
      </c>
      <c r="C383" t="s">
        <v>3919</v>
      </c>
      <c r="D383" t="s">
        <v>3920</v>
      </c>
      <c r="E383" t="s">
        <v>3921</v>
      </c>
      <c r="F383" t="s">
        <v>3922</v>
      </c>
      <c r="G383" t="s">
        <v>3923</v>
      </c>
      <c r="H383" t="s">
        <v>3924</v>
      </c>
      <c r="I383" t="s">
        <v>3925</v>
      </c>
      <c r="J383" t="s">
        <v>3926</v>
      </c>
      <c r="K383" t="s">
        <v>3927</v>
      </c>
      <c r="L383" s="25" t="s">
        <v>3922</v>
      </c>
    </row>
    <row r="384" spans="2:12" x14ac:dyDescent="0.2">
      <c r="B384" s="118" t="s">
        <v>216</v>
      </c>
      <c r="C384" t="s">
        <v>3928</v>
      </c>
      <c r="D384" t="s">
        <v>3929</v>
      </c>
      <c r="E384" t="s">
        <v>3930</v>
      </c>
      <c r="F384" t="s">
        <v>3931</v>
      </c>
      <c r="G384" t="s">
        <v>3932</v>
      </c>
      <c r="H384" t="s">
        <v>3933</v>
      </c>
      <c r="I384" t="s">
        <v>3934</v>
      </c>
      <c r="J384" t="s">
        <v>3935</v>
      </c>
      <c r="K384" t="s">
        <v>3936</v>
      </c>
      <c r="L384" s="25" t="s">
        <v>3937</v>
      </c>
    </row>
    <row r="385" spans="2:12" x14ac:dyDescent="0.2">
      <c r="B385" s="118" t="s">
        <v>219</v>
      </c>
      <c r="C385" t="s">
        <v>3938</v>
      </c>
      <c r="D385" t="s">
        <v>3939</v>
      </c>
      <c r="E385" t="s">
        <v>3940</v>
      </c>
      <c r="F385" t="s">
        <v>3941</v>
      </c>
      <c r="G385" t="s">
        <v>3942</v>
      </c>
      <c r="H385" t="s">
        <v>3943</v>
      </c>
      <c r="I385" t="s">
        <v>3944</v>
      </c>
      <c r="J385" t="s">
        <v>3945</v>
      </c>
      <c r="K385" t="s">
        <v>3946</v>
      </c>
      <c r="L385" s="25" t="s">
        <v>3944</v>
      </c>
    </row>
    <row r="386" spans="2:12" x14ac:dyDescent="0.2">
      <c r="B386" s="118" t="s">
        <v>221</v>
      </c>
      <c r="C386" t="s">
        <v>3947</v>
      </c>
      <c r="D386" t="s">
        <v>3948</v>
      </c>
      <c r="E386" t="s">
        <v>3949</v>
      </c>
      <c r="F386" t="s">
        <v>3950</v>
      </c>
      <c r="G386" t="s">
        <v>3951</v>
      </c>
      <c r="H386" t="s">
        <v>3952</v>
      </c>
      <c r="I386" t="s">
        <v>3953</v>
      </c>
      <c r="J386" t="s">
        <v>3954</v>
      </c>
      <c r="K386" t="s">
        <v>3955</v>
      </c>
      <c r="L386" s="25" t="s">
        <v>3953</v>
      </c>
    </row>
    <row r="387" spans="2:12" x14ac:dyDescent="0.2">
      <c r="B387" s="118" t="s">
        <v>224</v>
      </c>
      <c r="C387" t="s">
        <v>3956</v>
      </c>
      <c r="D387" t="s">
        <v>3957</v>
      </c>
      <c r="E387" t="s">
        <v>3958</v>
      </c>
      <c r="F387" t="s">
        <v>3959</v>
      </c>
      <c r="G387" t="s">
        <v>3960</v>
      </c>
      <c r="H387" t="s">
        <v>3961</v>
      </c>
      <c r="I387" t="s">
        <v>3959</v>
      </c>
      <c r="J387" t="s">
        <v>3962</v>
      </c>
      <c r="K387" t="s">
        <v>3963</v>
      </c>
      <c r="L387" s="25" t="s">
        <v>3959</v>
      </c>
    </row>
    <row r="388" spans="2:12" x14ac:dyDescent="0.2">
      <c r="B388" s="118" t="s">
        <v>227</v>
      </c>
      <c r="C388" t="s">
        <v>3964</v>
      </c>
      <c r="D388" t="s">
        <v>3965</v>
      </c>
      <c r="E388" t="s">
        <v>3966</v>
      </c>
      <c r="F388" t="s">
        <v>3967</v>
      </c>
      <c r="G388" t="s">
        <v>3968</v>
      </c>
      <c r="H388" t="s">
        <v>3969</v>
      </c>
      <c r="I388" t="s">
        <v>3970</v>
      </c>
      <c r="J388" t="s">
        <v>3971</v>
      </c>
      <c r="K388" t="s">
        <v>3972</v>
      </c>
      <c r="L388" s="25" t="s">
        <v>3973</v>
      </c>
    </row>
    <row r="389" spans="2:12" x14ac:dyDescent="0.2">
      <c r="B389" s="118" t="s">
        <v>229</v>
      </c>
      <c r="C389" t="s">
        <v>3974</v>
      </c>
      <c r="D389" t="s">
        <v>3975</v>
      </c>
      <c r="E389" t="s">
        <v>3976</v>
      </c>
      <c r="F389" t="s">
        <v>3977</v>
      </c>
      <c r="G389" t="s">
        <v>3978</v>
      </c>
      <c r="H389" t="s">
        <v>3979</v>
      </c>
      <c r="I389" t="s">
        <v>3980</v>
      </c>
      <c r="J389" t="s">
        <v>3981</v>
      </c>
      <c r="K389" t="s">
        <v>3982</v>
      </c>
      <c r="L389" s="25" t="s">
        <v>3983</v>
      </c>
    </row>
    <row r="390" spans="2:12" x14ac:dyDescent="0.2">
      <c r="B390" s="118" t="s">
        <v>232</v>
      </c>
      <c r="C390" t="s">
        <v>3984</v>
      </c>
      <c r="D390" t="s">
        <v>3985</v>
      </c>
      <c r="E390" t="s">
        <v>3986</v>
      </c>
      <c r="F390" t="s">
        <v>3987</v>
      </c>
      <c r="G390" t="s">
        <v>3988</v>
      </c>
      <c r="H390" t="s">
        <v>3989</v>
      </c>
      <c r="I390" t="s">
        <v>3990</v>
      </c>
      <c r="J390" t="s">
        <v>3991</v>
      </c>
      <c r="K390" t="s">
        <v>3992</v>
      </c>
      <c r="L390" s="25" t="s">
        <v>3993</v>
      </c>
    </row>
    <row r="391" spans="2:12" x14ac:dyDescent="0.2">
      <c r="B391" s="118" t="s">
        <v>235</v>
      </c>
      <c r="C391" t="s">
        <v>3994</v>
      </c>
      <c r="D391" t="s">
        <v>3995</v>
      </c>
      <c r="E391" t="s">
        <v>3996</v>
      </c>
      <c r="F391" t="s">
        <v>3997</v>
      </c>
      <c r="G391" t="s">
        <v>3998</v>
      </c>
      <c r="H391" t="s">
        <v>3999</v>
      </c>
      <c r="I391" t="s">
        <v>3997</v>
      </c>
      <c r="J391" t="s">
        <v>4000</v>
      </c>
      <c r="K391" t="s">
        <v>4001</v>
      </c>
      <c r="L391" s="25" t="s">
        <v>4002</v>
      </c>
    </row>
    <row r="392" spans="2:12" x14ac:dyDescent="0.2">
      <c r="B392" s="118" t="s">
        <v>238</v>
      </c>
      <c r="C392" t="s">
        <v>4003</v>
      </c>
      <c r="D392" t="s">
        <v>4004</v>
      </c>
      <c r="E392" t="s">
        <v>4005</v>
      </c>
      <c r="F392" t="s">
        <v>4006</v>
      </c>
      <c r="G392" t="s">
        <v>4007</v>
      </c>
      <c r="H392" t="s">
        <v>4008</v>
      </c>
      <c r="I392" t="s">
        <v>4009</v>
      </c>
      <c r="J392" t="s">
        <v>4010</v>
      </c>
      <c r="K392" t="s">
        <v>4011</v>
      </c>
      <c r="L392" s="25" t="s">
        <v>4012</v>
      </c>
    </row>
    <row r="393" spans="2:12" x14ac:dyDescent="0.2">
      <c r="B393" s="118" t="s">
        <v>241</v>
      </c>
      <c r="C393" t="s">
        <v>4013</v>
      </c>
      <c r="D393" t="s">
        <v>4014</v>
      </c>
      <c r="E393" t="s">
        <v>4015</v>
      </c>
      <c r="F393" t="s">
        <v>4016</v>
      </c>
      <c r="G393" t="s">
        <v>4017</v>
      </c>
      <c r="H393" t="s">
        <v>4018</v>
      </c>
      <c r="I393" t="s">
        <v>4019</v>
      </c>
      <c r="J393" t="s">
        <v>4020</v>
      </c>
      <c r="K393" t="s">
        <v>4021</v>
      </c>
      <c r="L393" s="25" t="s">
        <v>4022</v>
      </c>
    </row>
    <row r="394" spans="2:12" x14ac:dyDescent="0.2">
      <c r="B394" s="118" t="s">
        <v>243</v>
      </c>
      <c r="C394" t="s">
        <v>4023</v>
      </c>
      <c r="D394" t="s">
        <v>4023</v>
      </c>
      <c r="E394" t="s">
        <v>4024</v>
      </c>
      <c r="F394" t="s">
        <v>4025</v>
      </c>
      <c r="G394" t="s">
        <v>4026</v>
      </c>
      <c r="H394" t="s">
        <v>4027</v>
      </c>
      <c r="I394" t="s">
        <v>4028</v>
      </c>
      <c r="J394" t="s">
        <v>4029</v>
      </c>
      <c r="K394" t="s">
        <v>4030</v>
      </c>
      <c r="L394" s="25" t="s">
        <v>243</v>
      </c>
    </row>
    <row r="395" spans="2:12" x14ac:dyDescent="0.2">
      <c r="B395" s="118" t="s">
        <v>246</v>
      </c>
      <c r="C395" t="s">
        <v>4031</v>
      </c>
      <c r="D395" t="s">
        <v>4031</v>
      </c>
      <c r="E395" t="s">
        <v>4032</v>
      </c>
      <c r="F395" t="s">
        <v>4033</v>
      </c>
      <c r="G395" t="s">
        <v>4034</v>
      </c>
      <c r="H395" t="s">
        <v>4035</v>
      </c>
      <c r="I395" t="s">
        <v>4036</v>
      </c>
      <c r="J395" t="s">
        <v>4037</v>
      </c>
      <c r="K395" t="s">
        <v>4038</v>
      </c>
      <c r="L395" s="25" t="s">
        <v>4039</v>
      </c>
    </row>
    <row r="396" spans="2:12" x14ac:dyDescent="0.2">
      <c r="B396" s="118" t="s">
        <v>249</v>
      </c>
      <c r="C396" t="s">
        <v>4040</v>
      </c>
      <c r="D396" t="s">
        <v>4040</v>
      </c>
      <c r="E396" t="s">
        <v>4041</v>
      </c>
      <c r="F396" t="s">
        <v>4042</v>
      </c>
      <c r="G396" t="s">
        <v>4043</v>
      </c>
      <c r="H396" t="s">
        <v>4044</v>
      </c>
      <c r="I396" t="s">
        <v>4045</v>
      </c>
      <c r="J396" t="s">
        <v>4046</v>
      </c>
      <c r="K396" t="s">
        <v>4047</v>
      </c>
      <c r="L396" s="25" t="s">
        <v>4048</v>
      </c>
    </row>
    <row r="397" spans="2:12" x14ac:dyDescent="0.2">
      <c r="B397" s="118" t="s">
        <v>252</v>
      </c>
      <c r="C397" t="s">
        <v>4049</v>
      </c>
      <c r="D397" t="s">
        <v>4050</v>
      </c>
      <c r="E397" t="s">
        <v>4051</v>
      </c>
      <c r="F397" t="s">
        <v>4052</v>
      </c>
      <c r="G397" t="s">
        <v>4053</v>
      </c>
      <c r="H397" t="s">
        <v>4054</v>
      </c>
      <c r="I397" t="s">
        <v>4055</v>
      </c>
      <c r="J397" t="s">
        <v>4056</v>
      </c>
      <c r="K397" t="s">
        <v>4057</v>
      </c>
      <c r="L397" s="25" t="s">
        <v>4058</v>
      </c>
    </row>
    <row r="398" spans="2:12" x14ac:dyDescent="0.2">
      <c r="B398" s="118" t="s">
        <v>255</v>
      </c>
      <c r="C398" t="s">
        <v>4059</v>
      </c>
      <c r="D398" t="s">
        <v>4060</v>
      </c>
      <c r="E398" t="s">
        <v>4061</v>
      </c>
      <c r="F398" t="s">
        <v>4062</v>
      </c>
      <c r="G398" t="s">
        <v>4063</v>
      </c>
      <c r="H398" t="s">
        <v>4064</v>
      </c>
      <c r="I398" t="s">
        <v>4065</v>
      </c>
      <c r="J398" t="s">
        <v>4066</v>
      </c>
      <c r="K398" t="s">
        <v>4067</v>
      </c>
      <c r="L398" s="25" t="s">
        <v>4068</v>
      </c>
    </row>
    <row r="399" spans="2:12" x14ac:dyDescent="0.2">
      <c r="B399" s="118" t="s">
        <v>258</v>
      </c>
      <c r="C399" t="s">
        <v>4069</v>
      </c>
      <c r="D399" t="s">
        <v>4069</v>
      </c>
      <c r="E399" t="s">
        <v>4070</v>
      </c>
      <c r="F399" t="s">
        <v>4071</v>
      </c>
      <c r="G399" t="s">
        <v>4072</v>
      </c>
      <c r="H399" t="s">
        <v>4073</v>
      </c>
      <c r="I399" t="s">
        <v>4071</v>
      </c>
      <c r="J399" t="s">
        <v>4074</v>
      </c>
      <c r="K399" t="s">
        <v>4075</v>
      </c>
      <c r="L399" s="25" t="s">
        <v>4071</v>
      </c>
    </row>
    <row r="400" spans="2:12" x14ac:dyDescent="0.2">
      <c r="B400" s="118" t="s">
        <v>260</v>
      </c>
      <c r="C400" t="s">
        <v>4076</v>
      </c>
      <c r="D400" t="s">
        <v>4077</v>
      </c>
      <c r="E400" t="s">
        <v>4078</v>
      </c>
      <c r="F400" t="s">
        <v>4079</v>
      </c>
      <c r="G400" t="s">
        <v>4080</v>
      </c>
      <c r="H400" t="s">
        <v>4081</v>
      </c>
      <c r="I400" t="s">
        <v>4082</v>
      </c>
      <c r="J400" t="s">
        <v>4083</v>
      </c>
      <c r="K400" t="s">
        <v>4084</v>
      </c>
      <c r="L400" s="25" t="s">
        <v>4085</v>
      </c>
    </row>
    <row r="401" spans="2:12" x14ac:dyDescent="0.2">
      <c r="B401" s="118" t="s">
        <v>263</v>
      </c>
      <c r="C401" t="s">
        <v>4086</v>
      </c>
      <c r="D401" t="s">
        <v>4087</v>
      </c>
      <c r="E401" t="s">
        <v>4088</v>
      </c>
      <c r="F401" t="s">
        <v>4089</v>
      </c>
      <c r="G401" t="s">
        <v>4090</v>
      </c>
      <c r="H401" t="s">
        <v>4091</v>
      </c>
      <c r="I401" t="s">
        <v>4092</v>
      </c>
      <c r="J401" t="s">
        <v>4093</v>
      </c>
      <c r="K401" t="s">
        <v>4094</v>
      </c>
      <c r="L401" s="25" t="s">
        <v>4095</v>
      </c>
    </row>
    <row r="402" spans="2:12" x14ac:dyDescent="0.2">
      <c r="B402" s="118" t="s">
        <v>265</v>
      </c>
      <c r="C402" t="s">
        <v>4096</v>
      </c>
      <c r="D402" t="s">
        <v>4097</v>
      </c>
      <c r="E402" t="s">
        <v>4098</v>
      </c>
      <c r="F402" t="s">
        <v>4099</v>
      </c>
      <c r="G402" t="s">
        <v>4100</v>
      </c>
      <c r="H402" t="s">
        <v>4101</v>
      </c>
      <c r="I402" t="s">
        <v>4102</v>
      </c>
      <c r="J402" t="s">
        <v>4103</v>
      </c>
      <c r="K402" t="s">
        <v>4104</v>
      </c>
      <c r="L402" s="25" t="s">
        <v>4105</v>
      </c>
    </row>
    <row r="403" spans="2:12" x14ac:dyDescent="0.2">
      <c r="B403" s="118" t="s">
        <v>267</v>
      </c>
      <c r="C403" t="s">
        <v>4106</v>
      </c>
      <c r="D403" t="s">
        <v>4107</v>
      </c>
      <c r="E403" t="s">
        <v>4108</v>
      </c>
      <c r="F403" t="s">
        <v>4109</v>
      </c>
      <c r="G403" t="s">
        <v>4110</v>
      </c>
      <c r="H403" t="s">
        <v>4111</v>
      </c>
      <c r="I403" t="s">
        <v>4112</v>
      </c>
      <c r="J403" t="s">
        <v>4113</v>
      </c>
      <c r="K403" t="s">
        <v>4114</v>
      </c>
      <c r="L403" s="25" t="s">
        <v>4115</v>
      </c>
    </row>
    <row r="404" spans="2:12" x14ac:dyDescent="0.2">
      <c r="B404" s="118" t="s">
        <v>270</v>
      </c>
      <c r="C404" t="s">
        <v>4116</v>
      </c>
      <c r="D404" t="s">
        <v>4117</v>
      </c>
      <c r="E404" t="s">
        <v>4118</v>
      </c>
      <c r="F404" t="s">
        <v>4119</v>
      </c>
      <c r="G404" t="s">
        <v>4120</v>
      </c>
      <c r="H404" t="s">
        <v>4121</v>
      </c>
      <c r="I404" t="s">
        <v>4122</v>
      </c>
      <c r="J404" t="s">
        <v>4123</v>
      </c>
      <c r="K404" t="s">
        <v>4124</v>
      </c>
      <c r="L404" s="25" t="s">
        <v>4125</v>
      </c>
    </row>
    <row r="405" spans="2:12" x14ac:dyDescent="0.2">
      <c r="B405" s="118" t="s">
        <v>273</v>
      </c>
      <c r="C405" t="s">
        <v>4126</v>
      </c>
      <c r="D405" t="s">
        <v>4126</v>
      </c>
      <c r="E405" t="s">
        <v>4127</v>
      </c>
      <c r="F405" t="s">
        <v>4128</v>
      </c>
      <c r="G405" t="s">
        <v>4129</v>
      </c>
      <c r="H405" t="s">
        <v>4130</v>
      </c>
      <c r="I405" t="s">
        <v>4128</v>
      </c>
      <c r="J405" t="s">
        <v>4131</v>
      </c>
      <c r="K405" t="s">
        <v>4132</v>
      </c>
      <c r="L405" s="25" t="s">
        <v>4133</v>
      </c>
    </row>
    <row r="406" spans="2:12" x14ac:dyDescent="0.2">
      <c r="B406" s="118" t="s">
        <v>277</v>
      </c>
      <c r="C406" t="s">
        <v>4134</v>
      </c>
      <c r="D406" t="s">
        <v>4135</v>
      </c>
      <c r="E406" t="s">
        <v>4136</v>
      </c>
      <c r="F406" t="s">
        <v>4137</v>
      </c>
      <c r="G406" t="s">
        <v>4138</v>
      </c>
      <c r="H406" t="s">
        <v>4139</v>
      </c>
      <c r="I406" t="s">
        <v>4140</v>
      </c>
      <c r="J406" t="s">
        <v>4141</v>
      </c>
      <c r="K406" t="s">
        <v>4142</v>
      </c>
      <c r="L406" s="25" t="s">
        <v>4143</v>
      </c>
    </row>
    <row r="407" spans="2:12" x14ac:dyDescent="0.2">
      <c r="B407" s="118" t="s">
        <v>6</v>
      </c>
      <c r="C407" t="s">
        <v>4586</v>
      </c>
      <c r="D407" t="s">
        <v>4586</v>
      </c>
      <c r="E407" t="s">
        <v>4586</v>
      </c>
      <c r="F407" t="s">
        <v>4587</v>
      </c>
      <c r="G407" t="s">
        <v>4588</v>
      </c>
      <c r="H407" t="s">
        <v>4589</v>
      </c>
      <c r="I407" t="s">
        <v>4590</v>
      </c>
      <c r="J407" t="s">
        <v>4591</v>
      </c>
      <c r="K407" t="s">
        <v>4592</v>
      </c>
      <c r="L407" s="25" t="s">
        <v>4144</v>
      </c>
    </row>
    <row r="408" spans="2:12" x14ac:dyDescent="0.2">
      <c r="B408" s="118" t="s">
        <v>279</v>
      </c>
      <c r="C408" t="s">
        <v>4145</v>
      </c>
      <c r="D408" t="s">
        <v>4146</v>
      </c>
      <c r="E408" t="s">
        <v>4145</v>
      </c>
      <c r="F408" t="s">
        <v>4147</v>
      </c>
      <c r="G408" t="s">
        <v>4593</v>
      </c>
      <c r="H408" t="s">
        <v>279</v>
      </c>
      <c r="I408" t="s">
        <v>4148</v>
      </c>
      <c r="J408" t="s">
        <v>4149</v>
      </c>
      <c r="K408" t="s">
        <v>4150</v>
      </c>
      <c r="L408" s="25" t="s">
        <v>4151</v>
      </c>
    </row>
    <row r="409" spans="2:12" x14ac:dyDescent="0.2">
      <c r="B409" s="118" t="s">
        <v>280</v>
      </c>
      <c r="C409" t="s">
        <v>4152</v>
      </c>
      <c r="D409" t="s">
        <v>4153</v>
      </c>
      <c r="E409" t="s">
        <v>4153</v>
      </c>
      <c r="F409" t="s">
        <v>4154</v>
      </c>
      <c r="G409" t="s">
        <v>4594</v>
      </c>
      <c r="H409" t="s">
        <v>4155</v>
      </c>
      <c r="I409" t="s">
        <v>4156</v>
      </c>
      <c r="J409" t="s">
        <v>4157</v>
      </c>
      <c r="K409" t="s">
        <v>4158</v>
      </c>
      <c r="L409" s="25" t="s">
        <v>4159</v>
      </c>
    </row>
    <row r="410" spans="2:12" x14ac:dyDescent="0.2">
      <c r="B410" s="118" t="s">
        <v>281</v>
      </c>
      <c r="C410" t="s">
        <v>4595</v>
      </c>
      <c r="D410" t="s">
        <v>4596</v>
      </c>
      <c r="E410" t="s">
        <v>4597</v>
      </c>
      <c r="F410" t="s">
        <v>4598</v>
      </c>
      <c r="G410" t="s">
        <v>4599</v>
      </c>
      <c r="H410" t="s">
        <v>4600</v>
      </c>
      <c r="I410" t="s">
        <v>4601</v>
      </c>
      <c r="J410" t="s">
        <v>4602</v>
      </c>
      <c r="K410" t="s">
        <v>4603</v>
      </c>
      <c r="L410" s="25" t="s">
        <v>4160</v>
      </c>
    </row>
    <row r="411" spans="2:12" x14ac:dyDescent="0.2">
      <c r="B411" s="118" t="s">
        <v>4620</v>
      </c>
      <c r="C411" t="s">
        <v>4621</v>
      </c>
      <c r="D411" t="s">
        <v>4622</v>
      </c>
      <c r="E411" t="s">
        <v>4623</v>
      </c>
      <c r="F411" t="s">
        <v>4624</v>
      </c>
      <c r="G411" t="s">
        <v>4625</v>
      </c>
      <c r="H411" t="s">
        <v>4626</v>
      </c>
      <c r="I411" t="s">
        <v>4627</v>
      </c>
      <c r="J411" t="s">
        <v>4628</v>
      </c>
      <c r="K411" t="s">
        <v>4629</v>
      </c>
      <c r="L411" s="25" t="s">
        <v>4630</v>
      </c>
    </row>
    <row r="412" spans="2:12" x14ac:dyDescent="0.2">
      <c r="B412" s="118" t="s">
        <v>4631</v>
      </c>
      <c r="C412" t="s">
        <v>4632</v>
      </c>
      <c r="D412" t="s">
        <v>4633</v>
      </c>
      <c r="E412" t="s">
        <v>4634</v>
      </c>
      <c r="F412" t="s">
        <v>4635</v>
      </c>
      <c r="G412" t="s">
        <v>4636</v>
      </c>
      <c r="H412" t="s">
        <v>4637</v>
      </c>
      <c r="I412" t="s">
        <v>4638</v>
      </c>
      <c r="J412" t="s">
        <v>4639</v>
      </c>
      <c r="K412" t="s">
        <v>4640</v>
      </c>
      <c r="L412" s="25" t="s">
        <v>4635</v>
      </c>
    </row>
    <row r="413" spans="2:12" x14ac:dyDescent="0.2">
      <c r="B413" s="118" t="s">
        <v>4482</v>
      </c>
      <c r="C413" t="s">
        <v>4483</v>
      </c>
      <c r="D413" t="s">
        <v>4484</v>
      </c>
      <c r="E413" t="s">
        <v>4485</v>
      </c>
      <c r="F413" t="s">
        <v>4486</v>
      </c>
      <c r="G413" t="s">
        <v>4487</v>
      </c>
      <c r="H413" t="s">
        <v>4488</v>
      </c>
      <c r="I413" t="s">
        <v>4489</v>
      </c>
      <c r="J413" t="s">
        <v>4490</v>
      </c>
      <c r="K413" t="s">
        <v>4491</v>
      </c>
      <c r="L413" s="25" t="s">
        <v>4492</v>
      </c>
    </row>
    <row r="414" spans="2:12" x14ac:dyDescent="0.2">
      <c r="B414" s="172" t="s">
        <v>4878</v>
      </c>
      <c r="C414" t="s">
        <v>4879</v>
      </c>
      <c r="D414" t="s">
        <v>4880</v>
      </c>
      <c r="E414" t="s">
        <v>4881</v>
      </c>
      <c r="F414" t="s">
        <v>4882</v>
      </c>
      <c r="G414" t="s">
        <v>4883</v>
      </c>
      <c r="H414" t="s">
        <v>4884</v>
      </c>
      <c r="I414" t="s">
        <v>4885</v>
      </c>
      <c r="J414" t="s">
        <v>4886</v>
      </c>
      <c r="K414" t="s">
        <v>4887</v>
      </c>
      <c r="L414" s="25" t="s">
        <v>4888</v>
      </c>
    </row>
    <row r="415" spans="2:12" x14ac:dyDescent="0.2">
      <c r="B415" s="24" t="s">
        <v>4287</v>
      </c>
      <c r="C415" t="s">
        <v>4374</v>
      </c>
      <c r="D415" t="s">
        <v>4375</v>
      </c>
      <c r="E415" t="s">
        <v>4376</v>
      </c>
      <c r="F415" t="s">
        <v>4377</v>
      </c>
      <c r="G415" t="s">
        <v>4377</v>
      </c>
      <c r="H415" t="s">
        <v>4378</v>
      </c>
      <c r="I415" t="s">
        <v>4379</v>
      </c>
      <c r="J415" t="s">
        <v>4380</v>
      </c>
      <c r="K415" t="s">
        <v>4381</v>
      </c>
      <c r="L415" s="25" t="s">
        <v>4382</v>
      </c>
    </row>
    <row r="416" spans="2:12" x14ac:dyDescent="0.2">
      <c r="B416" s="24" t="s">
        <v>4290</v>
      </c>
      <c r="C416" t="s">
        <v>4383</v>
      </c>
      <c r="D416" t="s">
        <v>4384</v>
      </c>
      <c r="E416" t="s">
        <v>4385</v>
      </c>
      <c r="F416" t="s">
        <v>4386</v>
      </c>
      <c r="G416" t="s">
        <v>4387</v>
      </c>
      <c r="H416" t="s">
        <v>4388</v>
      </c>
      <c r="I416" t="s">
        <v>4389</v>
      </c>
      <c r="J416" t="s">
        <v>4390</v>
      </c>
      <c r="K416" t="s">
        <v>4391</v>
      </c>
      <c r="L416" s="25" t="s">
        <v>4392</v>
      </c>
    </row>
    <row r="417" spans="2:12" x14ac:dyDescent="0.2">
      <c r="B417" s="24" t="s">
        <v>4289</v>
      </c>
      <c r="C417" t="s">
        <v>4393</v>
      </c>
      <c r="D417" t="s">
        <v>4394</v>
      </c>
      <c r="E417" t="s">
        <v>4395</v>
      </c>
      <c r="F417" t="s">
        <v>4396</v>
      </c>
      <c r="G417" t="s">
        <v>4397</v>
      </c>
      <c r="H417" t="s">
        <v>4398</v>
      </c>
      <c r="I417" t="s">
        <v>4399</v>
      </c>
      <c r="J417" t="s">
        <v>4400</v>
      </c>
      <c r="K417" t="s">
        <v>4401</v>
      </c>
      <c r="L417" s="25" t="s">
        <v>4402</v>
      </c>
    </row>
    <row r="418" spans="2:12" x14ac:dyDescent="0.2">
      <c r="B418" s="24" t="s">
        <v>4288</v>
      </c>
      <c r="C418" t="s">
        <v>4403</v>
      </c>
      <c r="D418" t="s">
        <v>4404</v>
      </c>
      <c r="E418" t="s">
        <v>4405</v>
      </c>
      <c r="F418" t="s">
        <v>4406</v>
      </c>
      <c r="G418" t="s">
        <v>4407</v>
      </c>
      <c r="H418" t="s">
        <v>4408</v>
      </c>
      <c r="I418" t="s">
        <v>4409</v>
      </c>
      <c r="J418" t="s">
        <v>4410</v>
      </c>
      <c r="K418" t="s">
        <v>4411</v>
      </c>
      <c r="L418" s="25" t="s">
        <v>4412</v>
      </c>
    </row>
    <row r="419" spans="2:12" x14ac:dyDescent="0.2">
      <c r="B419" s="24" t="s">
        <v>4373</v>
      </c>
      <c r="C419" t="s">
        <v>4413</v>
      </c>
      <c r="D419" t="s">
        <v>4414</v>
      </c>
      <c r="E419" t="s">
        <v>4415</v>
      </c>
      <c r="F419" t="s">
        <v>4416</v>
      </c>
      <c r="G419" t="s">
        <v>4417</v>
      </c>
      <c r="H419" t="s">
        <v>4418</v>
      </c>
      <c r="I419" t="s">
        <v>4419</v>
      </c>
      <c r="J419" t="s">
        <v>4420</v>
      </c>
      <c r="K419" t="s">
        <v>4421</v>
      </c>
      <c r="L419" s="25" t="s">
        <v>4422</v>
      </c>
    </row>
    <row r="420" spans="2:12" x14ac:dyDescent="0.2">
      <c r="B420" s="24" t="s">
        <v>4372</v>
      </c>
      <c r="C420" t="s">
        <v>4423</v>
      </c>
      <c r="D420" t="s">
        <v>4424</v>
      </c>
      <c r="E420" t="s">
        <v>4425</v>
      </c>
      <c r="F420" t="s">
        <v>4426</v>
      </c>
      <c r="G420" t="s">
        <v>4427</v>
      </c>
      <c r="H420" t="s">
        <v>4428</v>
      </c>
      <c r="I420" t="s">
        <v>4429</v>
      </c>
      <c r="J420" t="s">
        <v>4430</v>
      </c>
      <c r="K420" t="s">
        <v>4431</v>
      </c>
      <c r="L420" s="25" t="s">
        <v>4432</v>
      </c>
    </row>
    <row r="421" spans="2:12" x14ac:dyDescent="0.2">
      <c r="B421" s="24" t="s">
        <v>4604</v>
      </c>
      <c r="C421" t="s">
        <v>4433</v>
      </c>
      <c r="D421" t="s">
        <v>4434</v>
      </c>
      <c r="E421" t="s">
        <v>4435</v>
      </c>
      <c r="F421" t="s">
        <v>4436</v>
      </c>
      <c r="G421" t="s">
        <v>4437</v>
      </c>
      <c r="H421" t="s">
        <v>4438</v>
      </c>
      <c r="I421" t="s">
        <v>4605</v>
      </c>
      <c r="J421" t="s">
        <v>4439</v>
      </c>
      <c r="K421" t="s">
        <v>4440</v>
      </c>
      <c r="L421" s="25" t="s">
        <v>4441</v>
      </c>
    </row>
    <row r="422" spans="2:12" x14ac:dyDescent="0.2">
      <c r="B422" s="24" t="s">
        <v>4606</v>
      </c>
      <c r="C422" t="s">
        <v>4442</v>
      </c>
      <c r="D422" t="s">
        <v>4443</v>
      </c>
      <c r="E422" t="s">
        <v>4444</v>
      </c>
      <c r="F422" t="s">
        <v>4445</v>
      </c>
      <c r="G422" t="s">
        <v>4446</v>
      </c>
      <c r="H422" t="s">
        <v>4447</v>
      </c>
      <c r="I422" t="s">
        <v>4607</v>
      </c>
      <c r="J422" t="s">
        <v>4448</v>
      </c>
      <c r="K422" t="s">
        <v>4449</v>
      </c>
      <c r="L422" s="25" t="s">
        <v>4450</v>
      </c>
    </row>
    <row r="423" spans="2:12" x14ac:dyDescent="0.2">
      <c r="B423" s="24" t="s">
        <v>4608</v>
      </c>
      <c r="C423" t="s">
        <v>4451</v>
      </c>
      <c r="D423" t="s">
        <v>4452</v>
      </c>
      <c r="E423" t="s">
        <v>4453</v>
      </c>
      <c r="F423" t="s">
        <v>4454</v>
      </c>
      <c r="G423" t="s">
        <v>4455</v>
      </c>
      <c r="H423" t="s">
        <v>4456</v>
      </c>
      <c r="I423" t="s">
        <v>4609</v>
      </c>
      <c r="J423" t="s">
        <v>4457</v>
      </c>
      <c r="K423" t="s">
        <v>4458</v>
      </c>
      <c r="L423" s="25" t="s">
        <v>4459</v>
      </c>
    </row>
    <row r="424" spans="2:12" x14ac:dyDescent="0.2">
      <c r="B424" s="184" t="s">
        <v>4515</v>
      </c>
      <c r="C424" s="120" t="s">
        <v>4516</v>
      </c>
      <c r="D424" s="120" t="s">
        <v>4517</v>
      </c>
      <c r="E424" s="120" t="s">
        <v>4518</v>
      </c>
      <c r="F424" s="120" t="s">
        <v>4519</v>
      </c>
      <c r="G424" s="120" t="s">
        <v>4520</v>
      </c>
      <c r="H424" s="120" t="s">
        <v>4521</v>
      </c>
      <c r="I424" s="120" t="s">
        <v>4522</v>
      </c>
      <c r="J424" s="120" t="s">
        <v>4523</v>
      </c>
      <c r="K424" s="120" t="s">
        <v>4524</v>
      </c>
      <c r="L424" s="185" t="s">
        <v>4525</v>
      </c>
    </row>
    <row r="425" spans="2:12" x14ac:dyDescent="0.2">
      <c r="B425" s="184" t="s">
        <v>4526</v>
      </c>
      <c r="C425" s="120" t="s">
        <v>4527</v>
      </c>
      <c r="D425" s="120" t="s">
        <v>4528</v>
      </c>
      <c r="E425" s="120" t="s">
        <v>4529</v>
      </c>
      <c r="F425" s="120" t="s">
        <v>4530</v>
      </c>
      <c r="G425" s="120" t="s">
        <v>4531</v>
      </c>
      <c r="H425" s="120" t="s">
        <v>4532</v>
      </c>
      <c r="I425" s="120" t="s">
        <v>4533</v>
      </c>
      <c r="J425" s="120" t="s">
        <v>4534</v>
      </c>
      <c r="K425" s="120" t="s">
        <v>4535</v>
      </c>
      <c r="L425" s="185" t="s">
        <v>4536</v>
      </c>
    </row>
    <row r="426" spans="2:12" x14ac:dyDescent="0.2">
      <c r="B426" s="184" t="s">
        <v>4537</v>
      </c>
      <c r="C426" s="120" t="s">
        <v>4538</v>
      </c>
      <c r="D426" s="120" t="s">
        <v>4539</v>
      </c>
      <c r="E426" s="120" t="s">
        <v>4540</v>
      </c>
      <c r="F426" s="120" t="s">
        <v>4541</v>
      </c>
      <c r="G426" s="120" t="s">
        <v>4542</v>
      </c>
      <c r="H426" s="120" t="s">
        <v>4543</v>
      </c>
      <c r="I426" s="120" t="s">
        <v>4544</v>
      </c>
      <c r="J426" s="120" t="s">
        <v>4545</v>
      </c>
      <c r="K426" s="120" t="s">
        <v>4546</v>
      </c>
      <c r="L426" s="185" t="s">
        <v>4547</v>
      </c>
    </row>
    <row r="427" spans="2:12" x14ac:dyDescent="0.2">
      <c r="B427" s="184" t="s">
        <v>4944</v>
      </c>
      <c r="C427" s="120" t="s">
        <v>4981</v>
      </c>
      <c r="D427" s="120" t="s">
        <v>4982</v>
      </c>
      <c r="E427" s="120" t="s">
        <v>4983</v>
      </c>
      <c r="F427" s="120" t="s">
        <v>4984</v>
      </c>
      <c r="G427" s="120" t="s">
        <v>4985</v>
      </c>
      <c r="H427" s="120" t="s">
        <v>4986</v>
      </c>
      <c r="I427" s="120" t="s">
        <v>4987</v>
      </c>
      <c r="J427" s="120" t="s">
        <v>4988</v>
      </c>
      <c r="K427" s="120" t="s">
        <v>4989</v>
      </c>
      <c r="L427" s="185" t="s">
        <v>4990</v>
      </c>
    </row>
    <row r="428" spans="2:12" x14ac:dyDescent="0.2">
      <c r="B428" s="184" t="s">
        <v>4548</v>
      </c>
      <c r="C428" s="120" t="s">
        <v>4549</v>
      </c>
      <c r="D428" s="120" t="s">
        <v>4550</v>
      </c>
      <c r="E428" s="120" t="s">
        <v>4551</v>
      </c>
      <c r="F428" s="120" t="s">
        <v>4552</v>
      </c>
      <c r="G428" s="120" t="s">
        <v>4553</v>
      </c>
      <c r="H428" s="120" t="s">
        <v>4554</v>
      </c>
      <c r="I428" s="120" t="s">
        <v>4555</v>
      </c>
      <c r="J428" s="120" t="s">
        <v>4556</v>
      </c>
      <c r="K428" s="120" t="s">
        <v>4557</v>
      </c>
      <c r="L428" s="185" t="s">
        <v>4558</v>
      </c>
    </row>
    <row r="429" spans="2:12" x14ac:dyDescent="0.2">
      <c r="B429" s="184" t="s">
        <v>4559</v>
      </c>
      <c r="C429" s="120" t="s">
        <v>4560</v>
      </c>
      <c r="D429" s="120" t="s">
        <v>4561</v>
      </c>
      <c r="E429" s="120" t="s">
        <v>4562</v>
      </c>
      <c r="F429" s="120" t="s">
        <v>4563</v>
      </c>
      <c r="G429" s="120" t="s">
        <v>4564</v>
      </c>
      <c r="H429" s="120" t="s">
        <v>4565</v>
      </c>
      <c r="I429" s="120" t="s">
        <v>4566</v>
      </c>
      <c r="J429" s="120" t="s">
        <v>4567</v>
      </c>
      <c r="K429" s="120" t="s">
        <v>4568</v>
      </c>
      <c r="L429" s="185" t="s">
        <v>4569</v>
      </c>
    </row>
    <row r="430" spans="2:12" x14ac:dyDescent="0.2">
      <c r="B430" s="184" t="s">
        <v>4570</v>
      </c>
      <c r="C430" s="120" t="s">
        <v>4571</v>
      </c>
      <c r="D430" s="120" t="s">
        <v>4571</v>
      </c>
      <c r="E430" s="120" t="s">
        <v>4572</v>
      </c>
      <c r="F430" s="120" t="s">
        <v>4573</v>
      </c>
      <c r="G430" s="120" t="s">
        <v>4574</v>
      </c>
      <c r="H430" s="120" t="s">
        <v>4575</v>
      </c>
      <c r="I430" s="120" t="s">
        <v>4573</v>
      </c>
      <c r="J430" s="120" t="s">
        <v>4576</v>
      </c>
      <c r="K430" s="120" t="s">
        <v>4577</v>
      </c>
      <c r="L430" s="185" t="s">
        <v>4578</v>
      </c>
    </row>
    <row r="431" spans="2:12" x14ac:dyDescent="0.2">
      <c r="B431" s="24" t="s">
        <v>4610</v>
      </c>
      <c r="C431" t="s">
        <v>4460</v>
      </c>
      <c r="D431" t="s">
        <v>4461</v>
      </c>
      <c r="E431" t="s">
        <v>4462</v>
      </c>
      <c r="F431" t="s">
        <v>4463</v>
      </c>
      <c r="G431" t="s">
        <v>4464</v>
      </c>
      <c r="H431" t="s">
        <v>4465</v>
      </c>
      <c r="I431" t="s">
        <v>4611</v>
      </c>
      <c r="J431" t="s">
        <v>4466</v>
      </c>
      <c r="K431" t="s">
        <v>4467</v>
      </c>
      <c r="L431" s="25" t="s">
        <v>4468</v>
      </c>
    </row>
    <row r="432" spans="2:12" x14ac:dyDescent="0.2">
      <c r="B432" s="24" t="s">
        <v>1054</v>
      </c>
      <c r="C432" s="131" t="s">
        <v>1055</v>
      </c>
      <c r="D432" s="131" t="s">
        <v>1056</v>
      </c>
      <c r="E432" s="131" t="s">
        <v>4848</v>
      </c>
      <c r="F432" s="131" t="s">
        <v>1058</v>
      </c>
      <c r="G432" s="131" t="s">
        <v>1059</v>
      </c>
      <c r="H432" s="131" t="s">
        <v>1060</v>
      </c>
      <c r="I432" s="131" t="s">
        <v>1061</v>
      </c>
      <c r="J432" s="131" t="s">
        <v>4849</v>
      </c>
      <c r="K432" s="131" t="s">
        <v>4850</v>
      </c>
      <c r="L432" s="129" t="s">
        <v>1064</v>
      </c>
    </row>
    <row r="433" spans="2:12" x14ac:dyDescent="0.2">
      <c r="B433" s="24" t="s">
        <v>1047</v>
      </c>
      <c r="C433" s="131" t="s">
        <v>4851</v>
      </c>
      <c r="D433" s="131" t="s">
        <v>4852</v>
      </c>
      <c r="E433" s="131" t="s">
        <v>4853</v>
      </c>
      <c r="F433" s="131" t="s">
        <v>4854</v>
      </c>
      <c r="G433" s="131" t="s">
        <v>4855</v>
      </c>
      <c r="H433" s="131" t="s">
        <v>4856</v>
      </c>
      <c r="I433" s="131" t="s">
        <v>4854</v>
      </c>
      <c r="J433" s="131" t="s">
        <v>1053</v>
      </c>
      <c r="K433" s="131" t="s">
        <v>1047</v>
      </c>
      <c r="L433" s="129" t="s">
        <v>1047</v>
      </c>
    </row>
    <row r="434" spans="2:12" x14ac:dyDescent="0.2">
      <c r="B434" s="24" t="s">
        <v>1136</v>
      </c>
      <c r="C434" s="131" t="s">
        <v>1137</v>
      </c>
      <c r="D434" s="131" t="s">
        <v>1138</v>
      </c>
      <c r="E434" s="131" t="s">
        <v>4857</v>
      </c>
      <c r="F434" s="131" t="s">
        <v>1140</v>
      </c>
      <c r="G434" s="131" t="s">
        <v>1141</v>
      </c>
      <c r="H434" s="131" t="s">
        <v>1142</v>
      </c>
      <c r="I434" s="131" t="s">
        <v>1143</v>
      </c>
      <c r="J434" s="131" t="s">
        <v>4858</v>
      </c>
      <c r="K434" s="131" t="s">
        <v>4859</v>
      </c>
      <c r="L434" s="129" t="s">
        <v>1146</v>
      </c>
    </row>
    <row r="435" spans="2:12" x14ac:dyDescent="0.2">
      <c r="B435" s="24" t="s">
        <v>1158</v>
      </c>
      <c r="C435" s="131" t="s">
        <v>4860</v>
      </c>
      <c r="D435" s="131" t="s">
        <v>4861</v>
      </c>
      <c r="E435" s="131" t="s">
        <v>4862</v>
      </c>
      <c r="F435" s="131" t="s">
        <v>4863</v>
      </c>
      <c r="G435" s="131" t="s">
        <v>4864</v>
      </c>
      <c r="H435" s="131" t="s">
        <v>4865</v>
      </c>
      <c r="I435" s="131" t="s">
        <v>4866</v>
      </c>
      <c r="J435" s="131" t="s">
        <v>1023</v>
      </c>
      <c r="K435" s="131" t="s">
        <v>1158</v>
      </c>
      <c r="L435" s="129" t="s">
        <v>1023</v>
      </c>
    </row>
    <row r="436" spans="2:12" x14ac:dyDescent="0.2">
      <c r="B436" s="24" t="s">
        <v>4867</v>
      </c>
      <c r="C436" s="131" t="s">
        <v>4868</v>
      </c>
      <c r="D436" s="131" t="s">
        <v>4869</v>
      </c>
      <c r="E436" s="131" t="s">
        <v>4870</v>
      </c>
      <c r="F436" s="131" t="s">
        <v>4871</v>
      </c>
      <c r="G436" s="131" t="s">
        <v>4872</v>
      </c>
      <c r="H436" s="131" t="s">
        <v>4873</v>
      </c>
      <c r="I436" s="131" t="s">
        <v>4874</v>
      </c>
      <c r="J436" s="131" t="s">
        <v>4875</v>
      </c>
      <c r="K436" s="131" t="s">
        <v>4876</v>
      </c>
      <c r="L436" s="129" t="s">
        <v>4877</v>
      </c>
    </row>
    <row r="437" spans="2:12" x14ac:dyDescent="0.2">
      <c r="B437" s="24" t="s">
        <v>4889</v>
      </c>
      <c r="C437" t="s">
        <v>4890</v>
      </c>
      <c r="D437" t="s">
        <v>4891</v>
      </c>
      <c r="E437" t="s">
        <v>4892</v>
      </c>
      <c r="F437" t="s">
        <v>4893</v>
      </c>
      <c r="G437" t="s">
        <v>4894</v>
      </c>
      <c r="H437" t="s">
        <v>4895</v>
      </c>
      <c r="I437" t="s">
        <v>4896</v>
      </c>
      <c r="J437" t="s">
        <v>4897</v>
      </c>
      <c r="K437" t="s">
        <v>4898</v>
      </c>
      <c r="L437" s="25" t="s">
        <v>4899</v>
      </c>
    </row>
    <row r="438" spans="2:12" x14ac:dyDescent="0.2">
      <c r="B438" s="24" t="s">
        <v>4900</v>
      </c>
      <c r="C438" s="131" t="s">
        <v>4901</v>
      </c>
      <c r="D438" s="131" t="s">
        <v>4902</v>
      </c>
      <c r="E438" s="131" t="s">
        <v>4903</v>
      </c>
      <c r="F438" s="131" t="s">
        <v>4904</v>
      </c>
      <c r="G438" s="131" t="s">
        <v>4905</v>
      </c>
      <c r="H438" s="131" t="s">
        <v>4906</v>
      </c>
      <c r="I438" s="131" t="s">
        <v>4907</v>
      </c>
      <c r="J438" s="131" t="s">
        <v>4908</v>
      </c>
      <c r="K438" s="131" t="s">
        <v>4909</v>
      </c>
      <c r="L438" s="129" t="s">
        <v>4910</v>
      </c>
    </row>
    <row r="439" spans="2:12" x14ac:dyDescent="0.2">
      <c r="B439" s="24" t="s">
        <v>4911</v>
      </c>
      <c r="C439" t="s">
        <v>4912</v>
      </c>
      <c r="D439" t="s">
        <v>4913</v>
      </c>
      <c r="E439" t="s">
        <v>4914</v>
      </c>
      <c r="F439" t="s">
        <v>4915</v>
      </c>
      <c r="G439" t="s">
        <v>4916</v>
      </c>
      <c r="H439" t="s">
        <v>4917</v>
      </c>
      <c r="I439" t="s">
        <v>4918</v>
      </c>
      <c r="J439" t="s">
        <v>4919</v>
      </c>
      <c r="K439" t="s">
        <v>4920</v>
      </c>
      <c r="L439" s="25" t="s">
        <v>4921</v>
      </c>
    </row>
    <row r="440" spans="2:12" x14ac:dyDescent="0.2">
      <c r="B440" s="24" t="s">
        <v>4923</v>
      </c>
      <c r="C440" s="131" t="s">
        <v>4924</v>
      </c>
      <c r="D440" s="131" t="s">
        <v>4925</v>
      </c>
      <c r="E440" s="131" t="s">
        <v>4929</v>
      </c>
      <c r="F440" s="131" t="s">
        <v>4930</v>
      </c>
      <c r="G440" s="131" t="s">
        <v>4923</v>
      </c>
      <c r="H440" s="131" t="s">
        <v>4926</v>
      </c>
      <c r="I440" s="131" t="s">
        <v>4927</v>
      </c>
      <c r="J440" s="131" t="s">
        <v>4931</v>
      </c>
      <c r="K440" s="131" t="s">
        <v>4928</v>
      </c>
      <c r="L440" s="129" t="s">
        <v>4932</v>
      </c>
    </row>
    <row r="441" spans="2:12" x14ac:dyDescent="0.2">
      <c r="B441" s="62" t="s">
        <v>4933</v>
      </c>
      <c r="C441" s="4" t="s">
        <v>4934</v>
      </c>
      <c r="D441" s="4" t="s">
        <v>4935</v>
      </c>
      <c r="E441" s="4" t="s">
        <v>4936</v>
      </c>
      <c r="F441" s="4" t="s">
        <v>4937</v>
      </c>
      <c r="G441" s="4" t="s">
        <v>4938</v>
      </c>
      <c r="H441" s="4" t="s">
        <v>4939</v>
      </c>
      <c r="I441" s="4" t="s">
        <v>4940</v>
      </c>
      <c r="J441" s="4" t="s">
        <v>4941</v>
      </c>
      <c r="K441" s="4" t="s">
        <v>4942</v>
      </c>
      <c r="L441" s="4" t="s">
        <v>4943</v>
      </c>
    </row>
    <row r="442" spans="2:12" x14ac:dyDescent="0.2">
      <c r="B442" s="24" t="s">
        <v>4945</v>
      </c>
      <c r="C442" t="s">
        <v>4991</v>
      </c>
      <c r="D442" t="s">
        <v>4991</v>
      </c>
      <c r="E442" t="s">
        <v>4946</v>
      </c>
      <c r="F442" t="s">
        <v>4947</v>
      </c>
      <c r="G442" t="s">
        <v>4948</v>
      </c>
      <c r="H442" t="s">
        <v>4949</v>
      </c>
      <c r="I442" t="s">
        <v>4950</v>
      </c>
      <c r="J442" t="s">
        <v>4951</v>
      </c>
      <c r="K442" t="s">
        <v>4952</v>
      </c>
      <c r="L442" s="25" t="s">
        <v>4953</v>
      </c>
    </row>
    <row r="443" spans="2:12" x14ac:dyDescent="0.2">
      <c r="B443" s="24" t="s">
        <v>4954</v>
      </c>
      <c r="C443" t="s">
        <v>4992</v>
      </c>
      <c r="D443" t="s">
        <v>4992</v>
      </c>
      <c r="E443" t="s">
        <v>4955</v>
      </c>
      <c r="F443" t="s">
        <v>4956</v>
      </c>
      <c r="G443" t="s">
        <v>4957</v>
      </c>
      <c r="H443" t="s">
        <v>4958</v>
      </c>
      <c r="I443" t="s">
        <v>4959</v>
      </c>
      <c r="J443" t="s">
        <v>4960</v>
      </c>
      <c r="K443" t="s">
        <v>4961</v>
      </c>
      <c r="L443" s="25" t="s">
        <v>4962</v>
      </c>
    </row>
    <row r="444" spans="2:12" x14ac:dyDescent="0.2">
      <c r="B444" s="24" t="s">
        <v>4963</v>
      </c>
      <c r="C444" t="s">
        <v>4993</v>
      </c>
      <c r="D444" t="s">
        <v>4993</v>
      </c>
      <c r="E444" t="s">
        <v>4964</v>
      </c>
      <c r="F444" t="s">
        <v>4965</v>
      </c>
      <c r="G444" t="s">
        <v>4966</v>
      </c>
      <c r="H444" t="s">
        <v>4967</v>
      </c>
      <c r="I444" t="s">
        <v>4968</v>
      </c>
      <c r="J444" t="s">
        <v>4969</v>
      </c>
      <c r="K444" t="s">
        <v>4970</v>
      </c>
      <c r="L444" s="25" t="s">
        <v>4971</v>
      </c>
    </row>
    <row r="445" spans="2:12" x14ac:dyDescent="0.2">
      <c r="B445" s="24" t="s">
        <v>4972</v>
      </c>
      <c r="C445" t="s">
        <v>4994</v>
      </c>
      <c r="D445" t="s">
        <v>4994</v>
      </c>
      <c r="E445" t="s">
        <v>4973</v>
      </c>
      <c r="F445" t="s">
        <v>4974</v>
      </c>
      <c r="G445" t="s">
        <v>4975</v>
      </c>
      <c r="H445" t="s">
        <v>4976</v>
      </c>
      <c r="I445" t="s">
        <v>4977</v>
      </c>
      <c r="J445" t="s">
        <v>4978</v>
      </c>
      <c r="K445" t="s">
        <v>4979</v>
      </c>
      <c r="L445" s="25" t="s">
        <v>4980</v>
      </c>
    </row>
  </sheetData>
  <phoneticPr fontId="3"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8" ma:contentTypeDescription="Create a new document." ma:contentTypeScope="" ma:versionID="9c09f82c5ee28fbf1a352893a9220d8f">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7dcb2ca47ea9468f9677297f925818bb"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element ref="ns2:MediaServiceSearchProperties" minOccurs="0"/>
                <xsd:element ref="ns2:MediaServiceGenerationTime" minOccurs="0"/>
                <xsd:element ref="ns2:MediaServiceEventHashCode"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6f79bde-b34b-4e33-a562-f79c102b9a25" ma:termSetId="09814cd3-568e-fe90-9814-8d621ff8fb84" ma:anchorId="fba54fb3-c3e1-fe81-a776-ca4b69148c4d" ma:open="true" ma:isKeyword="false">
      <xsd:complexType>
        <xsd:sequence>
          <xsd:element ref="pc:Terms" minOccurs="0" maxOccurs="1"/>
        </xsd:sequence>
      </xsd:complexType>
    </xsd:element>
    <xsd:element name="MediaServiceOCR" ma:index="25"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253160da-aabf-4116-8593-9bf85f947d6c}" ma:internalName="TaxCatchAll" ma:showField="CatchAllData" ma:web="c0d2cb11-e59a-439e-ba1c-da77417d3bf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Date xmlns="5fe155e5-e33d-4841-8cd3-d55e51c1bb09" xsi:nil="true"/>
    <lcf76f155ced4ddcb4097134ff3c332f xmlns="5fe155e5-e33d-4841-8cd3-d55e51c1bb09">
      <Terms xmlns="http://schemas.microsoft.com/office/infopath/2007/PartnerControls"/>
    </lcf76f155ced4ddcb4097134ff3c332f>
    <TaxCatchAll xmlns="c0d2cb11-e59a-439e-ba1c-da77417d3bf8" xsi:nil="true"/>
  </documentManagement>
</p:properties>
</file>

<file path=customXml/itemProps1.xml><?xml version="1.0" encoding="utf-8"?>
<ds:datastoreItem xmlns:ds="http://schemas.openxmlformats.org/officeDocument/2006/customXml" ds:itemID="{C6F602B6-8A12-45CA-93FD-29B70B9466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39885C-3CEE-4CFF-96BD-4571C0130446}">
  <ds:schemaRefs>
    <ds:schemaRef ds:uri="http://schemas.microsoft.com/sharepoint/v3/contenttype/forms"/>
  </ds:schemaRefs>
</ds:datastoreItem>
</file>

<file path=customXml/itemProps3.xml><?xml version="1.0" encoding="utf-8"?>
<ds:datastoreItem xmlns:ds="http://schemas.openxmlformats.org/officeDocument/2006/customXml" ds:itemID="{B938E6E0-7AC8-4310-93E5-E97C312FDB44}">
  <ds:schemaRefs>
    <ds:schemaRef ds:uri="c0d2cb11-e59a-439e-ba1c-da77417d3bf8"/>
    <ds:schemaRef ds:uri="5fe155e5-e33d-4841-8cd3-d55e51c1bb09"/>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purl.org/dc/terms/"/>
    <ds:schemaRef ds:uri="http://purl.org/dc/dcmitype/"/>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43</vt:i4>
      </vt:variant>
    </vt:vector>
  </HeadingPairs>
  <TitlesOfParts>
    <vt:vector size="47" baseType="lpstr">
      <vt:lpstr>Decision_Table</vt:lpstr>
      <vt:lpstr>Independent_Inputs</vt:lpstr>
      <vt:lpstr>WACC</vt:lpstr>
      <vt:lpstr>Intermediate</vt:lpstr>
      <vt:lpstr>WACC!Área_de_impresión</vt:lpstr>
      <vt:lpstr>AutoPeers</vt:lpstr>
      <vt:lpstr>Beta_Selection</vt:lpstr>
      <vt:lpstr>Button_1</vt:lpstr>
      <vt:lpstr>Button_2</vt:lpstr>
      <vt:lpstr>Clear_Data</vt:lpstr>
      <vt:lpstr>Clear_DT</vt:lpstr>
      <vt:lpstr>Clear_FI</vt:lpstr>
      <vt:lpstr>Count_A</vt:lpstr>
      <vt:lpstr>Count_B</vt:lpstr>
      <vt:lpstr>Currency_Selection</vt:lpstr>
      <vt:lpstr>Def_Beta</vt:lpstr>
      <vt:lpstr>DS_1</vt:lpstr>
      <vt:lpstr>DS_2</vt:lpstr>
      <vt:lpstr>Entity_Name</vt:lpstr>
      <vt:lpstr>ES_1</vt:lpstr>
      <vt:lpstr>ES_2</vt:lpstr>
      <vt:lpstr>Focus</vt:lpstr>
      <vt:lpstr>FormFI_1</vt:lpstr>
      <vt:lpstr>FormFI_2</vt:lpstr>
      <vt:lpstr>Forml1</vt:lpstr>
      <vt:lpstr>Forml2</vt:lpstr>
      <vt:lpstr>Forml3</vt:lpstr>
      <vt:lpstr>InstStep</vt:lpstr>
      <vt:lpstr>Language_Data</vt:lpstr>
      <vt:lpstr>Language_Option</vt:lpstr>
      <vt:lpstr>List1</vt:lpstr>
      <vt:lpstr>List2</vt:lpstr>
      <vt:lpstr>List3</vt:lpstr>
      <vt:lpstr>List4</vt:lpstr>
      <vt:lpstr>LookR</vt:lpstr>
      <vt:lpstr>Lookup_Column</vt:lpstr>
      <vt:lpstr>Magnitude_Selection</vt:lpstr>
      <vt:lpstr>Override</vt:lpstr>
      <vt:lpstr>QComps</vt:lpstr>
      <vt:lpstr>SA_1</vt:lpstr>
      <vt:lpstr>SA_2</vt:lpstr>
      <vt:lpstr>Step2</vt:lpstr>
      <vt:lpstr>W_M1</vt:lpstr>
      <vt:lpstr>W_M2</vt:lpstr>
      <vt:lpstr>W_M3</vt:lpstr>
      <vt:lpstr>W_TF1</vt:lpstr>
      <vt:lpstr>W_TF2</vt:lpstr>
    </vt:vector>
  </TitlesOfParts>
  <Manager/>
  <Company>S&amp;P Global Market Intelligence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Nandan Bagga</dc:creator>
  <cp:keywords/>
  <dc:description/>
  <cp:lastModifiedBy>Diego Benavides</cp:lastModifiedBy>
  <cp:revision/>
  <cp:lastPrinted>2025-10-30T07:16:06Z</cp:lastPrinted>
  <dcterms:created xsi:type="dcterms:W3CDTF">2017-05-04T15:05:34Z</dcterms:created>
  <dcterms:modified xsi:type="dcterms:W3CDTF">2026-10-19T03:24:10Z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{F8E633F6-56B4-4A44-A5DF-73FFE5E5DE8E}</vt:lpwstr>
  </property>
  <property fmtid="{D5CDD505-2E9C-101B-9397-08002B2CF9AE}" pid="3" name="snltemplateid">
    <vt:r8>409145333</vt:r8>
  </property>
  <property fmtid="{D5CDD505-2E9C-101B-9397-08002B2CF9AE}" pid="4" name="KeyFile">
    <vt:r8>409145333</vt:r8>
  </property>
  <property fmtid="{D5CDD505-2E9C-101B-9397-08002B2CF9AE}" pid="5" name="MSIP_Label_1e4321fe-1db3-4305-a2cc-aad91140672d_Enabled">
    <vt:lpwstr>true</vt:lpwstr>
  </property>
  <property fmtid="{D5CDD505-2E9C-101B-9397-08002B2CF9AE}" pid="6" name="MSIP_Label_1e4321fe-1db3-4305-a2cc-aad91140672d_SetDate">
    <vt:lpwstr>2022-08-30T10:51:04Z</vt:lpwstr>
  </property>
  <property fmtid="{D5CDD505-2E9C-101B-9397-08002B2CF9AE}" pid="7" name="MSIP_Label_1e4321fe-1db3-4305-a2cc-aad91140672d_Method">
    <vt:lpwstr>Privileged</vt:lpwstr>
  </property>
  <property fmtid="{D5CDD505-2E9C-101B-9397-08002B2CF9AE}" pid="8" name="MSIP_Label_1e4321fe-1db3-4305-a2cc-aad91140672d_Name">
    <vt:lpwstr>External</vt:lpwstr>
  </property>
  <property fmtid="{D5CDD505-2E9C-101B-9397-08002B2CF9AE}" pid="9" name="MSIP_Label_1e4321fe-1db3-4305-a2cc-aad91140672d_SiteId">
    <vt:lpwstr>8f3e36ea-8039-4b40-81a7-7dc0599e8645</vt:lpwstr>
  </property>
  <property fmtid="{D5CDD505-2E9C-101B-9397-08002B2CF9AE}" pid="10" name="MSIP_Label_1e4321fe-1db3-4305-a2cc-aad91140672d_ActionId">
    <vt:lpwstr>ee177eee-3afb-4bf0-b212-0b94074f9af5</vt:lpwstr>
  </property>
  <property fmtid="{D5CDD505-2E9C-101B-9397-08002B2CF9AE}" pid="11" name="MSIP_Label_1e4321fe-1db3-4305-a2cc-aad91140672d_ContentBits">
    <vt:lpwstr>0</vt:lpwstr>
  </property>
  <property fmtid="{D5CDD505-2E9C-101B-9397-08002B2CF9AE}" pid="12" name="ContentTypeId">
    <vt:lpwstr>0x01010095A6A26FDAC9BF4EA1FE5ED516FE5143</vt:lpwstr>
  </property>
  <property fmtid="{D5CDD505-2E9C-101B-9397-08002B2CF9AE}" pid="13" name="Order">
    <vt:r8>4116100</vt:r8>
  </property>
  <property fmtid="{D5CDD505-2E9C-101B-9397-08002B2CF9AE}" pid="14" name="xd_Signature">
    <vt:bool>false</vt:bool>
  </property>
  <property fmtid="{D5CDD505-2E9C-101B-9397-08002B2CF9AE}" pid="15" name="xd_ProgID">
    <vt:lpwstr/>
  </property>
  <property fmtid="{D5CDD505-2E9C-101B-9397-08002B2CF9AE}" pid="16" name="TriggerFlowInfo">
    <vt:lpwstr/>
  </property>
  <property fmtid="{D5CDD505-2E9C-101B-9397-08002B2CF9AE}" pid="17" name="ComplianceAssetId">
    <vt:lpwstr/>
  </property>
  <property fmtid="{D5CDD505-2E9C-101B-9397-08002B2CF9AE}" pid="18" name="TemplateUrl">
    <vt:lpwstr/>
  </property>
  <property fmtid="{D5CDD505-2E9C-101B-9397-08002B2CF9AE}" pid="19" name="_ExtendedDescription">
    <vt:lpwstr/>
  </property>
  <property fmtid="{D5CDD505-2E9C-101B-9397-08002B2CF9AE}" pid="20" name="MediaServiceImageTags">
    <vt:lpwstr/>
  </property>
</Properties>
</file>