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vbaProjectSignature.bin" ContentType="application/vnd.ms-office.vbaProjectSignature"/>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430" codeName="{26A90621-87C4-6C01-FD6A-EE6E7C140903}"/>
  <workbookPr codeName="ThisWorkbook"/>
  <mc:AlternateContent xmlns:mc="http://schemas.openxmlformats.org/markup-compatibility/2006">
    <mc:Choice Requires="x15">
      <x15ac:absPath xmlns:x15ac="http://schemas.microsoft.com/office/spreadsheetml/2010/11/ac" url="https://d.docs.live.net/2726fdc32ce164f9/Escritorio/BASE de datos/valuation-independent/"/>
    </mc:Choice>
  </mc:AlternateContent>
  <xr:revisionPtr revIDLastSave="800" documentId="8_{D4E856E1-EBC2-44CB-8DA6-B45318804BC0}" xr6:coauthVersionLast="47" xr6:coauthVersionMax="47" xr10:uidLastSave="{DBA9424D-CF4B-4E29-A193-23AE910BB008}"/>
  <bookViews>
    <workbookView xWindow="-120" yWindow="-120" windowWidth="29040" windowHeight="16440" tabRatio="586" firstSheet="2" activeTab="3" xr2:uid="{00000000-000D-0000-FFFF-FFFF00000000}"/>
  </bookViews>
  <sheets>
    <sheet name="__snloffice" sheetId="3" state="veryHidden" r:id="rId1"/>
    <sheet name="CIQ_LinkingNames" sheetId="6" state="veryHidden" r:id="rId2"/>
    <sheet name="Independent_DCF_Inputs" sheetId="10" r:id="rId3"/>
    <sheet name="DCF" sheetId="1" r:id="rId4"/>
    <sheet name="Reverse_DCF_Overview" sheetId="9" r:id="rId5"/>
    <sheet name="Reverse_DCF" sheetId="8" r:id="rId6"/>
    <sheet name="Language_Index" sheetId="7" r:id="rId7"/>
    <sheet name="___snlofficequeries" sheetId="5" state="veryHidden" r:id="rId8"/>
  </sheets>
  <definedNames>
    <definedName name="__FDS_HYPERLINK_TOGGLE_STATE__" hidden="1">"ON"</definedName>
    <definedName name="_Order1" hidden="1">0</definedName>
    <definedName name="_xleta.FIND" hidden="1" xlm="1">#NAME?</definedName>
    <definedName name="_xleta.GROWTH" hidden="1" xlm="1">#NAME?</definedName>
    <definedName name="_xleta.NA" hidden="1" xlm="1">#NAME?</definedName>
    <definedName name="_xleta.PRICE" hidden="1" xlm="1">#NAME?</definedName>
    <definedName name="_xlnm.Print_Area" localSheetId="3">DCF!$B$46:$S$244</definedName>
    <definedName name="AutoPeers">DCF!$L$22:$L$27,DCF!$N$22:$N$27</definedName>
    <definedName name="Beta_Selection">DCF!$F$72</definedName>
    <definedName name="Button2">Language_Index!$P$18</definedName>
    <definedName name="Button9">Language_Index!$P$17</definedName>
    <definedName name="CAP_CONV">DCF!$BL$145</definedName>
    <definedName name="CAP_CURR">DCF!$BL$52</definedName>
    <definedName name="CAP_ID">DCF!$BM$51</definedName>
    <definedName name="CAP_MAG">DCF!$BK$135</definedName>
    <definedName name="CIQWBGuid" hidden="1">"14945028-e150-4057-9e79-1e62b2b17899"</definedName>
    <definedName name="CIQWBInfo" hidden="1">"{ ""CIQVersion"":""9.52.4409.4666"" }"</definedName>
    <definedName name="Clear_Data">DCF!$AJ$58:$AJ$1048576,DCF!$AX$58:$AX$1048576</definedName>
    <definedName name="Clear_DT">DCF!$K$71:$S$77,DCF!$K$84:$S$90</definedName>
    <definedName name="Clear_FI">DCF!$AK$59:$AQ$1048576,DCF!$AY$59:$BC$1048576</definedName>
    <definedName name="Copy">Reverse_DCF!$AQ$4</definedName>
    <definedName name="Count_A">DCF!$AK$54</definedName>
    <definedName name="Count_B">DCF!$AY$54</definedName>
    <definedName name="Currency_List">DCF!$BJ$55:$BJ$133</definedName>
    <definedName name="Currency_Selection">DCF!$J$30</definedName>
    <definedName name="CurrMagClear">DCF!$J$30:$L$30</definedName>
    <definedName name="Date">TODAY()</definedName>
    <definedName name="Def_Beta">DCF!$Y$35</definedName>
    <definedName name="DS_1">DCF!$F$81</definedName>
    <definedName name="DS_2">DCF!$F$84</definedName>
    <definedName name="Entity_Name">DCF!$B$46</definedName>
    <definedName name="ES_1">DCF!$F$77</definedName>
    <definedName name="ES_2">DCF!$F$78</definedName>
    <definedName name="FormFI_1">DCF!$AK$58:$AQ$58</definedName>
    <definedName name="FormFI_2">DCF!$AY$58:$BC$58</definedName>
    <definedName name="FormL1">Language_Index!$R$31</definedName>
    <definedName name="FormL2">Language_Index!$Q$30</definedName>
    <definedName name="FormL3">Language_Index!$R$29</definedName>
    <definedName name="Index_Sel">DCF!$J$18</definedName>
    <definedName name="IQ_ADDIN" hidden="1">"AUTO"</definedName>
    <definedName name="IQ_AVG_PRICE_TARGET" hidden="1">"c82"</definedName>
    <definedName name="IQ_CH">110000</definedName>
    <definedName name="IQ_CONV_RATE" hidden="1">"c2192"</definedName>
    <definedName name="IQ_CQ">5000</definedName>
    <definedName name="IQ_CY">10000</definedName>
    <definedName name="IQ_DAILY">500000</definedName>
    <definedName name="IQ_DNTM" hidden="1">700000</definedName>
    <definedName name="IQ_EPS_PRIMARY_EST" hidden="1">"c2226"</definedName>
    <definedName name="IQ_EPS_PRIMARY_HIGH_EST" hidden="1">"c2228"</definedName>
    <definedName name="IQ_EPS_PRIMARY_LOW_EST" hidden="1">"c2229"</definedName>
    <definedName name="IQ_EPS_PRIMARY_MEDIAN_EST" hidden="1">"c2227"</definedName>
    <definedName name="IQ_EPS_PRIMARY_NUM_EST" hidden="1">"c2230"</definedName>
    <definedName name="IQ_EPS_PRIMARY_STDDEV_EST" hidden="1">"c2231"</definedName>
    <definedName name="IQ_EST_ACT_EPS_PRIMARY" hidden="1">"c2232"</definedName>
    <definedName name="IQ_EST_EPS_SURPRISE" hidden="1">"c1635"</definedName>
    <definedName name="IQ_EST_NUM_BUY_REUT" hidden="1">"c3869"</definedName>
    <definedName name="IQ_EST_NUM_BUY_THOM" hidden="1">"c5165"</definedName>
    <definedName name="IQ_EST_NUM_HOLD_REUT" hidden="1">"c3871"</definedName>
    <definedName name="IQ_EST_NUM_HOLD_THOM" hidden="1">"c5167"</definedName>
    <definedName name="IQ_EST_NUM_OUTPERFORM_REUT" hidden="1">"c3870"</definedName>
    <definedName name="IQ_EST_NUM_OUTPERFORM_THOM" hidden="1">"c5166"</definedName>
    <definedName name="IQ_EST_NUM_SELL_REUT" hidden="1">"c3873"</definedName>
    <definedName name="IQ_EST_NUM_SELL_THOM" hidden="1">"c5169"</definedName>
    <definedName name="IQ_EST_NUM_UNDERPERFORM_REUT" hidden="1">"c3872"</definedName>
    <definedName name="IQ_EST_NUM_UNDERPERFORM_THOM" hidden="1">"c5168"</definedName>
    <definedName name="IQ_EXPENSE_CODE_" hidden="1">"019802400"</definedName>
    <definedName name="IQ_FH">100000</definedName>
    <definedName name="IQ_FIN_DIV_CURRENT_PORT_DEBT_TOTAL" hidden="1">"c5524"</definedName>
    <definedName name="IQ_FIN_DIV_CURRENT_PORT_LEASES_TOTAL" hidden="1">"c5523"</definedName>
    <definedName name="IQ_FIN_DIV_DEBT_LT_TOTAL" hidden="1">"c5526"</definedName>
    <definedName name="IQ_FIN_DIV_LEASES_LT_TOTAL" hidden="1">"c5525"</definedName>
    <definedName name="IQ_FIN_DIV_NOTES_PAY_TOTAL" hidden="1">"c5522"</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46140.2611574074</definedName>
    <definedName name="IQ_NAV_ACT_OR_EST" hidden="1">"c2225"</definedName>
    <definedName name="IQ_NTM">6000</definedName>
    <definedName name="IQ_OG_TOTAL_OIL_PRODUCTON" hidden="1">"c2059"</definedName>
    <definedName name="IQ_OPENED55" hidden="1">1</definedName>
    <definedName name="IQ_PRIMARY_EPS_TYPE_THOM" hidden="1">"c5297"</definedName>
    <definedName name="IQ_QTD" hidden="1">750000</definedName>
    <definedName name="IQ_SHAREOUTSTANDING" hidden="1">"c1347"</definedName>
    <definedName name="IQ_TODAY" hidden="1">0</definedName>
    <definedName name="IQ_TOTAL_PENSION_OBLIGATION" hidden="1">"c1292"</definedName>
    <definedName name="IQ_WEEK">50000</definedName>
    <definedName name="IQ_YTD">3000</definedName>
    <definedName name="IQ_YTDMONTH" hidden="1">130000</definedName>
    <definedName name="Language_Data">Language_Index!$B$6:$L$4005</definedName>
    <definedName name="Language_Option">DCF!$K$4</definedName>
    <definedName name="Language_Option1">Language_Index!#REF!</definedName>
    <definedName name="Language_Option2">Language_Index!$O$2</definedName>
    <definedName name="List1">DCF!$AJ$57</definedName>
    <definedName name="List2">DCF!$AX$57</definedName>
    <definedName name="List3">DCF!$AK$58:$AN$1057</definedName>
    <definedName name="List4">DCF!$AY$58:$AZ$1057</definedName>
    <definedName name="ListOffset" hidden="1">1</definedName>
    <definedName name="LookR">Language_Index!$Q$31:$R$41</definedName>
    <definedName name="Lookup_Column">Language_Index!$B$2</definedName>
    <definedName name="Lookup_Column1">Language_Index!$P$3</definedName>
    <definedName name="Magnitude_List">DCF!$BJ$139:$BJ$143</definedName>
    <definedName name="Magnitude_Selection">DCF!$L$30</definedName>
    <definedName name="MI_ID">DCF!$L$13</definedName>
    <definedName name="MI_Key">DCF!$AA$77</definedName>
    <definedName name="o" hidden="1">{#N/A,#N/A,FALSE,"New Depr Sch-150% DB";#N/A,#N/A,FALSE,"Cash Flows RLP";#N/A,#N/A,FALSE,"IRR";#N/A,#N/A,FALSE,"Proforma IS";#N/A,#N/A,FALSE,"Assumptions"}</definedName>
    <definedName name="Off_CD1">OFFSET(DCF!$AV$56,1,0,DCF!$AW$52,1)</definedName>
    <definedName name="Off_CD2">OFFSET(DCF!$BE$56,1,0,DCF!$BF$52,1)</definedName>
    <definedName name="Paste">Reverse_DCF!$O$14</definedName>
    <definedName name="Paste_Q">___snlofficequeries!$B$1:$B$2</definedName>
    <definedName name="Period">DCF!$K$15</definedName>
    <definedName name="QComps">DCF!$L$21,DCF!$L$15</definedName>
    <definedName name="RiskFree">IF(ISERROR(MATCH(DCF!$AA$79,DCF!#REF!,0)),DCF!#REF!,OFFSET(DCF!#REF!,2,MATCH(DCF!$AA$79,DCF!#REF!,0)-1,OFFSET(DCF!#REF!,0,MATCH(DCF!$AA$79,DCF!#REF!,0)-1,1)))</definedName>
    <definedName name="RiskFreeClear">DCF!$AO$83:$AQ$84</definedName>
    <definedName name="RiskFreeRate">DCF!$B$51</definedName>
    <definedName name="RiskFreeSelect">IF(ISERROR(MATCH(DCF!$AA$79,DCF!#REF!,0)),DCF!#REF!,OFFSET(DCF!#REF!,2,MATCH(DCF!$AA$79,DCF!#REF!,0)-1,1,1))</definedName>
    <definedName name="SA_1">DCF!$J$70:$S$77</definedName>
    <definedName name="SA_2">DCF!$J$83:$S$90</definedName>
    <definedName name="snl__96D90EB6_8786_4CC5_9C90_B81A7BC0E7E7_" localSheetId="3" hidden="1">DCF!$L$21:$L$27</definedName>
    <definedName name="snl__A8BD8E1E_6DCA_483F_AE68_1B032FF19C45_" localSheetId="3" hidden="1">DCF!$AJ$57:$AJ$107</definedName>
    <definedName name="snl__EA5F446E_6F59_4828_B0D4_270976656EA2_" localSheetId="3" hidden="1">DCF!$AX$57:$AX$58</definedName>
    <definedName name="snlquery__4AF20A4A_FE0E_43CF_8756_0EA6F7CCA43A_" localSheetId="3" hidden="1">DCF!$AU$52,DCF!$AU$53:$AZ$73</definedName>
    <definedName name="snlquery__D9F53E63_0083_4DC3_A8A3_FC089EB65EEC_" localSheetId="3" hidden="1">DCF!$BB$52,DCF!$BB$53:$BH$57</definedName>
    <definedName name="SPG_Fx1">DCF!$AA$66:$AA$79,DCF!$X$52:$AH$57</definedName>
    <definedName name="SPG_Fx2">DCF!$AF$76:$AH$157,DCF!$M$51:$M$56,DCF!$Z$36,DCF!$AE$63:$AF$72</definedName>
    <definedName name="SPG_Fx3">DCF!$G$252:$M$257,DCF!$H$103:$M$131,DCF!$Y$135:$Y$136,DCF!$AA$143:$AA$144,DCF!$AA$153:$AA$154,DCF!$R$144,DCF!$F$214:$M$235</definedName>
    <definedName name="SPG_Fx4">DCF!$AF$52:$AH$57</definedName>
    <definedName name="Start">DCF!$B$8</definedName>
    <definedName name="Step2">DCF!$B$15</definedName>
    <definedName name="Ticker_Exch">DCF!$AA$75</definedName>
    <definedName name="_xlnm.Print_Titles" localSheetId="3">DCF!$46:$46</definedName>
    <definedName name="wrn.Basic._.Report." hidden="1">{#N/A,#N/A,FALSE,"New Depr Sch-150% DB";#N/A,#N/A,FALSE,"Cash Flows RLP";#N/A,#N/A,FALSE,"IRR";#N/A,#N/A,FALSE,"Proforma IS";#N/A,#N/A,FALSE,"Assumptions"}</definedName>
    <definedName name="wrn.clientcopy."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omplete._.Report." hidden="1">{#N/A,#N/A,FALSE,"Assumptions";#N/A,#N/A,FALSE,"Proforma IS";#N/A,#N/A,FALSE,"Cash Flows RLP";#N/A,#N/A,FALSE,"IRR";#N/A,#N/A,FALSE,"New Depr Sch-150% DB";#N/A,#N/A,FALSE,"Comments"}</definedName>
    <definedName name="wrn.filecopy."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print." hidden="1">{#N/A,#N/A,FALSE,"Japan 2003";#N/A,#N/A,FALSE,"Sheet2"}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16" i="8" l="1"/>
  <c r="R111" i="1"/>
  <c r="R108" i="1"/>
  <c r="R106" i="1"/>
  <c r="Q111" i="1"/>
  <c r="Q108" i="1"/>
  <c r="Q106" i="1"/>
  <c r="P111" i="1"/>
  <c r="P108" i="1"/>
  <c r="P106" i="1"/>
  <c r="O111" i="1"/>
  <c r="O108" i="1"/>
  <c r="O106" i="1"/>
  <c r="N111" i="1"/>
  <c r="N108" i="1"/>
  <c r="N106" i="1"/>
  <c r="M255" i="1"/>
  <c r="M253" i="1"/>
  <c r="M252" i="1"/>
  <c r="M233" i="1"/>
  <c r="M232" i="1"/>
  <c r="M227" i="1"/>
  <c r="M223" i="1"/>
  <c r="M222" i="1"/>
  <c r="M219" i="1"/>
  <c r="M217" i="1"/>
  <c r="M215" i="1"/>
  <c r="M214" i="1"/>
  <c r="M109" i="1"/>
  <c r="M107" i="1"/>
  <c r="M105" i="1"/>
  <c r="L255" i="1"/>
  <c r="L253" i="1"/>
  <c r="L252" i="1"/>
  <c r="L233" i="1"/>
  <c r="L232" i="1"/>
  <c r="L227" i="1"/>
  <c r="L223" i="1"/>
  <c r="L222" i="1"/>
  <c r="L219" i="1"/>
  <c r="L217" i="1"/>
  <c r="L215" i="1"/>
  <c r="L214" i="1"/>
  <c r="L109" i="1"/>
  <c r="L107" i="1"/>
  <c r="L105" i="1"/>
  <c r="K255" i="1"/>
  <c r="K253" i="1"/>
  <c r="K252" i="1"/>
  <c r="K233" i="1"/>
  <c r="K232" i="1"/>
  <c r="K227" i="1"/>
  <c r="K223" i="1"/>
  <c r="K222" i="1"/>
  <c r="K219" i="1"/>
  <c r="K217" i="1"/>
  <c r="K215" i="1"/>
  <c r="K214" i="1"/>
  <c r="K109" i="1"/>
  <c r="K107" i="1"/>
  <c r="K105" i="1"/>
  <c r="J255" i="1"/>
  <c r="J253" i="1"/>
  <c r="J252" i="1"/>
  <c r="J233" i="1"/>
  <c r="J232" i="1"/>
  <c r="J227" i="1"/>
  <c r="J223" i="1"/>
  <c r="J222" i="1"/>
  <c r="J219" i="1"/>
  <c r="J217" i="1"/>
  <c r="J215" i="1"/>
  <c r="J214" i="1"/>
  <c r="J109" i="1"/>
  <c r="J107" i="1"/>
  <c r="J105" i="1"/>
  <c r="I255" i="1"/>
  <c r="I253" i="1"/>
  <c r="I252" i="1"/>
  <c r="I233" i="1"/>
  <c r="I232" i="1"/>
  <c r="I227" i="1"/>
  <c r="I223" i="1"/>
  <c r="I222" i="1"/>
  <c r="I219" i="1"/>
  <c r="I217" i="1"/>
  <c r="I215" i="1"/>
  <c r="I214" i="1"/>
  <c r="I109" i="1"/>
  <c r="I107" i="1"/>
  <c r="I105" i="1"/>
  <c r="R144" i="1"/>
  <c r="AA144" i="1"/>
  <c r="AA143" i="1"/>
  <c r="Y135" i="1"/>
  <c r="AA73" i="1"/>
  <c r="AA72" i="1"/>
  <c r="AA71" i="1"/>
  <c r="AA70" i="1"/>
  <c r="AA69" i="1"/>
  <c r="F58" i="1"/>
  <c r="B20" i="10"/>
  <c r="B14" i="10"/>
  <c r="Y136" i="1" s="1"/>
  <c r="I151" i="1" s="1"/>
  <c r="B13" i="10"/>
  <c r="AA66" i="1" s="1"/>
  <c r="B12" i="10"/>
  <c r="O32" i="8" s="1"/>
  <c r="B9" i="10"/>
  <c r="F60" i="1" s="1"/>
  <c r="B5" i="10"/>
  <c r="AM107" i="1" a="1"/>
  <c r="AL107" i="1" a="1"/>
  <c r="AK107" i="1" s="1"/>
  <c r="AN107" i="1" s="1" a="1"/>
  <c r="AM106" i="1" a="1"/>
  <c r="AL106" i="1" a="1"/>
  <c r="AK106" i="1" s="1"/>
  <c r="AN106" i="1" s="1" a="1"/>
  <c r="AM105" i="1" a="1"/>
  <c r="AL105" i="1" a="1"/>
  <c r="AK105" i="1" s="1"/>
  <c r="AN105" i="1" s="1" a="1"/>
  <c r="AM104" i="1" a="1"/>
  <c r="AL104" i="1" a="1"/>
  <c r="AK104" i="1" s="1"/>
  <c r="AN104" i="1" s="1" a="1"/>
  <c r="AM103" i="1" a="1"/>
  <c r="AL103" i="1" a="1"/>
  <c r="AK103" i="1" s="1"/>
  <c r="AN103" i="1" s="1" a="1"/>
  <c r="AM102" i="1" a="1"/>
  <c r="AL102" i="1" a="1"/>
  <c r="AK102" i="1" s="1"/>
  <c r="AN102" i="1" s="1" a="1"/>
  <c r="AM101" i="1" a="1"/>
  <c r="AL101" i="1" a="1"/>
  <c r="AK101" i="1" s="1"/>
  <c r="AN101" i="1" s="1" a="1"/>
  <c r="AM100" i="1" a="1"/>
  <c r="AL100" i="1" a="1"/>
  <c r="AK100" i="1" s="1"/>
  <c r="AN100" i="1" s="1" a="1"/>
  <c r="AM99" i="1" a="1"/>
  <c r="AL99" i="1" a="1"/>
  <c r="AK99" i="1" s="1"/>
  <c r="AN99" i="1" s="1" a="1"/>
  <c r="AM98" i="1" a="1"/>
  <c r="AL98" i="1" a="1"/>
  <c r="AK98" i="1" s="1"/>
  <c r="AN98" i="1" s="1" a="1"/>
  <c r="AM97" i="1" a="1"/>
  <c r="AL97" i="1" a="1"/>
  <c r="AK97" i="1" s="1"/>
  <c r="AN97" i="1" s="1" a="1"/>
  <c r="AM96" i="1" a="1"/>
  <c r="AL96" i="1" a="1"/>
  <c r="AK96" i="1" s="1"/>
  <c r="AM95" i="1" a="1"/>
  <c r="AL95" i="1" a="1"/>
  <c r="AK95" i="1" s="1"/>
  <c r="AN95" i="1" s="1" a="1"/>
  <c r="AM94" i="1" a="1"/>
  <c r="AL94" i="1" a="1"/>
  <c r="AK94" i="1" s="1"/>
  <c r="AN94" i="1" s="1" a="1"/>
  <c r="AM93" i="1" a="1"/>
  <c r="AL93" i="1" a="1"/>
  <c r="AK93" i="1" s="1"/>
  <c r="AN93" i="1" s="1" a="1"/>
  <c r="AM92" i="1" a="1"/>
  <c r="AL92" i="1" a="1"/>
  <c r="AK92" i="1" s="1"/>
  <c r="AN92" i="1" s="1" a="1"/>
  <c r="AM91" i="1" a="1"/>
  <c r="AL91" i="1" a="1"/>
  <c r="AK91" i="1" s="1"/>
  <c r="AN91" i="1" s="1" a="1"/>
  <c r="AM90" i="1" a="1"/>
  <c r="AL90" i="1" a="1"/>
  <c r="AK90" i="1" s="1"/>
  <c r="AN90" i="1" s="1" a="1"/>
  <c r="AM89" i="1" a="1"/>
  <c r="AL89" i="1" a="1"/>
  <c r="AK89" i="1" s="1"/>
  <c r="AN89" i="1" s="1" a="1"/>
  <c r="AM88" i="1" a="1"/>
  <c r="AL88" i="1" a="1"/>
  <c r="AK88" i="1" s="1"/>
  <c r="AN88" i="1" s="1" a="1"/>
  <c r="AM87" i="1" a="1"/>
  <c r="AL87" i="1" a="1"/>
  <c r="AK87" i="1" s="1"/>
  <c r="AN87" i="1" s="1" a="1"/>
  <c r="AM86" i="1" a="1"/>
  <c r="AL86" i="1" a="1"/>
  <c r="AK86" i="1" s="1"/>
  <c r="AN86" i="1" s="1" a="1"/>
  <c r="AM85" i="1" a="1"/>
  <c r="AL85" i="1" a="1"/>
  <c r="AK85" i="1" s="1"/>
  <c r="AN85" i="1" s="1" a="1"/>
  <c r="AM84" i="1" a="1"/>
  <c r="AL84" i="1" a="1"/>
  <c r="AK84" i="1" s="1"/>
  <c r="AN84" i="1" s="1" a="1"/>
  <c r="AM83" i="1" a="1"/>
  <c r="AL83" i="1" a="1"/>
  <c r="AK83" i="1" s="1"/>
  <c r="AN83" i="1" s="1" a="1"/>
  <c r="AM82" i="1" a="1"/>
  <c r="AL82" i="1" a="1"/>
  <c r="AK82" i="1" s="1"/>
  <c r="AN82" i="1" s="1" a="1"/>
  <c r="AM81" i="1" a="1"/>
  <c r="AL81" i="1" a="1"/>
  <c r="AK81" i="1" s="1"/>
  <c r="AN81" i="1" s="1" a="1"/>
  <c r="AM80" i="1" a="1"/>
  <c r="AL80" i="1" a="1"/>
  <c r="AK80" i="1" s="1"/>
  <c r="AN80" i="1" s="1" a="1"/>
  <c r="AM79" i="1" a="1"/>
  <c r="AL79" i="1" a="1"/>
  <c r="AK79" i="1" s="1"/>
  <c r="AN79" i="1" s="1" a="1"/>
  <c r="AM78" i="1" a="1"/>
  <c r="AL78" i="1" a="1"/>
  <c r="AK78" i="1" s="1"/>
  <c r="AN78" i="1" s="1" a="1"/>
  <c r="AM77" i="1" a="1"/>
  <c r="AL77" i="1" a="1"/>
  <c r="AK77" i="1" s="1"/>
  <c r="AN77" i="1" s="1" a="1"/>
  <c r="AM76" i="1" a="1"/>
  <c r="AL76" i="1" a="1"/>
  <c r="AK76" i="1" s="1"/>
  <c r="AN76" i="1" s="1" a="1"/>
  <c r="AM75" i="1" a="1"/>
  <c r="AL75" i="1" a="1"/>
  <c r="AK75" i="1" s="1"/>
  <c r="AN75" i="1" s="1" a="1"/>
  <c r="AM74" i="1" a="1"/>
  <c r="AL74" i="1" a="1"/>
  <c r="AK74" i="1" s="1"/>
  <c r="AN74" i="1" s="1" a="1"/>
  <c r="AM73" i="1" a="1"/>
  <c r="AL73" i="1" a="1"/>
  <c r="AK73" i="1" s="1"/>
  <c r="AN73" i="1" s="1" a="1"/>
  <c r="AM72" i="1" a="1"/>
  <c r="AL72" i="1" a="1"/>
  <c r="AK72" i="1" s="1"/>
  <c r="AN72" i="1" s="1" a="1"/>
  <c r="AM71" i="1" a="1"/>
  <c r="AL71" i="1" a="1"/>
  <c r="AK71" i="1" s="1"/>
  <c r="AN71" i="1" s="1" a="1"/>
  <c r="AM70" i="1" a="1"/>
  <c r="AL70" i="1" a="1"/>
  <c r="AK70" i="1" s="1"/>
  <c r="AN70" i="1" s="1" a="1"/>
  <c r="AM69" i="1" a="1"/>
  <c r="AL69" i="1" a="1"/>
  <c r="AK69" i="1" s="1"/>
  <c r="AN69" i="1" s="1" a="1"/>
  <c r="AM68" i="1" a="1"/>
  <c r="AL68" i="1" a="1"/>
  <c r="AK68" i="1" s="1"/>
  <c r="AN68" i="1" s="1" a="1"/>
  <c r="AM67" i="1" a="1"/>
  <c r="AL67" i="1" a="1"/>
  <c r="AK67" i="1" s="1"/>
  <c r="AN67" i="1" s="1" a="1"/>
  <c r="AM66" i="1" a="1"/>
  <c r="AL66" i="1" a="1"/>
  <c r="AK66" i="1" s="1"/>
  <c r="AN66" i="1" s="1" a="1"/>
  <c r="AM65" i="1" a="1"/>
  <c r="AL65" i="1" a="1"/>
  <c r="AK65" i="1" s="1"/>
  <c r="AN65" i="1" s="1" a="1"/>
  <c r="AM64" i="1" a="1"/>
  <c r="AL64" i="1" a="1"/>
  <c r="AK64" i="1" s="1"/>
  <c r="AN64" i="1" s="1" a="1"/>
  <c r="AM63" i="1" a="1"/>
  <c r="AL63" i="1" a="1"/>
  <c r="AK63" i="1" s="1"/>
  <c r="AN63" i="1" s="1" a="1"/>
  <c r="AM62" i="1" a="1"/>
  <c r="AL62" i="1" a="1"/>
  <c r="AK62" i="1" s="1"/>
  <c r="AN62" i="1" s="1" a="1"/>
  <c r="AM61" i="1" a="1"/>
  <c r="AL61" i="1" a="1"/>
  <c r="AK61" i="1" s="1"/>
  <c r="AN61" i="1" s="1" a="1"/>
  <c r="AM60" i="1" a="1"/>
  <c r="AL60" i="1" a="1"/>
  <c r="AK60" i="1" s="1"/>
  <c r="AN60" i="1" s="1" a="1"/>
  <c r="AM59" i="1" a="1"/>
  <c r="AL59" i="1" a="1"/>
  <c r="AK59" i="1" s="1"/>
  <c r="AN59" i="1" s="1" a="1"/>
  <c r="AM58" i="1" a="1"/>
  <c r="AL58" i="1" a="1"/>
  <c r="AK58" i="1" s="1"/>
  <c r="AN58" i="1" s="1" a="1"/>
  <c r="F12" i="8"/>
  <c r="G12" i="8" s="1"/>
  <c r="H12" i="8" s="1"/>
  <c r="I12" i="8" s="1"/>
  <c r="J12" i="8" s="1"/>
  <c r="AF157" i="1" a="1"/>
  <c r="AD157" i="1" s="1"/>
  <c r="AF156" i="1" a="1"/>
  <c r="AD156" i="1" s="1"/>
  <c r="AF155" i="1" a="1"/>
  <c r="AD155" i="1" s="1"/>
  <c r="AF154" i="1" a="1"/>
  <c r="AD154" i="1" s="1"/>
  <c r="AF153" i="1" a="1"/>
  <c r="AD153" i="1" s="1"/>
  <c r="AF152" i="1" a="1"/>
  <c r="AD152" i="1" s="1"/>
  <c r="AF151" i="1" a="1"/>
  <c r="AD151" i="1" s="1"/>
  <c r="AF150" i="1" a="1"/>
  <c r="AD150" i="1" s="1"/>
  <c r="AF149" i="1" a="1"/>
  <c r="AD149" i="1" s="1"/>
  <c r="AF148" i="1" a="1"/>
  <c r="AD148" i="1" s="1"/>
  <c r="AF147" i="1" a="1"/>
  <c r="AD147" i="1" s="1"/>
  <c r="AF146" i="1" a="1"/>
  <c r="AD146" i="1" s="1"/>
  <c r="AF145" i="1" a="1"/>
  <c r="AD145" i="1" s="1"/>
  <c r="AF144" i="1" a="1"/>
  <c r="AD144" i="1" s="1"/>
  <c r="AF143" i="1" a="1"/>
  <c r="AD143" i="1" s="1"/>
  <c r="AF142" i="1" a="1"/>
  <c r="AD142" i="1" s="1"/>
  <c r="AF141" i="1" a="1"/>
  <c r="AD141" i="1" s="1"/>
  <c r="AF140" i="1" a="1"/>
  <c r="AD140" i="1" s="1"/>
  <c r="AF139" i="1" a="1"/>
  <c r="AD139" i="1" s="1"/>
  <c r="AF138" i="1" a="1"/>
  <c r="AD138" i="1" s="1"/>
  <c r="AF137" i="1" a="1"/>
  <c r="AD137" i="1" s="1"/>
  <c r="AF136" i="1" a="1"/>
  <c r="AD136" i="1" s="1"/>
  <c r="AF135" i="1" a="1"/>
  <c r="AD135" i="1" s="1"/>
  <c r="AF134" i="1" a="1"/>
  <c r="AD134" i="1" s="1"/>
  <c r="AF133" i="1" a="1"/>
  <c r="AD133" i="1" s="1"/>
  <c r="AF132" i="1" a="1"/>
  <c r="AD132" i="1" s="1"/>
  <c r="AF131" i="1" a="1"/>
  <c r="AD131" i="1" s="1"/>
  <c r="AF130" i="1" a="1"/>
  <c r="AD130" i="1" s="1"/>
  <c r="AF129" i="1" a="1"/>
  <c r="AD129" i="1" s="1"/>
  <c r="AF128" i="1" a="1"/>
  <c r="AD128" i="1" s="1"/>
  <c r="AF127" i="1" a="1"/>
  <c r="AD127" i="1" s="1"/>
  <c r="AF126" i="1" a="1"/>
  <c r="AD126" i="1" s="1"/>
  <c r="AF125" i="1" a="1"/>
  <c r="AD125" i="1" s="1"/>
  <c r="AF124" i="1" a="1"/>
  <c r="AD124" i="1" s="1"/>
  <c r="AF123" i="1" a="1"/>
  <c r="AD123" i="1" s="1"/>
  <c r="AF122" i="1" a="1"/>
  <c r="AD122" i="1" s="1"/>
  <c r="AF121" i="1" a="1"/>
  <c r="AD121" i="1" s="1"/>
  <c r="AF120" i="1" a="1"/>
  <c r="AD120" i="1" s="1"/>
  <c r="AF119" i="1" a="1"/>
  <c r="AD119" i="1" s="1"/>
  <c r="AF118" i="1" a="1"/>
  <c r="AD118" i="1" s="1"/>
  <c r="AF117" i="1" a="1"/>
  <c r="AD117" i="1" s="1"/>
  <c r="AF116" i="1" a="1"/>
  <c r="AD116" i="1" s="1"/>
  <c r="AF115" i="1" a="1"/>
  <c r="AD115" i="1" s="1"/>
  <c r="AF114" i="1" a="1"/>
  <c r="AD114" i="1" s="1"/>
  <c r="AF113" i="1" a="1"/>
  <c r="AD113" i="1" s="1"/>
  <c r="AF112" i="1" a="1"/>
  <c r="AD112" i="1" s="1"/>
  <c r="AF111" i="1" a="1"/>
  <c r="AD111" i="1" s="1"/>
  <c r="AF110" i="1" a="1"/>
  <c r="AD110" i="1" s="1"/>
  <c r="AF109" i="1" a="1"/>
  <c r="AD109" i="1" s="1"/>
  <c r="AF108" i="1" a="1"/>
  <c r="AD108" i="1" s="1"/>
  <c r="AF107" i="1" a="1"/>
  <c r="AD107" i="1" s="1"/>
  <c r="AF106" i="1" a="1"/>
  <c r="AD106" i="1" s="1"/>
  <c r="AF105" i="1" a="1"/>
  <c r="AD105" i="1" s="1"/>
  <c r="AF104" i="1" a="1"/>
  <c r="AD104" i="1" s="1"/>
  <c r="AF103" i="1" a="1"/>
  <c r="AD103" i="1" s="1"/>
  <c r="AF102" i="1" a="1"/>
  <c r="AD102" i="1" s="1"/>
  <c r="AF101" i="1" a="1"/>
  <c r="AD101" i="1" s="1"/>
  <c r="AF100" i="1" a="1"/>
  <c r="AD100" i="1" s="1"/>
  <c r="AF99" i="1" a="1"/>
  <c r="AD99" i="1" s="1"/>
  <c r="AF98" i="1" a="1"/>
  <c r="AD98" i="1" s="1"/>
  <c r="AF97" i="1" a="1"/>
  <c r="AD97" i="1" s="1"/>
  <c r="AF96" i="1" a="1"/>
  <c r="AD96" i="1" s="1"/>
  <c r="AF95" i="1" a="1"/>
  <c r="AD95" i="1" s="1"/>
  <c r="AF94" i="1" a="1"/>
  <c r="AD94" i="1" s="1"/>
  <c r="AF93" i="1" a="1"/>
  <c r="AD93" i="1" s="1"/>
  <c r="AF92" i="1" a="1"/>
  <c r="AD92" i="1" s="1"/>
  <c r="AF91" i="1" a="1"/>
  <c r="AD91" i="1" s="1"/>
  <c r="AF90" i="1" a="1"/>
  <c r="AD90" i="1" s="1"/>
  <c r="AF89" i="1" a="1"/>
  <c r="AD89" i="1" s="1"/>
  <c r="AF88" i="1" a="1"/>
  <c r="AD88" i="1" s="1"/>
  <c r="AF87" i="1" a="1"/>
  <c r="AD87" i="1" s="1"/>
  <c r="AF86" i="1" a="1"/>
  <c r="AD86" i="1" s="1"/>
  <c r="AF85" i="1" a="1"/>
  <c r="AD85" i="1" s="1"/>
  <c r="AF84" i="1" a="1"/>
  <c r="AD84" i="1" s="1"/>
  <c r="AF83" i="1" a="1"/>
  <c r="AD83" i="1" s="1"/>
  <c r="AF82" i="1" a="1"/>
  <c r="AD82" i="1" s="1"/>
  <c r="AF81" i="1" a="1"/>
  <c r="AD81" i="1" s="1"/>
  <c r="AF80" i="1" a="1"/>
  <c r="AD80" i="1" s="1"/>
  <c r="AF79" i="1" a="1"/>
  <c r="AD79" i="1" s="1"/>
  <c r="AF78" i="1" a="1"/>
  <c r="AD78" i="1" s="1"/>
  <c r="AF77" i="1" a="1"/>
  <c r="AD77" i="1" s="1"/>
  <c r="AF76" i="1" a="1"/>
  <c r="AD76" i="1" s="1"/>
  <c r="AF72" i="1" a="1"/>
  <c r="AE72" i="1" a="1"/>
  <c r="AF71" i="1" a="1"/>
  <c r="AE71" i="1" a="1"/>
  <c r="AF70" i="1" a="1"/>
  <c r="AE70" i="1" a="1"/>
  <c r="AF69" i="1" a="1"/>
  <c r="AE69" i="1" a="1"/>
  <c r="AF68" i="1" a="1"/>
  <c r="AE68" i="1" a="1"/>
  <c r="AF67" i="1" a="1"/>
  <c r="AE67" i="1" a="1"/>
  <c r="AF66" i="1" a="1"/>
  <c r="AE66" i="1" a="1"/>
  <c r="AF65" i="1" a="1"/>
  <c r="AE65" i="1" a="1"/>
  <c r="AF64" i="1" a="1"/>
  <c r="AE64" i="1" a="1"/>
  <c r="AF63" i="1" a="1"/>
  <c r="AE63" i="1" a="1"/>
  <c r="AX57" i="1" a="1"/>
  <c r="AJ57" i="1" a="1"/>
  <c r="P2" i="7"/>
  <c r="O5" i="7"/>
  <c r="O3" i="7"/>
  <c r="O6" i="7"/>
  <c r="O7" i="7"/>
  <c r="O8" i="7"/>
  <c r="O9" i="7"/>
  <c r="O10" i="7"/>
  <c r="O11" i="7"/>
  <c r="O12" i="7"/>
  <c r="O13" i="7"/>
  <c r="O14" i="7"/>
  <c r="O15" i="7"/>
  <c r="P17" i="7"/>
  <c r="P18" i="7"/>
  <c r="AP4" i="8"/>
  <c r="AP5" i="8"/>
  <c r="AQ5" i="8"/>
  <c r="B5" i="8"/>
  <c r="AP6" i="8"/>
  <c r="AQ6" i="8"/>
  <c r="B7" i="8"/>
  <c r="AP7" i="8"/>
  <c r="AQ7" i="8"/>
  <c r="B9" i="8"/>
  <c r="B12" i="8"/>
  <c r="M12" i="8"/>
  <c r="B14" i="8"/>
  <c r="G16" i="8"/>
  <c r="H16" i="8" s="1"/>
  <c r="I16" i="8" s="1"/>
  <c r="J16" i="8" s="1"/>
  <c r="M14" i="8"/>
  <c r="M15" i="8"/>
  <c r="B16" i="8"/>
  <c r="M16" i="8"/>
  <c r="B18" i="8"/>
  <c r="G19" i="8"/>
  <c r="H19" i="8" s="1"/>
  <c r="I19" i="8" s="1"/>
  <c r="J19" i="8" s="1"/>
  <c r="M18" i="8"/>
  <c r="B19" i="8"/>
  <c r="B20" i="8"/>
  <c r="G21" i="8"/>
  <c r="H21" i="8"/>
  <c r="I21" i="8" s="1"/>
  <c r="M20" i="8"/>
  <c r="B21" i="8"/>
  <c r="M21" i="8"/>
  <c r="B22" i="8"/>
  <c r="M22" i="8"/>
  <c r="G25" i="8"/>
  <c r="H25" i="8"/>
  <c r="I25" i="8" s="1"/>
  <c r="J25" i="8" s="1"/>
  <c r="B23" i="8"/>
  <c r="M23" i="8"/>
  <c r="O23" i="8"/>
  <c r="B24" i="8"/>
  <c r="M24" i="8"/>
  <c r="B25" i="8"/>
  <c r="M25" i="8"/>
  <c r="B26" i="8"/>
  <c r="M26" i="8"/>
  <c r="B27" i="8"/>
  <c r="M27" i="8"/>
  <c r="B28" i="8"/>
  <c r="M28" i="8"/>
  <c r="B29" i="8"/>
  <c r="M29" i="8"/>
  <c r="B30" i="8"/>
  <c r="M30" i="8"/>
  <c r="M31" i="8"/>
  <c r="B32" i="8"/>
  <c r="M32" i="8"/>
  <c r="M33" i="8"/>
  <c r="B34" i="8"/>
  <c r="M34" i="8"/>
  <c r="B35" i="8"/>
  <c r="B36" i="8"/>
  <c r="B37" i="8"/>
  <c r="B38" i="8"/>
  <c r="B39" i="8"/>
  <c r="B40" i="8"/>
  <c r="B41" i="8"/>
  <c r="B42" i="8"/>
  <c r="B44" i="8"/>
  <c r="B45" i="8"/>
  <c r="B46" i="8"/>
  <c r="B47" i="8"/>
  <c r="B48" i="8"/>
  <c r="B49" i="8"/>
  <c r="B50" i="8"/>
  <c r="B52" i="8"/>
  <c r="B53" i="8"/>
  <c r="B2" i="9"/>
  <c r="B4" i="9"/>
  <c r="B5" i="9"/>
  <c r="B7" i="9"/>
  <c r="B8" i="9"/>
  <c r="B9" i="9"/>
  <c r="B10" i="9"/>
  <c r="B11" i="9"/>
  <c r="B12" i="9"/>
  <c r="B14" i="9"/>
  <c r="B15" i="9"/>
  <c r="B17" i="9"/>
  <c r="B18" i="9"/>
  <c r="B20" i="9"/>
  <c r="B21" i="9"/>
  <c r="B23" i="9"/>
  <c r="B24" i="9"/>
  <c r="B26" i="9"/>
  <c r="B27" i="9"/>
  <c r="B28" i="9"/>
  <c r="B29" i="9"/>
  <c r="I2" i="1"/>
  <c r="B4" i="1"/>
  <c r="N4" i="1"/>
  <c r="N5" i="1"/>
  <c r="B6" i="1"/>
  <c r="N6" i="1"/>
  <c r="B8" i="1"/>
  <c r="N8" i="1"/>
  <c r="B9" i="1"/>
  <c r="N9" i="1"/>
  <c r="B10" i="1"/>
  <c r="N10" i="1"/>
  <c r="N11" i="1"/>
  <c r="N12" i="1"/>
  <c r="B13" i="1"/>
  <c r="N13" i="1"/>
  <c r="N14" i="1"/>
  <c r="B15" i="1"/>
  <c r="B18" i="1"/>
  <c r="Y19" i="1"/>
  <c r="AA19" i="1"/>
  <c r="B20" i="1"/>
  <c r="L20" i="1"/>
  <c r="N20" i="1"/>
  <c r="B22" i="1"/>
  <c r="K22" i="1"/>
  <c r="Y22" i="1"/>
  <c r="Z22" i="1" s="1"/>
  <c r="Y23" i="1"/>
  <c r="Z23" i="1" s="1"/>
  <c r="Y24" i="1"/>
  <c r="Z24" i="1" s="1"/>
  <c r="Y25" i="1"/>
  <c r="Z25" i="1" s="1"/>
  <c r="Y26" i="1"/>
  <c r="Z26" i="1" s="1"/>
  <c r="Y27" i="1"/>
  <c r="Z27" i="1" s="1"/>
  <c r="B23" i="1"/>
  <c r="K23" i="1"/>
  <c r="B24" i="1"/>
  <c r="K24" i="1"/>
  <c r="K25" i="1"/>
  <c r="B26" i="1"/>
  <c r="K26" i="1"/>
  <c r="K27" i="1"/>
  <c r="J29" i="1"/>
  <c r="L29" i="1"/>
  <c r="B30" i="1"/>
  <c r="B32" i="1"/>
  <c r="J32" i="1"/>
  <c r="J33" i="1"/>
  <c r="J34" i="1"/>
  <c r="N34" i="1"/>
  <c r="Y35" i="1"/>
  <c r="Z34" i="1" s="1"/>
  <c r="BK52" i="1"/>
  <c r="BJ55" i="1"/>
  <c r="BJ56" i="1"/>
  <c r="BJ57" i="1"/>
  <c r="BJ58" i="1"/>
  <c r="BJ59" i="1"/>
  <c r="BJ60" i="1"/>
  <c r="BJ61" i="1"/>
  <c r="BJ62" i="1"/>
  <c r="BJ63" i="1"/>
  <c r="BJ64" i="1"/>
  <c r="BJ65" i="1"/>
  <c r="BJ66" i="1"/>
  <c r="BJ67" i="1"/>
  <c r="BJ68" i="1"/>
  <c r="BJ69" i="1"/>
  <c r="BJ70" i="1"/>
  <c r="BJ71" i="1"/>
  <c r="BJ72" i="1"/>
  <c r="BJ73" i="1"/>
  <c r="BJ74" i="1"/>
  <c r="BJ75" i="1"/>
  <c r="BJ76" i="1"/>
  <c r="BJ77" i="1"/>
  <c r="BJ78" i="1"/>
  <c r="BJ79" i="1"/>
  <c r="BJ80" i="1"/>
  <c r="BJ81" i="1"/>
  <c r="BJ82" i="1"/>
  <c r="BJ83" i="1"/>
  <c r="BJ84" i="1"/>
  <c r="BJ85" i="1"/>
  <c r="BJ86" i="1"/>
  <c r="BJ87" i="1"/>
  <c r="BJ88" i="1"/>
  <c r="BJ89" i="1"/>
  <c r="BJ90" i="1"/>
  <c r="BJ91" i="1"/>
  <c r="BJ92" i="1"/>
  <c r="BJ93" i="1"/>
  <c r="BJ94" i="1"/>
  <c r="BJ95" i="1"/>
  <c r="BJ96" i="1"/>
  <c r="BJ97" i="1"/>
  <c r="BJ98" i="1"/>
  <c r="BJ99" i="1"/>
  <c r="BJ100" i="1"/>
  <c r="BJ101" i="1"/>
  <c r="BJ102" i="1"/>
  <c r="BJ103" i="1"/>
  <c r="BJ104" i="1"/>
  <c r="BJ105" i="1"/>
  <c r="BJ106" i="1"/>
  <c r="BJ107" i="1"/>
  <c r="BJ108" i="1"/>
  <c r="BJ109" i="1"/>
  <c r="BJ110" i="1"/>
  <c r="BJ111" i="1"/>
  <c r="BJ112" i="1"/>
  <c r="BJ113" i="1"/>
  <c r="BJ114" i="1"/>
  <c r="BJ115" i="1"/>
  <c r="BJ116" i="1"/>
  <c r="BJ117" i="1"/>
  <c r="BJ118" i="1"/>
  <c r="BJ119" i="1"/>
  <c r="BJ120" i="1"/>
  <c r="BJ121" i="1"/>
  <c r="BJ122" i="1"/>
  <c r="BJ123" i="1"/>
  <c r="BJ124" i="1"/>
  <c r="BJ125" i="1"/>
  <c r="BJ126" i="1"/>
  <c r="BJ127" i="1"/>
  <c r="BJ128" i="1"/>
  <c r="BJ129" i="1"/>
  <c r="BJ130" i="1"/>
  <c r="BJ131" i="1"/>
  <c r="BJ132" i="1"/>
  <c r="BJ133" i="1"/>
  <c r="BJ135" i="1"/>
  <c r="BJ138" i="1"/>
  <c r="BJ139" i="1"/>
  <c r="BJ140" i="1"/>
  <c r="BJ141" i="1"/>
  <c r="BJ142" i="1"/>
  <c r="BJ143" i="1"/>
  <c r="BL145" i="1"/>
  <c r="AA49" i="1"/>
  <c r="AA60" i="1"/>
  <c r="B36" i="1"/>
  <c r="J36" i="1"/>
  <c r="N36" i="1"/>
  <c r="Y36" i="1"/>
  <c r="J37" i="1"/>
  <c r="J38" i="1"/>
  <c r="B40" i="1"/>
  <c r="B48" i="1"/>
  <c r="J48" i="1"/>
  <c r="L49" i="1"/>
  <c r="M49" i="1"/>
  <c r="N49" i="1"/>
  <c r="O49" i="1"/>
  <c r="P49" i="1"/>
  <c r="Q49" i="1"/>
  <c r="R49" i="1"/>
  <c r="S49" i="1"/>
  <c r="B50" i="1"/>
  <c r="J50" i="1"/>
  <c r="L50" i="1"/>
  <c r="O50" i="1"/>
  <c r="D52" i="1"/>
  <c r="B53" i="1"/>
  <c r="AC60" i="1"/>
  <c r="AD60" i="1"/>
  <c r="D54" i="1"/>
  <c r="AK54" i="1"/>
  <c r="AY54" i="1"/>
  <c r="AY59" i="1" a="1"/>
  <c r="B58" i="1"/>
  <c r="J58" i="1"/>
  <c r="D60" i="1"/>
  <c r="J60" i="1"/>
  <c r="D62" i="1"/>
  <c r="J63" i="1"/>
  <c r="B64" i="1"/>
  <c r="B65" i="1"/>
  <c r="B66" i="1"/>
  <c r="B67" i="1"/>
  <c r="J67" i="1"/>
  <c r="B68" i="1"/>
  <c r="J69" i="1"/>
  <c r="K69" i="1"/>
  <c r="B70" i="1"/>
  <c r="F76" i="1"/>
  <c r="L70" i="1"/>
  <c r="M70" i="1" s="1"/>
  <c r="N70" i="1" s="1"/>
  <c r="O70" i="1" s="1"/>
  <c r="P70" i="1" s="1"/>
  <c r="Q70" i="1" s="1"/>
  <c r="R70" i="1" s="1"/>
  <c r="S70" i="1" s="1"/>
  <c r="B71" i="1"/>
  <c r="J73" i="1"/>
  <c r="J72" i="1" s="1"/>
  <c r="J71" i="1" s="1"/>
  <c r="D72" i="1"/>
  <c r="B74" i="1"/>
  <c r="B75" i="1"/>
  <c r="J75" i="1"/>
  <c r="J76" i="1" s="1"/>
  <c r="B76" i="1"/>
  <c r="B77" i="1"/>
  <c r="J77" i="1"/>
  <c r="B79" i="1"/>
  <c r="J80" i="1"/>
  <c r="B82" i="1"/>
  <c r="J82" i="1"/>
  <c r="K82" i="1"/>
  <c r="B83" i="1"/>
  <c r="N83" i="1"/>
  <c r="M83" i="1" s="1"/>
  <c r="L83" i="1" s="1"/>
  <c r="K83" i="1" s="1"/>
  <c r="P83" i="1"/>
  <c r="Q83" i="1" s="1"/>
  <c r="R83" i="1" s="1"/>
  <c r="S83" i="1" s="1"/>
  <c r="J86" i="1"/>
  <c r="J85" i="1" s="1"/>
  <c r="J84" i="1" s="1"/>
  <c r="B85" i="1"/>
  <c r="J88" i="1"/>
  <c r="J89" i="1" s="1"/>
  <c r="J90" i="1" s="1"/>
  <c r="B89" i="1"/>
  <c r="B91" i="1"/>
  <c r="B92" i="1"/>
  <c r="B93" i="1"/>
  <c r="B94" i="1"/>
  <c r="B97" i="1"/>
  <c r="H99" i="1"/>
  <c r="I99" i="1"/>
  <c r="I249" i="1" s="1"/>
  <c r="J99" i="1"/>
  <c r="K99" i="1"/>
  <c r="L99" i="1"/>
  <c r="M99" i="1"/>
  <c r="I102" i="1"/>
  <c r="S102" i="1"/>
  <c r="B105" i="1"/>
  <c r="B106" i="1"/>
  <c r="B107" i="1"/>
  <c r="B108" i="1"/>
  <c r="B109" i="1"/>
  <c r="B110" i="1"/>
  <c r="B111" i="1"/>
  <c r="B112" i="1"/>
  <c r="H250" i="1"/>
  <c r="I250" i="1"/>
  <c r="J249" i="1"/>
  <c r="J250" i="1"/>
  <c r="K249" i="1"/>
  <c r="K250" i="1"/>
  <c r="L249" i="1"/>
  <c r="L250" i="1"/>
  <c r="M249" i="1"/>
  <c r="M250" i="1"/>
  <c r="U112" i="1"/>
  <c r="B113" i="1"/>
  <c r="B114" i="1"/>
  <c r="B115" i="1"/>
  <c r="B116" i="1"/>
  <c r="B117" i="1"/>
  <c r="B118" i="1"/>
  <c r="B119" i="1"/>
  <c r="B120" i="1"/>
  <c r="B121" i="1"/>
  <c r="B122" i="1"/>
  <c r="B123" i="1"/>
  <c r="B124" i="1"/>
  <c r="B125" i="1"/>
  <c r="B126" i="1"/>
  <c r="B127" i="1"/>
  <c r="B128" i="1"/>
  <c r="B129" i="1"/>
  <c r="B130" i="1"/>
  <c r="B131" i="1"/>
  <c r="B132" i="1"/>
  <c r="Y132" i="1"/>
  <c r="B133" i="1"/>
  <c r="B134" i="1"/>
  <c r="B136" i="1"/>
  <c r="AA147" i="1"/>
  <c r="B137" i="1"/>
  <c r="M140" i="1"/>
  <c r="AA141" i="1"/>
  <c r="M142" i="1"/>
  <c r="B144" i="1"/>
  <c r="M144" i="1"/>
  <c r="B145" i="1"/>
  <c r="B146" i="1"/>
  <c r="M146" i="1"/>
  <c r="C147" i="1"/>
  <c r="C148" i="1"/>
  <c r="M148" i="1"/>
  <c r="C149" i="1"/>
  <c r="B150" i="1"/>
  <c r="C151" i="1"/>
  <c r="B152" i="1"/>
  <c r="B155" i="1"/>
  <c r="B156" i="1"/>
  <c r="B157" i="1"/>
  <c r="B161" i="1"/>
  <c r="W162" i="1"/>
  <c r="B163" i="1"/>
  <c r="W163" i="1"/>
  <c r="W164" i="1" s="1"/>
  <c r="W165" i="1" s="1"/>
  <c r="W166" i="1" s="1"/>
  <c r="W167" i="1" s="1"/>
  <c r="W168" i="1" s="1"/>
  <c r="W169" i="1" s="1"/>
  <c r="W170" i="1" s="1"/>
  <c r="W171" i="1" s="1"/>
  <c r="W172" i="1" s="1"/>
  <c r="D168" i="1"/>
  <c r="I168" i="1"/>
  <c r="O168" i="1"/>
  <c r="D169" i="1"/>
  <c r="I169" i="1"/>
  <c r="B170" i="1"/>
  <c r="B182" i="1" s="1"/>
  <c r="B194" i="1" s="1"/>
  <c r="T174" i="1"/>
  <c r="T175" i="1"/>
  <c r="D180" i="1"/>
  <c r="I180" i="1"/>
  <c r="O180" i="1"/>
  <c r="D181" i="1"/>
  <c r="I181" i="1"/>
  <c r="O181" i="1"/>
  <c r="D182" i="1"/>
  <c r="N183" i="1"/>
  <c r="N184" i="1"/>
  <c r="N186" i="1"/>
  <c r="I192" i="1"/>
  <c r="O192" i="1"/>
  <c r="I193" i="1"/>
  <c r="B204" i="1"/>
  <c r="B206" i="1"/>
  <c r="I208" i="1"/>
  <c r="J208" i="1"/>
  <c r="K208" i="1"/>
  <c r="L208" i="1"/>
  <c r="M208" i="1"/>
  <c r="F209" i="1"/>
  <c r="I209" i="1"/>
  <c r="J209" i="1"/>
  <c r="K209" i="1"/>
  <c r="L209" i="1"/>
  <c r="M209" i="1"/>
  <c r="B214" i="1"/>
  <c r="B215" i="1"/>
  <c r="B217" i="1"/>
  <c r="C218" i="1"/>
  <c r="B219" i="1"/>
  <c r="C220" i="1"/>
  <c r="B221" i="1"/>
  <c r="B222" i="1"/>
  <c r="B223" i="1"/>
  <c r="C224" i="1"/>
  <c r="B225" i="1"/>
  <c r="B227" i="1"/>
  <c r="C228" i="1"/>
  <c r="B229" i="1"/>
  <c r="C230" i="1"/>
  <c r="B231" i="1"/>
  <c r="B232" i="1"/>
  <c r="B233" i="1"/>
  <c r="B234" i="1"/>
  <c r="B235" i="1"/>
  <c r="C236" i="1"/>
  <c r="B237" i="1"/>
  <c r="B239" i="1"/>
  <c r="B241" i="1"/>
  <c r="B243" i="1"/>
  <c r="BF68" i="1" a="1"/>
  <c r="AT68" i="1" a="1"/>
  <c r="AY58" i="1" a="1"/>
  <c r="AZ58" i="1" s="1" a="1"/>
  <c r="BB58" i="1" s="1"/>
  <c r="BC58" i="1" s="1"/>
  <c r="K170" i="1"/>
  <c r="J21" i="8"/>
  <c r="N12" i="9"/>
  <c r="M12" i="9"/>
  <c r="L12" i="9"/>
  <c r="K12" i="9"/>
  <c r="J12" i="9"/>
  <c r="I12" i="9"/>
  <c r="H12" i="9"/>
  <c r="G12" i="9"/>
  <c r="F12" i="9"/>
  <c r="E12" i="9"/>
  <c r="D12" i="9"/>
  <c r="C12" i="9"/>
  <c r="Z70" i="1"/>
  <c r="Z67" i="1"/>
  <c r="AA50" i="1"/>
  <c r="Z74" i="1"/>
  <c r="AB50" i="1"/>
  <c r="AG49" i="1"/>
  <c r="Z69" i="1"/>
  <c r="AE50" i="1"/>
  <c r="Z71" i="1"/>
  <c r="H101" i="1"/>
  <c r="AH50" i="1"/>
  <c r="Z72" i="1"/>
  <c r="BF59" i="1"/>
  <c r="J101" i="1"/>
  <c r="AC50" i="1"/>
  <c r="AF75" i="1"/>
  <c r="AG75" i="1" s="1"/>
  <c r="AD50" i="1"/>
  <c r="AD63" i="1"/>
  <c r="AT59" i="1"/>
  <c r="M251" i="1"/>
  <c r="Z66" i="1"/>
  <c r="K101" i="1"/>
  <c r="J251" i="1"/>
  <c r="Y68" i="1"/>
  <c r="L101" i="1"/>
  <c r="AF50" i="1"/>
  <c r="M101" i="1"/>
  <c r="G251" i="1"/>
  <c r="K251" i="1"/>
  <c r="B140" i="1"/>
  <c r="L251" i="1"/>
  <c r="I251" i="1"/>
  <c r="Y143" i="1"/>
  <c r="Z73" i="1"/>
  <c r="F210" i="1"/>
  <c r="I210" i="1"/>
  <c r="J210" i="1"/>
  <c r="K210" i="1"/>
  <c r="L210" i="1"/>
  <c r="H251" i="1"/>
  <c r="Z153" i="1"/>
  <c r="Y144" i="1"/>
  <c r="I101" i="1"/>
  <c r="Z154" i="1"/>
  <c r="AA155" i="1"/>
  <c r="AA156" i="1" s="1"/>
  <c r="Y134" i="1"/>
  <c r="M210" i="1"/>
  <c r="AA81" i="1"/>
  <c r="J64" i="1" s="1"/>
  <c r="B73" i="1"/>
  <c r="B59" i="1"/>
  <c r="B55" i="1"/>
  <c r="B57" i="1"/>
  <c r="J62" i="1" s="1"/>
  <c r="B56" i="1"/>
  <c r="J61" i="1" s="1"/>
  <c r="B61" i="1"/>
  <c r="B78" i="1"/>
  <c r="B87" i="1"/>
  <c r="B81" i="1"/>
  <c r="B84" i="1"/>
  <c r="B169" i="1"/>
  <c r="B181" i="1" s="1"/>
  <c r="B193" i="1" s="1"/>
  <c r="B88" i="1"/>
  <c r="AK8" i="5"/>
  <c r="AL3" i="5" s="1"/>
  <c r="AK9" i="5"/>
  <c r="AK4" i="5" s="1"/>
  <c r="I220" i="1"/>
  <c r="D36" i="8"/>
  <c r="L212" i="1"/>
  <c r="J52" i="1" s="1"/>
  <c r="W158" i="1"/>
  <c r="J212" i="1"/>
  <c r="H132" i="1"/>
  <c r="K220" i="1"/>
  <c r="F212" i="1"/>
  <c r="L221" i="1"/>
  <c r="L224" i="1" s="1"/>
  <c r="I108" i="1"/>
  <c r="K212" i="1"/>
  <c r="H120" i="1"/>
  <c r="H121" i="1" s="1"/>
  <c r="J220" i="1"/>
  <c r="N122" i="1"/>
  <c r="O122" i="1" s="1"/>
  <c r="P122" i="1" s="1"/>
  <c r="Q122" i="1" s="1"/>
  <c r="R122" i="1" s="1"/>
  <c r="J53" i="1" s="1"/>
  <c r="I149" i="1"/>
  <c r="K120" i="1"/>
  <c r="K121" i="1" s="1"/>
  <c r="H112" i="1"/>
  <c r="I230" i="1"/>
  <c r="J106" i="1"/>
  <c r="L231" i="1"/>
  <c r="L236" i="1" s="1"/>
  <c r="I212" i="1"/>
  <c r="I156" i="1"/>
  <c r="W159" i="1"/>
  <c r="M112" i="1"/>
  <c r="K108" i="1"/>
  <c r="E36" i="8"/>
  <c r="I154" i="1"/>
  <c r="O31" i="8" s="1"/>
  <c r="F50" i="1"/>
  <c r="M58" i="1"/>
  <c r="AG107" i="1" a="1"/>
  <c r="AG136" i="1" a="1"/>
  <c r="AG155" i="1" a="1"/>
  <c r="AG115" i="1" a="1"/>
  <c r="AG148" i="1" a="1"/>
  <c r="AG128" i="1" a="1"/>
  <c r="AG142" i="1" a="1"/>
  <c r="AG152" i="1" a="1"/>
  <c r="AG133" i="1" a="1"/>
  <c r="AG132" i="1" a="1"/>
  <c r="AG117" i="1" a="1"/>
  <c r="AG145" i="1" a="1"/>
  <c r="AG134" i="1" a="1"/>
  <c r="AG86" i="1" a="1"/>
  <c r="AG157" i="1" a="1"/>
  <c r="AG150" i="1" a="1"/>
  <c r="AG140" i="1" a="1"/>
  <c r="AG138" i="1" a="1"/>
  <c r="AG121" i="1" a="1"/>
  <c r="AG137" i="1" a="1"/>
  <c r="AG125" i="1" a="1"/>
  <c r="AG111" i="1" a="1"/>
  <c r="AG143" i="1" a="1"/>
  <c r="AG112" i="1" a="1"/>
  <c r="AG153" i="1" a="1"/>
  <c r="AG151" i="1" a="1"/>
  <c r="AG149" i="1" a="1"/>
  <c r="AG144" i="1" a="1"/>
  <c r="AG141" i="1" a="1"/>
  <c r="AG139" i="1" a="1"/>
  <c r="AG135" i="1" a="1"/>
  <c r="AG156" i="1" a="1"/>
  <c r="AG131" i="1" a="1"/>
  <c r="AG147" i="1" a="1"/>
  <c r="AG154" i="1" a="1"/>
  <c r="AG119" i="1" a="1"/>
  <c r="AG93" i="1" a="1"/>
  <c r="AG109" i="1" a="1"/>
  <c r="AG108" i="1" a="1"/>
  <c r="AG103" i="1" a="1"/>
  <c r="AG88" i="1" a="1"/>
  <c r="AG79" i="1" a="1"/>
  <c r="AG120" i="1" a="1"/>
  <c r="AG100" i="1" a="1"/>
  <c r="AG95" i="1" a="1"/>
  <c r="AG146" i="1" a="1"/>
  <c r="AG113" i="1" a="1"/>
  <c r="AG81" i="1" a="1"/>
  <c r="AG98" i="1" a="1"/>
  <c r="AG102" i="1" a="1"/>
  <c r="AG99" i="1" a="1"/>
  <c r="AG89" i="1" a="1"/>
  <c r="AG129" i="1" a="1"/>
  <c r="AG126" i="1" a="1"/>
  <c r="AG123" i="1" a="1"/>
  <c r="AG116" i="1" a="1"/>
  <c r="AG85" i="1" a="1"/>
  <c r="AG80" i="1" a="1"/>
  <c r="AG96" i="1" a="1"/>
  <c r="AG76" i="1" a="1"/>
  <c r="AG106" i="1" a="1"/>
  <c r="AG130" i="1" a="1"/>
  <c r="AG127" i="1" a="1"/>
  <c r="AG124" i="1" a="1"/>
  <c r="AG118" i="1" a="1"/>
  <c r="AG90" i="1" a="1"/>
  <c r="AG84" i="1" a="1"/>
  <c r="AG82" i="1" a="1"/>
  <c r="AG122" i="1" a="1"/>
  <c r="AG114" i="1" a="1"/>
  <c r="AG110" i="1" a="1"/>
  <c r="AG105" i="1" a="1"/>
  <c r="AG101" i="1" a="1"/>
  <c r="AG92" i="1" a="1"/>
  <c r="AG77" i="1" a="1"/>
  <c r="AG97" i="1" a="1"/>
  <c r="AG94" i="1" a="1"/>
  <c r="AG104" i="1" a="1"/>
  <c r="AG91" i="1" a="1"/>
  <c r="AG87" i="1" a="1"/>
  <c r="AG83" i="1" a="1"/>
  <c r="AG78" i="1" a="1"/>
  <c r="O14" i="8" l="1"/>
  <c r="AA68" i="1"/>
  <c r="AA26" i="1"/>
  <c r="W56" i="1" s="1"/>
  <c r="AA27" i="1"/>
  <c r="W57" i="1" s="1"/>
  <c r="AA24" i="1"/>
  <c r="W54" i="1" s="1"/>
  <c r="AA23" i="1"/>
  <c r="W53" i="1" s="1"/>
  <c r="AA25" i="1"/>
  <c r="W55" i="1" s="1"/>
  <c r="AA22" i="1"/>
  <c r="W52" i="1" s="1"/>
  <c r="BM52" i="1"/>
  <c r="BL138" i="1" s="1"/>
  <c r="BL52" i="1"/>
  <c r="O169" i="1"/>
  <c r="O193" i="1"/>
  <c r="N185" i="1"/>
  <c r="AQ4" i="8"/>
  <c r="E52" i="8"/>
  <c r="D52" i="8"/>
  <c r="BA58" i="1"/>
  <c r="P3" i="7"/>
  <c r="O2" i="7"/>
  <c r="X159" i="1"/>
  <c r="BN135" i="1"/>
  <c r="O30" i="8" s="1"/>
  <c r="BL135" i="1"/>
  <c r="BM135" i="1" s="1"/>
  <c r="BK135" i="1"/>
  <c r="AZ59" i="1" a="1"/>
  <c r="F208" i="1"/>
  <c r="H249" i="1"/>
  <c r="G249" i="1" s="1"/>
  <c r="J54" i="1"/>
  <c r="B46" i="1"/>
  <c r="L170" i="1"/>
  <c r="Q170" i="1"/>
  <c r="J170" i="1"/>
  <c r="K182" i="1"/>
  <c r="K194" i="1"/>
  <c r="AD64" i="1"/>
  <c r="AC63" i="1"/>
  <c r="F28" i="10"/>
  <c r="R121" i="1" s="1"/>
  <c r="E28" i="10"/>
  <c r="Q121" i="1" s="1"/>
  <c r="D28" i="10"/>
  <c r="P121" i="1" s="1"/>
  <c r="C28" i="10"/>
  <c r="O121" i="1" s="1"/>
  <c r="B28" i="10"/>
  <c r="N121" i="1" s="1"/>
  <c r="F52" i="1"/>
  <c r="F51" i="1" s="1"/>
  <c r="F75" i="1" s="1"/>
  <c r="B7" i="10"/>
  <c r="F54" i="1" s="1"/>
  <c r="AN96" i="1" a="1"/>
  <c r="J51" i="1"/>
  <c r="J230" i="1"/>
  <c r="K230" i="1"/>
  <c r="E38" i="8"/>
  <c r="M220" i="1"/>
  <c r="J231" i="1"/>
  <c r="J236" i="1" s="1"/>
  <c r="K231" i="1"/>
  <c r="I111" i="1"/>
  <c r="E46" i="8"/>
  <c r="M230" i="1"/>
  <c r="J112" i="1"/>
  <c r="J114" i="1" s="1"/>
  <c r="E34" i="8"/>
  <c r="M218" i="1"/>
  <c r="N218" i="1" s="1"/>
  <c r="O218" i="1" s="1"/>
  <c r="P218" i="1" s="1"/>
  <c r="Q218" i="1" s="1"/>
  <c r="R218" i="1" s="1"/>
  <c r="M111" i="1"/>
  <c r="M110" i="1"/>
  <c r="M114" i="1"/>
  <c r="J228" i="1"/>
  <c r="L52" i="1"/>
  <c r="N52" i="1"/>
  <c r="P52" i="1"/>
  <c r="O52" i="1"/>
  <c r="K110" i="1"/>
  <c r="K111" i="1"/>
  <c r="J108" i="1"/>
  <c r="K106" i="1"/>
  <c r="I112" i="1"/>
  <c r="I114" i="1" s="1"/>
  <c r="N103" i="1"/>
  <c r="M212" i="1"/>
  <c r="N212" i="1" s="1"/>
  <c r="O212" i="1" s="1"/>
  <c r="P212" i="1" s="1"/>
  <c r="Q212" i="1" s="1"/>
  <c r="R212" i="1" s="1"/>
  <c r="M119" i="1"/>
  <c r="E24" i="8" s="1"/>
  <c r="E23" i="8" s="1"/>
  <c r="F23" i="8" s="1"/>
  <c r="G23" i="8" s="1"/>
  <c r="H23" i="8" s="1"/>
  <c r="I23" i="8" s="1"/>
  <c r="J23" i="8" s="1"/>
  <c r="E14" i="8"/>
  <c r="M106" i="1"/>
  <c r="D14" i="8"/>
  <c r="D37" i="8" s="1"/>
  <c r="L106" i="1"/>
  <c r="L108" i="1"/>
  <c r="O53" i="1"/>
  <c r="N53" i="1"/>
  <c r="L53" i="1"/>
  <c r="P53" i="1"/>
  <c r="I120" i="1"/>
  <c r="I121" i="1" s="1"/>
  <c r="I148" i="1"/>
  <c r="E44" i="8"/>
  <c r="M228" i="1"/>
  <c r="H114" i="1"/>
  <c r="J110" i="1"/>
  <c r="J111" i="1"/>
  <c r="M120" i="1"/>
  <c r="M121" i="1" s="1"/>
  <c r="J218" i="1"/>
  <c r="M108" i="1"/>
  <c r="H119" i="1"/>
  <c r="H113" i="1"/>
  <c r="I231" i="1"/>
  <c r="I236" i="1" s="1"/>
  <c r="I228" i="1"/>
  <c r="I218" i="1"/>
  <c r="L120" i="1"/>
  <c r="L121" i="1" s="1"/>
  <c r="D38" i="8"/>
  <c r="L220" i="1"/>
  <c r="D39" i="8" s="1"/>
  <c r="K221" i="1"/>
  <c r="K224" i="1" s="1"/>
  <c r="I147" i="1"/>
  <c r="J221" i="1"/>
  <c r="J224" i="1" s="1"/>
  <c r="M231" i="1"/>
  <c r="M236" i="1" s="1"/>
  <c r="N236" i="1" s="1"/>
  <c r="O236" i="1" s="1"/>
  <c r="P236" i="1" s="1"/>
  <c r="Q236" i="1" s="1"/>
  <c r="R236" i="1" s="1"/>
  <c r="S63" i="1"/>
  <c r="F82" i="1"/>
  <c r="F117" i="1"/>
  <c r="R148" i="1"/>
  <c r="AH75" i="1"/>
  <c r="K112" i="1"/>
  <c r="K114" i="1" s="1"/>
  <c r="L111" i="1"/>
  <c r="L110" i="1"/>
  <c r="AG63" i="1"/>
  <c r="K228" i="1"/>
  <c r="D44" i="8"/>
  <c r="L228" i="1"/>
  <c r="D45" i="8" s="1"/>
  <c r="L237" i="1"/>
  <c r="J120" i="1"/>
  <c r="J121" i="1" s="1"/>
  <c r="D46" i="8"/>
  <c r="L230" i="1"/>
  <c r="D47" i="8" s="1"/>
  <c r="K218" i="1"/>
  <c r="M221" i="1"/>
  <c r="M224" i="1" s="1"/>
  <c r="N224" i="1" s="1"/>
  <c r="O224" i="1" s="1"/>
  <c r="P224" i="1" s="1"/>
  <c r="Q224" i="1" s="1"/>
  <c r="R224" i="1" s="1"/>
  <c r="D34" i="8"/>
  <c r="L225" i="1"/>
  <c r="L218" i="1"/>
  <c r="L112" i="1"/>
  <c r="L114" i="1" s="1"/>
  <c r="N136" i="1"/>
  <c r="O136" i="1" s="1"/>
  <c r="P136" i="1" s="1"/>
  <c r="Q136" i="1" s="1"/>
  <c r="R136" i="1" s="1"/>
  <c r="I221" i="1"/>
  <c r="I224" i="1" s="1"/>
  <c r="AH146" i="1" a="1"/>
  <c r="AH136" i="1" a="1"/>
  <c r="AH130" i="1" a="1"/>
  <c r="AH123" i="1" a="1"/>
  <c r="AH103" i="1" a="1"/>
  <c r="AH155" i="1" a="1"/>
  <c r="AH143" i="1" a="1"/>
  <c r="AH157" i="1" a="1"/>
  <c r="AH150" i="1" a="1"/>
  <c r="AH140" i="1" a="1"/>
  <c r="AH138" i="1" a="1"/>
  <c r="AH126" i="1" a="1"/>
  <c r="AH148" i="1" a="1"/>
  <c r="AH106" i="1" a="1"/>
  <c r="AH142" i="1" a="1"/>
  <c r="AH153" i="1" a="1"/>
  <c r="AH151" i="1" a="1"/>
  <c r="AH144" i="1" a="1"/>
  <c r="AH135" i="1" a="1"/>
  <c r="AH156" i="1" a="1"/>
  <c r="AH127" i="1" a="1"/>
  <c r="AH129" i="1" a="1"/>
  <c r="AH147" i="1" a="1"/>
  <c r="AH131" i="1" a="1"/>
  <c r="AH89" i="1" a="1"/>
  <c r="AH154" i="1" a="1"/>
  <c r="AH133" i="1" a="1"/>
  <c r="AH119" i="1" a="1"/>
  <c r="AH102" i="1" a="1"/>
  <c r="AH152" i="1" a="1"/>
  <c r="AH145" i="1" a="1"/>
  <c r="AH134" i="1" a="1"/>
  <c r="AH132" i="1" a="1"/>
  <c r="AH108" i="1" a="1"/>
  <c r="AH113" i="1" a="1"/>
  <c r="AH97" i="1" a="1"/>
  <c r="AH121" i="1" a="1"/>
  <c r="AH101" i="1" a="1"/>
  <c r="AH93" i="1" a="1"/>
  <c r="AH86" i="1" a="1"/>
  <c r="AH84" i="1" a="1"/>
  <c r="AH139" i="1" a="1"/>
  <c r="AH137" i="1" a="1"/>
  <c r="AH128" i="1" a="1"/>
  <c r="AH125" i="1" a="1"/>
  <c r="AH111" i="1" a="1"/>
  <c r="AH122" i="1" a="1"/>
  <c r="AH116" i="1" a="1"/>
  <c r="AH105" i="1" a="1"/>
  <c r="AH99" i="1" a="1"/>
  <c r="AH85" i="1" a="1"/>
  <c r="AH78" i="1" a="1"/>
  <c r="AH96" i="1" a="1"/>
  <c r="AH94" i="1" a="1"/>
  <c r="AH82" i="1" a="1"/>
  <c r="AH76" i="1" a="1"/>
  <c r="AH115" i="1" a="1"/>
  <c r="AH114" i="1" a="1"/>
  <c r="AH112" i="1" a="1"/>
  <c r="AH92" i="1" a="1"/>
  <c r="AH124" i="1" a="1"/>
  <c r="AH118" i="1" a="1"/>
  <c r="AH90" i="1" a="1"/>
  <c r="AH88" i="1" a="1"/>
  <c r="AH149" i="1" a="1"/>
  <c r="AH141" i="1" a="1"/>
  <c r="AH120" i="1" a="1"/>
  <c r="AH110" i="1" a="1"/>
  <c r="AH100" i="1" a="1"/>
  <c r="AH77" i="1" a="1"/>
  <c r="AH117" i="1" a="1"/>
  <c r="AH107" i="1" a="1"/>
  <c r="AH95" i="1" a="1"/>
  <c r="AH80" i="1" a="1"/>
  <c r="AH109" i="1" a="1"/>
  <c r="AH104" i="1" a="1"/>
  <c r="AH91" i="1" a="1"/>
  <c r="AH87" i="1" a="1"/>
  <c r="AH83" i="1" a="1"/>
  <c r="AH98" i="1" a="1"/>
  <c r="AH81" i="1" a="1"/>
  <c r="AH79" i="1" a="1"/>
  <c r="O33" i="8" l="1"/>
  <c r="F55" i="1"/>
  <c r="F84" i="1" s="1"/>
  <c r="F78" i="1" s="1"/>
  <c r="F57" i="1"/>
  <c r="S62" i="1" s="1"/>
  <c r="F88" i="1"/>
  <c r="F56" i="1"/>
  <c r="B98" i="1"/>
  <c r="B207" i="1"/>
  <c r="B164" i="1"/>
  <c r="L194" i="1"/>
  <c r="L182" i="1"/>
  <c r="M170" i="1"/>
  <c r="R170" i="1"/>
  <c r="Q194" i="1"/>
  <c r="Q182" i="1"/>
  <c r="J182" i="1"/>
  <c r="I170" i="1"/>
  <c r="J194" i="1"/>
  <c r="P170" i="1"/>
  <c r="AC64" i="1"/>
  <c r="AD65" i="1"/>
  <c r="E53" i="8"/>
  <c r="E27" i="8" s="1"/>
  <c r="BN52" i="1"/>
  <c r="BM51" i="1" s="1"/>
  <c r="BM136" i="1" a="1"/>
  <c r="B154" i="1"/>
  <c r="BB59" i="1"/>
  <c r="BC59" i="1" s="1"/>
  <c r="BA59" i="1"/>
  <c r="J56" i="1"/>
  <c r="O54" i="1"/>
  <c r="P54" i="1"/>
  <c r="L54" i="1"/>
  <c r="N54" i="1"/>
  <c r="K236" i="1"/>
  <c r="K237" i="1"/>
  <c r="F14" i="8"/>
  <c r="E37" i="8"/>
  <c r="F37" i="8" s="1"/>
  <c r="P51" i="1"/>
  <c r="O51" i="1"/>
  <c r="N51" i="1"/>
  <c r="L51" i="1"/>
  <c r="M237" i="1"/>
  <c r="D48" i="8"/>
  <c r="D49" i="8" s="1"/>
  <c r="J237" i="1"/>
  <c r="I116" i="1"/>
  <c r="I117" i="1"/>
  <c r="I118" i="1" s="1"/>
  <c r="L117" i="1"/>
  <c r="L118" i="1" s="1"/>
  <c r="L116" i="1"/>
  <c r="L115" i="1"/>
  <c r="K117" i="1"/>
  <c r="K118" i="1" s="1"/>
  <c r="K116" i="1"/>
  <c r="K115" i="1"/>
  <c r="AP94" i="1"/>
  <c r="AO94" i="1"/>
  <c r="D35" i="8"/>
  <c r="D40" i="8"/>
  <c r="D41" i="8" s="1"/>
  <c r="J225" i="1"/>
  <c r="AP71" i="1"/>
  <c r="AO71" i="1"/>
  <c r="AP61" i="1"/>
  <c r="AO61" i="1"/>
  <c r="AP107" i="1"/>
  <c r="AO107" i="1"/>
  <c r="AP84" i="1"/>
  <c r="AO84" i="1"/>
  <c r="AP65" i="1"/>
  <c r="AO65" i="1"/>
  <c r="AP64" i="1"/>
  <c r="AO64" i="1"/>
  <c r="AP104" i="1"/>
  <c r="AO104" i="1"/>
  <c r="Q53" i="1"/>
  <c r="R53" i="1"/>
  <c r="M116" i="1"/>
  <c r="E19" i="8" s="1"/>
  <c r="E18" i="8"/>
  <c r="E22" i="8" s="1"/>
  <c r="M115" i="1"/>
  <c r="M117" i="1"/>
  <c r="M118" i="1" s="1"/>
  <c r="AP80" i="1"/>
  <c r="AO80" i="1"/>
  <c r="AP58" i="1"/>
  <c r="AO58" i="1"/>
  <c r="AP89" i="1"/>
  <c r="AO89" i="1"/>
  <c r="AP97" i="1"/>
  <c r="AO97" i="1"/>
  <c r="AP68" i="1"/>
  <c r="AO68" i="1"/>
  <c r="AP79" i="1"/>
  <c r="AO79" i="1"/>
  <c r="E48" i="8"/>
  <c r="E49" i="8" s="1"/>
  <c r="F49" i="8" s="1"/>
  <c r="AP95" i="1"/>
  <c r="AO95" i="1"/>
  <c r="AP81" i="1"/>
  <c r="AO81" i="1"/>
  <c r="AP85" i="1"/>
  <c r="AO85" i="1"/>
  <c r="AP75" i="1"/>
  <c r="AQ75" i="1" s="1"/>
  <c r="AO75" i="1"/>
  <c r="AP100" i="1"/>
  <c r="AO100" i="1"/>
  <c r="AP87" i="1"/>
  <c r="AO87" i="1"/>
  <c r="AP62" i="1"/>
  <c r="AO62" i="1"/>
  <c r="AP103" i="1"/>
  <c r="AO103" i="1"/>
  <c r="L239" i="1"/>
  <c r="K225" i="1"/>
  <c r="I225" i="1"/>
  <c r="AP102" i="1"/>
  <c r="AO102" i="1"/>
  <c r="AG64" i="1"/>
  <c r="AP91" i="1"/>
  <c r="AO91" i="1"/>
  <c r="M225" i="1"/>
  <c r="AP98" i="1"/>
  <c r="AO98" i="1"/>
  <c r="AP99" i="1"/>
  <c r="AO99" i="1"/>
  <c r="AP90" i="1"/>
  <c r="AO90" i="1"/>
  <c r="AP73" i="1"/>
  <c r="AO73" i="1"/>
  <c r="AP60" i="1"/>
  <c r="AO60" i="1"/>
  <c r="E45" i="8"/>
  <c r="F45" i="8" s="1"/>
  <c r="G45" i="8" s="1"/>
  <c r="H45" i="8" s="1"/>
  <c r="I45" i="8" s="1"/>
  <c r="J45" i="8" s="1"/>
  <c r="N228" i="1"/>
  <c r="AP96" i="1"/>
  <c r="AO96" i="1"/>
  <c r="I237" i="1"/>
  <c r="N105" i="1"/>
  <c r="N109" i="1" s="1"/>
  <c r="AP66" i="1"/>
  <c r="AO66" i="1"/>
  <c r="AP72" i="1"/>
  <c r="AO72" i="1"/>
  <c r="AP93" i="1"/>
  <c r="AO93" i="1"/>
  <c r="AP69" i="1"/>
  <c r="AO69" i="1"/>
  <c r="AP76" i="1"/>
  <c r="AO76" i="1"/>
  <c r="O103" i="1"/>
  <c r="B142" i="1"/>
  <c r="AP70" i="1"/>
  <c r="AO70" i="1"/>
  <c r="K113" i="1"/>
  <c r="K119" i="1"/>
  <c r="J117" i="1"/>
  <c r="J118" i="1" s="1"/>
  <c r="J115" i="1"/>
  <c r="J116" i="1"/>
  <c r="E35" i="8"/>
  <c r="F35" i="8" s="1"/>
  <c r="G35" i="8" s="1"/>
  <c r="H35" i="8" s="1"/>
  <c r="I35" i="8" s="1"/>
  <c r="J35" i="8" s="1"/>
  <c r="E40" i="8"/>
  <c r="E41" i="8" s="1"/>
  <c r="F41" i="8" s="1"/>
  <c r="E39" i="8"/>
  <c r="F39" i="8" s="1"/>
  <c r="G39" i="8" s="1"/>
  <c r="H39" i="8" s="1"/>
  <c r="I39" i="8" s="1"/>
  <c r="J39" i="8" s="1"/>
  <c r="N220" i="1"/>
  <c r="O220" i="1" s="1"/>
  <c r="P220" i="1" s="1"/>
  <c r="Q220" i="1" s="1"/>
  <c r="R220" i="1" s="1"/>
  <c r="AP86" i="1"/>
  <c r="AO86" i="1"/>
  <c r="AP88" i="1"/>
  <c r="AO88" i="1"/>
  <c r="AP83" i="1"/>
  <c r="AO83" i="1"/>
  <c r="AP59" i="1"/>
  <c r="AO59" i="1"/>
  <c r="AP78" i="1"/>
  <c r="AO78" i="1"/>
  <c r="AP63" i="1"/>
  <c r="AO63" i="1"/>
  <c r="J119" i="1"/>
  <c r="J113" i="1"/>
  <c r="AP101" i="1"/>
  <c r="AO101" i="1"/>
  <c r="AP105" i="1"/>
  <c r="AO105" i="1"/>
  <c r="AP106" i="1"/>
  <c r="AO106" i="1"/>
  <c r="AP77" i="1"/>
  <c r="AO77" i="1"/>
  <c r="L113" i="1"/>
  <c r="L119" i="1"/>
  <c r="I113" i="1"/>
  <c r="I119" i="1"/>
  <c r="D183" i="1"/>
  <c r="D184" i="1" s="1"/>
  <c r="D185" i="1" s="1"/>
  <c r="D186" i="1" s="1"/>
  <c r="D187" i="1" s="1"/>
  <c r="H117" i="1"/>
  <c r="H118" i="1" s="1"/>
  <c r="H133" i="1" s="1"/>
  <c r="H115" i="1"/>
  <c r="H116" i="1"/>
  <c r="M113" i="1"/>
  <c r="Q52" i="1"/>
  <c r="R52" i="1"/>
  <c r="E47" i="8"/>
  <c r="F47" i="8" s="1"/>
  <c r="G47" i="8" s="1"/>
  <c r="H47" i="8" s="1"/>
  <c r="I47" i="8" s="1"/>
  <c r="J47" i="8" s="1"/>
  <c r="N230" i="1"/>
  <c r="O230" i="1" s="1"/>
  <c r="P230" i="1" s="1"/>
  <c r="Q230" i="1" s="1"/>
  <c r="R230" i="1" s="1"/>
  <c r="AP92" i="1"/>
  <c r="AO92" i="1"/>
  <c r="AP67" i="1"/>
  <c r="AO67" i="1"/>
  <c r="AP82" i="1"/>
  <c r="AO82" i="1"/>
  <c r="AP74" i="1"/>
  <c r="AQ74" i="1" s="1"/>
  <c r="AO74" i="1"/>
  <c r="S61" i="1" l="1"/>
  <c r="Z36" i="1"/>
  <c r="M239" i="1"/>
  <c r="M241" i="1" s="1"/>
  <c r="M123" i="1" s="1"/>
  <c r="AF47" i="1"/>
  <c r="W67" i="1"/>
  <c r="R54" i="1"/>
  <c r="Q54" i="1"/>
  <c r="J239" i="1"/>
  <c r="M182" i="1"/>
  <c r="S170" i="1"/>
  <c r="M194" i="1"/>
  <c r="R194" i="1"/>
  <c r="R182" i="1"/>
  <c r="O170" i="1"/>
  <c r="I182" i="1"/>
  <c r="I194" i="1"/>
  <c r="P182" i="1"/>
  <c r="P194" i="1"/>
  <c r="AC65" i="1"/>
  <c r="AD66" i="1"/>
  <c r="AH47" i="1"/>
  <c r="W66" i="1"/>
  <c r="G14" i="8"/>
  <c r="F26" i="8"/>
  <c r="F24" i="8" s="1"/>
  <c r="F18" i="8"/>
  <c r="F20" i="8" s="1"/>
  <c r="F22" i="8" s="1"/>
  <c r="E28" i="8"/>
  <c r="E30" i="8" s="1"/>
  <c r="F220" i="1"/>
  <c r="F230" i="1"/>
  <c r="F228" i="1"/>
  <c r="F218" i="1"/>
  <c r="BF65" i="1"/>
  <c r="BF64" i="1"/>
  <c r="BF61" i="1"/>
  <c r="BF62" i="1"/>
  <c r="BF63" i="1"/>
  <c r="BF71" i="1"/>
  <c r="BF72" i="1"/>
  <c r="BF74" i="1"/>
  <c r="BF73" i="1"/>
  <c r="BF70" i="1"/>
  <c r="O56" i="1"/>
  <c r="P56" i="1"/>
  <c r="N56" i="1"/>
  <c r="L56" i="1"/>
  <c r="J55" i="1"/>
  <c r="F231" i="1"/>
  <c r="F221" i="1"/>
  <c r="K239" i="1"/>
  <c r="G37" i="8"/>
  <c r="H37" i="8" s="1"/>
  <c r="I37" i="8" s="1"/>
  <c r="J37" i="8" s="1"/>
  <c r="F36" i="8"/>
  <c r="G41" i="8"/>
  <c r="F40" i="8"/>
  <c r="G49" i="8"/>
  <c r="F48" i="8"/>
  <c r="Q51" i="1"/>
  <c r="R51" i="1"/>
  <c r="S52" i="1"/>
  <c r="AQ96" i="1"/>
  <c r="AQ63" i="1"/>
  <c r="N120" i="1"/>
  <c r="AQ101" i="1"/>
  <c r="N110" i="1"/>
  <c r="I239" i="1"/>
  <c r="AQ79" i="1"/>
  <c r="AQ85" i="1"/>
  <c r="AQ105" i="1"/>
  <c r="AQ98" i="1"/>
  <c r="AQ84" i="1"/>
  <c r="AQ94" i="1"/>
  <c r="P103" i="1"/>
  <c r="Q103" i="1" s="1"/>
  <c r="R103" i="1" s="1"/>
  <c r="B143" i="1" s="1"/>
  <c r="AQ68" i="1"/>
  <c r="AQ82" i="1"/>
  <c r="AQ76" i="1"/>
  <c r="AQ107" i="1"/>
  <c r="AQ69" i="1"/>
  <c r="AQ97" i="1"/>
  <c r="AQ78" i="1"/>
  <c r="S53" i="1"/>
  <c r="AQ67" i="1"/>
  <c r="AQ59" i="1"/>
  <c r="AQ60" i="1"/>
  <c r="AQ91" i="1"/>
  <c r="AQ62" i="1"/>
  <c r="AQ61" i="1"/>
  <c r="AQ92" i="1"/>
  <c r="F46" i="8"/>
  <c r="AQ83" i="1"/>
  <c r="AQ73" i="1"/>
  <c r="AQ81" i="1"/>
  <c r="AT73" i="1"/>
  <c r="AT74" i="1"/>
  <c r="AT72" i="1"/>
  <c r="AT70" i="1"/>
  <c r="AT71" i="1"/>
  <c r="AQ104" i="1"/>
  <c r="AQ71" i="1"/>
  <c r="F34" i="8"/>
  <c r="AQ102" i="1"/>
  <c r="AQ58" i="1"/>
  <c r="O228" i="1"/>
  <c r="AQ103" i="1"/>
  <c r="AQ89" i="1"/>
  <c r="AQ72" i="1"/>
  <c r="AQ77" i="1"/>
  <c r="AQ88" i="1"/>
  <c r="AQ90" i="1"/>
  <c r="AQ87" i="1"/>
  <c r="AQ95" i="1"/>
  <c r="AQ64" i="1"/>
  <c r="AQ66" i="1"/>
  <c r="AQ80" i="1"/>
  <c r="AQ93" i="1"/>
  <c r="U113" i="1"/>
  <c r="N113" i="1" s="1"/>
  <c r="AQ106" i="1"/>
  <c r="AQ86" i="1"/>
  <c r="AQ70" i="1"/>
  <c r="N107" i="1"/>
  <c r="N215" i="1" s="1"/>
  <c r="N219" i="1" s="1"/>
  <c r="O105" i="1"/>
  <c r="O120" i="1" s="1"/>
  <c r="N214" i="1"/>
  <c r="AQ99" i="1"/>
  <c r="AQ100" i="1"/>
  <c r="AQ65" i="1"/>
  <c r="AG65" i="1"/>
  <c r="S54" i="1" l="1"/>
  <c r="J241" i="1"/>
  <c r="J123" i="1" s="1"/>
  <c r="S194" i="1"/>
  <c r="S182" i="1"/>
  <c r="O182" i="1"/>
  <c r="O194" i="1"/>
  <c r="AC66" i="1"/>
  <c r="AD67" i="1"/>
  <c r="L241" i="1"/>
  <c r="L123" i="1" s="1"/>
  <c r="K241" i="1"/>
  <c r="K123" i="1" s="1"/>
  <c r="G18" i="8"/>
  <c r="G20" i="8" s="1"/>
  <c r="G22" i="8" s="1"/>
  <c r="H14" i="8"/>
  <c r="G26" i="8"/>
  <c r="G24" i="8" s="1"/>
  <c r="G46" i="8"/>
  <c r="G36" i="8"/>
  <c r="G34" i="8"/>
  <c r="F38" i="8"/>
  <c r="F42" i="8" s="1"/>
  <c r="F44" i="8"/>
  <c r="F50" i="8" s="1"/>
  <c r="H49" i="8"/>
  <c r="G48" i="8"/>
  <c r="H41" i="8"/>
  <c r="G40" i="8"/>
  <c r="BG65" i="1"/>
  <c r="BH65" i="1"/>
  <c r="BG64" i="1"/>
  <c r="BH64" i="1"/>
  <c r="BG61" i="1"/>
  <c r="BH61" i="1"/>
  <c r="BG62" i="1"/>
  <c r="BH62" i="1"/>
  <c r="BH63" i="1"/>
  <c r="BG63" i="1"/>
  <c r="BG71" i="1"/>
  <c r="BH71" i="1"/>
  <c r="BG72" i="1"/>
  <c r="BH72" i="1"/>
  <c r="BG74" i="1"/>
  <c r="BH74" i="1"/>
  <c r="BG73" i="1"/>
  <c r="BH73" i="1"/>
  <c r="BG70" i="1"/>
  <c r="BH70" i="1"/>
  <c r="Q56" i="1"/>
  <c r="R56" i="1"/>
  <c r="N55" i="1"/>
  <c r="O55" i="1"/>
  <c r="L55" i="1"/>
  <c r="P55" i="1"/>
  <c r="F237" i="1"/>
  <c r="F236" i="1"/>
  <c r="F225" i="1"/>
  <c r="F224" i="1"/>
  <c r="S51" i="1"/>
  <c r="M133" i="1"/>
  <c r="M132" i="1"/>
  <c r="N132" i="1" s="1"/>
  <c r="O132" i="1" s="1"/>
  <c r="P132" i="1" s="1"/>
  <c r="Q132" i="1" s="1"/>
  <c r="N112" i="1"/>
  <c r="O113" i="1"/>
  <c r="AV74" i="1"/>
  <c r="AU74" i="1"/>
  <c r="AV72" i="1"/>
  <c r="AU72" i="1"/>
  <c r="AU70" i="1"/>
  <c r="AV70" i="1"/>
  <c r="N227" i="1"/>
  <c r="AT62" i="1"/>
  <c r="AT63" i="1"/>
  <c r="AT61" i="1"/>
  <c r="AT64" i="1"/>
  <c r="AT65" i="1"/>
  <c r="N229" i="1"/>
  <c r="N217" i="1"/>
  <c r="N221" i="1"/>
  <c r="N231" i="1"/>
  <c r="AU73" i="1"/>
  <c r="AV73" i="1"/>
  <c r="P228" i="1"/>
  <c r="O107" i="1"/>
  <c r="O215" i="1" s="1"/>
  <c r="O219" i="1" s="1"/>
  <c r="P105" i="1"/>
  <c r="O214" i="1"/>
  <c r="O109" i="1"/>
  <c r="B159" i="1"/>
  <c r="S103" i="1"/>
  <c r="D170" i="1" s="1"/>
  <c r="AU71" i="1"/>
  <c r="AV71" i="1"/>
  <c r="AG66" i="1"/>
  <c r="J133" i="1" l="1"/>
  <c r="J132" i="1"/>
  <c r="AD68" i="1"/>
  <c r="AC67" i="1"/>
  <c r="L133" i="1"/>
  <c r="M134" i="1" s="1"/>
  <c r="L132" i="1"/>
  <c r="K133" i="1"/>
  <c r="K132" i="1"/>
  <c r="I14" i="8"/>
  <c r="H34" i="8"/>
  <c r="H36" i="8"/>
  <c r="H18" i="8"/>
  <c r="H20" i="8" s="1"/>
  <c r="H22" i="8" s="1"/>
  <c r="H46" i="8"/>
  <c r="H26" i="8"/>
  <c r="H24" i="8" s="1"/>
  <c r="G38" i="8"/>
  <c r="G42" i="8" s="1"/>
  <c r="G44" i="8"/>
  <c r="G50" i="8" s="1"/>
  <c r="F239" i="1"/>
  <c r="I241" i="1" s="1"/>
  <c r="I123" i="1" s="1"/>
  <c r="I49" i="8"/>
  <c r="H48" i="8"/>
  <c r="BH68" i="1"/>
  <c r="I41" i="8"/>
  <c r="H40" i="8"/>
  <c r="R55" i="1"/>
  <c r="Q55" i="1"/>
  <c r="S55" i="1" s="1"/>
  <c r="S58" i="1" s="1"/>
  <c r="S60" i="1" s="1"/>
  <c r="S64" i="1" s="1"/>
  <c r="Z35" i="1" s="1"/>
  <c r="F73" i="1" s="1"/>
  <c r="BH59" i="1"/>
  <c r="S56" i="1"/>
  <c r="F52" i="8"/>
  <c r="F53" i="8" s="1"/>
  <c r="F27" i="8" s="1"/>
  <c r="F28" i="8" s="1"/>
  <c r="P120" i="1"/>
  <c r="P109" i="1"/>
  <c r="P110" i="1" s="1"/>
  <c r="N237" i="1"/>
  <c r="AV68" i="1"/>
  <c r="AU65" i="1"/>
  <c r="AV65" i="1"/>
  <c r="R132" i="1"/>
  <c r="P107" i="1"/>
  <c r="P215" i="1" s="1"/>
  <c r="P219" i="1" s="1"/>
  <c r="Q105" i="1"/>
  <c r="Q120" i="1" s="1"/>
  <c r="P214" i="1"/>
  <c r="AU64" i="1"/>
  <c r="AV64" i="1"/>
  <c r="N225" i="1"/>
  <c r="N239" i="1" s="1"/>
  <c r="O217" i="1"/>
  <c r="O221" i="1"/>
  <c r="O229" i="1"/>
  <c r="O231" i="1"/>
  <c r="Q228" i="1"/>
  <c r="AU61" i="1"/>
  <c r="AV61" i="1"/>
  <c r="O227" i="1"/>
  <c r="AU63" i="1"/>
  <c r="AV63" i="1"/>
  <c r="O112" i="1"/>
  <c r="O119" i="1" s="1"/>
  <c r="P113" i="1"/>
  <c r="N119" i="1"/>
  <c r="N114" i="1"/>
  <c r="O110" i="1"/>
  <c r="AV62" i="1"/>
  <c r="AU62" i="1"/>
  <c r="AG67" i="1"/>
  <c r="AD69" i="1" l="1"/>
  <c r="AC68" i="1"/>
  <c r="H44" i="8"/>
  <c r="H50" i="8" s="1"/>
  <c r="H38" i="8"/>
  <c r="H42" i="8" s="1"/>
  <c r="K134" i="1"/>
  <c r="L134" i="1"/>
  <c r="I18" i="8"/>
  <c r="I20" i="8" s="1"/>
  <c r="I22" i="8" s="1"/>
  <c r="I46" i="8"/>
  <c r="I26" i="8"/>
  <c r="I24" i="8" s="1"/>
  <c r="I34" i="8"/>
  <c r="J14" i="8"/>
  <c r="I36" i="8"/>
  <c r="I133" i="1"/>
  <c r="J134" i="1" s="1"/>
  <c r="I132" i="1"/>
  <c r="G52" i="8"/>
  <c r="G53" i="8" s="1"/>
  <c r="G27" i="8" s="1"/>
  <c r="G28" i="8" s="1"/>
  <c r="BH56" i="1"/>
  <c r="F61" i="1" s="1"/>
  <c r="F87" i="1" s="1"/>
  <c r="F89" i="1" s="1"/>
  <c r="J49" i="8"/>
  <c r="I48" i="8"/>
  <c r="J41" i="8"/>
  <c r="I40" i="8"/>
  <c r="AV59" i="1"/>
  <c r="AV56" i="1" s="1"/>
  <c r="F59" i="1" s="1"/>
  <c r="F81" i="1" s="1"/>
  <c r="F83" i="1" s="1"/>
  <c r="F85" i="1" s="1"/>
  <c r="O114" i="1"/>
  <c r="O225" i="1"/>
  <c r="R105" i="1"/>
  <c r="R109" i="1" s="1"/>
  <c r="Q107" i="1"/>
  <c r="Q215" i="1" s="1"/>
  <c r="Q219" i="1" s="1"/>
  <c r="Q214" i="1"/>
  <c r="AD70" i="1"/>
  <c r="AC69" i="1"/>
  <c r="P112" i="1"/>
  <c r="Q113" i="1"/>
  <c r="R228" i="1"/>
  <c r="P227" i="1"/>
  <c r="N241" i="1"/>
  <c r="N123" i="1" s="1"/>
  <c r="N117" i="1"/>
  <c r="N118" i="1" s="1"/>
  <c r="N115" i="1"/>
  <c r="N116" i="1"/>
  <c r="Q109" i="1"/>
  <c r="O237" i="1"/>
  <c r="AG68" i="1"/>
  <c r="P221" i="1"/>
  <c r="P217" i="1"/>
  <c r="P229" i="1"/>
  <c r="P231" i="1"/>
  <c r="O117" i="1" l="1"/>
  <c r="O118" i="1" s="1"/>
  <c r="O115" i="1"/>
  <c r="O116" i="1"/>
  <c r="J18" i="8"/>
  <c r="J20" i="8" s="1"/>
  <c r="J22" i="8" s="1"/>
  <c r="J46" i="8"/>
  <c r="J26" i="8"/>
  <c r="J24" i="8" s="1"/>
  <c r="J34" i="8"/>
  <c r="J36" i="8"/>
  <c r="J48" i="8"/>
  <c r="J40" i="8"/>
  <c r="I44" i="8"/>
  <c r="I50" i="8" s="1"/>
  <c r="I38" i="8"/>
  <c r="I42" i="8" s="1"/>
  <c r="P225" i="1"/>
  <c r="H52" i="8"/>
  <c r="H53" i="8" s="1"/>
  <c r="H27" i="8" s="1"/>
  <c r="H28" i="8" s="1"/>
  <c r="N133" i="1"/>
  <c r="N134" i="1" s="1"/>
  <c r="O239" i="1"/>
  <c r="O241" i="1" s="1"/>
  <c r="O123" i="1" s="1"/>
  <c r="P237" i="1"/>
  <c r="S105" i="1"/>
  <c r="R107" i="1"/>
  <c r="R215" i="1" s="1"/>
  <c r="R214" i="1"/>
  <c r="Q112" i="1"/>
  <c r="Q119" i="1" s="1"/>
  <c r="R113" i="1"/>
  <c r="Q221" i="1"/>
  <c r="Q217" i="1"/>
  <c r="Q225" i="1" s="1"/>
  <c r="Q229" i="1"/>
  <c r="Q231" i="1"/>
  <c r="P119" i="1"/>
  <c r="P114" i="1"/>
  <c r="Q110" i="1"/>
  <c r="R110" i="1"/>
  <c r="S109" i="1"/>
  <c r="B160" i="1"/>
  <c r="AC70" i="1"/>
  <c r="AD71" i="1"/>
  <c r="R120" i="1"/>
  <c r="S120" i="1" s="1"/>
  <c r="Q227" i="1"/>
  <c r="AG69" i="1"/>
  <c r="O133" i="1" l="1"/>
  <c r="O134" i="1" s="1"/>
  <c r="J38" i="8"/>
  <c r="J42" i="8" s="1"/>
  <c r="J44" i="8"/>
  <c r="J50" i="8" s="1"/>
  <c r="P239" i="1"/>
  <c r="P241" i="1" s="1"/>
  <c r="P123" i="1" s="1"/>
  <c r="I52" i="8"/>
  <c r="I53" i="8" s="1"/>
  <c r="I27" i="8" s="1"/>
  <c r="I28" i="8" s="1"/>
  <c r="R112" i="1"/>
  <c r="R219" i="1"/>
  <c r="R227" i="1"/>
  <c r="Q237" i="1"/>
  <c r="Q239" i="1" s="1"/>
  <c r="R231" i="1"/>
  <c r="R221" i="1"/>
  <c r="R217" i="1"/>
  <c r="R225" i="1" s="1"/>
  <c r="R229" i="1"/>
  <c r="R237" i="1" s="1"/>
  <c r="P116" i="1"/>
  <c r="P115" i="1"/>
  <c r="P117" i="1"/>
  <c r="P118" i="1" s="1"/>
  <c r="AD72" i="1"/>
  <c r="AC71" i="1"/>
  <c r="Q114" i="1"/>
  <c r="AG70" i="1"/>
  <c r="Q241" i="1" l="1"/>
  <c r="Q123" i="1" s="1"/>
  <c r="P133" i="1"/>
  <c r="P134" i="1" s="1"/>
  <c r="J52" i="8"/>
  <c r="J53" i="8" s="1"/>
  <c r="J27" i="8" s="1"/>
  <c r="J28" i="8" s="1"/>
  <c r="O24" i="8" s="1"/>
  <c r="R119" i="1"/>
  <c r="S112" i="1"/>
  <c r="R114" i="1"/>
  <c r="Q115" i="1"/>
  <c r="Q116" i="1"/>
  <c r="Q117" i="1"/>
  <c r="Q118" i="1" s="1"/>
  <c r="Q133" i="1" s="1"/>
  <c r="R239" i="1"/>
  <c r="R241" i="1" s="1"/>
  <c r="R123" i="1" s="1"/>
  <c r="S123" i="1" s="1"/>
  <c r="AC72" i="1"/>
  <c r="AG71" i="1"/>
  <c r="R115" i="1" l="1"/>
  <c r="S114" i="1"/>
  <c r="R116" i="1"/>
  <c r="R117" i="1"/>
  <c r="R118" i="1" s="1"/>
  <c r="Q134" i="1"/>
  <c r="AG72" i="1"/>
  <c r="F53" i="1" s="1"/>
  <c r="F71" i="1" s="1"/>
  <c r="F74" i="1" s="1"/>
  <c r="F77" i="1" s="1"/>
  <c r="F79" i="1" s="1"/>
  <c r="F91" i="1" s="1"/>
  <c r="O15" i="8" s="1"/>
  <c r="F29" i="8" l="1"/>
  <c r="O20" i="8"/>
  <c r="S118" i="1"/>
  <c r="R133" i="1"/>
  <c r="J83" i="1"/>
  <c r="J70" i="1"/>
  <c r="R142" i="1"/>
  <c r="B173" i="1"/>
  <c r="F30" i="8" l="1"/>
  <c r="G29" i="8"/>
  <c r="R137" i="1"/>
  <c r="S133" i="1"/>
  <c r="R134" i="1"/>
  <c r="B174" i="1"/>
  <c r="B185" i="1"/>
  <c r="B197" i="1"/>
  <c r="B172" i="1"/>
  <c r="L173" i="1"/>
  <c r="D173" i="1"/>
  <c r="I173" i="1"/>
  <c r="M173" i="1"/>
  <c r="K173" i="1"/>
  <c r="J173" i="1"/>
  <c r="R146" i="1"/>
  <c r="O137" i="1"/>
  <c r="I144" i="1"/>
  <c r="N137" i="1"/>
  <c r="I142" i="1" s="1"/>
  <c r="P137" i="1"/>
  <c r="Q137" i="1"/>
  <c r="G30" i="8" l="1"/>
  <c r="H29" i="8"/>
  <c r="I143" i="1"/>
  <c r="I145" i="1" s="1"/>
  <c r="P173" i="1"/>
  <c r="J185" i="1" s="1"/>
  <c r="P185" i="1" s="1"/>
  <c r="P197" i="1" s="1"/>
  <c r="Q173" i="1"/>
  <c r="K185" i="1" s="1"/>
  <c r="Q185" i="1" s="1"/>
  <c r="Q197" i="1" s="1"/>
  <c r="R173" i="1"/>
  <c r="L185" i="1" s="1"/>
  <c r="R185" i="1" s="1"/>
  <c r="R197" i="1" s="1"/>
  <c r="S173" i="1"/>
  <c r="M185" i="1" s="1"/>
  <c r="S185" i="1" s="1"/>
  <c r="S197" i="1" s="1"/>
  <c r="O173" i="1"/>
  <c r="I185" i="1" s="1"/>
  <c r="O185" i="1" s="1"/>
  <c r="O197" i="1" s="1"/>
  <c r="B196" i="1"/>
  <c r="B184" i="1"/>
  <c r="B171" i="1"/>
  <c r="J172" i="1"/>
  <c r="L172" i="1"/>
  <c r="I172" i="1"/>
  <c r="M172" i="1"/>
  <c r="D172" i="1"/>
  <c r="K172" i="1"/>
  <c r="I197" i="1"/>
  <c r="L197" i="1"/>
  <c r="K197" i="1"/>
  <c r="J197" i="1"/>
  <c r="M197" i="1"/>
  <c r="B175" i="1"/>
  <c r="B186" i="1"/>
  <c r="B198" i="1"/>
  <c r="M174" i="1"/>
  <c r="D174" i="1"/>
  <c r="I174" i="1"/>
  <c r="J174" i="1"/>
  <c r="L174" i="1"/>
  <c r="K174" i="1"/>
  <c r="H30" i="8" l="1"/>
  <c r="I29" i="8"/>
  <c r="I152" i="1"/>
  <c r="J144" i="1"/>
  <c r="J143" i="1"/>
  <c r="B187" i="1"/>
  <c r="B199" i="1"/>
  <c r="D175" i="1"/>
  <c r="L175" i="1"/>
  <c r="I175" i="1"/>
  <c r="M175" i="1"/>
  <c r="J175" i="1"/>
  <c r="K175" i="1"/>
  <c r="L196" i="1"/>
  <c r="J196" i="1"/>
  <c r="I196" i="1"/>
  <c r="M196" i="1"/>
  <c r="K196" i="1"/>
  <c r="O172" i="1"/>
  <c r="I184" i="1" s="1"/>
  <c r="O184" i="1" s="1"/>
  <c r="O196" i="1" s="1"/>
  <c r="P172" i="1"/>
  <c r="J184" i="1" s="1"/>
  <c r="P184" i="1" s="1"/>
  <c r="P196" i="1" s="1"/>
  <c r="Q172" i="1"/>
  <c r="K184" i="1" s="1"/>
  <c r="Q184" i="1" s="1"/>
  <c r="Q196" i="1" s="1"/>
  <c r="R172" i="1"/>
  <c r="L184" i="1" s="1"/>
  <c r="R184" i="1" s="1"/>
  <c r="R196" i="1" s="1"/>
  <c r="S172" i="1"/>
  <c r="M184" i="1" s="1"/>
  <c r="S184" i="1" s="1"/>
  <c r="S196" i="1" s="1"/>
  <c r="R174" i="1"/>
  <c r="L186" i="1" s="1"/>
  <c r="R186" i="1" s="1"/>
  <c r="R198" i="1" s="1"/>
  <c r="S174" i="1"/>
  <c r="M186" i="1" s="1"/>
  <c r="S186" i="1" s="1"/>
  <c r="S198" i="1" s="1"/>
  <c r="O174" i="1"/>
  <c r="I186" i="1" s="1"/>
  <c r="O186" i="1" s="1"/>
  <c r="O198" i="1" s="1"/>
  <c r="P174" i="1"/>
  <c r="J186" i="1" s="1"/>
  <c r="P186" i="1" s="1"/>
  <c r="P198" i="1" s="1"/>
  <c r="Q174" i="1"/>
  <c r="K186" i="1" s="1"/>
  <c r="Q186" i="1" s="1"/>
  <c r="Q198" i="1" s="1"/>
  <c r="I198" i="1"/>
  <c r="K198" i="1"/>
  <c r="J198" i="1"/>
  <c r="M198" i="1"/>
  <c r="L198" i="1"/>
  <c r="B195" i="1"/>
  <c r="B183" i="1"/>
  <c r="D171" i="1"/>
  <c r="K171" i="1"/>
  <c r="L171" i="1"/>
  <c r="M171" i="1"/>
  <c r="I171" i="1"/>
  <c r="J171" i="1"/>
  <c r="J142" i="1"/>
  <c r="I30" i="8" l="1"/>
  <c r="J29" i="8"/>
  <c r="I155" i="1"/>
  <c r="I157" i="1" s="1"/>
  <c r="K149" i="1"/>
  <c r="K151" i="1"/>
  <c r="K147" i="1"/>
  <c r="K148" i="1"/>
  <c r="K142" i="1"/>
  <c r="J145" i="1"/>
  <c r="K143" i="1"/>
  <c r="K144" i="1"/>
  <c r="O171" i="1"/>
  <c r="I183" i="1" s="1"/>
  <c r="O183" i="1" s="1"/>
  <c r="O195" i="1" s="1"/>
  <c r="P171" i="1"/>
  <c r="J183" i="1" s="1"/>
  <c r="P183" i="1" s="1"/>
  <c r="P195" i="1" s="1"/>
  <c r="Q171" i="1"/>
  <c r="K183" i="1" s="1"/>
  <c r="Q183" i="1" s="1"/>
  <c r="Q195" i="1" s="1"/>
  <c r="R171" i="1"/>
  <c r="L183" i="1" s="1"/>
  <c r="R183" i="1" s="1"/>
  <c r="R195" i="1" s="1"/>
  <c r="S171" i="1"/>
  <c r="M183" i="1" s="1"/>
  <c r="S183" i="1" s="1"/>
  <c r="S195" i="1" s="1"/>
  <c r="S175" i="1"/>
  <c r="M187" i="1" s="1"/>
  <c r="S187" i="1" s="1"/>
  <c r="S199" i="1" s="1"/>
  <c r="P175" i="1"/>
  <c r="J187" i="1" s="1"/>
  <c r="P187" i="1" s="1"/>
  <c r="P199" i="1" s="1"/>
  <c r="Q175" i="1"/>
  <c r="K187" i="1" s="1"/>
  <c r="Q187" i="1" s="1"/>
  <c r="Q199" i="1" s="1"/>
  <c r="O175" i="1"/>
  <c r="I187" i="1" s="1"/>
  <c r="O187" i="1" s="1"/>
  <c r="O199" i="1" s="1"/>
  <c r="R175" i="1"/>
  <c r="L187" i="1" s="1"/>
  <c r="R187" i="1" s="1"/>
  <c r="R199" i="1" s="1"/>
  <c r="I195" i="1"/>
  <c r="K195" i="1"/>
  <c r="J195" i="1"/>
  <c r="M195" i="1"/>
  <c r="L195" i="1"/>
  <c r="K199" i="1"/>
  <c r="L199" i="1"/>
  <c r="J199" i="1"/>
  <c r="I199" i="1"/>
  <c r="M199" i="1"/>
  <c r="O21" i="8" l="1"/>
  <c r="J30" i="8"/>
  <c r="O22" i="8" s="1"/>
  <c r="K145" i="1"/>
  <c r="K152" i="1" s="1"/>
  <c r="O25" i="8" l="1"/>
  <c r="O26" i="8" s="1"/>
  <c r="O27" i="8" l="1"/>
  <c r="O28" i="8" l="1"/>
  <c r="O34"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Bagga, Nandan</author>
    <author>Shah, Hetashree</author>
    <author>Training The Street</author>
    <author>S&amp;P GMI</author>
  </authors>
  <commentList>
    <comment ref="F50" authorId="0" shapeId="0" xr:uid="{9C3144F6-77A5-4FB6-AAAE-5880442F9C63}">
      <text>
        <r>
          <rPr>
            <sz val="9"/>
            <color indexed="81"/>
            <rFont val="Tahoma"/>
            <family val="2"/>
          </rPr>
          <t>Average of Effective Tax Rate for Last 5 Fiscal Years. Please adjust as you see fit.</t>
        </r>
      </text>
    </comment>
    <comment ref="F53" authorId="0" shapeId="0" xr:uid="{47770CB4-8D2C-437B-AE6A-FA5D362A92C7}">
      <text>
        <r>
          <rPr>
            <sz val="9"/>
            <color indexed="81"/>
            <rFont val="Tahoma"/>
            <family val="2"/>
          </rPr>
          <t>Average of Last 10 Years of Yearly Price Returns for the selected Index. Please adjust as you see fit.</t>
        </r>
      </text>
    </comment>
    <comment ref="F58" authorId="0" shapeId="0" xr:uid="{15E2688D-5E85-4DAD-AB07-E55882CBFA17}">
      <text>
        <r>
          <rPr>
            <sz val="9"/>
            <color indexed="81"/>
            <rFont val="Tahoma"/>
            <family val="2"/>
          </rPr>
          <t>Arbitrary Number</t>
        </r>
      </text>
    </comment>
    <comment ref="F59" authorId="0" shapeId="0" xr:uid="{F9E345CA-819D-4FED-9FD4-B6D1824C46FD}">
      <text>
        <r>
          <rPr>
            <sz val="9"/>
            <color indexed="81"/>
            <rFont val="Tahoma"/>
            <family val="2"/>
          </rPr>
          <t>Average of Yields of 5 Most Recently Issued Bonds. Please adjust as you see fit.</t>
        </r>
      </text>
    </comment>
    <comment ref="F61" authorId="0" shapeId="0" xr:uid="{37FECD7C-E73B-4285-A46B-BC1F3632399C}">
      <text>
        <r>
          <rPr>
            <sz val="9"/>
            <color indexed="81"/>
            <rFont val="Tahoma"/>
            <family val="2"/>
          </rPr>
          <t>Average of Coupons of all Preferred Fixed Income instruments.  Please adjust as you see fit.</t>
        </r>
      </text>
    </comment>
    <comment ref="B112" authorId="1" shapeId="0" xr:uid="{38A9E3A5-59A1-458F-B3AF-2444ED9EED04}">
      <text>
        <r>
          <rPr>
            <b/>
            <sz val="9"/>
            <color indexed="81"/>
            <rFont val="Tahoma"/>
            <family val="2"/>
          </rPr>
          <t>S&amp;P Cap IQ Pro:</t>
        </r>
        <r>
          <rPr>
            <sz val="9"/>
            <color indexed="81"/>
            <rFont val="Tahoma"/>
            <family val="2"/>
          </rPr>
          <t xml:space="preserve">
Includes Net Rental Expense for GAAP filers</t>
        </r>
      </text>
    </comment>
    <comment ref="U113" authorId="2" shapeId="0" xr:uid="{00000000-0006-0000-0200-000001000000}">
      <text>
        <r>
          <rPr>
            <b/>
            <sz val="10"/>
            <color indexed="81"/>
            <rFont val="Tahoma"/>
            <family val="2"/>
          </rPr>
          <t xml:space="preserve">Training The Street:
</t>
        </r>
        <r>
          <rPr>
            <sz val="6"/>
            <color indexed="81"/>
            <rFont val="Tahoma"/>
            <family val="2"/>
          </rPr>
          <t xml:space="preserve">
</t>
        </r>
        <r>
          <rPr>
            <b/>
            <u/>
            <sz val="9"/>
            <color indexed="81"/>
            <rFont val="Tahoma"/>
            <family val="2"/>
          </rPr>
          <t>Steady state indicator:</t>
        </r>
        <r>
          <rPr>
            <sz val="9"/>
            <color indexed="81"/>
            <rFont val="Tahoma"/>
            <family val="2"/>
          </rPr>
          <t xml:space="preserve">
● Shows when a company is only sustaining its capital investments rather than expanding them
    –   All new spending in a year goes to replacing fixed assets lost from depreciation 
● Notice that depreciation is 100% of capital expenditures</t>
        </r>
      </text>
    </comment>
    <comment ref="R144" authorId="3" shapeId="0" xr:uid="{00000000-0006-0000-0200-000002000000}">
      <text>
        <r>
          <rPr>
            <b/>
            <sz val="9"/>
            <color indexed="81"/>
            <rFont val="Tahoma"/>
            <family val="2"/>
          </rPr>
          <t>S&amp;P GMI:</t>
        </r>
        <r>
          <rPr>
            <sz val="9"/>
            <color indexed="81"/>
            <rFont val="Tahoma"/>
            <family val="2"/>
          </rPr>
          <t xml:space="preserve">
TEV/EBITDA. Please adjust as you see fit.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<sst xmlns="http://schemas.openxmlformats.org/spreadsheetml/2006/main" count="6608" uniqueCount="5626">
  <si>
    <t>WACC</t>
  </si>
  <si>
    <t>Market Risk Premium (Rm - Rf)</t>
  </si>
  <si>
    <t>Adjusted Market Risk Premium</t>
  </si>
  <si>
    <t>Add: Size Premium</t>
  </si>
  <si>
    <t>Cost of Equity</t>
  </si>
  <si>
    <t>Cost of Equity Portion</t>
  </si>
  <si>
    <t>After-Tax Cost of Debt</t>
  </si>
  <si>
    <t>Cost of Debt Portion</t>
  </si>
  <si>
    <t>Cost of Preferred Portion</t>
  </si>
  <si>
    <t>Add: Risk-Free Rate of Return (Rf)(1)</t>
  </si>
  <si>
    <t>Tax Rate (5 Year Average)</t>
  </si>
  <si>
    <t>10y US T-Note</t>
  </si>
  <si>
    <t>ALL</t>
  </si>
  <si>
    <t>S&amp;P 500</t>
  </si>
  <si>
    <t>ASSUMPTIONS</t>
  </si>
  <si>
    <t>Size Premium</t>
  </si>
  <si>
    <t>Instructions:</t>
  </si>
  <si>
    <t>Contact:</t>
  </si>
  <si>
    <t>Phone:</t>
  </si>
  <si>
    <t>Currency</t>
  </si>
  <si>
    <t>Magnitude</t>
  </si>
  <si>
    <t>Email:</t>
  </si>
  <si>
    <t>Currency Conversion Method</t>
  </si>
  <si>
    <t>Currency Name</t>
  </si>
  <si>
    <t>ISO Code</t>
  </si>
  <si>
    <t>Symbol</t>
  </si>
  <si>
    <t>Mag.</t>
  </si>
  <si>
    <t>U.S. Dollar</t>
  </si>
  <si>
    <t>USD</t>
  </si>
  <si>
    <t>$</t>
  </si>
  <si>
    <t>000</t>
  </si>
  <si>
    <t>Euro</t>
  </si>
  <si>
    <t>EUR</t>
  </si>
  <si>
    <t>€</t>
  </si>
  <si>
    <t>British Pound Sterling</t>
  </si>
  <si>
    <t>GBP</t>
  </si>
  <si>
    <t>£</t>
  </si>
  <si>
    <t>Japanese Yen</t>
  </si>
  <si>
    <t>JPY</t>
  </si>
  <si>
    <t>¥</t>
  </si>
  <si>
    <t>M</t>
  </si>
  <si>
    <t>AED</t>
  </si>
  <si>
    <t>Dhs.</t>
  </si>
  <si>
    <t>Afghan Afghani</t>
  </si>
  <si>
    <t>AFN</t>
  </si>
  <si>
    <t>Albanian Lek</t>
  </si>
  <si>
    <t>Argentine Peso</t>
  </si>
  <si>
    <t>ARS</t>
  </si>
  <si>
    <t>AR$</t>
  </si>
  <si>
    <t>Armenian Dram</t>
  </si>
  <si>
    <t>AMD</t>
  </si>
  <si>
    <t>dr</t>
  </si>
  <si>
    <t>Australian Dollar</t>
  </si>
  <si>
    <t>AUD</t>
  </si>
  <si>
    <t>AU$</t>
  </si>
  <si>
    <t>Azerbaijani Manat</t>
  </si>
  <si>
    <t>AZN</t>
  </si>
  <si>
    <t>m</t>
  </si>
  <si>
    <t>Bahamian Dollar</t>
  </si>
  <si>
    <t>BSD</t>
  </si>
  <si>
    <t>B$</t>
  </si>
  <si>
    <t>Bahraini Dinar</t>
  </si>
  <si>
    <t>BHD</t>
  </si>
  <si>
    <t>BD</t>
  </si>
  <si>
    <t>Bangladeshi Taka</t>
  </si>
  <si>
    <t>BDT</t>
  </si>
  <si>
    <t>Bt.</t>
  </si>
  <si>
    <t>Belarusian Ruble</t>
  </si>
  <si>
    <t>BYN</t>
  </si>
  <si>
    <t>Br</t>
  </si>
  <si>
    <t>Bosnian Convertible Marks</t>
  </si>
  <si>
    <t>BAM</t>
  </si>
  <si>
    <t>KM</t>
  </si>
  <si>
    <t>Brazilian Real</t>
  </si>
  <si>
    <t>BRL</t>
  </si>
  <si>
    <t>R$</t>
  </si>
  <si>
    <t>Bulgarian Lev</t>
  </si>
  <si>
    <t>BGN</t>
  </si>
  <si>
    <t>Cambodian Riel</t>
  </si>
  <si>
    <t>KHR</t>
  </si>
  <si>
    <t>៛</t>
  </si>
  <si>
    <t>Canadian Dollar</t>
  </si>
  <si>
    <t>CAD</t>
  </si>
  <si>
    <t>C$</t>
  </si>
  <si>
    <t>Chilean Peso</t>
  </si>
  <si>
    <t>CLP</t>
  </si>
  <si>
    <t>CL$</t>
  </si>
  <si>
    <t>Chinese Yuan Renminbi</t>
  </si>
  <si>
    <t>CNY</t>
  </si>
  <si>
    <t>CN¥</t>
  </si>
  <si>
    <t>Colombian Peso</t>
  </si>
  <si>
    <t>COP</t>
  </si>
  <si>
    <t>Col$</t>
  </si>
  <si>
    <t>Costa Rican Colon</t>
  </si>
  <si>
    <t>CRC</t>
  </si>
  <si>
    <t>¢</t>
  </si>
  <si>
    <t>Croatian Kuna</t>
  </si>
  <si>
    <t>HRK</t>
  </si>
  <si>
    <t>kn</t>
  </si>
  <si>
    <t>Czech Koruna</t>
  </si>
  <si>
    <t>CZK</t>
  </si>
  <si>
    <t>Kc</t>
  </si>
  <si>
    <t>Danish Krone</t>
  </si>
  <si>
    <t>DKK</t>
  </si>
  <si>
    <t>Dkr</t>
  </si>
  <si>
    <t>Dominican Peso</t>
  </si>
  <si>
    <t>DOP</t>
  </si>
  <si>
    <t>RD$</t>
  </si>
  <si>
    <t>Egyptian Pound</t>
  </si>
  <si>
    <t>EGP</t>
  </si>
  <si>
    <t>£E.</t>
  </si>
  <si>
    <t>Georgian Lari</t>
  </si>
  <si>
    <t>GEL</t>
  </si>
  <si>
    <t>ლ</t>
  </si>
  <si>
    <t>Guatemalan Quetzal</t>
  </si>
  <si>
    <t>GTQ</t>
  </si>
  <si>
    <t>Q.</t>
  </si>
  <si>
    <t>Honduran Lempira</t>
  </si>
  <si>
    <t>HNL</t>
  </si>
  <si>
    <t>L.</t>
  </si>
  <si>
    <t>Hong Kong Dollar</t>
  </si>
  <si>
    <t>HKD</t>
  </si>
  <si>
    <t>HK$</t>
  </si>
  <si>
    <t>Hungarian Forint</t>
  </si>
  <si>
    <t>HUF</t>
  </si>
  <si>
    <t>Ft.</t>
  </si>
  <si>
    <t>Icelandic Krona</t>
  </si>
  <si>
    <t>ISK</t>
  </si>
  <si>
    <t>kr</t>
  </si>
  <si>
    <t>Indian Rupee</t>
  </si>
  <si>
    <t>INR</t>
  </si>
  <si>
    <t>Rs.</t>
  </si>
  <si>
    <t>Indonesian Rupiah</t>
  </si>
  <si>
    <t>IDR</t>
  </si>
  <si>
    <t>Rp.</t>
  </si>
  <si>
    <t>Jordanian Dinar</t>
  </si>
  <si>
    <t>JOD</t>
  </si>
  <si>
    <t>JD</t>
  </si>
  <si>
    <t>Kazakhstan Tenge</t>
  </si>
  <si>
    <t>KZT</t>
  </si>
  <si>
    <t>Kenyan Shilling</t>
  </si>
  <si>
    <t>KES</t>
  </si>
  <si>
    <t>Kshs.</t>
  </si>
  <si>
    <t>Kuwaiti Dinar</t>
  </si>
  <si>
    <t>KWD</t>
  </si>
  <si>
    <t>KD</t>
  </si>
  <si>
    <t>Kyrgyzstani Som</t>
  </si>
  <si>
    <t>KGS</t>
  </si>
  <si>
    <t>лв</t>
  </si>
  <si>
    <t>Macedonian Denar</t>
  </si>
  <si>
    <t>MKD</t>
  </si>
  <si>
    <t>Malaysian Ringgit</t>
  </si>
  <si>
    <t>MYR</t>
  </si>
  <si>
    <t>RM</t>
  </si>
  <si>
    <t>Mexican Peso</t>
  </si>
  <si>
    <t>MXN</t>
  </si>
  <si>
    <t>Mex$</t>
  </si>
  <si>
    <t>Moldovan Leu</t>
  </si>
  <si>
    <t>MDL</t>
  </si>
  <si>
    <t>Mongolian Tugrik</t>
  </si>
  <si>
    <t>MNT</t>
  </si>
  <si>
    <t>₮</t>
  </si>
  <si>
    <t>Moroccan Dirham</t>
  </si>
  <si>
    <t>MAD</t>
  </si>
  <si>
    <t>د.م.</t>
  </si>
  <si>
    <t>New Israeli Shekel</t>
  </si>
  <si>
    <t>ILS</t>
  </si>
  <si>
    <t>₪</t>
  </si>
  <si>
    <t>New Taiwan Dollar</t>
  </si>
  <si>
    <t>TWD</t>
  </si>
  <si>
    <t>NT$</t>
  </si>
  <si>
    <t>New Zealand Dollar</t>
  </si>
  <si>
    <t>NZD</t>
  </si>
  <si>
    <t>NZ$</t>
  </si>
  <si>
    <t>Norwegian Krone</t>
  </si>
  <si>
    <t>NOK</t>
  </si>
  <si>
    <t>NKr</t>
  </si>
  <si>
    <t>Omani Rial</t>
  </si>
  <si>
    <t>OMR</t>
  </si>
  <si>
    <t>RO</t>
  </si>
  <si>
    <t>Pakistani Rupee</t>
  </si>
  <si>
    <t>PKR</t>
  </si>
  <si>
    <t>Rs</t>
  </si>
  <si>
    <t>Panamanian Balboa</t>
  </si>
  <si>
    <t>PAB</t>
  </si>
  <si>
    <t>B</t>
  </si>
  <si>
    <t>Peruvian Sol</t>
  </si>
  <si>
    <t>PEN</t>
  </si>
  <si>
    <t>S/.</t>
  </si>
  <si>
    <t>Philippine Peso</t>
  </si>
  <si>
    <t>PHP</t>
  </si>
  <si>
    <t>Polish Zloty</t>
  </si>
  <si>
    <t>PLN</t>
  </si>
  <si>
    <t>zl</t>
  </si>
  <si>
    <t>Qatari Rial</t>
  </si>
  <si>
    <t>QAR</t>
  </si>
  <si>
    <t>ر.ق</t>
  </si>
  <si>
    <t>Romanian Leu</t>
  </si>
  <si>
    <t>RON</t>
  </si>
  <si>
    <t>L</t>
  </si>
  <si>
    <t>Russian Ruble</t>
  </si>
  <si>
    <t>RUB</t>
  </si>
  <si>
    <t>Samoan Tala</t>
  </si>
  <si>
    <t>WST</t>
  </si>
  <si>
    <t>WS$</t>
  </si>
  <si>
    <t>Saudi Riyal</t>
  </si>
  <si>
    <t>SAR</t>
  </si>
  <si>
    <t>SR</t>
  </si>
  <si>
    <t>Serbian Dinar</t>
  </si>
  <si>
    <t>RSD</t>
  </si>
  <si>
    <t>Singapore Dollar</t>
  </si>
  <si>
    <t>SGD</t>
  </si>
  <si>
    <t>S$</t>
  </si>
  <si>
    <t>South African Rand</t>
  </si>
  <si>
    <t>ZAR</t>
  </si>
  <si>
    <t>R</t>
  </si>
  <si>
    <t>South Korean Won</t>
  </si>
  <si>
    <t>KRW</t>
  </si>
  <si>
    <t>₩</t>
  </si>
  <si>
    <t>Sri Lanka Rupee</t>
  </si>
  <si>
    <t>LKR</t>
  </si>
  <si>
    <t>₨</t>
  </si>
  <si>
    <t>Swedish Krona</t>
  </si>
  <si>
    <t>SEK</t>
  </si>
  <si>
    <t>Swiss Franc</t>
  </si>
  <si>
    <t>CHF</t>
  </si>
  <si>
    <t>SFr.</t>
  </si>
  <si>
    <t>Tajik Somoni</t>
  </si>
  <si>
    <t>TJS</t>
  </si>
  <si>
    <t>TJR</t>
  </si>
  <si>
    <t>Thai Baht</t>
  </si>
  <si>
    <t>THB</t>
  </si>
  <si>
    <t>฿</t>
  </si>
  <si>
    <t>Tunisian Dinar</t>
  </si>
  <si>
    <t>TND</t>
  </si>
  <si>
    <t>د.ت</t>
  </si>
  <si>
    <t>Turkish Lira</t>
  </si>
  <si>
    <t>TRY</t>
  </si>
  <si>
    <t>TL</t>
  </si>
  <si>
    <t>Turkmenistan Manat</t>
  </si>
  <si>
    <t>TMT</t>
  </si>
  <si>
    <t>Ukraine Hryvnia</t>
  </si>
  <si>
    <t>UAH</t>
  </si>
  <si>
    <t>Uzbekistani Som</t>
  </si>
  <si>
    <t>UZS</t>
  </si>
  <si>
    <t>Vietnam Dong</t>
  </si>
  <si>
    <t>VND</t>
  </si>
  <si>
    <t>₫</t>
  </si>
  <si>
    <t>units</t>
  </si>
  <si>
    <t>Actuals</t>
  </si>
  <si>
    <t/>
  </si>
  <si>
    <t>Thousands</t>
  </si>
  <si>
    <t>Millions</t>
  </si>
  <si>
    <t>Billions</t>
  </si>
  <si>
    <t>Trillions</t>
  </si>
  <si>
    <t>T</t>
  </si>
  <si>
    <t>Conv. Method</t>
  </si>
  <si>
    <t>Most recent spot rate</t>
  </si>
  <si>
    <t>MRSpot</t>
  </si>
  <si>
    <t xml:space="preserve">Financials Reported Currency Code </t>
  </si>
  <si>
    <t>Effective Tax Rate (%)</t>
  </si>
  <si>
    <t>Market Capitalization</t>
  </si>
  <si>
    <t xml:space="preserve">Institution Name </t>
  </si>
  <si>
    <t xml:space="preserve">Funding Type </t>
  </si>
  <si>
    <t>Dividend Rate (%)</t>
  </si>
  <si>
    <t>Trade Date (mm/dd/yyyy)</t>
  </si>
  <si>
    <t>MSCI AC World (USD)</t>
  </si>
  <si>
    <t>MSCI US IMI Financials</t>
  </si>
  <si>
    <t>Russell 1000</t>
  </si>
  <si>
    <t>Russell 2000</t>
  </si>
  <si>
    <t>Russell 3000</t>
  </si>
  <si>
    <t>S&amp;P 500 Financials</t>
  </si>
  <si>
    <t xml:space="preserve">Trading Symbol &amp; Exchange </t>
  </si>
  <si>
    <t>--END QUERY--</t>
  </si>
  <si>
    <t>Institution Name</t>
  </si>
  <si>
    <t xml:space="preserve">SNL Institution Key </t>
  </si>
  <si>
    <t>Notes:</t>
  </si>
  <si>
    <t>except the following parameters:</t>
  </si>
  <si>
    <t>Uae Dirham</t>
  </si>
  <si>
    <t>VES</t>
  </si>
  <si>
    <t>Bs. S</t>
  </si>
  <si>
    <t>BETA CALCULATION</t>
  </si>
  <si>
    <t>Name</t>
  </si>
  <si>
    <t>Tax Rate</t>
  </si>
  <si>
    <t>Average</t>
  </si>
  <si>
    <t>Average Unlevered Beta for Comps</t>
  </si>
  <si>
    <t>WACC SENSITIVITY ANALYSIS</t>
  </si>
  <si>
    <t>D/(D+P+E)</t>
  </si>
  <si>
    <t>Pre-Tax Cost of Debt</t>
  </si>
  <si>
    <t>E/(D+P+E)</t>
  </si>
  <si>
    <t>IQ_TOTAL_PREF_EQUITY</t>
  </si>
  <si>
    <t>SP_MARKETCAP</t>
  </si>
  <si>
    <t>IQ_EFFECT_TAX_RATE</t>
  </si>
  <si>
    <t>SP_TICKER_EXCHANGE</t>
  </si>
  <si>
    <t>SP_ENTITY_NAME</t>
  </si>
  <si>
    <t>SP_COMPANY_ID</t>
  </si>
  <si>
    <t>IQ_CURRENCY_FINANCIALS</t>
  </si>
  <si>
    <t>WACC_Debt</t>
  </si>
  <si>
    <t>IQ_TOTAL_DEBT</t>
  </si>
  <si>
    <t>Pre-Tax Cost of Debt Step</t>
  </si>
  <si>
    <t>D/(D+P+E) Step</t>
  </si>
  <si>
    <t>Cost of Equity Step</t>
  </si>
  <si>
    <t>E/(D+P+E) Step</t>
  </si>
  <si>
    <t>PAD: ON</t>
  </si>
  <si>
    <t xml:space="preserve"> </t>
  </si>
  <si>
    <t>Beta Selection</t>
  </si>
  <si>
    <t>1 = Bottom-Up Beta</t>
  </si>
  <si>
    <t>2 = Regression Beta</t>
  </si>
  <si>
    <t>(1) Unlevered Beta = Levered Beta / ( 1 + ((D/E) * (1 - T)) + P/E)</t>
  </si>
  <si>
    <t>(2) Levered Beta = Unlevered Beta * ( 1 + ((D/E) * (1 - T)) + P/E)</t>
  </si>
  <si>
    <t>MIStandard</t>
  </si>
  <si>
    <t>MIrecommended</t>
  </si>
  <si>
    <t>MI Recommended</t>
  </si>
  <si>
    <t>MSCI EAFE</t>
  </si>
  <si>
    <t>MSCI Europe</t>
  </si>
  <si>
    <t>MSCI World</t>
  </si>
  <si>
    <t>A) Risk-Free Rate of Return (Rf) – Pulls in 10y/5y US T-Note yield for most recent traded day.</t>
  </si>
  <si>
    <t>B) Average of last 5 issued bonds is based on most recent issuance.</t>
  </si>
  <si>
    <t>Index List</t>
  </si>
  <si>
    <t>S&amp;P 400 Mid Cap</t>
  </si>
  <si>
    <t>S&amp;P 600 Small Cap</t>
  </si>
  <si>
    <t>NASDAQ</t>
  </si>
  <si>
    <t>NYSE</t>
  </si>
  <si>
    <t>S&amp;P TSX Composite</t>
  </si>
  <si>
    <t>EURO STOXX</t>
  </si>
  <si>
    <t>STOXX Europe 600</t>
  </si>
  <si>
    <t>Amsterdam Exchange Index</t>
  </si>
  <si>
    <t>Athex Composite</t>
  </si>
  <si>
    <t>Austrian Traded Index</t>
  </si>
  <si>
    <t>BEL20</t>
  </si>
  <si>
    <t>CAC 40</t>
  </si>
  <si>
    <t>FTSE 100 (GBP)</t>
  </si>
  <si>
    <t>BELEX15</t>
  </si>
  <si>
    <t>Portuguese Stock Index-20</t>
  </si>
  <si>
    <t>OMX Riga All Share</t>
  </si>
  <si>
    <t>OMX Vilnius All Share</t>
  </si>
  <si>
    <t>PFTS Index</t>
  </si>
  <si>
    <t>Slovak Share Index</t>
  </si>
  <si>
    <t>Bucharest Exchange Trading</t>
  </si>
  <si>
    <t>Malta Stock Exchange Index</t>
  </si>
  <si>
    <t>CSI 300 Index</t>
  </si>
  <si>
    <t>Tokyo Price Index</t>
  </si>
  <si>
    <t>Hang Seng Index</t>
  </si>
  <si>
    <t>Hang Seng China Enterprises Index</t>
  </si>
  <si>
    <t>ASX100</t>
  </si>
  <si>
    <t>BSE India Sensex 30 Index</t>
  </si>
  <si>
    <t>Korea Composite Stock Price Index</t>
  </si>
  <si>
    <t>Taiwan Stock Exchange Index</t>
  </si>
  <si>
    <t>SET Index</t>
  </si>
  <si>
    <t>SET100</t>
  </si>
  <si>
    <t>SET50 Index</t>
  </si>
  <si>
    <t>Philippines Exchange Composite Index</t>
  </si>
  <si>
    <t>Sri Lanka CSE All Share</t>
  </si>
  <si>
    <t>Pakistan KSE 100</t>
  </si>
  <si>
    <t>Vietnam Hanoi HNX index</t>
  </si>
  <si>
    <t>IBEX 35</t>
  </si>
  <si>
    <t>ISEQ Overall</t>
  </si>
  <si>
    <t>Luxembourg LuxX</t>
  </si>
  <si>
    <t>FTSE MIB</t>
  </si>
  <si>
    <t>Nikkei 225</t>
  </si>
  <si>
    <t>NZX 50</t>
  </si>
  <si>
    <t>Oslo Stock Exchange OBX</t>
  </si>
  <si>
    <t>OMX Copenhagen 20</t>
  </si>
  <si>
    <t>OMX Helsinki 25</t>
  </si>
  <si>
    <t>OMX Stockholm 30</t>
  </si>
  <si>
    <t>S&amp;P ASX 200</t>
  </si>
  <si>
    <t>Straits Times Index</t>
  </si>
  <si>
    <t>Swiss Market Index</t>
  </si>
  <si>
    <t>Warsaw Stock Exchange WIG</t>
  </si>
  <si>
    <t>Budapest Stock Exchange Index</t>
  </si>
  <si>
    <t>SOFIX Index</t>
  </si>
  <si>
    <t>PX Index</t>
  </si>
  <si>
    <t>Utd Arab Emirates DFM Index</t>
  </si>
  <si>
    <t>SAT All Share Index</t>
  </si>
  <si>
    <t>Kuwait KSX 15</t>
  </si>
  <si>
    <t>Bahrain All Share</t>
  </si>
  <si>
    <t>Egypt EGX 30</t>
  </si>
  <si>
    <t>Qatar QE Index</t>
  </si>
  <si>
    <t>Bermuda Royal Gazette/BSX</t>
  </si>
  <si>
    <t>Malawi All Share Index</t>
  </si>
  <si>
    <t>Mauritius SEMDEX</t>
  </si>
  <si>
    <t>TTSE Composite Index</t>
  </si>
  <si>
    <t>Venezuela IBC General</t>
  </si>
  <si>
    <t>Zambia LUSE All Share</t>
  </si>
  <si>
    <t>NAMIBIA FTSE/JSE OVERALL</t>
  </si>
  <si>
    <t>Estonia OMXT</t>
  </si>
  <si>
    <t>Palestine General</t>
  </si>
  <si>
    <t>DSE Broad Index</t>
  </si>
  <si>
    <t>Uganda All Share Index</t>
  </si>
  <si>
    <t>IPSA</t>
  </si>
  <si>
    <t>INMEX</t>
  </si>
  <si>
    <t>FTSE/JSE Africa All Share</t>
  </si>
  <si>
    <t>Disclaimer:</t>
  </si>
  <si>
    <t>2) Current market capitalization data is used in the calculation of equity.</t>
  </si>
  <si>
    <t>Discounted Cash Flow Analysis</t>
  </si>
  <si>
    <t>PROJECTED CASH FLOWS</t>
  </si>
  <si>
    <t>Total Revenue</t>
  </si>
  <si>
    <t>Annual Growth</t>
  </si>
  <si>
    <t>Cost of Revenue</t>
  </si>
  <si>
    <t>Margin</t>
  </si>
  <si>
    <t>EBITDA</t>
  </si>
  <si>
    <t>Less: Depreciation and Amortization</t>
  </si>
  <si>
    <t>% of Capital Expenditure</t>
  </si>
  <si>
    <t>EBIT</t>
  </si>
  <si>
    <t>Less: Income Taxes</t>
  </si>
  <si>
    <t>Unlevered Net Income</t>
  </si>
  <si>
    <t>Plus: Depreciation and Amortization</t>
  </si>
  <si>
    <t>Less: Additions to Intangibles</t>
  </si>
  <si>
    <t>Less: Increase in Working Capital</t>
  </si>
  <si>
    <t>Unlevered Free Cash Flow</t>
  </si>
  <si>
    <t>PV of Yearly Cash Flows</t>
  </si>
  <si>
    <t>CAGR</t>
  </si>
  <si>
    <t>DCF Assumptions</t>
  </si>
  <si>
    <t>% of TEV</t>
  </si>
  <si>
    <t>% of MVE</t>
  </si>
  <si>
    <t>Weighted Average Cost of Capital</t>
  </si>
  <si>
    <t>Terminal EBITDA Multiple</t>
  </si>
  <si>
    <t>Less:</t>
  </si>
  <si>
    <t>Total Debt</t>
  </si>
  <si>
    <t>Preferred Stock</t>
  </si>
  <si>
    <t>Minority Interest</t>
  </si>
  <si>
    <t>Plus:</t>
  </si>
  <si>
    <t>Cash and Equivalents</t>
  </si>
  <si>
    <t>Implied Per Share Value</t>
  </si>
  <si>
    <t>Current Price</t>
  </si>
  <si>
    <t>Premium/(Discount) to Current Price</t>
  </si>
  <si>
    <t>(2) Implied Perpetual Growth Rate of FCF = [(Terminal EBITDA)*(Terminal EBITDA Multiple)*(WACC) - (Terminal Year FCF)] / [(Terminal EBITDA)*(Terminal EBITDA Multiple) + (Terminal Year FCF)]</t>
  </si>
  <si>
    <t>Change in Trad. Asset Securities</t>
  </si>
  <si>
    <t>Change in Acc. Receivable</t>
  </si>
  <si>
    <t>Change in Inventories</t>
  </si>
  <si>
    <t>Change in Acc. Payable</t>
  </si>
  <si>
    <t>Change in Unearned Rev.</t>
  </si>
  <si>
    <t>Change in Def. Taxes</t>
  </si>
  <si>
    <t>Change in Other Net Operating Assets</t>
  </si>
  <si>
    <t>Step</t>
  </si>
  <si>
    <t>Discount Factor:</t>
  </si>
  <si>
    <t>1 = As Reported on the Cash Flow</t>
  </si>
  <si>
    <t>2 = Calculated via WC Schedule</t>
  </si>
  <si>
    <t>Latest FYE</t>
  </si>
  <si>
    <t>Latest FQE</t>
  </si>
  <si>
    <t>Today</t>
  </si>
  <si>
    <t>Days Remaining in FY</t>
  </si>
  <si>
    <t>SENSITIVITY ANALYSIS</t>
  </si>
  <si>
    <t>Discounted</t>
  </si>
  <si>
    <t>Present Value of Terminal Value</t>
  </si>
  <si>
    <t>Present Value of Enterprise Value</t>
  </si>
  <si>
    <t>WACC Step</t>
  </si>
  <si>
    <t>CF</t>
  </si>
  <si>
    <t>EBITDA Exit Multiple</t>
  </si>
  <si>
    <t>Exit Multiple Step</t>
  </si>
  <si>
    <t>+</t>
  </si>
  <si>
    <t>=</t>
  </si>
  <si>
    <t>Equity Value per Share</t>
  </si>
  <si>
    <t>at</t>
  </si>
  <si>
    <t>Divided</t>
  </si>
  <si>
    <t>By</t>
  </si>
  <si>
    <t>-</t>
  </si>
  <si>
    <t>Implied Perpetual Growth Rate of FCF</t>
  </si>
  <si>
    <t>Premium/(Discount) to Current Price per Share</t>
  </si>
  <si>
    <t>=&gt;</t>
  </si>
  <si>
    <t>(1) Equals Total Debt plus Preferred Equity plus Minority Interest Less Cash and Equivalents.</t>
  </si>
  <si>
    <t>WORKING CAPITAL SCHEDULE</t>
  </si>
  <si>
    <t>Accounts Receivable</t>
  </si>
  <si>
    <t>Receivable Days</t>
  </si>
  <si>
    <t>Inventory</t>
  </si>
  <si>
    <t>Inventory Days</t>
  </si>
  <si>
    <t>Other Current Assets</t>
  </si>
  <si>
    <t>Total Non-Cash Current Assets</t>
  </si>
  <si>
    <t>Accounts Payable</t>
  </si>
  <si>
    <t>Payable Days</t>
  </si>
  <si>
    <t>Accrued Liabilities</t>
  </si>
  <si>
    <t>Other Current Liabilities</t>
  </si>
  <si>
    <t>(Increase) / Decrease in Working Capital</t>
  </si>
  <si>
    <t>January</t>
  </si>
  <si>
    <t>February</t>
  </si>
  <si>
    <t>March</t>
  </si>
  <si>
    <t>April</t>
  </si>
  <si>
    <t>May</t>
  </si>
  <si>
    <t>June</t>
  </si>
  <si>
    <t>July</t>
  </si>
  <si>
    <t>August</t>
  </si>
  <si>
    <t>September</t>
  </si>
  <si>
    <t>October</t>
  </si>
  <si>
    <t>November</t>
  </si>
  <si>
    <t>December</t>
  </si>
  <si>
    <t>Cash and Cash Equivalents</t>
  </si>
  <si>
    <t>SP_SHARES_OUT</t>
  </si>
  <si>
    <t>TEV</t>
  </si>
  <si>
    <t>IQ_EBITDA</t>
  </si>
  <si>
    <t>SP_PRICE_CLOSE</t>
  </si>
  <si>
    <t>Day Close Price</t>
  </si>
  <si>
    <t>IQ_TOTAL_CA</t>
  </si>
  <si>
    <t>IQ_CASH_ST_INVEST</t>
  </si>
  <si>
    <t>Total Current Assets</t>
  </si>
  <si>
    <t>Cash &amp; Short Term Investments</t>
  </si>
  <si>
    <t>IQ_TOTAL_CL</t>
  </si>
  <si>
    <t>Total Current Liabilities</t>
  </si>
  <si>
    <t>Short-term Borrowings</t>
  </si>
  <si>
    <t>Shares Outstanding (actual)</t>
  </si>
  <si>
    <t>Total Non-Debt Current Liabilities</t>
  </si>
  <si>
    <t>SP_COGS</t>
  </si>
  <si>
    <t>IQ_CAPEX</t>
  </si>
  <si>
    <t>IQ_SALE_INTAN_CF</t>
  </si>
  <si>
    <t>IQ_CHANGE_TRADING_ASSETS</t>
  </si>
  <si>
    <t>IQ_CHANGE_AR</t>
  </si>
  <si>
    <t>IQ_CHANGE_INVENTORY</t>
  </si>
  <si>
    <t>IQ_CHANGE_AP</t>
  </si>
  <si>
    <t>IQ_CHANGE_UNEARN_REV</t>
  </si>
  <si>
    <t>IQ_CHANGE_INC_TAX</t>
  </si>
  <si>
    <t>IQ_CHANGE_DEF_TAX</t>
  </si>
  <si>
    <t>IQ_CHANGE_OTHER_NET_OPER_ASSETS</t>
  </si>
  <si>
    <t>IQ_AP</t>
  </si>
  <si>
    <t>IQ_AE</t>
  </si>
  <si>
    <t>IQ_ST_DEBT</t>
  </si>
  <si>
    <t>IQ_CURRENT_PORT_DEBT</t>
  </si>
  <si>
    <t>IQ_MINORITY_INTEREST</t>
  </si>
  <si>
    <t>IQ_TOTAL_REV</t>
  </si>
  <si>
    <t>IQ_INVENTORY</t>
  </si>
  <si>
    <t>IQ_TOTAL_RECEIV</t>
  </si>
  <si>
    <t>SP_COMPANY_NAME_ABBR</t>
  </si>
  <si>
    <t>Company Name, Abbreviated</t>
  </si>
  <si>
    <t>Shares</t>
  </si>
  <si>
    <t>Date Today</t>
  </si>
  <si>
    <t>Date of Last Refresh</t>
  </si>
  <si>
    <t>IQ_PERIOD_END</t>
  </si>
  <si>
    <t>IQ_CASH_EQUIV</t>
  </si>
  <si>
    <t>Δ Working Cap. Reference:</t>
  </si>
  <si>
    <t>Format: mm/dd/yyyy</t>
  </si>
  <si>
    <t>Aug</t>
  </si>
  <si>
    <t>Dec</t>
  </si>
  <si>
    <t>Mar</t>
  </si>
  <si>
    <t>Jun</t>
  </si>
  <si>
    <t>No.</t>
  </si>
  <si>
    <t>Jan</t>
  </si>
  <si>
    <t>Feb</t>
  </si>
  <si>
    <t>Apr</t>
  </si>
  <si>
    <t>Jul</t>
  </si>
  <si>
    <t>Sep</t>
  </si>
  <si>
    <t>Oct</t>
  </si>
  <si>
    <t>Nov</t>
  </si>
  <si>
    <t>Odd Fiscal Period Logic</t>
  </si>
  <si>
    <t>{"clientContext":null,"conversionInformation":null,"enforceItemEntitlements":false,"extensionPropertiesJson":"{\"UserDefinedFormulas\":[],\"HideQueryFilter\":false}","functionRequests":[{"conversionInfo":null,"enableSourceTagging":false,"enforceItemEntitlements":false,"fields":null,"functionId":0,"groupBy":null,"groupByField":null,"ignoreCache":false,"keys":null,"operationType":22,"perspective":"275259","propDataUserContext":null,"query":{"baseCompany":null,"conversionInformation":{"keyCurrency":"USD","measurementStandard":0,"conversionMode":0,"magnitudeOverride":null,"keyForeignLanguage":null,"keyForeignLanguageSecondary":null,"dataLanguage":"en-US","culture":null,"requestCulture":null,"nullValue":"NA","headerCurrency":null,"dataSource":null},"countsQuery":false,"dateCreated":"2019-12-17T04:41:42.337-05:00","keyPerspective":"275259","name":"WACC_Debt","queryFilters":[{"filterGroupId":"8085","filterGroupIdReplace":"","caption":"Transaction Type","groupType":2,"optionType":1,"formOrder":10,"minimumVersion":"","maximumVersion":"","onlineServicesEnabled":false,"column":0,"columnFormOrder":10,"criteriaIdName":"","required":true,"dateDefaultType":"","criteriaItemList":[{"keyOptionId":"8086","caption":"All Transaction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8087","caption":"M&amp;A","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8088","caption":"Acquisition of Whole Company (incl. Majority Stake)","isDefault":true,"maskCriteriaOnly":false,"definition":"","keyProductQueryItem":"299101","comparisonOperation":0,"comparisonValue":"5","minimumVersion":"","maximumVersion":"","formOrder":0,"lowerBound":null,"enabled":true,"mask":"","largeMask":"","maskKey":"","keyItemMaskOfField":null,"keyOptionIdReplace":"","relatedOptionIds":[],"onlineServices":[],"childCriteriaItemList":[],"clientContextJson":""},{"keyOptionId":"8089","caption":"Acquisition of Minority Stake","isDefault":true,"maskCriteriaOnly":false,"definition":"","keyProductQueryItem":"299101","comparisonOperation":0,"comparisonValue":"6","minimumVersion":"","maximumVersion":"","formOrder":0,"lowerBound":null,"enabled":true,"mask":"","largeMask":"","maskKey":"","keyItemMaskOfField":null,"keyOptionIdReplace":"","relatedOptionIds":[],"onlineServices":[],"childCriteriaItemList":[],"clientContextJson":""},{"keyOptionId":"8090","caption":"Acquisition of Asset or Branch","isDefault":true,"maskCriteriaOnly":false,"definition":"","keyProductQueryItem":"299101","comparisonOperation":0,"comparisonValue":"7","minimumVersion":"","maximumVersion":"","formOrder":0,"lowerBound":null,"enabled":true,"mask":"","largeMask":"","maskKey":"","keyItemMaskOfField":null,"keyOptionIdReplace":"","relatedOptionIds":[],"onlineServices":[],"childCriteriaItemList":[],"clientContextJson":""},{"keyOptionId":"9742","caption":"Spinoff or Splitoff","isDefault":true,"maskCriteriaOnly":false,"definition":"","keyProductQueryItem":"299101","comparisonOperation":0,"comparisonValue":"21","minimumVersion":"","maximumVersion":"","formOrder":0,"lowerBound":null,"enabled":true,"mask":"","largeMask":"","maskKey":"","keyItemMaskOfField":null,"keyOptionIdReplace":"","relatedOptionIds":[],"onlineServices":[],"childCriteriaItemList":[],"clientContextJson":""}],"clientContextJson":""},{"keyOptionId":"8091","caption":"Equity Capital Market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8092","caption":"Initial Public Offering","isDefault":true,"maskCriteriaOnly":false,"definition":"","keyProductQueryItem":"299101","comparisonOperation":0,"comparisonValue":"8","minimumVersion":"","maximumVersion":"","formOrder":0,"lowerBound":null,"enabled":true,"mask":"","largeMask":"","maskKey":"","keyItemMaskOfField":null,"keyOptionIdReplace":"","relatedOptionIds":[],"onlineServices":[],"childCriteriaItemList":[],"clientContextJson":""},{"keyOptionId":"8093","caption":"Follow-on","isDefault":true,"maskCriteriaOnly":false,"definition":"","keyProductQueryItem":"299101","comparisonOperation":0,"comparisonValue":"9","minimumVersion":"","maximumVersion":"","formOrder":0,"lowerBound":null,"enabled":true,"mask":"","largeMask":"","maskKey":"","keyItemMaskOfField":null,"keyOptionIdReplace":"","relatedOptionIds":[],"onlineServices":[],"childCriteriaItemList":[],"clientContextJson":""},{"keyOptionId":"8094","caption":"Convertible","isDefault":true,"maskCriteriaOnly":false,"definition":"","keyProductQueryItem":"299101","comparisonOperation":0,"comparisonValue":"10","minimumVersion":"","maximumVersion":"","formOrder":0,"lowerBound":null,"enabled":true,"mask":"","largeMask":"","maskKey":"","keyItemMaskOfField":null,"keyOptionIdReplace":"","relatedOptionIds":[],"onlineServices":[],"childCriteriaItemList":[],"clientContextJson":""}],"clientContextJson":""},{"keyOptionId":"8095","caption":"Debt Capital Market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8096","caption":"Preferred Security","isDefault":true,"maskCriteriaOnly":false,"definition":"","keyProductQueryItem":"299101","comparisonOperation":0,"comparisonValue":"11","minimumVersion":"","maximumVersion":"","formOrder":0,"lowerBound":null,"enabled":true,"mask":"","largeMask":"","maskKey":"","keyItemMaskOfField":null,"keyOptionIdReplace":"","relatedOptionIds":[],"onlineServices":[],"childCriteriaItemList":[],"clientContextJson":""},{"keyOptionId":"8097","caption":"Non-convertible Debt","isDefault":true,"maskCriteriaOnly":false,"definition":"","keyProductQueryItem":"299101","comparisonOperation":0,"comparisonValue":"12","minimumVersion":"","maximumVersion":"","formOrder":0,"lowerBound":null,"enabled":true,"mask":"","largeMask":"","maskKey":"","keyItemMaskOfField":null,"keyOptionIdReplace":"","relatedOptionIds":[],"onlineServices":[],"childCriteriaItemList":[],"clientContextJson":""}],"clientContextJson":""},{"keyOptionId":"8098","caption":"Rounds of Funding","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9745","caption":"Early Stage","isDefault":false,"maskCriteriaOnly":true,"definition":"","keyProductQueryItem":"","comparisonOperation":n</t>
  </si>
  <si>
    <t>ull,"comparisonValue":"","minimumVersion":"","maximumVersion":"","formOrder":0,"lowerBound":null,"enabled":true,"mask":"","largeMask":"","maskKey":"","keyItemMaskOfField":null,"keyOptionIdReplace":"","relatedOptionIds":[],"onlineServices":[],"childCriteriaItemList":[{"keyOptionId":"9746","caption":"Angel","isDefault":false,"maskCriteriaOnly":false,"definition":"","keyProductQueryItem":"299101","comparisonOperation":0,"comparisonValue":"32","minimumVersion":"","maximumVersion":"","formOrder":0,"lowerBound":null,"enabled":true,"mask":"","largeMask":"","maskKey":"","keyItemMaskOfField":null,"keyOptionIdReplace":"","relatedOptionIds":[],"onlineServices":[],"childCriteriaItemList":[],"clientContextJson":""},{"keyOptionId":"9747","caption":"Pre-Seed","isDefault":false,"maskCriteriaOnly":false,"definition":"","keyProductQueryItem":"299101","comparisonOperation":0,"comparisonValue":"33","minimumVersion":"","maximumVersion":"","formOrder":0,"lowerBound":null,"enabled":true,"mask":"","largeMask":"","maskKey":"","keyItemMaskOfField":null,"keyOptionIdReplace":"","relatedOptionIds":[],"onlineServices":[],"childCriteriaItemList":[],"clientContextJson":""},{"keyOptionId":"9748","caption":"Seed","isDefault":false,"maskCriteriaOnly":false,"definition":"","keyProductQueryItem":"299101","comparisonOperation":0,"comparisonValue":"34","minimumVersion":"","maximumVersion":"","formOrder":0,"lowerBound":null,"enabled":true,"mask":"","largeMask":"","maskKey":"","keyItemMaskOfField":null,"keyOptionIdReplace":"","relatedOptionIds":[],"onlineServices":[],"childCriteriaItemList":[],"clientContextJson":""},{"keyOptionId":"9749","caption":"Crowdfunding","isDefault":false,"maskCriteriaOnly":false,"definition":"","keyProductQueryItem":"299101","comparisonOperation":0,"comparisonValue":"35","minimumVersion":"","maximumVersion":"","formOrder":0,"lowerBound":null,"enabled":true,"mask":"","largeMask":"","maskKey":"","keyItemMaskOfField":null,"keyOptionIdReplace":"","relatedOptionIds":[],"onlineServices":[],"childCriteriaItemList":[],"clientContextJson":""},{"keyOptionId":"9750","caption":"Accelerator","isDefault":false,"maskCriteriaOnly":false,"definition":"","keyProductQueryItem":"299101","comparisonOperation":0,"comparisonValue":"36","minimumVersion":"","maximumVersion":"","formOrder":0,"lowerBound":null,"enabled":true,"mask":"","largeMask":"","maskKey":"","keyItemMaskOfField":null,"keyOptionIdReplace":"","relatedOptionIds":[],"onlineServices":[],"childCriteriaItemList":[],"clientContextJson":""}],"clientContextJson":""},{"keyOptionId":"9751","caption":"Venture","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9752","caption":"Pre-Series A","isDefault":false,"maskCriteriaOnly":false,"definition":"","keyProductQueryItem":"299101","comparisonOperation":0,"comparisonValue":"37","minimumVersion":"","maximumVersion":"","formOrder":0,"lowerBound":null,"enabled":true,"mask":"","largeMask":"","maskKey":"","keyItemMaskOfField":null,"keyOptionIdReplace":"","relatedOptionIds":[],"onlineServices":[],"childCriteriaItemList":[],"clientContextJson":""},{"keyOptionId":"9753","caption":"Series A","isDefault":false,"maskCriteriaOnly":false,"definition":"","keyProductQueryItem":"299101","comparisonOperation":0,"comparisonValue":"38","minimumVersion":"","maximumVersion":"","formOrder":0,"lowerBound":null,"enabled":true,"mask":"","largeMask":"","maskKey":"","keyItemMaskOfField":null,"keyOptionIdReplace":"","relatedOptionIds":[],"onlineServices":[],"childCriteriaItemList":[],"clientContextJson":""},{"keyOptionId":"9754","caption":"Pre-Series B","isDefault":false,"maskCriteriaOnly":false,"definition":"","keyProductQueryItem":"299101","comparisonOperation":0,"comparisonValue":"39","minimumVersion":"","maximumVersion":"","formOrder":0,"lowerBound":null,"enabled":true,"mask":"","largeMask":"","maskKey":"","keyItemMaskOfField":null,"keyOptionIdReplace":"","relatedOptionIds":[],"onlineServices":[],"childCriteriaItemList":[],"clientContextJson":""},{"keyOptionId":"9755","caption":"Series B","isDefault":false,"maskCriteriaOnly":false,"definition":"","keyProductQueryItem":"299101","comparisonOperation":0,"comparisonValue":"40","minimumVersion":"","maximumVersion":"","formOrder":0,"lowerBound":null,"enabled":true,"mask":"","largeMask":"","maskKey":"","keyItemMaskOfField":null,"keyOptionIdReplace":"","relatedOptionIds":[],"onlineServices":[],"childCriteriaItemList":[],"clientContextJson":""},{"keyOptionId":"9756","caption":"Venture (Age of Company &lt; 5 Years)","isDefault":false,"maskCriteriaOnly":false,"definition":"","keyProductQueryItem":"299101","comparisonOperation":0,"comparisonValue":"41","minimumVersion":"","maximumVersion":"","formOrder":0,"lowerBound":null,"enabled":true,"mask":"","largeMask":"","maskKey":"","keyItemMaskOfField":null,"keyOptionIdReplace":"","relatedOptionIds":[],"onlineServices":[],"childCriteriaItemList":[],"clientContextJson":""}],"clientContextJson":""},{"keyOptionId":"9757","caption":"Growth","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9758","caption":"Series C","isDefault":false,"maskCriteriaOnly":false,"definition":"","keyProductQueryItem":"299101","comparisonOperation":0,"comparisonValue":"42","minimumVersion":"","maximumVersion":"","formOrder":0,"lowerBound":null,"enabled":true,"mask":"","largeMask":"","maskKey":"","keyItemMaskOfField":null,"keyOptionIdReplace":"","relatedOptionIds":[],"onlineServices":[],"childCriteriaItemList":[],"clientContextJson":""},{"keyOptionId":"9759","caption":"Series D","isDefault":false,"maskCriteriaOnly":false,"definition":"","keyProductQueryItem":"299101","comparisonOperation":0,"comparisonValue":"43","minimumVersion":"","maximumVersion":"","formOrder":0,"lowerBound":null,"enabled":true,"mask":"","largeMask":"","maskKey":"","keyItemMaskOfField":null,"keyOptionIdReplace":"","relatedOptionIds":[],"onlineServices":[],"childCriteriaItemList":[],"clientContextJson":""},{"keyOptionId":"9760","caption":"Series E","isDefault":false,"maskCriteriaOnly":false,"definition":"","keyProductQueryItem":"299101","comparisonOperation":0,"comparisonValue":"44","minimumVersion":"","maximumVersion":"","formOrder":0,"lowerBound":null,"enabled":true,"mask":"","largeMask":"","maskKey":"","keyItemMaskOfField":null,"keyOptionIdReplace":"","relatedOptionIds":[],"onlineServices":[],"childCriteriaItemList":[],"clientContextJson":""},{"keyOptionId":"9761","caption":"Growth (Age of Company 5-7 Years)","isDefault":false,"maskCriteriaOnly":false,"definition":"","keyProductQueryItem":"299101","comparisonOperation":0,"comparisonValue":"45","minimumVersion":"","maximumVersion":"","formOrder":0,"lowerBound":null,"enabled":true,"mask":"","largeMask":"","maskKey":"","keyItemMaskOfField":null,"keyOptionIdReplace":"","relatedOptionIds":[],"onlineServices":[],"childCriteriaItemList":[],"clientContextJson":""}],"clientContextJson":""},{"keyOptionId":"9762","caption":"Mature","isDefault":false,"maskCriteriaOnly":true,"definition":"","keyProductQueryItem":"","comparisonOperation":null,"comparisonValue":"","minimumVe</t>
  </si>
  <si>
    <t>rsion":"","maximumVersion":"","formOrder":0,"lowerBound":null,"enabled":true,"mask":"","largeMask":"","maskKey":"","keyItemMaskOfField":null,"keyOptionIdReplace":"","relatedOptionIds":[],"onlineServices":[],"childCriteriaItemList":[{"keyOptionId":"9763","caption":"Series F","isDefault":false,"maskCriteriaOnly":false,"definition":"","keyProductQueryItem":"299101","comparisonOperation":0,"comparisonValue":"46","minimumVersion":"","maximumVersion":"","formOrder":0,"lowerBound":null,"enabled":true,"mask":"","largeMask":"","maskKey":"","keyItemMaskOfField":null,"keyOptionIdReplace":"","relatedOptionIds":[],"onlineServices":[],"childCriteriaItemList":[],"clientContextJson":""},{"keyOptionId":"9764","caption":"Series G","isDefault":false,"maskCriteriaOnly":false,"definition":"","keyProductQueryItem":"299101","comparisonOperation":0,"comparisonValue":"47","minimumVersion":"","maximumVersion":"","formOrder":0,"lowerBound":null,"enabled":true,"mask":"","largeMask":"","maskKey":"","keyItemMaskOfField":null,"keyOptionIdReplace":"","relatedOptionIds":[],"onlineServices":[],"childCriteriaItemList":[],"clientContextJson":""},{"keyOptionId":"9765","caption":"Series H","isDefault":false,"maskCriteriaOnly":false,"definition":"","keyProductQueryItem":"299101","comparisonOperation":0,"comparisonValue":"48","minimumVersion":"","maximumVersion":"","formOrder":0,"lowerBound":null,"enabled":true,"mask":"","largeMask":"","maskKey":"","keyItemMaskOfField":null,"keyOptionIdReplace":"","relatedOptionIds":[],"onlineServices":[],"childCriteriaItemList":[],"clientContextJson":""},{"keyOptionId":"9766","caption":"Series I","isDefault":false,"maskCriteriaOnly":false,"definition":"","keyProductQueryItem":"299101","comparisonOperation":0,"comparisonValue":"49","minimumVersion":"","maximumVersion":"","formOrder":0,"lowerBound":null,"enabled":true,"mask":"","largeMask":"","maskKey":"","keyItemMaskOfField":null,"keyOptionIdReplace":"","relatedOptionIds":[],"onlineServices":[],"childCriteriaItemList":[],"clientContextJson":""},{"keyOptionId":"9767","caption":"Series J","isDefault":false,"maskCriteriaOnly":false,"definition":"","keyProductQueryItem":"299101","comparisonOperation":0,"comparisonValue":"50","minimumVersion":"","maximumVersion":"","formOrder":0,"lowerBound":null,"enabled":true,"mask":"","largeMask":"","maskKey":"","keyItemMaskOfField":null,"keyOptionIdReplace":"","relatedOptionIds":[],"onlineServices":[],"childCriteriaItemList":[],"clientContextJson":""},{"keyOptionId":"9768","caption":"Series K+","isDefault":false,"maskCriteriaOnly":false,"definition":"","keyProductQueryItem":"299101","comparisonOperation":0,"comparisonValue":"51","minimumVersion":"","maximumVersion":"","formOrder":0,"lowerBound":null,"enabled":true,"mask":"","largeMask":"","maskKey":"","keyItemMaskOfField":null,"keyOptionIdReplace":"","relatedOptionIds":[],"onlineServices":[],"childCriteriaItemList":[],"clientContextJson":""},{"keyOptionId":"9769","caption":"Mature (Age of Company &gt; 7 Years)","isDefault":false,"maskCriteriaOnly":false,"definition":"","keyProductQueryItem":"299101","comparisonOperation":0,"comparisonValue":"52","minimumVersion":"","maximumVersion":"","formOrder":0,"lowerBound":null,"enabled":true,"mask":"","largeMask":"","maskKey":"","keyItemMaskOfField":null,"keyOptionIdReplace":"","relatedOptionIds":[],"onlineServices":[],"childCriteriaItemList":[],"clientContextJson":""}],"clientContextJson":""},{"keyOptionId":"9770","caption":"Debt","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9771","caption":"Non-Convertible Debt","isDefault":false,"maskCriteriaOnly":false,"definition":"","keyProductQueryItem":"299101","comparisonOperation":0,"comparisonValue":"53","minimumVersion":"","maximumVersion":"","formOrder":0,"lowerBound":null,"enabled":true,"mask":"","largeMask":"","maskKey":"","keyItemMaskOfField":null,"keyOptionIdReplace":"","relatedOptionIds":[],"onlineServices":[],"childCriteriaItemList":[],"clientContextJson":""},{"keyOptionId":"9772","caption":"Convertible Debt","isDefault":false,"maskCriteriaOnly":false,"definition":"","keyProductQueryItem":"299101","comparisonOperation":0,"comparisonValue":"54","minimumVersion":"","maximumVersion":"","formOrder":0,"lowerBound":null,"enabled":true,"mask":"","largeMask":"","maskKey":"","keyItemMaskOfField":null,"keyOptionIdReplace":"","relatedOptionIds":[],"onlineServices":[],"childCriteriaItemList":[],"clientContextJson":""},{"keyOptionId":"9773","caption":"Bridge","isDefault":false,"maskCriteriaOnly":false,"definition":"","keyProductQueryItem":"299101","comparisonOperation":0,"comparisonValue":"55","minimumVersion":"","maximumVersion":"","formOrder":0,"lowerBound":null,"enabled":true,"mask":"","largeMask":"","maskKey":"","keyItemMaskOfField":null,"keyOptionIdReplace":"","relatedOptionIds":[],"onlineServices":[],"childCriteriaItemList":[],"clientContextJson":""}],"clientContextJson":""}],"clientContextJson":""},{"keyOptionId":"8103","caption":"Shelf Registration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8104","caption":"Common Equity","isDefault":true,"maskCriteriaOnly":false,"definition":"","keyProductQueryItem":"299101","comparisonOperation":0,"comparisonValue":"17","minimumVersion":"","maximumVersion":"","formOrder":0,"lowerBound":null,"enabled":true,"mask":"","largeMask":"","maskKey":"","keyItemMaskOfField":null,"keyOptionIdReplace":"","relatedOptionIds":[],"onlineServices":[],"childCriteriaItemList":[],"clientContextJson":""},{"keyOptionId":"8105","caption":"Preferred Security","isDefault":true,"maskCriteriaOnly":false,"definition":"","keyProductQueryItem":"299101","comparisonOperation":0,"comparisonValue":"18","minimumVersion":"","maximumVersion":"","formOrder":0,"lowerBound":null,"enabled":true,"mask":"","largeMask":"","maskKey":"","keyItemMaskOfField":null,"keyOptionIdReplace":"","relatedOptionIds":[],"onlineServices":[],"childCriteriaItemList":[],"clientContextJson":""},{"keyOptionId":"8106","caption":"Convertible","isDefault":true,"maskCriteriaOnly":false,"definition":"","keyProductQueryItem":"299101","comparisonOperation":0,"comparisonValue":"19","minimumVersion":"","maximumVersion":"","formOrder":0,"lowerBound":null,"enabled":true,"mask":"","largeMask":"","maskKey":"","keyItemMaskOfField":null,"keyOptionIdReplace":"","relatedOptionIds":[],"onlineServices":[],"childCriteriaItemList":[],"clientContextJson":""},{"keyOptionId":"8107","caption":"Non-convertible Debt","isDefault":true,"maskCriteriaOnly":false,"definition":"","keyProductQueryItem":"299101","comparisonOperation":0,"comparisonValue":"20","minimumVersion":"","maximumVersion":"","formOrder":0,"lowerBound":null,"enabled":true,"mask":"","largeMask":"","maskKey":"","keyItemMaskOfField":null,"keyOptionIdReplace":"","relatedOptionIds":[],"onlineServices":[],"childCriteriaItemList":[],"clientContextJson":""}],"clientContextJson":""},{"keyOptionId":"9743","caption":"Buyback","isDefault":true,"maskCriteriaOnly":false,"definition":"","keyProductQueryItem":"299101","comparisonOperation":0,"comparisonValue</t>
  </si>
  <si>
    <t>":"22","minimumVersion":"","maximumVersion":"","formOrder":0,"lowerBound":null,"enabled":true,"mask":"","largeMask":"","maskKey":"","keyItemMaskOfField":null,"keyOptionIdReplace":"","relatedOptionIds":[],"onlineServices":[],"childCriteriaItemList":[],"clientContextJson":""}],"clientContextJson":""}]},{"filterGroupId":"8723","filterGroupIdReplace":"","caption":"Target/Issuer Primary Industry","groupType":2,"optionType":1,"formOrder":20,"minimumVersion":"","maximumVersion":"","onlineServicesEnabled":true,"column":0,"columnFormOrder":20,"criteriaIdName":"","required":true,"dateDefaultType":"","criteriaItemList":[{"keyOptionId":"8724","caption":"All","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8725","caption":"Financial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8726","caption":"Banking","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8727","caption":"Bank","isDefault":true,"maskCriteriaOnly":false,"definition":"","keyProductQueryItem":"305790","comparisonOperation":0,"comparisonValue":"3","minimumVersion":"","maximumVersion":"","formOrder":0,"lowerBound":null,"enabled":true,"mask":"","largeMask":"","maskKey":"","keyItemMaskOfField":null,"keyOptionIdReplace":"","relatedOptionIds":[],"onlineServices":[],"childCriteriaItemList":[],"clientContextJson":""},{"keyOptionId":"8728","caption":"Credit Unions and Mutuals","isDefault":true,"maskCriteriaOnly":false,"definition":"","keyProductQueryItem":"305790","comparisonOperation":0,"comparisonValue":"4","minimumVersion":"","maximumVersion":"","formOrder":0,"lowerBound":null,"enabled":true,"mask":"","largeMask":"","maskKey":"","keyItemMaskOfField":null,"keyOptionIdReplace":"","relatedOptionIds":[],"onlineServices":[],"childCriteriaItemList":[],"clientContextJson":""},{"keyOptionId":"8729","caption":"Development Bank","isDefault":true,"maskCriteriaOnly":false,"definition":"","keyProductQueryItem":"305790","comparisonOperation":0,"comparisonValue":"5","minimumVersion":"","maximumVersion":"","formOrder":0,"lowerBound":null,"enabled":true,"mask":"","largeMask":"","maskKey":"","keyItemMaskOfField":null,"keyOptionIdReplace":"","relatedOptionIds":[],"onlineServices":[],"childCriteriaItemList":[],"clientContextJson":""},{"keyOptionId":"8730","caption":"Central Banks","isDefault":true,"maskCriteriaOnly":false,"definition":"","keyProductQueryItem":"305790","comparisonOperation":0,"comparisonValue":"6","minimumVersion":"","maximumVersion":"","formOrder":0,"lowerBound":null,"enabled":true,"mask":"","largeMask":"","maskKey":"","keyItemMaskOfField":null,"keyOptionIdReplace":"","relatedOptionIds":[],"onlineServices":[],"childCriteriaItemList":[],"clientContextJson":""}],"clientContextJson":""},{"keyOptionId":"8731","caption":"Insurance","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8732","caption":"Insurance Underwriter","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8733","caption":"Multiline","isDefault":true,"maskCriteriaOnly":false,"definition":"","keyProductQueryItem":"305790","comparisonOperation":0,"comparisonValue":"9","minimumVersion":"","maximumVersion":"","formOrder":0,"lowerBound":null,"enabled":true,"mask":"","largeMask":"","maskKey":"","keyItemMaskOfField":null,"keyOptionIdReplace":"","relatedOptionIds":[],"onlineServices":[],"childCriteriaItemList":[],"clientContextJson":""},{"keyOptionId":"8734","caption":"Property and Casualty","isDefault":true,"maskCriteriaOnly":false,"definition":"","keyProductQueryItem":"305790","comparisonOperation":0,"comparisonValue":"10","minimumVersion":"","maximumVersion":"","formOrder":0,"lowerBound":null,"enabled":true,"mask":"","largeMask":"","maskKey":"","keyItemMaskOfField":null,"keyOptionIdReplace":"","relatedOptionIds":[],"onlineServices":[],"childCriteriaItemList":[],"clientContextJson":""},{"keyOptionId":"8735","caption":"Life and Health","isDefault":true,"maskCriteriaOnly":false,"definition":"","keyProductQueryItem":"305790","comparisonOperation":0,"comparisonValue":"11","minimumVersion":"","maximumVersion":"","formOrder":0,"lowerBound":null,"enabled":true,"mask":"","largeMask":"","maskKey":"","keyItemMaskOfField":null,"keyOptionIdReplace":"","relatedOptionIds":[],"onlineServices":[],"childCriteriaItemList":[],"clientContextJson":""},{"keyOptionId":"8736","caption":"Title","isDefault":true,"maskCriteriaOnly":false,"definition":"","keyProductQueryItem":"305790","comparisonOperation":0,"comparisonValue":"12","minimumVersion":"","maximumVersion":"","formOrder":0,"lowerBound":null,"enabled":true,"mask":"","largeMask":"","maskKey":"","keyItemMaskOfField":null,"keyOptionIdReplace":"","relatedOptionIds":[],"onlineServices":[],"childCriteriaItemList":[],"clientContextJson":""},{"keyOptionId":"8737","caption":"Mortgage Guaranty","isDefault":true,"maskCriteriaOnly":false,"definition":"","keyProductQueryItem":"305790","comparisonOperation":0,"comparisonValue":"13","minimumVersion":"","maximumVersion":"","formOrder":0,"lowerBound":null,"enabled":true,"mask":"","largeMask":"","maskKey":"","keyItemMaskOfField":null,"keyOptionIdReplace":"","relatedOptionIds":[],"onlineServices":[],"childCriteriaItemList":[],"clientContextJson":""},{"keyOptionId":"8738","caption":"Financial Guaranty","isDefault":true,"maskCriteriaOnly":false,"definition":"","keyProductQueryItem":"305790","comparisonOperation":0,"comparisonValue":"14","minimumVersion":"","maximumVersion":"","formOrder":0,"lowerBound":null,"enabled":true,"mask":"","largeMask":"","maskKey":"","keyItemMaskOfField":null,"keyOptionIdReplace":"","relatedOptionIds":[],"onlineServices":[],"childCriteriaItemList":[],"clientContextJson":""},{"keyOptionId":"8739","caption":"Managed Care","isDefault":true,"maskCriteriaOnly":false,"definition":"","keyProductQueryItem":"305790","comparisonOperation":0,"comparisonValue":"15","minimumVersion":"","maximumVersion":"","formOrder":0,"lowerBound":null,"enabled":true,"mask":"","largeMask":"","maskKey":"","keyItemMaskOfField":null,"keyOptionIdReplace":"","relatedOptionIds":[],"onlineServices":[],"childCriteriaItemList":</t>
  </si>
  <si>
    <t>[],"clientContextJson":""},{"keyOptionId":"8740","caption":"Reinsurance","isDefault":true,"maskCriteriaOnly":false,"definition":"","keyProductQueryItem":"305790","comparisonOperation":0,"comparisonValue":"16","minimumVersion":"","maximumVersion":"","formOrder":0,"lowerBound":null,"enabled":true,"mask":"","largeMask":"","maskKey":"","keyItemMaskOfField":null,"keyOptionIdReplace":"","relatedOptionIds":[],"onlineServices":[],"childCriteriaItemList":[],"clientContextJson":""}],"clientContextJson":""},{"keyOptionId":"8741","caption":"Insurance Broker","isDefault":true,"maskCriteriaOnly":false,"definition":"","keyProductQueryItem":"305790","comparisonOperation":0,"comparisonValue":"17","minimumVersion":"","maximumVersion":"","formOrder":0,"lowerBound":null,"enabled":true,"mask":"","largeMask":"","maskKey":"","keyItemMaskOfField":null,"keyOptionIdReplace":"","relatedOptionIds":[],"onlineServices":[],"childCriteriaItemList":[],"clientContextJson":""},{"keyOptionId":"8742","caption":"Lloyd's Syndicate","isDefault":true,"maskCriteriaOnly":false,"definition":"","keyProductQueryItem":"305790","comparisonOperation":0,"comparisonValue":"18","minimumVersion":"","maximumVersion":"","formOrder":0,"lowerBound":null,"enabled":true,"mask":"","largeMask":"","maskKey":"","keyItemMaskOfField":null,"keyOptionIdReplace":"","relatedOptionIds":[],"onlineServices":[],"childCriteriaItemList":[],"clientContextJson":""}],"clientContextJson":""},{"keyOptionId":"8743","caption":"Mortgage Brokers and Services","isDefault":true,"maskCriteriaOnly":false,"definition":"","keyProductQueryItem":"305790","comparisonOperation":0,"comparisonValue":"19","minimumVersion":"","maximumVersion":"","formOrder":0,"lowerBound":null,"enabled":true,"mask":"","largeMask":"","maskKey":"","keyItemMaskOfField":null,"keyOptionIdReplace":"","relatedOptionIds":[],"onlineServices":[],"childCriteriaItemList":[],"clientContextJson":""},{"keyOptionId":"8744","caption":"Specialty Finance","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8745","caption":"Specialty Finance: Consumer Focused","isDefault":true,"maskCriteriaOnly":false,"definition":"","keyProductQueryItem":"305790","comparisonOperation":0,"comparisonValue":"21","minimumVersion":"","maximumVersion":"","formOrder":0,"lowerBound":null,"enabled":true,"mask":"","largeMask":"","maskKey":"","keyItemMaskOfField":null,"keyOptionIdReplace":"","relatedOptionIds":[],"onlineServices":[],"childCriteriaItemList":[],"clientContextJson":""},{"keyOptionId":"8746","caption":"Specialty Finance: Commercial Focused","isDefault":true,"maskCriteriaOnly":false,"definition":"","keyProductQueryItem":"305790","comparisonOperation":0,"comparisonValue":"22","minimumVersion":"","maximumVersion":"","formOrder":0,"lowerBound":null,"enabled":true,"mask":"","largeMask":"","maskKey":"","keyItemMaskOfField":null,"keyOptionIdReplace":"","relatedOptionIds":[],"onlineServices":[],"childCriteriaItemList":[],"clientContextJson":""}],"clientContextJson":""},{"keyOptionId":"8747","caption":"Investment and Business Development Companies","isDefault":true,"maskCriteriaOnly":false,"definition":"","keyProductQueryItem":"305790","comparisonOperation":0,"comparisonValue":"23","minimumVersion":"","maximumVersion":"","formOrder":0,"lowerBound":null,"enabled":true,"mask":"","largeMask":"","maskKey":"","keyItemMaskOfField":null,"keyOptionIdReplace":"","relatedOptionIds":[],"onlineServices":[],"childCriteriaItemList":[],"clientContextJson":""},{"keyOptionId":"8748","caption":"Mortgage REIT","isDefault":true,"maskCriteriaOnly":false,"definition":"","keyProductQueryItem":"305790","comparisonOperation":0,"comparisonValue":"26","minimumVersion":"","maximumVersion":"","formOrder":0,"lowerBound":null,"enabled":true,"mask":"","largeMask":"","maskKey":"","keyItemMaskOfField":null,"keyOptionIdReplace":"","relatedOptionIds":[],"onlineServices":[],"childCriteriaItemList":[],"clientContextJson":""},{"keyOptionId":"8749","caption":"Asset Management","isDefault":true,"maskCriteriaOnly":false,"definition":"","keyProductQueryItem":"305790","comparisonOperation":0,"comparisonValue":"27","minimumVersion":"","maximumVersion":"","formOrder":0,"lowerBound":null,"enabled":true,"mask":"","largeMask":"","maskKey":"","keyItemMaskOfField":null,"keyOptionIdReplace":"","relatedOptionIds":[],"onlineServices":[],"childCriteriaItemList":[],"clientContextJson":""},{"keyOptionId":"8750","caption":"Investment Banks, Brokers and Capital Markets","isDefault":true,"maskCriteriaOnly":false,"definition":"","keyProductQueryItem":"305790","comparisonOperation":0,"comparisonValue":"30","minimumVersion":"","maximumVersion":"","formOrder":0,"lowerBound":null,"enabled":true,"mask":"","largeMask":"","maskKey":"","keyItemMaskOfField":null,"keyOptionIdReplace":"","relatedOptionIds":[],"onlineServices":[],"childCriteriaItemList":[],"clientContextJson":""},{"keyOptionId":"8751","caption":"Financial Exchanges","isDefault":true,"maskCriteriaOnly":false,"definition":"","keyProductQueryItem":"305790","comparisonOperation":0,"comparisonValue":"34","minimumVersion":"","maximumVersion":"","formOrder":0,"lowerBound":null,"enabled":true,"mask":"","largeMask":"","maskKey":"","keyItemMaskOfField":null,"keyOptionIdReplace":"","relatedOptionIds":[],"onlineServices":[],"childCriteriaItemList":[],"clientContextJson":""},{"keyOptionId":"8752","caption":"Credit Rating and Reporting","isDefault":true,"maskCriteriaOnly":false,"definition":"","keyProductQueryItem":"305790","comparisonOperation":0,"comparisonValue":"35","minimumVersion":"","maximumVersion":"","formOrder":0,"lowerBound":null,"enabled":true,"mask":"","largeMask":"","maskKey":"","keyItemMaskOfField":null,"keyOptionIdReplace":"","relatedOptionIds":[],"onlineServices":[],"childCriteriaItemList":[],"clientContextJson":""},{"keyOptionId":"8753","caption":"Financial Technology","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8754","caption":"Banking Technology","isDefault":true,"maskCriteriaOnly":false,"definition":"","keyProductQueryItem":"305790","comparisonOperation":0,"comparisonValue":"37","minimumVersion":"","maximumVersion":"","formOrder":0,"lowerBound":null,"enabled":true,"mask":"","largeMask":"","maskKey":"","keyItemMaskOfField":null,"keyOptionIdReplace":"","relatedOptionIds":[],"onlineServices":[],"childCriteriaItemList":[],"clientContextJson":""},{"keyOptionId":"8755","caption":"Digital Lending","isDefault":true,"maskCriteriaOnly":false,"definition":"","keyProductQueryItem":"305790","comparisonOperation":0,"comparisonValue":"38","minimumVersion":"","maximumVersion":"","formOrder":0,"lowerBound":null,"enabled":true,"mask":"","largeMask":"","maskKey":"","keyItemMaskOfField":null,"keyOptionIdReplace":"","relatedOptionIds":[],"onlineServices":[],"childCriteriaItemList":[],"clientContextJson":""},{"keyOptionId":"8756","caption":"Financial Media and Data Solutions","isDefault":true,"maskCriteriaOnly":false,"definition":"","keyProductQueryItem":"305790","comparisonOperation":0,"comparisonValue":"39","minimumVersion":"","maximumVersion</t>
  </si>
  <si>
    <t>":"","formOrder":0,"lowerBound":null,"enabled":true,"mask":"","largeMask":"","maskKey":"","keyItemMaskOfField":null,"keyOptionIdReplace":"","relatedOptionIds":[],"onlineServices":[],"childCriteriaItemList":[],"clientContextJson":""},{"keyOptionId":"8757","caption":"Insurance Technology","isDefault":true,"maskCriteriaOnly":false,"definition":"","keyProductQueryItem":"305790","comparisonOperation":0,"comparisonValue":"40","minimumVersion":"","maximumVersion":"","formOrder":0,"lowerBound":null,"enabled":true,"mask":"","largeMask":"","maskKey":"","keyItemMaskOfField":null,"keyOptionIdReplace":"","relatedOptionIds":[],"onlineServices":[],"childCriteriaItemList":[],"clientContextJson":""},{"keyOptionId":"8758","caption":"Investment and Capital Markets Technology","isDefault":true,"maskCriteriaOnly":false,"definition":"","keyProductQueryItem":"305790","comparisonOperation":0,"comparisonValue":"41","minimumVersion":"","maximumVersion":"","formOrder":0,"lowerBound":null,"enabled":true,"mask":"","largeMask":"","maskKey":"","keyItemMaskOfField":null,"keyOptionIdReplace":"","relatedOptionIds":[],"onlineServices":[],"childCriteriaItemList":[],"clientContextJson":""}],"clientContextJson":""},{"keyOptionId":"8759","caption":"Payment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8760","caption":"Payment Processors","isDefault":true,"maskCriteriaOnly":false,"definition":"","keyProductQueryItem":"305790","comparisonOperation":0,"comparisonValue":"43","minimumVersion":"","maximumVersion":"","formOrder":0,"lowerBound":null,"enabled":true,"mask":"","largeMask":"","maskKey":"","keyItemMaskOfField":null,"keyOptionIdReplace":"","relatedOptionIds":[],"onlineServices":[],"childCriteriaItemList":[],"clientContextJson":""},{"keyOptionId":"8761","caption":"Payment Service Providers and Gateways","isDefault":true,"maskCriteriaOnly":false,"definition":"","keyProductQueryItem":"305790","comparisonOperation":0,"comparisonValue":"44","minimumVersion":"","maximumVersion":"","formOrder":0,"lowerBound":null,"enabled":true,"mask":"","largeMask":"","maskKey":"","keyItemMaskOfField":null,"keyOptionIdReplace":"","relatedOptionIds":[],"onlineServices":[],"childCriteriaItemList":[],"clientContextJson":""},{"keyOptionId":"8762","caption":"Mobile Wallets","isDefault":true,"maskCriteriaOnly":false,"definition":"","keyProductQueryItem":"305790","comparisonOperation":0,"comparisonValue":"45","minimumVersion":"","maximumVersion":"","formOrder":0,"lowerBound":null,"enabled":true,"mask":"","largeMask":"","maskKey":"","keyItemMaskOfField":null,"keyOptionIdReplace":"","relatedOptionIds":[],"onlineServices":[],"childCriteriaItemList":[],"clientContextJson":""},{"keyOptionId":"8763","caption":"Payments Fraud Management","isDefault":true,"maskCriteriaOnly":false,"definition":"","keyProductQueryItem":"305790","comparisonOperation":0,"comparisonValue":"46","minimumVersion":"","maximumVersion":"","formOrder":0,"lowerBound":null,"enabled":true,"mask":"","largeMask":"","maskKey":"","keyItemMaskOfField":null,"keyOptionIdReplace":"","relatedOptionIds":[],"onlineServices":[],"childCriteriaItemList":[],"clientContextJson":""},{"keyOptionId":"8764","caption":"Money Transfer and Remittance","isDefault":true,"maskCriteriaOnly":false,"definition":"","keyProductQueryItem":"305790","comparisonOperation":0,"comparisonValue":"47","minimumVersion":"","maximumVersion":"","formOrder":0,"lowerBound":null,"enabled":true,"mask":"","largeMask":"","maskKey":"","keyItemMaskOfField":null,"keyOptionIdReplace":"","relatedOptionIds":[],"onlineServices":[],"childCriteriaItemList":[],"clientContextJson":""},{"keyOptionId":"8765","caption":"Payments Infrastructure","isDefault":true,"maskCriteriaOnly":false,"definition":"","keyProductQueryItem":"305790","comparisonOperation":0,"comparisonValue":"48","minimumVersion":"","maximumVersion":"","formOrder":0,"lowerBound":null,"enabled":true,"mask":"","largeMask":"","maskKey":"","keyItemMaskOfField":null,"keyOptionIdReplace":"","relatedOptionIds":[],"onlineServices":[],"childCriteriaItemList":[],"clientContextJson":""}],"clientContextJson":""},{"keyOptionId":"8766","caption":"Holding Companies, Patent Owners, and Trusts or Estates","isDefault":true,"maskCriteriaOnly":false,"definition":"","keyProductQueryItem":"305790","comparisonOperation":0,"comparisonValue":"49","minimumVersion":"","maximumVersion":"","formOrder":0,"lowerBound":null,"enabled":true,"mask":"","largeMask":"","maskKey":"","keyItemMaskOfField":null,"keyOptionIdReplace":"","relatedOptionIds":[],"onlineServices":[],"childCriteriaItemList":[],"clientContextJson":""}],"clientContextJson":""},{"keyOptionId":"8767","caption":"Real Estate","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8768","caption":"Equity REIT","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8769","caption":"Diversified REIT","isDefault":true,"maskCriteriaOnly":false,"definition":"","keyProductQueryItem":"305790","comparisonOperation":0,"comparisonValue":"53","minimumVersion":"","maximumVersion":"","formOrder":0,"lowerBound":null,"enabled":true,"mask":"","largeMask":"","maskKey":"","keyItemMaskOfField":null,"keyOptionIdReplace":"","relatedOptionIds":[],"onlineServices":[],"childCriteriaItemList":[],"clientContextJson":""},{"keyOptionId":"8770","caption":"Healthcare REIT","isDefault":true,"maskCriteriaOnly":false,"definition":"","keyProductQueryItem":"305790","comparisonOperation":0,"comparisonValue":"54","minimumVersion":"","maximumVersion":"","formOrder":0,"lowerBound":null,"enabled":true,"mask":"","largeMask":"","maskKey":"","keyItemMaskOfField":null,"keyOptionIdReplace":"","relatedOptionIds":[],"onlineServices":[],"childCriteriaItemList":[],"clientContextJson":""},{"keyOptionId":"8771","caption":"Hotel REIT","isDefault":true,"maskCriteriaOnly":false,"definition":"","keyProductQueryItem":"305790","comparisonOperation":0,"comparisonValue":"55","minimumVersion":"","maximumVersion":"","formOrder":0,"lowerBound":null,"enabled":true,"mask":"","largeMask":"","maskKey":"","keyItemMaskOfField":null,"keyOptionIdReplace":"","relatedOptionIds":[],"onlineServices":[],"childCriteriaItemList":[],"clientContextJson":""},{"keyOptionId":"8772","caption":"Industrial REIT","isDefault":true,"maskCriteriaOnly":false,"definition":"","keyProductQueryItem":"305790","comparisonOperation":0,"comparisonValue":"56","minimumVersion":"","maximumVersion":"","formOrder":0,"lowerBound":null,"enabled":true,"mask":"","largeMask":"","maskKey":"","keyItemMaskOfField":null,"keyOptionIdReplace":"","relatedOptionIds":[],"onlineServices":[],"childCriteriaItemList":[],"clientContextJson":""},{"keyOptionId":"8773","caption":"Office REIT","isDefault":true,"maskCriteriaOnly":false,"definit</t>
  </si>
  <si>
    <t>ion":"","keyProductQueryItem":"305790","comparisonOperation":0,"comparisonValue":"57","minimumVersion":"","maximumVersion":"","formOrder":0,"lowerBound":null,"enabled":true,"mask":"","largeMask":"","maskKey":"","keyItemMaskOfField":null,"keyOptionIdReplace":"","relatedOptionIds":[],"onlineServices":[],"childCriteriaItemList":[],"clientContextJson":""},{"keyOptionId":"8774","caption":"Residential REIT","isDefault":true,"maskCriteriaOnly":false,"definition":"","keyProductQueryItem":"305790","comparisonOperation":0,"comparisonValue":"58","minimumVersion":"","maximumVersion":"","formOrder":0,"lowerBound":null,"enabled":true,"mask":"","largeMask":"","maskKey":"","keyItemMaskOfField":null,"keyOptionIdReplace":"","relatedOptionIds":[],"onlineServices":[],"childCriteriaItemList":[],"clientContextJson":""},{"keyOptionId":"8775","caption":"Retail REIT","isDefault":true,"maskCriteriaOnly":false,"definition":"","keyProductQueryItem":"305790","comparisonOperation":0,"comparisonValue":"59","minimumVersion":"","maximumVersion":"","formOrder":0,"lowerBound":null,"enabled":true,"mask":"","largeMask":"","maskKey":"","keyItemMaskOfField":null,"keyOptionIdReplace":"","relatedOptionIds":[],"onlineServices":[],"childCriteriaItemList":[],"clientContextJson":""},{"keyOptionId":"8776","caption":"Self-Storage REIT","isDefault":true,"maskCriteriaOnly":false,"definition":"","keyProductQueryItem":"305790","comparisonOperation":0,"comparisonValue":"60","minimumVersion":"","maximumVersion":"","formOrder":0,"lowerBound":null,"enabled":true,"mask":"","largeMask":"","maskKey":"","keyItemMaskOfField":null,"keyOptionIdReplace":"","relatedOptionIds":[],"onlineServices":[],"childCriteriaItemList":[],"clientContextJson":""},{"keyOptionId":"8777","caption":"Specialty REIT","isDefault":true,"maskCriteriaOnly":false,"definition":"","keyProductQueryItem":"305790","comparisonOperation":0,"comparisonValue":"61","minimumVersion":"","maximumVersion":"","formOrder":0,"lowerBound":null,"enabled":true,"mask":"","largeMask":"","maskKey":"","keyItemMaskOfField":null,"keyOptionIdReplace":"","relatedOptionIds":[],"onlineServices":[],"childCriteriaItemList":[],"clientContextJson":""}],"clientContextJson":""},{"keyOptionId":"8778","caption":"Real Estate Management and Development","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8779","caption":"Diversified Real Estate Activities","isDefault":true,"maskCriteriaOnly":false,"definition":"","keyProductQueryItem":"305790","comparisonOperation":0,"comparisonValue":"63","minimumVersion":"","maximumVersion":"","formOrder":0,"lowerBound":null,"enabled":true,"mask":"","largeMask":"","maskKey":"","keyItemMaskOfField":null,"keyOptionIdReplace":"","relatedOptionIds":[],"onlineServices":[],"childCriteriaItemList":[],"clientContextJson":""},{"keyOptionId":"8780","caption":"Real Estate Operating and Management","isDefault":true,"maskCriteriaOnly":false,"definition":"","keyProductQueryItem":"305790","comparisonOperation":0,"comparisonValue":"64","minimumVersion":"","maximumVersion":"","formOrder":0,"lowerBound":null,"enabled":true,"mask":"","largeMask":"","maskKey":"","keyItemMaskOfField":null,"keyOptionIdReplace":"","relatedOptionIds":[],"onlineServices":[],"childCriteriaItemList":[],"clientContextJson":""},{"keyOptionId":"8781","caption":"Real Estate Development","isDefault":true,"maskCriteriaOnly":false,"definition":"","keyProductQueryItem":"305790","comparisonOperation":0,"comparisonValue":"65","minimumVersion":"","maximumVersion":"","formOrder":0,"lowerBound":null,"enabled":true,"mask":"","largeMask":"","maskKey":"","keyItemMaskOfField":null,"keyOptionIdReplace":"","relatedOptionIds":[],"onlineServices":[],"childCriteriaItemList":[],"clientContextJson":""},{"keyOptionId":"8782","caption":"Real Estate Services","isDefault":true,"maskCriteriaOnly":false,"definition":"","keyProductQueryItem":"305790","comparisonOperation":0,"comparisonValue":"66","minimumVersion":"","maximumVersion":"","formOrder":0,"lowerBound":null,"enabled":true,"mask":"","largeMask":"","maskKey":"","keyItemMaskOfField":null,"keyOptionIdReplace":"","relatedOptionIds":[],"onlineServices":[],"childCriteriaItemList":[],"clientContextJson":""}],"clientContextJson":""}],"clientContextJson":""},{"keyOptionId":"8783","caption":"Energy and Utilitie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8784","caption":"Oil, Gas and Coal","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8785","caption":"Oil and Gas Drilling","isDefault":true,"maskCriteriaOnly":false,"definition":"","keyProductQueryItem":"305790","comparisonOperation":0,"comparisonValue":"69","minimumVersion":"","maximumVersion":"","formOrder":0,"lowerBound":null,"enabled":true,"mask":"","largeMask":"","maskKey":"","keyItemMaskOfField":null,"keyOptionIdReplace":"","relatedOptionIds":[],"onlineServices":[],"childCriteriaItemList":[],"clientContextJson":""},{"keyOptionId":"8786","caption":"Oil and Gas Equipment and Services","isDefault":true,"maskCriteriaOnly":false,"definition":"","keyProductQueryItem":"305790","comparisonOperation":0,"comparisonValue":"70","minimumVersion":"","maximumVersion":"","formOrder":0,"lowerBound":null,"enabled":true,"mask":"","largeMask":"","maskKey":"","keyItemMaskOfField":null,"keyOptionIdReplace":"","relatedOptionIds":[],"onlineServices":[],"childCriteriaItemList":[],"clientContextJson":""},{"keyOptionId":"8787","caption":"Integrated Oil and Gas","isDefault":true,"maskCriteriaOnly":false,"definition":"","keyProductQueryItem":"305790","comparisonOperation":0,"comparisonValue":"71","minimumVersion":"","maximumVersion":"","formOrder":0,"lowerBound":null,"enabled":true,"mask":"","largeMask":"","maskKey":"","keyItemMaskOfField":null,"keyOptionIdReplace":"","relatedOptionIds":[],"onlineServices":[],"childCriteriaItemList":[],"clientContextJson":""},{"keyOptionId":"8788","caption":"Oil and Gas Exploration and Production","isDefault":true,"maskCriteriaOnly":false,"definition":"","keyProductQueryItem":"305790","comparisonOperation":0,"comparisonValue":"72","minimumVersion":"","maximumVersion":"","formOrder":0,"lowerBound":null,"enabled":true,"mask":"","largeMask":"","maskKey":"","keyItemMaskOfField":null,"keyOptionIdReplace":"","relatedOptionIds":[],"onlineServices":[],"childCriteriaItemList":[],"clientContextJson":""},{"keyOptionId":"8789","caption":"Oil and Gas Refining and Marketing","isDefault":true,"maskCriteriaOnly":false,"definition":"","keyProductQueryItem":"305790","comparisonOperation":0,"comparisonValue":"73","minimumVersion":"","maximumVersion":"","formOrder":0,"lowerBound":null,"enabled":true,"mask":"","largeMask":"","maskKey":"","keyItemMaskOfField":null,"keyOptionIdReplace":"","relatedOptionIds":[],"</t>
  </si>
  <si>
    <t>onlineServices":[],"childCriteriaItemList":[],"clientContextJson":""},{"keyOptionId":"8790","caption":"Oil and Gas Storage and Transportation","isDefault":true,"maskCriteriaOnly":false,"definition":"","keyProductQueryItem":"305790","comparisonOperation":0,"comparisonValue":"74","minimumVersion":"","maximumVersion":"","formOrder":0,"lowerBound":null,"enabled":true,"mask":"","largeMask":"","maskKey":"","keyItemMaskOfField":null,"keyOptionIdReplace":"","relatedOptionIds":[],"onlineServices":[],"childCriteriaItemList":[],"clientContextJson":""},{"keyOptionId":"8791","caption":"Coal and Consumable Fuels","isDefault":true,"maskCriteriaOnly":false,"definition":"","keyProductQueryItem":"305790","comparisonOperation":0,"comparisonValue":"75","minimumVersion":"","maximumVersion":"","formOrder":0,"lowerBound":null,"enabled":true,"mask":"","largeMask":"","maskKey":"","keyItemMaskOfField":null,"keyOptionIdReplace":"","relatedOptionIds":[],"onlineServices":[],"childCriteriaItemList":[],"clientContextJson":""}],"clientContextJson":""},{"keyOptionId":"8792","caption":"Utilitie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8793","caption":"Electric Utilities","isDefault":true,"maskCriteriaOnly":false,"definition":"","keyProductQueryItem":"305790","comparisonOperation":0,"comparisonValue":"77","minimumVersion":"","maximumVersion":"","formOrder":0,"lowerBound":null,"enabled":true,"mask":"","largeMask":"","maskKey":"","keyItemMaskOfField":null,"keyOptionIdReplace":"","relatedOptionIds":[],"onlineServices":[],"childCriteriaItemList":[],"clientContextJson":""},{"keyOptionId":"8794","caption":"Gas Utilities","isDefault":true,"maskCriteriaOnly":false,"definition":"","keyProductQueryItem":"305790","comparisonOperation":0,"comparisonValue":"78","minimumVersion":"","maximumVersion":"","formOrder":0,"lowerBound":null,"enabled":true,"mask":"","largeMask":"","maskKey":"","keyItemMaskOfField":null,"keyOptionIdReplace":"","relatedOptionIds":[],"onlineServices":[],"childCriteriaItemList":[],"clientContextJson":""},{"keyOptionId":"8795","caption":"Multi-Utilities","isDefault":true,"maskCriteriaOnly":false,"definition":"","keyProductQueryItem":"305790","comparisonOperation":0,"comparisonValue":"79","minimumVersion":"","maximumVersion":"","formOrder":0,"lowerBound":null,"enabled":true,"mask":"","largeMask":"","maskKey":"","keyItemMaskOfField":null,"keyOptionIdReplace":"","relatedOptionIds":[],"onlineServices":[],"childCriteriaItemList":[],"clientContextJson":""},{"keyOptionId":"8796","caption":"Water Utilities","isDefault":true,"maskCriteriaOnly":false,"definition":"","keyProductQueryItem":"305790","comparisonOperation":0,"comparisonValue":"80","minimumVersion":"","maximumVersion":"","formOrder":0,"lowerBound":null,"enabled":true,"mask":"","largeMask":"","maskKey":"","keyItemMaskOfField":null,"keyOptionIdReplace":"","relatedOptionIds":[],"onlineServices":[],"childCriteriaItemList":[],"clientContextJson":""}],"clientContextJson":""},{"keyOptionId":"8797","caption":"Independent Power Producers and Energy Traders","isDefault":true,"maskCriteriaOnly":false,"definition":"","keyProductQueryItem":"305790","comparisonOperation":0,"comparisonValue":"81","minimumVersion":"","maximumVersion":"","formOrder":0,"lowerBound":null,"enabled":true,"mask":"","largeMask":"","maskKey":"","keyItemMaskOfField":null,"keyOptionIdReplace":"","relatedOptionIds":[],"onlineServices":[],"childCriteriaItemList":[],"clientContextJson":""},{"keyOptionId":"8798","caption":"Renewable Electricity","isDefault":true,"maskCriteriaOnly":false,"definition":"","keyProductQueryItem":"305790","comparisonOperation":0,"comparisonValue":"82","minimumVersion":"","maximumVersion":"","formOrder":0,"lowerBound":null,"enabled":true,"mask":"","largeMask":"","maskKey":"","keyItemMaskOfField":null,"keyOptionIdReplace":"","relatedOptionIds":[],"onlineServices":[],"childCriteriaItemList":[],"clientContextJson":""}],"clientContextJson":""},{"keyOptionId":"8799","caption":"Material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8800","caption":"Chemical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8801","caption":"Commodity Chemicals","isDefault":true,"maskCriteriaOnly":false,"definition":"","keyProductQueryItem":"305790","comparisonOperation":0,"comparisonValue":"85","minimumVersion":"","maximumVersion":"","formOrder":0,"lowerBound":null,"enabled":true,"mask":"","largeMask":"","maskKey":"","keyItemMaskOfField":null,"keyOptionIdReplace":"","relatedOptionIds":[],"onlineServices":[],"childCriteriaItemList":[],"clientContextJson":""},{"keyOptionId":"8802","caption":"Diversified Chemicals","isDefault":true,"maskCriteriaOnly":false,"definition":"","keyProductQueryItem":"305790","comparisonOperation":0,"comparisonValue":"86","minimumVersion":"","maximumVersion":"","formOrder":0,"lowerBound":null,"enabled":true,"mask":"","largeMask":"","maskKey":"","keyItemMaskOfField":null,"keyOptionIdReplace":"","relatedOptionIds":[],"onlineServices":[],"childCriteriaItemList":[],"clientContextJson":""},{"keyOptionId":"8803","caption":"Fertilizers and Agricultural Chemicals","isDefault":true,"maskCriteriaOnly":false,"definition":"","keyProductQueryItem":"305790","comparisonOperation":0,"comparisonValue":"87","minimumVersion":"","maximumVersion":"","formOrder":0,"lowerBound":null,"enabled":true,"mask":"","largeMask":"","maskKey":"","keyItemMaskOfField":null,"keyOptionIdReplace":"","relatedOptionIds":[],"onlineServices":[],"childCriteriaItemList":[],"clientContextJson":""},{"keyOptionId":"8804","caption":"Specialty Chemicals","isDefault":true,"maskCriteriaOnly":false,"definition":"","keyProductQueryItem":"305790","comparisonOperation":0,"comparisonValue":"88","minimumVersion":"","maximumVersion":"","formOrder":0,"lowerBound":null,"enabled":true,"mask":"","largeMask":"","maskKey":"","keyItemMaskOfField":null,"keyOptionIdReplace":"","relatedOptionIds":[],"onlineServices":[],"childCriteriaItemList":[],"clientContextJson":""},{"keyOptionId":"8805","caption":"Industrial Gases","isDefault":true,"maskCriteriaOnly":false,"definition":"","keyProductQueryItem":"305790","comparisonOperation":0,"comparisonValue":"89","minimumVersion":"","maximumVersion":"","formOrder":0,"lowerBound":null,"enabled":true,"mask":"","largeMask":"","maskKey":"","keyItemMaskOfField":null,"keyOptionIdReplace":"","relatedOptionIds":[],"onlineServices":[],"childCriteriaItemList":[],"clientContextJson":""}],"clientContextJson":""},{"keyOptionId":"8806","caption":"Metals and Mining","isDefault":false,"maskCriteriaOnly":true,"definition":"","keyProductQueryItem":"","comparisonOperation":null,"comparisonValue":"","minimumVersion":"","maximumVersion":"","formOrder":0,"lowerBound":nu</t>
  </si>
  <si>
    <t>ll,"enabled":true,"mask":"","largeMask":"","maskKey":"","keyItemMaskOfField":null,"keyOptionIdReplace":"","relatedOptionIds":[],"onlineServices":[],"childCriteriaItemList":[{"keyOptionId":"8807","caption":"Diversified Metals and Mining","isDefault":true,"maskCriteriaOnly":false,"definition":"","keyProductQueryItem":"305790","comparisonOperation":0,"comparisonValue":"91","minimumVersion":"","maximumVersion":"","formOrder":0,"lowerBound":null,"enabled":true,"mask":"","largeMask":"","maskKey":"","keyItemMaskOfField":null,"keyOptionIdReplace":"","relatedOptionIds":[],"onlineServices":[],"childCriteriaItemList":[],"clientContextJson":""},{"keyOptionId":"8808","caption":"Platinum Group Metals and Gemstones","isDefault":true,"maskCriteriaOnly":false,"definition":"","keyProductQueryItem":"305790","comparisonOperation":0,"comparisonValue":"92","minimumVersion":"","maximumVersion":"","formOrder":0,"lowerBound":null,"enabled":true,"mask":"","largeMask":"","maskKey":"","keyItemMaskOfField":null,"keyOptionIdReplace":"","relatedOptionIds":[],"onlineServices":[],"childCriteriaItemList":[],"clientContextJson":""},{"keyOptionId":"8809","caption":"Gold","isDefault":true,"maskCriteriaOnly":false,"definition":"","keyProductQueryItem":"305790","comparisonOperation":0,"comparisonValue":"93","minimumVersion":"","maximumVersion":"","formOrder":0,"lowerBound":null,"enabled":true,"mask":"","largeMask":"","maskKey":"","keyItemMaskOfField":null,"keyOptionIdReplace":"","relatedOptionIds":[],"onlineServices":[],"childCriteriaItemList":[],"clientContextJson":""},{"keyOptionId":"8810","caption":"Silver","isDefault":true,"maskCriteriaOnly":false,"definition":"","keyProductQueryItem":"305790","comparisonOperation":0,"comparisonValue":"94","minimumVersion":"","maximumVersion":"","formOrder":0,"lowerBound":null,"enabled":true,"mask":"","largeMask":"","maskKey":"","keyItemMaskOfField":null,"keyOptionIdReplace":"","relatedOptionIds":[],"onlineServices":[],"childCriteriaItemList":[],"clientContextJson":""},{"keyOptionId":"8811","caption":"Aluminum","isDefault":true,"maskCriteriaOnly":false,"definition":"","keyProductQueryItem":"305790","comparisonOperation":0,"comparisonValue":"97","minimumVersion":"","maximumVersion":"","formOrder":0,"lowerBound":null,"enabled":true,"mask":"","largeMask":"","maskKey":"","keyItemMaskOfField":null,"keyOptionIdReplace":"","relatedOptionIds":[],"onlineServices":[],"childCriteriaItemList":[],"clientContextJson":""},{"keyOptionId":"8812","caption":"Copper","isDefault":true,"maskCriteriaOnly":false,"definition":"","keyProductQueryItem":"305790","comparisonOperation":0,"comparisonValue":"98","minimumVersion":"","maximumVersion":"","formOrder":0,"lowerBound":null,"enabled":true,"mask":"","largeMask":"","maskKey":"","keyItemMaskOfField":null,"keyOptionIdReplace":"","relatedOptionIds":[],"onlineServices":[],"childCriteriaItemList":[],"clientContextJson":""},{"keyOptionId":"8813","caption":"Steel","isDefault":true,"maskCriteriaOnly":false,"definition":"","keyProductQueryItem":"305790","comparisonOperation":0,"comparisonValue":"99","minimumVersion":"","maximumVersion":"","formOrder":0,"lowerBound":null,"enabled":true,"mask":"","largeMask":"","maskKey":"","keyItemMaskOfField":null,"keyOptionIdReplace":"","relatedOptionIds":[],"onlineServices":[],"childCriteriaItemList":[],"clientContextJson":""}],"clientContextJson":""},{"keyOptionId":"8814","caption":"Construction Materials","isDefault":true,"maskCriteriaOnly":false,"definition":"","keyProductQueryItem":"305790","comparisonOperation":0,"comparisonValue":"100","minimumVersion":"","maximumVersion":"","formOrder":0,"lowerBound":null,"enabled":true,"mask":"","largeMask":"","maskKey":"","keyItemMaskOfField":null,"keyOptionIdReplace":"","relatedOptionIds":[],"onlineServices":[],"childCriteriaItemList":[],"clientContextJson":""},{"keyOptionId":"8815","caption":"Containers and Packaging: Metal, Glass, and Plastic","isDefault":true,"maskCriteriaOnly":false,"definition":"","keyProductQueryItem":"305790","comparisonOperation":0,"comparisonValue":"101","minimumVersion":"","maximumVersion":"","formOrder":0,"lowerBound":null,"enabled":true,"mask":"","largeMask":"","maskKey":"","keyItemMaskOfField":null,"keyOptionIdReplace":"","relatedOptionIds":[],"onlineServices":[],"childCriteriaItemList":[],"clientContextJson":""},{"keyOptionId":"8816","caption":"Containers and Packaging: Paper","isDefault":true,"maskCriteriaOnly":false,"definition":"","keyProductQueryItem":"305790","comparisonOperation":0,"comparisonValue":"102","minimumVersion":"","maximumVersion":"","formOrder":0,"lowerBound":null,"enabled":true,"mask":"","largeMask":"","maskKey":"","keyItemMaskOfField":null,"keyOptionIdReplace":"","relatedOptionIds":[],"onlineServices":[],"childCriteriaItemList":[],"clientContextJson":""},{"keyOptionId":"8817","caption":"Forest Products","isDefault":true,"maskCriteriaOnly":false,"definition":"","keyProductQueryItem":"305790","comparisonOperation":0,"comparisonValue":"103","minimumVersion":"","maximumVersion":"","formOrder":0,"lowerBound":null,"enabled":true,"mask":"","largeMask":"","maskKey":"","keyItemMaskOfField":null,"keyOptionIdReplace":"","relatedOptionIds":[],"onlineServices":[],"childCriteriaItemList":[],"clientContextJson":""},{"keyOptionId":"8818","caption":"Paper Products","isDefault":true,"maskCriteriaOnly":false,"definition":"","keyProductQueryItem":"305790","comparisonOperation":0,"comparisonValue":"104","minimumVersion":"","maximumVersion":"","formOrder":0,"lowerBound":null,"enabled":true,"mask":"","largeMask":"","maskKey":"","keyItemMaskOfField":null,"keyOptionIdReplace":"","relatedOptionIds":[],"onlineServices":[],"childCriteriaItemList":[],"clientContextJson":""}],"clientContextJson":""},{"keyOptionId":"8819","caption":"Healthcare","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8820","caption":"Healthcare Equipment","isDefault":true,"maskCriteriaOnly":false,"definition":"","keyProductQueryItem":"305790","comparisonOperation":0,"comparisonValue":"106","minimumVersion":"","maximumVersion":"","formOrder":0,"lowerBound":null,"enabled":true,"mask":"","largeMask":"","maskKey":"","keyItemMaskOfField":null,"keyOptionIdReplace":"","relatedOptionIds":[],"onlineServices":[],"childCriteriaItemList":[],"clientContextJson":""},{"keyOptionId":"8821","caption":"Healthcare Supplies","isDefault":true,"maskCriteriaOnly":false,"definition":"","keyProductQueryItem":"305790","comparisonOperation":0,"comparisonValue":"107","minimumVersion":"","maximumVersion":"","formOrder":0,"lowerBound":null,"enabled":true,"mask":"","largeMask":"","maskKey":"","keyItemMaskOfField":null,"keyOptionIdReplace":"","relatedOptionIds":[],"onlineServices":[],"childCriteriaItemList":[],"clientContextJson":""},{"keyOptionId":"8822","caption":"Healthcare Providers and Service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8823","caption":"Healthcare Distributors","isDefault":true,"maskCriteriaOnly":false,"definition":"","keyProductQueryItem":"305790","comparisonOperation":0,"comparisonVa</t>
  </si>
  <si>
    <t>lue":"109","minimumVersion":"","maximumVersion":"","formOrder":0,"lowerBound":null,"enabled":true,"mask":"","largeMask":"","maskKey":"","keyItemMaskOfField":null,"keyOptionIdReplace":"","relatedOptionIds":[],"onlineServices":[],"childCriteriaItemList":[],"clientContextJson":""},{"keyOptionId":"8824","caption":"Healthcare Services","isDefault":true,"maskCriteriaOnly":false,"definition":"","keyProductQueryItem":"305790","comparisonOperation":0,"comparisonValue":"110","minimumVersion":"","maximumVersion":"","formOrder":0,"lowerBound":null,"enabled":true,"mask":"","largeMask":"","maskKey":"","keyItemMaskOfField":null,"keyOptionIdReplace":"","relatedOptionIds":[],"onlineServices":[],"childCriteriaItemList":[],"clientContextJson":""},{"keyOptionId":"8825","caption":"Healthcare Facilities","isDefault":true,"maskCriteriaOnly":false,"definition":"","keyProductQueryItem":"305790","comparisonOperation":0,"comparisonValue":"111","minimumVersion":"","maximumVersion":"","formOrder":0,"lowerBound":null,"enabled":true,"mask":"","largeMask":"","maskKey":"","keyItemMaskOfField":null,"keyOptionIdReplace":"","relatedOptionIds":[],"onlineServices":[],"childCriteriaItemList":[],"clientContextJson":""},{"keyOptionId":"8826","caption":"Managed Healthcare","isDefault":true,"maskCriteriaOnly":false,"definition":"","keyProductQueryItem":"305790","comparisonOperation":0,"comparisonValue":"112","minimumVersion":"","maximumVersion":"","formOrder":0,"lowerBound":null,"enabled":true,"mask":"","largeMask":"","maskKey":"","keyItemMaskOfField":null,"keyOptionIdReplace":"","relatedOptionIds":[],"onlineServices":[],"childCriteriaItemList":[],"clientContextJson":""}],"clientContextJson":""},{"keyOptionId":"8827","caption":"Healthcare Technology","isDefault":true,"maskCriteriaOnly":false,"definition":"","keyProductQueryItem":"305790","comparisonOperation":0,"comparisonValue":"113","minimumVersion":"","maximumVersion":"","formOrder":0,"lowerBound":null,"enabled":true,"mask":"","largeMask":"","maskKey":"","keyItemMaskOfField":null,"keyOptionIdReplace":"","relatedOptionIds":[],"onlineServices":[],"childCriteriaItemList":[],"clientContextJson":""},{"keyOptionId":"8828","caption":"Pharmaceuticals, Biotechnology and Life Science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8829","caption":"Biotechnology","isDefault":true,"maskCriteriaOnly":false,"definition":"","keyProductQueryItem":"305790","comparisonOperation":0,"comparisonValue":"115","minimumVersion":"","maximumVersion":"","formOrder":0,"lowerBound":null,"enabled":true,"mask":"","largeMask":"","maskKey":"","keyItemMaskOfField":null,"keyOptionIdReplace":"","relatedOptionIds":[],"onlineServices":[],"childCriteriaItemList":[],"clientContextJson":""},{"keyOptionId":"8830","caption":"Pharmaceuticals","isDefault":true,"maskCriteriaOnly":false,"definition":"","keyProductQueryItem":"305790","comparisonOperation":0,"comparisonValue":"116","minimumVersion":"","maximumVersion":"","formOrder":0,"lowerBound":null,"enabled":true,"mask":"","largeMask":"","maskKey":"","keyItemMaskOfField":null,"keyOptionIdReplace":"","relatedOptionIds":[],"onlineServices":[],"childCriteriaItemList":[],"clientContextJson":""},{"keyOptionId":"8831","caption":"Life Sciences Tools and Services","isDefault":true,"maskCriteriaOnly":false,"definition":"","keyProductQueryItem":"305790","comparisonOperation":0,"comparisonValue":"117","minimumVersion":"","maximumVersion":"","formOrder":0,"lowerBound":null,"enabled":true,"mask":"","largeMask":"","maskKey":"","keyItemMaskOfField":null,"keyOptionIdReplace":"","relatedOptionIds":[],"onlineServices":[],"childCriteriaItemList":[],"clientContextJson":""}],"clientContextJson":""}],"clientContextJson":""},{"keyOptionId":"8832","caption":"Industrial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8833","caption":"Capital Good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8834","caption":"Aerospace and Defense","isDefault":true,"maskCriteriaOnly":false,"definition":"","keyProductQueryItem":"305790","comparisonOperation":0,"comparisonValue":"120","minimumVersion":"","maximumVersion":"","formOrder":0,"lowerBound":null,"enabled":true,"mask":"","largeMask":"","maskKey":"","keyItemMaskOfField":null,"keyOptionIdReplace":"","relatedOptionIds":[],"onlineServices":[],"childCriteriaItemList":[],"clientContextJson":""},{"keyOptionId":"8835","caption":"Building Products","isDefault":true,"maskCriteriaOnly":false,"definition":"","keyProductQueryItem":"305790","comparisonOperation":0,"comparisonValue":"121","minimumVersion":"","maximumVersion":"","formOrder":0,"lowerBound":null,"enabled":true,"mask":"","largeMask":"","maskKey":"","keyItemMaskOfField":null,"keyOptionIdReplace":"","relatedOptionIds":[],"onlineServices":[],"childCriteriaItemList":[],"clientContextJson":""},{"keyOptionId":"8836","caption":"Construction and Engineering","isDefault":true,"maskCriteriaOnly":false,"definition":"","keyProductQueryItem":"305790","comparisonOperation":0,"comparisonValue":"122","minimumVersion":"","maximumVersion":"","formOrder":0,"lowerBound":null,"enabled":true,"mask":"","largeMask":"","maskKey":"","keyItemMaskOfField":null,"keyOptionIdReplace":"","relatedOptionIds":[],"onlineServices":[],"childCriteriaItemList":[],"clientContextJson":""},{"keyOptionId":"8837","caption":"Electrical Components and Equipment: Light","isDefault":true,"maskCriteriaOnly":false,"definition":"","keyProductQueryItem":"305790","comparisonOperation":0,"comparisonValue":"123","minimumVersion":"","maximumVersion":"","formOrder":0,"lowerBound":null,"enabled":true,"mask":"","largeMask":"","maskKey":"","keyItemMaskOfField":null,"keyOptionIdReplace":"","relatedOptionIds":[],"onlineServices":[],"childCriteriaItemList":[],"clientContextJson":""},{"keyOptionId":"8838","caption":"Electrical Components and Equipment: Heavy","isDefault":true,"maskCriteriaOnly":false,"definition":"","keyProductQueryItem":"305790","comparisonOperation":0,"comparisonValue":"124","minimumVersion":"","maximumVersion":"","formOrder":0,"lowerBound":null,"enabled":true,"mask":"","largeMask":"","maskKey":"","keyItemMaskOfField":null,"keyOptionIdReplace":"","relatedOptionIds":[],"onlineServices":[],"childCriteriaItemList":[],"clientContextJson":""},{"keyOptionId":"8839","caption":"Industrial Conglomerates","isDefault":true,"maskCriteriaOnly":false,"definition":"","keyProductQueryItem":"305790","comparisonOperation":0,"comparisonValue":"125","minimumVersion":"","maximumVersion":"","formOrder":0,"lowerBound":null,"enabled":true,"mask":"","largeMask":"","maskKey":"","keyItemMaskOfField":null,"keyOptionIdReplace":"","relatedOptionIds":[],"onlineServices":[],"childCriteriaItemList":[],"clientContextJson":""},{</t>
  </si>
  <si>
    <t>"keyOptionId":"8840","caption":"Machinery: Construction and Heavy Trucks","isDefault":true,"maskCriteriaOnly":false,"definition":"","keyProductQueryItem":"305790","comparisonOperation":0,"comparisonValue":"126","minimumVersion":"","maximumVersion":"","formOrder":0,"lowerBound":null,"enabled":true,"mask":"","largeMask":"","maskKey":"","keyItemMaskOfField":null,"keyOptionIdReplace":"","relatedOptionIds":[],"onlineServices":[],"childCriteriaItemList":[],"clientContextJson":""},{"keyOptionId":"8841","caption":"Machinery: Agricultural and Farm","isDefault":true,"maskCriteriaOnly":false,"definition":"","keyProductQueryItem":"305790","comparisonOperation":0,"comparisonValue":"127","minimumVersion":"","maximumVersion":"","formOrder":0,"lowerBound":null,"enabled":true,"mask":"","largeMask":"","maskKey":"","keyItemMaskOfField":null,"keyOptionIdReplace":"","relatedOptionIds":[],"onlineServices":[],"childCriteriaItemList":[],"clientContextJson":""},{"keyOptionId":"8842","caption":"Machinery: Industrial","isDefault":true,"maskCriteriaOnly":false,"definition":"","keyProductQueryItem":"305790","comparisonOperation":0,"comparisonValue":"128","minimumVersion":"","maximumVersion":"","formOrder":0,"lowerBound":null,"enabled":true,"mask":"","largeMask":"","maskKey":"","keyItemMaskOfField":null,"keyOptionIdReplace":"","relatedOptionIds":[],"onlineServices":[],"childCriteriaItemList":[],"clientContextJson":""},{"keyOptionId":"8843","caption":"Trading Companies and Distributors","isDefault":true,"maskCriteriaOnly":false,"definition":"","keyProductQueryItem":"305790","comparisonOperation":0,"comparisonValue":"129","minimumVersion":"","maximumVersion":"","formOrder":0,"lowerBound":null,"enabled":true,"mask":"","largeMask":"","maskKey":"","keyItemMaskOfField":null,"keyOptionIdReplace":"","relatedOptionIds":[],"onlineServices":[],"childCriteriaItemList":[],"clientContextJson":""}],"clientContextJson":""},{"keyOptionId":"8844","caption":"Commercial and Professional Service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8845","caption":"Commercial Printing","isDefault":true,"maskCriteriaOnly":false,"definition":"","keyProductQueryItem":"305790","comparisonOperation":0,"comparisonValue":"131","minimumVersion":"","maximumVersion":"","formOrder":0,"lowerBound":null,"enabled":true,"mask":"","largeMask":"","maskKey":"","keyItemMaskOfField":null,"keyOptionIdReplace":"","relatedOptionIds":[],"onlineServices":[],"childCriteriaItemList":[],"clientContextJson":""},{"keyOptionId":"8846","caption":"Environmental and Facilities Services","isDefault":true,"maskCriteriaOnly":false,"definition":"","keyProductQueryItem":"305790","comparisonOperation":0,"comparisonValue":"132","minimumVersion":"","maximumVersion":"","formOrder":0,"lowerBound":null,"enabled":true,"mask":"","largeMask":"","maskKey":"","keyItemMaskOfField":null,"keyOptionIdReplace":"","relatedOptionIds":[],"onlineServices":[],"childCriteriaItemList":[],"clientContextJson":""},{"keyOptionId":"8847","caption":"Office Services and Supplies","isDefault":true,"maskCriteriaOnly":false,"definition":"","keyProductQueryItem":"305790","comparisonOperation":0,"comparisonValue":"133","minimumVersion":"","maximumVersion":"","formOrder":0,"lowerBound":null,"enabled":true,"mask":"","largeMask":"","maskKey":"","keyItemMaskOfField":null,"keyOptionIdReplace":"","relatedOptionIds":[],"onlineServices":[],"childCriteriaItemList":[],"clientContextJson":""},{"keyOptionId":"8848","caption":"Diversified Support Services","isDefault":true,"maskCriteriaOnly":false,"definition":"","keyProductQueryItem":"305790","comparisonOperation":0,"comparisonValue":"134","minimumVersion":"","maximumVersion":"","formOrder":0,"lowerBound":null,"enabled":true,"mask":"","largeMask":"","maskKey":"","keyItemMaskOfField":null,"keyOptionIdReplace":"","relatedOptionIds":[],"onlineServices":[],"childCriteriaItemList":[],"clientContextJson":""},{"keyOptionId":"8849","caption":"Security and Alarm Services","isDefault":true,"maskCriteriaOnly":false,"definition":"","keyProductQueryItem":"305790","comparisonOperation":0,"comparisonValue":"135","minimumVersion":"","maximumVersion":"","formOrder":0,"lowerBound":null,"enabled":true,"mask":"","largeMask":"","maskKey":"","keyItemMaskOfField":null,"keyOptionIdReplace":"","relatedOptionIds":[],"onlineServices":[],"childCriteriaItemList":[],"clientContextJson":""},{"keyOptionId":"8850","caption":"Human Resource and Employment Services","isDefault":true,"maskCriteriaOnly":false,"definition":"","keyProductQueryItem":"305790","comparisonOperation":0,"comparisonValue":"136","minimumVersion":"","maximumVersion":"","formOrder":0,"lowerBound":null,"enabled":true,"mask":"","largeMask":"","maskKey":"","keyItemMaskOfField":null,"keyOptionIdReplace":"","relatedOptionIds":[],"onlineServices":[],"childCriteriaItemList":[],"clientContextJson":""},{"keyOptionId":"8851","caption":"Research and Consulting Services","isDefault":true,"maskCriteriaOnly":false,"definition":"","keyProductQueryItem":"305790","comparisonOperation":0,"comparisonValue":"137","minimumVersion":"","maximumVersion":"","formOrder":0,"lowerBound":null,"enabled":true,"mask":"","largeMask":"","maskKey":"","keyItemMaskOfField":null,"keyOptionIdReplace":"","relatedOptionIds":[],"onlineServices":[],"childCriteriaItemList":[],"clientContextJson":""}],"clientContextJson":""},{"keyOptionId":"8852","caption":"Transporta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8853","caption":"Air Freight and Logistics","isDefault":true,"maskCriteriaOnly":false,"definition":"","keyProductQueryItem":"305790","comparisonOperation":0,"comparisonValue":"139","minimumVersion":"","maximumVersion":"","formOrder":0,"lowerBound":null,"enabled":true,"mask":"","largeMask":"","maskKey":"","keyItemMaskOfField":null,"keyOptionIdReplace":"","relatedOptionIds":[],"onlineServices":[],"childCriteriaItemList":[],"clientContextJson":""},{"keyOptionId":"8854","caption":"Airlines","isDefault":true,"maskCriteriaOnly":false,"definition":"","keyProductQueryItem":"305790","comparisonOperation":0,"comparisonValue":"140","minimumVersion":"","maximumVersion":"","formOrder":0,"lowerBound":null,"enabled":true,"mask":"","largeMask":"","maskKey":"","keyItemMaskOfField":null,"keyOptionIdReplace":"","relatedOptionIds":[],"onlineServices":[],"childCriteriaItemList":[],"clientContextJson":""},{"keyOptionId":"8855","caption":"Marine","isDefault":true,"maskCriteriaOnly":false,"definition":"","keyProductQueryItem":"305790","comparisonOperation":0,"comparisonValue":"141","minimumVersion":"","maximumVersion":"","formOrder":0,"lowerBound":null,"enabled":true,"mask":"","largeMask":"","maskKey":"","keyItemMaskOfField":null,"keyOptionIdReplace":"","relatedOptionIds":[],"onlineServices":[],"childCriteriaItemList":[],"clientContextJson":""},{"keyOptionId":"8856","caption":"Railroads","isDefault":true,"maskCriteriaOnly":false,"definition":"","keyProductQueryItem":"305790","comparisonOperation":0,"comparisonValue":"142","minimumVersion":"","maximumVersion":"","formOrder":0</t>
  </si>
  <si>
    <t>,"lowerBound":null,"enabled":true,"mask":"","largeMask":"","maskKey":"","keyItemMaskOfField":null,"keyOptionIdReplace":"","relatedOptionIds":[],"onlineServices":[],"childCriteriaItemList":[],"clientContextJson":""},{"keyOptionId":"8857","caption":"Trucking","isDefault":true,"maskCriteriaOnly":false,"definition":"","keyProductQueryItem":"305790","comparisonOperation":0,"comparisonValue":"143","minimumVersion":"","maximumVersion":"","formOrder":0,"lowerBound":null,"enabled":true,"mask":"","largeMask":"","maskKey":"","keyItemMaskOfField":null,"keyOptionIdReplace":"","relatedOptionIds":[],"onlineServices":[],"childCriteriaItemList":[],"clientContextJson":""},{"keyOptionId":"8858","caption":"Airport Services","isDefault":true,"maskCriteriaOnly":false,"definition":"","keyProductQueryItem":"305790","comparisonOperation":0,"comparisonValue":"144","minimumVersion":"","maximumVersion":"","formOrder":0,"lowerBound":null,"enabled":true,"mask":"","largeMask":"","maskKey":"","keyItemMaskOfField":null,"keyOptionIdReplace":"","relatedOptionIds":[],"onlineServices":[],"childCriteriaItemList":[],"clientContextJson":""},{"keyOptionId":"8859","caption":"Highways and Railtracks","isDefault":true,"maskCriteriaOnly":false,"definition":"","keyProductQueryItem":"305790","comparisonOperation":0,"comparisonValue":"145","minimumVersion":"","maximumVersion":"","formOrder":0,"lowerBound":null,"enabled":true,"mask":"","largeMask":"","maskKey":"","keyItemMaskOfField":null,"keyOptionIdReplace":"","relatedOptionIds":[],"onlineServices":[],"childCriteriaItemList":[],"clientContextJson":""},{"keyOptionId":"8860","caption":"Marine Ports and Services","isDefault":true,"maskCriteriaOnly":false,"definition":"","keyProductQueryItem":"305790","comparisonOperation":0,"comparisonValue":"146","minimumVersion":"","maximumVersion":"","formOrder":0,"lowerBound":null,"enabled":true,"mask":"","largeMask":"","maskKey":"","keyItemMaskOfField":null,"keyOptionIdReplace":"","relatedOptionIds":[],"onlineServices":[],"childCriteriaItemList":[],"clientContextJson":""}],"clientContextJson":""}],"clientContextJson":""},{"keyOptionId":"8861","caption":"Consumer","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8862","caption":"Retail","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8863","caption":"Retailers: Food and Drug","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8864","caption":"Drug Retail","isDefault":true,"maskCriteriaOnly":false,"definition":"","keyProductQueryItem":"305790","comparisonOperation":0,"comparisonValue":"150","minimumVersion":"","maximumVersion":"","formOrder":0,"lowerBound":null,"enabled":true,"mask":"","largeMask":"","maskKey":"","keyItemMaskOfField":null,"keyOptionIdReplace":"","relatedOptionIds":[],"onlineServices":[],"childCriteriaItemList":[],"clientContextJson":""},{"keyOptionId":"8865","caption":"Food Distributors","isDefault":true,"maskCriteriaOnly":false,"definition":"","keyProductQueryItem":"305790","comparisonOperation":0,"comparisonValue":"151","minimumVersion":"","maximumVersion":"","formOrder":0,"lowerBound":null,"enabled":true,"mask":"","largeMask":"","maskKey":"","keyItemMaskOfField":null,"keyOptionIdReplace":"","relatedOptionIds":[],"onlineServices":[],"childCriteriaItemList":[],"clientContextJson":""},{"keyOptionId":"8866","caption":"Food Retail","isDefault":true,"maskCriteriaOnly":false,"definition":"","keyProductQueryItem":"305790","comparisonOperation":0,"comparisonValue":"152","minimumVersion":"","maximumVersion":"","formOrder":0,"lowerBound":null,"enabled":true,"mask":"","largeMask":"","maskKey":"","keyItemMaskOfField":null,"keyOptionIdReplace":"","relatedOptionIds":[],"onlineServices":[],"childCriteriaItemList":[],"clientContextJson":""},{"keyOptionId":"8867","caption":"Hypermarkets and Supercenters","isDefault":true,"maskCriteriaOnly":false,"definition":"","keyProductQueryItem":"305790","comparisonOperation":0,"comparisonValue":"153","minimumVersion":"","maximumVersion":"","formOrder":0,"lowerBound":null,"enabled":true,"mask":"","largeMask":"","maskKey":"","keyItemMaskOfField":null,"keyOptionIdReplace":"","relatedOptionIds":[],"onlineServices":[],"childCriteriaItemList":[],"clientContextJson":""}],"clientContextJson":""},{"keyOptionId":"8868","caption":"Retailers: NonFood and NonDrug","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8869","caption":"Internet and Direct Marketing Retail","isDefault":true,"maskCriteriaOnly":false,"definition":"","keyProductQueryItem":"305790","comparisonOperation":0,"comparisonValue":"155","minimumVersion":"","maximumVersion":"","formOrder":0,"lowerBound":null,"enabled":true,"mask":"","largeMask":"","maskKey":"","keyItemMaskOfField":null,"keyOptionIdReplace":"","relatedOptionIds":[],"onlineServices":[],"childCriteriaItemList":[],"clientContextJson":""},{"keyOptionId":"8870","caption":"Department Stores","isDefault":true,"maskCriteriaOnly":false,"definition":"","keyProductQueryItem":"305790","comparisonOperation":0,"comparisonValue":"156","minimumVersion":"","maximumVersion":"","formOrder":0,"lowerBound":null,"enabled":true,"mask":"","largeMask":"","maskKey":"","keyItemMaskOfField":null,"keyOptionIdReplace":"","relatedOptionIds":[],"onlineServices":[],"childCriteriaItemList":[],"clientContextJson":""},{"keyOptionId":"8871","caption":"General Merchandise Stores","isDefault":true,"maskCriteriaOnly":false,"definition":"","keyProductQueryItem":"305790","comparisonOperation":0,"comparisonValue":"157","minimumVersion":"","maximumVersion":"","formOrder":0,"lowerBound":null,"enabled":true,"mask":"","largeMask":"","maskKey":"","keyItemMaskOfField":null,"keyOptionIdReplace":"","relatedOptionIds":[],"onlineServices":[],"childCriteriaItemList":[],"clientContextJson":""},{"keyOptionId":"8872","caption":"Apparel Retail","isDefault":true,"maskCriteriaOnly":false,"definition":"","keyProductQueryItem":"305790","comparisonOperation":0,"comparisonValue":"158","minimumVersion":"","maximumVersion":"","formOrder":0,"lowerBound":null,"enabled":true,"mask":"","largeMask":"","maskKey":"","keyItemMaskOfField":null,"keyOptionIdReplace":"","relatedOptionIds":[],"onlineServices":[],"childCriteriaItemList":[],"clientContextJson":""},{"keyOptionId":"8873","caption":"Computer and Electronics Retail","isDefault":true,"maskCriteriaOnly":false,"definition":"","keyProductQueryItem":"305790","comparisonOperation":0,"c</t>
  </si>
  <si>
    <t>omparisonValue":"159","minimumVersion":"","maximumVersion":"","formOrder":0,"lowerBound":null,"enabled":true,"mask":"","largeMask":"","maskKey":"","keyItemMaskOfField":null,"keyOptionIdReplace":"","relatedOptionIds":[],"onlineServices":[],"childCriteriaItemList":[],"clientContextJson":""},{"keyOptionId":"8874","caption":"Home Improvement Retail","isDefault":true,"maskCriteriaOnly":false,"definition":"","keyProductQueryItem":"305790","comparisonOperation":0,"comparisonValue":"160","minimumVersion":"","maximumVersion":"","formOrder":0,"lowerBound":null,"enabled":true,"mask":"","largeMask":"","maskKey":"","keyItemMaskOfField":null,"keyOptionIdReplace":"","relatedOptionIds":[],"onlineServices":[],"childCriteriaItemList":[],"clientContextJson":""},{"keyOptionId":"8875","caption":"Specialty Stores","isDefault":true,"maskCriteriaOnly":false,"definition":"","keyProductQueryItem":"305790","comparisonOperation":0,"comparisonValue":"161","minimumVersion":"","maximumVersion":"","formOrder":0,"lowerBound":null,"enabled":true,"mask":"","largeMask":"","maskKey":"","keyItemMaskOfField":null,"keyOptionIdReplace":"","relatedOptionIds":[],"onlineServices":[],"childCriteriaItemList":[],"clientContextJson":""},{"keyOptionId":"8876","caption":"Automotive Retail","isDefault":true,"maskCriteriaOnly":false,"definition":"","keyProductQueryItem":"305790","comparisonOperation":0,"comparisonValue":"162","minimumVersion":"","maximumVersion":"","formOrder":0,"lowerBound":null,"enabled":true,"mask":"","largeMask":"","maskKey":"","keyItemMaskOfField":null,"keyOptionIdReplace":"","relatedOptionIds":[],"onlineServices":[],"childCriteriaItemList":[],"clientContextJson":""},{"keyOptionId":"8877","caption":"Homefurnishing Retail","isDefault":true,"maskCriteriaOnly":false,"definition":"","keyProductQueryItem":"305790","comparisonOperation":0,"comparisonValue":"163","minimumVersion":"","maximumVersion":"","formOrder":0,"lowerBound":null,"enabled":true,"mask":"","largeMask":"","maskKey":"","keyItemMaskOfField":null,"keyOptionIdReplace":"","relatedOptionIds":[],"onlineServices":[],"childCriteriaItemList":[],"clientContextJson":""},{"keyOptionId":"8878","caption":"Other Distributors","isDefault":true,"maskCriteriaOnly":false,"definition":"","keyProductQueryItem":"305790","comparisonOperation":0,"comparisonValue":"164","minimumVersion":"","maximumVersion":"","formOrder":0,"lowerBound":null,"enabled":true,"mask":"","largeMask":"","maskKey":"","keyItemMaskOfField":null,"keyOptionIdReplace":"","relatedOptionIds":[],"onlineServices":[],"childCriteriaItemList":[],"clientContextJson":""}],"clientContextJson":""}],"clientContextJson":""},{"keyOptionId":"8879","caption":"Producer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8880","caption":"Beverage Producer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8881","caption":"Brewer: Beer and Malt Liquor","isDefault":true,"maskCriteriaOnly":false,"definition":"","keyProductQueryItem":"305790","comparisonOperation":0,"comparisonValue":"167","minimumVersion":"","maximumVersion":"","formOrder":0,"lowerBound":null,"enabled":true,"mask":"","largeMask":"","maskKey":"","keyItemMaskOfField":null,"keyOptionIdReplace":"","relatedOptionIds":[],"onlineServices":[],"childCriteriaItemList":[],"clientContextJson":""},{"keyOptionId":"8882","caption":"Distillers and Vintners","isDefault":true,"maskCriteriaOnly":false,"definition":"","keyProductQueryItem":"305790","comparisonOperation":0,"comparisonValue":"168","minimumVersion":"","maximumVersion":"","formOrder":0,"lowerBound":null,"enabled":true,"mask":"","largeMask":"","maskKey":"","keyItemMaskOfField":null,"keyOptionIdReplace":"","relatedOptionIds":[],"onlineServices":[],"childCriteriaItemList":[],"clientContextJson":""},{"keyOptionId":"8883","caption":"Soft Drinks","isDefault":true,"maskCriteriaOnly":false,"definition":"","keyProductQueryItem":"305790","comparisonOperation":0,"comparisonValue":"169","minimumVersion":"","maximumVersion":"","formOrder":0,"lowerBound":null,"enabled":true,"mask":"","largeMask":"","maskKey":"","keyItemMaskOfField":null,"keyOptionIdReplace":"","relatedOptionIds":[],"onlineServices":[],"childCriteriaItemList":[],"clientContextJson":""}],"clientContextJson":""},{"keyOptionId":"8884","caption":"Consumer Durables Producer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8885","caption":"Consumer Electronics Producers","isDefault":true,"maskCriteriaOnly":false,"definition":"","keyProductQueryItem":"305790","comparisonOperation":0,"comparisonValue":"171","minimumVersion":"","maximumVersion":"","formOrder":0,"lowerBound":null,"enabled":true,"mask":"","largeMask":"","maskKey":"","keyItemMaskOfField":null,"keyOptionIdReplace":"","relatedOptionIds":[],"onlineServices":[],"childCriteriaItemList":[],"clientContextJson":""},{"keyOptionId":"8886","caption":"Home Furnishings Producers","isDefault":true,"maskCriteriaOnly":false,"definition":"","keyProductQueryItem":"305790","comparisonOperation":0,"comparisonValue":"172","minimumVersion":"","maximumVersion":"","formOrder":0,"lowerBound":null,"enabled":true,"mask":"","largeMask":"","maskKey":"","keyItemMaskOfField":null,"keyOptionIdReplace":"","relatedOptionIds":[],"onlineServices":[],"childCriteriaItemList":[],"clientContextJson":""},{"keyOptionId":"8887","caption":"Homebuilding Producers","isDefault":true,"maskCriteriaOnly":false,"definition":"","keyProductQueryItem":"305790","comparisonOperation":0,"comparisonValue":"173","minimumVersion":"","maximumVersion":"","formOrder":0,"lowerBound":null,"enabled":true,"mask":"","largeMask":"","maskKey":"","keyItemMaskOfField":null,"keyOptionIdReplace":"","relatedOptionIds":[],"onlineServices":[],"childCriteriaItemList":[],"clientContextJson":""},{"keyOptionId":"8888","caption":"Household Appliances Producers","isDefault":true,"maskCriteriaOnly":false,"definition":"","keyProductQueryItem":"305790","comparisonOperation":0,"comparisonValue":"174","minimumVersion":"","maximumVersion":"","formOrder":0,"lowerBound":null,"enabled":true,"mask":"","largeMask":"","maskKey":"","keyItemMaskOfField":null,"keyOptionIdReplace":"","relatedOptionIds":[],"onlineServices":[],"childCriteriaItemList":[],"clientContextJson":""},{"keyOptionId":"8889","caption":"Housewares and Specialties Producers","isDefault":true,"maskCriteriaOnly":false,"definition":"","keyProductQueryItem":"305790","comparisonOperation":0,"comparisonValue":"175","minimumVersion":"","maximumVersion":"","formOrder":0,"lowerBound":null,"enabled":true,"mask":"","largeMask":"","maskKey":"","keyItemMaskOfField":null,"keyOptionIdReplace":"","relatedOptionIds":[],"onlineServices":[],"childCriteriaItemList":[],"clientContextJson":""},{"keyOptionId":"8890</t>
  </si>
  <si>
    <t>","caption":"Leisure Products Producers","isDefault":true,"maskCriteriaOnly":false,"definition":"","keyProductQueryItem":"305790","comparisonOperation":0,"comparisonValue":"176","minimumVersion":"","maximumVersion":"","formOrder":0,"lowerBound":null,"enabled":true,"mask":"","largeMask":"","maskKey":"","keyItemMaskOfField":null,"keyOptionIdReplace":"","relatedOptionIds":[],"onlineServices":[],"childCriteriaItemList":[],"clientContextJson":""}],"clientContextJson":""},{"keyOptionId":"8891","caption":"Apparel, Footwear and Textile Producer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8892","caption":"Apparel, Accessories and Luxury Goods","isDefault":true,"maskCriteriaOnly":false,"definition":"","keyProductQueryItem":"305790","comparisonOperation":0,"comparisonValue":"178","minimumVersion":"","maximumVersion":"","formOrder":0,"lowerBound":null,"enabled":true,"mask":"","largeMask":"","maskKey":"","keyItemMaskOfField":null,"keyOptionIdReplace":"","relatedOptionIds":[],"onlineServices":[],"childCriteriaItemList":[],"clientContextJson":""},{"keyOptionId":"8893","caption":"Footwear Producers","isDefault":true,"maskCriteriaOnly":false,"definition":"","keyProductQueryItem":"305790","comparisonOperation":0,"comparisonValue":"179","minimumVersion":"","maximumVersion":"","formOrder":0,"lowerBound":null,"enabled":true,"mask":"","largeMask":"","maskKey":"","keyItemMaskOfField":null,"keyOptionIdReplace":"","relatedOptionIds":[],"onlineServices":[],"childCriteriaItemList":[],"clientContextJson":""},{"keyOptionId":"8894","caption":"Textiles Producers","isDefault":true,"maskCriteriaOnly":false,"definition":"","keyProductQueryItem":"305790","comparisonOperation":0,"comparisonValue":"180","minimumVersion":"","maximumVersion":"","formOrder":0,"lowerBound":null,"enabled":true,"mask":"","largeMask":"","maskKey":"","keyItemMaskOfField":null,"keyOptionIdReplace":"","relatedOptionIds":[],"onlineServices":[],"childCriteriaItemList":[],"clientContextJson":""}],"clientContextJson":""},{"keyOptionId":"8895","caption":"Agricultural Products","isDefault":true,"maskCriteriaOnly":false,"definition":"","keyProductQueryItem":"305790","comparisonOperation":0,"comparisonValue":"181","minimumVersion":"","maximumVersion":"","formOrder":0,"lowerBound":null,"enabled":true,"mask":"","largeMask":"","maskKey":"","keyItemMaskOfField":null,"keyOptionIdReplace":"","relatedOptionIds":[],"onlineServices":[],"childCriteriaItemList":[],"clientContextJson":""},{"keyOptionId":"8898","caption":"Packaged Foods and Meats Producers","isDefault":true,"maskCriteriaOnly":false,"definition":"","keyProductQueryItem":"305790","comparisonOperation":0,"comparisonValue":"182","minimumVersion":"","maximumVersion":"","formOrder":0,"lowerBound":null,"enabled":true,"mask":"","largeMask":"","maskKey":"","keyItemMaskOfField":null,"keyOptionIdReplace":"","relatedOptionIds":[],"onlineServices":[],"childCriteriaItemList":[],"clientContextJson":""},{"keyOptionId":"8914","caption":"Tobacco Producers","isDefault":true,"maskCriteriaOnly":false,"definition":"","keyProductQueryItem":"305790","comparisonOperation":0,"comparisonValue":"183","minimumVersion":"","maximumVersion":"","formOrder":0,"lowerBound":null,"enabled":true,"mask":"","largeMask":"","maskKey":"","keyItemMaskOfField":null,"keyOptionIdReplace":"","relatedOptionIds":[],"onlineServices":[],"childCriteriaItemList":[],"clientContextJson":""},{"keyOptionId":"8915","caption":"Household Products Producers","isDefault":true,"maskCriteriaOnly":false,"definition":"","keyProductQueryItem":"305790","comparisonOperation":0,"comparisonValue":"184","minimumVersion":"","maximumVersion":"","formOrder":0,"lowerBound":null,"enabled":true,"mask":"","largeMask":"","maskKey":"","keyItemMaskOfField":null,"keyOptionIdReplace":"","relatedOptionIds":[],"onlineServices":[],"childCriteriaItemList":[],"clientContextJson":""},{"keyOptionId":"8916","caption":"Personal and Beauty Products: Producers","isDefault":true,"maskCriteriaOnly":false,"definition":"","keyProductQueryItem":"305790","comparisonOperation":0,"comparisonValue":"185","minimumVersion":"","maximumVersion":"","formOrder":0,"lowerBound":null,"enabled":true,"mask":"","largeMask":"","maskKey":"","keyItemMaskOfField":null,"keyOptionIdReplace":"","relatedOptionIds":[],"onlineServices":[],"childCriteriaItemList":[],"clientContextJson":""},{"keyOptionId":"8917","caption":"Automobiles and Component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8918","caption":"Auto Parts and Equipment","isDefault":true,"maskCriteriaOnly":false,"definition":"","keyProductQueryItem":"305790","comparisonOperation":0,"comparisonValue":"187","minimumVersion":"","maximumVersion":"","formOrder":0,"lowerBound":null,"enabled":true,"mask":"","largeMask":"","maskKey":"","keyItemMaskOfField":null,"keyOptionIdReplace":"","relatedOptionIds":[],"onlineServices":[],"childCriteriaItemList":[],"clientContextJson":""},{"keyOptionId":"8919","caption":"Tires and Rubber","isDefault":true,"maskCriteriaOnly":false,"definition":"","keyProductQueryItem":"305790","comparisonOperation":0,"comparisonValue":"188","minimumVersion":"","maximumVersion":"","formOrder":0,"lowerBound":null,"enabled":true,"mask":"","largeMask":"","maskKey":"","keyItemMaskOfField":null,"keyOptionIdReplace":"","relatedOptionIds":[],"onlineServices":[],"childCriteriaItemList":[],"clientContextJson":""},{"keyOptionId":"8920","caption":"Automobile Manufacturers","isDefault":true,"maskCriteriaOnly":false,"definition":"","keyProductQueryItem":"305790","comparisonOperation":0,"comparisonValue":"189","minimumVersion":"","maximumVersion":"","formOrder":0,"lowerBound":null,"enabled":true,"mask":"","largeMask":"","maskKey":"","keyItemMaskOfField":null,"keyOptionIdReplace":"","relatedOptionIds":[],"onlineServices":[],"childCriteriaItemList":[],"clientContextJson":""},{"keyOptionId":"8921","caption":"Motorcycle Manufacturers","isDefault":true,"maskCriteriaOnly":false,"definition":"","keyProductQueryItem":"305790","comparisonOperation":0,"comparisonValue":"190","minimumVersion":"","maximumVersion":"","formOrder":0,"lowerBound":null,"enabled":true,"mask":"","largeMask":"","maskKey":"","keyItemMaskOfField":null,"keyOptionIdReplace":"","relatedOptionIds":[],"onlineServices":[],"childCriteriaItemList":[],"clientContextJson":""}],"clientContextJson":""}],"clientContextJson":""},{"keyOptionId":"8922","caption":"Hotels, Restaurants and Leisure","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8923","caption":"Casinos and Gaming","isDefault":true,"maskCriteriaOnly":false,"definition":"","keyProductQueryItem":"305790","comparisonOperation":0,"comparisonValue":"192","minimumVersion":"","maximumVersion":"","formOrd</t>
  </si>
  <si>
    <t>er":0,"lowerBound":null,"enabled":true,"mask":"","largeMask":"","maskKey":"","keyItemMaskOfField":null,"keyOptionIdReplace":"","relatedOptionIds":[],"onlineServices":[],"childCriteriaItemList":[],"clientContextJson":""},{"keyOptionId":"8924","caption":"Hotels, Resorts and Cruise Lines","isDefault":true,"maskCriteriaOnly":false,"definition":"","keyProductQueryItem":"305790","comparisonOperation":0,"comparisonValue":"193","minimumVersion":"","maximumVersion":"","formOrder":0,"lowerBound":null,"enabled":true,"mask":"","largeMask":"","maskKey":"","keyItemMaskOfField":null,"keyOptionIdReplace":"","relatedOptionIds":[],"onlineServices":[],"childCriteriaItemList":[],"clientContextJson":""},{"keyOptionId":"8925","caption":"Leisure Facilities","isDefault":true,"maskCriteriaOnly":false,"definition":"","keyProductQueryItem":"305790","comparisonOperation":0,"comparisonValue":"194","minimumVersion":"","maximumVersion":"","formOrder":0,"lowerBound":null,"enabled":true,"mask":"","largeMask":"","maskKey":"","keyItemMaskOfField":null,"keyOptionIdReplace":"","relatedOptionIds":[],"onlineServices":[],"childCriteriaItemList":[],"clientContextJson":""},{"keyOptionId":"8926","caption":"Restaurants","isDefault":true,"maskCriteriaOnly":false,"definition":"","keyProductQueryItem":"305790","comparisonOperation":0,"comparisonValue":"195","minimumVersion":"","maximumVersion":"","formOrder":0,"lowerBound":null,"enabled":true,"mask":"","largeMask":"","maskKey":"","keyItemMaskOfField":null,"keyOptionIdReplace":"","relatedOptionIds":[],"onlineServices":[],"childCriteriaItemList":[],"clientContextJson":""}],"clientContextJson":""},{"keyOptionId":"8927","caption":"Education Services","isDefault":true,"maskCriteriaOnly":false,"definition":"","keyProductQueryItem":"305790","comparisonOperation":0,"comparisonValue":"196","minimumVersion":"","maximumVersion":"","formOrder":0,"lowerBound":null,"enabled":true,"mask":"","largeMask":"","maskKey":"","keyItemMaskOfField":null,"keyOptionIdReplace":"","relatedOptionIds":[],"onlineServices":[],"childCriteriaItemList":[],"clientContextJson":""},{"keyOptionId":"8928","caption":"Specialized Consumer Services","isDefault":true,"maskCriteriaOnly":false,"definition":"","keyProductQueryItem":"305790","comparisonOperation":0,"comparisonValue":"197","minimumVersion":"","maximumVersion":"","formOrder":0,"lowerBound":null,"enabled":true,"mask":"","largeMask":"","maskKey":"","keyItemMaskOfField":null,"keyOptionIdReplace":"","relatedOptionIds":[],"onlineServices":[],"childCriteriaItemList":[],"clientContextJson":""}],"clientContextJson":""},{"keyOptionId":"8929","caption":"Technology, Media and Telecommunication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8930","caption":"Information Technology","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8931","caption":"Software and Service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8932","caption":"Internet Software and Services","isDefault":true,"maskCriteriaOnly":false,"definition":"","keyProductQueryItem":"305790","comparisonOperation":0,"comparisonValue":"201","minimumVersion":"","maximumVersion":"","formOrder":0,"lowerBound":null,"enabled":true,"mask":"","largeMask":"","maskKey":"","keyItemMaskOfField":null,"keyOptionIdReplace":"","relatedOptionIds":[],"onlineServices":[],"childCriteriaItemList":[],"clientContextJson":""},{"keyOptionId":"8933","caption":"IT Consulting and Other Services","isDefault":true,"maskCriteriaOnly":false,"definition":"","keyProductQueryItem":"305790","comparisonOperation":0,"comparisonValue":"202","minimumVersion":"","maximumVersion":"","formOrder":0,"lowerBound":null,"enabled":true,"mask":"","largeMask":"","maskKey":"","keyItemMaskOfField":null,"keyOptionIdReplace":"","relatedOptionIds":[],"onlineServices":[],"childCriteriaItemList":[],"clientContextJson":""},{"keyOptionId":"8934","caption":"Data Processing and Outsourced Services","isDefault":true,"maskCriteriaOnly":false,"definition":"","keyProductQueryItem":"305790","comparisonOperation":0,"comparisonValue":"203","minimumVersion":"","maximumVersion":"","formOrder":0,"lowerBound":null,"enabled":true,"mask":"","largeMask":"","maskKey":"","keyItemMaskOfField":null,"keyOptionIdReplace":"","relatedOptionIds":[],"onlineServices":[],"childCriteriaItemList":[],"clientContextJson":""},{"keyOptionId":"8935","caption":"Application Software","isDefault":true,"maskCriteriaOnly":false,"definition":"","keyProductQueryItem":"305790","comparisonOperation":0,"comparisonValue":"204","minimumVersion":"","maximumVersion":"","formOrder":0,"lowerBound":null,"enabled":true,"mask":"","largeMask":"","maskKey":"","keyItemMaskOfField":null,"keyOptionIdReplace":"","relatedOptionIds":[],"onlineServices":[],"childCriteriaItemList":[],"clientContextJson":""},{"keyOptionId":"8936","caption":"Systems Software","isDefault":true,"maskCriteriaOnly":false,"definition":"","keyProductQueryItem":"305790","comparisonOperation":0,"comparisonValue":"205","minimumVersion":"","maximumVersion":"","formOrder":0,"lowerBound":null,"enabled":true,"mask":"","largeMask":"","maskKey":"","keyItemMaskOfField":null,"keyOptionIdReplace":"","relatedOptionIds":[],"onlineServices":[],"childCriteriaItemList":[],"clientContextJson":""},{"keyOptionId":"8937","caption":"Home Entertainment Software","isDefault":true,"maskCriteriaOnly":false,"definition":"","keyProductQueryItem":"305790","comparisonOperation":0,"comparisonValue":"206","minimumVersion":"","maximumVersion":"","formOrder":0,"lowerBound":null,"enabled":true,"mask":"","largeMask":"","maskKey":"","keyItemMaskOfField":null,"keyOptionIdReplace":"","relatedOptionIds":[],"onlineServices":[],"childCriteriaItemList":[],"clientContextJson":""}],"clientContextJson":""},{"keyOptionId":"8938","caption":"Technology Hardware and Equipment","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8939","caption":"Communications Equipment","isDefault":true,"maskCriteriaOnly":false,"definition":"","keyProductQueryItem":"305790","comparisonOperation":0,"comparisonValue":"208","minimumVersion":"","maximumVersion":"","formOrder":0,"lowerBound":null,"enabled":true,"mask":"","largeMask":"","maskKey":"","keyItemMaskOfField":null,"keyOptionIdReplace":"","relatedOptionIds":[],"onlineServices":[],"childCriteriaItemList":[],"clientContextJson":""},{"keyOptionId":"8940","caption":"Technology Hardware, Storage and</t>
  </si>
  <si>
    <t xml:space="preserve"> Peripherals","isDefault":true,"maskCriteriaOnly":false,"definition":"","keyProductQueryItem":"305790","comparisonOperation":0,"comparisonValue":"209","minimumVersion":"","maximumVersion":"","formOrder":0,"lowerBound":null,"enabled":true,"mask":"","largeMask":"","maskKey":"","keyItemMaskOfField":null,"keyOptionIdReplace":"","relatedOptionIds":[],"onlineServices":[],"childCriteriaItemList":[],"clientContextJson":""},{"keyOptionId":"8941","caption":"Electronic Equipment and Instruments","isDefault":true,"maskCriteriaOnly":false,"definition":"","keyProductQueryItem":"305790","comparisonOperation":0,"comparisonValue":"210","minimumVersion":"","maximumVersion":"","formOrder":0,"lowerBound":null,"enabled":true,"mask":"","largeMask":"","maskKey":"","keyItemMaskOfField":null,"keyOptionIdReplace":"","relatedOptionIds":[],"onlineServices":[],"childCriteriaItemList":[],"clientContextJson":""},{"keyOptionId":"8942","caption":"Electronic Components","isDefault":true,"maskCriteriaOnly":false,"definition":"","keyProductQueryItem":"305790","comparisonOperation":0,"comparisonValue":"211","minimumVersion":"","maximumVersion":"","formOrder":0,"lowerBound":null,"enabled":true,"mask":"","largeMask":"","maskKey":"","keyItemMaskOfField":null,"keyOptionIdReplace":"","relatedOptionIds":[],"onlineServices":[],"childCriteriaItemList":[],"clientContextJson":""},{"keyOptionId":"8943","caption":"Electronic Manufacturing Services","isDefault":true,"maskCriteriaOnly":false,"definition":"","keyProductQueryItem":"305790","comparisonOperation":0,"comparisonValue":"212","minimumVersion":"","maximumVersion":"","formOrder":0,"lowerBound":null,"enabled":true,"mask":"","largeMask":"","maskKey":"","keyItemMaskOfField":null,"keyOptionIdReplace":"","relatedOptionIds":[],"onlineServices":[],"childCriteriaItemList":[],"clientContextJson":""},{"keyOptionId":"8944","caption":"Technology Distributors","isDefault":true,"maskCriteriaOnly":false,"definition":"","keyProductQueryItem":"305790","comparisonOperation":0,"comparisonValue":"213","minimumVersion":"","maximumVersion":"","formOrder":0,"lowerBound":null,"enabled":true,"mask":"","largeMask":"","maskKey":"","keyItemMaskOfField":null,"keyOptionIdReplace":"","relatedOptionIds":[],"onlineServices":[],"childCriteriaItemList":[],"clientContextJson":""},{"keyOptionId":"8945","caption":"Semiconductor Equipment","isDefault":true,"maskCriteriaOnly":false,"definition":"","keyProductQueryItem":"305790","comparisonOperation":0,"comparisonValue":"214","minimumVersion":"","maximumVersion":"","formOrder":0,"lowerBound":null,"enabled":true,"mask":"","largeMask":"","maskKey":"","keyItemMaskOfField":null,"keyOptionIdReplace":"","relatedOptionIds":[],"onlineServices":[],"childCriteriaItemList":[],"clientContextJson":""},{"keyOptionId":"8946","caption":"Semiconductors","isDefault":true,"maskCriteriaOnly":false,"definition":"","keyProductQueryItem":"305790","comparisonOperation":0,"comparisonValue":"215","minimumVersion":"","maximumVersion":"","formOrder":0,"lowerBound":null,"enabled":true,"mask":"","largeMask":"","maskKey":"","keyItemMaskOfField":null,"keyOptionIdReplace":"","relatedOptionIds":[],"onlineServices":[],"childCriteriaItemList":[],"clientContextJson":""}],"clientContextJson":""}],"clientContextJson":""},{"keyOptionId":"8947","caption":"Media","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8948","caption":"Advertising","isDefault":true,"maskCriteriaOnly":false,"definition":"","keyProductQueryItem":"305790","comparisonOperation":0,"comparisonValue":"217","minimumVersion":"","maximumVersion":"","formOrder":0,"lowerBound":null,"enabled":true,"mask":"","largeMask":"","maskKey":"","keyItemMaskOfField":null,"keyOptionIdReplace":"","relatedOptionIds":[],"onlineServices":[],"childCriteriaItemList":[],"clientContextJson":""},{"keyOptionId":"8949","caption":"Broadcasting","isDefault":true,"maskCriteriaOnly":false,"definition":"","keyProductQueryItem":"305790","comparisonOperation":0,"comparisonValue":"218","minimumVersion":"","maximumVersion":"","formOrder":0,"lowerBound":null,"enabled":true,"mask":"","largeMask":"","maskKey":"","keyItemMaskOfField":null,"keyOptionIdReplace":"","relatedOptionIds":[],"onlineServices":[],"childCriteriaItemList":[],"clientContextJson":""},{"keyOptionId":"8950","caption":"Cable and Satellite","isDefault":true,"maskCriteriaOnly":false,"definition":"","keyProductQueryItem":"305790","comparisonOperation":0,"comparisonValue":"219","minimumVersion":"","maximumVersion":"","formOrder":0,"lowerBound":null,"enabled":true,"mask":"","largeMask":"","maskKey":"","keyItemMaskOfField":null,"keyOptionIdReplace":"","relatedOptionIds":[],"onlineServices":[],"childCriteriaItemList":[],"clientContextJson":""},{"keyOptionId":"8951","caption":"Movies and Entertainment","isDefault":true,"maskCriteriaOnly":false,"definition":"","keyProductQueryItem":"305790","comparisonOperation":0,"comparisonValue":"220","minimumVersion":"","maximumVersion":"","formOrder":0,"lowerBound":null,"enabled":true,"mask":"","largeMask":"","maskKey":"","keyItemMaskOfField":null,"keyOptionIdReplace":"","relatedOptionIds":[],"onlineServices":[],"childCriteriaItemList":[],"clientContextJson":""},{"keyOptionId":"8952","caption":"Publishing","isDefault":true,"maskCriteriaOnly":false,"definition":"","keyProductQueryItem":"305790","comparisonOperation":0,"comparisonValue":"221","minimumVersion":"","maximumVersion":"","formOrder":0,"lowerBound":null,"enabled":true,"mask":"","largeMask":"","maskKey":"","keyItemMaskOfField":null,"keyOptionIdReplace":"","relatedOptionIds":[],"onlineServices":[],"childCriteriaItemList":[],"clientContextJson":""}],"clientContextJson":""},{"keyOptionId":"8953","caption":"Telecommunication Service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8954","caption":"Alternative Carriers","isDefault":true,"maskCriteriaOnly":false,"definition":"","keyProductQueryItem":"305790","comparisonOperation":0,"comparisonValue":"223","minimumVersion":"","maximumVersion":"","formOrder":0,"lowerBound":null,"enabled":true,"mask":"","largeMask":"","maskKey":"","keyItemMaskOfField":null,"keyOptionIdReplace":"","relatedOptionIds":[],"onlineServices":[],"childCriteriaItemList":[],"clientContextJson":""},{"keyOptionId":"8955","caption":"Integrated Telecommunication Services","isDefault":true,"maskCriteriaOnly":false,"definition":"","keyProductQueryItem":"305790","comparisonOperation":0,"comparisonValue":"224","minimumVersion":"","maximumVersion":"","formOrder":0,"lowerBound":null,"enabled":true,"mask":"","largeMask":"","maskKey":"","keyItemMaskOfField":null,"keyOptionIdReplace":"","relatedOptionIds":[],"onlineServices":[],"childCriteriaItemList":[],"clientContextJson":""},{"keyOptionId":"8956","caption":"Wireless Telecommunication Services","isDefault":true,"maskCriteriaOnly":false,"definition":"","keyProductQueryItem":"305790","comparisonOperation":0,"comparisonValue":"225","minimumVersion":"","maximumVersion":"","formOrder":0,"lowerBound":null,"enabled":true,"mask":"","largeMask":"","maskKey":"","keyItem</t>
  </si>
  <si>
    <t>MaskOfField":null,"keyOptionIdReplace":"","relatedOptionIds":[],"onlineServices":[],"childCriteriaItemList":[],"clientContextJson":""}],"clientContextJson":""}],"clientContextJson":""}],"clientContextJson":""}]},{"filterGroupId":"8161","filterGroupIdReplace":"","caption":"Target/Issuer Geography","groupType":2,"optionType":1,"formOrder":30,"minimumVersion":"","maximumVersion":"","onlineServicesEnabled":false,"column":0,"columnFormOrder":30,"criteriaIdName":"","required":true,"dateDefaultType":"","criteriaItemList":[{"keyOptionId":"8162","caption":"All Geographie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8163","caption":"United States and Canada","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8164","caption":"United State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8165","caption":"Mid Atlantic","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8166","caption":"Delaware","isDefault":true,"maskCriteriaOnly":false,"definition":"","keyProductQueryItem":"300051","comparisonOperation":0,"comparisonValue":"271","minimumVersion":"","maximumVersion":"","formOrder":0,"lowerBound":null,"enabled":true,"mask":"","largeMask":"","maskKey":"","keyItemMaskOfField":null,"keyOptionIdReplace":"","relatedOptionIds":[],"onlineServices":[],"childCriteriaItemList":[],"clientContextJson":""},{"keyOptionId":"8167","caption":"District of Columbia","isDefault":true,"maskCriteriaOnly":false,"definition":"","keyProductQueryItem":"300051","comparisonOperation":0,"comparisonValue":"270","minimumVersion":"","maximumVersion":"","formOrder":0,"lowerBound":null,"enabled":true,"mask":"","largeMask":"","maskKey":"","keyItemMaskOfField":null,"keyOptionIdReplace":"","relatedOptionIds":[],"onlineServices":[],"childCriteriaItemList":[],"clientContextJson":""},{"keyOptionId":"8168","caption":"Maryland","isDefault":true,"maskCriteriaOnly":false,"definition":"","keyProductQueryItem":"300051","comparisonOperation":0,"comparisonValue":"272","minimumVersion":"","maximumVersion":"","formOrder":0,"lowerBound":null,"enabled":true,"mask":"","largeMask":"","maskKey":"","keyItemMaskOfField":null,"keyOptionIdReplace":"","relatedOptionIds":[],"onlineServices":[],"childCriteriaItemList":[],"clientContextJson":""},{"keyOptionId":"8169","caption":"New Jersey","isDefault":true,"maskCriteriaOnly":false,"definition":"","keyProductQueryItem":"300051","comparisonOperation":0,"comparisonValue":"273","minimumVersion":"","maximumVersion":"","formOrder":0,"lowerBound":null,"enabled":true,"mask":"","largeMask":"","maskKey":"","keyItemMaskOfField":null,"keyOptionIdReplace":"","relatedOptionIds":[],"onlineServices":[],"childCriteriaItemList":[],"clientContextJson":""},{"keyOptionId":"8170","caption":"New York","isDefault":true,"maskCriteriaOnly":false,"definition":"","keyProductQueryItem":"300051","comparisonOperation":0,"comparisonValue":"274","minimumVersion":"","maximumVersion":"","formOrder":0,"lowerBound":null,"enabled":true,"mask":"","largeMask":"","maskKey":"","keyItemMaskOfField":null,"keyOptionIdReplace":"","relatedOptionIds":[],"onlineServices":[],"childCriteriaItemList":[],"clientContextJson":""},{"keyOptionId":"8171","caption":"Pennsylvania","isDefault":true,"maskCriteriaOnly":false,"definition":"","keyProductQueryItem":"300051","comparisonOperation":0,"comparisonValue":"275","minimumVersion":"","maximumVersion":"","formOrder":0,"lowerBound":null,"enabled":true,"mask":"","largeMask":"","maskKey":"","keyItemMaskOfField":null,"keyOptionIdReplace":"","relatedOptionIds":[],"onlineServices":[],"childCriteriaItemList":[],"clientContextJson":""},{"keyOptionId":"8172","caption":"Puerto Rico","isDefault":true,"maskCriteriaOnly":false,"definition":"","keyProductQueryItem":"300051","comparisonOperation":0,"comparisonValue":"276","minimumVersion":"","maximumVersion":"","formOrder":0,"lowerBound":null,"enabled":true,"mask":"","largeMask":"","maskKey":"","keyItemMaskOfField":null,"keyOptionIdReplace":"","relatedOptionIds":[],"onlineServices":[],"childCriteriaItemList":[],"clientContextJson":""}],"clientContextJson":""},{"keyOptionId":"8173","caption":"Midwest","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8174","caption":"Illinois","isDefault":true,"maskCriteriaOnly":false,"definition":"","keyProductQueryItem":"300051","comparisonOperation":0,"comparisonValue":"278","minimumVersion":"","maximumVersion":"","formOrder":0,"lowerBound":null,"enabled":true,"mask":"","largeMask":"","maskKey":"","keyItemMaskOfField":null,"keyOptionIdReplace":"","relatedOptionIds":[],"onlineServices":[],"childCriteriaItemList":[],"clientContextJson":""},{"keyOptionId":"8175","caption":"Indiana","isDefault":true,"maskCriteriaOnly":false,"definition":"","keyProductQueryItem":"300051","comparisonOperation":0,"comparisonValue":"279","minimumVersion":"","maximumVersion":"","formOrder":0,"lowerBound":null,"enabled":true,"mask":"","largeMask":"","maskKey":"","keyItemMaskOfField":null,"keyOptionIdReplace":"","relatedOptionIds":[],"onlineServices":[],"childCriteriaItemList":[],"clientContextJson":""},{"keyOptionId":"8176","caption":"Iowa","isDefault":true,"maskCriteriaOnly":false,"definition":"","keyProductQueryItem":"300051","comparisonOperation":0,"comparisonValue":"277","minimumVersion":"","maximumVersion":"","formOrder":0,"lowerBound":null,"enabled":true,"mask":"","largeMask":"","maskKey":"","keyItemMaskOfField":null,"keyOptionIdReplace":"","relatedOptionIds":[],"onlineServices":[],"childCriteriaItemList":[],"clientContextJson":""},{"keyOptionId":"8177","caption":"Kansas","isDefault":true,"maskCriteriaOnly":false,"definition":"","keyProductQueryItem":"300051","comparisonOperation":0,"comparisonValue":"280","minimumVersion":"","maximumVersion":"","formOrder":0,"lowerBound":null,"enabled":true,"mask":"","largeMask":"","maskKey":"","keyItemMaskOfField":null,"keyOptionIdReplace":"","relatedOptionIds":[],"onlineServices":[],"childCriteriaItemList":[],"clientContextJson":""},{"keyOptionId":"8178","caption":"Kentucky","isDefault":true,"maskCriteriaOnly":false,</t>
  </si>
  <si>
    <t>"definition":"","keyProductQueryItem":"300051","comparisonOperation":0,"comparisonValue":"281","minimumVersion":"","maximumVersion":"","formOrder":0,"lowerBound":null,"enabled":true,"mask":"","largeMask":"","maskKey":"","keyItemMaskOfField":null,"keyOptionIdReplace":"","relatedOptionIds":[],"onlineServices":[],"childCriteriaItemList":[],"clientContextJson":""},{"keyOptionId":"8179","caption":"Michigan","isDefault":true,"maskCriteriaOnly":false,"definition":"","keyProductQueryItem":"300051","comparisonOperation":0,"comparisonValue":"282","minimumVersion":"","maximumVersion":"","formOrder":0,"lowerBound":null,"enabled":true,"mask":"","largeMask":"","maskKey":"","keyItemMaskOfField":null,"keyOptionIdReplace":"","relatedOptionIds":[],"onlineServices":[],"childCriteriaItemList":[],"clientContextJson":""},{"keyOptionId":"8180","caption":"Minnesota","isDefault":true,"maskCriteriaOnly":false,"definition":"","keyProductQueryItem":"300051","comparisonOperation":0,"comparisonValue":"283","minimumVersion":"","maximumVersion":"","formOrder":0,"lowerBound":null,"enabled":true,"mask":"","largeMask":"","maskKey":"","keyItemMaskOfField":null,"keyOptionIdReplace":"","relatedOptionIds":[],"onlineServices":[],"childCriteriaItemList":[],"clientContextJson":""},{"keyOptionId":"8181","caption":"Missouri","isDefault":true,"maskCriteriaOnly":false,"definition":"","keyProductQueryItem":"300051","comparisonOperation":0,"comparisonValue":"284","minimumVersion":"","maximumVersion":"","formOrder":0,"lowerBound":null,"enabled":true,"mask":"","largeMask":"","maskKey":"","keyItemMaskOfField":null,"keyOptionIdReplace":"","relatedOptionIds":[],"onlineServices":[],"childCriteriaItemList":[],"clientContextJson":""},{"keyOptionId":"8182","caption":"Nebraska","isDefault":true,"maskCriteriaOnly":false,"definition":"","keyProductQueryItem":"300051","comparisonOperation":0,"comparisonValue":"286","minimumVersion":"","maximumVersion":"","formOrder":0,"lowerBound":null,"enabled":true,"mask":"","largeMask":"","maskKey":"","keyItemMaskOfField":null,"keyOptionIdReplace":"","relatedOptionIds":[],"onlineServices":[],"childCriteriaItemList":[],"clientContextJson":""},{"keyOptionId":"8183","caption":"North Dakota","isDefault":true,"maskCriteriaOnly":false,"definition":"","keyProductQueryItem":"300051","comparisonOperation":0,"comparisonValue":"285","minimumVersion":"","maximumVersion":"","formOrder":0,"lowerBound":null,"enabled":true,"mask":"","largeMask":"","maskKey":"","keyItemMaskOfField":null,"keyOptionIdReplace":"","relatedOptionIds":[],"onlineServices":[],"childCriteriaItemList":[],"clientContextJson":""},{"keyOptionId":"8184","caption":"Ohio","isDefault":true,"maskCriteriaOnly":false,"definition":"","keyProductQueryItem":"300051","comparisonOperation":0,"comparisonValue":"287","minimumVersion":"","maximumVersion":"","formOrder":0,"lowerBound":null,"enabled":true,"mask":"","largeMask":"","maskKey":"","keyItemMaskOfField":null,"keyOptionIdReplace":"","relatedOptionIds":[],"onlineServices":[],"childCriteriaItemList":[],"clientContextJson":""},{"keyOptionId":"8185","caption":"South Dakota","isDefault":true,"maskCriteriaOnly":false,"definition":"","keyProductQueryItem":"300051","comparisonOperation":0,"comparisonValue":"288","minimumVersion":"","maximumVersion":"","formOrder":0,"lowerBound":null,"enabled":true,"mask":"","largeMask":"","maskKey":"","keyItemMaskOfField":null,"keyOptionIdReplace":"","relatedOptionIds":[],"onlineServices":[],"childCriteriaItemList":[],"clientContextJson":""},{"keyOptionId":"8186","caption":"Wisconsin","isDefault":true,"maskCriteriaOnly":false,"definition":"","keyProductQueryItem":"300051","comparisonOperation":0,"comparisonValue":"289","minimumVersion":"","maximumVersion":"","formOrder":0,"lowerBound":null,"enabled":true,"mask":"","largeMask":"","maskKey":"","keyItemMaskOfField":null,"keyOptionIdReplace":"","relatedOptionIds":[],"onlineServices":[],"childCriteriaItemList":[],"clientContextJson":""}],"clientContextJson":""},{"keyOptionId":"8187","caption":"Northeast","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8188","caption":"Connecticut","isDefault":true,"maskCriteriaOnly":false,"definition":"","keyProductQueryItem":"300051","comparisonOperation":0,"comparisonValue":"290","minimumVersion":"","maximumVersion":"","formOrder":0,"lowerBound":null,"enabled":true,"mask":"","largeMask":"","maskKey":"","keyItemMaskOfField":null,"keyOptionIdReplace":"","relatedOptionIds":[],"onlineServices":[],"childCriteriaItemList":[],"clientContextJson":""},{"keyOptionId":"8189","caption":"Maine","isDefault":true,"maskCriteriaOnly":false,"definition":"","keyProductQueryItem":"300051","comparisonOperation":0,"comparisonValue":"292","minimumVersion":"","maximumVersion":"","formOrder":0,"lowerBound":null,"enabled":true,"mask":"","largeMask":"","maskKey":"","keyItemMaskOfField":null,"keyOptionIdReplace":"","relatedOptionIds":[],"onlineServices":[],"childCriteriaItemList":[],"clientContextJson":""},{"keyOptionId":"8190","caption":"Massachusetts","isDefault":true,"maskCriteriaOnly":false,"definition":"","keyProductQueryItem":"300051","comparisonOperation":0,"comparisonValue":"291","minimumVersion":"","maximumVersion":"","formOrder":0,"lowerBound":null,"enabled":true,"mask":"","largeMask":"","maskKey":"","keyItemMaskOfField":null,"keyOptionIdReplace":"","relatedOptionIds":[],"onlineServices":[],"childCriteriaItemList":[],"clientContextJson":""},{"keyOptionId":"8191","caption":"New Hampshire","isDefault":true,"maskCriteriaOnly":false,"definition":"","keyProductQueryItem":"300051","comparisonOperation":0,"comparisonValue":"293","minimumVersion":"","maximumVersion":"","formOrder":0,"lowerBound":null,"enabled":true,"mask":"","largeMask":"","maskKey":"","keyItemMaskOfField":null,"keyOptionIdReplace":"","relatedOptionIds":[],"onlineServices":[],"childCriteriaItemList":[],"clientContextJson":""},{"keyOptionId":"8192","caption":"Rhode Island","isDefault":true,"maskCriteriaOnly":false,"definition":"","keyProductQueryItem":"300051","comparisonOperation":0,"comparisonValue":"294","minimumVersion":"","maximumVersion":"","formOrder":0,"lowerBound":null,"enabled":true,"mask":"","largeMask":"","maskKey":"","keyItemMaskOfField":null,"keyOptionIdReplace":"","relatedOptionIds":[],"onlineServices":[],"childCriteriaItemList":[],"clientContextJson":""},{"keyOptionId":"8193","caption":"Vermont","isDefault":true,"maskCriteriaOnly":false,"definition":"","keyProductQueryItem":"300051","comparisonOperation":0,"comparisonValue":"295","minimumVersion":"","maximumVersion":"","formOrder":0,"lowerBound":null,"enabled":true,"mask":"","largeMask":"","maskKey":"","keyItemMaskOfField":null,"keyOptionIdReplace":"","relatedOptionIds":[],"onlineServices":[],"childCriteriaItemList":[],"clientContextJson":""}],"clientContextJson":""},{"keyOptionId":"8194","caption":"Southeast","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8195","caption":"Alabama","isDefault":true,"maskCriteriaOnly":false,"definition":"","keyProductQueryItem":"300051","comparisonOper</t>
  </si>
  <si>
    <t>ation":0,"comparisonValue":"296","minimumVersion":"","maximumVersion":"","formOrder":0,"lowerBound":null,"enabled":true,"mask":"","largeMask":"","maskKey":"","keyItemMaskOfField":null,"keyOptionIdReplace":"","relatedOptionIds":[],"onlineServices":[],"childCriteriaItemList":[],"clientContextJson":""},{"keyOptionId":"8196","caption":"Arkansas","isDefault":true,"maskCriteriaOnly":false,"definition":"","keyProductQueryItem":"300051","comparisonOperation":0,"comparisonValue":"297","minimumVersion":"","maximumVersion":"","formOrder":0,"lowerBound":null,"enabled":true,"mask":"","largeMask":"","maskKey":"","keyItemMaskOfField":null,"keyOptionIdReplace":"","relatedOptionIds":[],"onlineServices":[],"childCriteriaItemList":[],"clientContextJson":""},{"keyOptionId":"8197","caption":"Florida","isDefault":true,"maskCriteriaOnly":false,"definition":"","keyProductQueryItem":"300051","comparisonOperation":0,"comparisonValue":"298","minimumVersion":"","maximumVersion":"","formOrder":0,"lowerBound":null,"enabled":true,"mask":"","largeMask":"","maskKey":"","keyItemMaskOfField":null,"keyOptionIdReplace":"","relatedOptionIds":[],"onlineServices":[],"childCriteriaItemList":[],"clientContextJson":""},{"keyOptionId":"8198","caption":"Georgia","isDefault":true,"maskCriteriaOnly":false,"definition":"","keyProductQueryItem":"300051","comparisonOperation":0,"comparisonValue":"299","minimumVersion":"","maximumVersion":"","formOrder":0,"lowerBound":null,"enabled":true,"mask":"","largeMask":"","maskKey":"","keyItemMaskOfField":null,"keyOptionIdReplace":"","relatedOptionIds":[],"onlineServices":[],"childCriteriaItemList":[],"clientContextJson":""},{"keyOptionId":"8199","caption":"Mississippi","isDefault":true,"maskCriteriaOnly":false,"definition":"","keyProductQueryItem":"300051","comparisonOperation":0,"comparisonValue":"300","minimumVersion":"","maximumVersion":"","formOrder":0,"lowerBound":null,"enabled":true,"mask":"","largeMask":"","maskKey":"","keyItemMaskOfField":null,"keyOptionIdReplace":"","relatedOptionIds":[],"onlineServices":[],"childCriteriaItemList":[],"clientContextJson":""},{"keyOptionId":"8200","caption":"North Carolina","isDefault":true,"maskCriteriaOnly":false,"definition":"","keyProductQueryItem":"300051","comparisonOperation":0,"comparisonValue":"301","minimumVersion":"","maximumVersion":"","formOrder":0,"lowerBound":null,"enabled":true,"mask":"","largeMask":"","maskKey":"","keyItemMaskOfField":null,"keyOptionIdReplace":"","relatedOptionIds":[],"onlineServices":[],"childCriteriaItemList":[],"clientContextJson":""},{"keyOptionId":"8201","caption":"South Carolina","isDefault":true,"maskCriteriaOnly":false,"definition":"","keyProductQueryItem":"300051","comparisonOperation":0,"comparisonValue":"302","minimumVersion":"","maximumVersion":"","formOrder":0,"lowerBound":null,"enabled":true,"mask":"","largeMask":"","maskKey":"","keyItemMaskOfField":null,"keyOptionIdReplace":"","relatedOptionIds":[],"onlineServices":[],"childCriteriaItemList":[],"clientContextJson":""},{"keyOptionId":"8202","caption":"Tennessee","isDefault":true,"maskCriteriaOnly":false,"definition":"","keyProductQueryItem":"300051","comparisonOperation":0,"comparisonValue":"303","minimumVersion":"","maximumVersion":"","formOrder":0,"lowerBound":null,"enabled":true,"mask":"","largeMask":"","maskKey":"","keyItemMaskOfField":null,"keyOptionIdReplace":"","relatedOptionIds":[],"onlineServices":[],"childCriteriaItemList":[],"clientContextJson":""},{"keyOptionId":"8203","caption":"Virgin Islands, U.S.","isDefault":true,"maskCriteriaOnly":false,"definition":"","keyProductQueryItem":"300051","comparisonOperation":0,"comparisonValue":"305","minimumVersion":"","maximumVersion":"","formOrder":0,"lowerBound":null,"enabled":true,"mask":"","largeMask":"","maskKey":"","keyItemMaskOfField":null,"keyOptionIdReplace":"","relatedOptionIds":[],"onlineServices":[],"childCriteriaItemList":[],"clientContextJson":""},{"keyOptionId":"8204","caption":"Virginia","isDefault":true,"maskCriteriaOnly":false,"definition":"","keyProductQueryItem":"300051","comparisonOperation":0,"comparisonValue":"304","minimumVersion":"","maximumVersion":"","formOrder":0,"lowerBound":null,"enabled":true,"mask":"","largeMask":"","maskKey":"","keyItemMaskOfField":null,"keyOptionIdReplace":"","relatedOptionIds":[],"onlineServices":[],"childCriteriaItemList":[],"clientContextJson":""},{"keyOptionId":"8205","caption":"West Virginia","isDefault":true,"maskCriteriaOnly":false,"definition":"","keyProductQueryItem":"300051","comparisonOperation":0,"comparisonValue":"306","minimumVersion":"","maximumVersion":"","formOrder":0,"lowerBound":null,"enabled":true,"mask":"","largeMask":"","maskKey":"","keyItemMaskOfField":null,"keyOptionIdReplace":"","relatedOptionIds":[],"onlineServices":[],"childCriteriaItemList":[],"clientContextJson":""}],"clientContextJson":""},{"keyOptionId":"8206","caption":"Southwest","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8207","caption":"Colorado","isDefault":true,"maskCriteriaOnly":false,"definition":"","keyProductQueryItem":"300051","comparisonOperation":0,"comparisonValue":"307","minimumVersion":"","maximumVersion":"","formOrder":0,"lowerBound":null,"enabled":true,"mask":"","largeMask":"","maskKey":"","keyItemMaskOfField":null,"keyOptionIdReplace":"","relatedOptionIds":[],"onlineServices":[],"childCriteriaItemList":[],"clientContextJson":""},{"keyOptionId":"8208","caption":"Louisiana","isDefault":true,"maskCriteriaOnly":false,"definition":"","keyProductQueryItem":"300051","comparisonOperation":0,"comparisonValue":"308","minimumVersion":"","maximumVersion":"","formOrder":0,"lowerBound":null,"enabled":true,"mask":"","largeMask":"","maskKey":"","keyItemMaskOfField":null,"keyOptionIdReplace":"","relatedOptionIds":[],"onlineServices":[],"childCriteriaItemList":[],"clientContextJson":""},{"keyOptionId":"8209","caption":"New Mexico","isDefault":true,"maskCriteriaOnly":false,"definition":"","keyProductQueryItem":"300051","comparisonOperation":0,"comparisonValue":"309","minimumVersion":"","maximumVersion":"","formOrder":0,"lowerBound":null,"enabled":true,"mask":"","largeMask":"","maskKey":"","keyItemMaskOfField":null,"keyOptionIdReplace":"","relatedOptionIds":[],"onlineServices":[],"childCriteriaItemList":[],"clientContextJson":""},{"keyOptionId":"8210","caption":"Oklahoma","isDefault":true,"maskCriteriaOnly":false,"definition":"","keyProductQueryItem":"300051","comparisonOperation":0,"comparisonValue":"310","minimumVersion":"","maximumVersion":"","formOrder":0,"lowerBound":null,"enabled":true,"mask":"","largeMask":"","maskKey":"","keyItemMaskOfField":null,"keyOptionIdReplace":"","relatedOptionIds":[],"onlineServices":[],"childCriteriaItemList":[],"clientContextJson":""},{"keyOptionId":"8211","caption":"Texas","isDefault":true,"maskCriteriaOnly":false,"definition":"","keyProductQueryItem":"300051","comparisonOperation":0,"comparisonValue":"311","minimumVersion":"","maximumVersion":"","formOrder":0,"lowerBound":null,"enabled":true,"mask":"","largeMask":"","maskKey":"","keyItemMaskOfField":null,"keyOptionIdReplace":"","relatedOptionIds":[],"onlineServices":[],"childCriteriaItemList":[],"clientContextJson":""},{"keyOptionId":"8212","caption":"Utah","isDefault":true,"maskCriteriaOnly":false,"definition":"","keyProductQueryItem":"300051","comparisonOperation":0,"comparisonValue":"312","minimumVersio</t>
  </si>
  <si>
    <t>n":"","maximumVersion":"","formOrder":0,"lowerBound":null,"enabled":true,"mask":"","largeMask":"","maskKey":"","keyItemMaskOfField":null,"keyOptionIdReplace":"","relatedOptionIds":[],"onlineServices":[],"childCriteriaItemList":[],"clientContextJson":""}],"clientContextJson":""},{"keyOptionId":"8213","caption":"West","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8214","caption":"Alaska","isDefault":true,"maskCriteriaOnly":false,"definition":"","keyProductQueryItem":"300051","comparisonOperation":0,"comparisonValue":"313","minimumVersion":"","maximumVersion":"","formOrder":0,"lowerBound":null,"enabled":true,"mask":"","largeMask":"","maskKey":"","keyItemMaskOfField":null,"keyOptionIdReplace":"","relatedOptionIds":[],"onlineServices":[],"childCriteriaItemList":[],"clientContextJson":""},{"keyOptionId":"8215","caption":"American Samoa","isDefault":true,"maskCriteriaOnly":false,"definition":"","keyProductQueryItem":"300051","comparisonOperation":0,"comparisonValue":"314","minimumVersion":"","maximumVersion":"","formOrder":0,"lowerBound":null,"enabled":true,"mask":"","largeMask":"","maskKey":"","keyItemMaskOfField":null,"keyOptionIdReplace":"","relatedOptionIds":[],"onlineServices":[],"childCriteriaItemList":[],"clientContextJson":""},{"keyOptionId":"8216","caption":"Arizona","isDefault":true,"maskCriteriaOnly":false,"definition":"","keyProductQueryItem":"300051","comparisonOperation":0,"comparisonValue":"315","minimumVersion":"","maximumVersion":"","formOrder":0,"lowerBound":null,"enabled":true,"mask":"","largeMask":"","maskKey":"","keyItemMaskOfField":null,"keyOptionIdReplace":"","relatedOptionIds":[],"onlineServices":[],"childCriteriaItemList":[],"clientContextJson":""},{"keyOptionId":"8217","caption":"California","isDefault":true,"maskCriteriaOnly":false,"definition":"","keyProductQueryItem":"300051","comparisonOperation":0,"comparisonValue":"316","minimumVersion":"","maximumVersion":"","formOrder":0,"lowerBound":null,"enabled":true,"mask":"","largeMask":"","maskKey":"","keyItemMaskOfField":null,"keyOptionIdReplace":"","relatedOptionIds":[],"onlineServices":[],"childCriteriaItemList":[],"clientContextJson":""},{"keyOptionId":"8218","caption":"Guam","isDefault":true,"maskCriteriaOnly":false,"definition":"","keyProductQueryItem":"300051","comparisonOperation":0,"comparisonValue":"318","minimumVersion":"","maximumVersion":"","formOrder":0,"lowerBound":null,"enabled":true,"mask":"","largeMask":"","maskKey":"","keyItemMaskOfField":null,"keyOptionIdReplace":"","relatedOptionIds":[],"onlineServices":[],"childCriteriaItemList":[],"clientContextJson":""},{"keyOptionId":"8219","caption":"Hawaii","isDefault":true,"maskCriteriaOnly":false,"definition":"","keyProductQueryItem":"300051","comparisonOperation":0,"comparisonValue":"319","minimumVersion":"","maximumVersion":"","formOrder":0,"lowerBound":null,"enabled":true,"mask":"","largeMask":"","maskKey":"","keyItemMaskOfField":null,"keyOptionIdReplace":"","relatedOptionIds":[],"onlineServices":[],"childCriteriaItemList":[],"clientContextJson":""},{"keyOptionId":"8220","caption":"Idaho","isDefault":true,"maskCriteriaOnly":false,"definition":"","keyProductQueryItem":"300051","comparisonOperation":0,"comparisonValue":"320","minimumVersion":"","maximumVersion":"","formOrder":0,"lowerBound":null,"enabled":true,"mask":"","largeMask":"","maskKey":"","keyItemMaskOfField":null,"keyOptionIdReplace":"","relatedOptionIds":[],"onlineServices":[],"childCriteriaItemList":[],"clientContextJson":""},{"keyOptionId":"8221","caption":"Montana","isDefault":true,"maskCriteriaOnly":false,"definition":"","keyProductQueryItem":"300051","comparisonOperation":0,"comparisonValue":"323","minimumVersion":"","maximumVersion":"","formOrder":0,"lowerBound":null,"enabled":true,"mask":"","largeMask":"","maskKey":"","keyItemMaskOfField":null,"keyOptionIdReplace":"","relatedOptionIds":[],"onlineServices":[],"childCriteriaItemList":[],"clientContextJson":""},{"keyOptionId":"8222","caption":"Nevada","isDefault":true,"maskCriteriaOnly":false,"definition":"","keyProductQueryItem":"300051","comparisonOperation":0,"comparisonValue":"324","minimumVersion":"","maximumVersion":"","formOrder":0,"lowerBound":null,"enabled":true,"mask":"","largeMask":"","maskKey":"","keyItemMaskOfField":null,"keyOptionIdReplace":"","relatedOptionIds":[],"onlineServices":[],"childCriteriaItemList":[],"clientContextJson":""},{"keyOptionId":"8223","caption":"Northern Mariana Islands","isDefault":true,"maskCriteriaOnly":false,"definition":"","keyProductQueryItem":"300051","comparisonOperation":0,"comparisonValue":"322","minimumVersion":"","maximumVersion":"","formOrder":0,"lowerBound":null,"enabled":true,"mask":"","largeMask":"","maskKey":"","keyItemMaskOfField":null,"keyOptionIdReplace":"","relatedOptionIds":[],"onlineServices":[],"childCriteriaItemList":[],"clientContextJson":""},{"keyOptionId":"8224","caption":"Oregon","isDefault":true,"maskCriteriaOnly":false,"definition":"","keyProductQueryItem":"300051","comparisonOperation":0,"comparisonValue":"325","minimumVersion":"","maximumVersion":"","formOrder":0,"lowerBound":null,"enabled":true,"mask":"","largeMask":"","maskKey":"","keyItemMaskOfField":null,"keyOptionIdReplace":"","relatedOptionIds":[],"onlineServices":[],"childCriteriaItemList":[],"clientContextJson":""},{"keyOptionId":"8225","caption":"United States Minor Outlying Islands","isDefault":true,"maskCriteriaOnly":false,"definition":"","keyProductQueryItem":"300051","comparisonOperation":0,"comparisonValue":"327","minimumVersion":"","maximumVersion":"","formOrder":0,"lowerBound":null,"enabled":true,"mask":"","largeMask":"","maskKey":"","keyItemMaskOfField":null,"keyOptionIdReplace":"","relatedOptionIds":[],"onlineServices":[],"childCriteriaItemList":[],"clientContextJson":""},{"keyOptionId":"8226","caption":"Washington","isDefault":true,"maskCriteriaOnly":false,"definition":"","keyProductQueryItem":"300051","comparisonOperation":0,"comparisonValue":"328","minimumVersion":"","maximumVersion":"","formOrder":0,"lowerBound":null,"enabled":true,"mask":"","largeMask":"","maskKey":"","keyItemMaskOfField":null,"keyOptionIdReplace":"","relatedOptionIds":[],"onlineServices":[],"childCriteriaItemList":[],"clientContextJson":""},{"keyOptionId":"8227","caption":"Wyoming","isDefault":true,"maskCriteriaOnly":false,"definition":"","keyProductQueryItem":"300051","comparisonOperation":0,"comparisonValue":"329","minimumVersion":"","maximumVersion":"","formOrder":0,"lowerBound":null,"enabled":true,"mask":"","largeMask":"","maskKey":"","keyItemMaskOfField":null,"keyOptionIdReplace":"","relatedOptionIds":[],"onlineServices":[],"childCriteriaItemList":[],"clientContextJson":""}],"clientContextJson":""},{"keyOptionId":"8957","caption":"Unknown","isDefault":true,"maskCriteriaOnly":false,"definition":"","keyProductQueryItem":"300051","comparisonOperation":0,"comparisonValue":"33","minimumVersion":"","maximumVersion":"","formOrder":0,"lowerBound":null,"enabled":true,"mask":"","largeMask":"","maskKey":"","keyItemMaskOfField":null,"keyOptionIdReplace":"","relatedOptionIds":[],"onlineServices":[],"childCriteriaItemList":[],"clientContextJson":""}],"clientContextJson":""},{"keyOptionId":"8228","caption":"Canada","isDefault":true,"maskCriteriaOnly":false,"definition":"","keyProductQueryItem":"300051","comparisonOperation":0,"comparisonValue":"38","minimumVers</t>
  </si>
  <si>
    <t>ion":"","maximumVersion":"","formOrder":0,"lowerBound":null,"enabled":true,"mask":"","largeMask":"","maskKey":"","keyItemMaskOfField":null,"keyOptionIdReplace":"","relatedOptionIds":[],"onlineServices":[],"childCriteriaItemList":[],"clientContextJson":""},{"keyOptionId":"8229","caption":"Bermuda","isDefault":true,"maskCriteriaOnly":false,"definition":"","keyProductQueryItem":"300051","comparisonOperation":0,"comparisonValue":"12","minimumVersion":"","maximumVersion":"","formOrder":0,"lowerBound":null,"enabled":true,"mask":"","largeMask":"","maskKey":"","keyItemMaskOfField":null,"keyOptionIdReplace":"","relatedOptionIds":[],"onlineServices":[],"childCriteriaItemList":[],"clientContextJson":""}],"clientContextJson":""},{"keyOptionId":"8230","caption":"Europe","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8231","caption":"Developed Europe","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8232","caption":"Andorra","isDefault":true,"maskCriteriaOnly":false,"definition":"","keyProductQueryItem":"300051","comparisonOperation":0,"comparisonValue":"170","minimumVersion":"","maximumVersion":"","formOrder":0,"lowerBound":null,"enabled":true,"mask":"","largeMask":"","maskKey":"","keyItemMaskOfField":null,"keyOptionIdReplace":"","relatedOptionIds":[],"onlineServices":[],"childCriteriaItemList":[],"clientContextJson":""},{"keyOptionId":"8233","caption":"Austria","isDefault":true,"maskCriteriaOnly":false,"definition":"","keyProductQueryItem":"300051","comparisonOperation":0,"comparisonValue":"206","minimumVersion":"","maximumVersion":"","formOrder":0,"lowerBound":null,"enabled":true,"mask":"","largeMask":"","maskKey":"","keyItemMaskOfField":null,"keyOptionIdReplace":"","relatedOptionIds":[],"onlineServices":[],"childCriteriaItemList":[],"clientContextJson":""},{"keyOptionId":"8234","caption":"Belgium","isDefault":true,"maskCriteriaOnly":false,"definition":"","keyProductQueryItem":"300051","comparisonOperation":0,"comparisonValue":"175","minimumVersion":"","maximumVersion":"","formOrder":0,"lowerBound":null,"enabled":true,"mask":"","largeMask":"","maskKey":"","keyItemMaskOfField":null,"keyOptionIdReplace":"","relatedOptionIds":[],"onlineServices":[],"childCriteriaItemList":[],"clientContextJson":""},{"keyOptionId":"8235","caption":"Cyprus","isDefault":true,"maskCriteriaOnly":false,"definition":"","keyProductQueryItem":"300051","comparisonOperation":0,"comparisonValue":"126","minimumVersion":"","maximumVersion":"","formOrder":0,"lowerBound":null,"enabled":true,"mask":"","largeMask":"","maskKey":"","keyItemMaskOfField":null,"keyOptionIdReplace":"","relatedOptionIds":[],"onlineServices":[],"childCriteriaItemList":[],"clientContextJson":""},{"keyOptionId":"8236","caption":"Czech Republic","isDefault":true,"maskCriteriaOnly":false,"definition":"","keyProductQueryItem":"300051","comparisonOperation":0,"comparisonValue":"207","minimumVersion":"","maximumVersion":"","formOrder":0,"lowerBound":null,"enabled":true,"mask":"","largeMask":"","maskKey":"","keyItemMaskOfField":null,"keyOptionIdReplace":"","relatedOptionIds":[],"onlineServices":[],"childCriteriaItemList":[],"clientContextJson":""},{"keyOptionId":"8237","caption":"Denmark","isDefault":true,"maskCriteriaOnly":false,"definition":"","keyProductQueryItem":"300051","comparisonOperation":0,"comparisonValue":"209","minimumVersion":"","maximumVersion":"","formOrder":0,"lowerBound":null,"enabled":true,"mask":"","largeMask":"","maskKey":"","keyItemMaskOfField":null,"keyOptionIdReplace":"","relatedOptionIds":[],"onlineServices":[],"childCriteriaItemList":[],"clientContextJson":""},{"keyOptionId":"8238","caption":"Finland","isDefault":true,"maskCriteriaOnly":false,"definition":"","keyProductQueryItem":"300051","comparisonOperation":0,"comparisonValue":"181","minimumVersion":"","maximumVersion":"","formOrder":0,"lowerBound":null,"enabled":true,"mask":"","largeMask":"","maskKey":"","keyItemMaskOfField":null,"keyOptionIdReplace":"","relatedOptionIds":[],"onlineServices":[],"childCriteriaItemList":[],"clientContextJson":""},{"keyOptionId":"8239","caption":"France","isDefault":true,"maskCriteriaOnly":false,"definition":"","keyProductQueryItem":"300051","comparisonOperation":0,"comparisonValue":"183","minimumVersion":"","maximumVersion":"","formOrder":0,"lowerBound":null,"enabled":true,"mask":"","largeMask":"","maskKey":"","keyItemMaskOfField":null,"keyOptionIdReplace":"","relatedOptionIds":[],"onlineServices":[],"childCriteriaItemList":[],"clientContextJson":""},{"keyOptionId":"8240","caption":"Germany","isDefault":true,"maskCriteriaOnly":false,"definition":"","keyProductQueryItem":"300051","comparisonOperation":0,"comparisonValue":"208","minimumVersion":"","maximumVersion":"","formOrder":0,"lowerBound":null,"enabled":true,"mask":"","largeMask":"","maskKey":"","keyItemMaskOfField":null,"keyOptionIdReplace":"","relatedOptionIds":[],"onlineServices":[],"childCriteriaItemList":[],"clientContextJson":""},{"keyOptionId":"8241","caption":"Gibraltar","isDefault":true,"maskCriteriaOnly":false,"definition":"","keyProductQueryItem":"300051","comparisonOperation":0,"comparisonValue":"185","minimumVersion":"","maximumVersion":"","formOrder":0,"lowerBound":null,"enabled":true,"mask":"","largeMask":"","maskKey":"","keyItemMaskOfField":null,"keyOptionIdReplace":"","relatedOptionIds":[],"onlineServices":[],"childCriteriaItemList":[],"clientContextJson":""},{"keyOptionId":"8242","caption":"Greece","isDefault":true,"maskCriteriaOnly":false,"definition":"","keyProductQueryItem":"300051","comparisonOperation":0,"comparisonValue":"186","minimumVersion":"","maximumVersion":"","formOrder":0,"lowerBound":null,"enabled":true,"mask":"","largeMask":"","maskKey":"","keyItemMaskOfField":null,"keyOptionIdReplace":"","relatedOptionIds":[],"onlineServices":[],"childCriteriaItemList":[],"clientContextJson":""},{"keyOptionId":"8243","caption":"Greenland","isDefault":true,"maskCriteriaOnly":false,"definition":"","keyProductQueryItem":"300051","comparisonOperation":0,"comparisonValue":"19","minimumVersion":"","maximumVersion":"","formOrder":0,"lowerBound":null,"enabled":true,"mask":"","largeMask":"","maskKey":"","keyItemMaskOfField":null,"keyOptionIdReplace":"","relatedOptionIds":[],"onlineServices":[],"childCriteriaItemList":[],"clientContextJson":""},{"keyOptionId":"8244","caption":"Iceland","isDefault":true,"maskCriteriaOnly":false,"definition":"","keyProductQueryItem":"300051","comparisonOperation":0,"comparisonValue":"189","minimumVersion":"","maximumVersion":"","formOrder":0,"lowerBound":null,"enabled":true,"mask":"","largeMask":"","maskKey":"","keyItemMaskOfField":null,"keyOptionIdReplace":"","relatedOptionIds":[],"onlineServices":[],"childCriteriaItemList":[],"clientContextJson":""},{"keyOptionId":"8245","caption":"Ireland","isDefault":true,"maskCriteriaOnly":false,"definition":"","keyProductQueryItem":"300051","comparisonOperation":0,"comparisonValue":"212","minimumVersion":"","maximumVersion":"","formOrder":0,"lowerBound":null,"enabled":true,"mask":"","largeMask":"","maskKey":</t>
  </si>
  <si>
    <t>"","keyItemMaskOfField":null,"keyOptionIdReplace":"","relatedOptionIds":[],"onlineServices":[],"childCriteriaItemList":[],"clientContextJson":""},{"keyOptionId":"8246","caption":"Italy","isDefault":true,"maskCriteriaOnly":false,"definition":"","keyProductQueryItem":"300051","comparisonOperation":0,"comparisonValue":"190","minimumVersion":"","maximumVersion":"","formOrder":0,"lowerBound":null,"enabled":true,"mask":"","largeMask":"","maskKey":"","keyItemMaskOfField":null,"keyOptionIdReplace":"","relatedOptionIds":[],"onlineServices":[],"childCriteriaItemList":[],"clientContextJson":""},{"keyOptionId":"8247","caption":"Liechtenstein","isDefault":true,"maskCriteriaOnly":false,"definition":"","keyProductQueryItem":"300051","comparisonOperation":0,"comparisonValue":"213","minimumVersion":"","maximumVersion":"","formOrder":0,"lowerBound":null,"enabled":true,"mask":"","largeMask":"","maskKey":"","keyItemMaskOfField":null,"keyOptionIdReplace":"","relatedOptionIds":[],"onlineServices":[],"childCriteriaItemList":[],"clientContextJson":""},{"keyOptionId":"8248","caption":"Luxembourg","isDefault":true,"maskCriteriaOnly":false,"definition":"","keyProductQueryItem":"300051","comparisonOperation":0,"comparisonValue":"214","minimumVersion":"","maximumVersion":"","formOrder":0,"lowerBound":null,"enabled":true,"mask":"","largeMask":"","maskKey":"","keyItemMaskOfField":null,"keyOptionIdReplace":"","relatedOptionIds":[],"onlineServices":[],"childCriteriaItemList":[],"clientContextJson":""},{"keyOptionId":"8249","caption":"Malta","isDefault":true,"maskCriteriaOnly":false,"definition":"","keyProductQueryItem":"300051","comparisonOperation":0,"comparisonValue":"195","minimumVersion":"","maximumVersion":"","formOrder":0,"lowerBound":null,"enabled":true,"mask":"","largeMask":"","maskKey":"","keyItemMaskOfField":null,"keyOptionIdReplace":"","relatedOptionIds":[],"onlineServices":[],"childCriteriaItemList":[],"clientContextJson":""},{"keyOptionId":"8250","caption":"Monaco","isDefault":true,"maskCriteriaOnly":false,"definition":"","keyProductQueryItem":"300051","comparisonOperation":0,"comparisonValue":"215","minimumVersion":"","maximumVersion":"","formOrder":0,"lowerBound":null,"enabled":true,"mask":"","largeMask":"","maskKey":"","keyItemMaskOfField":null,"keyOptionIdReplace":"","relatedOptionIds":[],"onlineServices":[],"childCriteriaItemList":[],"clientContextJson":""},{"keyOptionId":"8251","caption":"Netherlands","isDefault":true,"maskCriteriaOnly":false,"definition":"","keyProductQueryItem":"300051","comparisonOperation":0,"comparisonValue":"216","minimumVersion":"","maximumVersion":"","formOrder":0,"lowerBound":null,"enabled":true,"mask":"","largeMask":"","maskKey":"","keyItemMaskOfField":null,"keyOptionIdReplace":"","relatedOptionIds":[],"onlineServices":[],"childCriteriaItemList":[],"clientContextJson":""},{"keyOptionId":"8252","caption":"Norway","isDefault":true,"maskCriteriaOnly":false,"definition":"","keyProductQueryItem":"300051","comparisonOperation":0,"comparisonValue":"196","minimumVersion":"","maximumVersion":"","formOrder":0,"lowerBound":null,"enabled":true,"mask":"","largeMask":"","maskKey":"","keyItemMaskOfField":null,"keyOptionIdReplace":"","relatedOptionIds":[],"onlineServices":[],"childCriteriaItemList":[],"clientContextJson":""},{"keyOptionId":"8253","caption":"Portugal","isDefault":true,"maskCriteriaOnly":false,"definition":"","keyProductQueryItem":"300051","comparisonOperation":0,"comparisonValue":"218","minimumVersion":"","maximumVersion":"","formOrder":0,"lowerBound":null,"enabled":true,"mask":"","largeMask":"","maskKey":"","keyItemMaskOfField":null,"keyOptionIdReplace":"","relatedOptionIds":[],"onlineServices":[],"childCriteriaItemList":[],"clientContextJson":""},{"keyOptionId":"8254","caption":"San Marino","isDefault":true,"maskCriteriaOnly":false,"definition":"","keyProductQueryItem":"300051","comparisonOperation":0,"comparisonValue":"202","minimumVersion":"","maximumVersion":"","formOrder":0,"lowerBound":null,"enabled":true,"mask":"","largeMask":"","maskKey":"","keyItemMaskOfField":null,"keyOptionIdReplace":"","relatedOptionIds":[],"onlineServices":[],"childCriteriaItemList":[],"clientContextJson":""},{"keyOptionId":"8255","caption":"Slovakia","isDefault":true,"maskCriteriaOnly":false,"definition":"","keyProductQueryItem":"300051","comparisonOperation":0,"comparisonValue":"201","minimumVersion":"","maximumVersion":"","formOrder":0,"lowerBound":null,"enabled":true,"mask":"","largeMask":"","maskKey":"","keyItemMaskOfField":null,"keyOptionIdReplace":"","relatedOptionIds":[],"onlineServices":[],"childCriteriaItemList":[],"clientContextJson":""},{"keyOptionId":"8256","caption":"Slovenia","isDefault":true,"maskCriteriaOnly":false,"definition":"","keyProductQueryItem":"300051","comparisonOperation":0,"comparisonValue":"199","minimumVersion":"","maximumVersion":"","formOrder":0,"lowerBound":null,"enabled":true,"mask":"","largeMask":"","maskKey":"","keyItemMaskOfField":null,"keyOptionIdReplace":"","relatedOptionIds":[],"onlineServices":[],"childCriteriaItemList":[],"clientContextJson":""},{"keyOptionId":"8257","caption":"Spain","isDefault":true,"maskCriteriaOnly":false,"definition":"","keyProductQueryItem":"300051","comparisonOperation":0,"comparisonValue":"210","minimumVersion":"","maximumVersion":"","formOrder":0,"lowerBound":null,"enabled":true,"mask":"","largeMask":"","maskKey":"","keyItemMaskOfField":null,"keyOptionIdReplace":"","relatedOptionIds":[],"onlineServices":[],"childCriteriaItemList":[],"clientContextJson":""},{"keyOptionId":"8258","caption":"Sweden","isDefault":true,"maskCriteriaOnly":false,"definition":"","keyProductQueryItem":"300051","comparisonOperation":0,"comparisonValue":"219","minimumVersion":"","maximumVersion":"","formOrder":0,"lowerBound":null,"enabled":true,"mask":"","largeMask":"","maskKey":"","keyItemMaskOfField":null,"keyOptionIdReplace":"","relatedOptionIds":[],"onlineServices":[],"childCriteriaItemList":[],"clientContextJson":""},{"keyOptionId":"8259","caption":"Switzerland","isDefault":true,"maskCriteriaOnly":false,"definition":"","keyProductQueryItem":"300051","comparisonOperation":0,"comparisonValue":"178","minimumVersion":"","maximumVersion":"","formOrder":0,"lowerBound":null,"enabled":true,"mask":"","largeMask":"","maskKey":"","keyItemMaskOfField":null,"keyOptionIdReplace":"","relatedOptionIds":[],"onlineServices":[],"childCriteriaItemList":[],"clientContextJson":""},{"keyOptionId":"8260","caption":"United Kingdom","isDefault":true,"maskCriteriaOnly":false,"definition":"","keyProductQueryItem":"300051","comparisonOperation":0,"comparisonValue":"211","minimumVersion":"","maximumVersion":"","formOrder":0,"lowerBound":null,"enabled":true,"mask":"","largeMask":"","maskKey":"","keyItemMaskOfField":null,"keyOptionIdReplace":"","relatedOptionIds":[],"onlineServices":[],"childCriteriaItemList":[],"clientContextJson":""},{"keyOptionId":"8261","caption":"Vatican City","isDefault":true,"maskCriteriaOnly":false,"definition":"","keyProductQueryItem":"300051","comparisonOperation":0,"comparisonValue":"205","minimumVersion":"","maximumVersion":"","formOrder":0,"lowerBound":null,"enabled":true,"mask":"","largeMask":"","maskKey":"","keyItemMaskOfField":null,"keyOptionIdReplace":"","relatedOptionIds":[],"onlineServices":[],"childCriteriaItemList":[],"clientContextJson":""}],"clientContextJson":""},{"keyOptionId":"8262","caption":"Emerging Europe","isDefault":false,"maskCriteriaOnly":true,"definition":"","keyProductQueryItem":"","comparisonOperation":null,"comparisonValue":"","minimumVersion":"","maximumVersion":"","formOrder":0,"lowerBound":null,"enabled":true,"mask":"","largeMask":"","maskKey":"","keyItemMaskOfField":null,"ke</t>
  </si>
  <si>
    <t>yOptionIdReplace":"","relatedOptionIds":[],"onlineServices":[],"childCriteriaItemList":[{"keyOptionId":"8263","caption":"Åland Islands","isDefault":true,"maskCriteriaOnly":false,"definition":"","keyProductQueryItem":"300051","comparisonOperation":0,"comparisonValue":"172","minimumVersion":"","maximumVersion":"","formOrder":0,"lowerBound":null,"enabled":true,"mask":"","largeMask":"","maskKey":"","keyItemMaskOfField":null,"keyOptionIdReplace":"","relatedOptionIds":[],"onlineServices":[],"childCriteriaItemList":[],"clientContextJson":""},{"keyOptionId":"8264","caption":"Albania","isDefault":true,"maskCriteriaOnly":false,"definition":"","keyProductQueryItem":"300051","comparisonOperation":0,"comparisonValue":"171","minimumVersion":"","maximumVersion":"","formOrder":0,"lowerBound":null,"enabled":true,"mask":"","largeMask":"","maskKey":"","keyItemMaskOfField":null,"keyOptionIdReplace":"","relatedOptionIds":[],"onlineServices":[],"childCriteriaItemList":[],"clientContextJson":""},{"keyOptionId":"8265","caption":"Armenia","isDefault":true,"maskCriteriaOnly":false,"definition":"","keyProductQueryItem":"300051","comparisonOperation":0,"comparisonValue":"120","minimumVersion":"","maximumVersion":"","formOrder":0,"lowerBound":null,"enabled":true,"mask":"","largeMask":"","maskKey":"","keyItemMaskOfField":null,"keyOptionIdReplace":"","relatedOptionIds":[],"onlineServices":[],"childCriteriaItemList":[],"clientContextJson":""},{"keyOptionId":"8266","caption":"Azerbaijan","isDefault":true,"maskCriteriaOnly":false,"definition":"","keyProductQueryItem":"300051","comparisonOperation":0,"comparisonValue":"173","minimumVersion":"","maximumVersion":"","formOrder":0,"lowerBound":null,"enabled":true,"mask":"","largeMask":"","maskKey":"","keyItemMaskOfField":null,"keyOptionIdReplace":"","relatedOptionIds":[],"onlineServices":[],"childCriteriaItemList":[],"clientContextJson":""},{"keyOptionId":"8267","caption":"Belarus","isDefault":true,"maskCriteriaOnly":false,"definition":"","keyProductQueryItem":"300051","comparisonOperation":0,"comparisonValue":"177","minimumVersion":"","maximumVersion":"","formOrder":0,"lowerBound":null,"enabled":true,"mask":"","largeMask":"","maskKey":"","keyItemMaskOfField":null,"keyOptionIdReplace":"","relatedOptionIds":[],"onlineServices":[],"childCriteriaItemList":[],"clientContextJson":""},{"keyOptionId":"8268","caption":"Bosnia &amp; Herzegovina","isDefault":true,"maskCriteriaOnly":false,"definition":"","keyProductQueryItem":"300051","comparisonOperation":0,"comparisonValue":"174","minimumVersion":"","maximumVersion":"","formOrder":0,"lowerBound":null,"enabled":true,"mask":"","largeMask":"","maskKey":"","keyItemMaskOfField":null,"keyOptionIdReplace":"","relatedOptionIds":[],"onlineServices":[],"childCriteriaItemList":[],"clientContextJson":""},{"keyOptionId":"8269","caption":"Bulgaria","isDefault":true,"maskCriteriaOnly":false,"definition":"","keyProductQueryItem":"300051","comparisonOperation":0,"comparisonValue":"176","minimumVersion":"","maximumVersion":"","formOrder":0,"lowerBound":null,"enabled":true,"mask":"","largeMask":"","maskKey":"","keyItemMaskOfField":null,"keyOptionIdReplace":"","relatedOptionIds":[],"onlineServices":[],"childCriteriaItemList":[],"clientContextJson":""},{"keyOptionId":"8270","caption":"Croatia","isDefault":true,"maskCriteriaOnly":false,"definition":"","keyProductQueryItem":"300051","comparisonOperation":0,"comparisonValue":"187","minimumVersion":"","maximumVersion":"","formOrder":0,"lowerBound":null,"enabled":true,"mask":"","largeMask":"","maskKey":"","keyItemMaskOfField":null,"keyOptionIdReplace":"","relatedOptionIds":[],"onlineServices":[],"childCriteriaItemList":[],"clientContextJson":""},{"keyOptionId":"8271","caption":"Estonia","isDefault":true,"maskCriteriaOnly":false,"definition":"","keyProductQueryItem":"300051","comparisonOperation":0,"comparisonValue":"180","minimumVersion":"","maximumVersion":"","formOrder":0,"lowerBound":null,"enabled":true,"mask":"","largeMask":"","maskKey":"","keyItemMaskOfField":null,"keyOptionIdReplace":"","relatedOptionIds":[],"onlineServices":[],"childCriteriaItemList":[],"clientContextJson":""},{"keyOptionId":"8272","caption":"Faroe Islands","isDefault":true,"maskCriteriaOnly":false,"definition":"","keyProductQueryItem":"300051","comparisonOperation":0,"comparisonValue":"182","minimumVersion":"","maximumVersion":"","formOrder":0,"lowerBound":null,"enabled":true,"mask":"","largeMask":"","maskKey":"","keyItemMaskOfField":null,"keyOptionIdReplace":"","relatedOptionIds":[],"onlineServices":[],"childCriteriaItemList":[],"clientContextJson":""},{"keyOptionId":"8273","caption":"Georgia","isDefault":true,"maskCriteriaOnly":false,"definition":"","keyProductQueryItem":"300051","comparisonOperation":0,"comparisonValue":"184","minimumVersion":"","maximumVersion":"","formOrder":0,"lowerBound":null,"enabled":true,"mask":"","largeMask":"","maskKey":"","keyItemMaskOfField":null,"keyOptionIdReplace":"","relatedOptionIds":[],"onlineServices":[],"childCriteriaItemList":[],"clientContextJson":""},{"keyOptionId":"8274","caption":"Hungary","isDefault":true,"maskCriteriaOnly":false,"definition":"","keyProductQueryItem":"300051","comparisonOperation":0,"comparisonValue":"188","minimumVersion":"","maximumVersion":"","formOrder":0,"lowerBound":null,"enabled":true,"mask":"","largeMask":"","maskKey":"","keyItemMaskOfField":null,"keyOptionIdReplace":"","relatedOptionIds":[],"onlineServices":[],"childCriteriaItemList":[],"clientContextJson":""},{"keyOptionId":"8275","caption":"Kazakhstan","isDefault":true,"maskCriteriaOnly":false,"definition":"","keyProductQueryItem":"300051","comparisonOperation":0,"comparisonValue":"138","minimumVersion":"","maximumVersion":"","formOrder":0,"lowerBound":null,"enabled":true,"mask":"","largeMask":"","maskKey":"","keyItemMaskOfField":null,"keyOptionIdReplace":"","relatedOptionIds":[],"onlineServices":[],"childCriteriaItemList":[],"clientContextJson":""},{"keyOptionId":"8276","caption":"Kyrgyzstan","isDefault":true,"maskCriteriaOnly":false,"definition":"","keyProductQueryItem":"300051","comparisonOperation":0,"comparisonValue":"134","minimumVersion":"","maximumVersion":"","formOrder":0,"lowerBound":null,"enabled":true,"mask":"","largeMask":"","maskKey":"","keyItemMaskOfField":null,"keyOptionIdReplace":"","relatedOptionIds":[],"onlineServices":[],"childCriteriaItemList":[],"clientContextJson":""},{"keyOptionId":"8277","caption":"Latvia","isDefault":true,"maskCriteriaOnly":false,"definition":"","keyProductQueryItem":"300051","comparisonOperation":0,"comparisonValue":"192","minimumVersion":"","maximumVersion":"","formOrder":0,"lowerBound":null,"enabled":true,"mask":"","largeMask":"","maskKey":"","keyItemMaskOfField":null,"keyOptionIdReplace":"","relatedOptionIds":[],"onlineServices":[],"childCriteriaItemList":[],"clientContextJson":""},{"keyOptionId":"8278","caption":"Lithuania","isDefault":true,"maskCriteriaOnly":false,"definition":"","keyProductQueryItem":"300051","comparisonOperation":0,"comparisonValue":"191","minimumVersion":"","maximumVersion":"","formOrder":0,"lowerBound":null,"enabled":true,"mask":"","largeMask":"","maskKey":"","keyItemMaskOfField":null,"keyOptionIdReplace":"","relatedOptionIds":[],"onlineServices":[],"childCriteriaItemList":[],"clientContextJson":""},{"keyOptionId":"8280","caption":"Moldova","isDefault":true,"maskCriteriaOnly":false,"definition":"","keyProductQueryItem":"300051","comparisonOperation":0,"comparisonValue":"193","minimumVersion":"","maximumVersion":"","formOrder":0,"lowerBound":null,"enabled":true,"mask":"","largeMask":"","maskKey":"","keyItemMaskOfField":null,"keyOptionIdReplace":"","relatedOptionIds":[],"onlineServices":[],"childCriter</t>
  </si>
  <si>
    <t>iaItemList":[],"clientContextJson":""},{"keyOptionId":"8281","caption":"Montenegro","isDefault":true,"maskCriteriaOnly":false,"definition":"","keyProductQueryItem":"300051","comparisonOperation":0,"comparisonValue":"997","minimumVersion":"","maximumVersion":"","formOrder":0,"lowerBound":null,"enabled":true,"mask":"","largeMask":"","maskKey":"","keyItemMaskOfField":null,"keyOptionIdReplace":"","relatedOptionIds":[],"onlineServices":[],"childCriteriaItemList":[],"clientContextJson":""},{"keyOptionId":"8279","caption":"North Macedonia","isDefault":true,"maskCriteriaOnly":false,"definition":"","keyProductQueryItem":"300051","comparisonOperation":0,"comparisonValue":"194","minimumVersion":"","maximumVersion":"","formOrder":0,"lowerBound":null,"enabled":true,"mask":"","largeMask":"","maskKey":"","keyItemMaskOfField":null,"keyOptionIdReplace":"","relatedOptionIds":[],"onlineServices":[],"childCriteriaItemList":[],"clientContextJson":""},{"keyOptionId":"8282","caption":"Poland","isDefault":true,"maskCriteriaOnly":false,"definition":"","keyProductQueryItem":"300051","comparisonOperation":0,"comparisonValue":"217","minimumVersion":"","maximumVersion":"","formOrder":0,"lowerBound":null,"enabled":true,"mask":"","largeMask":"","maskKey":"","keyItemMaskOfField":null,"keyOptionIdReplace":"","relatedOptionIds":[],"onlineServices":[],"childCriteriaItemList":[],"clientContextJson":""},{"keyOptionId":"8283","caption":"Romania","isDefault":true,"maskCriteriaOnly":false,"definition":"","keyProductQueryItem":"300051","comparisonOperation":0,"comparisonValue":"197","minimumVersion":"","maximumVersion":"","formOrder":0,"lowerBound":null,"enabled":true,"mask":"","largeMask":"","maskKey":"","keyItemMaskOfField":null,"keyOptionIdReplace":"","relatedOptionIds":[],"onlineServices":[],"childCriteriaItemList":[],"clientContextJson":""},{"keyOptionId":"8284","caption":"Russia","isDefault":true,"maskCriteriaOnly":false,"definition":"","keyProductQueryItem":"300051","comparisonOperation":0,"comparisonValue":"198","minimumVersion":"","maximumVersion":"","formOrder":0,"lowerBound":null,"enabled":true,"mask":"","largeMask":"","maskKey":"","keyItemMaskOfField":null,"keyOptionIdReplace":"","relatedOptionIds":[],"onlineServices":[],"childCriteriaItemList":[],"clientContextJson":""},{"keyOptionId":"8285","caption":"Serbia","isDefault":true,"maskCriteriaOnly":false,"definition":"","keyProductQueryItem":"300051","comparisonOperation":0,"comparisonValue":"179","minimumVersion":"","maximumVersion":"","formOrder":0,"lowerBound":null,"enabled":true,"mask":"","largeMask":"","maskKey":"","keyItemMaskOfField":null,"keyOptionIdReplace":"","relatedOptionIds":[],"onlineServices":[],"childCriteriaItemList":[],"clientContextJson":""},{"keyOptionId":"8286","caption":"Svalbard","isDefault":true,"maskCriteriaOnly":false,"definition":"","keyProductQueryItem":"300051","comparisonOperation":0,"comparisonValue":"200","minimumVersion":"","maximumVersion":"","formOrder":0,"lowerBound":null,"enabled":true,"mask":"","largeMask":"","maskKey":"","keyItemMaskOfField":null,"keyOptionIdReplace":"","relatedOptionIds":[],"onlineServices":[],"childCriteriaItemList":[],"clientContextJson":""},{"keyOptionId":"8287","caption":"Tajikistan","isDefault":true,"maskCriteriaOnly":false,"definition":"","keyProductQueryItem":"300051","comparisonOperation":0,"comparisonValue":"155","minimumVersion":"","maximumVersion":"","formOrder":0,"lowerBound":null,"enabled":true,"mask":"","largeMask":"","maskKey":"","keyItemMaskOfField":null,"keyOptionIdReplace":"","relatedOptionIds":[],"onlineServices":[],"childCriteriaItemList":[],"clientContextJson":""},{"keyOptionId":"8288","caption":"Turkey","isDefault":true,"maskCriteriaOnly":false,"definition":"","keyProductQueryItem":"300051","comparisonOperation":0,"comparisonValue":"203","minimumVersion":"","maximumVersion":"","formOrder":0,"lowerBound":null,"enabled":true,"mask":"","largeMask":"","maskKey":"","keyItemMaskOfField":null,"keyOptionIdReplace":"","relatedOptionIds":[],"onlineServices":[],"childCriteriaItemList":[],"clientContextJson":""},{"keyOptionId":"8289","caption":"Turkmenistan","isDefault":true,"maskCriteriaOnly":false,"definition":"","keyProductQueryItem":"300051","comparisonOperation":0,"comparisonValue":"156","minimumVersion":"","maximumVersion":"","formOrder":0,"lowerBound":null,"enabled":true,"mask":"","largeMask":"","maskKey":"","keyItemMaskOfField":null,"keyOptionIdReplace":"","relatedOptionIds":[],"onlineServices":[],"childCriteriaItemList":[],"clientContextJson":""},{"keyOptionId":"8290","caption":"Ukraine","isDefault":true,"maskCriteriaOnly":false,"definition":"","keyProductQueryItem":"300051","comparisonOperation":0,"comparisonValue":"204","minimumVersion":"","maximumVersion":"","formOrder":0,"lowerBound":null,"enabled":true,"mask":"","largeMask":"","maskKey":"","keyItemMaskOfField":null,"keyOptionIdReplace":"","relatedOptionIds":[],"onlineServices":[],"childCriteriaItemList":[],"clientContextJson":""},{"keyOptionId":"8291","caption":"Uzbekistan","isDefault":true,"maskCriteriaOnly":false,"definition":"","keyProductQueryItem":"300051","comparisonOperation":0,"comparisonValue":"158","minimumVersion":"","maximumVersion":"","formOrder":0,"lowerBound":null,"enabled":true,"mask":"","largeMask":"","maskKey":"","keyItemMaskOfField":null,"keyOptionIdReplace":"","relatedOptionIds":[],"onlineServices":[],"childCriteriaItemList":[],"clientContextJson":""}],"clientContextJson":""}],"clientContextJson":""},{"keyOptionId":"8292","caption":"Asia-Pacific","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8293","caption":"Developed Asia-Pacific","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8294","caption":"Australia","isDefault":true,"maskCriteriaOnly":false,"definition":"","keyProductQueryItem":"300051","comparisonOperation":0,"comparisonValue":"239","minimumVersion":"","maximumVersion":"","formOrder":0,"lowerBound":null,"enabled":true,"mask":"","largeMask":"","maskKey":"","keyItemMaskOfField":null,"keyOptionIdReplace":"","relatedOptionIds":[],"onlineServices":[],"childCriteriaItemList":[],"clientContextJson":""},{"keyOptionId":"8295","caption":"Hong Kong","isDefault":true,"maskCriteriaOnly":false,"definition":"","keyProductQueryItem":"300051","comparisonOperation":0,"comparisonValue":"127","minimumVersion":"","maximumVersion":"","formOrder":0,"lowerBound":null,"enabled":true,"mask":"","largeMask":"","maskKey":"","keyItemMaskOfField":null,"keyOptionIdReplace":"","relatedOptionIds":[],"onlineServices":[],"childCriteriaItemList":[],"clientContextJson":""},{"keyOptionId":"8296","caption":"Japan","isDefault":true,"maskCriteriaOnly":false,"definition":"","keyProductQueryItem":"300051","comparisonOperation":0,"comparisonValue":"133","minimumVersion":"","maximumVersion":"","formOrder":0,"lowerBound":null,"enabled":true,"mask":"","largeMask":"","maskKey":"","keyItemMaskOfField":null,"keyOptionIdReplace":"","relatedOptionIds":[],"onlineServices":[],"childCriteriaItemList":[],"clientContextJson":""},{"keyOptionId":"829</t>
  </si>
  <si>
    <t>7","caption":"New Zealand","isDefault":true,"maskCriteriaOnly":false,"definition":"","keyProductQueryItem":"300051","comparisonOperation":0,"comparisonValue":"228","minimumVersion":"","maximumVersion":"","formOrder":0,"lowerBound":null,"enabled":true,"mask":"","largeMask":"","maskKey":"","keyItemMaskOfField":null,"keyOptionIdReplace":"","relatedOptionIds":[],"onlineServices":[],"childCriteriaItemList":[],"clientContextJson":""},{"keyOptionId":"8298","caption":"Singapore","isDefault":true,"maskCriteriaOnly":false,"definition":"","keyProductQueryItem":"300051","comparisonOperation":0,"comparisonValue":"152","minimumVersion":"","maximumVersion":"","formOrder":0,"lowerBound":null,"enabled":true,"mask":"","largeMask":"","maskKey":"","keyItemMaskOfField":null,"keyOptionIdReplace":"","relatedOptionIds":[],"onlineServices":[],"childCriteriaItemList":[],"clientContextJson":""},{"keyOptionId":"8299","caption":"South Korea","isDefault":true,"maskCriteriaOnly":false,"definition":"","keyProductQueryItem":"300051","comparisonOperation":0,"comparisonValue":"136","minimumVersion":"","maximumVersion":"","formOrder":0,"lowerBound":null,"enabled":true,"mask":"","largeMask":"","maskKey":"","keyItemMaskOfField":null,"keyOptionIdReplace":"","relatedOptionIds":[],"onlineServices":[],"childCriteriaItemList":[],"clientContextJson":""},{"keyOptionId":"8300","caption":"Taiwan","isDefault":true,"maskCriteriaOnly":false,"definition":"","keyProductQueryItem":"300051","comparisonOperation":0,"comparisonValue":"169","minimumVersion":"","maximumVersion":"","formOrder":0,"lowerBound":null,"enabled":true,"mask":"","largeMask":"","maskKey":"","keyItemMaskOfField":null,"keyOptionIdReplace":"","relatedOptionIds":[],"onlineServices":[],"childCriteriaItemList":[],"clientContextJson":""}],"clientContextJson":""},{"keyOptionId":"8301","caption":"Emerging Asia-Pacific","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8302","caption":"Afghanistan","isDefault":true,"maskCriteriaOnly":false,"definition":"","keyProductQueryItem":"300051","comparisonOperation":0,"comparisonValue":"161","minimumVersion":"","maximumVersion":"","formOrder":0,"lowerBound":null,"enabled":true,"mask":"","largeMask":"","maskKey":"","keyItemMaskOfField":null,"keyOptionIdReplace":"","relatedOptionIds":[],"onlineServices":[],"childCriteriaItemList":[],"clientContextJson":""},{"keyOptionId":"8303","caption":"Bangladesh","isDefault":true,"maskCriteriaOnly":false,"definition":"","keyProductQueryItem":"300051","comparisonOperation":0,"comparisonValue":"121","minimumVersion":"","maximumVersion":"","formOrder":0,"lowerBound":null,"enabled":true,"mask":"","largeMask":"","maskKey":"","keyItemMaskOfField":null,"keyOptionIdReplace":"","relatedOptionIds":[],"onlineServices":[],"childCriteriaItemList":[],"clientContextJson":""},{"keyOptionId":"8304","caption":"Bhutan","isDefault":true,"maskCriteriaOnly":false,"definition":"","keyProductQueryItem":"300051","comparisonOperation":0,"comparisonValue":"123","minimumVersion":"","maximumVersion":"","formOrder":0,"lowerBound":null,"enabled":true,"mask":"","largeMask":"","maskKey":"","keyItemMaskOfField":null,"keyOptionIdReplace":"","relatedOptionIds":[],"onlineServices":[],"childCriteriaItemList":[],"clientContextJson":""},{"keyOptionId":"8305","caption":"Brunei","isDefault":true,"maskCriteriaOnly":false,"definition":"","keyProductQueryItem":"300051","comparisonOperation":0,"comparisonValue":"122","minimumVersion":"","maximumVersion":"","formOrder":0,"lowerBound":null,"enabled":true,"mask":"","largeMask":"","maskKey":"","keyItemMaskOfField":null,"keyOptionIdReplace":"","relatedOptionIds":[],"onlineServices":[],"childCriteriaItemList":[],"clientContextJson":""},{"keyOptionId":"8306","caption":"Cambodia","isDefault":true,"maskCriteriaOnly":false,"definition":"","keyProductQueryItem":"300051","comparisonOperation":0,"comparisonValue":"135","minimumVersion":"","maximumVersion":"","formOrder":0,"lowerBound":null,"enabled":true,"mask":"","largeMask":"","maskKey":"","keyItemMaskOfField":null,"keyOptionIdReplace":"","relatedOptionIds":[],"onlineServices":[],"childCriteriaItemList":[],"clientContextJson":""},{"keyOptionId":"8307","caption":"China","isDefault":true,"maskCriteriaOnly":false,"definition":"","keyProductQueryItem":"300051","comparisonOperation":0,"comparisonValue":"163","minimumVersion":"","maximumVersion":"","formOrder":0,"lowerBound":null,"enabled":true,"mask":"","largeMask":"","maskKey":"","keyItemMaskOfField":null,"keyOptionIdReplace":"","relatedOptionIds":[],"onlineServices":[],"childCriteriaItemList":[],"clientContextJson":""},{"keyOptionId":"8308","caption":"Cook Islands","isDefault":true,"maskCriteriaOnly":false,"definition":"","keyProductQueryItem":"300051","comparisonOperation":0,"comparisonValue":"220","minimumVersion":"","maximumVersion":"","formOrder":0,"lowerBound":null,"enabled":true,"mask":"","largeMask":"","maskKey":"","keyItemMaskOfField":null,"keyOptionIdReplace":"","relatedOptionIds":[],"onlineServices":[],"childCriteriaItemList":[],"clientContextJson":""},{"keyOptionId":"8309","caption":"Fiji","isDefault":true,"maskCriteriaOnly":false,"definition":"","keyProductQueryItem":"300051","comparisonOperation":0,"comparisonValue":"221","minimumVersion":"","maximumVersion":"","formOrder":0,"lowerBound":null,"enabled":true,"mask":"","largeMask":"","maskKey":"","keyItemMaskOfField":null,"keyOptionIdReplace":"","relatedOptionIds":[],"onlineServices":[],"childCriteriaItemList":[],"clientContextJson":""},{"keyOptionId":"8310","caption":"French Polynesia","isDefault":true,"maskCriteriaOnly":false,"definition":"","keyProductQueryItem":"300051","comparisonOperation":0,"comparisonValue":"229","minimumVersion":"","maximumVersion":"","formOrder":0,"lowerBound":null,"enabled":true,"mask":"","largeMask":"","maskKey":"","keyItemMaskOfField":null,"keyOptionIdReplace":"","relatedOptionIds":[],"onlineServices":[],"childCriteriaItemList":[],"clientContextJson":""},{"keyOptionId":"8311","caption":"India","isDefault":true,"maskCriteriaOnly":false,"definition":"","keyProductQueryItem":"300051","comparisonOperation":0,"comparisonValue":"128","minimumVersion":"","maximumVersion":"","formOrder":0,"lowerBound":null,"enabled":true,"mask":"","largeMask":"","maskKey":"","keyItemMaskOfField":null,"keyOptionIdReplace":"","relatedOptionIds":[],"onlineServices":[],"childCriteriaItemList":[],"clientContextJson":""},{"keyOptionId":"8312","caption":"Indonesia","isDefault":true,"maskCriteriaOnly":false,"definition":"","keyProductQueryItem":"300051","comparisonOperation":0,"comparisonValue":"164","minimumVersion":"","maximumVersion":"","formOrder":0,"lowerBound":null,"enabled":true,"mask":"","largeMask":"","maskKey":"","keyItemMaskOfField":null,"keyOptionIdReplace":"","relatedOptionIds":[],"onlineServices":[],"childCriteriaItemList":[],"clientContextJson":""},{"keyOptionId":"8313","caption":"Kiribati","isDefault":true,"maskCriteriaOnly":false,"definition":"","keyProductQueryItem":"300051","comparisonOperation":0,"comparisonValue":"222","minimumVersion":"","maximumVersion":"","formOrder":0,"lowerBound":null,"enabled":true,"mask":"","largeMask":"","maskKey":"","keyItemMaskOfField":null,"keyOptionIdReplace":"","relatedOptionIds":[],"onlineServices":[],"childCriteriaItemList":[],"clientContextJson":""},{"keyOptionId":"8314","caption":"Laos","isDefault":true,"maskCriteriaOnl</t>
  </si>
  <si>
    <t>y":false,"definition":"","keyProductQueryItem":"300051","comparisonOperation":0,"comparisonValue":"139","minimumVersion":"","maximumVersion":"","formOrder":0,"lowerBound":null,"enabled":true,"mask":"","largeMask":"","maskKey":"","keyItemMaskOfField":null,"keyOptionIdReplace":"","relatedOptionIds":[],"onlineServices":[],"childCriteriaItemList":[],"clientContextJson":""},{"keyOptionId":"8315","caption":"Macau","isDefault":true,"maskCriteriaOnly":false,"definition":"","keyProductQueryItem":"300051","comparisonOperation":0,"comparisonValue":"144","minimumVersion":"","maximumVersion":"","formOrder":0,"lowerBound":null,"enabled":true,"mask":"","largeMask":"","maskKey":"","keyItemMaskOfField":null,"keyOptionIdReplace":"","relatedOptionIds":[],"onlineServices":[],"childCriteriaItemList":[],"clientContextJson":""},{"keyOptionId":"8316","caption":"Malaysia","isDefault":true,"maskCriteriaOnly":false,"definition":"","keyProductQueryItem":"300051","comparisonOperation":0,"comparisonValue":"146","minimumVersion":"","maximumVersion":"","formOrder":0,"lowerBound":null,"enabled":true,"mask":"","largeMask":"","maskKey":"","keyItemMaskOfField":null,"keyOptionIdReplace":"","relatedOptionIds":[],"onlineServices":[],"childCriteriaItemList":[],"clientContextJson":""},{"keyOptionId":"8317","caption":"Maldives","isDefault":true,"maskCriteriaOnly":false,"definition":"","keyProductQueryItem":"300051","comparisonOperation":0,"comparisonValue":"145","minimumVersion":"","maximumVersion":"","formOrder":0,"lowerBound":null,"enabled":true,"mask":"","largeMask":"","maskKey":"","keyItemMaskOfField":null,"keyOptionIdReplace":"","relatedOptionIds":[],"onlineServices":[],"childCriteriaItemList":[],"clientContextJson":""},{"keyOptionId":"8318","caption":"Marshall Islands","isDefault":true,"maskCriteriaOnly":false,"definition":"","keyProductQueryItem":"300051","comparisonOperation":0,"comparisonValue":"240","minimumVersion":"","maximumVersion":"","formOrder":0,"lowerBound":null,"enabled":true,"mask":"","largeMask":"","maskKey":"","keyItemMaskOfField":null,"keyOptionIdReplace":"","relatedOptionIds":[],"onlineServices":[],"childCriteriaItemList":[],"clientContextJson":""},{"keyOptionId":"8319","caption":"Mongolia","isDefault":true,"maskCriteriaOnly":false,"definition":"","keyProductQueryItem":"300051","comparisonOperation":0,"comparisonValue":"143","minimumVersion":"","maximumVersion":"","formOrder":0,"lowerBound":null,"enabled":true,"mask":"","largeMask":"","maskKey":"","keyItemMaskOfField":null,"keyOptionIdReplace":"","relatedOptionIds":[],"onlineServices":[],"childCriteriaItemList":[],"clientContextJson":""},{"keyOptionId":"8320","caption":"Myanmar","isDefault":true,"maskCriteriaOnly":false,"definition":"","keyProductQueryItem":"300051","comparisonOperation":0,"comparisonValue":"142","minimumVersion":"","maximumVersion":"","formOrder":0,"lowerBound":null,"enabled":true,"mask":"","largeMask":"","maskKey":"","keyItemMaskOfField":null,"keyOptionIdReplace":"","relatedOptionIds":[],"onlineServices":[],"childCriteriaItemList":[],"clientContextJson":""},{"keyOptionId":"8321","caption":"Nauru","isDefault":true,"maskCriteriaOnly":false,"definition":"","keyProductQueryItem":"300051","comparisonOperation":0,"comparisonValue":"226","minimumVersion":"","maximumVersion":"","formOrder":0,"lowerBound":null,"enabled":true,"mask":"","largeMask":"","maskKey":"","keyItemMaskOfField":null,"keyOptionIdReplace":"","relatedOptionIds":[],"onlineServices":[],"childCriteriaItemList":[],"clientContextJson":""},{"keyOptionId":"8322","caption":"Nepal","isDefault":true,"maskCriteriaOnly":false,"definition":"","keyProductQueryItem":"300051","comparisonOperation":0,"comparisonValue":"147","minimumVersion":"","maximumVersion":"","formOrder":0,"lowerBound":null,"enabled":true,"mask":"","largeMask":"","maskKey":"","keyItemMaskOfField":null,"keyOptionIdReplace":"","relatedOptionIds":[],"onlineServices":[],"childCriteriaItemList":[],"clientContextJson":""},{"keyOptionId":"8323","caption":"New Caledonia","isDefault":true,"maskCriteriaOnly":false,"definition":"","keyProductQueryItem":"300051","comparisonOperation":0,"comparisonValue":"224","minimumVersion":"","maximumVersion":"","formOrder":0,"lowerBound":null,"enabled":true,"mask":"","largeMask":"","maskKey":"","keyItemMaskOfField":null,"keyOptionIdReplace":"","relatedOptionIds":[],"onlineServices":[],"childCriteriaItemList":[],"clientContextJson":""},{"keyOptionId":"8324","caption":"Niue","isDefault":true,"maskCriteriaOnly":false,"definition":"","keyProductQueryItem":"300051","comparisonOperation":0,"comparisonValue":"227","minimumVersion":"","maximumVersion":"","formOrder":0,"lowerBound":null,"enabled":true,"mask":"","largeMask":"","maskKey":"","keyItemMaskOfField":null,"keyOptionIdReplace":"","relatedOptionIds":[],"onlineServices":[],"childCriteriaItemList":[],"clientContextJson":""},{"keyOptionId":"8325","caption":"North Korea","isDefault":true,"maskCriteriaOnly":false,"definition":"","keyProductQueryItem":"300051","comparisonOperation":0,"comparisonValue":"166","minimumVersion":"","maximumVersion":"","formOrder":0,"lowerBound":null,"enabled":true,"mask":"","largeMask":"","maskKey":"","keyItemMaskOfField":null,"keyOptionIdReplace":"","relatedOptionIds":[],"onlineServices":[],"childCriteriaItemList":[],"clientContextJson":""},{"keyOptionId":"8326","caption":"Northern Mariana","isDefault":true,"maskCriteriaOnly":false,"definition":"","keyProductQueryItem":"300051","comparisonOperation":0,"comparisonValue":"223","minimumVersion":"","maximumVersion":"","formOrder":0,"lowerBound":null,"enabled":true,"mask":"","largeMask":"","maskKey":"","keyItemMaskOfField":null,"keyOptionIdReplace":"","relatedOptionIds":[],"onlineServices":[],"childCriteriaItemList":[],"clientContextJson":""},{"keyOptionId":"8327","caption":"Pakistan","isDefault":true,"maskCriteriaOnly":false,"definition":"","keyProductQueryItem":"300051","comparisonOperation":0,"comparisonValue":"149","minimumVersion":"","maximumVersion":"","formOrder":0,"lowerBound":null,"enabled":true,"mask":"","largeMask":"","maskKey":"","keyItemMaskOfField":null,"keyOptionIdReplace":"","relatedOptionIds":[],"onlineServices":[],"childCriteriaItemList":[],"clientContextJson":""},{"keyOptionId":"8328","caption":"Palau","isDefault":true,"maskCriteriaOnly":false,"definition":"","keyProductQueryItem":"300051","comparisonOperation":0,"comparisonValue":"232","minimumVersion":"","maximumVersion":"","formOrder":0,"lowerBound":null,"enabled":true,"mask":"","largeMask":"","maskKey":"","keyItemMaskOfField":null,"keyOptionIdReplace":"","relatedOptionIds":[],"onlineServices":[],"childCriteriaItemList":[],"clientContextJson":""},{"keyOptionId":"8329","caption":"Papua New Guinea","isDefault":true,"maskCriteriaOnly":false,"definition":"","keyProductQueryItem":"300051","comparisonOperation":0,"comparisonValue":"230","minimumVersion":"","maximumVersion":"","formOrder":0,"lowerBound":null,"enabled":true,"mask":"","largeMask":"","maskKey":"","keyItemMaskOfField":null,"keyOptionIdReplace":"","relatedOptionIds":[],"onlineServices":[],"childCriteriaItemList":[],"clientContextJson":""},{"keyOptionId":"8330","caption":"Philippines","isDefault":true,"maskCriteriaOnly":false,"definition":"","keyProductQueryItem":"300051","comparisonOperation":0,"comparisonValue":"167","minimumVersion":"","maximumVersion":"","formOrder":0,"lowerBound":null,"enabled":true,"mask":"","largeMask":"","maskKey":"","keyItemMaskOfField":null,"keyOptionIdReplace":"","relatedOptionIds":[],"onlineServices":[],"childCriteriaItemList":[],"clientContextJson":""},{"keyOptionId":"8331","caption":"Samoa","isDefault":true,"maskCriteriaOnly":false,"definition":"","keyProductQueryItem":"30005</t>
  </si>
  <si>
    <t>1","comparisonOperation":0,"comparisonValue":"241","minimumVersion":"","maximumVersion":"","formOrder":0,"lowerBound":null,"enabled":true,"mask":"","largeMask":"","maskKey":"","keyItemMaskOfField":null,"keyOptionIdReplace":"","relatedOptionIds":[],"onlineServices":[],"childCriteriaItemList":[],"clientContextJson":""},{"keyOptionId":"8332","caption":"Solomon Islands","isDefault":true,"maskCriteriaOnly":false,"definition":"","keyProductQueryItem":"300051","comparisonOperation":0,"comparisonValue":"233","minimumVersion":"","maximumVersion":"","formOrder":0,"lowerBound":null,"enabled":true,"mask":"","largeMask":"","maskKey":"","keyItemMaskOfField":null,"keyOptionIdReplace":"","relatedOptionIds":[],"onlineServices":[],"childCriteriaItemList":[],"clientContextJson":""},{"keyOptionId":"8333","caption":"Sri Lanka","isDefault":true,"maskCriteriaOnly":false,"definition":"","keyProductQueryItem":"300051","comparisonOperation":0,"comparisonValue":"141","minimumVersion":"","maximumVersion":"","formOrder":0,"lowerBound":null,"enabled":true,"mask":"","largeMask":"","maskKey":"","keyItemMaskOfField":null,"keyOptionIdReplace":"","relatedOptionIds":[],"onlineServices":[],"childCriteriaItemList":[],"clientContextJson":""},{"keyOptionId":"8334","caption":"Thailand","isDefault":true,"maskCriteriaOnly":false,"definition":"","keyProductQueryItem":"300051","comparisonOperation":0,"comparisonValue":"154","minimumVersion":"","maximumVersion":"","formOrder":0,"lowerBound":null,"enabled":true,"mask":"","largeMask":"","maskKey":"","keyItemMaskOfField":null,"keyOptionIdReplace":"","relatedOptionIds":[],"onlineServices":[],"childCriteriaItemList":[],"clientContextJson":""},{"keyOptionId":"8335","caption":"Timor-Leste","isDefault":true,"maskCriteriaOnly":false,"definition":"","keyProductQueryItem":"300051","comparisonOperation":0,"comparisonValue":"157","minimumVersion":"","maximumVersion":"","formOrder":0,"lowerBound":null,"enabled":true,"mask":"","largeMask":"","maskKey":"","keyItemMaskOfField":null,"keyOptionIdReplace":"","relatedOptionIds":[],"onlineServices":[],"childCriteriaItemList":[],"clientContextJson":""},{"keyOptionId":"8336","caption":"Tokelau","isDefault":true,"maskCriteriaOnly":false,"definition":"","keyProductQueryItem":"300051","comparisonOperation":0,"comparisonValue":"234","minimumVersion":"","maximumVersion":"","formOrder":0,"lowerBound":null,"enabled":true,"mask":"","largeMask":"","maskKey":"","keyItemMaskOfField":null,"keyOptionIdReplace":"","relatedOptionIds":[],"onlineServices":[],"childCriteriaItemList":[],"clientContextJson":""},{"keyOptionId":"8337","caption":"Tonga","isDefault":true,"maskCriteriaOnly":false,"definition":"","keyProductQueryItem":"300051","comparisonOperation":0,"comparisonValue":"235","minimumVersion":"","maximumVersion":"","formOrder":0,"lowerBound":null,"enabled":true,"mask":"","largeMask":"","maskKey":"","keyItemMaskOfField":null,"keyOptionIdReplace":"","relatedOptionIds":[],"onlineServices":[],"childCriteriaItemList":[],"clientContextJson":""},{"keyOptionId":"8338","caption":"Tuvalu","isDefault":true,"maskCriteriaOnly":false,"definition":"","keyProductQueryItem":"300051","comparisonOperation":0,"comparisonValue":"236","minimumVersion":"","maximumVersion":"","formOrder":0,"lowerBound":null,"enabled":true,"mask":"","largeMask":"","maskKey":"","keyItemMaskOfField":null,"keyOptionIdReplace":"","relatedOptionIds":[],"onlineServices":[],"childCriteriaItemList":[],"clientContextJson":""},{"keyOptionId":"8339","caption":"Vanuatu","isDefault":true,"maskCriteriaOnly":false,"definition":"","keyProductQueryItem":"300051","comparisonOperation":0,"comparisonValue":"237","minimumVersion":"","maximumVersion":"","formOrder":0,"lowerBound":null,"enabled":true,"mask":"","largeMask":"","maskKey":"","keyItemMaskOfField":null,"keyOptionIdReplace":"","relatedOptionIds":[],"onlineServices":[],"childCriteriaItemList":[],"clientContextJson":""},{"keyOptionId":"8340","caption":"Vietnam","isDefault":true,"maskCriteriaOnly":false,"definition":"","keyProductQueryItem":"300051","comparisonOperation":0,"comparisonValue":"159","minimumVersion":"","maximumVersion":"","formOrder":0,"lowerBound":null,"enabled":true,"mask":"","largeMask":"","maskKey":"","keyItemMaskOfField":null,"keyOptionIdReplace":"","relatedOptionIds":[],"onlineServices":[],"childCriteriaItemList":[],"clientContextJson":""},{"keyOptionId":"8341","caption":"Wallis &amp; Futuna","isDefault":true,"maskCriteriaOnly":false,"definition":"","keyProductQueryItem":"300051","comparisonOperation":0,"comparisonValue":"238","minimumVersion":"","maximumVersion":"","formOrder":0,"lowerBound":null,"enabled":true,"mask":"","largeMask":"","maskKey":"","keyItemMaskOfField":null,"keyOptionIdReplace":"","relatedOptionIds":[],"onlineServices":[],"childCriteriaItemList":[],"clientContextJson":""}],"clientContextJson":""}],"clientContextJson":""},{"keyOptionId":"8342","caption":"Middle East","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8343","caption":"Bahrain","isDefault":true,"maskCriteriaOnly":false,"definition":"","keyProductQueryItem":"300051","comparisonOperation":0,"comparisonValue":"162","minimumVersion":"","maximumVersion":"","formOrder":0,"lowerBound":null,"enabled":true,"mask":"","largeMask":"","maskKey":"","keyItemMaskOfField":null,"keyOptionIdReplace":"","relatedOptionIds":[],"onlineServices":[],"childCriteriaItemList":[],"clientContextJson":""},{"keyOptionId":"8344","caption":"Egypt","isDefault":true,"maskCriteriaOnly":false,"definition":"","keyProductQueryItem":"300051","comparisonOperation":0,"comparisonValue":"74","minimumVersion":"","maximumVersion":"","formOrder":0,"lowerBound":null,"enabled":true,"mask":"","largeMask":"","maskKey":"","keyItemMaskOfField":null,"keyOptionIdReplace":"","relatedOptionIds":[],"onlineServices":[],"childCriteriaItemList":[],"clientContextJson":""},{"keyOptionId":"8345","caption":"Iran","isDefault":true,"maskCriteriaOnly":false,"definition":"","keyProductQueryItem":"300051","comparisonOperation":0,"comparisonValue":"131","minimumVersion":"","maximumVersion":"","formOrder":0,"lowerBound":null,"enabled":true,"mask":"","largeMask":"","maskKey":"","keyItemMaskOfField":null,"keyOptionIdReplace":"","relatedOptionIds":[],"onlineServices":[],"childCriteriaItemList":[],"clientContextJson":""},{"keyOptionId":"8346","caption":"Iraq","isDefault":true,"maskCriteriaOnly":false,"definition":"","keyProductQueryItem":"300051","comparisonOperation":0,"comparisonValue":"130","minimumVersion":"","maximumVersion":"","formOrder":0,"lowerBound":null,"enabled":true,"mask":"","largeMask":"","maskKey":"","keyItemMaskOfField":null,"keyOptionIdReplace":"","relatedOptionIds":[],"onlineServices":[],"childCriteriaItemList":[],"clientContextJson":""},{"keyOptionId":"8347","caption":"Israel","isDefault":true,"maskCriteriaOnly":false,"definition":"","keyProductQueryItem":"300051","comparisonOperation":0,"comparisonValue":"165","minimumVersion":"","maximumVersion":"","formOrder":0,"lowerBound":null,"enabled":true,"mask":"","largeMask":"","maskKey":"","keyItemMaskOfField":null,"keyOptionIdReplace":"","relatedOptionIds":[],"onlineServices":[],"childCriteriaItemList":[],"clientContextJson":""},{"keyOptionId":"8348","caption":"Jordan","isDefault":true,"maskCriteriaOnly":false,"definition":"","keyProductQueryItem":"300051","comparisonOperation":0,"comparisonValue":"132","mi</t>
  </si>
  <si>
    <t>nimumVersion":"","maximumVersion":"","formOrder":0,"lowerBound":null,"enabled":true,"mask":"","largeMask":"","maskKey":"","keyItemMaskOfField":null,"keyOptionIdReplace":"","relatedOptionIds":[],"onlineServices":[],"childCriteriaItemList":[],"clientContextJson":""},{"keyOptionId":"8349","caption":"Kuwait","isDefault":true,"maskCriteriaOnly":false,"definition":"","keyProductQueryItem":"300051","comparisonOperation":0,"comparisonValue":"137","minimumVersion":"","maximumVersion":"","formOrder":0,"lowerBound":null,"enabled":true,"mask":"","largeMask":"","maskKey":"","keyItemMaskOfField":null,"keyOptionIdReplace":"","relatedOptionIds":[],"onlineServices":[],"childCriteriaItemList":[],"clientContextJson":""},{"keyOptionId":"8350","caption":"Lebanon","isDefault":true,"maskCriteriaOnly":false,"definition":"","keyProductQueryItem":"300051","comparisonOperation":0,"comparisonValue":"140","minimumVersion":"","maximumVersion":"","formOrder":0,"lowerBound":null,"enabled":true,"mask":"","largeMask":"","maskKey":"","keyItemMaskOfField":null,"keyOptionIdReplace":"","relatedOptionIds":[],"onlineServices":[],"childCriteriaItemList":[],"clientContextJson":""},{"keyOptionId":"8351","caption":"Oman","isDefault":true,"maskCriteriaOnly":false,"definition":"","keyProductQueryItem":"300051","comparisonOperation":0,"comparisonValue":"148","minimumVersion":"","maximumVersion":"","formOrder":0,"lowerBound":null,"enabled":true,"mask":"","largeMask":"","maskKey":"","keyItemMaskOfField":null,"keyOptionIdReplace":"","relatedOptionIds":[],"onlineServices":[],"childCriteriaItemList":[],"clientContextJson":""},{"keyOptionId":"8352","caption":"Palestine","isDefault":true,"maskCriteriaOnly":false,"definition":"","keyProductQueryItem":"300051","comparisonOperation":0,"comparisonValue":"150","minimumVersion":"","maximumVersion":"","formOrder":0,"lowerBound":null,"enabled":true,"mask":"","largeMask":"","maskKey":"","keyItemMaskOfField":null,"keyOptionIdReplace":"","relatedOptionIds":[],"onlineServices":[],"childCriteriaItemList":[],"clientContextJson":""},{"keyOptionId":"8353","caption":"Qatar","isDefault":true,"maskCriteriaOnly":false,"definition":"","keyProductQueryItem":"300051","comparisonOperation":0,"comparisonValue":"151","minimumVersion":"","maximumVersion":"","formOrder":0,"lowerBound":null,"enabled":true,"mask":"","largeMask":"","maskKey":"","keyItemMaskOfField":null,"keyOptionIdReplace":"","relatedOptionIds":[],"onlineServices":[],"childCriteriaItemList":[],"clientContextJson":""},{"keyOptionId":"8354","caption":"Saudi Arabia","isDefault":true,"maskCriteriaOnly":false,"definition":"","keyProductQueryItem":"300051","comparisonOperation":0,"comparisonValue":"168","minimumVersion":"","maximumVersion":"","formOrder":0,"lowerBound":null,"enabled":true,"mask":"","largeMask":"","maskKey":"","keyItemMaskOfField":null,"keyOptionIdReplace":"","relatedOptionIds":[],"onlineServices":[],"childCriteriaItemList":[],"clientContextJson":""},{"keyOptionId":"8355","caption":"Syria","isDefault":true,"maskCriteriaOnly":false,"definition":"","keyProductQueryItem":"300051","comparisonOperation":0,"comparisonValue":"153","minimumVersion":"","maximumVersion":"","formOrder":0,"lowerBound":null,"enabled":true,"mask":"","largeMask":"","maskKey":"","keyItemMaskOfField":null,"keyOptionIdReplace":"","relatedOptionIds":[],"onlineServices":[],"childCriteriaItemList":[],"clientContextJson":""},{"keyOptionId":"8356","caption":"United Arab Emirates","isDefault":true,"maskCriteriaOnly":false,"definition":"","keyProductQueryItem":"300051","comparisonOperation":0,"comparisonValue":"119","minimumVersion":"","maximumVersion":"","formOrder":0,"lowerBound":null,"enabled":true,"mask":"","largeMask":"","maskKey":"","keyItemMaskOfField":null,"keyOptionIdReplace":"","relatedOptionIds":[],"onlineServices":[],"childCriteriaItemList":[],"clientContextJson":""},{"keyOptionId":"8357","caption":"Yemen","isDefault":true,"maskCriteriaOnly":false,"definition":"","keyProductQueryItem":"300051","comparisonOperation":0,"comparisonValue":"160","minimumVersion":"","maximumVersion":"","formOrder":0,"lowerBound":null,"enabled":true,"mask":"","largeMask":"","maskKey":"","keyItemMaskOfField":null,"keyOptionIdReplace":"","relatedOptionIds":[],"onlineServices":[],"childCriteriaItemList":[],"clientContextJson":""}],"clientContextJson":""},{"keyOptionId":"8358","caption":"Latin America and Caribbea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8359","caption":"Anguilla","isDefault":true,"maskCriteriaOnly":false,"definition":"","keyProductQueryItem":"300051","comparisonOperation":0,"comparisonValue":"9","minimumVersion":"","maximumVersion":"","formOrder":0,"lowerBound":null,"enabled":true,"mask":"","largeMask":"","maskKey":"","keyItemMaskOfField":null,"keyOptionIdReplace":"","relatedOptionIds":[],"onlineServices":[],"childCriteriaItemList":[],"clientContextJson":""},{"keyOptionId":"8360","caption":"Antigua and Barbuda","isDefault":true,"maskCriteriaOnly":false,"definition":"","keyProductQueryItem":"300051","comparisonOperation":0,"comparisonValue":"8","minimumVersion":"","maximumVersion":"","formOrder":0,"lowerBound":null,"enabled":true,"mask":"","largeMask":"","maskKey":"","keyItemMaskOfField":null,"keyOptionIdReplace":"","relatedOptionIds":[],"onlineServices":[],"childCriteriaItemList":[],"clientContextJson":""},{"keyOptionId":"8361","caption":"Argentina","isDefault":true,"maskCriteriaOnly":false,"definition":"","keyProductQueryItem":"300051","comparisonOperation":0,"comparisonValue":"52","minimumVersion":"","maximumVersion":"","formOrder":0,"lowerBound":null,"enabled":true,"mask":"","largeMask":"","maskKey":"","keyItemMaskOfField":null,"keyOptionIdReplace":"","relatedOptionIds":[],"onlineServices":[],"childCriteriaItemList":[],"clientContextJson":""},{"keyOptionId":"8362","caption":"Aruba","isDefault":true,"maskCriteriaOnly":false,"definition":"","keyProductQueryItem":"300051","comparisonOperation":0,"comparisonValue":"10","minimumVersion":"","maximumVersion":"","formOrder":0,"lowerBound":null,"enabled":true,"mask":"","largeMask":"","maskKey":"","keyItemMaskOfField":null,"keyOptionIdReplace":"","relatedOptionIds":[],"onlineServices":[],"childCriteriaItemList":[],"clientContextJson":""},{"keyOptionId":"8363","caption":"Bahamas","isDefault":true,"maskCriteriaOnly":false,"definition":"","keyProductQueryItem":"300051","comparisonOperation":0,"comparisonValue":"37","minimumVersion":"","maximumVersion":"","formOrder":0,"lowerBound":null,"enabled":true,"mask":"","largeMask":"","maskKey":"","keyItemMaskOfField":null,"keyOptionIdReplace":"","relatedOptionIds":[],"onlineServices":[],"childCriteriaItemList":[],"clientContextJson":""},{"keyOptionId":"8364","caption":"Barbados","isDefault":true,"maskCriteriaOnly":false,"definition":"","keyProductQueryItem":"300051","comparisonOperation":0,"comparisonValue":"11","minimumVersion":"","maximumVersion":"","formOrder":0,"lowerBound":null,"enabled":true,"mask":"","largeMask":"","maskKey":"","keyItemMaskOfField":null,"keyOptionIdReplace":"","relatedOptionIds":[],"onlineServices":[],"childCriteriaItemList":[],"clientContextJson":""},{"keyOptionId":"8365","caption":"Belize","isDefault":true,"maskCriteriaOnly":false,"definition":"","keyProductQueryItem":"300051","comparisonOperation":0,"comparisonValue":"13","minimumVersion":"","maximumVersion":"","formOrder":0,"lowerB</t>
  </si>
  <si>
    <t>ound":null,"enabled":true,"mask":"","largeMask":"","maskKey":"","keyItemMaskOfField":null,"keyOptionIdReplace":"","relatedOptionIds":[],"onlineServices":[],"childCriteriaItemList":[],"clientContextJson":""},{"keyOptionId":"8366","caption":"Bolivia","isDefault":true,"maskCriteriaOnly":false,"definition":"","keyProductQueryItem":"300051","comparisonOperation":0,"comparisonValue":"43","minimumVersion":"","maximumVersion":"","formOrder":0,"lowerBound":null,"enabled":true,"mask":"","largeMask":"","maskKey":"","keyItemMaskOfField":null,"keyOptionIdReplace":"","relatedOptionIds":[],"onlineServices":[],"childCriteriaItemList":[],"clientContextJson":""},{"keyOptionId":"8367","caption":"Bonaire","isDefault":true,"maskCriteriaOnly":false,"definition":"","keyProductQueryItem":"300051","comparisonOperation":0,"comparisonValue":"1119","minimumVersion":"","maximumVersion":"","formOrder":0,"lowerBound":null,"enabled":true,"mask":"","largeMask":"","maskKey":"","keyItemMaskOfField":null,"keyOptionIdReplace":"","relatedOptionIds":[],"onlineServices":[],"childCriteriaItemList":[],"clientContextJson":""},{"keyOptionId":"8368","caption":"Brazil","isDefault":true,"maskCriteriaOnly":false,"definition":"","keyProductQueryItem":"300051","comparisonOperation":0,"comparisonValue":"53","minimumVersion":"","maximumVersion":"","formOrder":0,"lowerBound":null,"enabled":true,"mask":"","largeMask":"","maskKey":"","keyItemMaskOfField":null,"keyOptionIdReplace":"","relatedOptionIds":[],"onlineServices":[],"childCriteriaItemList":[],"clientContextJson":""},{"keyOptionId":"8369","caption":"BVI","isDefault":true,"maskCriteriaOnly":false,"definition":"","keyProductQueryItem":"300051","comparisonOperation":0,"comparisonValue":"35","minimumVersion":"","maximumVersion":"","formOrder":0,"lowerBound":null,"enabled":true,"mask":"","largeMask":"","maskKey":"","keyItemMaskOfField":null,"keyOptionIdReplace":"","relatedOptionIds":[],"onlineServices":[],"childCriteriaItemList":[],"clientContextJson":""},{"keyOptionId":"8370","caption":"Cayman Islands","isDefault":true,"maskCriteriaOnly":false,"definition":"","keyProductQueryItem":"300051","comparisonOperation":0,"comparisonValue":"41","minimumVersion":"","maximumVersion":"","formOrder":0,"lowerBound":null,"enabled":true,"mask":"","largeMask":"","maskKey":"","keyItemMaskOfField":null,"keyOptionIdReplace":"","relatedOptionIds":[],"onlineServices":[],"childCriteriaItemList":[],"clientContextJson":""},{"keyOptionId":"8371","caption":"Chile","isDefault":true,"maskCriteriaOnly":false,"definition":"","keyProductQueryItem":"300051","comparisonOperation":0,"comparisonValue":"54","minimumVersion":"","maximumVersion":"","formOrder":0,"lowerBound":null,"enabled":true,"mask":"","largeMask":"","maskKey":"","keyItemMaskOfField":null,"keyOptionIdReplace":"","relatedOptionIds":[],"onlineServices":[],"childCriteriaItemList":[],"clientContextJson":""},{"keyOptionId":"8372","caption":"Cocos Islands","isDefault":true,"maskCriteriaOnly":false,"definition":"","keyProductQueryItem":"300051","comparisonOperation":0,"comparisonValue":"124","minimumVersion":"","maximumVersion":"","formOrder":0,"lowerBound":null,"enabled":true,"mask":"","largeMask":"","maskKey":"","keyItemMaskOfField":null,"keyOptionIdReplace":"","relatedOptionIds":[],"onlineServices":[],"childCriteriaItemList":[],"clientContextJson":""},{"keyOptionId":"8373","caption":"Colombia","isDefault":true,"maskCriteriaOnly":false,"definition":"","keyProductQueryItem":"300051","comparisonOperation":0,"comparisonValue":"44","minimumVersion":"","maximumVersion":"","formOrder":0,"lowerBound":null,"enabled":true,"mask":"","largeMask":"","maskKey":"","keyItemMaskOfField":null,"keyOptionIdReplace":"","relatedOptionIds":[],"onlineServices":[],"childCriteriaItemList":[],"clientContextJson":""},{"keyOptionId":"8374","caption":"Costa Rica","isDefault":true,"maskCriteriaOnly":false,"definition":"","keyProductQueryItem":"300051","comparisonOperation":0,"comparisonValue":"14","minimumVersion":"","maximumVersion":"","formOrder":0,"lowerBound":null,"enabled":true,"mask":"","largeMask":"","maskKey":"","keyItemMaskOfField":null,"keyOptionIdReplace":"","relatedOptionIds":[],"onlineServices":[],"childCriteriaItemList":[],"clientContextJson":""},{"keyOptionId":"8375","caption":"Cuba","isDefault":true,"maskCriteriaOnly":false,"definition":"","keyProductQueryItem":"300051","comparisonOperation":0,"comparisonValue":"15","minimumVersion":"","maximumVersion":"","formOrder":0,"lowerBound":null,"enabled":true,"mask":"","largeMask":"","maskKey":"","keyItemMaskOfField":null,"keyOptionIdReplace":"","relatedOptionIds":[],"onlineServices":[],"childCriteriaItemList":[],"clientContextJson":""},{"keyOptionId":"8376","caption":"Curaçao","isDefault":true,"maskCriteriaOnly":false,"definition":"","keyProductQueryItem":"300051","comparisonOperation":0,"comparisonValue":"1118","minimumVersion":"","maximumVersion":"","formOrder":0,"lowerBound":null,"enabled":true,"mask":"","largeMask":"","maskKey":"","keyItemMaskOfField":null,"keyOptionIdReplace":"","relatedOptionIds":[],"onlineServices":[],"childCriteriaItemList":[],"clientContextJson":""},{"keyOptionId":"8377","caption":"Dominica","isDefault":true,"maskCriteriaOnly":false,"definition":"","keyProductQueryItem":"300051","comparisonOperation":0,"comparisonValue":"16","minimumVersion":"","maximumVersion":"","formOrder":0,"lowerBound":null,"enabled":true,"mask":"","largeMask":"","maskKey":"","keyItemMaskOfField":null,"keyOptionIdReplace":"","relatedOptionIds":[],"onlineServices":[],"childCriteriaItemList":[],"clientContextJson":""},{"keyOptionId":"8378","caption":"Dominican Republic","isDefault":true,"maskCriteriaOnly":false,"definition":"","keyProductQueryItem":"300051","comparisonOperation":0,"comparisonValue":"17","minimumVersion":"","maximumVersion":"","formOrder":0,"lowerBound":null,"enabled":true,"mask":"","largeMask":"","maskKey":"","keyItemMaskOfField":null,"keyOptionIdReplace":"","relatedOptionIds":[],"onlineServices":[],"childCriteriaItemList":[],"clientContextJson":""},{"keyOptionId":"8379","caption":"Ecuador","isDefault":true,"maskCriteriaOnly":false,"definition":"","keyProductQueryItem":"300051","comparisonOperation":0,"comparisonValue":"55","minimumVersion":"","maximumVersion":"","formOrder":0,"lowerBound":null,"enabled":true,"mask":"","largeMask":"","maskKey":"","keyItemMaskOfField":null,"keyOptionIdReplace":"","relatedOptionIds":[],"onlineServices":[],"childCriteriaItemList":[],"clientContextJson":""},{"keyOptionId":"8380","caption":"El Salvador","isDefault":true,"maskCriteriaOnly":false,"definition":"","keyProductQueryItem":"300051","comparisonOperation":0,"comparisonValue":"42","minimumVersion":"","maximumVersion":"","formOrder":0,"lowerBound":null,"enabled":true,"mask":"","largeMask":"","maskKey":"","keyItemMaskOfField":null,"keyOptionIdReplace":"","relatedOptionIds":[],"onlineServices":[],"childCriteriaItemList":[],"clientContextJson":""},{"keyOptionId":"8381","caption":"Falkland Islands","isDefault":true,"maskCriteriaOnly":false,"definition":"","keyProductQueryItem":"300051","comparisonOperation":0,"comparisonValue":"45","minimumVersion":"","maximumVersion":"","formOrder":0,"lowerBound":null,"enabled":true,"mask":"","largeMask":"","maskKey":"","keyItemMaskOfField":null,"keyOptionIdReplace":"","relatedOptionIds":[],"onlineServices":[],"childCriteriaItemList":[],"clientContextJson":""},{"keyOptionId":"8382","caption":"French Guiana","isDefault":true,"maskCriteriaOnly":false,"definition":"","keyProductQueryItem":"300051","comparisonOperation":0,"comparisonValue":"46","minimumVersion":"","maximumVersion":"","formOrder":0,"lowerBound":null,"enabled":true,"mask":"","largeMask":"","maskKey</t>
  </si>
  <si>
    <t>":"","keyItemMaskOfField":null,"keyOptionIdReplace":"","relatedOptionIds":[],"onlineServices":[],"childCriteriaItemList":[],"clientContextJson":""},{"keyOptionId":"8383","caption":"Grenada","isDefault":true,"maskCriteriaOnly":false,"definition":"","keyProductQueryItem":"300051","comparisonOperation":0,"comparisonValue":"18","minimumVersion":"","maximumVersion":"","formOrder":0,"lowerBound":null,"enabled":true,"mask":"","largeMask":"","maskKey":"","keyItemMaskOfField":null,"keyOptionIdReplace":"","relatedOptionIds":[],"onlineServices":[],"childCriteriaItemList":[],"clientContextJson":""},{"keyOptionId":"8384","caption":"Guadeloupe","isDefault":true,"maskCriteriaOnly":false,"definition":"","keyProductQueryItem":"300051","comparisonOperation":0,"comparisonValue":"20","minimumVersion":"","maximumVersion":"","formOrder":0,"lowerBound":null,"enabled":true,"mask":"","largeMask":"","maskKey":"","keyItemMaskOfField":null,"keyOptionIdReplace":"","relatedOptionIds":[],"onlineServices":[],"childCriteriaItemList":[],"clientContextJson":""},{"keyOptionId":"8385","caption":"Guatemala","isDefault":true,"maskCriteriaOnly":false,"definition":"","keyProductQueryItem":"300051","comparisonOperation":0,"comparisonValue":"39","minimumVersion":"","maximumVersion":"","formOrder":0,"lowerBound":null,"enabled":true,"mask":"","largeMask":"","maskKey":"","keyItemMaskOfField":null,"keyOptionIdReplace":"","relatedOptionIds":[],"onlineServices":[],"childCriteriaItemList":[],"clientContextJson":""},{"keyOptionId":"8386","caption":"Guyana","isDefault":true,"maskCriteriaOnly":false,"definition":"","keyProductQueryItem":"300051","comparisonOperation":0,"comparisonValue":"47","minimumVersion":"","maximumVersion":"","formOrder":0,"lowerBound":null,"enabled":true,"mask":"","largeMask":"","maskKey":"","keyItemMaskOfField":null,"keyOptionIdReplace":"","relatedOptionIds":[],"onlineServices":[],"childCriteriaItemList":[],"clientContextJson":""},{"keyOptionId":"8387","caption":"Haiti","isDefault":true,"maskCriteriaOnly":false,"definition":"","keyProductQueryItem":"300051","comparisonOperation":0,"comparisonValue":"22","minimumVersion":"","maximumVersion":"","formOrder":0,"lowerBound":null,"enabled":true,"mask":"","largeMask":"","maskKey":"","keyItemMaskOfField":null,"keyOptionIdReplace":"","relatedOptionIds":[],"onlineServices":[],"childCriteriaItemList":[],"clientContextJson":""},{"keyOptionId":"8388","caption":"Honduras","isDefault":true,"maskCriteriaOnly":false,"definition":"","keyProductQueryItem":"300051","comparisonOperation":0,"comparisonValue":"21","minimumVersion":"","maximumVersion":"","formOrder":0,"lowerBound":null,"enabled":true,"mask":"","largeMask":"","maskKey":"","keyItemMaskOfField":null,"keyOptionIdReplace":"","relatedOptionIds":[],"onlineServices":[],"childCriteriaItemList":[],"clientContextJson":""},{"keyOptionId":"8389","caption":"Jamaica","isDefault":true,"maskCriteriaOnly":false,"definition":"","keyProductQueryItem":"300051","comparisonOperation":0,"comparisonValue":"23","minimumVersion":"","maximumVersion":"","formOrder":0,"lowerBound":null,"enabled":true,"mask":"","largeMask":"","maskKey":"","keyItemMaskOfField":null,"keyOptionIdReplace":"","relatedOptionIds":[],"onlineServices":[],"childCriteriaItemList":[],"clientContextJson":""},{"keyOptionId":"8390","caption":"Martinique","isDefault":true,"maskCriteriaOnly":false,"definition":"","keyProductQueryItem":"300051","comparisonOperation":0,"comparisonValue":"25","minimumVersion":"","maximumVersion":"","formOrder":0,"lowerBound":null,"enabled":true,"mask":"","largeMask":"","maskKey":"","keyItemMaskOfField":null,"keyOptionIdReplace":"","relatedOptionIds":[],"onlineServices":[],"childCriteriaItemList":[],"clientContextJson":""},{"keyOptionId":"8391","caption":"Mexico","isDefault":true,"maskCriteriaOnly":false,"definition":"","keyProductQueryItem":"300051","comparisonOperation":0,"comparisonValue":"27","minimumVersion":"","maximumVersion":"","formOrder":0,"lowerBound":null,"enabled":true,"mask":"","largeMask":"","maskKey":"","keyItemMaskOfField":null,"keyOptionIdReplace":"","relatedOptionIds":[],"onlineServices":[],"childCriteriaItemList":[],"clientContextJson":""},{"keyOptionId":"8392","caption":"Montserrat","isDefault":true,"maskCriteriaOnly":false,"definition":"","keyProductQueryItem":"300051","comparisonOperation":0,"comparisonValue":"26","minimumVersion":"","maximumVersion":"","formOrder":0,"lowerBound":null,"enabled":true,"mask":"","largeMask":"","maskKey":"","keyItemMaskOfField":null,"keyOptionIdReplace":"","relatedOptionIds":[],"onlineServices":[],"childCriteriaItemList":[],"clientContextJson":""},{"keyOptionId":"8393","caption":"Nicaragua","isDefault":true,"maskCriteriaOnly":false,"definition":"","keyProductQueryItem":"300051","comparisonOperation":0,"comparisonValue":"28","minimumVersion":"","maximumVersion":"","formOrder":0,"lowerBound":null,"enabled":true,"mask":"","largeMask":"","maskKey":"","keyItemMaskOfField":null,"keyOptionIdReplace":"","relatedOptionIds":[],"onlineServices":[],"childCriteriaItemList":[],"clientContextJson":""},{"keyOptionId":"8394","caption":"Panama","isDefault":true,"maskCriteriaOnly":false,"definition":"","keyProductQueryItem":"300051","comparisonOperation":0,"comparisonValue":"29","minimumVersion":"","maximumVersion":"","formOrder":0,"lowerBound":null,"enabled":true,"mask":"","largeMask":"","maskKey":"","keyItemMaskOfField":null,"keyOptionIdReplace":"","relatedOptionIds":[],"onlineServices":[],"childCriteriaItemList":[],"clientContextJson":""},{"keyOptionId":"8395","caption":"Paraguay","isDefault":true,"maskCriteriaOnly":false,"definition":"","keyProductQueryItem":"300051","comparisonOperation":0,"comparisonValue":"49","minimumVersion":"","maximumVersion":"","formOrder":0,"lowerBound":null,"enabled":true,"mask":"","largeMask":"","maskKey":"","keyItemMaskOfField":null,"keyOptionIdReplace":"","relatedOptionIds":[],"onlineServices":[],"childCriteriaItemList":[],"clientContextJson":""},{"keyOptionId":"8396","caption":"Peru","isDefault":true,"maskCriteriaOnly":false,"definition":"","keyProductQueryItem":"300051","comparisonOperation":0,"comparisonValue":"48","minimumVersion":"","maximumVersion":"","formOrder":0,"lowerBound":null,"enabled":true,"mask":"","largeMask":"","maskKey":"","keyItemMaskOfField":null,"keyOptionIdReplace":"","relatedOptionIds":[],"onlineServices":[],"childCriteriaItemList":[],"clientContextJson":""},{"keyOptionId":"8397","caption":"Saint Lucia","isDefault":true,"maskCriteriaOnly":false,"definition":"","keyProductQueryItem":"300051","comparisonOperation":0,"comparisonValue":"24","minimumVersion":"","maximumVersion":"","formOrder":0,"lowerBound":null,"enabled":true,"mask":"","largeMask":"","maskKey":"","keyItemMaskOfField":null,"keyOptionIdReplace":"","relatedOptionIds":[],"onlineServices":[],"childCriteriaItemList":[],"clientContextJson":""},{"keyOptionId":"8398","caption":"Saint Vincent","isDefault":true,"maskCriteriaOnly":false,"definition":"","keyProductQueryItem":"300051","comparisonOperation":0,"comparisonValue":"34","minimumVersion":"","maximumVersion":"","formOrder":0,"lowerBound":null,"enabled":true,"mask":"","largeMask":"","maskKey":"","keyItemMaskOfField":null,"keyOptionIdReplace":"","relatedOptionIds":[],"onlineServices":[],"childCriteriaItemList":[],"clientContextJson":""},{"keyOptionId":"8399","caption":"Sint Maarten","isDefault":true,"maskCriteriaOnly":false,"definition":"","keyProductQueryItem":"300051","comparisonOperation":0,"comparisonValue":"1117","minimumVersion":"","maximumVersion":"","formOrder":0,"lowerBound":null,"enabled":true,"mask":"","largeMask":"","maskKey":"","keyItemMaskOfField":null,"keyOptionIdReplace":"","relatedOptionIds":[],"</t>
  </si>
  <si>
    <t>onlineServices":[],"childCriteriaItemList":[],"clientContextJson":""},{"keyOptionId":"8400","caption":"South Georgia","isDefault":true,"maskCriteriaOnly":false,"definition":"","keyProductQueryItem":"300051","comparisonOperation":0,"comparisonValue":"59","minimumVersion":"","maximumVersion":"","formOrder":0,"lowerBound":null,"enabled":true,"mask":"","largeMask":"","maskKey":"","keyItemMaskOfField":null,"keyOptionIdReplace":"","relatedOptionIds":[],"onlineServices":[],"childCriteriaItemList":[],"clientContextJson":""},{"keyOptionId":"8401","caption":"St. Kitts and Nevis","isDefault":true,"maskCriteriaOnly":false,"definition":"","keyProductQueryItem":"300051","comparisonOperation":0,"comparisonValue":"40","minimumVersion":"","maximumVersion":"","formOrder":0,"lowerBound":null,"enabled":true,"mask":"","largeMask":"","maskKey":"","keyItemMaskOfField":null,"keyOptionIdReplace":"","relatedOptionIds":[],"onlineServices":[],"childCriteriaItemList":[],"clientContextJson":""},{"keyOptionId":"8402","caption":"St. Pierre, Miquelon","isDefault":true,"maskCriteriaOnly":false,"definition":"","keyProductQueryItem":"300051","comparisonOperation":0,"comparisonValue":"30","minimumVersion":"","maximumVersion":"","formOrder":0,"lowerBound":null,"enabled":true,"mask":"","largeMask":"","maskKey":"","keyItemMaskOfField":null,"keyOptionIdReplace":"","relatedOptionIds":[],"onlineServices":[],"childCriteriaItemList":[],"clientContextJson":""},{"keyOptionId":"8403","caption":"Suriname","isDefault":true,"maskCriteriaOnly":false,"definition":"","keyProductQueryItem":"300051","comparisonOperation":0,"comparisonValue":"50","minimumVersion":"","maximumVersion":"","formOrder":0,"lowerBound":null,"enabled":true,"mask":"","largeMask":"","maskKey":"","keyItemMaskOfField":null,"keyOptionIdReplace":"","relatedOptionIds":[],"onlineServices":[],"childCriteriaItemList":[],"clientContextJson":""},{"keyOptionId":"8404","caption":"Trinidad and Tobago","isDefault":true,"maskCriteriaOnly":false,"definition":"","keyProductQueryItem":"300051","comparisonOperation":0,"comparisonValue":"32","minimumVersion":"","maximumVersion":"","formOrder":0,"lowerBound":null,"enabled":true,"mask":"","largeMask":"","maskKey":"","keyItemMaskOfField":null,"keyOptionIdReplace":"","relatedOptionIds":[],"onlineServices":[],"childCriteriaItemList":[],"clientContextJson":""},{"keyOptionId":"8405","caption":"Turks &amp; Caicos","isDefault":true,"maskCriteriaOnly":false,"definition":"","keyProductQueryItem":"300051","comparisonOperation":0,"comparisonValue":"31","minimumVersion":"","maximumVersion":"","formOrder":0,"lowerBound":null,"enabled":true,"mask":"","largeMask":"","maskKey":"","keyItemMaskOfField":null,"keyOptionIdReplace":"","relatedOptionIds":[],"onlineServices":[],"childCriteriaItemList":[],"clientContextJson":""},{"keyOptionId":"8406","caption":"Uruguay","isDefault":true,"maskCriteriaOnly":false,"definition":"","keyProductQueryItem":"300051","comparisonOperation":0,"comparisonValue":"51","minimumVersion":"","maximumVersion":"","formOrder":0,"lowerBound":null,"enabled":true,"mask":"","largeMask":"","maskKey":"","keyItemMaskOfField":null,"keyOptionIdReplace":"","relatedOptionIds":[],"onlineServices":[],"childCriteriaItemList":[],"clientContextJson":""},{"keyOptionId":"8407","caption":"Venezuela","isDefault":true,"maskCriteriaOnly":false,"definition":"","keyProductQueryItem":"300051","comparisonOperation":0,"comparisonValue":"56","minimumVersion":"","maximumVersion":"","formOrder":0,"lowerBound":null,"enabled":true,"mask":"","largeMask":"","maskKey":"","keyItemMaskOfField":null,"keyOptionIdReplace":"","relatedOptionIds":[],"onlineServices":[],"childCriteriaItemList":[],"clientContextJson":""}],"clientContextJson":""},{"keyOptionId":"8408","caption":"Africa","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8409","caption":"Algeria","isDefault":true,"maskCriteriaOnly":false,"definition":"","keyProductQueryItem":"300051","comparisonOperation":0,"comparisonValue":"73","minimumVersion":"","maximumVersion":"","formOrder":0,"lowerBound":null,"enabled":true,"mask":"","largeMask":"","maskKey":"","keyItemMaskOfField":null,"keyOptionIdReplace":"","relatedOptionIds":[],"onlineServices":[],"childCriteriaItemList":[],"clientContextJson":""},{"keyOptionId":"8410","caption":"Angola","isDefault":true,"maskCriteriaOnly":false,"definition":"","keyProductQueryItem":"300051","comparisonOperation":0,"comparisonValue":"62","minimumVersion":"","maximumVersion":"","formOrder":0,"lowerBound":null,"enabled":true,"mask":"","largeMask":"","maskKey":"","keyItemMaskOfField":null,"keyOptionIdReplace":"","relatedOptionIds":[],"onlineServices":[],"childCriteriaItemList":[],"clientContextJson":""},{"keyOptionId":"8411","caption":"Benin","isDefault":true,"maskCriteriaOnly":false,"definition":"","keyProductQueryItem":"300051","comparisonOperation":0,"comparisonValue":"65","minimumVersion":"","maximumVersion":"","formOrder":0,"lowerBound":null,"enabled":true,"mask":"","largeMask":"","maskKey":"","keyItemMaskOfField":null,"keyOptionIdReplace":"","relatedOptionIds":[],"onlineServices":[],"childCriteriaItemList":[],"clientContextJson":""},{"keyOptionId":"8412","caption":"Botswana","isDefault":true,"maskCriteriaOnly":false,"definition":"","keyProductQueryItem":"300051","comparisonOperation":0,"comparisonValue":"66","minimumVersion":"","maximumVersion":"","formOrder":0,"lowerBound":null,"enabled":true,"mask":"","largeMask":"","maskKey":"","keyItemMaskOfField":null,"keyOptionIdReplace":"","relatedOptionIds":[],"onlineServices":[],"childCriteriaItemList":[],"clientContextJson":""},{"keyOptionId":"8413","caption":"Bouvet Island","isDefault":true,"maskCriteriaOnly":false,"definition":"","keyProductQueryItem":"300051","comparisonOperation":0,"comparisonValue":"58","minimumVersion":"","maximumVersion":"","formOrder":0,"lowerBound":null,"enabled":true,"mask":"","largeMask":"","maskKey":"","keyItemMaskOfField":null,"keyOptionIdReplace":"","relatedOptionIds":[],"onlineServices":[],"childCriteriaItemList":[],"clientContextJson":""},{"keyOptionId":"8414","caption":"Burkina Faso","isDefault":true,"maskCriteriaOnly":false,"definition":"","keyProductQueryItem":"300051","comparisonOperation":0,"comparisonValue":"63","minimumVersion":"","maximumVersion":"","formOrder":0,"lowerBound":null,"enabled":true,"mask":"","largeMask":"","maskKey":"","keyItemMaskOfField":null,"keyOptionIdReplace":"","relatedOptionIds":[],"onlineServices":[],"childCriteriaItemList":[],"clientContextJson":""},{"keyOptionId":"8415","caption":"Burundi","isDefault":true,"maskCriteriaOnly":false,"definition":"","keyProductQueryItem":"300051","comparisonOperation":0,"comparisonValue":"64","minimumVersion":"","maximumVersion":"","formOrder":0,"lowerBound":null,"enabled":true,"mask":"","largeMask":"","maskKey":"","keyItemMaskOfField":null,"keyOptionIdReplace":"","relatedOptionIds":[],"onlineServices":[],"childCriteriaItemList":[],"clientContextJson":""},{"keyOptionId":"8416","caption":"Cameroon","isDefault":true,"maskCriteriaOnly":false,"definition":"","keyProductQueryItem":"300051","comparisonOperation":0,"comparisonValue":"70","minimumVersion":"","maximumVersion":"","formOrder":0,"lowerBound":null,"enabled":true,"mask":"","largeMask":"","maskKey":"","keyItemMaskOfField":null,"keyOptionIdReplace":"","relatedOptionIds":[],"onlineServices":[],"childCriteriaItemList":[],</t>
  </si>
  <si>
    <t>"clientContextJson":""},{"keyOptionId":"8417","caption":"Cape Verde","isDefault":true,"maskCriteriaOnly":false,"definition":"","keyProductQueryItem":"300051","comparisonOperation":0,"comparisonValue":"71","minimumVersion":"","maximumVersion":"","formOrder":0,"lowerBound":null,"enabled":true,"mask":"","largeMask":"","maskKey":"","keyItemMaskOfField":null,"keyOptionIdReplace":"","relatedOptionIds":[],"onlineServices":[],"childCriteriaItemList":[],"clientContextJson":""},{"keyOptionId":"8418","caption":"Central African Rep.","isDefault":true,"maskCriteriaOnly":false,"definition":"","keyProductQueryItem":"300051","comparisonOperation":0,"comparisonValue":"67","minimumVersion":"","maximumVersion":"","formOrder":0,"lowerBound":null,"enabled":true,"mask":"","largeMask":"","maskKey":"","keyItemMaskOfField":null,"keyOptionIdReplace":"","relatedOptionIds":[],"onlineServices":[],"childCriteriaItemList":[],"clientContextJson":""},{"keyOptionId":"8419","caption":"Chad","isDefault":true,"maskCriteriaOnly":false,"definition":"","keyProductQueryItem":"300051","comparisonOperation":0,"comparisonValue":"108","minimumVersion":"","maximumVersion":"","formOrder":0,"lowerBound":null,"enabled":true,"mask":"","largeMask":"","maskKey":"","keyItemMaskOfField":null,"keyOptionIdReplace":"","relatedOptionIds":[],"onlineServices":[],"childCriteriaItemList":[],"clientContextJson":""},{"keyOptionId":"8420","caption":"Comoros","isDefault":true,"maskCriteriaOnly":false,"definition":"","keyProductQueryItem":"300051","comparisonOperation":0,"comparisonValue":"117","minimumVersion":"","maximumVersion":"","formOrder":0,"lowerBound":null,"enabled":true,"mask":"","largeMask":"","maskKey":"","keyItemMaskOfField":null,"keyOptionIdReplace":"","relatedOptionIds":[],"onlineServices":[],"childCriteriaItemList":[],"clientContextJson":""},{"keyOptionId":"8421","caption":"Cote d'Ivoire","isDefault":true,"maskCriteriaOnly":false,"definition":"","keyProductQueryItem":"300051","comparisonOperation":0,"comparisonValue":"69","minimumVersion":"","maximumVersion":"","formOrder":0,"lowerBound":null,"enabled":true,"mask":"","largeMask":"","maskKey":"","keyItemMaskOfField":null,"keyOptionIdReplace":"","relatedOptionIds":[],"onlineServices":[],"childCriteriaItemList":[],"clientContextJson":""},{"keyOptionId":"8422","caption":"Dem. Rep. Congo","isDefault":true,"maskCriteriaOnly":false,"definition":"","keyProductQueryItem":"300051","comparisonOperation":0,"comparisonValue":"115","minimumVersion":"","maximumVersion":"","formOrder":0,"lowerBound":null,"enabled":true,"mask":"","largeMask":"","maskKey":"","keyItemMaskOfField":null,"keyOptionIdReplace":"","relatedOptionIds":[],"onlineServices":[],"childCriteriaItemList":[],"clientContextJson":""},{"keyOptionId":"8423","caption":"Djibouti","isDefault":true,"maskCriteriaOnly":false,"definition":"","keyProductQueryItem":"300051","comparisonOperation":0,"comparisonValue":"72","minimumVersion":"","maximumVersion":"","formOrder":0,"lowerBound":null,"enabled":true,"mask":"","largeMask":"","maskKey":"","keyItemMaskOfField":null,"keyOptionIdReplace":"","relatedOptionIds":[],"onlineServices":[],"childCriteriaItemList":[],"clientContextJson":""},{"keyOptionId":"8424","caption":"Equatorial Guinea","isDefault":true,"maskCriteriaOnly":false,"definition":"","keyProductQueryItem":"300051","comparisonOperation":0,"comparisonValue":"82","minimumVersion":"","maximumVersion":"","formOrder":0,"lowerBound":null,"enabled":true,"mask":"","largeMask":"","maskKey":"","keyItemMaskOfField":null,"keyOptionIdReplace":"","relatedOptionIds":[],"onlineServices":[],"childCriteriaItemList":[],"clientContextJson":""},{"keyOptionId":"8425","caption":"Eritrea","isDefault":true,"maskCriteriaOnly":false,"definition":"","keyProductQueryItem":"300051","comparisonOperation":0,"comparisonValue":"76","minimumVersion":"","maximumVersion":"","formOrder":0,"lowerBound":null,"enabled":true,"mask":"","largeMask":"","maskKey":"","keyItemMaskOfField":null,"keyOptionIdReplace":"","relatedOptionIds":[],"onlineServices":[],"childCriteriaItemList":[],"clientContextJson":""},{"keyOptionId":"8458","caption":"Eswatini","isDefault":true,"maskCriteriaOnly":false,"definition":"","keyProductQueryItem":"300051","comparisonOperation":0,"comparisonValue":"107","minimumVersion":"","maximumVersion":"","formOrder":0,"lowerBound":null,"enabled":true,"mask":"","largeMask":"","maskKey":"","keyItemMaskOfField":null,"keyOptionIdReplace":"","relatedOptionIds":[],"onlineServices":[],"childCriteriaItemList":[],"clientContextJson":""},{"keyOptionId":"8426","caption":"Ethiopia","isDefault":true,"maskCriteriaOnly":false,"definition":"","keyProductQueryItem":"300051","comparisonOperation":0,"comparisonValue":"77","minimumVersion":"","maximumVersion":"","formOrder":0,"lowerBound":null,"enabled":true,"mask":"","largeMask":"","maskKey":"","keyItemMaskOfField":null,"keyOptionIdReplace":"","relatedOptionIds":[],"onlineServices":[],"childCriteriaItemList":[],"clientContextJson":""},{"keyOptionId":"8427","caption":"Gabon","isDefault":true,"maskCriteriaOnly":false,"definition":"","keyProductQueryItem":"300051","comparisonOperation":0,"comparisonValue":"78","minimumVersion":"","maximumVersion":"","formOrder":0,"lowerBound":null,"enabled":true,"mask":"","largeMask":"","maskKey":"","keyItemMaskOfField":null,"keyOptionIdReplace":"","relatedOptionIds":[],"onlineServices":[],"childCriteriaItemList":[],"clientContextJson":""},{"keyOptionId":"8428","caption":"Gambia","isDefault":true,"maskCriteriaOnly":false,"definition":"","keyProductQueryItem":"300051","comparisonOperation":0,"comparisonValue":"80","minimumVersion":"","maximumVersion":"","formOrder":0,"lowerBound":null,"enabled":true,"mask":"","largeMask":"","maskKey":"","keyItemMaskOfField":null,"keyOptionIdReplace":"","relatedOptionIds":[],"onlineServices":[],"childCriteriaItemList":[],"clientContextJson":""},{"keyOptionId":"8429","caption":"Ghana","isDefault":true,"maskCriteriaOnly":false,"definition":"","keyProductQueryItem":"300051","comparisonOperation":0,"comparisonValue":"79","minimumVersion":"","maximumVersion":"","formOrder":0,"lowerBound":null,"enabled":true,"mask":"","largeMask":"","maskKey":"","keyItemMaskOfField":null,"keyOptionIdReplace":"","relatedOptionIds":[],"onlineServices":[],"childCriteriaItemList":[],"clientContextJson":""},{"keyOptionId":"8430","caption":"Guinea","isDefault":true,"maskCriteriaOnly":false,"definition":"","keyProductQueryItem":"300051","comparisonOperation":0,"comparisonValue":"81","minimumVersion":"","maximumVersion":"","formOrder":0,"lowerBound":null,"enabled":true,"mask":"","largeMask":"","maskKey":"","keyItemMaskOfField":null,"keyOptionIdReplace":"","relatedOptionIds":[],"onlineServices":[],"childCriteriaItemList":[],"clientContextJson":""},{"keyOptionId":"8431","caption":"Guinea-Bissau","isDefault":true,"maskCriteriaOnly":false,"definition":"","keyProductQueryItem":"300051","comparisonOperation":0,"comparisonValue":"83","minimumVersion":"","maximumVersion":"","formOrder":0,"lowerBound":null,"enabled":true,"mask":"","largeMask":"","maskKey":"","keyItemMaskOfField":null,"keyOptionIdReplace":"","relatedOptionIds":[],"onlineServices":[],"childCriteriaItemList":[],"clientContextJson":""},{"keyOptionId":"8432","caption":"Kenya","isDefault":true,"maskCriteriaOnly":false,"definition":"","keyProductQueryItem":"300051","comparisonOperation":0,"comparisonValue":"84","minimumVersion":"","maximumVersion":"","formOrder":0,"lowerBound":null,"enabled":true,"mask":"","largeMask":"","maskKey":"","keyItemMaskOfField":null,"keyOptionIdReplace":"","relatedOptionIds":[],"onlineServices":[],"childCriteriaItemList":[],"clientContextJson":""},{"keyOptionId":"8433","caption":"Les</t>
  </si>
  <si>
    <t>otho","isDefault":true,"maskCriteriaOnly":false,"definition":"","keyProductQueryItem":"300051","comparisonOperation":0,"comparisonValue":"86","minimumVersion":"","maximumVersion":"","formOrder":0,"lowerBound":null,"enabled":true,"mask":"","largeMask":"","maskKey":"","keyItemMaskOfField":null,"keyOptionIdReplace":"","relatedOptionIds":[],"onlineServices":[],"childCriteriaItemList":[],"clientContextJson":""},{"keyOptionId":"8434","caption":"Liberia","isDefault":true,"maskCriteriaOnly":false,"definition":"","keyProductQueryItem":"300051","comparisonOperation":0,"comparisonValue":"85","minimumVersion":"","maximumVersion":"","formOrder":0,"lowerBound":null,"enabled":true,"mask":"","largeMask":"","maskKey":"","keyItemMaskOfField":null,"keyOptionIdReplace":"","relatedOptionIds":[],"onlineServices":[],"childCriteriaItemList":[],"clientContextJson":""},{"keyOptionId":"8435","caption":"Libya","isDefault":true,"maskCriteriaOnly":false,"definition":"","keyProductQueryItem":"300051","comparisonOperation":0,"comparisonValue":"87","minimumVersion":"","maximumVersion":"","formOrder":0,"lowerBound":null,"enabled":true,"mask":"","largeMask":"","maskKey":"","keyItemMaskOfField":null,"keyOptionIdReplace":"","relatedOptionIds":[],"onlineServices":[],"childCriteriaItemList":[],"clientContextJson":""},{"keyOptionId":"8436","caption":"Madagascar","isDefault":true,"maskCriteriaOnly":false,"definition":"","keyProductQueryItem":"300051","comparisonOperation":0,"comparisonValue":"89","minimumVersion":"","maximumVersion":"","formOrder":0,"lowerBound":null,"enabled":true,"mask":"","largeMask":"","maskKey":"","keyItemMaskOfField":null,"keyOptionIdReplace":"","relatedOptionIds":[],"onlineServices":[],"childCriteriaItemList":[],"clientContextJson":""},{"keyOptionId":"8437","caption":"Malawi","isDefault":true,"maskCriteriaOnly":false,"definition":"","keyProductQueryItem":"300051","comparisonOperation":0,"comparisonValue":"93","minimumVersion":"","maximumVersion":"","formOrder":0,"lowerBound":null,"enabled":true,"mask":"","largeMask":"","maskKey":"","keyItemMaskOfField":null,"keyOptionIdReplace":"","relatedOptionIds":[],"onlineServices":[],"childCriteriaItemList":[],"clientContextJson":""},{"keyOptionId":"8438","caption":"Mali","isDefault":true,"maskCriteriaOnly":false,"definition":"","keyProductQueryItem":"300051","comparisonOperation":0,"comparisonValue":"90","minimumVersion":"","maximumVersion":"","formOrder":0,"lowerBound":null,"enabled":true,"mask":"","largeMask":"","maskKey":"","keyItemMaskOfField":null,"keyOptionIdReplace":"","relatedOptionIds":[],"onlineServices":[],"childCriteriaItemList":[],"clientContextJson":""},{"keyOptionId":"8439","caption":"Mauritania","isDefault":true,"maskCriteriaOnly":false,"definition":"","keyProductQueryItem":"300051","comparisonOperation":0,"comparisonValue":"91","minimumVersion":"","maximumVersion":"","formOrder":0,"lowerBound":null,"enabled":true,"mask":"","largeMask":"","maskKey":"","keyItemMaskOfField":null,"keyOptionIdReplace":"","relatedOptionIds":[],"onlineServices":[],"childCriteriaItemList":[],"clientContextJson":""},{"keyOptionId":"8440","caption":"Mauritius","isDefault":true,"maskCriteriaOnly":false,"definition":"","keyProductQueryItem":"300051","comparisonOperation":0,"comparisonValue":"92","minimumVersion":"","maximumVersion":"","formOrder":0,"lowerBound":null,"enabled":true,"mask":"","largeMask":"","maskKey":"","keyItemMaskOfField":null,"keyOptionIdReplace":"","relatedOptionIds":[],"onlineServices":[],"childCriteriaItemList":[],"clientContextJson":""},{"keyOptionId":"8441","caption":"Mayotte","isDefault":true,"maskCriteriaOnly":false,"definition":"","keyProductQueryItem":"300051","comparisonOperation":0,"comparisonValue":"113","minimumVersion":"","maximumVersion":"","formOrder":0,"lowerBound":null,"enabled":true,"mask":"","largeMask":"","maskKey":"","keyItemMaskOfField":null,"keyOptionIdReplace":"","relatedOptionIds":[],"onlineServices":[],"childCriteriaItemList":[],"clientContextJson":""},{"keyOptionId":"8442","caption":"Morocco","isDefault":true,"maskCriteriaOnly":false,"definition":"","keyProductQueryItem":"300051","comparisonOperation":0,"comparisonValue":"88","minimumVersion":"","maximumVersion":"","formOrder":0,"lowerBound":null,"enabled":true,"mask":"","largeMask":"","maskKey":"","keyItemMaskOfField":null,"keyOptionIdReplace":"","relatedOptionIds":[],"onlineServices":[],"childCriteriaItemList":[],"clientContextJson":""},{"keyOptionId":"8443","caption":"Mozambique","isDefault":true,"maskCriteriaOnly":false,"definition":"","keyProductQueryItem":"300051","comparisonOperation":0,"comparisonValue":"94","minimumVersion":"","maximumVersion":"","formOrder":0,"lowerBound":null,"enabled":true,"mask":"","largeMask":"","maskKey":"","keyItemMaskOfField":null,"keyOptionIdReplace":"","relatedOptionIds":[],"onlineServices":[],"childCriteriaItemList":[],"clientContextJson":""},{"keyOptionId":"8444","caption":"Namibia","isDefault":true,"maskCriteriaOnly":false,"definition":"","keyProductQueryItem":"300051","comparisonOperation":0,"comparisonValue":"95","minimumVersion":"","maximumVersion":"","formOrder":0,"lowerBound":null,"enabled":true,"mask":"","largeMask":"","maskKey":"","keyItemMaskOfField":null,"keyOptionIdReplace":"","relatedOptionIds":[],"onlineServices":[],"childCriteriaItemList":[],"clientContextJson":""},{"keyOptionId":"8445","caption":"Niger","isDefault":true,"maskCriteriaOnly":false,"definition":"","keyProductQueryItem":"300051","comparisonOperation":0,"comparisonValue":"96","minimumVersion":"","maximumVersion":"","formOrder":0,"lowerBound":null,"enabled":true,"mask":"","largeMask":"","maskKey":"","keyItemMaskOfField":null,"keyOptionIdReplace":"","relatedOptionIds":[],"onlineServices":[],"childCriteriaItemList":[],"clientContextJson":""},{"keyOptionId":"8446","caption":"Nigeria","isDefault":true,"maskCriteriaOnly":false,"definition":"","keyProductQueryItem":"300051","comparisonOperation":0,"comparisonValue":"97","minimumVersion":"","maximumVersion":"","formOrder":0,"lowerBound":null,"enabled":true,"mask":"","largeMask":"","maskKey":"","keyItemMaskOfField":null,"keyOptionIdReplace":"","relatedOptionIds":[],"onlineServices":[],"childCriteriaItemList":[],"clientContextJson":""},{"keyOptionId":"8447","caption":"Rep. Of the Congo","isDefault":true,"maskCriteriaOnly":false,"definition":"","keyProductQueryItem":"300051","comparisonOperation":0,"comparisonValue":"68","minimumVersion":"","maximumVersion":"","formOrder":0,"lowerBound":null,"enabled":true,"mask":"","largeMask":"","maskKey":"","keyItemMaskOfField":null,"keyOptionIdReplace":"","relatedOptionIds":[],"onlineServices":[],"childCriteriaItemList":[],"clientContextJson":""},{"keyOptionId":"8448","caption":"Reunion","isDefault":true,"maskCriteriaOnly":false,"definition":"","keyProductQueryItem":"300051","comparisonOperation":0,"comparisonValue":"98","minimumVersion":"","maximumVersion":"","formOrder":0,"lowerBound":null,"enabled":true,"mask":"","largeMask":"","maskKey":"","keyItemMaskOfField":null,"keyOptionIdReplace":"","relatedOptionIds":[],"onlineServices":[],"childCriteriaItemList":[],"clientContextJson":""},{"keyOptionId":"8449","caption":"Rwanda","isDefault":true,"maskCriteriaOnly":false,"definition":"","keyProductQueryItem":"300051","comparisonOperation":0,"comparisonValue":"99","minimumVersion":"","maximumVersion":"","formOrder":0,"lowerBound":null,"enabled":true,"mask":"","largeMask":"","maskKey":"","keyItemMaskOfField":null,"keyOptionIdReplace":"","relatedOptionIds":[],"onlineServices":[],"childCriteriaItemList":[],"clientContextJson":""},{"keyOptionId":"8450","caption":"Saint Helena","isDefault":true,"maskCriteriaOnly":false,"definition":"","keyProductQueryItem</t>
  </si>
  <si>
    <t>":"300051","comparisonOperation":0,"comparisonValue":"102","minimumVersion":"","maximumVersion":"","formOrder":0,"lowerBound":null,"enabled":true,"mask":"","largeMask":"","maskKey":"","keyItemMaskOfField":null,"keyOptionIdReplace":"","relatedOptionIds":[],"onlineServices":[],"childCriteriaItemList":[],"clientContextJson":""},{"keyOptionId":"8451","caption":"Sao Tome &amp; Principe","isDefault":true,"maskCriteriaOnly":false,"definition":"","keyProductQueryItem":"300051","comparisonOperation":0,"comparisonValue":"106","minimumVersion":"","maximumVersion":"","formOrder":0,"lowerBound":null,"enabled":true,"mask":"","largeMask":"","maskKey":"","keyItemMaskOfField":null,"keyOptionIdReplace":"","relatedOptionIds":[],"onlineServices":[],"childCriteriaItemList":[],"clientContextJson":""},{"keyOptionId":"8452","caption":"Senegal","isDefault":true,"maskCriteriaOnly":false,"definition":"","keyProductQueryItem":"300051","comparisonOperation":0,"comparisonValue":"104","minimumVersion":"","maximumVersion":"","formOrder":0,"lowerBound":null,"enabled":true,"mask":"","largeMask":"","maskKey":"","keyItemMaskOfField":null,"keyOptionIdReplace":"","relatedOptionIds":[],"onlineServices":[],"childCriteriaItemList":[],"clientContextJson":""},{"keyOptionId":"8453","caption":"Seychelles","isDefault":true,"maskCriteriaOnly":false,"definition":"","keyProductQueryItem":"300051","comparisonOperation":0,"comparisonValue":"100","minimumVersion":"","maximumVersion":"","formOrder":0,"lowerBound":null,"enabled":true,"mask":"","largeMask":"","maskKey":"","keyItemMaskOfField":null,"keyOptionIdReplace":"","relatedOptionIds":[],"onlineServices":[],"childCriteriaItemList":[],"clientContextJson":""},{"keyOptionId":"8454","caption":"Sierra Leone","isDefault":true,"maskCriteriaOnly":false,"definition":"","keyProductQueryItem":"300051","comparisonOperation":0,"comparisonValue":"103","minimumVersion":"","maximumVersion":"","formOrder":0,"lowerBound":null,"enabled":true,"mask":"","largeMask":"","maskKey":"","keyItemMaskOfField":null,"keyOptionIdReplace":"","relatedOptionIds":[],"onlineServices":[],"childCriteriaItemList":[],"clientContextJson":""},{"keyOptionId":"8455","caption":"Somalia","isDefault":true,"maskCriteriaOnly":false,"definition":"","keyProductQueryItem":"300051","comparisonOperation":0,"comparisonValue":"105","minimumVersion":"","maximumVersion":"","formOrder":0,"lowerBound":null,"enabled":true,"mask":"","largeMask":"","maskKey":"","keyItemMaskOfField":null,"keyOptionIdReplace":"","relatedOptionIds":[],"onlineServices":[],"childCriteriaItemList":[],"clientContextJson":""},{"keyOptionId":"8456","caption":"South Africa","isDefault":true,"maskCriteriaOnly":false,"definition":"","keyProductQueryItem":"300051","comparisonOperation":0,"comparisonValue":"118","minimumVersion":"","maximumVersion":"","formOrder":0,"lowerBound":null,"enabled":true,"mask":"","largeMask":"","maskKey":"","keyItemMaskOfField":null,"keyOptionIdReplace":"","relatedOptionIds":[],"onlineServices":[],"childCriteriaItemList":[],"clientContextJson":""},{"keyOptionId":"8457","caption":"Sudan","isDefault":true,"maskCriteriaOnly":false,"definition":"","keyProductQueryItem":"300051","comparisonOperation":0,"comparisonValue":"101","minimumVersion":"","maximumVersion":"","formOrder":0,"lowerBound":null,"enabled":true,"mask":"","largeMask":"","maskKey":"","keyItemMaskOfField":null,"keyOptionIdReplace":"","relatedOptionIds":[],"onlineServices":[],"childCriteriaItemList":[],"clientContextJson":""},{"keyOptionId":"8459","caption":"Tanzania","isDefault":true,"maskCriteriaOnly":false,"definition":"","keyProductQueryItem":"300051","comparisonOperation":0,"comparisonValue":"111","minimumVersion":"","maximumVersion":"","formOrder":0,"lowerBound":null,"enabled":true,"mask":"","largeMask":"","maskKey":"","keyItemMaskOfField":null,"keyOptionIdReplace":"","relatedOptionIds":[],"onlineServices":[],"childCriteriaItemList":[],"clientContextJson":""},{"keyOptionId":"8460","caption":"Togo","isDefault":true,"maskCriteriaOnly":false,"definition":"","keyProductQueryItem":"300051","comparisonOperation":0,"comparisonValue":"109","minimumVersion":"","maximumVersion":"","formOrder":0,"lowerBound":null,"enabled":true,"mask":"","largeMask":"","maskKey":"","keyItemMaskOfField":null,"keyOptionIdReplace":"","relatedOptionIds":[],"onlineServices":[],"childCriteriaItemList":[],"clientContextJson":""},{"keyOptionId":"8461","caption":"Tunisia","isDefault":true,"maskCriteriaOnly":false,"definition":"","keyProductQueryItem":"300051","comparisonOperation":0,"comparisonValue":"110","minimumVersion":"","maximumVersion":"","formOrder":0,"lowerBound":null,"enabled":true,"mask":"","largeMask":"","maskKey":"","keyItemMaskOfField":null,"keyOptionIdReplace":"","relatedOptionIds":[],"onlineServices":[],"childCriteriaItemList":[],"clientContextJson":""},{"keyOptionId":"8462","caption":"Uganda","isDefault":true,"maskCriteriaOnly":false,"definition":"","keyProductQueryItem":"300051","comparisonOperation":0,"comparisonValue":"112","minimumVersion":"","maximumVersion":"","formOrder":0,"lowerBound":null,"enabled":true,"mask":"","largeMask":"","maskKey":"","keyItemMaskOfField":null,"keyOptionIdReplace":"","relatedOptionIds":[],"onlineServices":[],"childCriteriaItemList":[],"clientContextJson":""},{"keyOptionId":"8463","caption":"Western Sahara","isDefault":true,"maskCriteriaOnly":false,"definition":"","keyProductQueryItem":"300051","comparisonOperation":0,"comparisonValue":"75","minimumVersion":"","maximumVersion":"","formOrder":0,"lowerBound":null,"enabled":true,"mask":"","largeMask":"","maskKey":"","keyItemMaskOfField":null,"keyOptionIdReplace":"","relatedOptionIds":[],"onlineServices":[],"childCriteriaItemList":[],"clientContextJson":""},{"keyOptionId":"8464","caption":"Zambia","isDefault":true,"maskCriteriaOnly":false,"definition":"","keyProductQueryItem":"300051","comparisonOperation":0,"comparisonValue":"114","minimumVersion":"","maximumVersion":"","formOrder":0,"lowerBound":null,"enabled":true,"mask":"","largeMask":"","maskKey":"","keyItemMaskOfField":null,"keyOptionIdReplace":"","relatedOptionIds":[],"onlineServices":[],"childCriteriaItemList":[],"clientContextJson":""},{"keyOptionId":"8465","caption":"Zimbabwe","isDefault":true,"maskCriteriaOnly":false,"definition":"","keyProductQueryItem":"300051","comparisonOperation":0,"comparisonValue":"116","minimumVersion":"","maximumVersion":"","formOrder":0,"lowerBound":null,"enabled":true,"mask":"","largeMask":"","maskKey":"","keyItemMaskOfField":null,"keyOptionIdReplace":"","relatedOptionIds":[],"onlineServices":[],"childCriteriaItemList":[],"clientContextJson":""}],"clientContextJson":""}],"clientContextJson":""}]},{"filterGroupId":"8469","filterGroupIdReplace":"","caption":"Transaction Status","groupType":2,"optionType":1,"formOrder":50,"minimumVersion":"","maximumVersion":"","onlineServicesEnabled":false,"column":0,"columnFormOrder":50,"criteriaIdName":"","required":true,"dateDefaultType":"","criteriaItemList":[{"keyOptionId":"8470","caption":"Announced","isDefault":true,"maskCriteriaOnly":false,"definition":"","keyProductQueryItem":"299103","comparisonOperation":0,"comparisonValue":"0","minimumVersion":"","maximumVersion":"","formOrder":0,"lowerBound":null,"enabled":true,"mask":"","largeMask":"","maskKey":"","keyItemMaskOfField":null,"keyOptionIdReplace":"","relatedOptionIds":[],"onlineServices":[],"childCriteriaItemList":[],"clientContextJson":""},{"keyOptionId":"8471","caption":"Completed","isDefault":true,"maskCriteriaOnly":false,"definition":"","keyProductQueryItem":"299103","comparisonOperation":0,"comparisonValue":"1","minimumVersion":"","maximumVersion":"","formOrder":0,"lowerBound":null,"enabled":true,"mas</t>
  </si>
  <si>
    <t>k":"","largeMask":"","maskKey":"","keyItemMaskOfField":null,"keyOptionIdReplace":"","relatedOptionIds":[],"onlineServices":[],"childCriteriaItemList":[],"clientContextJson":""},{"keyOptionId":"8472","caption":"Terminated/Withdrawn","isDefault":false,"maskCriteriaOnly":false,"definition":"","keyProductQueryItem":"299103","comparisonOperation":0,"comparisonValue":"2","minimumVersion":"","maximumVersion":"","formOrder":0,"lowerBound":null,"enabled":true,"mask":"","largeMask":"","maskKey":"","keyItemMaskOfField":null,"keyOptionIdReplace":"","relatedOptionIds":[],"onlineServices":[],"childCriteriaItemList":[],"clientContextJson":""}]},{"filterGroupId":"9696","filterGroupIdReplace":"","caption":"Transaction Feature","groupType":2,"optionType":1,"formOrder":70,"minimumVersion":"","maximumVersion":"","onlineServicesEnabled":false,"column":0,"columnFormOrder":70,"criteriaIdName":"","required":false,"dateDefaultType":"","criteriaItemList":[{"keyOptionId":"9735","caption":"All","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9697","caption":"M&amp;A","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9698","caption":"Asset Acquisition","isDefault":false,"maskCriteriaOnly":false,"definition":"","keyProductQueryItem":"311833","comparisonOperation":0,"comparisonValue":"0","minimumVersion":"","maximumVersion":"","formOrder":0,"lowerBound":null,"enabled":true,"mask":"","largeMask":"","maskKey":"","keyItemMaskOfField":null,"keyOptionIdReplace":"","relatedOptionIds":[],"onlineServices":[],"childCriteriaItemList":[],"clientContextJson":""},{"keyOptionId":"9699","caption":"Bankruptcy Sale","isDefault":false,"maskCriteriaOnly":false,"definition":"","keyProductQueryItem":"311833","comparisonOperation":0,"comparisonValue":"3","minimumVersion":"","maximumVersion":"","formOrder":0,"lowerBound":null,"enabled":true,"mask":"","largeMask":"","maskKey":"","keyItemMaskOfField":null,"keyOptionIdReplace":"","relatedOptionIds":[],"onlineServices":[],"childCriteriaItemList":[],"clientContextJson":""},{"keyOptionId":"9700","caption":"Government Assisted Deal","isDefault":false,"maskCriteriaOnly":false,"definition":"","keyProductQueryItem":"311833","comparisonOperation":0,"comparisonValue":"4","minimumVersion":"","maximumVersion":"","formOrder":0,"lowerBound":null,"enabled":true,"mask":"","largeMask":"","maskKey":"","keyItemMaskOfField":null,"keyOptionIdReplace":"","relatedOptionIds":[],"onlineServices":[],"childCriteriaItemList":[],"clientContextJson":""},{"keyOptionId":"9701","caption":"Thrift Merger Conversion","isDefault":false,"maskCriteriaOnly":false,"definition":"","keyProductQueryItem":"311833","comparisonOperation":0,"comparisonValue":"5","minimumVersion":"","maximumVersion":"","formOrder":0,"lowerBound":null,"enabled":true,"mask":"","largeMask":"","maskKey":"","keyItemMaskOfField":null,"keyOptionIdReplace":"","relatedOptionIds":[],"onlineServices":[],"childCriteriaItemList":[],"clientContextJson":""},{"keyOptionId":"9702","caption":"Merger of Equals","isDefault":false,"maskCriteriaOnly":false,"definition":"","keyProductQueryItem":"311833","comparisonOperation":0,"comparisonValue":"6","minimumVersion":"","maximumVersion":"","formOrder":0,"lowerBound":null,"enabled":true,"mask":"","largeMask":"","maskKey":"","keyItemMaskOfField":null,"keyOptionIdReplace":"","relatedOptionIds":[],"onlineServices":[],"childCriteriaItemList":[],"clientContextJson":""},{"keyOptionId":"9703","caption":"Merger of Mutuals","isDefault":false,"maskCriteriaOnly":false,"definition":"","keyProductQueryItem":"311833","comparisonOperation":0,"comparisonValue":"7","minimumVersion":"","maximumVersion":"","formOrder":0,"lowerBound":null,"enabled":true,"mask":"","largeMask":"","maskKey":"","keyItemMaskOfField":null,"keyOptionIdReplace":"","relatedOptionIds":[],"onlineServices":[],"childCriteriaItemList":[],"clientContextJson":""},{"keyOptionId":"9704","caption":"Reverse Merger","isDefault":false,"maskCriteriaOnly":false,"definition":"","keyProductQueryItem":"311833","comparisonOperation":0,"comparisonValue":"10","minimumVersion":"","maximumVersion":"","formOrder":0,"lowerBound":null,"enabled":true,"mask":"","largeMask":"","maskKey":"","keyItemMaskOfField":null,"keyOptionIdReplace":"","relatedOptionIds":[],"onlineServices":[],"childCriteriaItemList":[],"clientContextJson":""},{"keyOptionId":"9705","caption":"Tender Offer","isDefault":false,"maskCriteriaOnly":false,"definition":"","keyProductQueryItem":"311833","comparisonOperation":0,"comparisonValue":"11","minimumVersion":"","maximumVersion":"","formOrder":0,"lowerBound":null,"enabled":true,"mask":"","largeMask":"","maskKey":"","keyItemMaskOfField":null,"keyOptionIdReplace":"","relatedOptionIds":[],"onlineServices":[],"childCriteriaItemList":[],"clientContextJson":""},{"keyOptionId":"9706","caption":"Reverse Morris Trust","isDefault":false,"maskCriteriaOnly":false,"definition":"","keyProductQueryItem":"311833","comparisonOperation":0,"comparisonValue":"29","minimumVersion":"","maximumVersion":"","formOrder":0,"lowerBound":null,"enabled":true,"mask":"","largeMask":"","maskKey":"","keyItemMaskOfField":null,"keyOptionIdReplace":"","relatedOptionIds":[],"onlineServices":[],"childCriteriaItemList":[],"clientContextJson":""},{"keyOptionId":"9707","caption":"Branch Acquisition","isDefault":false,"maskCriteriaOnly":false,"definition":"","keyProductQueryItem":"311833","comparisonOperation":0,"comparisonValue":"45","minimumVersion":"","maximumVersion":"","formOrder":0,"lowerBound":null,"enabled":true,"mask":"","largeMask":"","maskKey":"","keyItemMaskOfField":null,"keyOptionIdReplace":"","relatedOptionIds":[],"onlineServices":[],"childCriteriaItemList":[],"clientContextJson":""},{"keyOptionId":"9708","caption":"Property Acquisition","isDefault":false,"maskCriteriaOnly":false,"definition":"","keyProductQueryItem":"311833","comparisonOperation":0,"comparisonValue":"46","minimumVersion":"","maximumVersion":"","formOrder":0,"lowerBound":null,"enabled":true,"mask":"","largeMask":"","maskKey":"","keyItemMaskOfField":null,"keyOptionIdReplace":"","relatedOptionIds":[],"onlineServices":[],"childCriteriaItemList":[],"clientContextJson":""},{"keyOptionId":"9709","caption":"Franchise Acquisition","isDefault":false,"maskCriteriaOnly":false,"definition":"","keyProductQueryItem":"311833","comparisonOperation":0,"comparisonValue":"47","minimumVersion":"","maximumVersion":"","formOrder":0,"lowerBound":null,"enabled":true,"mask":"","largeMask":"","maskKey":"","keyItemMaskOfField":null,"keyOptionIdReplace":"","relatedOptionIds":[],"onlineServices":[],"childCriteriaItemList":[],"clientContextJson":""},{"keyOptionId":"9710","caption":"Going Private Transaction","isDefault":false,"maskCriteriaOnly":false,"definition":"","keyProductQueryItem":"311833","comparisonOperation":0,"comparisonValue":"57","minimumVersion":"","maximumVersion":"","formOrder":0,"lowerBound":null,"enabled":true,"mask":"","largeMask":"","maskKey":"","keyItemMaskOfField":null,"keyOptionIdReplace":"","relatedOptionIds":[],"onlineServices":[],"childCriter</t>
  </si>
  <si>
    <t>iaItemList":[],"clientContextJson":""},{"keyOptionId":"9711","caption":"Leveraged Buyout (LBO)","isDefault":false,"maskCriteriaOnly":false,"definition":"","keyProductQueryItem":"311833","comparisonOperation":0,"comparisonValue":"71","minimumVersion":"","maximumVersion":"","formOrder":0,"lowerBound":null,"enabled":true,"mask":"","largeMask":"","maskKey":"","keyItemMaskOfField":null,"keyOptionIdReplace":"","relatedOptionIds":[],"onlineServices":[],"childCriteriaItemList":[],"clientContextJson":""},{"keyOptionId":"9712","caption":"Management Buyout (MBO)","isDefault":false,"maskCriteriaOnly":false,"definition":"","keyProductQueryItem":"311833","comparisonOperation":0,"comparisonValue":"74","minimumVersion":"","maximumVersion":"","formOrder":0,"lowerBound":null,"enabled":true,"mask":"","largeMask":"","maskKey":"","keyItemMaskOfField":null,"keyOptionIdReplace":"","relatedOptionIds":[],"onlineServices":[],"childCriteriaItemList":[],"clientContextJson":""}],"clientContextJson":""},{"keyOptionId":"9713","caption":"Offering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9714","caption":"New Market Listing","isDefault":true,"maskCriteriaOnly":false,"definition":"","keyProductQueryItem":"311834","comparisonOperation":0,"comparisonValue":"90","minimumVersion":"","maximumVersion":"","formOrder":0,"lowerBound":null,"enabled":true,"mask":"","largeMask":"","maskKey":"","keyItemMaskOfField":null,"keyOptionIdReplace":"","relatedOptionIds":[],"onlineServices":[],"childCriteriaItemList":[],"clientContextJson":""},{"keyOptionId":"9715","caption":"At the Market Offering","isDefault":true,"maskCriteriaOnly":false,"definition":"","keyProductQueryItem":"311834","comparisonOperation":0,"comparisonValue":"91","minimumVersion":"","maximumVersion":"","formOrder":0,"lowerBound":null,"enabled":true,"mask":"","largeMask":"","maskKey":"","keyItemMaskOfField":null,"keyOptionIdReplace":"","relatedOptionIds":[],"onlineServices":[],"childCriteriaItemList":[],"clientContextJson":""},{"keyOptionId":"9716","caption":"Best Efforts Basis","isDefault":true,"maskCriteriaOnly":false,"definition":"","keyProductQueryItem":"311834","comparisonOperation":0,"comparisonValue":"92","minimumVersion":"","maximumVersion":"","formOrder":0,"lowerBound":null,"enabled":true,"mask":"","largeMask":"","maskKey":"","keyItemMaskOfField":null,"keyOptionIdReplace":"","relatedOptionIds":[],"onlineServices":[],"childCriteriaItemList":[],"clientContextJson":""},{"keyOptionId":"9717","caption":"Carve Out","isDefault":true,"maskCriteriaOnly":false,"definition":"","keyProductQueryItem":"311834","comparisonOperation":0,"comparisonValue":"97","minimumVersion":"","maximumVersion":"","formOrder":0,"lowerBound":null,"enabled":true,"mask":"","largeMask":"","maskKey":"","keyItemMaskOfField":null,"keyOptionIdReplace":"","relatedOptionIds":[],"onlineServices":[],"childCriteriaItemList":[],"clientContextJson":""},{"keyOptionId":"9718","caption":"Mutual Conversion","isDefault":true,"maskCriteriaOnly":false,"definition":"","keyProductQueryItem":"311834","comparisonOperation":0,"comparisonValue":"98","minimumVersion":"","maximumVersion":"","formOrder":0,"lowerBound":null,"enabled":true,"mask":"","largeMask":"","maskKey":"","keyItemMaskOfField":null,"keyOptionIdReplace":"","relatedOptionIds":[],"onlineServices":[],"childCriteriaItemList":[],"clientContextJson":""},{"keyOptionId":"9719","caption":"Sponsor Backed Offering","isDefault":true,"maskCriteriaOnly":false,"definition":"","keyProductQueryItem":"311834","comparisonOperation":0,"comparisonValue":"100","minimumVersion":"","maximumVersion":"","formOrder":0,"lowerBound":null,"enabled":true,"mask":"","largeMask":"","maskKey":"","keyItemMaskOfField":null,"keyOptionIdReplace":"","relatedOptionIds":[],"onlineServices":[],"childCriteriaItemList":[],"clientContextJson":""},{"keyOptionId":"9720","caption":"Direct Listing","isDefault":true,"maskCriteriaOnly":false,"definition":"","keyProductQueryItem":"311834","comparisonOperation":0,"comparisonValue":"101","minimumVersion":"","maximumVersion":"","formOrder":0,"lowerBound":null,"enabled":true,"mask":"","largeMask":"","maskKey":"","keyItemMaskOfField":null,"keyOptionIdReplace":"","relatedOptionIds":[],"onlineServices":[],"childCriteriaItemList":[],"clientContextJson":""},{"keyOptionId":"9721","caption":"Exchange Offer","isDefault":true,"maskCriteriaOnly":false,"definition":"","keyProductQueryItem":"311834","comparisonOperation":0,"comparisonValue":"104","minimumVersion":"","maximumVersion":"","formOrder":0,"lowerBound":null,"enabled":true,"mask":"","largeMask":"","maskKey":"","keyItemMaskOfField":null,"keyOptionIdReplace":"","relatedOptionIds":[],"onlineServices":[],"childCriteriaItemList":[],"clientContextJson":""},{"keyOptionId":"9722","caption":"Registered Direct Offering","isDefault":true,"maskCriteriaOnly":false,"definition":"","keyProductQueryItem":"311834","comparisonOperation":0,"comparisonValue":"105","minimumVersion":"","maximumVersion":"","formOrder":0,"lowerBound":null,"enabled":true,"mask":"","largeMask":"","maskKey":"","keyItemMaskOfField":null,"keyOptionIdReplace":"","relatedOptionIds":[],"onlineServices":[],"childCriteriaItemList":[],"clientContextJson":""},{"keyOptionId":"9723","caption":"Regulation S","isDefault":true,"maskCriteriaOnly":false,"definition":"","keyProductQueryItem":"311834","comparisonOperation":0,"comparisonValue":"106","minimumVersion":"","maximumVersion":"","formOrder":0,"lowerBound":null,"enabled":true,"mask":"","largeMask":"","maskKey":"","keyItemMaskOfField":null,"keyOptionIdReplace":"","relatedOptionIds":[],"onlineServices":[],"childCriteriaItemList":[],"clientContextJson":""},{"keyOptionId":"9724","caption":"Rights Offering","isDefault":true,"maskCriteriaOnly":false,"definition":"","keyProductQueryItem":"311834","comparisonOperation":0,"comparisonValue":"108","minimumVersion":"","maximumVersion":"","formOrder":0,"lowerBound":null,"enabled":true,"mask":"","largeMask":"","maskKey":"","keyItemMaskOfField":null,"keyOptionIdReplace":"","relatedOptionIds":[],"onlineServices":[],"childCriteriaItemList":[],"clientContextJson":""},{"keyOptionId":"9725","caption":"Rule 144A","isDefault":true,"maskCriteriaOnly":false,"definition":"","keyProductQueryItem":"311834","comparisonOperation":0,"comparisonValue":"109","minimumVersion":"","maximumVersion":"","formOrder":0,"lowerBound":null,"enabled":true,"mask":"","largeMask":"","maskKey":"","keyItemMaskOfField":null,"keyOptionIdReplace":"","relatedOptionIds":[],"onlineServices":[],"childCriteriaItemList":[],"clientContextJson":""},{"keyOptionId":"9726","caption":"Incubation","isDefault":true,"maskCriteriaOnly":false,"definition":"","keyProductQueryItem":"311834","comparisonOperation":0,"comparisonValue":"127","minimumVersion":"","maximumVersion":"","formOrder":0,"lowerBound":null,"enabled":true,"mask":"","largeMask":"","maskKey":"","keyItemMaskOfField":null,"keyOptionIdReplace":"","relatedOptionIds":[],"onlineServices":[],"childCriteriaItemList":[],"clientContextJson":""},{"keyOptionId":"9727","caption":"Bought Deal","isDefault":true,"maskCriteriaOnly":false,"definition":"","keyProductQueryItem":"311834","comparisonOperation":0,"comparisonValue":"143","minimumVersion":"","maximumVersion":"","formOrder":0,"lowerBound":null,"enabled":true,"mask":"","largeMask":"","maskKey":"","keyItemMaskOfField":null,"keyOptionIdReplace":"</t>
  </si>
  <si>
    <t>erator":0,"mathValue":null,"operator":22,"queryItemId":"00000000-0000-0000-0000-000000000000","relativeOperation":false,"listKey":null,"sortOrder":null,"sortStyle":null,"supressSelect":false,"value":"","valueField":null}]},{"groupName":"WhiteAndBlackListCriteria","queryLines":[]}],"saveQueryType":0,"standardDeviationQuery":false,"version":null},"reports":null,"showProductMagnitude":false,"skip":0,"sortBy":null,"sortDesc":false,"sourceTimeZoneIDItemKey":null,"timeoutOverride":0,"top":0,"useNewOnPremDomain":false}],"saveQueryType":0,"sourceTimeZoneIDItemKey":null}</t>
  </si>
  <si>
    <t>CapitalOffering_By_Comp</t>
  </si>
  <si>
    <t>{"conversionInformation":null,"clientContext":null,"functionRequests":[{"functionId":0,"perspective":"10","keys":null,"fields":null,"reports":null,"query":{"name":"CapitalOffering_By_Comp","queryLineGroups":[{"groupName":"QueryLines","queryLines":[{"supressSelect":false,"displayText":null,"queryItemId":"00000000-0000-0000-0000-000000000000","field":{"fieldKey":"221557","secondaryKeys":[],"displayName":null,"displayUnits":null,"displayType":null,"originalRequestField":null},"connector":0,"operator":0,"beginGroup":true,"endGroup":false,"value":"Bank of New York Mellon Corporation","invariantValue":null,"valueField":null,"mathOperator":0,"mathValue":null,"sortStyle":null,"sortOrder":null,"functionName":null,"relativeOperation":false},{"supressSelect":false,"displayText":null,"queryItemId":"00000000-0000-0000-0000-000000000000","field":{"fieldKey":"240523","secondaryKeys":[],"displayName":null,"displayUnits":null,"displayType":null,"originalRequestField":null},"connector":1,"operator":0,"beginGroup":false,"endGroup":false,"value":"Bank of New York Mellon Corporation","invariantValue":null,"valueField":null,"mathOperator":0,"mathValue":null,"sortStyle":null,"sortOrder":null,"functionName":null,"relativeOperation":false},{"supressSelect":false,"displayText":null,"queryItemId":"00000000-0000-0000-0000-000000000000","field":{"fieldKey":"240530","secondaryKeys":[],"displayName":null,"displayUnits":null,"displayType":null,"originalRequestField":null},"connector":1,"operator":0,"beginGroup":false,"endGroup":true,"value":"Bank of New York Mellon Corporation","invariantValue":null,"valueField":null,"mathOperator":0,"mathValue":null,"sortStyle":null,"sortOrder":null,"functionName":null,"relativeOperation":false},{"supressSelect":false,"displayText":null,"queryItemId":"00000000-0000-0000-0000-000000000000","field":{"fieldKey":"221653","secondaryKeys":[],"displayName":null,"displayUnits":null,"displayType":null,"originalRequestField":null},"connector":0,"operator":7,"beginGroup":false,"endGroup":false,"value":"'0'","invariantValue":null,"valueField":null,"mathOperator":0,"mathValue":null,"sortStyle":null,"sortOrder":null,"functionName":null,"relativeOperation":false},{"supressSelect":false,"displayText":null,"queryItemId":"00000000-0000-0000-0000-000000000000","field":{"fieldKey":"221631","secondaryKeys":[],"displayName":null,"displayUnits":null,"displayType":null,"originalRequestField":null},"connector":0,"operator":24,"beginGroup":false,"endGroup":false,"value":"10","invariantValue":null,"valueField":null,"mathOperator":0,"mathValue":null,"sortStyle":null,"sortOrder":null,"functionName":null,"relativeOperation":false}]},{"groupName":"WhiteAndBlackListCriteria","queryLines":[]}],"keyPerspective":"10","dateCreated":"2017-12-07T01:06:20.717-05:00","version":null,"queryFilters":[{"filterGroupId":"1487","filterGroupIdReplace":"","caption":"Issue Types","groupType":1,"optionType":1,"formOrder":1,"minimumVersion":"","maximumVersion":"","onlineServicesEnabled":false,"column":0,"columnFormOrder":10,"criteriaIdName":"","required":true,"dateDefaultType":"","criteriaItemList":[{"keyOptionId":"1488","caption":"Common Stock","isDefault":false,"maskCriteriaOnly":false,"definition":"","keyProductQueryItem":"226301","comparisonOperation":0,"comparisonValue":"1","minimumVersion":"","maximumVersion":"","formOrder":0,"lowerBound":null,"enabled":true,"mask":"2","maskKey":"226301","keyItemMaskOfField":null,"keyOptionIdReplace":"","relatedOptionIds":[],"onlineServices":[],"childCriteriaItemList":[],"clientContextJson":""},{"keyOptionId":"1489","caption":"Preferred Stock","isDefault":false,"maskCriteriaOnly":false,"definition":"","keyProductQueryItem":"226301","comparisonOperation":0,"comparisonValue":"2","minimumVersion":"","maximumVersion":"","formOrder":0,"lowerBound":null,"enabled":true,"mask":"4","maskKey":"226301","keyItemMaskOfField":null,"keyOptionIdReplace":"","relatedOptionIds":[],"onlineServices":[],"childCriteriaItemList":[],"clientContextJson":""},{"keyOptionId":"1490","caption":"Senior Debt","isDefault":true,"maskCriteriaOnly":false,"definition":"","keyProductQueryItem":"226301","comparisonOperation":0,"comparisonValue":"3","minimumVersion":"","maximumVersion":"","formOrder":0,"lowerBound":null,"enabled":true,"mask":"8","maskKey":"226301","keyItemMaskOfField":null,"keyOptionIdReplace":"","relatedOptionIds":[],"onlineServices":[],"childCriteriaItemList":[],"clientContextJson":""},{"keyOptionId":"1491","caption":"Subordinated Debt","isDefault":true,"maskCriteriaOnly":false,"definition":"","keyProductQueryItem":"226301","comparisonOperation":0,"comparisonValue":"4","minimumVersion":"","maximumVersion":"","formOrder":0,"lowerBound":null,"enabled":true,"mask":"16","maskKey":"226301","keyItemMaskOfField":null,"keyOptionIdReplace":"","relatedOptionIds":[],"onlineServices":[],"childCriteriaItemList":[],"clientContextJson":""},{"keyOptionId":"1492","caption":"Senior Subordinated Debt","isDefault":true,"maskCriteriaOnly":false,"definition":"","keyProductQueryItem":"226301","comparisonOperation":0,"comparisonValue":"15","minimumVersion":"","maximumVersion":"","formOrder":0,"lowerBound":null,"enabled":true,"mask":"32768","maskKey":"226301","keyItemMaskOfField":null,"keyOptionIdReplace":"","relatedOptionIds":[],"onlineServices":[],"childCriteriaItemList":[],"clientContextJson":""},{"keyOptionId":"1493","caption":"Junior Subordinated Debt","isDefault":true,"maskCriteriaOnly":false,"definition":"","keyProductQueryItem":"226301","comparisonOperation":0,"comparisonValue":"14","minimumVersion":"","maximumVersion":"","formOrder":0,"lowerBound":null,"enabled":true,"mask":"16384","maskKey":"226301","keyItemMaskOfField":null,"keyOptionIdReplace":"","relatedOptionIds":[],"onlineServices":[],"childCriteriaItemList":[],"clientContextJson":""},{"keyOptionId":"1494","caption":"Trust Preferred","isDefault":true,"maskCriteriaOnly":false,"definition":"","keyProductQueryItem":"226301","comparisonOperation":0,"comparisonValue":"6","minimumVersion":"","maximumVersion":"","formOrder":0,"lowerBound":null,"enabled":true,"mask":"64","maskKey":"226301","keyItemMaskOfField":null,"keyOptionIdReplace":"","relatedOptionIds":[],"onlineServices":[],"childCriteriaItemList":[],"clientContextJson":""},{"keyOptionId":"1495","caption":"Subsidiary Pfd Partnership","isDefault":false,"maskCriteriaOnly":false,"definition":"","keyProductQueryItem":"226301","comparisonOperation":0,"comparisonValue":"10","minimumVersion":"","maximumVersion":"","formOrder":0,"lowerBound":null,"enabled":true,"mask":"1024","maskKey":"226301","keyItemMaskOfField":null,"keyOptionIdReplace":"","relatedOptionIds":[],"onlineServices":[],"childCriteriaItemList":[],"clientContextJson":""},{"keyOptionId":"3122","caption":"Operating Partnership Units","isDefault":false,"maskCriteriaOnly":false,"definition":"","keyProductQueryItem":"226301","comparisonOperation":0,"comparisonValue":"5","minimumVersion":"","maximumVersion":"","formOrder":0,"lowerBound":null,"enabled":true,"mask":"32","maskKey":"226301","keyItemMaskOfField":null,"keyOptionIdReplace":"","relatedOptionIds":[],"onlineServices":[],"childCriteriaItemList":[],"clientContextJson":""},{"keyOptionId":"3123","caption":"Depositary Receipt","isDefault":false,"maskCriteriaOnly":false,"definition":"","keyProductQueryItem":"226301","comparisonOperation":0,"comparisonValue":"16","minimumVersion":"","maximumVersion":"","formOrder":0,"lowerBound":null,"enabled":true,"mask":"65536","maskKey":"226301","keyItemMaskOfField":null,"keyOptionIdReplace":"","relatedOptionIds":[],"onlineServices":[],"childCriteriaItemList":[],"clientContextJson":""},{"keyOptionId":"3124","caption":"GIC-backed Note","isDefault":true,"maskCriteriaOnly":false,"definition":</t>
  </si>
  <si>
    <t>"","keyProductQueryItem":"226301","comparisonOperation":0,"comparisonValue":"11","minimumVersion":"","maximumVersion":"","formOrder":0,"lowerBound":null,"enabled":true,"mask":"2048","maskKey":"226301","keyItemMaskOfField":null,"keyOptionIdReplace":"","relatedOptionIds":[],"onlineServices":[],"childCriteriaItemList":[],"clientContextJson":""}]},{"filterGroupId":"1559","filterGroupIdReplace":"","caption":"Industry","groupType":2,"optionType":1,"formOrder":2,"minimumVersion":"","maximumVersion":"","onlineServicesEnabled":false,"column":1,"columnFormOrder":20,"criteriaIdName":"","required":true,"dateDefaultType":"","criteriaItemList":[{"keyOptionId":"1560","caption":"All Industries","isDefault":false,"maskCriteriaOnly":true,"definition":"","keyProductQueryItem":"","comparisonOperation":null,"comparisonValue":"","minimumVersion":"","maximumVersion":"","formOrder":0,"lowerBound":null,"enabled":true,"mask":"","maskKey":"","keyItemMaskOfField":null,"keyOptionIdReplace":"","relatedOptionIds":[],"onlineServices":[],"childCriteriaItemList":[{"keyOptionId":"1561","caption":"Banking","isDefault":false,"maskCriteriaOnly":true,"definition":"","keyProductQueryItem":"","comparisonOperation":null,"comparisonValue":"","minimumVersion":"","maximumVersion":"","formOrder":0,"lowerBound":null,"enabled":true,"mask":"","maskKey":"","keyItemMaskOfField":null,"keyOptionIdReplace":"","relatedOptionIds":[],"onlineServices":[],"childCriteriaItemList":[{"keyOptionId":"1562","caption":"Bank","isDefault":true,"maskCriteriaOnly":false,"definition":"","keyProductQueryItem":"226303","comparisonOperation":0,"comparisonValue":"1","minimumVersion":"","maximumVersion":"","formOrder":0,"lowerBound":null,"enabled":true,"mask":"","maskKey":"","keyItemMaskOfField":null,"keyOptionIdReplace":"","relatedOptionIds":[],"onlineServices":[],"childCriteriaItemList":[],"clientContextJson":""},{"keyOptionId":"1563","caption":"Savings Bank/Thrift/Mutual","isDefault":true,"maskCriteriaOnly":false,"definition":"","keyProductQueryItem":"226303","comparisonOperation":0,"comparisonValue":"2","minimumVersion":"","maximumVersion":"","formOrder":0,"lowerBound":null,"enabled":true,"mask":"","maskKey":"","keyItemMaskOfField":null,"keyOptionIdReplace":"","relatedOptionIds":[],"onlineServices":[],"childCriteriaItemList":[],"clientContextJson":""},{"keyOptionId":"1564","caption":"FHLB","isDefault":true,"maskCriteriaOnly":false,"definition":"","keyProductQueryItem":"226303","comparisonOperation":0,"comparisonValue":"13","minimumVersion":"","maximumVersion":"","formOrder":0,"lowerBound":null,"enabled":true,"mask":"","maskKey":"","keyItemMaskOfField":null,"keyOptionIdReplace":"","relatedOptionIds":[],"onlineServices":[],"childCriteriaItemList":[],"clientContextJson":""}],"clientContextJson":""},{"keyOptionId":"1565","caption":"Insurance","isDefault":false,"maskCriteriaOnly":true,"definition":"","keyProductQueryItem":"","comparisonOperation":null,"comparisonValue":"","minimumVersion":"","maximumVersion":"","formOrder":0,"lowerBound":null,"enabled":true,"mask":"","maskKey":"","keyItemMaskOfField":null,"keyOptionIdReplace":"","relatedOptionIds":[],"onlineServices":[],"childCriteriaItemList":[{"keyOptionId":"1566","caption":"Insurance Underwriter","isDefault":true,"maskCriteriaOnly":false,"definition":"","keyProductQueryItem":"226303","comparisonOperation":0,"comparisonValue":"8","minimumVersion":"","maximumVersion":"","formOrder":0,"lowerBound":null,"enabled":true,"mask":"","maskKey":"","keyItemMaskOfField":null,"keyOptionIdReplace":"","relatedOptionIds":[],"onlineServices":[],"childCriteriaItemList":[],"clientContextJson":""},{"keyOptionId":"1567","caption":"Insurance Broker","isDefault":true,"maskCriteriaOnly":false,"definition":"","keyProductQueryItem":"226303","comparisonOperation":0,"comparisonValue":"9","minimumVersion":"","maximumVersion":"","formOrder":0,"lowerBound":null,"enabled":true,"mask":"","maskKey":"","keyItemMaskOfField":null,"keyOptionIdReplace":"","relatedOptionIds":[],"onlineServices":[],"childCriteriaItemList":[],"clientContextJson":""}],"clientContextJson":""},{"keyOptionId":"1568","caption":"Securities &amp; Investments","isDefault":false,"maskCriteriaOnly":true,"definition":"","keyProductQueryItem":"","comparisonOperation":null,"comparisonValue":"","minimumVersion":"","maximumVersion":"","formOrder":0,"lowerBound":null,"enabled":true,"mask":"","maskKey":"","keyItemMaskOfField":null,"keyOptionIdReplace":"","relatedOptionIds":[],"onlineServices":[],"childCriteriaItemList":[{"keyOptionId":"1569","caption":"Asset Manager","isDefault":true,"maskCriteriaOnly":false,"definition":"","keyProductQueryItem":"226303","comparisonOperation":0,"comparisonValue":"4","minimumVersion":"","maximumVersion":"","formOrder":0,"lowerBound":null,"enabled":true,"mask":"","maskKey":"","keyItemMaskOfField":null,"keyOptionIdReplace":"","relatedOptionIds":[],"onlineServices":[],"childCriteriaItemList":[],"clientContextJson":""},{"keyOptionId":"1570","caption":"Broker-Dealer","isDefault":true,"maskCriteriaOnly":false,"definition":"","keyProductQueryItem":"226303","comparisonOperation":0,"comparisonValue":"5","minimumVersion":"","maximumVersion":"","formOrder":0,"lowerBound":null,"enabled":true,"mask":"","maskKey":"","keyItemMaskOfField":null,"keyOptionIdReplace":"","relatedOptionIds":[],"onlineServices":[],"childCriteriaItemList":[],"clientContextJson":""}],"clientContextJson":""},{"keyOptionId":"1571","caption":"Specialty Finance","isDefault":false,"maskCriteriaOnly":true,"definition":"","keyProductQueryItem":"","comparisonOperation":null,"comparisonValue":"","minimumVersion":"","maximumVersion":"","formOrder":0,"lowerBound":null,"enabled":true,"mask":"","maskKey":"","keyItemMaskOfField":null,"keyOptionIdReplace":"","relatedOptionIds":[],"onlineServices":[],"childCriteriaItemList":[{"keyOptionId":"1572","caption":"Specialty Lender","isDefault":true,"maskCriteriaOnly":false,"definition":"","keyProductQueryItem":"226303","comparisonOperation":0,"comparisonValue":"3","minimumVersion":"","maximumVersion":"","formOrder":0,"lowerBound":null,"enabled":true,"mask":"","maskKey":"","keyItemMaskOfField":null,"keyOptionIdReplace":"","relatedOptionIds":[],"onlineServices":[],"childCriteriaItemList":[],"clientContextJson":""},{"keyOptionId":"1573","caption":"Investment Company","isDefault":true,"maskCriteriaOnly":false,"definition":"","keyProductQueryItem":"226303","comparisonOperation":0,"comparisonValue":"7","minimumVersion":"","maximumVersion":"","formOrder":0,"lowerBound":null,"enabled":true,"mask":"","maskKey":"","keyItemMaskOfField":null,"keyOptionIdReplace":"","relatedOptionIds":[],"onlineServices":[],"childCriteriaItemList":[],"clientContextJson":""}],"clientContextJson":""},{"keyOptionId":"1574","caption":"Financial Technology","isDefault":true,"maskCriteriaOnly":false,"definition":"","keyProductQueryItem":"226303","comparisonOperation":0,"comparisonValue":"15","minimumVersion":"","maximumVersion":"","formOrder":0,"lowerBound":null,"enabled":true,"mask":"","maskKey":"","keyItemMaskOfField":null,"keyOptionIdReplace":"","relatedOptionIds":[],"onlineServices":[],"childCriteriaItemList":[],"clientContextJson":""},{"keyOptionId":"1575","caption":"Real Estate","isDefault":false,"maskCriteriaOnly":true,"definition":"","keyProductQueryItem":"","comparisonOperation":null,"comparisonValue":"","minimumVersion":"","maximumVersion":"","formOrder":0,"lowerBound":null,"enabled":true,"mask":"","maskKey":"","keyItemMaskOfField":null,"keyOptionIdReplace":"","relatedOptionIds":[],"onlineServices":[],"childCriteriaItemList":[{"keyOptionId":"1587","caption":"REIT &amp; Property Company","isDefault":true,"maskCriteriaOnly":false,"definition":"","keyPr</t>
  </si>
  <si>
    <t>oductQueryItem":"226303","comparisonOperation":0,"comparisonValue":"6","minimumVersion":"","maximumVersion":"","formOrder":0,"lowerBound":null,"enabled":true,"mask":"","maskKey":"","keyItemMaskOfField":null,"keyOptionIdReplace":"","relatedOptionIds":[],"onlineServices":[],"childCriteriaItemList":[],"clientContextJson":""},{"keyOptionId":"1588","caption":"Homebuilder","isDefault":true,"maskCriteriaOnly":false,"definition":"","keyProductQueryItem":"226303","comparisonOperation":0,"comparisonValue":"16","minimumVersion":"","maximumVersion":"","formOrder":0,"lowerBound":null,"enabled":true,"mask":"","maskKey":"","keyItemMaskOfField":null,"keyOptionIdReplace":"","relatedOptionIds":[],"onlineServices":[],"childCriteriaItemList":[],"clientContextJson":""},{"keyOptionId":"1589","caption":"Gaming","isDefault":true,"maskCriteriaOnly":false,"definition":"","keyProductQueryItem":"226303","comparisonOperation":0,"comparisonValue":"19","minimumVersion":"","maximumVersion":"","formOrder":0,"lowerBound":null,"enabled":true,"mask":"","maskKey":"","keyItemMaskOfField":null,"keyOptionIdReplace":"","relatedOptionIds":[],"onlineServices":[],"childCriteriaItemList":[],"clientContextJson":""}],"clientContextJson":""},{"keyOptionId":"1576","caption":"Energy","isDefault":false,"maskCriteriaOnly":true,"definition":"","keyProductQueryItem":"","comparisonOperation":null,"comparisonValue":"","minimumVersion":"","maximumVersion":"","formOrder":0,"lowerBound":null,"enabled":true,"mask":"","maskKey":"","keyItemMaskOfField":null,"keyOptionIdReplace":"","relatedOptionIds":[],"onlineServices":[],"childCriteriaItemList":[{"keyOptionId":"1577","caption":"Power","isDefault":true,"maskCriteriaOnly":false,"definition":"","keyProductQueryItem":"226303","comparisonOperation":0,"comparisonValue":"10","minimumVersion":"","maximumVersion":"","formOrder":0,"lowerBound":null,"enabled":true,"mask":"","maskKey":"","keyItemMaskOfField":null,"keyOptionIdReplace":"","relatedOptionIds":[],"onlineServices":[],"childCriteriaItemList":[],"clientContextJson":""},{"keyOptionId":"1578","caption":"Coal","isDefault":true,"maskCriteriaOnly":false,"definition":"","keyProductQueryItem":"226303","comparisonOperation":0,"comparisonValue":"17","minimumVersion":"","maximumVersion":"","formOrder":0,"lowerBound":null,"enabled":true,"mask":"","maskKey":"","keyItemMaskOfField":null,"keyOptionIdReplace":"","relatedOptionIds":[],"onlineServices":[],"childCriteriaItemList":[],"clientContextJson":""},{"keyOptionId":"1579","caption":"Natural Gas","isDefault":false,"maskCriteriaOnly":true,"definition":"","keyProductQueryItem":"","comparisonOperation":null,"comparisonValue":"","minimumVersion":"","maximumVersion":"","formOrder":0,"lowerBound":null,"enabled":true,"mask":"","maskKey":"","keyItemMaskOfField":null,"keyOptionIdReplace":"","relatedOptionIds":[],"onlineServices":[],"childCriteriaItemList":[{"keyOptionId":"1580","caption":"Gas Utility","isDefault":true,"maskCriteriaOnly":false,"definition":"","keyProductQueryItem":"226303","comparisonOperation":0,"comparisonValue":"18","minimumVersion":"","maximumVersion":"","formOrder":0,"lowerBound":null,"enabled":true,"mask":"","maskKey":"","keyItemMaskOfField":null,"keyOptionIdReplace":"","relatedOptionIds":[],"onlineServices":[],"childCriteriaItemList":[],"clientContextJson":""},{"keyOptionId":"1581","caption":"Midstream","isDefault":true,"maskCriteriaOnly":false,"definition":"","keyProductQueryItem":"226303","comparisonOperation":0,"comparisonValue":"23","minimumVersion":"","maximumVersion":"","formOrder":0,"lowerBound":null,"enabled":true,"mask":"","maskKey":"","keyItemMaskOfField":null,"keyOptionIdReplace":"","relatedOptionIds":[],"onlineServices":[],"childCriteriaItemList":[],"clientContextJson":""}],"clientContextJson":""}],"clientContextJson":""},{"keyOptionId":"1582","caption":"Media &amp; Communications","isDefault":false,"maskCriteriaOnly":true,"definition":"","keyProductQueryItem":"","comparisonOperation":null,"comparisonValue":"","minimumVersion":"","maximumVersion":"","formOrder":0,"lowerBound":null,"enabled":true,"mask":"","maskKey":"","keyItemMaskOfField":null,"keyOptionIdReplace":"","relatedOptionIds":[],"onlineServices":[],"childCriteriaItemList":[{"keyOptionId":"1583","caption":"Media","isDefault":false,"maskCriteriaOnly":true,"definition":"","keyProductQueryItem":"","comparisonOperation":null,"comparisonValue":"","minimumVersion":"","maximumVersion":"","formOrder":0,"lowerBound":null,"enabled":true,"mask":"","maskKey":"","keyItemMaskOfField":null,"keyOptionIdReplace":"","relatedOptionIds":[],"onlineServices":[],"childCriteriaItemList":[{"keyOptionId":"1584","caption":"Media &amp; Entertainment","isDefault":true,"maskCriteriaOnly":false,"definition":"","keyProductQueryItem":"226303","comparisonOperation":0,"comparisonValue":"20","minimumVersion":"","maximumVersion":"","formOrder":0,"lowerBound":null,"enabled":true,"mask":"","maskKey":"","keyItemMaskOfField":null,"keyOptionIdReplace":"","relatedOptionIds":[],"onlineServices":[],"childCriteriaItemList":[],"clientContextJson":""},{"keyOptionId":"1585","caption":"New Media","isDefault":true,"maskCriteriaOnly":false,"definition":"","keyProductQueryItem":"226303","comparisonOperation":0,"comparisonValue":"21","minimumVersion":"","maximumVersion":"","formOrder":0,"lowerBound":null,"enabled":true,"mask":"","maskKey":"","keyItemMaskOfField":null,"keyOptionIdReplace":"","relatedOptionIds":[],"onlineServices":[],"childCriteriaItemList":[],"clientContextJson":""}],"clientContextJson":""},{"keyOptionId":"1586","caption":"Communications","isDefault":true,"maskCriteriaOnly":false,"definition":"","keyProductQueryItem":"226303","comparisonOperation":0,"comparisonValue":"14","minimumVersion":"","maximumVersion":"","formOrder":0,"lowerBound":null,"enabled":true,"mask":"","maskKey":"","keyItemMaskOfField":null,"keyOptionIdReplace":"","relatedOptionIds":[],"onlineServices":[],"childCriteriaItemList":[],"clientContextJson":""}],"clientContextJson":""},{"keyOptionId":"4741","caption":"Metals &amp; Mining","isDefault":true,"maskCriteriaOnly":false,"definition":"","keyProductQueryItem":"226303","comparisonOperation":0,"comparisonValue":"22","minimumVersion":"","maximumVersion":"","formOrder":0,"lowerBound":null,"enabled":true,"mask":"","maskKey":"","keyItemMaskOfField":null,"keyOptionIdReplace":"","relatedOptionIds":[],"onlineServices":[],"childCriteriaItemList":[{"keyOptionId":"4742","caption":"Diversified Commodities","isDefault":true,"maskCriteriaOnly":false,"definition":"","keyProductQueryItem":"226161","comparisonOperation":0,"comparisonValue":"24","minimumVersion":"","maximumVersion":"","formOrder":0,"lowerBound":null,"enabled":true,"mask":"","maskKey":"","keyItemMaskOfField":null,"keyOptionIdReplace":"","relatedOptionIds":[],"onlineServices":[],"childCriteriaItemList":[],"clientContextJson":""},{"keyOptionId":"4743","caption":"Precious Metals","isDefault":true,"maskCriteriaOnly":false,"definition":"","keyProductQueryItem":"226161","comparisonOperation":0,"comparisonValue":"25","minimumVersion":"","maximumVersion":"","formOrder":0,"lowerBound":null,"enabled":true,"mask":"","maskKey":"","keyItemMaskOfField":null,"keyOptionIdReplace":"","relatedOptionIds":[],"onlineServices":[],"childCriteriaItemList":[],"clientContextJson":""},{"keyOptionId":"4744","caption":"Base Metals","isDefault":true,"maskCriteriaOnly":false,"definition":"","keyProductQueryItem":"226161","comparisonOperation":0,"comparisonValue":"26","minimumVersion":"","maximumVersion":"","formOrder":0,"lowerBound":null,"enabled":true,"mask":"","maskKey":"","keyItemMaskOfField":null,"keyOptionIdReplace":"","relatedOptionIds":[],"onlineServices":[],"childCriteriaItemList":[],"cl</t>
  </si>
  <si>
    <t>ientContextJson":""},{"keyOptionId":"4745","caption":"Bulk Commodities","isDefault":true,"maskCriteriaOnly":false,"definition":"","keyProductQueryItem":"226161","comparisonOperation":0,"comparisonValue":"27","minimumVersion":"","maximumVersion":"","formOrder":0,"lowerBound":null,"enabled":true,"mask":"","maskKey":"","keyItemMaskOfField":null,"keyOptionIdReplace":"","relatedOptionIds":[],"onlineServices":[],"childCriteriaItemList":[],"clientContextJson":""},{"keyOptionId":"4746","caption":"Specialty Commodities","isDefault":true,"maskCriteriaOnly":false,"definition":"","keyProductQueryItem":"226161","comparisonOperation":0,"comparisonValue":"28","minimumVersion":"","maximumVersion":"","formOrder":0,"lowerBound":null,"enabled":true,"mask":"","maskKey":"","keyItemMaskOfField":null,"keyOptionIdReplace":"","relatedOptionIds":[],"onlineServices":[],"childCriteriaItemList":[],"clientContextJson":""}],"clientContextJson":""}],"clientContextJson":""}]},{"filterGroupId":"1241","filterGroupIdReplace":"","caption":"Location","groupType":2,"optionType":1,"formOrder":4,"minimumVersion":"","maximumVersion":"","onlineServicesEnabled":false,"column":1,"columnFormOrder":10,"criteriaIdName":"","required":true,"dateDefaultType":"","criteriaItemList":[{"keyOptionId":"1242","caption":"All Geographies","isDefault":false,"maskCriteriaOnly":true,"definition":"","keyProductQueryItem":"","comparisonOperation":null,"comparisonValue":"","minimumVersion":"","maximumVersion":"","formOrder":0,"lowerBound":null,"enabled":true,"mask":"","maskKey":"","keyItemMaskOfField":null,"keyOptionIdReplace":"","relatedOptionIds":[],"onlineServices":[],"childCriteriaItemList":[{"keyOptionId":"1243","caption":"United States and Canada","isDefault":false,"maskCriteriaOnly":true,"definition":"","keyProductQueryItem":"","comparisonOperation":null,"comparisonValue":"","minimumVersion":"","maximumVersion":"","formOrder":0,"lowerBound":null,"enabled":true,"mask":"","maskKey":"","keyItemMaskOfField":null,"keyOptionIdReplace":"","relatedOptionIds":[],"onlineServices":[],"childCriteriaItemList":[{"keyOptionId":"1244","caption":"United States","isDefault":false,"maskCriteriaOnly":true,"definition":"","keyProductQueryItem":"","comparisonOperation":null,"comparisonValue":"","minimumVersion":"","maximumVersion":"","formOrder":0,"lowerBound":null,"enabled":true,"mask":"","maskKey":"","keyItemMaskOfField":null,"keyOptionIdReplace":"","relatedOptionIds":[],"onlineServices":[],"childCriteriaItemList":[{"keyOptionId":"1496","caption":"Mid Atlantic","isDefault":false,"maskCriteriaOnly":true,"definition":"","keyProductQueryItem":"","comparisonOperation":null,"comparisonValue":"","minimumVersion":"","maximumVersion":"","formOrder":0,"lowerBound":null,"enabled":true,"mask":"","maskKey":"","keyItemMaskOfField":null,"keyOptionIdReplace":"","relatedOptionIds":[],"onlineServices":[],"childCriteriaItemList":[{"keyOptionId":"1502","caption":"Delaware","isDefault":true,"maskCriteriaOnly":false,"definition":"","keyProductQueryItem":"227199","comparisonOperation":0,"comparisonValue":"271","minimumVersion":"","maximumVersion":"","formOrder":0,"lowerBound":null,"enabled":true,"mask":"","maskKey":"","keyItemMaskOfField":null,"keyOptionIdReplace":"","relatedOptionIds":[],"onlineServices":[],"childCriteriaItemList":[],"clientContextJson":""},{"keyOptionId":"1503","caption":"District of Columbia","isDefault":true,"maskCriteriaOnly":false,"definition":"","keyProductQueryItem":"227199","comparisonOperation":0,"comparisonValue":"270","minimumVersion":"","maximumVersion":"","formOrder":0,"lowerBound":null,"enabled":true,"mask":"","maskKey":"","keyItemMaskOfField":null,"keyOptionIdReplace":"","relatedOptionIds":[],"onlineServices":[],"childCriteriaItemList":[],"clientContextJson":""},{"keyOptionId":"1504","caption":"Maryland","isDefault":true,"maskCriteriaOnly":false,"definition":"","keyProductQueryItem":"227199","comparisonOperation":0,"comparisonValue":"272","minimumVersion":"","maximumVersion":"","formOrder":0,"lowerBound":null,"enabled":true,"mask":"","maskKey":"","keyItemMaskOfField":null,"keyOptionIdReplace":"","relatedOptionIds":[],"onlineServices":[],"childCriteriaItemList":[],"clientContextJson":""},{"keyOptionId":"1505","caption":"New Jersey","isDefault":true,"maskCriteriaOnly":false,"definition":"","keyProductQueryItem":"227199","comparisonOperation":0,"comparisonValue":"273","minimumVersion":"","maximumVersion":"","formOrder":0,"lowerBound":null,"enabled":true,"mask":"","maskKey":"","keyItemMaskOfField":null,"keyOptionIdReplace":"","relatedOptionIds":[],"onlineServices":[],"childCriteriaItemList":[],"clientContextJson":""},{"keyOptionId":"1506","caption":"New York","isDefault":true,"maskCriteriaOnly":false,"definition":"","keyProductQueryItem":"227199","comparisonOperation":0,"comparisonValue":"274","minimumVersion":"","maximumVersion":"","formOrder":0,"lowerBound":null,"enabled":true,"mask":"","maskKey":"","keyItemMaskOfField":null,"keyOptionIdReplace":"","relatedOptionIds":[],"onlineServices":[],"childCriteriaItemList":[],"clientContextJson":""},{"keyOptionId":"1507","caption":"Pennsylvania","isDefault":true,"maskCriteriaOnly":false,"definition":"","keyProductQueryItem":"227199","comparisonOperation":0,"comparisonValue":"275","minimumVersion":"","maximumVersion":"","formOrder":0,"lowerBound":null,"enabled":true,"mask":"","maskKey":"","keyItemMaskOfField":null,"keyOptionIdReplace":"","relatedOptionIds":[],"onlineServices":[],"childCriteriaItemList":[],"clientContextJson":""},{"keyOptionId":"1508","caption":"Puerto Rico","isDefault":true,"maskCriteriaOnly":false,"definition":"","keyProductQueryItem":"227199","comparisonOperation":0,"comparisonValue":"276","minimumVersion":"","maximumVersion":"","formOrder":0,"lowerBound":null,"enabled":true,"mask":"","maskKey":"","keyItemMaskOfField":null,"keyOptionIdReplace":"","relatedOptionIds":[],"onlineServices":[],"childCriteriaItemList":[],"clientContextJson":""}],"clientContextJson":""},{"keyOptionId":"1497","caption":"Midwest","isDefault":false,"maskCriteriaOnly":true,"definition":"","keyProductQueryItem":"","comparisonOperation":null,"comparisonValue":"","minimumVersion":"","maximumVersion":"","formOrder":0,"lowerBound":null,"enabled":true,"mask":"","maskKey":"","keyItemMaskOfField":null,"keyOptionIdReplace":"","relatedOptionIds":[],"onlineServices":[],"childCriteriaItemList":[{"keyOptionId":"1509","caption":"Illinois","isDefault":true,"maskCriteriaOnly":false,"definition":"","keyProductQueryItem":"227199","comparisonOperation":0,"comparisonValue":"278","minimumVersion":"","maximumVersion":"","formOrder":0,"lowerBound":null,"enabled":true,"mask":"","maskKey":"","keyItemMaskOfField":null,"keyOptionIdReplace":"","relatedOptionIds":[],"onlineServices":[],"childCriteriaItemList":[],"clientContextJson":""},{"keyOptionId":"1510","caption":"Indiana","isDefault":true,"maskCriteriaOnly":false,"definition":"","keyProductQueryItem":"227199","comparisonOperation":0,"comparisonValue":"279","minimumVersion":"","maximumVersion":"","formOrder":0,"lowerBound":null,"enabled":true,"mask":"","maskKey":"","keyItemMaskOfField":null,"keyOptionIdReplace":"","relatedOptionIds":[],"onlineServices":[],"childCriteriaItemList":[],"clientContextJson":""},{"keyOptionId":"1511","caption":"Iowa","isDefault":true,"maskCriteriaOnly":false,"definition":"","keyProductQueryItem":"227199","comparisonOperation":0,"comparisonValue":"277","minimumVersion":"","maximumVersion":"","formOrder":0,"lowerBound":null,"enabled":true,"mask":"","maskKey":"","keyItemMaskOfField":null,"keyOptionIdReplace":"","relatedOptionIds":[],"onlineServices":[],"childCriteriaItemList":[],"clientContextJson":""},{"keyOptionId":"1512","cap</t>
  </si>
  <si>
    <t>tion":"Kansas","isDefault":true,"maskCriteriaOnly":false,"definition":"","keyProductQueryItem":"227199","comparisonOperation":0,"comparisonValue":"280","minimumVersion":"","maximumVersion":"","formOrder":0,"lowerBound":null,"enabled":true,"mask":"","maskKey":"","keyItemMaskOfField":null,"keyOptionIdReplace":"","relatedOptionIds":[],"onlineServices":[],"childCriteriaItemList":[],"clientContextJson":""},{"keyOptionId":"1513","caption":"Kentucky","isDefault":true,"maskCriteriaOnly":false,"definition":"","keyProductQueryItem":"227199","comparisonOperation":0,"comparisonValue":"281","minimumVersion":"","maximumVersion":"","formOrder":0,"lowerBound":null,"enabled":true,"mask":"","maskKey":"","keyItemMaskOfField":null,"keyOptionIdReplace":"","relatedOptionIds":[],"onlineServices":[],"childCriteriaItemList":[],"clientContextJson":""},{"keyOptionId":"1514","caption":"Michigan","isDefault":true,"maskCriteriaOnly":false,"definition":"","keyProductQueryItem":"227199","comparisonOperation":0,"comparisonValue":"282","minimumVersion":"","maximumVersion":"","formOrder":0,"lowerBound":null,"enabled":true,"mask":"","maskKey":"","keyItemMaskOfField":null,"keyOptionIdReplace":"","relatedOptionIds":[],"onlineServices":[],"childCriteriaItemList":[],"clientContextJson":""},{"keyOptionId":"1515","caption":"Minnesota","isDefault":true,"maskCriteriaOnly":false,"definition":"","keyProductQueryItem":"227199","comparisonOperation":0,"comparisonValue":"283","minimumVersion":"","maximumVersion":"","formOrder":0,"lowerBound":null,"enabled":true,"mask":"","maskKey":"","keyItemMaskOfField":null,"keyOptionIdReplace":"","relatedOptionIds":[],"onlineServices":[],"childCriteriaItemList":[],"clientContextJson":""},{"keyOptionId":"1516","caption":"Missouri","isDefault":true,"maskCriteriaOnly":false,"definition":"","keyProductQueryItem":"227199","comparisonOperation":0,"comparisonValue":"284","minimumVersion":"","maximumVersion":"","formOrder":0,"lowerBound":null,"enabled":true,"mask":"","maskKey":"","keyItemMaskOfField":null,"keyOptionIdReplace":"","relatedOptionIds":[],"onlineServices":[],"childCriteriaItemList":[],"clientContextJson":""},{"keyOptionId":"1517","caption":"Nebraska","isDefault":true,"maskCriteriaOnly":false,"definition":"","keyProductQueryItem":"227199","comparisonOperation":0,"comparisonValue":"286","minimumVersion":"","maximumVersion":"","formOrder":0,"lowerBound":null,"enabled":true,"mask":"","maskKey":"","keyItemMaskOfField":null,"keyOptionIdReplace":"","relatedOptionIds":[],"onlineServices":[],"childCriteriaItemList":[],"clientContextJson":""},{"keyOptionId":"1518","caption":"North Dakota","isDefault":true,"maskCriteriaOnly":false,"definition":"","keyProductQueryItem":"227199","comparisonOperation":0,"comparisonValue":"285","minimumVersion":"","maximumVersion":"","formOrder":0,"lowerBound":null,"enabled":true,"mask":"","maskKey":"","keyItemMaskOfField":null,"keyOptionIdReplace":"","relatedOptionIds":[],"onlineServices":[],"childCriteriaItemList":[],"clientContextJson":""},{"keyOptionId":"1519","caption":"Ohio","isDefault":true,"maskCriteriaOnly":false,"definition":"","keyProductQueryItem":"227199","comparisonOperation":0,"comparisonValue":"287","minimumVersion":"","maximumVersion":"","formOrder":0,"lowerBound":null,"enabled":true,"mask":"","maskKey":"","keyItemMaskOfField":null,"keyOptionIdReplace":"","relatedOptionIds":[],"onlineServices":[],"childCriteriaItemList":[],"clientContextJson":""},{"keyOptionId":"1520","caption":"South Dakota","isDefault":true,"maskCriteriaOnly":false,"definition":"","keyProductQueryItem":"227199","comparisonOperation":0,"comparisonValue":"288","minimumVersion":"","maximumVersion":"","formOrder":0,"lowerBound":null,"enabled":true,"mask":"","maskKey":"","keyItemMaskOfField":null,"keyOptionIdReplace":"","relatedOptionIds":[],"onlineServices":[],"childCriteriaItemList":[],"clientContextJson":""},{"keyOptionId":"1521","caption":"Wisconsin","isDefault":true,"maskCriteriaOnly":false,"definition":"","keyProductQueryItem":"227199","comparisonOperation":0,"comparisonValue":"289","minimumVersion":"","maximumVersion":"","formOrder":0,"lowerBound":null,"enabled":true,"mask":"","maskKey":"","keyItemMaskOfField":null,"keyOptionIdReplace":"","relatedOptionIds":[],"onlineServices":[],"childCriteriaItemList":[],"clientContextJson":""}],"clientContextJson":""},{"keyOptionId":"1498","caption":"Northeast","isDefault":false,"maskCriteriaOnly":true,"definition":"","keyProductQueryItem":"","comparisonOperation":null,"comparisonValue":"","minimumVersion":"","maximumVersion":"","formOrder":0,"lowerBound":null,"enabled":true,"mask":"","maskKey":"","keyItemMaskOfField":null,"keyOptionIdReplace":"","relatedOptionIds":[],"onlineServices":[],"childCriteriaItemList":[{"keyOptionId":"1522","caption":"Connecticut","isDefault":true,"maskCriteriaOnly":false,"definition":"","keyProductQueryItem":"227199","comparisonOperation":0,"comparisonValue":"290","minimumVersion":"","maximumVersion":"","formOrder":0,"lowerBound":null,"enabled":true,"mask":"","maskKey":"","keyItemMaskOfField":null,"keyOptionIdReplace":"","relatedOptionIds":[],"onlineServices":[],"childCriteriaItemList":[],"clientContextJson":""},{"keyOptionId":"1523","caption":"Maine","isDefault":true,"maskCriteriaOnly":false,"definition":"","keyProductQueryItem":"227199","comparisonOperation":0,"comparisonValue":"292","minimumVersion":"","maximumVersion":"","formOrder":0,"lowerBound":null,"enabled":true,"mask":"","maskKey":"","keyItemMaskOfField":null,"keyOptionIdReplace":"","relatedOptionIds":[],"onlineServices":[],"childCriteriaItemList":[],"clientContextJson":""},{"keyOptionId":"1524","caption":"Massachusetts","isDefault":true,"maskCriteriaOnly":false,"definition":"","keyProductQueryItem":"227199","comparisonOperation":0,"comparisonValue":"291","minimumVersion":"","maximumVersion":"","formOrder":0,"lowerBound":null,"enabled":true,"mask":"","maskKey":"","keyItemMaskOfField":null,"keyOptionIdReplace":"","relatedOptionIds":[],"onlineServices":[],"childCriteriaItemList":[],"clientContextJson":""},{"keyOptionId":"1525","caption":"New Hampshire","isDefault":true,"maskCriteriaOnly":false,"definition":"","keyProductQueryItem":"227199","comparisonOperation":0,"comparisonValue":"293","minimumVersion":"","maximumVersion":"","formOrder":0,"lowerBound":null,"enabled":true,"mask":"","maskKey":"","keyItemMaskOfField":null,"keyOptionIdReplace":"","relatedOptionIds":[],"onlineServices":[],"childCriteriaItemList":[],"clientContextJson":""},{"keyOptionId":"1526","caption":"Rhode Island","isDefault":true,"maskCriteriaOnly":false,"definition":"","keyProductQueryItem":"227199","comparisonOperation":0,"comparisonValue":"294","minimumVersion":"","maximumVersion":"","formOrder":0,"lowerBound":null,"enabled":true,"mask":"","maskKey":"","keyItemMaskOfField":null,"keyOptionIdReplace":"","relatedOptionIds":[],"onlineServices":[],"childCriteriaItemList":[],"clientContextJson":""},{"keyOptionId":"1527","caption":"Vermont","isDefault":true,"maskCriteriaOnly":false,"definition":"","keyProductQueryItem":"227199","comparisonOperation":0,"comparisonValue":"295","minimumVersion":"","maximumVersion":"","formOrder":0,"lowerBound":null,"enabled":true,"mask":"","maskKey":"","keyItemMaskOfField":null,"keyOptionIdReplace":"","relatedOptionIds":[],"onlineServices":[],"childCriteriaItemList":[],"clientContextJson":""}],"clientContextJson":""},{"keyOptionId":"1499","caption":"Southeast","isDefault":false,"maskCriteriaOnly":true,"definition":"","keyProductQueryItem":"","comparisonOperation":null,"comparisonValue":"","minimumVersion":"","maximumVersion":"","formOrder":0,"lowerBound":null,"enabled":true,"mask":"","maskKey":"","keyItemMaskOfField":null,"k</t>
  </si>
  <si>
    <t>eyOptionIdReplace":"","relatedOptionIds":[],"onlineServices":[],"childCriteriaItemList":[{"keyOptionId":"1528","caption":"Alabama","isDefault":true,"maskCriteriaOnly":false,"definition":"","keyProductQueryItem":"227199","comparisonOperation":0,"comparisonValue":"296","minimumVersion":"","maximumVersion":"","formOrder":0,"lowerBound":null,"enabled":true,"mask":"","maskKey":"","keyItemMaskOfField":null,"keyOptionIdReplace":"","relatedOptionIds":[],"onlineServices":[],"childCriteriaItemList":[],"clientContextJson":""},{"keyOptionId":"1529","caption":"Arkansas","isDefault":true,"maskCriteriaOnly":false,"definition":"","keyProductQueryItem":"227199","comparisonOperation":0,"comparisonValue":"297","minimumVersion":"","maximumVersion":"","formOrder":0,"lowerBound":null,"enabled":true,"mask":"","maskKey":"","keyItemMaskOfField":null,"keyOptionIdReplace":"","relatedOptionIds":[],"onlineServices":[],"childCriteriaItemList":[],"clientContextJson":""},{"keyOptionId":"1530","caption":"Florida","isDefault":true,"maskCriteriaOnly":false,"definition":"","keyProductQueryItem":"227199","comparisonOperation":0,"comparisonValue":"298","minimumVersion":"","maximumVersion":"","formOrder":0,"lowerBound":null,"enabled":true,"mask":"","maskKey":"","keyItemMaskOfField":null,"keyOptionIdReplace":"","relatedOptionIds":[],"onlineServices":[],"childCriteriaItemList":[],"clientContextJson":""},{"keyOptionId":"1531","caption":"Georgia","isDefault":true,"maskCriteriaOnly":false,"definition":"","keyProductQueryItem":"227199","comparisonOperation":0,"comparisonValue":"299","minimumVersion":"","maximumVersion":"","formOrder":0,"lowerBound":null,"enabled":true,"mask":"","maskKey":"","keyItemMaskOfField":null,"keyOptionIdReplace":"","relatedOptionIds":[],"onlineServices":[],"childCriteriaItemList":[],"clientContextJson":""},{"keyOptionId":"1532","caption":"Mississippi","isDefault":true,"maskCriteriaOnly":false,"definition":"","keyProductQueryItem":"227199","comparisonOperation":0,"comparisonValue":"300","minimumVersion":"","maximumVersion":"","formOrder":0,"lowerBound":null,"enabled":true,"mask":"","maskKey":"","keyItemMaskOfField":null,"keyOptionIdReplace":"","relatedOptionIds":[],"onlineServices":[],"childCriteriaItemList":[],"clientContextJson":""},{"keyOptionId":"1533","caption":"North Carolina","isDefault":true,"maskCriteriaOnly":false,"definition":"","keyProductQueryItem":"227199","comparisonOperation":0,"comparisonValue":"301","minimumVersion":"","maximumVersion":"","formOrder":0,"lowerBound":null,"enabled":true,"mask":"","maskKey":"","keyItemMaskOfField":null,"keyOptionIdReplace":"","relatedOptionIds":[],"onlineServices":[],"childCriteriaItemList":[],"clientContextJson":""},{"keyOptionId":"1534","caption":"South Carolina","isDefault":true,"maskCriteriaOnly":false,"definition":"","keyProductQueryItem":"227199","comparisonOperation":0,"comparisonValue":"302","minimumVersion":"","maximumVersion":"","formOrder":0,"lowerBound":null,"enabled":true,"mask":"","maskKey":"","keyItemMaskOfField":null,"keyOptionIdReplace":"","relatedOptionIds":[],"onlineServices":[],"childCriteriaItemList":[],"clientContextJson":""},{"keyOptionId":"1535","caption":"Tennessee","isDefault":true,"maskCriteriaOnly":false,"definition":"","keyProductQueryItem":"227199","comparisonOperation":0,"comparisonValue":"303","minimumVersion":"","maximumVersion":"","formOrder":0,"lowerBound":null,"enabled":true,"mask":"","maskKey":"","keyItemMaskOfField":null,"keyOptionIdReplace":"","relatedOptionIds":[],"onlineServices":[],"childCriteriaItemList":[],"clientContextJson":""},{"keyOptionId":"1536","caption":"Virgin Islands, U.S.","isDefault":true,"maskCriteriaOnly":false,"definition":"","keyProductQueryItem":"227199","comparisonOperation":0,"comparisonValue":"305","minimumVersion":"","maximumVersion":"","formOrder":0,"lowerBound":null,"enabled":true,"mask":"","maskKey":"","keyItemMaskOfField":null,"keyOptionIdReplace":"","relatedOptionIds":[],"onlineServices":[],"childCriteriaItemList":[],"clientContextJson":""},{"keyOptionId":"1537","caption":"Virginia","isDefault":true,"maskCriteriaOnly":false,"definition":"","keyProductQueryItem":"227199","comparisonOperation":0,"comparisonValue":"304","minimumVersion":"","maximumVersion":"","formOrder":0,"lowerBound":null,"enabled":true,"mask":"","maskKey":"","keyItemMaskOfField":null,"keyOptionIdReplace":"","relatedOptionIds":[],"onlineServices":[],"childCriteriaItemList":[],"clientContextJson":""},{"keyOptionId":"1538","caption":"West Virginia","isDefault":true,"maskCriteriaOnly":false,"definition":"","keyProductQueryItem":"227199","comparisonOperation":0,"comparisonValue":"306","minimumVersion":"","maximumVersion":"","formOrder":0,"lowerBound":null,"enabled":true,"mask":"","maskKey":"","keyItemMaskOfField":null,"keyOptionIdReplace":"","relatedOptionIds":[],"onlineServices":[],"childCriteriaItemList":[],"clientContextJson":""}],"clientContextJson":""},{"keyOptionId":"1500","caption":"Southwest","isDefault":false,"maskCriteriaOnly":true,"definition":"","keyProductQueryItem":"","comparisonOperation":null,"comparisonValue":"","minimumVersion":"","maximumVersion":"","formOrder":0,"lowerBound":null,"enabled":true,"mask":"","maskKey":"","keyItemMaskOfField":null,"keyOptionIdReplace":"","relatedOptionIds":[],"onlineServices":[],"childCriteriaItemList":[{"keyOptionId":"1539","caption":"Colorado","isDefault":true,"maskCriteriaOnly":false,"definition":"","keyProductQueryItem":"227199","comparisonOperation":0,"comparisonValue":"307","minimumVersion":"","maximumVersion":"","formOrder":0,"lowerBound":null,"enabled":true,"mask":"","maskKey":"","keyItemMaskOfField":null,"keyOptionIdReplace":"","relatedOptionIds":[],"onlineServices":[],"childCriteriaItemList":[],"clientContextJson":""},{"keyOptionId":"1540","caption":"Louisiana","isDefault":true,"maskCriteriaOnly":false,"definition":"","keyProductQueryItem":"227199","comparisonOperation":0,"comparisonValue":"308","minimumVersion":"","maximumVersion":"","formOrder":0,"lowerBound":null,"enabled":true,"mask":"","maskKey":"","keyItemMaskOfField":null,"keyOptionIdReplace":"","relatedOptionIds":[],"onlineServices":[],"childCriteriaItemList":[],"clientContextJson":""},{"keyOptionId":"1541","caption":"New Mexico","isDefault":true,"maskCriteriaOnly":false,"definition":"","keyProductQueryItem":"227199","comparisonOperation":0,"comparisonValue":"309","minimumVersion":"","maximumVersion":"","formOrder":0,"lowerBound":null,"enabled":true,"mask":"","maskKey":"","keyItemMaskOfField":null,"keyOptionIdReplace":"","relatedOptionIds":[],"onlineServices":[],"childCriteriaItemList":[],"clientContextJson":""},{"keyOptionId":"1542","caption":"Oklahoma","isDefault":true,"maskCriteriaOnly":false,"definition":"","keyProductQueryItem":"227199","comparisonOperation":0,"comparisonValue":"310","minimumVersion":"","maximumVersion":"","formOrder":0,"lowerBound":null,"enabled":true,"mask":"","maskKey":"","keyItemMaskOfField":null,"keyOptionIdReplace":"","relatedOptionIds":[],"onlineServices":[],"childCriteriaItemList":[],"clientContextJson":""},{"keyOptionId":"1543","caption":"Texas","isDefault":true,"maskCriteriaOnly":false,"definition":"","keyProductQueryItem":"227199","comparisonOperation":0,"comparisonValue":"311","minimumVersion":"","maximumVersion":"","formOrder":0,"lowerBound":null,"enabled":true,"mask":"","maskKey":"","keyItemMaskOfField":null,"keyOptionIdReplace":"","relatedOptionIds":[],"onlineServices":[],"childCriteriaItemList":[],"clientContextJson":""},{"keyOptionId":"1544","caption":"Utah","isDefault":true,"maskCriteriaOnly":false,"definition":"","keyProductQueryItem":"227199","comparisonOperation":0,"comparisonValue":"312","minimumVersion":"","maximumVersio</t>
  </si>
  <si>
    <t>n":"","formOrder":0,"lowerBound":null,"enabled":true,"mask":"","maskKey":"","keyItemMaskOfField":null,"keyOptionIdReplace":"","relatedOptionIds":[],"onlineServices":[],"childCriteriaItemList":[],"clientContextJson":""}],"clientContextJson":""},{"keyOptionId":"1501","caption":"West","isDefault":false,"maskCriteriaOnly":true,"definition":"","keyProductQueryItem":"","comparisonOperation":null,"comparisonValue":"","minimumVersion":"","maximumVersion":"","formOrder":0,"lowerBound":null,"enabled":true,"mask":"","maskKey":"","keyItemMaskOfField":null,"keyOptionIdReplace":"","relatedOptionIds":[],"onlineServices":[],"childCriteriaItemList":[{"keyOptionId":"1545","caption":"Alaska","isDefault":true,"maskCriteriaOnly":false,"definition":"","keyProductQueryItem":"227199","comparisonOperation":0,"comparisonValue":"313","minimumVersion":"","maximumVersion":"","formOrder":0,"lowerBound":null,"enabled":true,"mask":"","maskKey":"","keyItemMaskOfField":null,"keyOptionIdReplace":"","relatedOptionIds":[],"onlineServices":[],"childCriteriaItemList":[],"clientContextJson":""},{"keyOptionId":"1546","caption":"American Samoa","isDefault":true,"maskCriteriaOnly":false,"definition":"","keyProductQueryItem":"227199","comparisonOperation":0,"comparisonValue":"314","minimumVersion":"","maximumVersion":"","formOrder":0,"lowerBound":null,"enabled":true,"mask":"","maskKey":"","keyItemMaskOfField":null,"keyOptionIdReplace":"","relatedOptionIds":[],"onlineServices":[],"childCriteriaItemList":[],"clientContextJson":""},{"keyOptionId":"1547","caption":"Arizona","isDefault":true,"maskCriteriaOnly":false,"definition":"","keyProductQueryItem":"227199","comparisonOperation":0,"comparisonValue":"315","minimumVersion":"","maximumVersion":"","formOrder":0,"lowerBound":null,"enabled":true,"mask":"","maskKey":"","keyItemMaskOfField":null,"keyOptionIdReplace":"","relatedOptionIds":[],"onlineServices":[],"childCriteriaItemList":[],"clientContextJson":""},{"keyOptionId":"1548","caption":"California","isDefault":true,"maskCriteriaOnly":false,"definition":"","keyProductQueryItem":"227199","comparisonOperation":0,"comparisonValue":"316","minimumVersion":"","maximumVersion":"","formOrder":0,"lowerBound":null,"enabled":true,"mask":"","maskKey":"","keyItemMaskOfField":null,"keyOptionIdReplace":"","relatedOptionIds":[],"onlineServices":[],"childCriteriaItemList":[],"clientContextJson":""},{"keyOptionId":"1549","caption":"Guam","isDefault":true,"maskCriteriaOnly":false,"definition":"","keyProductQueryItem":"227199","comparisonOperation":0,"comparisonValue":"318","minimumVersion":"","maximumVersion":"","formOrder":0,"lowerBound":null,"enabled":true,"mask":"","maskKey":"","keyItemMaskOfField":null,"keyOptionIdReplace":"","relatedOptionIds":[],"onlineServices":[],"childCriteriaItemList":[],"clientContextJson":""},{"keyOptionId":"1550","caption":"Hawaii","isDefault":true,"maskCriteriaOnly":false,"definition":"","keyProductQueryItem":"227199","comparisonOperation":0,"comparisonValue":"319","minimumVersion":"","maximumVersion":"","formOrder":0,"lowerBound":null,"enabled":true,"mask":"","maskKey":"","keyItemMaskOfField":null,"keyOptionIdReplace":"","relatedOptionIds":[],"onlineServices":[],"childCriteriaItemList":[],"clientContextJson":""},{"keyOptionId":"1551","caption":"Idaho","isDefault":true,"maskCriteriaOnly":false,"definition":"","keyProductQueryItem":"227199","comparisonOperation":0,"comparisonValue":"320","minimumVersion":"","maximumVersion":"","formOrder":0,"lowerBound":null,"enabled":true,"mask":"","maskKey":"","keyItemMaskOfField":null,"keyOptionIdReplace":"","relatedOptionIds":[],"onlineServices":[],"childCriteriaItemList":[],"clientContextJson":""},{"keyOptionId":"1552","caption":"Montana","isDefault":true,"maskCriteriaOnly":false,"definition":"","keyProductQueryItem":"227199","comparisonOperation":0,"comparisonValue":"323","minimumVersion":"","maximumVersion":"","formOrder":0,"lowerBound":null,"enabled":true,"mask":"","maskKey":"","keyItemMaskOfField":null,"keyOptionIdReplace":"","relatedOptionIds":[],"onlineServices":[],"childCriteriaItemList":[],"clientContextJson":""},{"keyOptionId":"1553","caption":"Nevada","isDefault":true,"maskCriteriaOnly":false,"definition":"","keyProductQueryItem":"227199","comparisonOperation":0,"comparisonValue":"324","minimumVersion":"","maximumVersion":"","formOrder":0,"lowerBound":null,"enabled":true,"mask":"","maskKey":"","keyItemMaskOfField":null,"keyOptionIdReplace":"","relatedOptionIds":[],"onlineServices":[],"childCriteriaItemList":[],"clientContextJson":""},{"keyOptionId":"1554","caption":"Northern Mariana Islands","isDefault":true,"maskCriteriaOnly":false,"definition":"","keyProductQueryItem":"227199","comparisonOperation":0,"comparisonValue":"322","minimumVersion":"","maximumVersion":"","formOrder":0,"lowerBound":null,"enabled":true,"mask":"","maskKey":"","keyItemMaskOfField":null,"keyOptionIdReplace":"","relatedOptionIds":[],"onlineServices":[],"childCriteriaItemList":[],"clientContextJson":""},{"keyOptionId":"1555","caption":"Oregon","isDefault":true,"maskCriteriaOnly":false,"definition":"","keyProductQueryItem":"227199","comparisonOperation":0,"comparisonValue":"325","minimumVersion":"","maximumVersion":"","formOrder":0,"lowerBound":null,"enabled":true,"mask":"","maskKey":"","keyItemMaskOfField":null,"keyOptionIdReplace":"","relatedOptionIds":[],"onlineServices":[],"childCriteriaItemList":[],"clientContextJson":""},{"keyOptionId":"1556","caption":"United States Minor Outlying Islands","isDefault":true,"maskCriteriaOnly":false,"definition":"","keyProductQueryItem":"227199","comparisonOperation":0,"comparisonValue":"327","minimumVersion":"","maximumVersion":"","formOrder":0,"lowerBound":null,"enabled":true,"mask":"","maskKey":"","keyItemMaskOfField":null,"keyOptionIdReplace":"","relatedOptionIds":[],"onlineServices":[],"childCriteriaItemList":[],"clientContextJson":""},{"keyOptionId":"1557","caption":"Washington","isDefault":true,"maskCriteriaOnly":false,"definition":"","keyProductQueryItem":"227199","comparisonOperation":0,"comparisonValue":"328","minimumVersion":"","maximumVersion":"","formOrder":0,"lowerBound":null,"enabled":true,"mask":"","maskKey":"","keyItemMaskOfField":null,"keyOptionIdReplace":"","relatedOptionIds":[],"onlineServices":[],"childCriteriaItemList":[],"clientContextJson":""},{"keyOptionId":"1558","caption":"Wyoming","isDefault":true,"maskCriteriaOnly":false,"definition":"","keyProductQueryItem":"227199","comparisonOperation":0,"comparisonValue":"329","minimumVersion":"","maximumVersion":"","formOrder":0,"lowerBound":null,"enabled":true,"mask":"","maskKey":"","keyItemMaskOfField":null,"keyOptionIdReplace":"","relatedOptionIds":[],"onlineServices":[],"childCriteriaItemList":[],"clientContextJson":""}],"clientContextJson":""}],"clientContextJson":""},{"keyOptionId":"1245","caption":"Canada","isDefault":true,"maskCriteriaOnly":false,"definition":"","keyProductQueryItem":"227199","comparisonOperation":0,"comparisonValue":"38","minimumVersion":"","maximumVersion":"","formOrder":0,"lowerBound":null,"enabled":true,"mask":"","maskKey":"","keyItemMaskOfField":null,"keyOptionIdReplace":"","relatedOptionIds":[],"onlineServices":[],"childCriteriaItemList":[],"clientContextJson":""},{"keyOptionId":"1246","caption":"Bermuda","isDefault":true,"maskCriteriaOnly":false,"definition":"","keyProductQueryItem":"227199","comparisonOperation":0,"comparisonValue":"12","minimumVersion":"","maximumVersion":"","formOrder":0,"lowerBound":null,"enabled":true,"mask":"","maskKey":"","keyItemMaskOfField":null,"keyOptionIdReplace":"","relatedOptionIds":[],"onlineServices":[],"childCriteriaItemList":[],"clientContextJson":""}],"clientContextJson":""},{"keyOpti</t>
  </si>
  <si>
    <t>onId":"1247","caption":"Europe","isDefault":false,"maskCriteriaOnly":true,"definition":"","keyProductQueryItem":"","comparisonOperation":null,"comparisonValue":"","minimumVersion":"","maximumVersion":"","formOrder":0,"lowerBound":null,"enabled":true,"mask":"","maskKey":"","keyItemMaskOfField":null,"keyOptionIdReplace":"","relatedOptionIds":[],"onlineServices":[],"childCriteriaItemList":[{"keyOptionId":"1248","caption":"Developed Europe","isDefault":false,"maskCriteriaOnly":true,"definition":"","keyProductQueryItem":"","comparisonOperation":null,"comparisonValue":"","minimumVersion":"","maximumVersion":"","formOrder":0,"lowerBound":null,"enabled":true,"mask":"","maskKey":"","keyItemMaskOfField":null,"keyOptionIdReplace":"","relatedOptionIds":[],"onlineServices":[],"childCriteriaItemList":[{"keyOptionId":"1265","caption":"Andorra","isDefault":true,"maskCriteriaOnly":false,"definition":"","keyProductQueryItem":"227199","comparisonOperation":0,"comparisonValue":"170","minimumVersion":"","maximumVersion":"","formOrder":0,"lowerBound":null,"enabled":true,"mask":"","maskKey":"","keyItemMaskOfField":null,"keyOptionIdReplace":"","relatedOptionIds":[],"onlineServices":[],"childCriteriaItemList":[],"clientContextJson":""},{"keyOptionId":"1268","caption":"Austria","isDefault":true,"maskCriteriaOnly":false,"definition":"","keyProductQueryItem":"227199","comparisonOperation":0,"comparisonValue":"206","minimumVersion":"","maximumVersion":"","formOrder":0,"lowerBound":null,"enabled":true,"mask":"","maskKey":"","keyItemMaskOfField":null,"keyOptionIdReplace":"","relatedOptionIds":[],"onlineServices":[],"childCriteriaItemList":[],"clientContextJson":""},{"keyOptionId":"1258","caption":"Belgium","isDefault":true,"maskCriteriaOnly":false,"definition":"","keyProductQueryItem":"227199","comparisonOperation":0,"comparisonValue":"175","minimumVersion":"","maximumVersion":"","formOrder":0,"lowerBound":null,"enabled":true,"mask":"","maskKey":"","keyItemMaskOfField":null,"keyOptionIdReplace":"","relatedOptionIds":[],"onlineServices":[],"childCriteriaItemList":[],"clientContextJson":""},{"keyOptionId":"1269","caption":"Cyprus","isDefault":true,"maskCriteriaOnly":false,"definition":"","keyProductQueryItem":"227199","comparisonOperation":0,"comparisonValue":"126","minimumVersion":"","maximumVersion":"","formOrder":0,"lowerBound":null,"enabled":true,"mask":"","maskKey":"","keyItemMaskOfField":null,"keyOptionIdReplace":"","relatedOptionIds":[],"onlineServices":[],"childCriteriaItemList":[],"clientContextJson":""},{"keyOptionId":"1249","caption":"Czech Republic","isDefault":true,"maskCriteriaOnly":false,"definition":"","keyProductQueryItem":"227199","comparisonOperation":0,"comparisonValue":"207","minimumVersion":"","maximumVersion":"","formOrder":0,"lowerBound":null,"enabled":true,"mask":"","maskKey":"","keyItemMaskOfField":null,"keyOptionIdReplace":"","relatedOptionIds":[],"onlineServices":[],"childCriteriaItemList":[],"clientContextJson":""},{"keyOptionId":"1259","caption":"Denmark","isDefault":true,"maskCriteriaOnly":false,"definition":"","keyProductQueryItem":"227199","comparisonOperation":0,"comparisonValue":"209","minimumVersion":"","maximumVersion":"","formOrder":0,"lowerBound":null,"enabled":true,"mask":"","maskKey":"","keyItemMaskOfField":null,"keyOptionIdReplace":"","relatedOptionIds":[],"onlineServices":[],"childCriteriaItemList":[],"clientContextJson":""},{"keyOptionId":"1270","caption":"Finland","isDefault":true,"maskCriteriaOnly":false,"definition":"","keyProductQueryItem":"227199","comparisonOperation":0,"comparisonValue":"181","minimumVersion":"","maximumVersion":"","formOrder":0,"lowerBound":null,"enabled":true,"mask":"","maskKey":"","keyItemMaskOfField":null,"keyOptionIdReplace":"","relatedOptionIds":[],"onlineServices":[],"childCriteriaItemList":[],"clientContextJson":""},{"keyOptionId":"1251","caption":"France","isDefault":true,"maskCriteriaOnly":false,"definition":"","keyProductQueryItem":"227199","comparisonOperation":0,"comparisonValue":"183","minimumVersion":"","maximumVersion":"","formOrder":0,"lowerBound":null,"enabled":true,"mask":"","maskKey":"","keyItemMaskOfField":null,"keyOptionIdReplace":"","relatedOptionIds":[],"onlineServices":[],"childCriteriaItemList":[],"clientContextJson":""},{"keyOptionId":"1250","caption":"Germany","isDefault":true,"maskCriteriaOnly":false,"definition":"","keyProductQueryItem":"227199","comparisonOperation":0,"comparisonValue":"208","minimumVersion":"","maximumVersion":"","formOrder":0,"lowerBound":null,"enabled":true,"mask":"","maskKey":"","keyItemMaskOfField":null,"keyOptionIdReplace":"","relatedOptionIds":[],"onlineServices":[],"childCriteriaItemList":[],"clientContextJson":""},{"keyOptionId":"1252","caption":"Gibraltar","isDefault":true,"maskCriteriaOnly":false,"definition":"","keyProductQueryItem":"227199","comparisonOperation":0,"comparisonValue":"185","minimumVersion":"","maximumVersion":"","formOrder":0,"lowerBound":null,"enabled":true,"mask":"","maskKey":"","keyItemMaskOfField":null,"keyOptionIdReplace":"","relatedOptionIds":[],"onlineServices":[],"childCriteriaItemList":[],"clientContextJson":""},{"keyOptionId":"1255","caption":"Greece","isDefault":true,"maskCriteriaOnly":false,"definition":"","keyProductQueryItem":"227199","comparisonOperation":0,"comparisonValue":"186","minimumVersion":"","maximumVersion":"","formOrder":0,"lowerBound":null,"enabled":true,"mask":"","maskKey":"","keyItemMaskOfField":null,"keyOptionIdReplace":"","relatedOptionIds":[],"onlineServices":[],"childCriteriaItemList":[],"clientContextJson":""},{"keyOptionId":"1254","caption":"Greenland","isDefault":true,"maskCriteriaOnly":false,"definition":"","keyProductQueryItem":"227199","comparisonOperation":0,"comparisonValue":"19","minimumVersion":"","maximumVersion":"","formOrder":0,"lowerBound":null,"enabled":true,"mask":"","maskKey":"","keyItemMaskOfField":null,"keyOptionIdReplace":"","relatedOptionIds":[],"onlineServices":[],"childCriteriaItemList":[],"clientContextJson":""},{"keyOptionId":"1271","caption":"Iceland","isDefault":true,"maskCriteriaOnly":false,"definition":"","keyProductQueryItem":"227199","comparisonOperation":0,"comparisonValue":"189","minimumVersion":"","maximumVersion":"","formOrder":0,"lowerBound":null,"enabled":true,"mask":"","maskKey":"","keyItemMaskOfField":null,"keyOptionIdReplace":"","relatedOptionIds":[],"onlineServices":[],"childCriteriaItemList":[],"clientContextJson":""},{"keyOptionId":"1256","caption":"Ireland","isDefault":true,"maskCriteriaOnly":false,"definition":"","keyProductQueryItem":"227199","comparisonOperation":0,"comparisonValue":"212","minimumVersion":"","maximumVersion":"","formOrder":0,"lowerBound":null,"enabled":true,"mask":"","maskKey":"","keyItemMaskOfField":null,"keyOptionIdReplace":"","relatedOptionIds":[],"onlineServices":[],"childCriteriaItemList":[],"clientContextJson":""},{"keyOptionId":"1257","caption":"Italy","isDefault":true,"maskCriteriaOnly":false,"definition":"","keyProductQueryItem":"227199","comparisonOperation":0,"comparisonValue":"190","minimumVersion":"","maximumVersion":"","formOrder":0,"lowerBound":null,"enabled":true,"mask":"","maskKey":"","keyItemMaskOfField":null,"keyOptionIdReplace":"","relatedOptionIds":[],"onlineServices":[],"childCriteriaItemList":[],"clientContextJson":""},{"keyOptionId":"1266","caption":"Liechtenstein","isDefault":true,"maskCriteriaOnly":false,"definition":"","keyProductQueryItem":"227199","comparisonOperation":0,"comparisonValue":"213","minimumVersion":"","maximumVersion":"","formOrder":0,"lowerBound":null,"enabled":true,"mask":"","maskKey":"","keyItemMaskOfField":null,"keyOptionIdReplace":"","relatedOptionIds":[],"onlineServices":[],"childCriteri</t>
  </si>
  <si>
    <t>aItemList":[],"clientContextJson":""},{"keyOptionId":"1253","caption":"Luxembourg","isDefault":true,"maskCriteriaOnly":false,"definition":"","keyProductQueryItem":"227199","comparisonOperation":0,"comparisonValue":"214","minimumVersion":"","maximumVersion":"","formOrder":0,"lowerBound":null,"enabled":true,"mask":"","maskKey":"","keyItemMaskOfField":null,"keyOptionIdReplace":"","relatedOptionIds":[],"onlineServices":[],"childCriteriaItemList":[],"clientContextJson":""},{"keyOptionId":"1272","caption":"Malta","isDefault":true,"maskCriteriaOnly":false,"definition":"","keyProductQueryItem":"227199","comparisonOperation":0,"comparisonValue":"195","minimumVersion":"","maximumVersion":"","formOrder":0,"lowerBound":null,"enabled":true,"mask":"","maskKey":"","keyItemMaskOfField":null,"keyOptionIdReplace":"","relatedOptionIds":[],"onlineServices":[],"childCriteriaItemList":[],"clientContextJson":""},{"keyOptionId":"1267","caption":"Monaco","isDefault":true,"maskCriteriaOnly":false,"definition":"","keyProductQueryItem":"227199","comparisonOperation":0,"comparisonValue":"215","minimumVersion":"","maximumVersion":"","formOrder":0,"lowerBound":null,"enabled":true,"mask":"","maskKey":"","keyItemMaskOfField":null,"keyOptionIdReplace":"","relatedOptionIds":[],"onlineServices":[],"childCriteriaItemList":[],"clientContextJson":""},{"keyOptionId":"1263","caption":"Netherlands","isDefault":true,"maskCriteriaOnly":false,"definition":"","keyProductQueryItem":"227199","comparisonOperation":0,"comparisonValue":"216","minimumVersion":"","maximumVersion":"","formOrder":0,"lowerBound":null,"enabled":true,"mask":"","maskKey":"","keyItemMaskOfField":null,"keyOptionIdReplace":"","relatedOptionIds":[],"onlineServices":[],"childCriteriaItemList":[],"clientContextJson":""},{"keyOptionId":"1260","caption":"Norway","isDefault":true,"maskCriteriaOnly":false,"definition":"","keyProductQueryItem":"227199","comparisonOperation":0,"comparisonValue":"196","minimumVersion":"","maximumVersion":"","formOrder":0,"lowerBound":null,"enabled":true,"mask":"","maskKey":"","keyItemMaskOfField":null,"keyOptionIdReplace":"","relatedOptionIds":[],"onlineServices":[],"childCriteriaItemList":[],"clientContextJson":""},{"keyOptionId":"1264","caption":"Portugal","isDefault":true,"maskCriteriaOnly":false,"definition":"","keyProductQueryItem":"227199","comparisonOperation":0,"comparisonValue":"218","minimumVersion":"","maximumVersion":"","formOrder":0,"lowerBound":null,"enabled":true,"mask":"","maskKey":"","keyItemMaskOfField":null,"keyOptionIdReplace":"","relatedOptionIds":[],"onlineServices":[],"childCriteriaItemList":[],"clientContextJson":""},{"keyOptionId":"1273","caption":"San Marino","isDefault":true,"maskCriteriaOnly":false,"definition":"","keyProductQueryItem":"227199","comparisonOperation":0,"comparisonValue":"202","minimumVersion":"","maximumVersion":"","formOrder":0,"lowerBound":null,"enabled":true,"mask":"","maskKey":"","keyItemMaskOfField":null,"keyOptionIdReplace":"","relatedOptionIds":[],"onlineServices":[],"childCriteriaItemList":[],"clientContextJson":""},{"keyOptionId":"1275","caption":"Slovakia","isDefault":true,"maskCriteriaOnly":false,"definition":"","keyProductQueryItem":"227199","comparisonOperation":0,"comparisonValue":"201","minimumVersion":"","maximumVersion":"","formOrder":0,"lowerBound":null,"enabled":true,"mask":"","maskKey":"","keyItemMaskOfField":null,"keyOptionIdReplace":"","relatedOptionIds":[],"onlineServices":[],"childCriteriaItemList":[],"clientContextJson":""},{"keyOptionId":"1274","caption":"Slovenia","isDefault":true,"maskCriteriaOnly":false,"definition":"","keyProductQueryItem":"227199","comparisonOperation":0,"comparisonValue":"199","minimumVersion":"","maximumVersion":"","formOrder":0,"lowerBound":null,"enabled":true,"mask":"","maskKey":"","keyItemMaskOfField":null,"keyOptionIdReplace":"","relatedOptionIds":[],"onlineServices":[],"childCriteriaItemList":[],"clientContextJson":""},{"keyOptionId":"1261","caption":"Spain","isDefault":true,"maskCriteriaOnly":false,"definition":"","keyProductQueryItem":"227199","comparisonOperation":0,"comparisonValue":"210","minimumVersion":"","maximumVersion":"","formOrder":0,"lowerBound":null,"enabled":true,"mask":"","maskKey":"","keyItemMaskOfField":null,"keyOptionIdReplace":"","relatedOptionIds":[],"onlineServices":[],"childCriteriaItemList":[],"clientContextJson":""},{"keyOptionId":"1262","caption":"Sweden","isDefault":true,"maskCriteriaOnly":false,"definition":"","keyProductQueryItem":"227199","comparisonOperation":0,"comparisonValue":"219","minimumVersion":"","maximumVersion":"","formOrder":0,"lowerBound":null,"enabled":true,"mask":"","maskKey":"","keyItemMaskOfField":null,"keyOptionIdReplace":"","relatedOptionIds":[],"onlineServices":[],"childCriteriaItemList":[],"clientContextJson":""},{"keyOptionId":"1277","caption":"Switzerland","isDefault":true,"maskCriteriaOnly":false,"definition":"","keyProductQueryItem":"227199","comparisonOperation":0,"comparisonValue":"178","minimumVersion":"","maximumVersion":"","formOrder":0,"lowerBound":null,"enabled":true,"mask":"","maskKey":"","keyItemMaskOfField":null,"keyOptionIdReplace":"","relatedOptionIds":[],"onlineServices":[],"childCriteriaItemList":[],"clientContextJson":""},{"keyOptionId":"1278","caption":"United Kingdom","isDefault":true,"maskCriteriaOnly":false,"definition":"","keyProductQueryItem":"227199","comparisonOperation":0,"comparisonValue":"211","minimumVersion":"","maximumVersion":"","formOrder":0,"lowerBound":null,"enabled":true,"mask":"","maskKey":"","keyItemMaskOfField":null,"keyOptionIdReplace":"","relatedOptionIds":[],"onlineServices":[],"childCriteriaItemList":[],"clientContextJson":""},{"keyOptionId":"1276","caption":"Vatican City","isDefault":true,"maskCriteriaOnly":false,"definition":"","keyProductQueryItem":"227199","comparisonOperation":0,"comparisonValue":"205","minimumVersion":"","maximumVersion":"","formOrder":0,"lowerBound":null,"enabled":true,"mask":"","maskKey":"","keyItemMaskOfField":null,"keyOptionIdReplace":"","relatedOptionIds":[],"onlineServices":[],"childCriteriaItemList":[],"clientContextJson":""}],"clientContextJson":""},{"keyOptionId":"1279","caption":"Emerging Europe","isDefault":false,"maskCriteriaOnly":true,"definition":"","keyProductQueryItem":"","comparisonOperation":null,"comparisonValue":"","minimumVersion":"","maximumVersion":"","formOrder":0,"lowerBound":null,"enabled":true,"mask":"","maskKey":"","keyItemMaskOfField":null,"keyOptionIdReplace":"","relatedOptionIds":[],"onlineServices":[],"childCriteriaItemList":[{"keyOptionId":"1280","caption":"Åland Islands","isDefault":true,"maskCriteriaOnly":false,"definition":"","keyProductQueryItem":"227199","comparisonOperation":0,"comparisonValue":"172","minimumVersion":"","maximumVersion":"","formOrder":0,"lowerBound":null,"enabled":true,"mask":"","maskKey":"","keyItemMaskOfField":null,"keyOptionIdReplace":"","relatedOptionIds":[],"onlineServices":[],"childCriteriaItemList":[],"clientContextJson":""},{"keyOptionId":"1286","caption":"Albania","isDefault":true,"maskCriteriaOnly":false,"definition":"","keyProductQueryItem":"227199","comparisonOperation":0,"comparisonValue":"171","minimumVersion":"","maximumVersion":"","formOrder":0,"lowerBound":null,"enabled":true,"mask":"","maskKey":"","keyItemMaskOfField":null,"keyOptionIdReplace":"","relatedOptionIds":[],"onlineServices":[],"childCriteriaItemList":[],"clientContextJson":""},{"keyOptionId":"1287","caption":"Armenia","isDefault":true,"maskCriteriaOnly":false,"definition":"","keyProductQueryItem":"227199","comparisonOperation":0,"comparisonValue":"120","minimumVersion":"","maximumVersion":"","formOrder":0,"lowerBound":null,"enabled":true,"mask":</t>
  </si>
  <si>
    <t>"","maskKey":"","keyItemMaskOfField":null,"keyOptionIdReplace":"","relatedOptionIds":[],"onlineServices":[],"childCriteriaItemList":[],"clientContextJson":""},{"keyOptionId":"1281","caption":"Azerbaijan","isDefault":true,"maskCriteriaOnly":false,"definition":"","keyProductQueryItem":"227199","comparisonOperation":0,"comparisonValue":"173","minimumVersion":"","maximumVersion":"","formOrder":0,"lowerBound":null,"enabled":true,"mask":"","maskKey":"","keyItemMaskOfField":null,"keyOptionIdReplace":"","relatedOptionIds":[],"onlineServices":[],"childCriteriaItemList":[],"clientContextJson":""},{"keyOptionId":"1288","caption":"Belarus","isDefault":true,"maskCriteriaOnly":false,"definition":"","keyProductQueryItem":"227199","comparisonOperation":0,"comparisonValue":"177","minimumVersion":"","maximumVersion":"","formOrder":0,"lowerBound":null,"enabled":true,"mask":"","maskKey":"","keyItemMaskOfField":null,"keyOptionIdReplace":"","relatedOptionIds":[],"onlineServices":[],"childCriteriaItemList":[],"clientContextJson":""},{"keyOptionId":"1282","caption":"Bosnia &amp; Herzegovina","isDefault":true,"maskCriteriaOnly":false,"definition":"","keyProductQueryItem":"227199","comparisonOperation":0,"comparisonValue":"174","minimumVersion":"","maximumVersion":"","formOrder":0,"lowerBound":null,"enabled":true,"mask":"","maskKey":"","keyItemMaskOfField":null,"keyOptionIdReplace":"","relatedOptionIds":[],"onlineServices":[],"childCriteriaItemList":[],"clientContextJson":""},{"keyOptionId":"1289","caption":"Bulgaria","isDefault":true,"maskCriteriaOnly":false,"definition":"","keyProductQueryItem":"227199","comparisonOperation":0,"comparisonValue":"176","minimumVersion":"","maximumVersion":"","formOrder":0,"lowerBound":null,"enabled":true,"mask":"","maskKey":"","keyItemMaskOfField":null,"keyOptionIdReplace":"","relatedOptionIds":[],"onlineServices":[],"childCriteriaItemList":[],"clientContextJson":""},{"keyOptionId":"1290","caption":"Croatia","isDefault":true,"maskCriteriaOnly":false,"definition":"","keyProductQueryItem":"227199","comparisonOperation":0,"comparisonValue":"187","minimumVersion":"","maximumVersion":"","formOrder":0,"lowerBound":null,"enabled":true,"mask":"","maskKey":"","keyItemMaskOfField":null,"keyOptionIdReplace":"","relatedOptionIds":[],"onlineServices":[],"childCriteriaItemList":[],"clientContextJson":""},{"keyOptionId":"1291","caption":"Estonia","isDefault":true,"maskCriteriaOnly":false,"definition":"","keyProductQueryItem":"227199","comparisonOperation":0,"comparisonValue":"180","minimumVersion":"","maximumVersion":"","formOrder":0,"lowerBound":null,"enabled":true,"mask":"","maskKey":"","keyItemMaskOfField":null,"keyOptionIdReplace":"","relatedOptionIds":[],"onlineServices":[],"childCriteriaItemList":[],"clientContextJson":""},{"keyOptionId":"1283","caption":"Faroe Islands","isDefault":true,"maskCriteriaOnly":false,"definition":"","keyProductQueryItem":"227199","comparisonOperation":0,"comparisonValue":"182","minimumVersion":"","maximumVersion":"","formOrder":0,"lowerBound":null,"enabled":true,"mask":"","maskKey":"","keyItemMaskOfField":null,"keyOptionIdReplace":"","relatedOptionIds":[],"onlineServices":[],"childCriteriaItemList":[],"clientContextJson":""},{"keyOptionId":"1285","caption":"Georgia","isDefault":true,"maskCriteriaOnly":false,"definition":"","keyProductQueryItem":"227199","comparisonOperation":0,"comparisonValue":"184","minimumVersion":"","maximumVersion":"","formOrder":0,"lowerBound":null,"enabled":true,"mask":"","maskKey":"","keyItemMaskOfField":null,"keyOptionIdReplace":"","relatedOptionIds":[],"onlineServices":[],"childCriteriaItemList":[],"clientContextJson":""},{"keyOptionId":"1292","caption":"Hungary","isDefault":true,"maskCriteriaOnly":false,"definition":"","keyProductQueryItem":"227199","comparisonOperation":0,"comparisonValue":"188","minimumVersion":"","maximumVersion":"","formOrder":0,"lowerBound":null,"enabled":true,"mask":"","maskKey":"","keyItemMaskOfField":null,"keyOptionIdReplace":"","relatedOptionIds":[],"onlineServices":[],"childCriteriaItemList":[],"clientContextJson":""},{"keyOptionId":"1341","caption":"Kazakhstan","isDefault":true,"maskCriteriaOnly":false,"definition":"","keyProductQueryItem":"227199","comparisonOperation":0,"comparisonValue":"138","minimumVersion":"","maximumVersion":"","formOrder":0,"lowerBound":null,"enabled":true,"mask":"","maskKey":"","keyItemMaskOfField":null,"keyOptionIdReplace":"","relatedOptionIds":[],"onlineServices":[],"childCriteriaItemList":[],"clientContextJson":""},{"keyOptionId":"1328","caption":"Kyrgyzstan","isDefault":true,"maskCriteriaOnly":false,"definition":"","keyProductQueryItem":"227199","comparisonOperation":0,"comparisonValue":"134","minimumVersion":"","maximumVersion":"","formOrder":0,"lowerBound":null,"enabled":true,"mask":"","maskKey":"","keyItemMaskOfField":null,"keyOptionIdReplace":"","relatedOptionIds":[],"onlineServices":[],"childCriteriaItemList":[],"clientContextJson":""},{"keyOptionId":"1293","caption":"Latvia","isDefault":true,"maskCriteriaOnly":false,"definition":"","keyProductQueryItem":"227199","comparisonOperation":0,"comparisonValue":"192","minimumVersion":"","maximumVersion":"","formOrder":0,"lowerBound":null,"enabled":true,"mask":"","maskKey":"","keyItemMaskOfField":null,"keyOptionIdReplace":"","relatedOptionIds":[],"onlineServices":[],"childCriteriaItemList":[],"clientContextJson":""},{"keyOptionId":"1294","caption":"Lithuania","isDefault":true,"maskCriteriaOnly":false,"definition":"","keyProductQueryItem":"227199","comparisonOperation":0,"comparisonValue":"191","minimumVersion":"","maximumVersion":"","formOrder":0,"lowerBound":null,"enabled":true,"mask":"","maskKey":"","keyItemMaskOfField":null,"keyOptionIdReplace":"","relatedOptionIds":[],"onlineServices":[],"childCriteriaItemList":[],"clientContextJson":""},{"keyOptionId":"1284","caption":"Macedonia","isDefault":true,"maskCriteriaOnly":false,"definition":"","keyProductQueryItem":"227199","comparisonOperation":0,"comparisonValue":"194","minimumVersion":"","maximumVersion":"","formOrder":0,"lowerBound":null,"enabled":true,"mask":"","maskKey":"","keyItemMaskOfField":null,"keyOptionIdReplace":"","relatedOptionIds":[],"onlineServices":[],"childCriteriaItemList":[],"clientContextJson":""},{"keyOptionId":"1295","caption":"Moldova","isDefault":true,"maskCriteriaOnly":false,"definition":"","keyProductQueryItem":"227199","comparisonOperation":0,"comparisonValue":"193","minimumVersion":"","maximumVersion":"","formOrder":0,"lowerBound":null,"enabled":true,"mask":"","maskKey":"","keyItemMaskOfField":null,"keyOptionIdReplace":"","relatedOptionIds":[],"onlineServices":[],"childCriteriaItemList":[],"clientContextJson":""},{"keyOptionId":"1952","caption":"Montenegro","isDefault":true,"maskCriteriaOnly":false,"definition":"","keyProductQueryItem":"227199","comparisonOperation":0,"comparisonValue":"997","minimumVersion":"","maximumVersion":"","formOrder":0,"lowerBound":null,"enabled":true,"mask":"","maskKey":"","keyItemMaskOfField":null,"keyOptionIdReplace":"","relatedOptionIds":[],"onlineServices":[],"childCriteriaItemList":[],"clientContextJson":""},{"keyOptionId":"1296","caption":"Poland","isDefault":true,"maskCriteriaOnly":false,"definition":"","keyProductQueryItem":"227199","comparisonOperation":0,"comparisonValue":"217","minimumVersion":"","maximumVersion":"","formOrder":0,"lowerBound":null,"enabled":true,"mask":"","maskKey":"","keyItemMaskOfField":null,"keyOptionIdReplace":"","relatedOptionIds":[],"onlineServices":[],"childCriteriaItemList":[],"clientContextJson":""},{"keyOptionId":"1298","caption":"Romania","isDefault":true,"maskCriteriaOnly":false,"definition":"","keyProductQueryItem":"227199","comparisonOpera</t>
  </si>
  <si>
    <t>tion":0,"comparisonValue":"197","minimumVersion":"","maximumVersion":"","formOrder":0,"lowerBound":null,"enabled":true,"mask":"","maskKey":"","keyItemMaskOfField":null,"keyOptionIdReplace":"","relatedOptionIds":[],"onlineServices":[],"childCriteriaItemList":[],"clientContextJson":""},{"keyOptionId":"1299","caption":"Russia","isDefault":true,"maskCriteriaOnly":false,"definition":"","keyProductQueryItem":"227199","comparisonOperation":0,"comparisonValue":"198","minimumVersion":"","maximumVersion":"","formOrder":0,"lowerBound":null,"enabled":true,"mask":"","maskKey":"","keyItemMaskOfField":null,"keyOptionIdReplace":"","relatedOptionIds":[],"onlineServices":[],"childCriteriaItemList":[],"clientContextJson":""},{"keyOptionId":"1300","caption":"Serbia","isDefault":true,"maskCriteriaOnly":false,"definition":"","keyProductQueryItem":"227199","comparisonOperation":0,"comparisonValue":"179","minimumVersion":"","maximumVersion":"","formOrder":0,"lowerBound":null,"enabled":true,"mask":"","maskKey":"","keyItemMaskOfField":null,"keyOptionIdReplace":"","relatedOptionIds":[],"onlineServices":[],"childCriteriaItemList":[],"clientContextJson":""},{"keyOptionId":"1301","caption":"Svalbard","isDefault":true,"maskCriteriaOnly":false,"definition":"","keyProductQueryItem":"227199","comparisonOperation":0,"comparisonValue":"200","minimumVersion":"","maximumVersion":"","formOrder":0,"lowerBound":null,"enabled":true,"mask":"","maskKey":"","keyItemMaskOfField":null,"keyOptionIdReplace":"","relatedOptionIds":[],"onlineServices":[],"childCriteriaItemList":[],"clientContextJson":""},{"keyOptionId":"1346","caption":"Tajikistan","isDefault":true,"maskCriteriaOnly":false,"definition":"","keyProductQueryItem":"227199","comparisonOperation":0,"comparisonValue":"155","minimumVersion":"","maximumVersion":"","formOrder":0,"lowerBound":null,"enabled":true,"mask":"","maskKey":"","keyItemMaskOfField":null,"keyOptionIdReplace":"","relatedOptionIds":[],"onlineServices":[],"childCriteriaItemList":[],"clientContextJson":""},{"keyOptionId":"1297","caption":"Turkey","isDefault":true,"maskCriteriaOnly":false,"definition":"","keyProductQueryItem":"227199","comparisonOperation":0,"comparisonValue":"203","minimumVersion":"","maximumVersion":"","formOrder":0,"lowerBound":null,"enabled":true,"mask":"","maskKey":"","keyItemMaskOfField":null,"keyOptionIdReplace":"","relatedOptionIds":[],"onlineServices":[],"childCriteriaItemList":[],"clientContextJson":""},{"keyOptionId":"1362","caption":"Turkmenistan","isDefault":true,"maskCriteriaOnly":false,"definition":"","keyProductQueryItem":"227199","comparisonOperation":0,"comparisonValue":"156","minimumVersion":"","maximumVersion":"","formOrder":0,"lowerBound":null,"enabled":true,"mask":"","maskKey":"","keyItemMaskOfField":null,"keyOptionIdReplace":"","relatedOptionIds":[],"onlineServices":[],"childCriteriaItemList":[],"clientContextJson":""},{"keyOptionId":"1302","caption":"Ukraine","isDefault":true,"maskCriteriaOnly":false,"definition":"","keyProductQueryItem":"227199","comparisonOperation":0,"comparisonValue":"204","minimumVersion":"","maximumVersion":"","formOrder":0,"lowerBound":null,"enabled":true,"mask":"","maskKey":"","keyItemMaskOfField":null,"keyOptionIdReplace":"","relatedOptionIds":[],"onlineServices":[],"childCriteriaItemList":[],"clientContextJson":""},{"keyOptionId":"1349","caption":"Uzbekistan","isDefault":true,"maskCriteriaOnly":false,"definition":"","keyProductQueryItem":"227199","comparisonOperation":0,"comparisonValue":"158","minimumVersion":"","maximumVersion":"","formOrder":0,"lowerBound":null,"enabled":true,"mask":"","maskKey":"","keyItemMaskOfField":null,"keyOptionIdReplace":"","relatedOptionIds":[],"onlineServices":[],"childCriteriaItemList":[],"clientContextJson":""}],"clientContextJson":""}],"clientContextJson":""},{"keyOptionId":"1303","caption":"Asia-Pacific","isDefault":false,"maskCriteriaOnly":true,"definition":"","keyProductQueryItem":"","comparisonOperation":null,"comparisonValue":"","minimumVersion":"","maximumVersion":"","formOrder":0,"lowerBound":null,"enabled":true,"mask":"","maskKey":"","keyItemMaskOfField":null,"keyOptionIdReplace":"","relatedOptionIds":[],"onlineServices":[],"childCriteriaItemList":[{"keyOptionId":"1304","caption":"Developed Asia-Pacific","isDefault":false,"maskCriteriaOnly":true,"definition":"","keyProductQueryItem":"","comparisonOperation":null,"comparisonValue":"","minimumVersion":"","maximumVersion":"","formOrder":0,"lowerBound":null,"enabled":true,"mask":"","maskKey":"","keyItemMaskOfField":null,"keyOptionIdReplace":"","relatedOptionIds":[],"onlineServices":[],"childCriteriaItemList":[{"keyOptionId":"1305","caption":"Australia","isDefault":true,"maskCriteriaOnly":false,"definition":"","keyProductQueryItem":"227199","comparisonOperation":0,"comparisonValue":"239","minimumVersion":"","maximumVersion":"","formOrder":0,"lowerBound":null,"enabled":true,"mask":"","maskKey":"","keyItemMaskOfField":null,"keyOptionIdReplace":"","relatedOptionIds":[],"onlineServices":[],"childCriteriaItemList":[],"clientContextJson":""},{"keyOptionId":"1306","caption":"Hong Kong","isDefault":true,"maskCriteriaOnly":false,"definition":"","keyProductQueryItem":"227199","comparisonOperation":0,"comparisonValue":"127","minimumVersion":"","maximumVersion":"","formOrder":0,"lowerBound":null,"enabled":true,"mask":"","maskKey":"","keyItemMaskOfField":null,"keyOptionIdReplace":"","relatedOptionIds":[],"onlineServices":[],"childCriteriaItemList":[],"clientContextJson":""},{"keyOptionId":"1307","caption":"Japan","isDefault":true,"maskCriteriaOnly":false,"definition":"","keyProductQueryItem":"227199","comparisonOperation":0,"comparisonValue":"133","minimumVersion":"","maximumVersion":"","formOrder":0,"lowerBound":null,"enabled":true,"mask":"","maskKey":"","keyItemMaskOfField":null,"keyOptionIdReplace":"","relatedOptionIds":[],"onlineServices":[],"childCriteriaItemList":[],"clientContextJson":""},{"keyOptionId":"1308","caption":"New Zealand","isDefault":true,"maskCriteriaOnly":false,"definition":"","keyProductQueryItem":"227199","comparisonOperation":0,"comparisonValue":"228","minimumVersion":"","maximumVersion":"","formOrder":0,"lowerBound":null,"enabled":true,"mask":"","maskKey":"","keyItemMaskOfField":null,"keyOptionIdReplace":"","relatedOptionIds":[],"onlineServices":[],"childCriteriaItemList":[],"clientContextJson":""},{"keyOptionId":"1310","caption":"Singapore","isDefault":true,"maskCriteriaOnly":false,"definition":"","keyProductQueryItem":"227199","comparisonOperation":0,"comparisonValue":"152","minimumVersion":"","maximumVersion":"","formOrder":0,"lowerBound":null,"enabled":true,"mask":"","maskKey":"","keyItemMaskOfField":null,"keyOptionIdReplace":"","relatedOptionIds":[],"onlineServices":[],"childCriteriaItemList":[],"clientContextJson":""},{"keyOptionId":"1309","caption":"South Korea","isDefault":true,"maskCriteriaOnly":false,"definition":"","keyProductQueryItem":"227199","comparisonOperation":0,"comparisonValue":"136","minimumVersion":"","maximumVersion":"","formOrder":0,"lowerBound":null,"enabled":true,"mask":"","maskKey":"","keyItemMaskOfField":null,"keyOptionIdReplace":"","relatedOptionIds":[],"onlineServices":[],"childCriteriaItemList":[],"clientContextJson":""},{"keyOptionId":"1311","caption":"Taiwan","isDefault":true,"maskCriteriaOnly":false,"definition":"","keyProductQueryItem":"227199","comparisonOperation":0,"comparisonValue":"169","minimumVersion":"","maximumVersion":"","formOrder":0,"lowerBound":null,"enabled":true,"mask":"","maskKey":"","keyItemMaskOfField":null,"keyOptionIdReplace":"","relatedOptionIds":[],"onlineServices":[],"childCriteriaItemList":[],"clientContextJson":""}],"clientContextJson":""},{"ke</t>
  </si>
  <si>
    <t>yOptionId":"1312","caption":"Emerging Asia-Pacific","isDefault":false,"maskCriteriaOnly":true,"definition":"","keyProductQueryItem":"","comparisonOperation":null,"comparisonValue":"","minimumVersion":"","maximumVersion":"","formOrder":0,"lowerBound":null,"enabled":true,"mask":"","maskKey":"","keyItemMaskOfField":null,"keyOptionIdReplace":"","relatedOptionIds":[],"onlineServices":[],"childCriteriaItemList":[{"keyOptionId":"1361","caption":"Afghanistan","isDefault":true,"maskCriteriaOnly":false,"definition":"","keyProductQueryItem":"227199","comparisonOperation":0,"comparisonValue":"161","minimumVersion":"","maximumVersion":"","formOrder":0,"lowerBound":null,"enabled":true,"mask":"","maskKey":"","keyItemMaskOfField":null,"keyOptionIdReplace":"","relatedOptionIds":[],"onlineServices":[],"childCriteriaItemList":[],"clientContextJson":""},{"keyOptionId":"1335","caption":"Bangladesh","isDefault":true,"maskCriteriaOnly":false,"definition":"","keyProductQueryItem":"227199","comparisonOperation":0,"comparisonValue":"121","minimumVersion":"","maximumVersion":"","formOrder":0,"lowerBound":null,"enabled":true,"mask":"","maskKey":"","keyItemMaskOfField":null,"keyOptionIdReplace":"","relatedOptionIds":[],"onlineServices":[],"childCriteriaItemList":[],"clientContextJson":""},{"keyOptionId":"1324","caption":"Bhutan","isDefault":true,"maskCriteriaOnly":false,"definition":"","keyProductQueryItem":"227199","comparisonOperation":0,"comparisonValue":"123","minimumVersion":"","maximumVersion":"","formOrder":0,"lowerBound":null,"enabled":true,"mask":"","maskKey":"","keyItemMaskOfField":null,"keyOptionIdReplace":"","relatedOptionIds":[],"onlineServices":[],"childCriteriaItemList":[],"clientContextJson":""},{"keyOptionId":"1333","caption":"Brunei","isDefault":true,"maskCriteriaOnly":false,"definition":"","keyProductQueryItem":"227199","comparisonOperation":0,"comparisonValue":"122","minimumVersion":"","maximumVersion":"","formOrder":0,"lowerBound":null,"enabled":true,"mask":"","maskKey":"","keyItemMaskOfField":null,"keyOptionIdReplace":"","relatedOptionIds":[],"onlineServices":[],"childCriteriaItemList":[],"clientContextJson":""},{"keyOptionId":"1325","caption":"Cambodia","isDefault":true,"maskCriteriaOnly":false,"definition":"","keyProductQueryItem":"227199","comparisonOperation":0,"comparisonValue":"135","minimumVersion":"","maximumVersion":"","formOrder":0,"lowerBound":null,"enabled":true,"mask":"","maskKey":"","keyItemMaskOfField":null,"keyOptionIdReplace":"","relatedOptionIds":[],"onlineServices":[],"childCriteriaItemList":[],"clientContextJson":""},{"keyOptionId":"1336","caption":"China","isDefault":true,"maskCriteriaOnly":false,"definition":"","keyProductQueryItem":"227199","comparisonOperation":0,"comparisonValue":"163","minimumVersion":"","maximumVersion":"","formOrder":0,"lowerBound":null,"enabled":true,"mask":"","maskKey":"","keyItemMaskOfField":null,"keyOptionIdReplace":"","relatedOptionIds":[],"onlineServices":[],"childCriteriaItemList":[],"clientContextJson":""},{"keyOptionId":"1316","caption":"Cook Islands","isDefault":true,"maskCriteriaOnly":false,"definition":"","keyProductQueryItem":"227199","comparisonOperation":0,"comparisonValue":"220","minimumVersion":"","maximumVersion":"","formOrder":0,"lowerBound":null,"enabled":true,"mask":"","maskKey":"","keyItemMaskOfField":null,"keyOptionIdReplace":"","relatedOptionIds":[],"onlineServices":[],"childCriteriaItemList":[],"clientContextJson":""},{"keyOptionId":"1338","caption":"Fiji","isDefault":true,"maskCriteriaOnly":false,"definition":"","keyProductQueryItem":"227199","comparisonOperation":0,"comparisonValue":"221","minimumVersion":"","maximumVersion":"","formOrder":0,"lowerBound":null,"enabled":true,"mask":"","maskKey":"","keyItemMaskOfField":null,"keyOptionIdReplace":"","relatedOptionIds":[],"onlineServices":[],"childCriteriaItemList":[],"clientContextJson":""},{"keyOptionId":"1354","caption":"French Polynesia","isDefault":true,"maskCriteriaOnly":false,"definition":"","keyProductQueryItem":"227199","comparisonOperation":0,"comparisonValue":"229","minimumVersion":"","maximumVersion":"","formOrder":0,"lowerBound":null,"enabled":true,"mask":"","maskKey":"","keyItemMaskOfField":null,"keyOptionIdReplace":"","relatedOptionIds":[],"onlineServices":[],"childCriteriaItemList":[],"clientContextJson":""},{"keyOptionId":"1339","caption":"India","isDefault":true,"maskCriteriaOnly":false,"definition":"","keyProductQueryItem":"227199","comparisonOperation":0,"comparisonValue":"128","minimumVersion":"","maximumVersion":"","formOrder":0,"lowerBound":null,"enabled":true,"mask":"","maskKey":"","keyItemMaskOfField":null,"keyOptionIdReplace":"","relatedOptionIds":[],"onlineServices":[],"childCriteriaItemList":[],"clientContextJson":""},{"keyOptionId":"1340","caption":"Indonesia","isDefault":true,"maskCriteriaOnly":false,"definition":"","keyProductQueryItem":"227199","comparisonOperation":0,"comparisonValue":"164","minimumVersion":"","maximumVersion":"","formOrder":0,"lowerBound":null,"enabled":true,"mask":"","maskKey":"","keyItemMaskOfField":null,"keyOptionIdReplace":"","relatedOptionIds":[],"onlineServices":[],"childCriteriaItemList":[],"clientContextJson":""},{"keyOptionId":"1342","caption":"Kiribati","isDefault":true,"maskCriteriaOnly":false,"definition":"","keyProductQueryItem":"227199","comparisonOperation":0,"comparisonValue":"222","minimumVersion":"","maximumVersion":"","formOrder":0,"lowerBound":null,"enabled":true,"mask":"","maskKey":"","keyItemMaskOfField":null,"keyOptionIdReplace":"","relatedOptionIds":[],"onlineServices":[],"childCriteriaItemList":[],"clientContextJson":""},{"keyOptionId":"1329","caption":"Laos","isDefault":true,"maskCriteriaOnly":false,"definition":"","keyProductQueryItem":"227199","comparisonOperation":0,"comparisonValue":"139","minimumVersion":"","maximumVersion":"","formOrder":0,"lowerBound":null,"enabled":true,"mask":"","maskKey":"","keyItemMaskOfField":null,"keyOptionIdReplace":"","relatedOptionIds":[],"onlineServices":[],"childCriteriaItemList":[],"clientContextJson":""},{"keyOptionId":"1330","caption":"Macau","isDefault":true,"maskCriteriaOnly":false,"definition":"","keyProductQueryItem":"227199","comparisonOperation":0,"comparisonValue":"144","minimumVersion":"","maximumVersion":"","formOrder":0,"lowerBound":null,"enabled":true,"mask":"","maskKey":"","keyItemMaskOfField":null,"keyOptionIdReplace":"","relatedOptionIds":[],"onlineServices":[],"childCriteriaItemList":[],"clientContextJson":""},{"keyOptionId":"1331","caption":"Malaysia","isDefault":true,"maskCriteriaOnly":false,"definition":"","keyProductQueryItem":"227199","comparisonOperation":0,"comparisonValue":"146","minimumVersion":"","maximumVersion":"","formOrder":0,"lowerBound":null,"enabled":true,"mask":"","maskKey":"","keyItemMaskOfField":null,"keyOptionIdReplace":"","relatedOptionIds":[],"onlineServices":[],"childCriteriaItemList":[],"clientContextJson":""},{"keyOptionId":"1343","caption":"Maldives","isDefault":true,"maskCriteriaOnly":false,"definition":"","keyProductQueryItem":"227199","comparisonOperation":0,"comparisonValue":"145","minimumVersion":"","maximumVersion":"","formOrder":0,"lowerBound":null,"enabled":true,"mask":"","maskKey":"","keyItemMaskOfField":null,"keyOptionIdReplace":"","relatedOptionIds":[],"onlineServices":[],"childCriteriaItemList":[],"clientContextJson":""},{"keyOptionId":"1347","caption":"Marshall Islands","isDefault":true,"maskCriteriaOnly":false,"definition":"","keyProductQueryItem":"227199","comparisonOperation":0,"comparisonValue":"240","minimumVersion":"","maximumVersion":"","formOrder":0,"lowerBound":null,"enabled":true,"mask":"","maskKey":"","keyItemMaskOfField":null,"keyOptionIdReplace":"","</t>
  </si>
  <si>
    <t>relatedOptionIds":[],"onlineServices":[],"childCriteriaItemList":[],"clientContextJson":""},{"keyOptionId":"1332","caption":"Mongolia","isDefault":true,"maskCriteriaOnly":false,"definition":"","keyProductQueryItem":"227199","comparisonOperation":0,"comparisonValue":"143","minimumVersion":"","maximumVersion":"","formOrder":0,"lowerBound":null,"enabled":true,"mask":"","maskKey":"","keyItemMaskOfField":null,"keyOptionIdReplace":"","relatedOptionIds":[],"onlineServices":[],"childCriteriaItemList":[],"clientContextJson":""},{"keyOptionId":"1364","caption":"Myanmar","isDefault":true,"maskCriteriaOnly":false,"definition":"","keyProductQueryItem":"227199","comparisonOperation":0,"comparisonValue":"142","minimumVersion":"","maximumVersion":"","formOrder":0,"lowerBound":null,"enabled":true,"mask":"","maskKey":"","keyItemMaskOfField":null,"keyOptionIdReplace":"","relatedOptionIds":[],"onlineServices":[],"childCriteriaItemList":[],"clientContextJson":""},{"keyOptionId":"1344","caption":"Nauru","isDefault":true,"maskCriteriaOnly":false,"definition":"","keyProductQueryItem":"227199","comparisonOperation":0,"comparisonValue":"226","minimumVersion":"","maximumVersion":"","formOrder":0,"lowerBound":null,"enabled":true,"mask":"","maskKey":"","keyItemMaskOfField":null,"keyOptionIdReplace":"","relatedOptionIds":[],"onlineServices":[],"childCriteriaItemList":[],"clientContextJson":""},{"keyOptionId":"1320","caption":"Nepal","isDefault":true,"maskCriteriaOnly":false,"definition":"","keyProductQueryItem":"227199","comparisonOperation":0,"comparisonValue":"147","minimumVersion":"","maximumVersion":"","formOrder":0,"lowerBound":null,"enabled":true,"mask":"","maskKey":"","keyItemMaskOfField":null,"keyOptionIdReplace":"","relatedOptionIds":[],"onlineServices":[],"childCriteriaItemList":[],"clientContextJson":""},{"keyOptionId":"1356","caption":"New Caledonia","isDefault":true,"maskCriteriaOnly":false,"definition":"","keyProductQueryItem":"227199","comparisonOperation":0,"comparisonValue":"224","minimumVersion":"","maximumVersion":"","formOrder":0,"lowerBound":null,"enabled":true,"mask":"","maskKey":"","keyItemMaskOfField":null,"keyOptionIdReplace":"","relatedOptionIds":[],"onlineServices":[],"childCriteriaItemList":[],"clientContextJson":""},{"keyOptionId":"1334","caption":"Niue","isDefault":true,"maskCriteriaOnly":false,"definition":"","keyProductQueryItem":"227199","comparisonOperation":0,"comparisonValue":"227","minimumVersion":"","maximumVersion":"","formOrder":0,"lowerBound":null,"enabled":true,"mask":"","maskKey":"","keyItemMaskOfField":null,"keyOptionIdReplace":"","relatedOptionIds":[],"onlineServices":[],"childCriteriaItemList":[],"clientContextJson":""},{"keyOptionId":"1317","caption":"North Korea","isDefault":true,"maskCriteriaOnly":false,"definition":"","keyProductQueryItem":"227199","comparisonOperation":0,"comparisonValue":"166","minimumVersion":"","maximumVersion":"","formOrder":0,"lowerBound":null,"enabled":true,"mask":"","maskKey":"","keyItemMaskOfField":null,"keyOptionIdReplace":"","relatedOptionIds":[],"onlineServices":[],"childCriteriaItemList":[],"clientContextJson":""},{"keyOptionId":"1315","caption":"Northern Mariana","isDefault":true,"maskCriteriaOnly":false,"definition":"","keyProductQueryItem":"227199","comparisonOperation":0,"comparisonValue":"223","minimumVersion":"","maximumVersion":"","formOrder":0,"lowerBound":null,"enabled":true,"mask":"","maskKey":"","keyItemMaskOfField":null,"keyOptionIdReplace":"","relatedOptionIds":[],"onlineServices":[],"childCriteriaItemList":[],"clientContextJson":""},{"keyOptionId":"1323","caption":"Pakistan","isDefault":true,"maskCriteriaOnly":false,"definition":"","keyProductQueryItem":"227199","comparisonOperation":0,"comparisonValue":"149","minimumVersion":"","maximumVersion":"","formOrder":0,"lowerBound":null,"enabled":true,"mask":"","maskKey":"","keyItemMaskOfField":null,"keyOptionIdReplace":"","relatedOptionIds":[],"onlineServices":[],"childCriteriaItemList":[],"clientContextJson":""},{"keyOptionId":"1345","caption":"Palau","isDefault":true,"maskCriteriaOnly":false,"definition":"","keyProductQueryItem":"227199","comparisonOperation":0,"comparisonValue":"232","minimumVersion":"","maximumVersion":"","formOrder":0,"lowerBound":null,"enabled":true,"mask":"","maskKey":"","keyItemMaskOfField":null,"keyOptionIdReplace":"","relatedOptionIds":[],"onlineServices":[],"childCriteriaItemList":[],"clientContextJson":""},{"keyOptionId":"1321","caption":"Papua New Guinea","isDefault":true,"maskCriteriaOnly":false,"definition":"","keyProductQueryItem":"227199","comparisonOperation":0,"comparisonValue":"230","minimumVersion":"","maximumVersion":"","formOrder":0,"lowerBound":null,"enabled":true,"mask":"","maskKey":"","keyItemMaskOfField":null,"keyOptionIdReplace":"","relatedOptionIds":[],"onlineServices":[],"childCriteriaItemList":[],"clientContextJson":""},{"keyOptionId":"1348","caption":"Philippines","isDefault":true,"maskCriteriaOnly":false,"definition":"","keyProductQueryItem":"227199","comparisonOperation":0,"comparisonValue":"167","minimumVersion":"","maximumVersion":"","formOrder":0,"lowerBound":null,"enabled":true,"mask":"","maskKey":"","keyItemMaskOfField":null,"keyOptionIdReplace":"","relatedOptionIds":[],"onlineServices":[],"childCriteriaItemList":[],"clientContextJson":""},{"keyOptionId":"1322","caption":"Samoa","isDefault":true,"maskCriteriaOnly":false,"definition":"","keyProductQueryItem":"227199","comparisonOperation":0,"comparisonValue":"241","minimumVersion":"","maximumVersion":"","formOrder":0,"lowerBound":null,"enabled":true,"mask":"","maskKey":"","keyItemMaskOfField":null,"keyOptionIdReplace":"","relatedOptionIds":[],"onlineServices":[],"childCriteriaItemList":[],"clientContextJson":""},{"keyOptionId":"1352","caption":"Solomon Islands","isDefault":true,"maskCriteriaOnly":false,"definition":"","keyProductQueryItem":"227199","comparisonOperation":0,"comparisonValue":"233","minimumVersion":"","maximumVersion":"","formOrder":0,"lowerBound":null,"enabled":true,"mask":"","maskKey":"","keyItemMaskOfField":null,"keyOptionIdReplace":"","relatedOptionIds":[],"onlineServices":[],"childCriteriaItemList":[],"clientContextJson":""},{"keyOptionId":"1319","caption":"Sri Lanka","isDefault":true,"maskCriteriaOnly":false,"definition":"","keyProductQueryItem":"227199","comparisonOperation":0,"comparisonValue":"141","minimumVersion":"","maximumVersion":"","formOrder":0,"lowerBound":null,"enabled":true,"mask":"","maskKey":"","keyItemMaskOfField":null,"keyOptionIdReplace":"","relatedOptionIds":[],"onlineServices":[],"childCriteriaItemList":[],"clientContextJson":""},{"keyOptionId":"1326","caption":"Thailand","isDefault":true,"maskCriteriaOnly":false,"definition":"","keyProductQueryItem":"227199","comparisonOperation":0,"comparisonValue":"154","minimumVersion":"","maximumVersion":"","formOrder":0,"lowerBound":null,"enabled":true,"mask":"","maskKey":"","keyItemMaskOfField":null,"keyOptionIdReplace":"","relatedOptionIds":[],"onlineServices":[],"childCriteriaItemList":[],"clientContextJson":""},{"keyOptionId":"1318","caption":"Timor-Leste","isDefault":true,"maskCriteriaOnly":false,"definition":"","keyProductQueryItem":"227199","comparisonOperation":0,"comparisonValue":"157","minimumVersion":"","maximumVersion":"","formOrder":0,"lowerBound":null,"enabled":true,"mask":"","maskKey":"","keyItemMaskOfField":null,"keyOptionIdReplace":"","relatedOptionIds":[],"onlineServices":[],"childCriteriaItemList":[],"clientContextJson":""},{"keyOptionId":"1360","caption":"Tokelau","isDefault":true,"maskCriteriaOnly":false,"definition":"","keyProductQueryItem":"227199","comparisonOperation":0,"comparisonValue":"234","minimumVersion":"","maximumVer</t>
  </si>
  <si>
    <t>sion":"","formOrder":0,"lowerBound":null,"enabled":true,"mask":"","maskKey":"","keyItemMaskOfField":null,"keyOptionIdReplace":"","relatedOptionIds":[],"onlineServices":[],"childCriteriaItemList":[],"clientContextJson":""},{"keyOptionId":"1327","caption":"Tonga","isDefault":true,"maskCriteriaOnly":false,"definition":"","keyProductQueryItem":"227199","comparisonOperation":0,"comparisonValue":"235","minimumVersion":"","maximumVersion":"","formOrder":0,"lowerBound":null,"enabled":true,"mask":"","maskKey":"","keyItemMaskOfField":null,"keyOptionIdReplace":"","relatedOptionIds":[],"onlineServices":[],"childCriteriaItemList":[],"clientContextJson":""},{"keyOptionId":"1363","caption":"Tuvalu","isDefault":true,"maskCriteriaOnly":false,"definition":"","keyProductQueryItem":"227199","comparisonOperation":0,"comparisonValue":"236","minimumVersion":"","maximumVersion":"","formOrder":0,"lowerBound":null,"enabled":true,"mask":"","maskKey":"","keyItemMaskOfField":null,"keyOptionIdReplace":"","relatedOptionIds":[],"onlineServices":[],"childCriteriaItemList":[],"clientContextJson":""},{"keyOptionId":"1350","caption":"Vanuatu","isDefault":true,"maskCriteriaOnly":false,"definition":"","keyProductQueryItem":"227199","comparisonOperation":0,"comparisonValue":"237","minimumVersion":"","maximumVersion":"","formOrder":0,"lowerBound":null,"enabled":true,"mask":"","maskKey":"","keyItemMaskOfField":null,"keyOptionIdReplace":"","relatedOptionIds":[],"onlineServices":[],"childCriteriaItemList":[],"clientContextJson":""},{"keyOptionId":"1351","caption":"Vietnam","isDefault":true,"maskCriteriaOnly":false,"definition":"","keyProductQueryItem":"227199","comparisonOperation":0,"comparisonValue":"159","minimumVersion":"","maximumVersion":"","formOrder":0,"lowerBound":null,"enabled":true,"mask":"","maskKey":"","keyItemMaskOfField":null,"keyOptionIdReplace":"","relatedOptionIds":[],"onlineServices":[],"childCriteriaItemList":[],"clientContextJson":""},{"keyOptionId":"1359","caption":"Wallis &amp; Futuna","isDefault":true,"maskCriteriaOnly":false,"definition":"","keyProductQueryItem":"227199","comparisonOperation":0,"comparisonValue":"238","minimumVersion":"","maximumVersion":"","formOrder":0,"lowerBound":null,"enabled":true,"mask":"","maskKey":"","keyItemMaskOfField":null,"keyOptionIdReplace":"","relatedOptionIds":[],"onlineServices":[],"childCriteriaItemList":[],"clientContextJson":""}],"clientContextJson":""}],"clientContextJson":""},{"keyOptionId":"1365","caption":"Middle East","isDefault":false,"maskCriteriaOnly":true,"definition":"","keyProductQueryItem":"","comparisonOperation":null,"comparisonValue":"","minimumVersion":"","maximumVersion":"","formOrder":0,"lowerBound":null,"enabled":true,"mask":"","maskKey":"","keyItemMaskOfField":null,"keyOptionIdReplace":"","relatedOptionIds":[],"onlineServices":[],"childCriteriaItemList":[{"keyOptionId":"1369","caption":"Bahrain","isDefault":true,"maskCriteriaOnly":false,"definition":"","keyProductQueryItem":"227199","comparisonOperation":0,"comparisonValue":"162","minimumVersion":"","maximumVersion":"","formOrder":0,"lowerBound":null,"enabled":true,"mask":"","maskKey":"","keyItemMaskOfField":null,"keyOptionIdReplace":"","relatedOptionIds":[],"onlineServices":[],"childCriteriaItemList":[],"clientContextJson":""},{"keyOptionId":"1366","caption":"Egypt","isDefault":true,"maskCriteriaOnly":false,"definition":"","keyProductQueryItem":"227199","comparisonOperation":0,"comparisonValue":"74","minimumVersion":"","maximumVersion":"","formOrder":0,"lowerBound":null,"enabled":true,"mask":"","maskKey":"","keyItemMaskOfField":null,"keyOptionIdReplace":"","relatedOptionIds":[],"onlineServices":[],"childCriteriaItemList":[],"clientContextJson":""},{"keyOptionId":"1368","caption":"Iran","isDefault":true,"maskCriteriaOnly":false,"definition":"","keyProductQueryItem":"227199","comparisonOperation":0,"comparisonValue":"131","minimumVersion":"","maximumVersion":"","formOrder":0,"lowerBound":null,"enabled":true,"mask":"","maskKey":"","keyItemMaskOfField":null,"keyOptionIdReplace":"","relatedOptionIds":[],"onlineServices":[],"childCriteriaItemList":[],"clientContextJson":""},{"keyOptionId":"1373","caption":"Iraq","isDefault":true,"maskCriteriaOnly":false,"definition":"","keyProductQueryItem":"227199","comparisonOperation":0,"comparisonValue":"130","minimumVersion":"","maximumVersion":"","formOrder":0,"lowerBound":null,"enabled":true,"mask":"","maskKey":"","keyItemMaskOfField":null,"keyOptionIdReplace":"","relatedOptionIds":[],"onlineServices":[],"childCriteriaItemList":[],"clientContextJson":""},{"keyOptionId":"1375","caption":"Israel","isDefault":true,"maskCriteriaOnly":false,"definition":"","keyProductQueryItem":"227199","comparisonOperation":0,"comparisonValue":"165","minimumVersion":"","maximumVersion":"","formOrder":0,"lowerBound":null,"enabled":true,"mask":"","maskKey":"","keyItemMaskOfField":null,"keyOptionIdReplace":"","relatedOptionIds":[],"onlineServices":[],"childCriteriaItemList":[],"clientContextJson":""},{"keyOptionId":"1367","caption":"Jordan","isDefault":true,"maskCriteriaOnly":false,"definition":"","keyProductQueryItem":"227199","comparisonOperation":0,"comparisonValue":"132","minimumVersion":"","maximumVersion":"","formOrder":0,"lowerBound":null,"enabled":true,"mask":"","maskKey":"","keyItemMaskOfField":null,"keyOptionIdReplace":"","relatedOptionIds":[],"onlineServices":[],"childCriteriaItemList":[],"clientContextJson":""},{"keyOptionId":"1376","caption":"Kuwait","isDefault":true,"maskCriteriaOnly":false,"definition":"","keyProductQueryItem":"227199","comparisonOperation":0,"comparisonValue":"137","minimumVersion":"","maximumVersion":"","formOrder":0,"lowerBound":null,"enabled":true,"mask":"","maskKey":"","keyItemMaskOfField":null,"keyOptionIdReplace":"","relatedOptionIds":[],"onlineServices":[],"childCriteriaItemList":[],"clientContextJson":""},{"keyOptionId":"1371","caption":"Lebanon","isDefault":true,"maskCriteriaOnly":false,"definition":"","keyProductQueryItem":"227199","comparisonOperation":0,"comparisonValue":"140","minimumVersion":"","maximumVersion":"","formOrder":0,"lowerBound":null,"enabled":true,"mask":"","maskKey":"","keyItemMaskOfField":null,"keyOptionIdReplace":"","relatedOptionIds":[],"onlineServices":[],"childCriteriaItemList":[],"clientContextJson":""},{"keyOptionId":"1378","caption":"Oman","isDefault":true,"maskCriteriaOnly":false,"definition":"","keyProductQueryItem":"227199","comparisonOperation":0,"comparisonValue":"148","minimumVersion":"","maximumVersion":"","formOrder":0,"lowerBound":null,"enabled":true,"mask":"","maskKey":"","keyItemMaskOfField":null,"keyOptionIdReplace":"","relatedOptionIds":[],"onlineServices":[],"childCriteriaItemList":[],"clientContextJson":""},{"keyOptionId":"1372","caption":"Palestine","isDefault":true,"maskCriteriaOnly":false,"definition":"","keyProductQueryItem":"227199","comparisonOperation":0,"comparisonValue":"150","minimumVersion":"","maximumVersion":"","formOrder":0,"lowerBound":null,"enabled":true,"mask":"","maskKey":"","keyItemMaskOfField":null,"keyOptionIdReplace":"","relatedOptionIds":[],"onlineServices":[],"childCriteriaItemList":[],"clientContextJson":""},{"keyOptionId":"1377","caption":"Qatar","isDefault":true,"maskCriteriaOnly":false,"definition":"","keyProductQueryItem":"227199","comparisonOperation":0,"comparisonValue":"151","minimumVersion":"","maximumVersion":"","formOrder":0,"lowerBound":null,"enabled":true,"mask":"","maskKey":"","keyItemMaskOfField":null,"keyOptionIdReplace":"","relatedOptionIds":[],"onlineServices":[],"childCriteriaItemList":[],"clientContextJson":""},{"keyOptionId":"1370","caption":"Saudi Arabia","isDefault":true,"maskCriteriaOnly":false,"definition":"","</t>
  </si>
  <si>
    <t>keyProductQueryItem":"227199","comparisonOperation":0,"comparisonValue":"168","minimumVersion":"","maximumVersion":"","formOrder":0,"lowerBound":null,"enabled":true,"mask":"","maskKey":"","keyItemMaskOfField":null,"keyOptionIdReplace":"","relatedOptionIds":[],"onlineServices":[],"childCriteriaItemList":[],"clientContextJson":""},{"keyOptionId":"1379","caption":"Syria","isDefault":true,"maskCriteriaOnly":false,"definition":"","keyProductQueryItem":"227199","comparisonOperation":0,"comparisonValue":"153","minimumVersion":"","maximumVersion":"","formOrder":0,"lowerBound":null,"enabled":true,"mask":"","maskKey":"","keyItemMaskOfField":null,"keyOptionIdReplace":"","relatedOptionIds":[],"onlineServices":[],"childCriteriaItemList":[],"clientContextJson":""},{"keyOptionId":"1380","caption":"United Arab Emirates","isDefault":true,"maskCriteriaOnly":false,"definition":"","keyProductQueryItem":"227199","comparisonOperation":0,"comparisonValue":"119","minimumVersion":"","maximumVersion":"","formOrder":0,"lowerBound":null,"enabled":true,"mask":"","maskKey":"","keyItemMaskOfField":null,"keyOptionIdReplace":"","relatedOptionIds":[],"onlineServices":[],"childCriteriaItemList":[],"clientContextJson":""},{"keyOptionId":"1374","caption":"Yemen","isDefault":true,"maskCriteriaOnly":false,"definition":"","keyProductQueryItem":"227199","comparisonOperation":0,"comparisonValue":"160","minimumVersion":"","maximumVersion":"","formOrder":0,"lowerBound":null,"enabled":true,"mask":"","maskKey":"","keyItemMaskOfField":null,"keyOptionIdReplace":"","relatedOptionIds":[],"onlineServices":[],"childCriteriaItemList":[],"clientContextJson":""}],"clientContextJson":""},{"keyOptionId":"1381","caption":"Latin America and Caribbean","isDefault":false,"maskCriteriaOnly":true,"definition":"","keyProductQueryItem":"","comparisonOperation":null,"comparisonValue":"","minimumVersion":"","maximumVersion":"","formOrder":0,"lowerBound":null,"enabled":true,"mask":"","maskKey":"","keyItemMaskOfField":null,"keyOptionIdReplace":"","relatedOptionIds":[],"onlineServices":[],"childCriteriaItemList":[{"keyOptionId":"1382","caption":"Anguilla","isDefault":true,"maskCriteriaOnly":false,"definition":"","keyProductQueryItem":"227199","comparisonOperation":0,"comparisonValue":"9","minimumVersion":"","maximumVersion":"","formOrder":0,"lowerBound":null,"enabled":true,"mask":"","maskKey":"","keyItemMaskOfField":null,"keyOptionIdReplace":"","relatedOptionIds":[],"onlineServices":[],"childCriteriaItemList":[],"clientContextJson":""},{"keyOptionId":"1383","caption":"Antigua and Barbuda","isDefault":true,"maskCriteriaOnly":false,"definition":"","keyProductQueryItem":"227199","comparisonOperation":0,"comparisonValue":"8","minimumVersion":"","maximumVersion":"","formOrder":0,"lowerBound":null,"enabled":true,"mask":"","maskKey":"","keyItemMaskOfField":null,"keyOptionIdReplace":"","relatedOptionIds":[],"onlineServices":[],"childCriteriaItemList":[],"clientContextJson":""},{"keyOptionId":"1384","caption":"Argentina","isDefault":true,"maskCriteriaOnly":false,"definition":"","keyProductQueryItem":"227199","comparisonOperation":0,"comparisonValue":"52","minimumVersion":"","maximumVersion":"","formOrder":0,"lowerBound":null,"enabled":true,"mask":"","maskKey":"","keyItemMaskOfField":null,"keyOptionIdReplace":"","relatedOptionIds":[],"onlineServices":[],"childCriteriaItemList":[],"clientContextJson":""},{"keyOptionId":"1385","caption":"Aruba","isDefault":true,"maskCriteriaOnly":false,"definition":"","keyProductQueryItem":"227199","comparisonOperation":0,"comparisonValue":"10","minimumVersion":"","maximumVersion":"","formOrder":0,"lowerBound":null,"enabled":true,"mask":"","maskKey":"","keyItemMaskOfField":null,"keyOptionIdReplace":"","relatedOptionIds":[],"onlineServices":[],"childCriteriaItemList":[],"clientContextJson":""},{"keyOptionId":"1392","caption":"Bahamas","isDefault":true,"maskCriteriaOnly":false,"definition":"","keyProductQueryItem":"227199","comparisonOperation":0,"comparisonValue":"37","minimumVersion":"","maximumVersion":"","formOrder":0,"lowerBound":null,"enabled":true,"mask":"","maskKey":"","keyItemMaskOfField":null,"keyOptionIdReplace":"","relatedOptionIds":[],"onlineServices":[],"childCriteriaItemList":[],"clientContextJson":""},{"keyOptionId":"1386","caption":"Barbados","isDefault":true,"maskCriteriaOnly":false,"definition":"","keyProductQueryItem":"227199","comparisonOperation":0,"comparisonValue":"11","minimumVersion":"","maximumVersion":"","formOrder":0,"lowerBound":null,"enabled":true,"mask":"","maskKey":"","keyItemMaskOfField":null,"keyOptionIdReplace":"","relatedOptionIds":[],"onlineServices":[],"childCriteriaItemList":[],"clientContextJson":""},{"keyOptionId":"1387","caption":"Belize","isDefault":true,"maskCriteriaOnly":false,"definition":"","keyProductQueryItem":"227199","comparisonOperation":0,"comparisonValue":"13","minimumVersion":"","maximumVersion":"","formOrder":0,"lowerBound":null,"enabled":true,"mask":"","maskKey":"","keyItemMaskOfField":null,"keyOptionIdReplace":"","relatedOptionIds":[],"onlineServices":[],"childCriteriaItemList":[],"clientContextJson":""},{"keyOptionId":"1406","caption":"Bolivia","isDefault":true,"maskCriteriaOnly":false,"definition":"","keyProductQueryItem":"227199","comparisonOperation":0,"comparisonValue":"43","minimumVersion":"","maximumVersion":"","formOrder":0,"lowerBound":null,"enabled":true,"mask":"","maskKey":"","keyItemMaskOfField":null,"keyOptionIdReplace":"","relatedOptionIds":[],"onlineServices":[],"childCriteriaItemList":[],"clientContextJson":""},{"keyOptionId":"3214","caption":"Bonaire","isDefault":true,"maskCriteriaOnly":false,"definition":"","keyProductQueryItem":"227199","comparisonOperation":0,"comparisonValue":"1119","minimumVersion":"","maximumVersion":"","formOrder":0,"lowerBound":null,"enabled":true,"mask":"","maskKey":"","keyItemMaskOfField":null,"keyOptionIdReplace":"","relatedOptionIds":[],"onlineServices":[],"childCriteriaItemList":[],"clientContextJson":""},{"keyOptionId":"1400","caption":"Brazil","isDefault":true,"maskCriteriaOnly":false,"definition":"","keyProductQueryItem":"227199","comparisonOperation":0,"comparisonValue":"53","minimumVersion":"","maximumVersion":"","formOrder":0,"lowerBound":null,"enabled":true,"mask":"","maskKey":"","keyItemMaskOfField":null,"keyOptionIdReplace":"","relatedOptionIds":[],"onlineServices":[],"childCriteriaItemList":[],"clientContextJson":""},{"keyOptionId":"1389","caption":"BVI","isDefault":true,"maskCriteriaOnly":false,"definition":"","keyProductQueryItem":"227199","comparisonOperation":0,"comparisonValue":"35","minimumVersion":"","maximumVersion":"","formOrder":0,"lowerBound":null,"enabled":true,"mask":"","maskKey":"","keyItemMaskOfField":null,"keyOptionIdReplace":"","relatedOptionIds":[],"onlineServices":[],"childCriteriaItemList":[],"clientContextJson":""},{"keyOptionId":"1390","caption":"Cayman Islands","isDefault":true,"maskCriteriaOnly":false,"definition":"","keyProductQueryItem":"227199","comparisonOperation":0,"comparisonValue":"41","minimumVersion":"","maximumVersion":"","formOrder":0,"lowerBound":null,"enabled":true,"mask":"","maskKey":"","keyItemMaskOfField":null,"keyOptionIdReplace":"","relatedOptionIds":[],"onlineServices":[],"childCriteriaItemList":[],"clientContextJson":""},{"keyOptionId":"1407","caption":"Chile","isDefault":true,"maskCriteriaOnly":false,"definition":"","keyProductQueryItem":"227199","comparisonOperation":0,"comparisonValue":"54","minimumVersion":"","maximumVersion":"","formOrder":0,"lowerBound":null,"enabled":true,"mask":"","maskKey":"","keyItemMaskOfField":null,"keyOptionIdReplace":"","relatedOptionIds":[],"onlineServices":[],"childCriteriaItemList":[],"clientCont</t>
  </si>
  <si>
    <t>extJson":""},{"keyOptionId":"1426","caption":"Cocos Islands","isDefault":true,"maskCriteriaOnly":false,"definition":"","keyProductQueryItem":"227199","comparisonOperation":0,"comparisonValue":"124","minimumVersion":"","maximumVersion":"","formOrder":0,"lowerBound":null,"enabled":true,"mask":"","maskKey":"","keyItemMaskOfField":null,"keyOptionIdReplace":"","relatedOptionIds":[],"onlineServices":[],"childCriteriaItemList":[],"clientContextJson":""},{"keyOptionId":"1408","caption":"Colombia","isDefault":true,"maskCriteriaOnly":false,"definition":"","keyProductQueryItem":"227199","comparisonOperation":0,"comparisonValue":"44","minimumVersion":"","maximumVersion":"","formOrder":0,"lowerBound":null,"enabled":true,"mask":"","maskKey":"","keyItemMaskOfField":null,"keyOptionIdReplace":"","relatedOptionIds":[],"onlineServices":[],"childCriteriaItemList":[],"clientContextJson":""},{"keyOptionId":"1409","caption":"Costa Rica","isDefault":true,"maskCriteriaOnly":false,"definition":"","keyProductQueryItem":"227199","comparisonOperation":0,"comparisonValue":"14","minimumVersion":"","maximumVersion":"","formOrder":0,"lowerBound":null,"enabled":true,"mask":"","maskKey":"","keyItemMaskOfField":null,"keyOptionIdReplace":"","relatedOptionIds":[],"onlineServices":[],"childCriteriaItemList":[],"clientContextJson":""},{"keyOptionId":"1410","caption":"Cuba","isDefault":true,"maskCriteriaOnly":false,"definition":"","keyProductQueryItem":"227199","comparisonOperation":0,"comparisonValue":"15","minimumVersion":"","maximumVersion":"","formOrder":0,"lowerBound":null,"enabled":true,"mask":"","maskKey":"","keyItemMaskOfField":null,"keyOptionIdReplace":"","relatedOptionIds":[],"onlineServices":[],"childCriteriaItemList":[],"clientContextJson":""},{"keyOptionId":"3213","caption":"Curaçao","isDefault":true,"maskCriteriaOnly":false,"definition":"","keyProductQueryItem":"227199","comparisonOperation":0,"comparisonValue":"1118","minimumVersion":"","maximumVersion":"","formOrder":0,"lowerBound":null,"enabled":true,"mask":"","maskKey":"","keyItemMaskOfField":null,"keyOptionIdReplace":"","relatedOptionIds":[],"onlineServices":[],"childCriteriaItemList":[],"clientContextJson":""},{"keyOptionId":"1391","caption":"Dominica","isDefault":true,"maskCriteriaOnly":false,"definition":"","keyProductQueryItem":"227199","comparisonOperation":0,"comparisonValue":"16","minimumVersion":"","maximumVersion":"","formOrder":0,"lowerBound":null,"enabled":true,"mask":"","maskKey":"","keyItemMaskOfField":null,"keyOptionIdReplace":"","relatedOptionIds":[],"onlineServices":[],"childCriteriaItemList":[],"clientContextJson":""},{"keyOptionId":"1397","caption":"Dominican Republic","isDefault":true,"maskCriteriaOnly":false,"definition":"","keyProductQueryItem":"227199","comparisonOperation":0,"comparisonValue":"17","minimumVersion":"","maximumVersion":"","formOrder":0,"lowerBound":null,"enabled":true,"mask":"","maskKey":"","keyItemMaskOfField":null,"keyOptionIdReplace":"","relatedOptionIds":[],"onlineServices":[],"childCriteriaItemList":[],"clientContextJson":""},{"keyOptionId":"1411","caption":"Ecuador","isDefault":true,"maskCriteriaOnly":false,"definition":"","keyProductQueryItem":"227199","comparisonOperation":0,"comparisonValue":"55","minimumVersion":"","maximumVersion":"","formOrder":0,"lowerBound":null,"enabled":true,"mask":"","maskKey":"","keyItemMaskOfField":null,"keyOptionIdReplace":"","relatedOptionIds":[],"onlineServices":[],"childCriteriaItemList":[],"clientContextJson":""},{"keyOptionId":"1412","caption":"El Salvador","isDefault":true,"maskCriteriaOnly":false,"definition":"","keyProductQueryItem":"227199","comparisonOperation":0,"comparisonValue":"42","minimumVersion":"","maximumVersion":"","formOrder":0,"lowerBound":null,"enabled":true,"mask":"","maskKey":"","keyItemMaskOfField":null,"keyOptionIdReplace":"","relatedOptionIds":[],"onlineServices":[],"childCriteriaItemList":[],"clientContextJson":""},{"keyOptionId":"1398","caption":"Falkland Islands","isDefault":true,"maskCriteriaOnly":false,"definition":"","keyProductQueryItem":"227199","comparisonOperation":0,"comparisonValue":"45","minimumVersion":"","maximumVersion":"","formOrder":0,"lowerBound":null,"enabled":true,"mask":"","maskKey":"","keyItemMaskOfField":null,"keyOptionIdReplace":"","relatedOptionIds":[],"onlineServices":[],"childCriteriaItemList":[],"clientContextJson":""},{"keyOptionId":"1395","caption":"French Guiana","isDefault":true,"maskCriteriaOnly":false,"definition":"","keyProductQueryItem":"227199","comparisonOperation":0,"comparisonValue":"46","minimumVersion":"","maximumVersion":"","formOrder":0,"lowerBound":null,"enabled":true,"mask":"","maskKey":"","keyItemMaskOfField":null,"keyOptionIdReplace":"","relatedOptionIds":[],"onlineServices":[],"childCriteriaItemList":[],"clientContextJson":""},{"keyOptionId":"1401","caption":"Grenada","isDefault":true,"maskCriteriaOnly":false,"definition":"","keyProductQueryItem":"227199","comparisonOperation":0,"comparisonValue":"18","minimumVersion":"","maximumVersion":"","formOrder":0,"lowerBound":null,"enabled":true,"mask":"","maskKey":"","keyItemMaskOfField":null,"keyOptionIdReplace":"","relatedOptionIds":[],"onlineServices":[],"childCriteriaItemList":[],"clientContextJson":""},{"keyOptionId":"1394","caption":"Guadeloupe","isDefault":true,"maskCriteriaOnly":false,"definition":"","keyProductQueryItem":"227199","comparisonOperation":0,"comparisonValue":"20","minimumVersion":"","maximumVersion":"","formOrder":0,"lowerBound":null,"enabled":true,"mask":"","maskKey":"","keyItemMaskOfField":null,"keyOptionIdReplace":"","relatedOptionIds":[],"onlineServices":[],"childCriteriaItemList":[],"clientContextJson":""},{"keyOptionId":"1413","caption":"Guatemala","isDefault":true,"maskCriteriaOnly":false,"definition":"","keyProductQueryItem":"227199","comparisonOperation":0,"comparisonValue":"39","minimumVersion":"","maximumVersion":"","formOrder":0,"lowerBound":null,"enabled":true,"mask":"","maskKey":"","keyItemMaskOfField":null,"keyOptionIdReplace":"","relatedOptionIds":[],"onlineServices":[],"childCriteriaItemList":[],"clientContextJson":""},{"keyOptionId":"1393","caption":"Guyana","isDefault":true,"maskCriteriaOnly":false,"definition":"","keyProductQueryItem":"227199","comparisonOperation":0,"comparisonValue":"47","minimumVersion":"","maximumVersion":"","formOrder":0,"lowerBound":null,"enabled":true,"mask":"","maskKey":"","keyItemMaskOfField":null,"keyOptionIdReplace":"","relatedOptionIds":[],"onlineServices":[],"childCriteriaItemList":[],"clientContextJson":""},{"keyOptionId":"1414","caption":"Haiti","isDefault":true,"maskCriteriaOnly":false,"definition":"","keyProductQueryItem":"227199","comparisonOperation":0,"comparisonValue":"22","minimumVersion":"","maximumVersion":"","formOrder":0,"lowerBound":null,"enabled":true,"mask":"","maskKey":"","keyItemMaskOfField":null,"keyOptionIdReplace":"","relatedOptionIds":[],"onlineServices":[],"childCriteriaItemList":[],"clientContextJson":""},{"keyOptionId":"1415","caption":"Honduras","isDefault":true,"maskCriteriaOnly":false,"definition":"","keyProductQueryItem":"227199","comparisonOperation":0,"comparisonValue":"21","minimumVersion":"","maximumVersion":"","formOrder":0,"lowerBound":null,"enabled":true,"mask":"","maskKey":"","keyItemMaskOfField":null,"keyOptionIdReplace":"","relatedOptionIds":[],"onlineServices":[],"childCriteriaItemList":[],"clientContextJson":""},{"keyOptionId":"1402","caption":"Jamaica","isDefault":true,"maskCriteriaOnly":false,"definition":"","keyProductQueryItem":"227199","comparisonOperation":0,"comparisonValue":"23","minimumVersion":"","maximumVersion":"","formOrder":0,"lowerBound":null,"enabled":true,"mask":"","maskKey":"","keyItemMask</t>
  </si>
  <si>
    <t>OfField":null,"keyOptionIdReplace":"","relatedOptionIds":[],"onlineServices":[],"childCriteriaItemList":[],"clientContextJson":""},{"keyOptionId":"1396","caption":"Martinique","isDefault":true,"maskCriteriaOnly":false,"definition":"","keyProductQueryItem":"227199","comparisonOperation":0,"comparisonValue":"25","minimumVersion":"","maximumVersion":"","formOrder":0,"lowerBound":null,"enabled":true,"mask":"","maskKey":"","keyItemMaskOfField":null,"keyOptionIdReplace":"","relatedOptionIds":[],"onlineServices":[],"childCriteriaItemList":[],"clientContextJson":""},{"keyOptionId":"1428","caption":"Mexico","isDefault":true,"maskCriteriaOnly":false,"definition":"","keyProductQueryItem":"227199","comparisonOperation":0,"comparisonValue":"27","minimumVersion":"","maximumVersion":"","formOrder":0,"lowerBound":null,"enabled":true,"mask":"","maskKey":"","keyItemMaskOfField":null,"keyOptionIdReplace":"","relatedOptionIds":[],"onlineServices":[],"childCriteriaItemList":[],"clientContextJson":""},{"keyOptionId":"1403","caption":"Montserrat","isDefault":true,"maskCriteriaOnly":false,"definition":"","keyProductQueryItem":"227199","comparisonOperation":0,"comparisonValue":"26","minimumVersion":"","maximumVersion":"","formOrder":0,"lowerBound":null,"enabled":true,"mask":"","maskKey":"","keyItemMaskOfField":null,"keyOptionIdReplace":"","relatedOptionIds":[],"onlineServices":[],"childCriteriaItemList":[],"clientContextJson":""},{"keyOptionId":"1416","caption":"Nicaragua","isDefault":true,"maskCriteriaOnly":false,"definition":"","keyProductQueryItem":"227199","comparisonOperation":0,"comparisonValue":"28","minimumVersion":"","maximumVersion":"","formOrder":0,"lowerBound":null,"enabled":true,"mask":"","maskKey":"","keyItemMaskOfField":null,"keyOptionIdReplace":"","relatedOptionIds":[],"onlineServices":[],"childCriteriaItemList":[],"clientContextJson":""},{"keyOptionId":"1417","caption":"Panama","isDefault":true,"maskCriteriaOnly":false,"definition":"","keyProductQueryItem":"227199","comparisonOperation":0,"comparisonValue":"29","minimumVersion":"","maximumVersion":"","formOrder":0,"lowerBound":null,"enabled":true,"mask":"","maskKey":"","keyItemMaskOfField":null,"keyOptionIdReplace":"","relatedOptionIds":[],"onlineServices":[],"childCriteriaItemList":[],"clientContextJson":""},{"keyOptionId":"1418","caption":"Paraguay","isDefault":true,"maskCriteriaOnly":false,"definition":"","keyProductQueryItem":"227199","comparisonOperation":0,"comparisonValue":"49","minimumVersion":"","maximumVersion":"","formOrder":0,"lowerBound":null,"enabled":true,"mask":"","maskKey":"","keyItemMaskOfField":null,"keyOptionIdReplace":"","relatedOptionIds":[],"onlineServices":[],"childCriteriaItemList":[],"clientContextJson":""},{"keyOptionId":"1419","caption":"Peru","isDefault":true,"maskCriteriaOnly":false,"definition":"","keyProductQueryItem":"227199","comparisonOperation":0,"comparisonValue":"48","minimumVersion":"","maximumVersion":"","formOrder":0,"lowerBound":null,"enabled":true,"mask":"","maskKey":"","keyItemMaskOfField":null,"keyOptionIdReplace":"","relatedOptionIds":[],"onlineServices":[],"childCriteriaItemList":[],"clientContextJson":""},{"keyOptionId":"1422","caption":"Saint Lucia","isDefault":true,"maskCriteriaOnly":false,"definition":"","keyProductQueryItem":"227199","comparisonOperation":0,"comparisonValue":"24","minimumVersion":"","maximumVersion":"","formOrder":0,"lowerBound":null,"enabled":true,"mask":"","maskKey":"","keyItemMaskOfField":null,"keyOptionIdReplace":"","relatedOptionIds":[],"onlineServices":[],"childCriteriaItemList":[],"clientContextJson":""},{"keyOptionId":"1423","caption":"Saint Vincent","isDefault":true,"maskCriteriaOnly":false,"definition":"","keyProductQueryItem":"227199","comparisonOperation":0,"comparisonValue":"34","minimumVersion":"","maximumVersion":"","formOrder":0,"lowerBound":null,"enabled":true,"mask":"","maskKey":"","keyItemMaskOfField":null,"keyOptionIdReplace":"","relatedOptionIds":[],"onlineServices":[],"childCriteriaItemList":[],"clientContextJson":""},{"keyOptionId":"3212","caption":"Sint Maarten","isDefault":true,"maskCriteriaOnly":false,"definition":"","keyProductQueryItem":"227199","comparisonOperation":0,"comparisonValue":"1117","minimumVersion":"","maximumVersion":"","formOrder":0,"lowerBound":null,"enabled":true,"mask":"","maskKey":"","keyItemMaskOfField":null,"keyOptionIdReplace":"","relatedOptionIds":[],"onlineServices":[],"childCriteriaItemList":[],"clientContextJson":""},{"keyOptionId":"1424","caption":"South Georgia","isDefault":true,"maskCriteriaOnly":false,"definition":"","keyProductQueryItem":"227199","comparisonOperation":0,"comparisonValue":"59","minimumVersion":"","maximumVersion":"","formOrder":0,"lowerBound":null,"enabled":true,"mask":"","maskKey":"","keyItemMaskOfField":null,"keyOptionIdReplace":"","relatedOptionIds":[],"onlineServices":[],"childCriteriaItemList":[],"clientContextJson":""},{"keyOptionId":"1399","caption":"St. Kitts and Nevis","isDefault":true,"maskCriteriaOnly":false,"definition":"","keyProductQueryItem":"227199","comparisonOperation":0,"comparisonValue":"40","minimumVersion":"","maximumVersion":"","formOrder":0,"lowerBound":null,"enabled":true,"mask":"","maskKey":"","keyItemMaskOfField":null,"keyOptionIdReplace":"","relatedOptionIds":[],"onlineServices":[],"childCriteriaItemList":[],"clientContextJson":""},{"keyOptionId":"1425","caption":"St. Pierre, Miquelon","isDefault":true,"maskCriteriaOnly":false,"definition":"","keyProductQueryItem":"227199","comparisonOperation":0,"comparisonValue":"30","minimumVersion":"","maximumVersion":"","formOrder":0,"lowerBound":null,"enabled":true,"mask":"","maskKey":"","keyItemMaskOfField":null,"keyOptionIdReplace":"","relatedOptionIds":[],"onlineServices":[],"childCriteriaItemList":[],"clientContextJson":""},{"keyOptionId":"1420","caption":"Suriname","isDefault":true,"maskCriteriaOnly":false,"definition":"","keyProductQueryItem":"227199","comparisonOperation":0,"comparisonValue":"50","minimumVersion":"","maximumVersion":"","formOrder":0,"lowerBound":null,"enabled":true,"mask":"","maskKey":"","keyItemMaskOfField":null,"keyOptionIdReplace":"","relatedOptionIds":[],"onlineServices":[],"childCriteriaItemList":[],"clientContextJson":""},{"keyOptionId":"1421","caption":"Trinidad and Tobago","isDefault":true,"maskCriteriaOnly":false,"definition":"","keyProductQueryItem":"227199","comparisonOperation":0,"comparisonValue":"32","minimumVersion":"","maximumVersion":"","formOrder":0,"lowerBound":null,"enabled":true,"mask":"","maskKey":"","keyItemMaskOfField":null,"keyOptionIdReplace":"","relatedOptionIds":[],"onlineServices":[],"childCriteriaItemList":[],"clientContextJson":""},{"keyOptionId":"1427","caption":"Turks &amp; Caicos","isDefault":true,"maskCriteriaOnly":false,"definition":"","keyProductQueryItem":"227199","comparisonOperation":0,"comparisonValue":"31","minimumVersion":"","maximumVersion":"","formOrder":0,"lowerBound":null,"enabled":true,"mask":"","maskKey":"","keyItemMaskOfField":null,"keyOptionIdReplace":"","relatedOptionIds":[],"onlineServices":[],"childCriteriaItemList":[],"clientContextJson":""},{"keyOptionId":"1405","caption":"Uruguay","isDefault":true,"maskCriteriaOnly":false,"definition":"","keyProductQueryItem":"227199","comparisonOperation":0,"comparisonValue":"51","minimumVersion":"","maximumVersion":"","formOrder":0,"lowerBound":null,"enabled":true,"mask":"","maskKey":"","keyItemMaskOfField":null,"keyOptionIdReplace":"","relatedOptionIds":[],"onlineServices":[],"childCriteriaItemList":[],"clientContextJson":""},{"keyOptionId":"1388","caption":"Venezuela","isDefault":true,"maskCriteriaOnly":false,"definition":"","keyProductQueryItem":"227199","comparisonOperation"</t>
  </si>
  <si>
    <t>:0,"comparisonValue":"56","minimumVersion":"","maximumVersion":"","formOrder":0,"lowerBound":null,"enabled":true,"mask":"","maskKey":"","keyItemMaskOfField":null,"keyOptionIdReplace":"","relatedOptionIds":[],"onlineServices":[],"childCriteriaItemList":[],"clientContextJson":""}],"clientContextJson":""},{"keyOptionId":"1429","caption":"Africa","isDefault":false,"maskCriteriaOnly":true,"definition":"","keyProductQueryItem":"","comparisonOperation":null,"comparisonValue":"","minimumVersion":"","maximumVersion":"","formOrder":0,"lowerBound":null,"enabled":true,"mask":"","maskKey":"","keyItemMaskOfField":null,"keyOptionIdReplace":"","relatedOptionIds":[],"onlineServices":[],"childCriteriaItemList":[{"keyOptionId":"1434","caption":"Algeria","isDefault":true,"maskCriteriaOnly":false,"definition":"","keyProductQueryItem":"227199","comparisonOperation":0,"comparisonValue":"73","minimumVersion":"","maximumVersion":"","formOrder":0,"lowerBound":null,"enabled":true,"mask":"","maskKey":"","keyItemMaskOfField":null,"keyOptionIdReplace":"","relatedOptionIds":[],"onlineServices":[],"childCriteriaItemList":[],"clientContextJson":""},{"keyOptionId":"1444","caption":"Angola","isDefault":true,"maskCriteriaOnly":false,"definition":"","keyProductQueryItem":"227199","comparisonOperation":0,"comparisonValue":"62","minimumVersion":"","maximumVersion":"","formOrder":0,"lowerBound":null,"enabled":true,"mask":"","maskKey":"","keyItemMaskOfField":null,"keyOptionIdReplace":"","relatedOptionIds":[],"onlineServices":[],"childCriteriaItemList":[],"clientContextJson":""},{"keyOptionId":"1445","caption":"Benin","isDefault":true,"maskCriteriaOnly":false,"definition":"","keyProductQueryItem":"227199","comparisonOperation":0,"comparisonValue":"65","minimumVersion":"","maximumVersion":"","formOrder":0,"lowerBound":null,"enabled":true,"mask":"","maskKey":"","keyItemMaskOfField":null,"keyOptionIdReplace":"","relatedOptionIds":[],"onlineServices":[],"childCriteriaItemList":[],"clientContextJson":""},{"keyOptionId":"1446","caption":"Botswana","isDefault":true,"maskCriteriaOnly":false,"definition":"","keyProductQueryItem":"227199","comparisonOperation":0,"comparisonValue":"66","minimumVersion":"","maximumVersion":"","formOrder":0,"lowerBound":null,"enabled":true,"mask":"","maskKey":"","keyItemMaskOfField":null,"keyOptionIdReplace":"","relatedOptionIds":[],"onlineServices":[],"childCriteriaItemList":[],"clientContextJson":""},{"keyOptionId":"1430","caption":"Bouvet Island","isDefault":true,"maskCriteriaOnly":false,"definition":"","keyProductQueryItem":"227199","comparisonOperation":0,"comparisonValue":"58","minimumVersion":"","maximumVersion":"","formOrder":0,"lowerBound":null,"enabled":true,"mask":"","maskKey":"","keyItemMaskOfField":null,"keyOptionIdReplace":"","relatedOptionIds":[],"onlineServices":[],"childCriteriaItemList":[],"clientContextJson":""},{"keyOptionId":"1431","caption":"Burkina Faso","isDefault":true,"maskCriteriaOnly":false,"definition":"","keyProductQueryItem":"227199","comparisonOperation":0,"comparisonValue":"63","minimumVersion":"","maximumVersion":"","formOrder":0,"lowerBound":null,"enabled":true,"mask":"","maskKey":"","keyItemMaskOfField":null,"keyOptionIdReplace":"","relatedOptionIds":[],"onlineServices":[],"childCriteriaItemList":[],"clientContextJson":""},{"keyOptionId":"1447","caption":"Burundi","isDefault":true,"maskCriteriaOnly":false,"definition":"","keyProductQueryItem":"227199","comparisonOperation":0,"comparisonValue":"64","minimumVersion":"","maximumVersion":"","formOrder":0,"lowerBound":null,"enabled":true,"mask":"","maskKey":"","keyItemMaskOfField":null,"keyOptionIdReplace":"","relatedOptionIds":[],"onlineServices":[],"childCriteriaItemList":[],"clientContextJson":""},{"keyOptionId":"1448","caption":"Cameroon","isDefault":true,"maskCriteriaOnly":false,"definition":"","keyProductQueryItem":"227199","comparisonOperation":0,"comparisonValue":"70","minimumVersion":"","maximumVersion":"","formOrder":0,"lowerBound":null,"enabled":true,"mask":"","maskKey":"","keyItemMaskOfField":null,"keyOptionIdReplace":"","relatedOptionIds":[],"onlineServices":[],"childCriteriaItemList":[],"clientContextJson":""},{"keyOptionId":"1449","caption":"Cape Verde","isDefault":true,"maskCriteriaOnly":false,"definition":"","keyProductQueryItem":"227199","comparisonOperation":0,"comparisonValue":"71","minimumVersion":"","maximumVersion":"","formOrder":0,"lowerBound":null,"enabled":true,"mask":"","maskKey":"","keyItemMaskOfField":null,"keyOptionIdReplace":"","relatedOptionIds":[],"onlineServices":[],"childCriteriaItemList":[],"clientContextJson":""},{"keyOptionId":"1432","caption":"Central African Rep.","isDefault":true,"maskCriteriaOnly":false,"definition":"","keyProductQueryItem":"227199","comparisonOperation":0,"comparisonValue":"67","minimumVersion":"","maximumVersion":"","formOrder":0,"lowerBound":null,"enabled":true,"mask":"","maskKey":"","keyItemMaskOfField":null,"keyOptionIdReplace":"","relatedOptionIds":[],"onlineServices":[],"childCriteriaItemList":[],"clientContextJson":""},{"keyOptionId":"1450","caption":"Chad","isDefault":true,"maskCriteriaOnly":false,"definition":"","keyProductQueryItem":"227199","comparisonOperation":0,"comparisonValue":"108","minimumVersion":"","maximumVersion":"","formOrder":0,"lowerBound":null,"enabled":true,"mask":"","maskKey":"","keyItemMaskOfField":null,"keyOptionIdReplace":"","relatedOptionIds":[],"onlineServices":[],"childCriteriaItemList":[],"clientContextJson":""},{"keyOptionId":"1484","caption":"Comoros","isDefault":true,"maskCriteriaOnly":false,"definition":"","keyProductQueryItem":"227199","comparisonOperation":0,"comparisonValue":"117","minimumVersion":"","maximumVersion":"","formOrder":0,"lowerBound":null,"enabled":true,"mask":"","maskKey":"","keyItemMaskOfField":null,"keyOptionIdReplace":"","relatedOptionIds":[],"onlineServices":[],"childCriteriaItemList":[],"clientContextJson":""},{"keyOptionId":"1451","caption":"Cote d'Ivoire","isDefault":true,"maskCriteriaOnly":false,"definition":"","keyProductQueryItem":"227199","comparisonOperation":0,"comparisonValue":"69","minimumVersion":"","maximumVersion":"","formOrder":0,"lowerBound":null,"enabled":true,"mask":"","maskKey":"","keyItemMaskOfField":null,"keyOptionIdReplace":"","relatedOptionIds":[],"onlineServices":[],"childCriteriaItemList":[],"clientContextJson":""},{"keyOptionId":"1433","caption":"Dem. Rep. Congo","isDefault":true,"maskCriteriaOnly":false,"definition":"","keyProductQueryItem":"227199","comparisonOperation":0,"comparisonValue":"115","minimumVersion":"","maximumVersion":"","formOrder":0,"lowerBound":null,"enabled":true,"mask":"","maskKey":"","keyItemMaskOfField":null,"keyOptionIdReplace":"","relatedOptionIds":[],"onlineServices":[],"childCriteriaItemList":[],"clientContextJson":""},{"keyOptionId":"1452","caption":"Djibouti","isDefault":true,"maskCriteriaOnly":false,"definition":"","keyProductQueryItem":"227199","comparisonOperation":0,"comparisonValue":"72","minimumVersion":"","maximumVersion":"","formOrder":0,"lowerBound":null,"enabled":true,"mask":"","maskKey":"","keyItemMaskOfField":null,"keyOptionIdReplace":"","relatedOptionIds":[],"onlineServices":[],"childCriteriaItemList":[],"clientContextJson":""},{"keyOptionId":"1453","caption":"Equatorial Guinea","isDefault":true,"maskCriteriaOnly":false,"definition":"","keyProductQueryItem":"227199","comparisonOperation":0,"comparisonValue":"82","minimumVersion":"","maximumVersion":"","formOrder":0,"lowerBound":null,"enabled":true,"mask":"","maskKey":"","keyItemMaskOfField":null,"keyOptionIdReplace":"","relatedOptionIds":[],"onlineServices":[],"childCriteriaItemList":[],"clientContextJson":""},{"keyOptionId":"1481","caption":"E</t>
  </si>
  <si>
    <t>ritrea","isDefault":true,"maskCriteriaOnly":false,"definition":"","keyProductQueryItem":"227199","comparisonOperation":0,"comparisonValue":"76","minimumVersion":"","maximumVersion":"","formOrder":0,"lowerBound":null,"enabled":true,"mask":"","maskKey":"","keyItemMaskOfField":null,"keyOptionIdReplace":"","relatedOptionIds":[],"onlineServices":[],"childCriteriaItemList":[],"clientContextJson":""},{"keyOptionId":"1437","caption":"Ethiopia","isDefault":true,"maskCriteriaOnly":false,"definition":"","keyProductQueryItem":"227199","comparisonOperation":0,"comparisonValue":"77","minimumVersion":"","maximumVersion":"","formOrder":0,"lowerBound":null,"enabled":true,"mask":"","maskKey":"","keyItemMaskOfField":null,"keyOptionIdReplace":"","relatedOptionIds":[],"onlineServices":[],"childCriteriaItemList":[],"clientContextJson":""},{"keyOptionId":"1439","caption":"Gabon","isDefault":true,"maskCriteriaOnly":false,"definition":"","keyProductQueryItem":"227199","comparisonOperation":0,"comparisonValue":"78","minimumVersion":"","maximumVersion":"","formOrder":0,"lowerBound":null,"enabled":true,"mask":"","maskKey":"","keyItemMaskOfField":null,"keyOptionIdReplace":"","relatedOptionIds":[],"onlineServices":[],"childCriteriaItemList":[],"clientContextJson":""},{"keyOptionId":"1471","caption":"Gambia","isDefault":true,"maskCriteriaOnly":false,"definition":"","keyProductQueryItem":"227199","comparisonOperation":0,"comparisonValue":"80","minimumVersion":"","maximumVersion":"","formOrder":0,"lowerBound":null,"enabled":true,"mask":"","maskKey":"","keyItemMaskOfField":null,"keyOptionIdReplace":"","relatedOptionIds":[],"onlineServices":[],"childCriteriaItemList":[],"clientContextJson":""},{"keyOptionId":"1454","caption":"Ghana","isDefault":true,"maskCriteriaOnly":false,"definition":"","keyProductQueryItem":"227199","comparisonOperation":0,"comparisonValue":"79","minimumVersion":"","maximumVersion":"","formOrder":0,"lowerBound":null,"enabled":true,"mask":"","maskKey":"","keyItemMaskOfField":null,"keyOptionIdReplace":"","relatedOptionIds":[],"onlineServices":[],"childCriteriaItemList":[],"clientContextJson":""},{"keyOptionId":"1455","caption":"Guinea","isDefault":true,"maskCriteriaOnly":false,"definition":"","keyProductQueryItem":"227199","comparisonOperation":0,"comparisonValue":"81","minimumVersion":"","maximumVersion":"","formOrder":0,"lowerBound":null,"enabled":true,"mask":"","maskKey":"","keyItemMaskOfField":null,"keyOptionIdReplace":"","relatedOptionIds":[],"onlineServices":[],"childCriteriaItemList":[],"clientContextJson":""},{"keyOptionId":"1456","caption":"Guinea-Bissau","isDefault":true,"maskCriteriaOnly":false,"definition":"","keyProductQueryItem":"227199","comparisonOperation":0,"comparisonValue":"83","minimumVersion":"","maximumVersion":"","formOrder":0,"lowerBound":null,"enabled":true,"mask":"","maskKey":"","keyItemMaskOfField":null,"keyOptionIdReplace":"","relatedOptionIds":[],"onlineServices":[],"childCriteriaItemList":[],"clientContextJson":""},{"keyOptionId":"1457","caption":"Kenya","isDefault":true,"maskCriteriaOnly":false,"definition":"","keyProductQueryItem":"227199","comparisonOperation":0,"comparisonValue":"84","minimumVersion":"","maximumVersion":"","formOrder":0,"lowerBound":null,"enabled":true,"mask":"","maskKey":"","keyItemMaskOfField":null,"keyOptionIdReplace":"","relatedOptionIds":[],"onlineServices":[],"childCriteriaItemList":[],"clientContextJson":""},{"keyOptionId":"1441","caption":"Lesotho","isDefault":true,"maskCriteriaOnly":false,"definition":"","keyProductQueryItem":"227199","comparisonOperation":0,"comparisonValue":"86","minimumVersion":"","maximumVersion":"","formOrder":0,"lowerBound":null,"enabled":true,"mask":"","maskKey":"","keyItemMaskOfField":null,"keyOptionIdReplace":"","relatedOptionIds":[],"onlineServices":[],"childCriteriaItemList":[],"clientContextJson":""},{"keyOptionId":"1458","caption":"Liberia","isDefault":true,"maskCriteriaOnly":false,"definition":"","keyProductQueryItem":"227199","comparisonOperation":0,"comparisonValue":"85","minimumVersion":"","maximumVersion":"","formOrder":0,"lowerBound":null,"enabled":true,"mask":"","maskKey":"","keyItemMaskOfField":null,"keyOptionIdReplace":"","relatedOptionIds":[],"onlineServices":[],"childCriteriaItemList":[],"clientContextJson":""},{"keyOptionId":"1479","caption":"Libya","isDefault":true,"maskCriteriaOnly":false,"definition":"","keyProductQueryItem":"227199","comparisonOperation":0,"comparisonValue":"87","minimumVersion":"","maximumVersion":"","formOrder":0,"lowerBound":null,"enabled":true,"mask":"","maskKey":"","keyItemMaskOfField":null,"keyOptionIdReplace":"","relatedOptionIds":[],"onlineServices":[],"childCriteriaItemList":[],"clientContextJson":""},{"keyOptionId":"1459","caption":"Madagascar","isDefault":true,"maskCriteriaOnly":false,"definition":"","keyProductQueryItem":"227199","comparisonOperation":0,"comparisonValue":"89","minimumVersion":"","maximumVersion":"","formOrder":0,"lowerBound":null,"enabled":true,"mask":"","maskKey":"","keyItemMaskOfField":null,"keyOptionIdReplace":"","relatedOptionIds":[],"onlineServices":[],"childCriteriaItemList":[],"clientContextJson":""},{"keyOptionId":"1460","caption":"Malawi","isDefault":true,"maskCriteriaOnly":false,"definition":"","keyProductQueryItem":"227199","comparisonOperation":0,"comparisonValue":"93","minimumVersion":"","maximumVersion":"","formOrder":0,"lowerBound":null,"enabled":true,"mask":"","maskKey":"","keyItemMaskOfField":null,"keyOptionIdReplace":"","relatedOptionIds":[],"onlineServices":[],"childCriteriaItemList":[],"clientContextJson":""},{"keyOptionId":"1461","caption":"Mali","isDefault":true,"maskCriteriaOnly":false,"definition":"","keyProductQueryItem":"227199","comparisonOperation":0,"comparisonValue":"90","minimumVersion":"","maximumVersion":"","formOrder":0,"lowerBound":null,"enabled":true,"mask":"","maskKey":"","keyItemMaskOfField":null,"keyOptionIdReplace":"","relatedOptionIds":[],"onlineServices":[],"childCriteriaItemList":[],"clientContextJson":""},{"keyOptionId":"1440","caption":"Mauritania","isDefault":true,"maskCriteriaOnly":false,"definition":"","keyProductQueryItem":"227199","comparisonOperation":0,"comparisonValue":"91","minimumVersion":"","maximumVersion":"","formOrder":0,"lowerBound":null,"enabled":true,"mask":"","maskKey":"","keyItemMaskOfField":null,"keyOptionIdReplace":"","relatedOptionIds":[],"onlineServices":[],"childCriteriaItemList":[],"clientContextJson":""},{"keyOptionId":"1462","caption":"Mauritius","isDefault":true,"maskCriteriaOnly":false,"definition":"","keyProductQueryItem":"227199","comparisonOperation":0,"comparisonValue":"92","minimumVersion":"","maximumVersion":"","formOrder":0,"lowerBound":null,"enabled":true,"mask":"","maskKey":"","keyItemMaskOfField":null,"keyOptionIdReplace":"","relatedOptionIds":[],"onlineServices":[],"childCriteriaItemList":[],"clientContextJson":""},{"keyOptionId":"1482","caption":"Mayotte","isDefault":true,"maskCriteriaOnly":false,"definition":"","keyProductQueryItem":"227199","comparisonOperation":0,"comparisonValue":"113","minimumVersion":"","maximumVersion":"","formOrder":0,"lowerBound":null,"enabled":true,"mask":"","maskKey":"","keyItemMaskOfField":null,"keyOptionIdReplace":"","relatedOptionIds":[],"onlineServices":[],"childCriteriaItemList":[],"clientContextJson":""},{"keyOptionId":"1442","caption":"Morocco","isDefault":true,"maskCriteriaOnly":false,"definition":"","keyProductQueryItem":"227199","comparisonOperation":0,"comparisonValue":"88","minimumVersion":"","maximumVersion":"","formOrder":0,"lowerBound":null,"enabled":true,"mask":"","maskKey":"","keyItemMaskOfField":null,"keyOptionIdReplace":"","relatedOptionIds":[],"onlineServices":[],"childCri</t>
  </si>
  <si>
    <t>teriaItemList":[],"clientContextJson":""},{"keyOptionId":"1463","caption":"Mozambique","isDefault":true,"maskCriteriaOnly":false,"definition":"","keyProductQueryItem":"227199","comparisonOperation":0,"comparisonValue":"94","minimumVersion":"","maximumVersion":"","formOrder":0,"lowerBound":null,"enabled":true,"mask":"","maskKey":"","keyItemMaskOfField":null,"keyOptionIdReplace":"","relatedOptionIds":[],"onlineServices":[],"childCriteriaItemList":[],"clientContextJson":""},{"keyOptionId":"1464","caption":"Namibia","isDefault":true,"maskCriteriaOnly":false,"definition":"","keyProductQueryItem":"227199","comparisonOperation":0,"comparisonValue":"95","minimumVersion":"","maximumVersion":"","formOrder":0,"lowerBound":null,"enabled":true,"mask":"","maskKey":"","keyItemMaskOfField":null,"keyOptionIdReplace":"","relatedOptionIds":[],"onlineServices":[],"childCriteriaItemList":[],"clientContextJson":""},{"keyOptionId":"1465","caption":"Niger","isDefault":true,"maskCriteriaOnly":false,"definition":"","keyProductQueryItem":"227199","comparisonOperation":0,"comparisonValue":"96","minimumVersion":"","maximumVersion":"","formOrder":0,"lowerBound":null,"enabled":true,"mask":"","maskKey":"","keyItemMaskOfField":null,"keyOptionIdReplace":"","relatedOptionIds":[],"onlineServices":[],"childCriteriaItemList":[],"clientContextJson":""},{"keyOptionId":"1438","caption":"Nigeria","isDefault":true,"maskCriteriaOnly":false,"definition":"","keyProductQueryItem":"227199","comparisonOperation":0,"comparisonValue":"97","minimumVersion":"","maximumVersion":"","formOrder":0,"lowerBound":null,"enabled":true,"mask":"","maskKey":"","keyItemMaskOfField":null,"keyOptionIdReplace":"","relatedOptionIds":[],"onlineServices":[],"childCriteriaItemList":[],"clientContextJson":""},{"keyOptionId":"1470","caption":"Rep. Of the Congo","isDefault":true,"maskCriteriaOnly":false,"definition":"","keyProductQueryItem":"227199","comparisonOperation":0,"comparisonValue":"68","minimumVersion":"","maximumVersion":"","formOrder":0,"lowerBound":null,"enabled":true,"mask":"","maskKey":"","keyItemMaskOfField":null,"keyOptionIdReplace":"","relatedOptionIds":[],"onlineServices":[],"childCriteriaItemList":[],"clientContextJson":""},{"keyOptionId":"1436","caption":"Reunion","isDefault":true,"maskCriteriaOnly":false,"definition":"","keyProductQueryItem":"227199","comparisonOperation":0,"comparisonValue":"98","minimumVersion":"","maximumVersion":"","formOrder":0,"lowerBound":null,"enabled":true,"mask":"","maskKey":"","keyItemMaskOfField":null,"keyOptionIdReplace":"","relatedOptionIds":[],"onlineServices":[],"childCriteriaItemList":[],"clientContextJson":""},{"keyOptionId":"1477","caption":"Rwanda","isDefault":true,"maskCriteriaOnly":false,"definition":"","keyProductQueryItem":"227199","comparisonOperation":0,"comparisonValue":"99","minimumVersion":"","maximumVersion":"","formOrder":0,"lowerBound":null,"enabled":true,"mask":"","maskKey":"","keyItemMaskOfField":null,"keyOptionIdReplace":"","relatedOptionIds":[],"onlineServices":[],"childCriteriaItemList":[],"clientContextJson":""},{"keyOptionId":"1478","caption":"Saint Helena","isDefault":true,"maskCriteriaOnly":false,"definition":"","keyProductQueryItem":"227199","comparisonOperation":0,"comparisonValue":"102","minimumVersion":"","maximumVersion":"","formOrder":0,"lowerBound":null,"enabled":true,"mask":"","maskKey":"","keyItemMaskOfField":null,"keyOptionIdReplace":"","relatedOptionIds":[],"onlineServices":[],"childCriteriaItemList":[],"clientContextJson":""},{"keyOptionId":"1435","caption":"Sao Tome &amp; Principe","isDefault":true,"maskCriteriaOnly":false,"definition":"","keyProductQueryItem":"227199","comparisonOperation":0,"comparisonValue":"106","minimumVersion":"","maximumVersion":"","formOrder":0,"lowerBound":null,"enabled":true,"mask":"","maskKey":"","keyItemMaskOfField":null,"keyOptionIdReplace":"","relatedOptionIds":[],"onlineServices":[],"childCriteriaItemList":[],"clientContextJson":""},{"keyOptionId":"1466","caption":"Senegal","isDefault":true,"maskCriteriaOnly":false,"definition":"","keyProductQueryItem":"227199","comparisonOperation":0,"comparisonValue":"104","minimumVersion":"","maximumVersion":"","formOrder":0,"lowerBound":null,"enabled":true,"mask":"","maskKey":"","keyItemMaskOfField":null,"keyOptionIdReplace":"","relatedOptionIds":[],"onlineServices":[],"childCriteriaItemList":[],"clientContextJson":""},{"keyOptionId":"1467","caption":"Seychelles","isDefault":true,"maskCriteriaOnly":false,"definition":"","keyProductQueryItem":"227199","comparisonOperation":0,"comparisonValue":"100","minimumVersion":"","maximumVersion":"","formOrder":0,"lowerBound":null,"enabled":true,"mask":"","maskKey":"","keyItemMaskOfField":null,"keyOptionIdReplace":"","relatedOptionIds":[],"onlineServices":[],"childCriteriaItemList":[],"clientContextJson":""},{"keyOptionId":"1468","caption":"Sierra Leone","isDefault":true,"maskCriteriaOnly":false,"definition":"","keyProductQueryItem":"227199","comparisonOperation":0,"comparisonValue":"103","minimumVersion":"","maximumVersion":"","formOrder":0,"lowerBound":null,"enabled":true,"mask":"","maskKey":"","keyItemMaskOfField":null,"keyOptionIdReplace":"","relatedOptionIds":[],"onlineServices":[],"childCriteriaItemList":[],"clientContextJson":""},{"keyOptionId":"1480","caption":"Somalia","isDefault":true,"maskCriteriaOnly":false,"definition":"","keyProductQueryItem":"227199","comparisonOperation":0,"comparisonValue":"105","minimumVersion":"","maximumVersion":"","formOrder":0,"lowerBound":null,"enabled":true,"mask":"","maskKey":"","keyItemMaskOfField":null,"keyOptionIdReplace":"","relatedOptionIds":[],"onlineServices":[],"childCriteriaItemList":[],"clientContextJson":""},{"keyOptionId":"1469","caption":"South Africa","isDefault":true,"maskCriteriaOnly":false,"definition":"","keyProductQueryItem":"227199","comparisonOperation":0,"comparisonValue":"118","minimumVersion":"","maximumVersion":"","formOrder":0,"lowerBound":null,"enabled":true,"mask":"","maskKey":"","keyItemMaskOfField":null,"keyOptionIdReplace":"","relatedOptionIds":[],"onlineServices":[],"childCriteriaItemList":[],"clientContextJson":""},{"keyOptionId":"1472","caption":"Sudan","isDefault":true,"maskCriteriaOnly":false,"definition":"","keyProductQueryItem":"227199","comparisonOperation":0,"comparisonValue":"101","minimumVersion":"","maximumVersion":"","formOrder":0,"lowerBound":null,"enabled":true,"mask":"","maskKey":"","keyItemMaskOfField":null,"keyOptionIdReplace":"","relatedOptionIds":[],"onlineServices":[],"childCriteriaItemList":[],"clientContextJson":""},{"keyOptionId":"1443","caption":"Swaziland","isDefault":true,"maskCriteriaOnly":false,"definition":"","keyProductQueryItem":"227199","comparisonOperation":0,"comparisonValue":"107","minimumVersion":"","maximumVersion":"","formOrder":0,"lowerBound":null,"enabled":true,"mask":"","maskKey":"","keyItemMaskOfField":null,"keyOptionIdReplace":"","relatedOptionIds":[],"onlineServices":[],"childCriteriaItemList":[],"clientContextJson":""},{"keyOptionId":"1485","caption":"Tanzania","isDefault":true,"maskCriteriaOnly":false,"definition":"","keyProductQueryItem":"227199","comparisonOperation":0,"comparisonValue":"111","minimumVersion":"","maximumVersion":"","formOrder":0,"lowerBound":null,"enabled":true,"mask":"","maskKey":"","keyItemMaskOfField":null,"keyOptionIdReplace":"","relatedOptionIds":[],"onlineServices":[],"childCriteriaItemList":[],"clientContextJson":""},{"keyOptionId":"1483","caption":"Togo","isDefault":true,"maskCriteriaOnly":false,"definition":"","keyProductQueryItem":"227199","comparisonOperation":0,"comparisonValue":"109","minimumVersion":"","maximumVersion":"","formOrder":0,"lowerBound":null,"enabled":true,"</t>
  </si>
  <si>
    <t>mask":"","maskKey":"","keyItemMaskOfField":null,"keyOptionIdReplace":"","relatedOptionIds":[],"onlineServices":[],"childCriteriaItemList":[],"clientContextJson":""},{"keyOptionId":"1473","caption":"Tunisia","isDefault":true,"maskCriteriaOnly":false,"definition":"","keyProductQueryItem":"227199","comparisonOperation":0,"comparisonValue":"110","minimumVersion":"","maximumVersion":"","formOrder":0,"lowerBound":null,"enabled":true,"mask":"","maskKey":"","keyItemMaskOfField":null,"keyOptionIdReplace":"","relatedOptionIds":[],"onlineServices":[],"childCriteriaItemList":[],"clientContextJson":""},{"keyOptionId":"1474","caption":"Uganda","isDefault":true,"maskCriteriaOnly":false,"definition":"","keyProductQueryItem":"227199","comparisonOperation":0,"comparisonValue":"112","minimumVersion":"","maximumVersion":"","formOrder":0,"lowerBound":null,"enabled":true,"mask":"","maskKey":"","keyItemMaskOfField":null,"keyOptionIdReplace":"","relatedOptionIds":[],"onlineServices":[],"childCriteriaItemList":[],"clientContextJson":""},{"keyOptionId":"1486","caption":"Western Sahara","isDefault":true,"maskCriteriaOnly":false,"definition":"","keyProductQueryItem":"227199","comparisonOperation":0,"comparisonValue":"75","minimumVersion":"","maximumVersion":"","formOrder":0,"lowerBound":null,"enabled":true,"mask":"","maskKey":"","keyItemMaskOfField":null,"keyOptionIdReplace":"","relatedOptionIds":[],"onlineServices":[],"childCriteriaItemList":[],"clientContextJson":""},{"keyOptionId":"1475","caption":"Zambia","isDefault":true,"maskCriteriaOnly":false,"definition":"","keyProductQueryItem":"227199","comparisonOperation":0,"comparisonValue":"114","minimumVersion":"","maximumVersion":"","formOrder":0,"lowerBound":null,"enabled":true,"mask":"","maskKey":"","keyItemMaskOfField":null,"keyOptionIdReplace":"","relatedOptionIds":[],"onlineServices":[],"childCriteriaItemList":[],"clientContextJson":""},{"keyOptionId":"1476","caption":"Zimbabwe","isDefault":true,"maskCriteriaOnly":false,"definition":"","keyProductQueryItem":"227199","comparisonOperation":0,"comparisonValue":"116","minimumVersion":"","maximumVersion":"","formOrder":0,"lowerBound":null,"enabled":true,"mask":"","maskKey":"","keyItemMaskOfField":null,"keyOptionIdReplace":"","relatedOptionIds":[],"onlineServices":[],"childCriteriaItemList":[],"clientContextJson":""}],"clientContextJson":""}],"clientContextJson":""}]},{"filterGroupId":"4831","filterGroupIdReplace":"","caption":"Company Name","groupType":2,"optionType":2,"formOrder":100,"minimumVersion":"","maximumVersion":"","onlineServicesEnabled":false,"column":0,"columnFormOrder":30,"criteriaIdName":"","required":false,"dateDefaultType":"","criteriaItemList":[{"keyOptionId":"4832","caption":"","isDefault":false,"maskCriteriaOnly":true,"definition":"","keyProductQueryItem":"221557","comparisonOperation":4,"comparisonValue":"","minimumVersion":"","maximumVersion":"","formOrder":0,"lowerBound":null,"enabled":true,"mask":"","maskKey":"","keyItemMaskOfField":null,"keyOptionIdReplace":"","relatedOptionIds":[],"onlineServices":[],"childCriteriaItemList":[],"clientContextJson":""}]},{"filterGroupId":"4833","filterGroupIdReplace":"","caption":"Trading Symbol(s)","groupType":2,"optionType":6,"formOrder":200,"minimumVersion":"","maximumVersion":"","onlineServicesEnabled":false,"column":0,"columnFormOrder":20,"criteriaIdName":"","required":false,"dateDefaultType":"","criteriaItemList":[{"keyOptionId":"4834","caption":"","isDefault":false,"maskCriteriaOnly":true,"definition":"","keyProductQueryItem":"249947","comparisonOperation":7,"comparisonValue":"","minimumVersion":"","maximumVersion":"","formOrder":0,"lowerBound":null,"enabled":true,"mask":"","maskKey":"","keyItemMaskOfField":null,"keyOptionIdReplace":"","relatedOptionIds":[],"onlineServices":[],"childCriteriaItemList":[],"clientContextJson":""}]}],"conversionInformation":{"keyCurrency":"USD","measurementStandard":0,"conversionMode":1,"magnitudeOverride":null,"keyForeignLanguage":null,"keyForeignLanguageSecondary":null,"dataLanguage":null,"culture":null,"requestCulture":null,"nullValue":"NA","headerCurrency":null},"countsQuery":false,"standardDeviationQuery":false,"saveQueryType":0,"baseCompany":null},"conversionInfo":null,"operationType":22,"showProductMagnitude":false,"enableSourceTagging":false,"timeoutOverride":0,"ignoreCache":false,"sourceTimeZoneIDItemKey":null,"enforceItemEntitlements":false,"useNewOnPremDomain":false}],"saveQueryType":0,"sourceTimeZoneIDItemKey":null,"enforceItemEntitlements":false,"extensionPropertiesJson":null}</t>
  </si>
  <si>
    <t>PrfdOffering_By_Comp</t>
  </si>
  <si>
    <t>{"conversionInformation":null,"clientContext":null,"functionRequests":[{"functionId":0,"perspective":"10","keys":null,"fields":null,"reports":null,"query":{"name":"PrfdOffering_By_Comp","queryLineGroups":[{"groupName":"QueryLines","queryLines":[{"supressSelect":false,"displayText":null,"queryItemId":"00000000-0000-0000-0000-000000000000","field":{"fieldKey":"221557","secondaryKeys":[],"displayName":null,"displayUnits":null,"displayType":null,"originalRequestField":null},"connector":0,"operator":0,"beginGroup":true,"endGroup":false,"value":"Bank of New York Mellon Corporation","invariantValue":null,"valueField":null,"mathOperator":0,"mathValue":null,"sortStyle":null,"sortOrder":null,"functionName":null,"relativeOperation":false},{"supressSelect":false,"displayText":null,"queryItemId":"00000000-0000-0000-0000-000000000000","field":{"fieldKey":"240523","secondaryKeys":[],"displayName":null,"displayUnits":null,"displayType":null,"originalRequestField":null},"connector":1,"operator":0,"beginGroup":false,"endGroup":false,"value":"Bank of New York Mellon Corporation","invariantValue":null,"valueField":null,"mathOperator":0,"mathValue":null,"sortStyle":null,"sortOrder":null,"functionName":null,"relativeOperation":false},{"supressSelect":false,"displayText":null,"queryItemId":"00000000-0000-0000-0000-000000000000","field":{"fieldKey":"240530","secondaryKeys":[],"displayName":null,"displayUnits":null,"displayType":null,"originalRequestField":null},"connector":1,"operator":0,"beginGroup":false,"endGroup":true,"value":"Bank of New York Mellon Corporation","invariantValue":null,"valueField":null,"mathOperator":0,"mathValue":null,"sortStyle":null,"sortOrder":null,"functionName":null,"relativeOperation":false},{"supressSelect":false,"displayText":null,"queryItemId":"00000000-0000-0000-0000-000000000000","field":{"fieldKey":"221653","secondaryKeys":[],"displayName":null,"displayUnits":null,"displayType":null,"originalRequestField":null},"connector":0,"operator":7,"beginGroup":false,"endGroup":false,"value":"'0'","invariantValue":null,"valueField":null,"mathOperator":0,"mathValue":null,"sortStyle":null,"sortOrder":null,"functionName":null,"relativeOperation":false},{"supressSelect":false,"displayText":null,"queryItemId":"00000000-0000-0000-0000-000000000000","field":{"fieldKey":"221631","secondaryKeys":[],"displayName":null,"displayUnits":null,"displayType":null,"originalRequestField":null},"connector":0,"operator":24,"beginGroup":false,"endGroup":false,"value":"10000","invariantValue":null,"valueField":null,"mathOperator":0,"mathValue":null,"sortStyle":null,"sortOrder":null,"functionName":null,"relativeOperation":false}]},{"groupName":"WhiteAndBlackListCriteria","queryLines":[]}],"keyPerspective":"10","dateCreated":"2017-12-07T01:07:21.687-05:00","version":null,"queryFilters":[{"filterGroupId":"1487","filterGroupIdReplace":"","caption":"Issue Types","groupType":1,"optionType":1,"formOrder":1,"minimumVersion":"","maximumVersion":"","onlineServicesEnabled":false,"column":0,"columnFormOrder":10,"criteriaIdName":"","required":true,"dateDefaultType":"","criteriaItemList":[{"keyOptionId":"1488","caption":"Common Stock","isDefault":false,"maskCriteriaOnly":false,"definition":"","keyProductQueryItem":"226301","comparisonOperation":0,"comparisonValue":"1","minimumVersion":"","maximumVersion":"","formOrder":0,"lowerBound":null,"enabled":true,"mask":"2","maskKey":"226301","keyItemMaskOfField":null,"keyOptionIdReplace":"","relatedOptionIds":[],"onlineServices":[],"childCriteriaItemList":[],"clientContextJson":""},{"keyOptionId":"1489","caption":"Preferred Stock","isDefault":true,"maskCriteriaOnly":false,"definition":"","keyProductQueryItem":"226301","comparisonOperation":0,"comparisonValue":"2","minimumVersion":"","maximumVersion":"","formOrder":0,"lowerBound":null,"enabled":true,"mask":"4","maskKey":"226301","keyItemMaskOfField":null,"keyOptionIdReplace":"","relatedOptionIds":[],"onlineServices":[],"childCriteriaItemList":[],"clientContextJson":""},{"keyOptionId":"1490","caption":"Senior Debt","isDefault":false,"maskCriteriaOnly":false,"definition":"","keyProductQueryItem":"226301","comparisonOperation":0,"comparisonValue":"3","minimumVersion":"","maximumVersion":"","formOrder":0,"lowerBound":null,"enabled":true,"mask":"8","maskKey":"226301","keyItemMaskOfField":null,"keyOptionIdReplace":"","relatedOptionIds":[],"onlineServices":[],"childCriteriaItemList":[],"clientContextJson":""},{"keyOptionId":"1491","caption":"Subordinated Debt","isDefault":false,"maskCriteriaOnly":false,"definition":"","keyProductQueryItem":"226301","comparisonOperation":0,"comparisonValue":"4","minimumVersion":"","maximumVersion":"","formOrder":0,"lowerBound":null,"enabled":true,"mask":"16","maskKey":"226301","keyItemMaskOfField":null,"keyOptionIdReplace":"","relatedOptionIds":[],"onlineServices":[],"childCriteriaItemList":[],"clientContextJson":""},{"keyOptionId":"1492","caption":"Senior Subordinated Debt","isDefault":false,"maskCriteriaOnly":false,"definition":"","keyProductQueryItem":"226301","comparisonOperation":0,"comparisonValue":"15","minimumVersion":"","maximumVersion":"","formOrder":0,"lowerBound":null,"enabled":true,"mask":"32768","maskKey":"226301","keyItemMaskOfField":null,"keyOptionIdReplace":"","relatedOptionIds":[],"onlineServices":[],"childCriteriaItemList":[],"clientContextJson":""},{"keyOptionId":"1493","caption":"Junior Subordinated Debt","isDefault":false,"maskCriteriaOnly":false,"definition":"","keyProductQueryItem":"226301","comparisonOperation":0,"comparisonValue":"14","minimumVersion":"","maximumVersion":"","formOrder":0,"lowerBound":null,"enabled":true,"mask":"16384","maskKey":"226301","keyItemMaskOfField":null,"keyOptionIdReplace":"","relatedOptionIds":[],"onlineServices":[],"childCriteriaItemList":[],"clientContextJson":""},{"keyOptionId":"1494","caption":"Trust Preferred","isDefault":false,"maskCriteriaOnly":false,"definition":"","keyProductQueryItem":"226301","comparisonOperation":0,"comparisonValue":"6","minimumVersion":"","maximumVersion":"","formOrder":0,"lowerBound":null,"enabled":true,"mask":"64","maskKey":"226301","keyItemMaskOfField":null,"keyOptionIdReplace":"","relatedOptionIds":[],"onlineServices":[],"childCriteriaItemList":[],"clientContextJson":""},{"keyOptionId":"1495","caption":"Subsidiary Pfd Partnership","isDefault":false,"maskCriteriaOnly":false,"definition":"","keyProductQueryItem":"226301","comparisonOperation":0,"comparisonValue":"10","minimumVersion":"","maximumVersion":"","formOrder":0,"lowerBound":null,"enabled":true,"mask":"1024","maskKey":"226301","keyItemMaskOfField":null,"keyOptionIdReplace":"","relatedOptionIds":[],"onlineServices":[],"childCriteriaItemList":[],"clientContextJson":""},{"keyOptionId":"3122","caption":"Operating Partnership Units","isDefault":false,"maskCriteriaOnly":false,"definition":"","keyProductQueryItem":"226301","comparisonOperation":0,"comparisonValue":"5","minimumVersion":"","maximumVersion":"","formOrder":0,"lowerBound":null,"enabled":true,"mask":"32","maskKey":"226301","keyItemMaskOfField":null,"keyOptionIdReplace":"","relatedOptionIds":[],"onlineServices":[],"childCriteriaItemList":[],"clientContextJson":""},{"keyOptionId":"3123","caption":"Depositary Receipt","isDefault":false,"maskCriteriaOnly":false,"definition":"","keyProductQueryItem":"226301","comparisonOperation":0,"comparisonValue":"16","minimumVersion":"","maximumVersion":"","formOrder":0,"lowerBound":null,"enabled":true,"mask":"65536","maskKey":"226301","keyItemMaskOfField":null,"keyOptionIdReplace":"","relatedOptionIds":[],"onlineServices":[],"childCriteriaItemList":[],"clientContextJson":""},{"keyOptionId":"3124","caption":"GIC-backed Note","isDefault":false,"maskCriteriaOnly":false,"definit</t>
  </si>
  <si>
    <t>ion":"","keyProductQueryItem":"226301","comparisonOperation":0,"comparisonValue":"11","minimumVersion":"","maximumVersion":"","formOrder":0,"lowerBound":null,"enabled":true,"mask":"2048","maskKey":"226301","keyItemMaskOfField":null,"keyOptionIdReplace":"","relatedOptionIds":[],"onlineServices":[],"childCriteriaItemList":[],"clientContextJson":""}]},{"filterGroupId":"1241","filterGroupIdReplace":"","caption":"Location","groupType":2,"optionType":1,"formOrder":4,"minimumVersion":"","maximumVersion":"","onlineServicesEnabled":false,"column":1,"columnFormOrder":10,"criteriaIdName":"","required":true,"dateDefaultType":"","criteriaItemList":[{"keyOptionId":"1242","caption":"All Geographies","isDefault":false,"maskCriteriaOnly":true,"definition":"","keyProductQueryItem":"","comparisonOperation":null,"comparisonValue":"","minimumVersion":"","maximumVersion":"","formOrder":0,"lowerBound":null,"enabled":true,"mask":"","maskKey":"","keyItemMaskOfField":null,"keyOptionIdReplace":"","relatedOptionIds":[],"onlineServices":[],"childCriteriaItemList":[{"keyOptionId":"1243","caption":"United States and Canada","isDefault":false,"maskCriteriaOnly":true,"definition":"","keyProductQueryItem":"","comparisonOperation":null,"comparisonValue":"","minimumVersion":"","maximumVersion":"","formOrder":0,"lowerBound":null,"enabled":true,"mask":"","maskKey":"","keyItemMaskOfField":null,"keyOptionIdReplace":"","relatedOptionIds":[],"onlineServices":[],"childCriteriaItemList":[{"keyOptionId":"1244","caption":"United States","isDefault":false,"maskCriteriaOnly":true,"definition":"","keyProductQueryItem":"","comparisonOperation":null,"comparisonValue":"","minimumVersion":"","maximumVersion":"","formOrder":0,"lowerBound":null,"enabled":true,"mask":"","maskKey":"","keyItemMaskOfField":null,"keyOptionIdReplace":"","relatedOptionIds":[],"onlineServices":[],"childCriteriaItemList":[{"keyOptionId":"1496","caption":"Mid Atlantic","isDefault":false,"maskCriteriaOnly":true,"definition":"","keyProductQueryItem":"","comparisonOperation":null,"comparisonValue":"","minimumVersion":"","maximumVersion":"","formOrder":0,"lowerBound":null,"enabled":true,"mask":"","maskKey":"","keyItemMaskOfField":null,"keyOptionIdReplace":"","relatedOptionIds":[],"onlineServices":[],"childCriteriaItemList":[{"keyOptionId":"1502","caption":"Delaware","isDefault":true,"maskCriteriaOnly":false,"definition":"","keyProductQueryItem":"227199","comparisonOperation":0,"comparisonValue":"271","minimumVersion":"","maximumVersion":"","formOrder":0,"lowerBound":null,"enabled":true,"mask":"","maskKey":"","keyItemMaskOfField":null,"keyOptionIdReplace":"","relatedOptionIds":[],"onlineServices":[],"childCriteriaItemList":[],"clientContextJson":""},{"keyOptionId":"1503","caption":"District of Columbia","isDefault":true,"maskCriteriaOnly":false,"definition":"","keyProductQueryItem":"227199","comparisonOperation":0,"comparisonValue":"270","minimumVersion":"","maximumVersion":"","formOrder":0,"lowerBound":null,"enabled":true,"mask":"","maskKey":"","keyItemMaskOfField":null,"keyOptionIdReplace":"","relatedOptionIds":[],"onlineServices":[],"childCriteriaItemList":[],"clientContextJson":""},{"keyOptionId":"1504","caption":"Maryland","isDefault":true,"maskCriteriaOnly":false,"definition":"","keyProductQueryItem":"227199","comparisonOperation":0,"comparisonValue":"272","minimumVersion":"","maximumVersion":"","formOrder":0,"lowerBound":null,"enabled":true,"mask":"","maskKey":"","keyItemMaskOfField":null,"keyOptionIdReplace":"","relatedOptionIds":[],"onlineServices":[],"childCriteriaItemList":[],"clientContextJson":""},{"keyOptionId":"1505","caption":"New Jersey","isDefault":true,"maskCriteriaOnly":false,"definition":"","keyProductQueryItem":"227199","comparisonOperation":0,"comparisonValue":"273","minimumVersion":"","maximumVersion":"","formOrder":0,"lowerBound":null,"enabled":true,"mask":"","maskKey":"","keyItemMaskOfField":null,"keyOptionIdReplace":"","relatedOptionIds":[],"onlineServices":[],"childCriteriaItemList":[],"clientContextJson":""},{"keyOptionId":"1506","caption":"New York","isDefault":true,"maskCriteriaOnly":false,"definition":"","keyProductQueryItem":"227199","comparisonOperation":0,"comparisonValue":"274","minimumVersion":"","maximumVersion":"","formOrder":0,"lowerBound":null,"enabled":true,"mask":"","maskKey":"","keyItemMaskOfField":null,"keyOptionIdReplace":"","relatedOptionIds":[],"onlineServices":[],"childCriteriaItemList":[],"clientContextJson":""},{"keyOptionId":"1507","caption":"Pennsylvania","isDefault":true,"maskCriteriaOnly":false,"definition":"","keyProductQueryItem":"227199","comparisonOperation":0,"comparisonValue":"275","minimumVersion":"","maximumVersion":"","formOrder":0,"lowerBound":null,"enabled":true,"mask":"","maskKey":"","keyItemMaskOfField":null,"keyOptionIdReplace":"","relatedOptionIds":[],"onlineServices":[],"childCriteriaItemList":[],"clientContextJson":""},{"keyOptionId":"1508","caption":"Puerto Rico","isDefault":true,"maskCriteriaOnly":false,"definition":"","keyProductQueryItem":"227199","comparisonOperation":0,"comparisonValue":"276","minimumVersion":"","maximumVersion":"","formOrder":0,"lowerBound":null,"enabled":true,"mask":"","maskKey":"","keyItemMaskOfField":null,"keyOptionIdReplace":"","relatedOptionIds":[],"onlineServices":[],"childCriteriaItemList":[],"clientContextJson":""}],"clientContextJson":""},{"keyOptionId":"1497","caption":"Midwest","isDefault":false,"maskCriteriaOnly":true,"definition":"","keyProductQueryItem":"","comparisonOperation":null,"comparisonValue":"","minimumVersion":"","maximumVersion":"","formOrder":0,"lowerBound":null,"enabled":true,"mask":"","maskKey":"","keyItemMaskOfField":null,"keyOptionIdReplace":"","relatedOptionIds":[],"onlineServices":[],"childCriteriaItemList":[{"keyOptionId":"1509","caption":"Illinois","isDefault":true,"maskCriteriaOnly":false,"definition":"","keyProductQueryItem":"227199","comparisonOperation":0,"comparisonValue":"278","minimumVersion":"","maximumVersion":"","formOrder":0,"lowerBound":null,"enabled":true,"mask":"","maskKey":"","keyItemMaskOfField":null,"keyOptionIdReplace":"","relatedOptionIds":[],"onlineServices":[],"childCriteriaItemList":[],"clientContextJson":""},{"keyOptionId":"1510","caption":"Indiana","isDefault":true,"maskCriteriaOnly":false,"definition":"","keyProductQueryItem":"227199","comparisonOperation":0,"comparisonValue":"279","minimumVersion":"","maximumVersion":"","formOrder":0,"lowerBound":null,"enabled":true,"mask":"","maskKey":"","keyItemMaskOfField":null,"keyOptionIdReplace":"","relatedOptionIds":[],"onlineServices":[],"childCriteriaItemList":[],"clientContextJson":""},{"keyOptionId":"1511","caption":"Iowa","isDefault":true,"maskCriteriaOnly":false,"definition":"","keyProductQueryItem":"227199","comparisonOperation":0,"comparisonValue":"277","minimumVersion":"","maximumVersion":"","formOrder":0,"lowerBound":null,"enabled":true,"mask":"","maskKey":"","keyItemMaskOfField":null,"keyOptionIdReplace":"","relatedOptionIds":[],"onlineServices":[],"childCriteriaItemList":[],"clientContextJson":""},{"keyOptionId":"1512","caption":"Kansas","isDefault":true,"maskCriteriaOnly":false,"definition":"","keyProductQueryItem":"227199","comparisonOperation":0,"comparisonValue":"280","minimumVersion":"","maximumVersion":"","formOrder":0,"lowerBound":null,"enabled":true,"mask":"","maskKey":"","keyItemMaskOfField":null,"keyOptionIdReplace":"","relatedOptionIds":[],"onlineServices":[],"childCriteriaItemList":[],"clientContextJson":""},{"keyOptionId":"1513","caption":"Kentucky","isDefault":true,"maskCriteriaOnly":false,"definition":"","keyProductQueryItem":"227199","comparisonOperation":0,"comparisonValue":"281","minimumVersion":"","m</t>
  </si>
  <si>
    <t>aximumVersion":"","formOrder":0,"lowerBound":null,"enabled":true,"mask":"","maskKey":"","keyItemMaskOfField":null,"keyOptionIdReplace":"","relatedOptionIds":[],"onlineServices":[],"childCriteriaItemList":[],"clientContextJson":""},{"keyOptionId":"1514","caption":"Michigan","isDefault":true,"maskCriteriaOnly":false,"definition":"","keyProductQueryItem":"227199","comparisonOperation":0,"comparisonValue":"282","minimumVersion":"","maximumVersion":"","formOrder":0,"lowerBound":null,"enabled":true,"mask":"","maskKey":"","keyItemMaskOfField":null,"keyOptionIdReplace":"","relatedOptionIds":[],"onlineServices":[],"childCriteriaItemList":[],"clientContextJson":""},{"keyOptionId":"1515","caption":"Minnesota","isDefault":true,"maskCriteriaOnly":false,"definition":"","keyProductQueryItem":"227199","comparisonOperation":0,"comparisonValue":"283","minimumVersion":"","maximumVersion":"","formOrder":0,"lowerBound":null,"enabled":true,"mask":"","maskKey":"","keyItemMaskOfField":null,"keyOptionIdReplace":"","relatedOptionIds":[],"onlineServices":[],"childCriteriaItemList":[],"clientContextJson":""},{"keyOptionId":"1516","caption":"Missouri","isDefault":true,"maskCriteriaOnly":false,"definition":"","keyProductQueryItem":"227199","comparisonOperation":0,"comparisonValue":"284","minimumVersion":"","maximumVersion":"","formOrder":0,"lowerBound":null,"enabled":true,"mask":"","maskKey":"","keyItemMaskOfField":null,"keyOptionIdReplace":"","relatedOptionIds":[],"onlineServices":[],"childCriteriaItemList":[],"clientContextJson":""},{"keyOptionId":"1517","caption":"Nebraska","isDefault":true,"maskCriteriaOnly":false,"definition":"","keyProductQueryItem":"227199","comparisonOperation":0,"comparisonValue":"286","minimumVersion":"","maximumVersion":"","formOrder":0,"lowerBound":null,"enabled":true,"mask":"","maskKey":"","keyItemMaskOfField":null,"keyOptionIdReplace":"","relatedOptionIds":[],"onlineServices":[],"childCriteriaItemList":[],"clientContextJson":""},{"keyOptionId":"1518","caption":"North Dakota","isDefault":true,"maskCriteriaOnly":false,"definition":"","keyProductQueryItem":"227199","comparisonOperation":0,"comparisonValue":"285","minimumVersion":"","maximumVersion":"","formOrder":0,"lowerBound":null,"enabled":true,"mask":"","maskKey":"","keyItemMaskOfField":null,"keyOptionIdReplace":"","relatedOptionIds":[],"onlineServices":[],"childCriteriaItemList":[],"clientContextJson":""},{"keyOptionId":"1519","caption":"Ohio","isDefault":true,"maskCriteriaOnly":false,"definition":"","keyProductQueryItem":"227199","comparisonOperation":0,"comparisonValue":"287","minimumVersion":"","maximumVersion":"","formOrder":0,"lowerBound":null,"enabled":true,"mask":"","maskKey":"","keyItemMaskOfField":null,"keyOptionIdReplace":"","relatedOptionIds":[],"onlineServices":[],"childCriteriaItemList":[],"clientContextJson":""},{"keyOptionId":"1520","caption":"South Dakota","isDefault":true,"maskCriteriaOnly":false,"definition":"","keyProductQueryItem":"227199","comparisonOperation":0,"comparisonValue":"288","minimumVersion":"","maximumVersion":"","formOrder":0,"lowerBound":null,"enabled":true,"mask":"","maskKey":"","keyItemMaskOfField":null,"keyOptionIdReplace":"","relatedOptionIds":[],"onlineServices":[],"childCriteriaItemList":[],"clientContextJson":""},{"keyOptionId":"1521","caption":"Wisconsin","isDefault":true,"maskCriteriaOnly":false,"definition":"","keyProductQueryItem":"227199","comparisonOperation":0,"comparisonValue":"289","minimumVersion":"","maximumVersion":"","formOrder":0,"lowerBound":null,"enabled":true,"mask":"","maskKey":"","keyItemMaskOfField":null,"keyOptionIdReplace":"","relatedOptionIds":[],"onlineServices":[],"childCriteriaItemList":[],"clientContextJson":""}],"clientContextJson":""},{"keyOptionId":"1498","caption":"Northeast","isDefault":false,"maskCriteriaOnly":true,"definition":"","keyProductQueryItem":"","comparisonOperation":null,"comparisonValue":"","minimumVersion":"","maximumVersion":"","formOrder":0,"lowerBound":null,"enabled":true,"mask":"","maskKey":"","keyItemMaskOfField":null,"keyOptionIdReplace":"","relatedOptionIds":[],"onlineServices":[],"childCriteriaItemList":[{"keyOptionId":"1522","caption":"Connecticut","isDefault":true,"maskCriteriaOnly":false,"definition":"","keyProductQueryItem":"227199","comparisonOperation":0,"comparisonValue":"290","minimumVersion":"","maximumVersion":"","formOrder":0,"lowerBound":null,"enabled":true,"mask":"","maskKey":"","keyItemMaskOfField":null,"keyOptionIdReplace":"","relatedOptionIds":[],"onlineServices":[],"childCriteriaItemList":[],"clientContextJson":""},{"keyOptionId":"1523","caption":"Maine","isDefault":true,"maskCriteriaOnly":false,"definition":"","keyProductQueryItem":"227199","comparisonOperation":0,"comparisonValue":"292","minimumVersion":"","maximumVersion":"","formOrder":0,"lowerBound":null,"enabled":true,"mask":"","maskKey":"","keyItemMaskOfField":null,"keyOptionIdReplace":"","relatedOptionIds":[],"onlineServices":[],"childCriteriaItemList":[],"clientContextJson":""},{"keyOptionId":"1524","caption":"Massachusetts","isDefault":true,"maskCriteriaOnly":false,"definition":"","keyProductQueryItem":"227199","comparisonOperation":0,"comparisonValue":"291","minimumVersion":"","maximumVersion":"","formOrder":0,"lowerBound":null,"enabled":true,"mask":"","maskKey":"","keyItemMaskOfField":null,"keyOptionIdReplace":"","relatedOptionIds":[],"onlineServices":[],"childCriteriaItemList":[],"clientContextJson":""},{"keyOptionId":"1525","caption":"New Hampshire","isDefault":true,"maskCriteriaOnly":false,"definition":"","keyProductQueryItem":"227199","comparisonOperation":0,"comparisonValue":"293","minimumVersion":"","maximumVersion":"","formOrder":0,"lowerBound":null,"enabled":true,"mask":"","maskKey":"","keyItemMaskOfField":null,"keyOptionIdReplace":"","relatedOptionIds":[],"onlineServices":[],"childCriteriaItemList":[],"clientContextJson":""},{"keyOptionId":"1526","caption":"Rhode Island","isDefault":true,"maskCriteriaOnly":false,"definition":"","keyProductQueryItem":"227199","comparisonOperation":0,"comparisonValue":"294","minimumVersion":"","maximumVersion":"","formOrder":0,"lowerBound":null,"enabled":true,"mask":"","maskKey":"","keyItemMaskOfField":null,"keyOptionIdReplace":"","relatedOptionIds":[],"onlineServices":[],"childCriteriaItemList":[],"clientContextJson":""},{"keyOptionId":"1527","caption":"Vermont","isDefault":true,"maskCriteriaOnly":false,"definition":"","keyProductQueryItem":"227199","comparisonOperation":0,"comparisonValue":"295","minimumVersion":"","maximumVersion":"","formOrder":0,"lowerBound":null,"enabled":true,"mask":"","maskKey":"","keyItemMaskOfField":null,"keyOptionIdReplace":"","relatedOptionIds":[],"onlineServices":[],"childCriteriaItemList":[],"clientContextJson":""}],"clientContextJson":""},{"keyOptionId":"1499","caption":"Southeast","isDefault":false,"maskCriteriaOnly":true,"definition":"","keyProductQueryItem":"","comparisonOperation":null,"comparisonValue":"","minimumVersion":"","maximumVersion":"","formOrder":0,"lowerBound":null,"enabled":true,"mask":"","maskKey":"","keyItemMaskOfField":null,"keyOptionIdReplace":"","relatedOptionIds":[],"onlineServices":[],"childCriteriaItemList":[{"keyOptionId":"1528","caption":"Alabama","isDefault":true,"maskCriteriaOnly":false,"definition":"","keyProductQueryItem":"227199","comparisonOperation":0,"comparisonValue":"296","minimumVersion":"","maximumVersion":"","formOrder":0,"lowerBound":null,"enabled":true,"mask":"","maskKey":"","keyItemMaskOfField":null,"keyOptionIdReplace":"","relatedOptionIds":[],"onlineServices":[],"childCriteriaItemList":[],"clientContextJson":""},{"keyOptionId":"1529","caption":"Arkansas","isDefault":true,"maskCriteriaOnly":false,"</t>
  </si>
  <si>
    <t>definition":"","keyProductQueryItem":"227199","comparisonOperation":0,"comparisonValue":"297","minimumVersion":"","maximumVersion":"","formOrder":0,"lowerBound":null,"enabled":true,"mask":"","maskKey":"","keyItemMaskOfField":null,"keyOptionIdReplace":"","relatedOptionIds":[],"onlineServices":[],"childCriteriaItemList":[],"clientContextJson":""},{"keyOptionId":"1530","caption":"Florida","isDefault":true,"maskCriteriaOnly":false,"definition":"","keyProductQueryItem":"227199","comparisonOperation":0,"comparisonValue":"298","minimumVersion":"","maximumVersion":"","formOrder":0,"lowerBound":null,"enabled":true,"mask":"","maskKey":"","keyItemMaskOfField":null,"keyOptionIdReplace":"","relatedOptionIds":[],"onlineServices":[],"childCriteriaItemList":[],"clientContextJson":""},{"keyOptionId":"1531","caption":"Georgia","isDefault":true,"maskCriteriaOnly":false,"definition":"","keyProductQueryItem":"227199","comparisonOperation":0,"comparisonValue":"299","minimumVersion":"","maximumVersion":"","formOrder":0,"lowerBound":null,"enabled":true,"mask":"","maskKey":"","keyItemMaskOfField":null,"keyOptionIdReplace":"","relatedOptionIds":[],"onlineServices":[],"childCriteriaItemList":[],"clientContextJson":""},{"keyOptionId":"1532","caption":"Mississippi","isDefault":true,"maskCriteriaOnly":false,"definition":"","keyProductQueryItem":"227199","comparisonOperation":0,"comparisonValue":"300","minimumVersion":"","maximumVersion":"","formOrder":0,"lowerBound":null,"enabled":true,"mask":"","maskKey":"","keyItemMaskOfField":null,"keyOptionIdReplace":"","relatedOptionIds":[],"onlineServices":[],"childCriteriaItemList":[],"clientContextJson":""},{"keyOptionId":"1533","caption":"North Carolina","isDefault":true,"maskCriteriaOnly":false,"definition":"","keyProductQueryItem":"227199","comparisonOperation":0,"comparisonValue":"301","minimumVersion":"","maximumVersion":"","formOrder":0,"lowerBound":null,"enabled":true,"mask":"","maskKey":"","keyItemMaskOfField":null,"keyOptionIdReplace":"","relatedOptionIds":[],"onlineServices":[],"childCriteriaItemList":[],"clientContextJson":""},{"keyOptionId":"1534","caption":"South Carolina","isDefault":true,"maskCriteriaOnly":false,"definition":"","keyProductQueryItem":"227199","comparisonOperation":0,"comparisonValue":"302","minimumVersion":"","maximumVersion":"","formOrder":0,"lowerBound":null,"enabled":true,"mask":"","maskKey":"","keyItemMaskOfField":null,"keyOptionIdReplace":"","relatedOptionIds":[],"onlineServices":[],"childCriteriaItemList":[],"clientContextJson":""},{"keyOptionId":"1535","caption":"Tennessee","isDefault":true,"maskCriteriaOnly":false,"definition":"","keyProductQueryItem":"227199","comparisonOperation":0,"comparisonValue":"303","minimumVersion":"","maximumVersion":"","formOrder":0,"lowerBound":null,"enabled":true,"mask":"","maskKey":"","keyItemMaskOfField":null,"keyOptionIdReplace":"","relatedOptionIds":[],"onlineServices":[],"childCriteriaItemList":[],"clientContextJson":""},{"keyOptionId":"1536","caption":"Virgin Islands, U.S.","isDefault":true,"maskCriteriaOnly":false,"definition":"","keyProductQueryItem":"227199","comparisonOperation":0,"comparisonValue":"305","minimumVersion":"","maximumVersion":"","formOrder":0,"lowerBound":null,"enabled":true,"mask":"","maskKey":"","keyItemMaskOfField":null,"keyOptionIdReplace":"","relatedOptionIds":[],"onlineServices":[],"childCriteriaItemList":[],"clientContextJson":""},{"keyOptionId":"1537","caption":"Virginia","isDefault":true,"maskCriteriaOnly":false,"definition":"","keyProductQueryItem":"227199","comparisonOperation":0,"comparisonValue":"304","minimumVersion":"","maximumVersion":"","formOrder":0,"lowerBound":null,"enabled":true,"mask":"","maskKey":"","keyItemMaskOfField":null,"keyOptionIdReplace":"","relatedOptionIds":[],"onlineServices":[],"childCriteriaItemList":[],"clientContextJson":""},{"keyOptionId":"1538","caption":"West Virginia","isDefault":true,"maskCriteriaOnly":false,"definition":"","keyProductQueryItem":"227199","comparisonOperation":0,"comparisonValue":"306","minimumVersion":"","maximumVersion":"","formOrder":0,"lowerBound":null,"enabled":true,"mask":"","maskKey":"","keyItemMaskOfField":null,"keyOptionIdReplace":"","relatedOptionIds":[],"onlineServices":[],"childCriteriaItemList":[],"clientContextJson":""}],"clientContextJson":""},{"keyOptionId":"1500","caption":"Southwest","isDefault":false,"maskCriteriaOnly":true,"definition":"","keyProductQueryItem":"","comparisonOperation":null,"comparisonValue":"","minimumVersion":"","maximumVersion":"","formOrder":0,"lowerBound":null,"enabled":true,"mask":"","maskKey":"","keyItemMaskOfField":null,"keyOptionIdReplace":"","relatedOptionIds":[],"onlineServices":[],"childCriteriaItemList":[{"keyOptionId":"1539","caption":"Colorado","isDefault":true,"maskCriteriaOnly":false,"definition":"","keyProductQueryItem":"227199","comparisonOperation":0,"comparisonValue":"307","minimumVersion":"","maximumVersion":"","formOrder":0,"lowerBound":null,"enabled":true,"mask":"","maskKey":"","keyItemMaskOfField":null,"keyOptionIdReplace":"","relatedOptionIds":[],"onlineServices":[],"childCriteriaItemList":[],"clientContextJson":""},{"keyOptionId":"1540","caption":"Louisiana","isDefault":true,"maskCriteriaOnly":false,"definition":"","keyProductQueryItem":"227199","comparisonOperation":0,"comparisonValue":"308","minimumVersion":"","maximumVersion":"","formOrder":0,"lowerBound":null,"enabled":true,"mask":"","maskKey":"","keyItemMaskOfField":null,"keyOptionIdReplace":"","relatedOptionIds":[],"onlineServices":[],"childCriteriaItemList":[],"clientContextJson":""},{"keyOptionId":"1541","caption":"New Mexico","isDefault":true,"maskCriteriaOnly":false,"definition":"","keyProductQueryItem":"227199","comparisonOperation":0,"comparisonValue":"309","minimumVersion":"","maximumVersion":"","formOrder":0,"lowerBound":null,"enabled":true,"mask":"","maskKey":"","keyItemMaskOfField":null,"keyOptionIdReplace":"","relatedOptionIds":[],"onlineServices":[],"childCriteriaItemList":[],"clientContextJson":""},{"keyOptionId":"1542","caption":"Oklahoma","isDefault":true,"maskCriteriaOnly":false,"definition":"","keyProductQueryItem":"227199","comparisonOperation":0,"comparisonValue":"310","minimumVersion":"","maximumVersion":"","formOrder":0,"lowerBound":null,"enabled":true,"mask":"","maskKey":"","keyItemMaskOfField":null,"keyOptionIdReplace":"","relatedOptionIds":[],"onlineServices":[],"childCriteriaItemList":[],"clientContextJson":""},{"keyOptionId":"1543","caption":"Texas","isDefault":true,"maskCriteriaOnly":false,"definition":"","keyProductQueryItem":"227199","comparisonOperation":0,"comparisonValue":"311","minimumVersion":"","maximumVersion":"","formOrder":0,"lowerBound":null,"enabled":true,"mask":"","maskKey":"","keyItemMaskOfField":null,"keyOptionIdReplace":"","relatedOptionIds":[],"onlineServices":[],"childCriteriaItemList":[],"clientContextJson":""},{"keyOptionId":"1544","caption":"Utah","isDefault":true,"maskCriteriaOnly":false,"definition":"","keyProductQueryItem":"227199","comparisonOperation":0,"comparisonValue":"312","minimumVersion":"","maximumVersion":"","formOrder":0,"lowerBound":null,"enabled":true,"mask":"","maskKey":"","keyItemMaskOfField":null,"keyOptionIdReplace":"","relatedOptionIds":[],"onlineServices":[],"childCriteriaItemList":[],"clientContextJson":""}],"clientContextJson":""},{"keyOptionId":"1501","caption":"West","isDefault":false,"maskCriteriaOnly":true,"definition":"","keyProductQueryItem":"","comparisonOperation":null,"comparisonValue":"","minimumVersion":"","maximumVersion":"","formOrder":0,"lowerBound":null,"enabled":true,"mask":"","maskKey":"","keyItemMaskOfField":null,"keyOptionIdReplace":"","relatedOptionIds":[],"onlineServ</t>
  </si>
  <si>
    <t>ices":[],"childCriteriaItemList":[{"keyOptionId":"1545","caption":"Alaska","isDefault":true,"maskCriteriaOnly":false,"definition":"","keyProductQueryItem":"227199","comparisonOperation":0,"comparisonValue":"313","minimumVersion":"","maximumVersion":"","formOrder":0,"lowerBound":null,"enabled":true,"mask":"","maskKey":"","keyItemMaskOfField":null,"keyOptionIdReplace":"","relatedOptionIds":[],"onlineServices":[],"childCriteriaItemList":[],"clientContextJson":""},{"keyOptionId":"1546","caption":"American Samoa","isDefault":true,"maskCriteriaOnly":false,"definition":"","keyProductQueryItem":"227199","comparisonOperation":0,"comparisonValue":"314","minimumVersion":"","maximumVersion":"","formOrder":0,"lowerBound":null,"enabled":true,"mask":"","maskKey":"","keyItemMaskOfField":null,"keyOptionIdReplace":"","relatedOptionIds":[],"onlineServices":[],"childCriteriaItemList":[],"clientContextJson":""},{"keyOptionId":"1547","caption":"Arizona","isDefault":true,"maskCriteriaOnly":false,"definition":"","keyProductQueryItem":"227199","comparisonOperation":0,"comparisonValue":"315","minimumVersion":"","maximumVersion":"","formOrder":0,"lowerBound":null,"enabled":true,"mask":"","maskKey":"","keyItemMaskOfField":null,"keyOptionIdReplace":"","relatedOptionIds":[],"onlineServices":[],"childCriteriaItemList":[],"clientContextJson":""},{"keyOptionId":"1548","caption":"California","isDefault":true,"maskCriteriaOnly":false,"definition":"","keyProductQueryItem":"227199","comparisonOperation":0,"comparisonValue":"316","minimumVersion":"","maximumVersion":"","formOrder":0,"lowerBound":null,"enabled":true,"mask":"","maskKey":"","keyItemMaskOfField":null,"keyOptionIdReplace":"","relatedOptionIds":[],"onlineServices":[],"childCriteriaItemList":[],"clientContextJson":""},{"keyOptionId":"1549","caption":"Guam","isDefault":true,"maskCriteriaOnly":false,"definition":"","keyProductQueryItem":"227199","comparisonOperation":0,"comparisonValue":"318","minimumVersion":"","maximumVersion":"","formOrder":0,"lowerBound":null,"enabled":true,"mask":"","maskKey":"","keyItemMaskOfField":null,"keyOptionIdReplace":"","relatedOptionIds":[],"onlineServices":[],"childCriteriaItemList":[],"clientContextJson":""},{"keyOptionId":"1550","caption":"Hawaii","isDefault":true,"maskCriteriaOnly":false,"definition":"","keyProductQueryItem":"227199","comparisonOperation":0,"comparisonValue":"319","minimumVersion":"","maximumVersion":"","formOrder":0,"lowerBound":null,"enabled":true,"mask":"","maskKey":"","keyItemMaskOfField":null,"keyOptionIdReplace":"","relatedOptionIds":[],"onlineServices":[],"childCriteriaItemList":[],"clientContextJson":""},{"keyOptionId":"1551","caption":"Idaho","isDefault":true,"maskCriteriaOnly":false,"definition":"","keyProductQueryItem":"227199","comparisonOperation":0,"comparisonValue":"320","minimumVersion":"","maximumVersion":"","formOrder":0,"lowerBound":null,"enabled":true,"mask":"","maskKey":"","keyItemMaskOfField":null,"keyOptionIdReplace":"","relatedOptionIds":[],"onlineServices":[],"childCriteriaItemList":[],"clientContextJson":""},{"keyOptionId":"1552","caption":"Montana","isDefault":true,"maskCriteriaOnly":false,"definition":"","keyProductQueryItem":"227199","comparisonOperation":0,"comparisonValue":"323","minimumVersion":"","maximumVersion":"","formOrder":0,"lowerBound":null,"enabled":true,"mask":"","maskKey":"","keyItemMaskOfField":null,"keyOptionIdReplace":"","relatedOptionIds":[],"onlineServices":[],"childCriteriaItemList":[],"clientContextJson":""},{"keyOptionId":"1553","caption":"Nevada","isDefault":true,"maskCriteriaOnly":false,"definition":"","keyProductQueryItem":"227199","comparisonOperation":0,"comparisonValue":"324","minimumVersion":"","maximumVersion":"","formOrder":0,"lowerBound":null,"enabled":true,"mask":"","maskKey":"","keyItemMaskOfField":null,"keyOptionIdReplace":"","relatedOptionIds":[],"onlineServices":[],"childCriteriaItemList":[],"clientContextJson":""},{"keyOptionId":"1554","caption":"Northern Mariana Islands","isDefault":true,"maskCriteriaOnly":false,"definition":"","keyProductQueryItem":"227199","comparisonOperation":0,"comparisonValue":"322","minimumVersion":"","maximumVersion":"","formOrder":0,"lowerBound":null,"enabled":true,"mask":"","maskKey":"","keyItemMaskOfField":null,"keyOptionIdReplace":"","relatedOptionIds":[],"onlineServices":[],"childCriteriaItemList":[],"clientContextJson":""},{"keyOptionId":"1555","caption":"Oregon","isDefault":true,"maskCriteriaOnly":false,"definition":"","keyProductQueryItem":"227199","comparisonOperation":0,"comparisonValue":"325","minimumVersion":"","maximumVersion":"","formOrder":0,"lowerBound":null,"enabled":true,"mask":"","maskKey":"","keyItemMaskOfField":null,"keyOptionIdReplace":"","relatedOptionIds":[],"onlineServices":[],"childCriteriaItemList":[],"clientContextJson":""},{"keyOptionId":"1556","caption":"United States Minor Outlying Islands","isDefault":true,"maskCriteriaOnly":false,"definition":"","keyProductQueryItem":"227199","comparisonOperation":0,"comparisonValue":"327","minimumVersion":"","maximumVersion":"","formOrder":0,"lowerBound":null,"enabled":true,"mask":"","maskKey":"","keyItemMaskOfField":null,"keyOptionIdReplace":"","relatedOptionIds":[],"onlineServices":[],"childCriteriaItemList":[],"clientContextJson":""},{"keyOptionId":"1557","caption":"Washington","isDefault":true,"maskCriteriaOnly":false,"definition":"","keyProductQueryItem":"227199","comparisonOperation":0,"comparisonValue":"328","minimumVersion":"","maximumVersion":"","formOrder":0,"lowerBound":null,"enabled":true,"mask":"","maskKey":"","keyItemMaskOfField":null,"keyOptionIdReplace":"","relatedOptionIds":[],"onlineServices":[],"childCriteriaItemList":[],"clientContextJson":""},{"keyOptionId":"1558","caption":"Wyoming","isDefault":true,"maskCriteriaOnly":false,"definition":"","keyProductQueryItem":"227199","comparisonOperation":0,"comparisonValue":"329","minimumVersion":"","maximumVersion":"","formOrder":0,"lowerBound":null,"enabled":true,"mask":"","maskKey":"","keyItemMaskOfField":null,"keyOptionIdReplace":"","relatedOptionIds":[],"onlineServices":[],"childCriteriaItemList":[],"clientContextJson":""}],"clientContextJson":""}],"clientContextJson":""},{"keyOptionId":"1245","caption":"Canada","isDefault":true,"maskCriteriaOnly":false,"definition":"","keyProductQueryItem":"227199","comparisonOperation":0,"comparisonValue":"38","minimumVersion":"","maximumVersion":"","formOrder":0,"lowerBound":null,"enabled":true,"mask":"","maskKey":"","keyItemMaskOfField":null,"keyOptionIdReplace":"","relatedOptionIds":[],"onlineServices":[],"childCriteriaItemList":[],"clientContextJson":""},{"keyOptionId":"1246","caption":"Bermuda","isDefault":true,"maskCriteriaOnly":false,"definition":"","keyProductQueryItem":"227199","comparisonOperation":0,"comparisonValue":"12","minimumVersion":"","maximumVersion":"","formOrder":0,"lowerBound":null,"enabled":true,"mask":"","maskKey":"","keyItemMaskOfField":null,"keyOptionIdReplace":"","relatedOptionIds":[],"onlineServices":[],"childCriteriaItemList":[],"clientContextJson":""}],"clientContextJson":""},{"keyOptionId":"1247","caption":"Europe","isDefault":false,"maskCriteriaOnly":true,"definition":"","keyProductQueryItem":"","comparisonOperation":null,"comparisonValue":"","minimumVersion":"","maximumVersion":"","formOrder":0,"lowerBound":null,"enabled":true,"mask":"","maskKey":"","keyItemMaskOfField":null,"keyOptionIdReplace":"","relatedOptionIds":[],"onlineServices":[],"childCriteriaItemList":[{"keyOptionId":"1248","caption":"Developed Europe","isDefault":false,"maskCriteriaOnly":true,"definition":"","keyProductQueryItem":"","comparisonOperation":null,"comparisonValue":"","minimumVersion":"","maximumVersion</t>
  </si>
  <si>
    <t>":"","formOrder":0,"lowerBound":null,"enabled":true,"mask":"","maskKey":"","keyItemMaskOfField":null,"keyOptionIdReplace":"","relatedOptionIds":[],"onlineServices":[],"childCriteriaItemList":[{"keyOptionId":"1265","caption":"Andorra","isDefault":true,"maskCriteriaOnly":false,"definition":"","keyProductQueryItem":"227199","comparisonOperation":0,"comparisonValue":"170","minimumVersion":"","maximumVersion":"","formOrder":0,"lowerBound":null,"enabled":true,"mask":"","maskKey":"","keyItemMaskOfField":null,"keyOptionIdReplace":"","relatedOptionIds":[],"onlineServices":[],"childCriteriaItemList":[],"clientContextJson":""},{"keyOptionId":"1268","caption":"Austria","isDefault":true,"maskCriteriaOnly":false,"definition":"","keyProductQueryItem":"227199","comparisonOperation":0,"comparisonValue":"206","minimumVersion":"","maximumVersion":"","formOrder":0,"lowerBound":null,"enabled":true,"mask":"","maskKey":"","keyItemMaskOfField":null,"keyOptionIdReplace":"","relatedOptionIds":[],"onlineServices":[],"childCriteriaItemList":[],"clientContextJson":""},{"keyOptionId":"1258","caption":"Belgium","isDefault":true,"maskCriteriaOnly":false,"definition":"","keyProductQueryItem":"227199","comparisonOperation":0,"comparisonValue":"175","minimumVersion":"","maximumVersion":"","formOrder":0,"lowerBound":null,"enabled":true,"mask":"","maskKey":"","keyItemMaskOfField":null,"keyOptionIdReplace":"","relatedOptionIds":[],"onlineServices":[],"childCriteriaItemList":[],"clientContextJson":""},{"keyOptionId":"1269","caption":"Cyprus","isDefault":true,"maskCriteriaOnly":false,"definition":"","keyProductQueryItem":"227199","comparisonOperation":0,"comparisonValue":"126","minimumVersion":"","maximumVersion":"","formOrder":0,"lowerBound":null,"enabled":true,"mask":"","maskKey":"","keyItemMaskOfField":null,"keyOptionIdReplace":"","relatedOptionIds":[],"onlineServices":[],"childCriteriaItemList":[],"clientContextJson":""},{"keyOptionId":"1249","caption":"Czech Republic","isDefault":true,"maskCriteriaOnly":false,"definition":"","keyProductQueryItem":"227199","comparisonOperation":0,"comparisonValue":"207","minimumVersion":"","maximumVersion":"","formOrder":0,"lowerBound":null,"enabled":true,"mask":"","maskKey":"","keyItemMaskOfField":null,"keyOptionIdReplace":"","relatedOptionIds":[],"onlineServices":[],"childCriteriaItemList":[],"clientContextJson":""},{"keyOptionId":"1259","caption":"Denmark","isDefault":true,"maskCriteriaOnly":false,"definition":"","keyProductQueryItem":"227199","comparisonOperation":0,"comparisonValue":"209","minimumVersion":"","maximumVersion":"","formOrder":0,"lowerBound":null,"enabled":true,"mask":"","maskKey":"","keyItemMaskOfField":null,"keyOptionIdReplace":"","relatedOptionIds":[],"onlineServices":[],"childCriteriaItemList":[],"clientContextJson":""},{"keyOptionId":"1270","caption":"Finland","isDefault":true,"maskCriteriaOnly":false,"definition":"","keyProductQueryItem":"227199","comparisonOperation":0,"comparisonValue":"181","minimumVersion":"","maximumVersion":"","formOrder":0,"lowerBound":null,"enabled":true,"mask":"","maskKey":"","keyItemMaskOfField":null,"keyOptionIdReplace":"","relatedOptionIds":[],"onlineServices":[],"childCriteriaItemList":[],"clientContextJson":""},{"keyOptionId":"1251","caption":"France","isDefault":true,"maskCriteriaOnly":false,"definition":"","keyProductQueryItem":"227199","comparisonOperation":0,"comparisonValue":"183","minimumVersion":"","maximumVersion":"","formOrder":0,"lowerBound":null,"enabled":true,"mask":"","maskKey":"","keyItemMaskOfField":null,"keyOptionIdReplace":"","relatedOptionIds":[],"onlineServices":[],"childCriteriaItemList":[],"clientContextJson":""},{"keyOptionId":"1250","caption":"Germany","isDefault":true,"maskCriteriaOnly":false,"definition":"","keyProductQueryItem":"227199","comparisonOperation":0,"comparisonValue":"208","minimumVersion":"","maximumVersion":"","formOrder":0,"lowerBound":null,"enabled":true,"mask":"","maskKey":"","keyItemMaskOfField":null,"keyOptionIdReplace":"","relatedOptionIds":[],"onlineServices":[],"childCriteriaItemList":[],"clientContextJson":""},{"keyOptionId":"1252","caption":"Gibraltar","isDefault":true,"maskCriteriaOnly":false,"definition":"","keyProductQueryItem":"227199","comparisonOperation":0,"comparisonValue":"185","minimumVersion":"","maximumVersion":"","formOrder":0,"lowerBound":null,"enabled":true,"mask":"","maskKey":"","keyItemMaskOfField":null,"keyOptionIdReplace":"","relatedOptionIds":[],"onlineServices":[],"childCriteriaItemList":[],"clientContextJson":""},{"keyOptionId":"1255","caption":"Greece","isDefault":true,"maskCriteriaOnly":false,"definition":"","keyProductQueryItem":"227199","comparisonOperation":0,"comparisonValue":"186","minimumVersion":"","maximumVersion":"","formOrder":0,"lowerBound":null,"enabled":true,"mask":"","maskKey":"","keyItemMaskOfField":null,"keyOptionIdReplace":"","relatedOptionIds":[],"onlineServices":[],"childCriteriaItemList":[],"clientContextJson":""},{"keyOptionId":"1254","caption":"Greenland","isDefault":true,"maskCriteriaOnly":false,"definition":"","keyProductQueryItem":"227199","comparisonOperation":0,"comparisonValue":"19","minimumVersion":"","maximumVersion":"","formOrder":0,"lowerBound":null,"enabled":true,"mask":"","maskKey":"","keyItemMaskOfField":null,"keyOptionIdReplace":"","relatedOptionIds":[],"onlineServices":[],"childCriteriaItemList":[],"clientContextJson":""},{"keyOptionId":"1271","caption":"Iceland","isDefault":true,"maskCriteriaOnly":false,"definition":"","keyProductQueryItem":"227199","comparisonOperation":0,"comparisonValue":"189","minimumVersion":"","maximumVersion":"","formOrder":0,"lowerBound":null,"enabled":true,"mask":"","maskKey":"","keyItemMaskOfField":null,"keyOptionIdReplace":"","relatedOptionIds":[],"onlineServices":[],"childCriteriaItemList":[],"clientContextJson":""},{"keyOptionId":"1256","caption":"Ireland","isDefault":true,"maskCriteriaOnly":false,"definition":"","keyProductQueryItem":"227199","comparisonOperation":0,"comparisonValue":"212","minimumVersion":"","maximumVersion":"","formOrder":0,"lowerBound":null,"enabled":true,"mask":"","maskKey":"","keyItemMaskOfField":null,"keyOptionIdReplace":"","relatedOptionIds":[],"onlineServices":[],"childCriteriaItemList":[],"clientContextJson":""},{"keyOptionId":"1257","caption":"Italy","isDefault":true,"maskCriteriaOnly":false,"definition":"","keyProductQueryItem":"227199","comparisonOperation":0,"comparisonValue":"190","minimumVersion":"","maximumVersion":"","formOrder":0,"lowerBound":null,"enabled":true,"mask":"","maskKey":"","keyItemMaskOfField":null,"keyOptionIdReplace":"","relatedOptionIds":[],"onlineServices":[],"childCriteriaItemList":[],"clientContextJson":""},{"keyOptionId":"1266","caption":"Liechtenstein","isDefault":true,"maskCriteriaOnly":false,"definition":"","keyProductQueryItem":"227199","comparisonOperation":0,"comparisonValue":"213","minimumVersion":"","maximumVersion":"","formOrder":0,"lowerBound":null,"enabled":true,"mask":"","maskKey":"","keyItemMaskOfField":null,"keyOptionIdReplace":"","relatedOptionIds":[],"onlineServices":[],"childCriteriaItemList":[],"clientContextJson":""},{"keyOptionId":"1253","caption":"Luxembourg","isDefault":true,"maskCriteriaOnly":false,"definition":"","keyProductQueryItem":"227199","comparisonOperation":0,"comparisonValue":"214","minimumVersion":"","maximumVersion":"","formOrder":0,"lowerBound":null,"enabled":true,"mask":"","maskKey":"","keyItemMaskOfField":null,"keyOptionIdReplace":"","relatedOptionIds":[],"onlineServices":[],"childCriteriaItemList":[],"clientContextJson":""},{"keyOptionId":"1272","caption":"Malta","isDefault":true,"maskCriteriaOnly":false,"definition":"","keyProductQueryItem":"227199","comp</t>
  </si>
  <si>
    <t>arisonOperation":0,"comparisonValue":"195","minimumVersion":"","maximumVersion":"","formOrder":0,"lowerBound":null,"enabled":true,"mask":"","maskKey":"","keyItemMaskOfField":null,"keyOptionIdReplace":"","relatedOptionIds":[],"onlineServices":[],"childCriteriaItemList":[],"clientContextJson":""},{"keyOptionId":"1267","caption":"Monaco","isDefault":true,"maskCriteriaOnly":false,"definition":"","keyProductQueryItem":"227199","comparisonOperation":0,"comparisonValue":"215","minimumVersion":"","maximumVersion":"","formOrder":0,"lowerBound":null,"enabled":true,"mask":"","maskKey":"","keyItemMaskOfField":null,"keyOptionIdReplace":"","relatedOptionIds":[],"onlineServices":[],"childCriteriaItemList":[],"clientContextJson":""},{"keyOptionId":"1263","caption":"Netherlands","isDefault":true,"maskCriteriaOnly":false,"definition":"","keyProductQueryItem":"227199","comparisonOperation":0,"comparisonValue":"216","minimumVersion":"","maximumVersion":"","formOrder":0,"lowerBound":null,"enabled":true,"mask":"","maskKey":"","keyItemMaskOfField":null,"keyOptionIdReplace":"","relatedOptionIds":[],"onlineServices":[],"childCriteriaItemList":[],"clientContextJson":""},{"keyOptionId":"1260","caption":"Norway","isDefault":true,"maskCriteriaOnly":false,"definition":"","keyProductQueryItem":"227199","comparisonOperation":0,"comparisonValue":"196","minimumVersion":"","maximumVersion":"","formOrder":0,"lowerBound":null,"enabled":true,"mask":"","maskKey":"","keyItemMaskOfField":null,"keyOptionIdReplace":"","relatedOptionIds":[],"onlineServices":[],"childCriteriaItemList":[],"clientContextJson":""},{"keyOptionId":"1264","caption":"Portugal","isDefault":true,"maskCriteriaOnly":false,"definition":"","keyProductQueryItem":"227199","comparisonOperation":0,"comparisonValue":"218","minimumVersion":"","maximumVersion":"","formOrder":0,"lowerBound":null,"enabled":true,"mask":"","maskKey":"","keyItemMaskOfField":null,"keyOptionIdReplace":"","relatedOptionIds":[],"onlineServices":[],"childCriteriaItemList":[],"clientContextJson":""},{"keyOptionId":"1273","caption":"San Marino","isDefault":true,"maskCriteriaOnly":false,"definition":"","keyProductQueryItem":"227199","comparisonOperation":0,"comparisonValue":"202","minimumVersion":"","maximumVersion":"","formOrder":0,"lowerBound":null,"enabled":true,"mask":"","maskKey":"","keyItemMaskOfField":null,"keyOptionIdReplace":"","relatedOptionIds":[],"onlineServices":[],"childCriteriaItemList":[],"clientContextJson":""},{"keyOptionId":"1275","caption":"Slovakia","isDefault":true,"maskCriteriaOnly":false,"definition":"","keyProductQueryItem":"227199","comparisonOperation":0,"comparisonValue":"201","minimumVersion":"","maximumVersion":"","formOrder":0,"lowerBound":null,"enabled":true,"mask":"","maskKey":"","keyItemMaskOfField":null,"keyOptionIdReplace":"","relatedOptionIds":[],"onlineServices":[],"childCriteriaItemList":[],"clientContextJson":""},{"keyOptionId":"1274","caption":"Slovenia","isDefault":true,"maskCriteriaOnly":false,"definition":"","keyProductQueryItem":"227199","comparisonOperation":0,"comparisonValue":"199","minimumVersion":"","maximumVersion":"","formOrder":0,"lowerBound":null,"enabled":true,"mask":"","maskKey":"","keyItemMaskOfField":null,"keyOptionIdReplace":"","relatedOptionIds":[],"onlineServices":[],"childCriteriaItemList":[],"clientContextJson":""},{"keyOptionId":"1261","caption":"Spain","isDefault":true,"maskCriteriaOnly":false,"definition":"","keyProductQueryItem":"227199","comparisonOperation":0,"comparisonValue":"210","minimumVersion":"","maximumVersion":"","formOrder":0,"lowerBound":null,"enabled":true,"mask":"","maskKey":"","keyItemMaskOfField":null,"keyOptionIdReplace":"","relatedOptionIds":[],"onlineServices":[],"childCriteriaItemList":[],"clientContextJson":""},{"keyOptionId":"1262","caption":"Sweden","isDefault":true,"maskCriteriaOnly":false,"definition":"","keyProductQueryItem":"227199","comparisonOperation":0,"comparisonValue":"219","minimumVersion":"","maximumVersion":"","formOrder":0,"lowerBound":null,"enabled":true,"mask":"","maskKey":"","keyItemMaskOfField":null,"keyOptionIdReplace":"","relatedOptionIds":[],"onlineServices":[],"childCriteriaItemList":[],"clientContextJson":""},{"keyOptionId":"1277","caption":"Switzerland","isDefault":true,"maskCriteriaOnly":false,"definition":"","keyProductQueryItem":"227199","comparisonOperation":0,"comparisonValue":"178","minimumVersion":"","maximumVersion":"","formOrder":0,"lowerBound":null,"enabled":true,"mask":"","maskKey":"","keyItemMaskOfField":null,"keyOptionIdReplace":"","relatedOptionIds":[],"onlineServices":[],"childCriteriaItemList":[],"clientContextJson":""},{"keyOptionId":"1278","caption":"United Kingdom","isDefault":true,"maskCriteriaOnly":false,"definition":"","keyProductQueryItem":"227199","comparisonOperation":0,"comparisonValue":"211","minimumVersion":"","maximumVersion":"","formOrder":0,"lowerBound":null,"enabled":true,"mask":"","maskKey":"","keyItemMaskOfField":null,"keyOptionIdReplace":"","relatedOptionIds":[],"onlineServices":[],"childCriteriaItemList":[],"clientContextJson":""},{"keyOptionId":"1276","caption":"Vatican City","isDefault":true,"maskCriteriaOnly":false,"definition":"","keyProductQueryItem":"227199","comparisonOperation":0,"comparisonValue":"205","minimumVersion":"","maximumVersion":"","formOrder":0,"lowerBound":null,"enabled":true,"mask":"","maskKey":"","keyItemMaskOfField":null,"keyOptionIdReplace":"","relatedOptionIds":[],"onlineServices":[],"childCriteriaItemList":[],"clientContextJson":""}],"clientContextJson":""},{"keyOptionId":"1279","caption":"Emerging Europe","isDefault":false,"maskCriteriaOnly":true,"definition":"","keyProductQueryItem":"","comparisonOperation":null,"comparisonValue":"","minimumVersion":"","maximumVersion":"","formOrder":0,"lowerBound":null,"enabled":true,"mask":"","maskKey":"","keyItemMaskOfField":null,"keyOptionIdReplace":"","relatedOptionIds":[],"onlineServices":[],"childCriteriaItemList":[{"keyOptionId":"1280","caption":"Åland Islands","isDefault":true,"maskCriteriaOnly":false,"definition":"","keyProductQueryItem":"227199","comparisonOperation":0,"comparisonValue":"172","minimumVersion":"","maximumVersion":"","formOrder":0,"lowerBound":null,"enabled":true,"mask":"","maskKey":"","keyItemMaskOfField":null,"keyOptionIdReplace":"","relatedOptionIds":[],"onlineServices":[],"childCriteriaItemList":[],"clientContextJson":""},{"keyOptionId":"1286","caption":"Albania","isDefault":true,"maskCriteriaOnly":false,"definition":"","keyProductQueryItem":"227199","comparisonOperation":0,"comparisonValue":"171","minimumVersion":"","maximumVersion":"","formOrder":0,"lowerBound":null,"enabled":true,"mask":"","maskKey":"","keyItemMaskOfField":null,"keyOptionIdReplace":"","relatedOptionIds":[],"onlineServices":[],"childCriteriaItemList":[],"clientContextJson":""},{"keyOptionId":"1287","caption":"Armenia","isDefault":true,"maskCriteriaOnly":false,"definition":"","keyProductQueryItem":"227199","comparisonOperation":0,"comparisonValue":"120","minimumVersion":"","maximumVersion":"","formOrder":0,"lowerBound":null,"enabled":true,"mask":"","maskKey":"","keyItemMaskOfField":null,"keyOptionIdReplace":"","relatedOptionIds":[],"onlineServices":[],"childCriteriaItemList":[],"clientContextJson":""},{"keyOptionId":"1281","caption":"Azerbaijan","isDefault":true,"maskCriteriaOnly":false,"definition":"","keyProductQueryItem":"227199","comparisonOperation":0,"comparisonValue":"173","minimumVersion":"","maximumVersion":"","formOrder":0,"lowerBound":null,"enabled":true,"mask":"","maskKey":"","keyItemMaskOfField":null,"keyOptionIdReplace":"","relatedOptionIds":[],"onlineServices":[],"childCriteriaItemList":[],"clientContextJson":""},{"keyOptionId</t>
  </si>
  <si>
    <t>":"1288","caption":"Belarus","isDefault":true,"maskCriteriaOnly":false,"definition":"","keyProductQueryItem":"227199","comparisonOperation":0,"comparisonValue":"177","minimumVersion":"","maximumVersion":"","formOrder":0,"lowerBound":null,"enabled":true,"mask":"","maskKey":"","keyItemMaskOfField":null,"keyOptionIdReplace":"","relatedOptionIds":[],"onlineServices":[],"childCriteriaItemList":[],"clientContextJson":""},{"keyOptionId":"1282","caption":"Bosnia &amp; Herzegovina","isDefault":true,"maskCriteriaOnly":false,"definition":"","keyProductQueryItem":"227199","comparisonOperation":0,"comparisonValue":"174","minimumVersion":"","maximumVersion":"","formOrder":0,"lowerBound":null,"enabled":true,"mask":"","maskKey":"","keyItemMaskOfField":null,"keyOptionIdReplace":"","relatedOptionIds":[],"onlineServices":[],"childCriteriaItemList":[],"clientContextJson":""},{"keyOptionId":"1289","caption":"Bulgaria","isDefault":true,"maskCriteriaOnly":false,"definition":"","keyProductQueryItem":"227199","comparisonOperation":0,"comparisonValue":"176","minimumVersion":"","maximumVersion":"","formOrder":0,"lowerBound":null,"enabled":true,"mask":"","maskKey":"","keyItemMaskOfField":null,"keyOptionIdReplace":"","relatedOptionIds":[],"onlineServices":[],"childCriteriaItemList":[],"clientContextJson":""},{"keyOptionId":"1290","caption":"Croatia","isDefault":true,"maskCriteriaOnly":false,"definition":"","keyProductQueryItem":"227199","comparisonOperation":0,"comparisonValue":"187","minimumVersion":"","maximumVersion":"","formOrder":0,"lowerBound":null,"enabled":true,"mask":"","maskKey":"","keyItemMaskOfField":null,"keyOptionIdReplace":"","relatedOptionIds":[],"onlineServices":[],"childCriteriaItemList":[],"clientContextJson":""},{"keyOptionId":"1291","caption":"Estonia","isDefault":true,"maskCriteriaOnly":false,"definition":"","keyProductQueryItem":"227199","comparisonOperation":0,"comparisonValue":"180","minimumVersion":"","maximumVersion":"","formOrder":0,"lowerBound":null,"enabled":true,"mask":"","maskKey":"","keyItemMaskOfField":null,"keyOptionIdReplace":"","relatedOptionIds":[],"onlineServices":[],"childCriteriaItemList":[],"clientContextJson":""},{"keyOptionId":"1283","caption":"Faroe Islands","isDefault":true,"maskCriteriaOnly":false,"definition":"","keyProductQueryItem":"227199","comparisonOperation":0,"comparisonValue":"182","minimumVersion":"","maximumVersion":"","formOrder":0,"lowerBound":null,"enabled":true,"mask":"","maskKey":"","keyItemMaskOfField":null,"keyOptionIdReplace":"","relatedOptionIds":[],"onlineServices":[],"childCriteriaItemList":[],"clientContextJson":""},{"keyOptionId":"1285","caption":"Georgia","isDefault":true,"maskCriteriaOnly":false,"definition":"","keyProductQueryItem":"227199","comparisonOperation":0,"comparisonValue":"184","minimumVersion":"","maximumVersion":"","formOrder":0,"lowerBound":null,"enabled":true,"mask":"","maskKey":"","keyItemMaskOfField":null,"keyOptionIdReplace":"","relatedOptionIds":[],"onlineServices":[],"childCriteriaItemList":[],"clientContextJson":""},{"keyOptionId":"1292","caption":"Hungary","isDefault":true,"maskCriteriaOnly":false,"definition":"","keyProductQueryItem":"227199","comparisonOperation":0,"comparisonValue":"188","minimumVersion":"","maximumVersion":"","formOrder":0,"lowerBound":null,"enabled":true,"mask":"","maskKey":"","keyItemMaskOfField":null,"keyOptionIdReplace":"","relatedOptionIds":[],"onlineServices":[],"childCriteriaItemList":[],"clientContextJson":""},{"keyOptionId":"1341","caption":"Kazakhstan","isDefault":true,"maskCriteriaOnly":false,"definition":"","keyProductQueryItem":"227199","comparisonOperation":0,"comparisonValue":"138","minimumVersion":"","maximumVersion":"","formOrder":0,"lowerBound":null,"enabled":true,"mask":"","maskKey":"","keyItemMaskOfField":null,"keyOptionIdReplace":"","relatedOptionIds":[],"onlineServices":[],"childCriteriaItemList":[],"clientContextJson":""},{"keyOptionId":"1328","caption":"Kyrgyzstan","isDefault":true,"maskCriteriaOnly":false,"definition":"","keyProductQueryItem":"227199","comparisonOperation":0,"comparisonValue":"134","minimumVersion":"","maximumVersion":"","formOrder":0,"lowerBound":null,"enabled":true,"mask":"","maskKey":"","keyItemMaskOfField":null,"keyOptionIdReplace":"","relatedOptionIds":[],"onlineServices":[],"childCriteriaItemList":[],"clientContextJson":""},{"keyOptionId":"1293","caption":"Latvia","isDefault":true,"maskCriteriaOnly":false,"definition":"","keyProductQueryItem":"227199","comparisonOperation":0,"comparisonValue":"192","minimumVersion":"","maximumVersion":"","formOrder":0,"lowerBound":null,"enabled":true,"mask":"","maskKey":"","keyItemMaskOfField":null,"keyOptionIdReplace":"","relatedOptionIds":[],"onlineServices":[],"childCriteriaItemList":[],"clientContextJson":""},{"keyOptionId":"1294","caption":"Lithuania","isDefault":true,"maskCriteriaOnly":false,"definition":"","keyProductQueryItem":"227199","comparisonOperation":0,"comparisonValue":"191","minimumVersion":"","maximumVersion":"","formOrder":0,"lowerBound":null,"enabled":true,"mask":"","maskKey":"","keyItemMaskOfField":null,"keyOptionIdReplace":"","relatedOptionIds":[],"onlineServices":[],"childCriteriaItemList":[],"clientContextJson":""},{"keyOptionId":"1284","caption":"Macedonia","isDefault":true,"maskCriteriaOnly":false,"definition":"","keyProductQueryItem":"227199","comparisonOperation":0,"comparisonValue":"194","minimumVersion":"","maximumVersion":"","formOrder":0,"lowerBound":null,"enabled":true,"mask":"","maskKey":"","keyItemMaskOfField":null,"keyOptionIdReplace":"","relatedOptionIds":[],"onlineServices":[],"childCriteriaItemList":[],"clientContextJson":""},{"keyOptionId":"1295","caption":"Moldova","isDefault":true,"maskCriteriaOnly":false,"definition":"","keyProductQueryItem":"227199","comparisonOperation":0,"comparisonValue":"193","minimumVersion":"","maximumVersion":"","formOrder":0,"lowerBound":null,"enabled":true,"mask":"","maskKey":"","keyItemMaskOfField":null,"keyOptionIdReplace":"","relatedOptionIds":[],"onlineServices":[],"childCriteriaItemList":[],"clientContextJson":""},{"keyOptionId":"1952","caption":"Montenegro","isDefault":true,"maskCriteriaOnly":false,"definition":"","keyProductQueryItem":"227199","comparisonOperation":0,"comparisonValue":"997","minimumVersion":"","maximumVersion":"","formOrder":0,"lowerBound":null,"enabled":true,"mask":"","maskKey":"","keyItemMaskOfField":null,"keyOptionIdReplace":"","relatedOptionIds":[],"onlineServices":[],"childCriteriaItemList":[],"clientContextJson":""},{"keyOptionId":"1296","caption":"Poland","isDefault":true,"maskCriteriaOnly":false,"definition":"","keyProductQueryItem":"227199","comparisonOperation":0,"comparisonValue":"217","minimumVersion":"","maximumVersion":"","formOrder":0,"lowerBound":null,"enabled":true,"mask":"","maskKey":"","keyItemMaskOfField":null,"keyOptionIdReplace":"","relatedOptionIds":[],"onlineServices":[],"childCriteriaItemList":[],"clientContextJson":""},{"keyOptionId":"1298","caption":"Romania","isDefault":true,"maskCriteriaOnly":false,"definition":"","keyProductQueryItem":"227199","comparisonOperation":0,"comparisonValue":"197","minimumVersion":"","maximumVersion":"","formOrder":0,"lowerBound":null,"enabled":true,"mask":"","maskKey":"","keyItemMaskOfField":null,"keyOptionIdReplace":"","relatedOptionIds":[],"onlineServices":[],"childCriteriaItemList":[],"clientContextJson":""},{"keyOptionId":"1299","caption":"Russia","isDefault":true,"maskCriteriaOnly":false,"definition":"","keyProductQueryItem":"227199","comparisonOperation":0,"comparisonValue":"198","minimumVersion":"","maximumVersion":"","formOrder":0,"lowerBound":null,"enabled":true,"mask":"","maskKey":"","keyItemMaskOfField":null,"keyOpti</t>
  </si>
  <si>
    <t>onIdReplace":"","relatedOptionIds":[],"onlineServices":[],"childCriteriaItemList":[],"clientContextJson":""},{"keyOptionId":"1300","caption":"Serbia","isDefault":true,"maskCriteriaOnly":false,"definition":"","keyProductQueryItem":"227199","comparisonOperation":0,"comparisonValue":"179","minimumVersion":"","maximumVersion":"","formOrder":0,"lowerBound":null,"enabled":true,"mask":"","maskKey":"","keyItemMaskOfField":null,"keyOptionIdReplace":"","relatedOptionIds":[],"onlineServices":[],"childCriteriaItemList":[],"clientContextJson":""},{"keyOptionId":"1301","caption":"Svalbard","isDefault":true,"maskCriteriaOnly":false,"definition":"","keyProductQueryItem":"227199","comparisonOperation":0,"comparisonValue":"200","minimumVersion":"","maximumVersion":"","formOrder":0,"lowerBound":null,"enabled":true,"mask":"","maskKey":"","keyItemMaskOfField":null,"keyOptionIdReplace":"","relatedOptionIds":[],"onlineServices":[],"childCriteriaItemList":[],"clientContextJson":""},{"keyOptionId":"1346","caption":"Tajikistan","isDefault":true,"maskCriteriaOnly":false,"definition":"","keyProductQueryItem":"227199","comparisonOperation":0,"comparisonValue":"155","minimumVersion":"","maximumVersion":"","formOrder":0,"lowerBound":null,"enabled":true,"mask":"","maskKey":"","keyItemMaskOfField":null,"keyOptionIdReplace":"","relatedOptionIds":[],"onlineServices":[],"childCriteriaItemList":[],"clientContextJson":""},{"keyOptionId":"1297","caption":"Turkey","isDefault":true,"maskCriteriaOnly":false,"definition":"","keyProductQueryItem":"227199","comparisonOperation":0,"comparisonValue":"203","minimumVersion":"","maximumVersion":"","formOrder":0,"lowerBound":null,"enabled":true,"mask":"","maskKey":"","keyItemMaskOfField":null,"keyOptionIdReplace":"","relatedOptionIds":[],"onlineServices":[],"childCriteriaItemList":[],"clientContextJson":""},{"keyOptionId":"1362","caption":"Turkmenistan","isDefault":true,"maskCriteriaOnly":false,"definition":"","keyProductQueryItem":"227199","comparisonOperation":0,"comparisonValue":"156","minimumVersion":"","maximumVersion":"","formOrder":0,"lowerBound":null,"enabled":true,"mask":"","maskKey":"","keyItemMaskOfField":null,"keyOptionIdReplace":"","relatedOptionIds":[],"onlineServices":[],"childCriteriaItemList":[],"clientContextJson":""},{"keyOptionId":"1302","caption":"Ukraine","isDefault":true,"maskCriteriaOnly":false,"definition":"","keyProductQueryItem":"227199","comparisonOperation":0,"comparisonValue":"204","minimumVersion":"","maximumVersion":"","formOrder":0,"lowerBound":null,"enabled":true,"mask":"","maskKey":"","keyItemMaskOfField":null,"keyOptionIdReplace":"","relatedOptionIds":[],"onlineServices":[],"childCriteriaItemList":[],"clientContextJson":""},{"keyOptionId":"1349","caption":"Uzbekistan","isDefault":true,"maskCriteriaOnly":false,"definition":"","keyProductQueryItem":"227199","comparisonOperation":0,"comparisonValue":"158","minimumVersion":"","maximumVersion":"","formOrder":0,"lowerBound":null,"enabled":true,"mask":"","maskKey":"","keyItemMaskOfField":null,"keyOptionIdReplace":"","relatedOptionIds":[],"onlineServices":[],"childCriteriaItemList":[],"clientContextJson":""}],"clientContextJson":""}],"clientContextJson":""},{"keyOptionId":"1303","caption":"Asia-Pacific","isDefault":false,"maskCriteriaOnly":true,"definition":"","keyProductQueryItem":"","comparisonOperation":null,"comparisonValue":"","minimumVersion":"","maximumVersion":"","formOrder":0,"lowerBound":null,"enabled":true,"mask":"","maskKey":"","keyItemMaskOfField":null,"keyOptionIdReplace":"","relatedOptionIds":[],"onlineServices":[],"childCriteriaItemList":[{"keyOptionId":"1304","caption":"Developed Asia-Pacific","isDefault":false,"maskCriteriaOnly":true,"definition":"","keyProductQueryItem":"","comparisonOperation":null,"comparisonValue":"","minimumVersion":"","maximumVersion":"","formOrder":0,"lowerBound":null,"enabled":true,"mask":"","maskKey":"","keyItemMaskOfField":null,"keyOptionIdReplace":"","relatedOptionIds":[],"onlineServices":[],"childCriteriaItemList":[{"keyOptionId":"1305","caption":"Australia","isDefault":true,"maskCriteriaOnly":false,"definition":"","keyProductQueryItem":"227199","comparisonOperation":0,"comparisonValue":"239","minimumVersion":"","maximumVersion":"","formOrder":0,"lowerBound":null,"enabled":true,"mask":"","maskKey":"","keyItemMaskOfField":null,"keyOptionIdReplace":"","relatedOptionIds":[],"onlineServices":[],"childCriteriaItemList":[],"clientContextJson":""},{"keyOptionId":"1306","caption":"Hong Kong","isDefault":true,"maskCriteriaOnly":false,"definition":"","keyProductQueryItem":"227199","comparisonOperation":0,"comparisonValue":"127","minimumVersion":"","maximumVersion":"","formOrder":0,"lowerBound":null,"enabled":true,"mask":"","maskKey":"","keyItemMaskOfField":null,"keyOptionIdReplace":"","relatedOptionIds":[],"onlineServices":[],"childCriteriaItemList":[],"clientContextJson":""},{"keyOptionId":"1307","caption":"Japan","isDefault":true,"maskCriteriaOnly":false,"definition":"","keyProductQueryItem":"227199","comparisonOperation":0,"comparisonValue":"133","minimumVersion":"","maximumVersion":"","formOrder":0,"lowerBound":null,"enabled":true,"mask":"","maskKey":"","keyItemMaskOfField":null,"keyOptionIdReplace":"","relatedOptionIds":[],"onlineServices":[],"childCriteriaItemList":[],"clientContextJson":""},{"keyOptionId":"1308","caption":"New Zealand","isDefault":true,"maskCriteriaOnly":false,"definition":"","keyProductQueryItem":"227199","comparisonOperation":0,"comparisonValue":"228","minimumVersion":"","maximumVersion":"","formOrder":0,"lowerBound":null,"enabled":true,"mask":"","maskKey":"","keyItemMaskOfField":null,"keyOptionIdReplace":"","relatedOptionIds":[],"onlineServices":[],"childCriteriaItemList":[],"clientContextJson":""},{"keyOptionId":"1310","caption":"Singapore","isDefault":true,"maskCriteriaOnly":false,"definition":"","keyProductQueryItem":"227199","comparisonOperation":0,"comparisonValue":"152","minimumVersion":"","maximumVersion":"","formOrder":0,"lowerBound":null,"enabled":true,"mask":"","maskKey":"","keyItemMaskOfField":null,"keyOptionIdReplace":"","relatedOptionIds":[],"onlineServices":[],"childCriteriaItemList":[],"clientContextJson":""},{"keyOptionId":"1309","caption":"South Korea","isDefault":true,"maskCriteriaOnly":false,"definition":"","keyProductQueryItem":"227199","comparisonOperation":0,"comparisonValue":"136","minimumVersion":"","maximumVersion":"","formOrder":0,"lowerBound":null,"enabled":true,"mask":"","maskKey":"","keyItemMaskOfField":null,"keyOptionIdReplace":"","relatedOptionIds":[],"onlineServices":[],"childCriteriaItemList":[],"clientContextJson":""},{"keyOptionId":"1311","caption":"Taiwan","isDefault":true,"maskCriteriaOnly":false,"definition":"","keyProductQueryItem":"227199","comparisonOperation":0,"comparisonValue":"169","minimumVersion":"","maximumVersion":"","formOrder":0,"lowerBound":null,"enabled":true,"mask":"","maskKey":"","keyItemMaskOfField":null,"keyOptionIdReplace":"","relatedOptionIds":[],"onlineServices":[],"childCriteriaItemList":[],"clientContextJson":""}],"clientContextJson":""},{"keyOptionId":"1312","caption":"Emerging Asia-Pacific","isDefault":false,"maskCriteriaOnly":true,"definition":"","keyProductQueryItem":"","comparisonOperation":null,"comparisonValue":"","minimumVersion":"","maximumVersion":"","formOrder":0,"lowerBound":null,"enabled":true,"mask":"","maskKey":"","keyItemMaskOfField":null,"keyOptionIdReplace":"","relatedOptionIds":[],"onlineServices":[],"childCriteriaItemList":[{"keyOptionId":"1361","caption":"Afghanistan","isDefault":true,"maskCriteriaOnly":false,"definition":"","keyProductQueryItem":"227199","comparisonOperation":0,"comparisonValue":"161","minimumVersio</t>
  </si>
  <si>
    <t>n":"","maximumVersion":"","formOrder":0,"lowerBound":null,"enabled":true,"mask":"","maskKey":"","keyItemMaskOfField":null,"keyOptionIdReplace":"","relatedOptionIds":[],"onlineServices":[],"childCriteriaItemList":[],"clientContextJson":""},{"keyOptionId":"1335","caption":"Bangladesh","isDefault":true,"maskCriteriaOnly":false,"definition":"","keyProductQueryItem":"227199","comparisonOperation":0,"comparisonValue":"121","minimumVersion":"","maximumVersion":"","formOrder":0,"lowerBound":null,"enabled":true,"mask":"","maskKey":"","keyItemMaskOfField":null,"keyOptionIdReplace":"","relatedOptionIds":[],"onlineServices":[],"childCriteriaItemList":[],"clientContextJson":""},{"keyOptionId":"1324","caption":"Bhutan","isDefault":true,"maskCriteriaOnly":false,"definition":"","keyProductQueryItem":"227199","comparisonOperation":0,"comparisonValue":"123","minimumVersion":"","maximumVersion":"","formOrder":0,"lowerBound":null,"enabled":true,"mask":"","maskKey":"","keyItemMaskOfField":null,"keyOptionIdReplace":"","relatedOptionIds":[],"onlineServices":[],"childCriteriaItemList":[],"clientContextJson":""},{"keyOptionId":"1333","caption":"Brunei","isDefault":true,"maskCriteriaOnly":false,"definition":"","keyProductQueryItem":"227199","comparisonOperation":0,"comparisonValue":"122","minimumVersion":"","maximumVersion":"","formOrder":0,"lowerBound":null,"enabled":true,"mask":"","maskKey":"","keyItemMaskOfField":null,"keyOptionIdReplace":"","relatedOptionIds":[],"onlineServices":[],"childCriteriaItemList":[],"clientContextJson":""},{"keyOptionId":"1325","caption":"Cambodia","isDefault":true,"maskCriteriaOnly":false,"definition":"","keyProductQueryItem":"227199","comparisonOperation":0,"comparisonValue":"135","minimumVersion":"","maximumVersion":"","formOrder":0,"lowerBound":null,"enabled":true,"mask":"","maskKey":"","keyItemMaskOfField":null,"keyOptionIdReplace":"","relatedOptionIds":[],"onlineServices":[],"childCriteriaItemList":[],"clientContextJson":""},{"keyOptionId":"1336","caption":"China","isDefault":true,"maskCriteriaOnly":false,"definition":"","keyProductQueryItem":"227199","comparisonOperation":0,"comparisonValue":"163","minimumVersion":"","maximumVersion":"","formOrder":0,"lowerBound":null,"enabled":true,"mask":"","maskKey":"","keyItemMaskOfField":null,"keyOptionIdReplace":"","relatedOptionIds":[],"onlineServices":[],"childCriteriaItemList":[],"clientContextJson":""},{"keyOptionId":"1316","caption":"Cook Islands","isDefault":true,"maskCriteriaOnly":false,"definition":"","keyProductQueryItem":"227199","comparisonOperation":0,"comparisonValue":"220","minimumVersion":"","maximumVersion":"","formOrder":0,"lowerBound":null,"enabled":true,"mask":"","maskKey":"","keyItemMaskOfField":null,"keyOptionIdReplace":"","relatedOptionIds":[],"onlineServices":[],"childCriteriaItemList":[],"clientContextJson":""},{"keyOptionId":"1338","caption":"Fiji","isDefault":true,"maskCriteriaOnly":false,"definition":"","keyProductQueryItem":"227199","comparisonOperation":0,"comparisonValue":"221","minimumVersion":"","maximumVersion":"","formOrder":0,"lowerBound":null,"enabled":true,"mask":"","maskKey":"","keyItemMaskOfField":null,"keyOptionIdReplace":"","relatedOptionIds":[],"onlineServices":[],"childCriteriaItemList":[],"clientContextJson":""},{"keyOptionId":"1354","caption":"French Polynesia","isDefault":true,"maskCriteriaOnly":false,"definition":"","keyProductQueryItem":"227199","comparisonOperation":0,"comparisonValue":"229","minimumVersion":"","maximumVersion":"","formOrder":0,"lowerBound":null,"enabled":true,"mask":"","maskKey":"","keyItemMaskOfField":null,"keyOptionIdReplace":"","relatedOptionIds":[],"onlineServices":[],"childCriteriaItemList":[],"clientContextJson":""},{"keyOptionId":"1339","caption":"India","isDefault":true,"maskCriteriaOnly":false,"definition":"","keyProductQueryItem":"227199","comparisonOperation":0,"comparisonValue":"128","minimumVersion":"","maximumVersion":"","formOrder":0,"lowerBound":null,"enabled":true,"mask":"","maskKey":"","keyItemMaskOfField":null,"keyOptionIdReplace":"","relatedOptionIds":[],"onlineServices":[],"childCriteriaItemList":[],"clientContextJson":""},{"keyOptionId":"1340","caption":"Indonesia","isDefault":true,"maskCriteriaOnly":false,"definition":"","keyProductQueryItem":"227199","comparisonOperation":0,"comparisonValue":"164","minimumVersion":"","maximumVersion":"","formOrder":0,"lowerBound":null,"enabled":true,"mask":"","maskKey":"","keyItemMaskOfField":null,"keyOptionIdReplace":"","relatedOptionIds":[],"onlineServices":[],"childCriteriaItemList":[],"clientContextJson":""},{"keyOptionId":"1342","caption":"Kiribati","isDefault":true,"maskCriteriaOnly":false,"definition":"","keyProductQueryItem":"227199","comparisonOperation":0,"comparisonValue":"222","minimumVersion":"","maximumVersion":"","formOrder":0,"lowerBound":null,"enabled":true,"mask":"","maskKey":"","keyItemMaskOfField":null,"keyOptionIdReplace":"","relatedOptionIds":[],"onlineServices":[],"childCriteriaItemList":[],"clientContextJson":""},{"keyOptionId":"1329","caption":"Laos","isDefault":true,"maskCriteriaOnly":false,"definition":"","keyProductQueryItem":"227199","comparisonOperation":0,"comparisonValue":"139","minimumVersion":"","maximumVersion":"","formOrder":0,"lowerBound":null,"enabled":true,"mask":"","maskKey":"","keyItemMaskOfField":null,"keyOptionIdReplace":"","relatedOptionIds":[],"onlineServices":[],"childCriteriaItemList":[],"clientContextJson":""},{"keyOptionId":"1330","caption":"Macau","isDefault":true,"maskCriteriaOnly":false,"definition":"","keyProductQueryItem":"227199","comparisonOperation":0,"comparisonValue":"144","minimumVersion":"","maximumVersion":"","formOrder":0,"lowerBound":null,"enabled":true,"mask":"","maskKey":"","keyItemMaskOfField":null,"keyOptionIdReplace":"","relatedOptionIds":[],"onlineServices":[],"childCriteriaItemList":[],"clientContextJson":""},{"keyOptionId":"1331","caption":"Malaysia","isDefault":true,"maskCriteriaOnly":false,"definition":"","keyProductQueryItem":"227199","comparisonOperation":0,"comparisonValue":"146","minimumVersion":"","maximumVersion":"","formOrder":0,"lowerBound":null,"enabled":true,"mask":"","maskKey":"","keyItemMaskOfField":null,"keyOptionIdReplace":"","relatedOptionIds":[],"onlineServices":[],"childCriteriaItemList":[],"clientContextJson":""},{"keyOptionId":"1343","caption":"Maldives","isDefault":true,"maskCriteriaOnly":false,"definition":"","keyProductQueryItem":"227199","comparisonOperation":0,"comparisonValue":"145","minimumVersion":"","maximumVersion":"","formOrder":0,"lowerBound":null,"enabled":true,"mask":"","maskKey":"","keyItemMaskOfField":null,"keyOptionIdReplace":"","relatedOptionIds":[],"onlineServices":[],"childCriteriaItemList":[],"clientContextJson":""},{"keyOptionId":"1347","caption":"Marshall Islands","isDefault":true,"maskCriteriaOnly":false,"definition":"","keyProductQueryItem":"227199","comparisonOperation":0,"comparisonValue":"240","minimumVersion":"","maximumVersion":"","formOrder":0,"lowerBound":null,"enabled":true,"mask":"","maskKey":"","keyItemMaskOfField":null,"keyOptionIdReplace":"","relatedOptionIds":[],"onlineServices":[],"childCriteriaItemList":[],"clientContextJson":""},{"keyOptionId":"1332","caption":"Mongolia","isDefault":true,"maskCriteriaOnly":false,"definition":"","keyProductQueryItem":"227199","comparisonOperation":0,"comparisonValue":"143","minimumVersion":"","maximumVersion":"","formOrder":0,"lowerBound":null,"enabled":true,"mask":"","maskKey":"","keyItemMaskOfField":null,"keyOptionIdReplace":"","relatedOptionIds":[],"onlineServices":[],"childCriteriaItemList":[],"clientContextJson":""},{"keyOptionId":"1364","caption":"Myanmar","isDefault":true,"maskCriteriaOnly":fals</t>
  </si>
  <si>
    <t>e,"definition":"","keyProductQueryItem":"227199","comparisonOperation":0,"comparisonValue":"142","minimumVersion":"","maximumVersion":"","formOrder":0,"lowerBound":null,"enabled":true,"mask":"","maskKey":"","keyItemMaskOfField":null,"keyOptionIdReplace":"","relatedOptionIds":[],"onlineServices":[],"childCriteriaItemList":[],"clientContextJson":""},{"keyOptionId":"1344","caption":"Nauru","isDefault":true,"maskCriteriaOnly":false,"definition":"","keyProductQueryItem":"227199","comparisonOperation":0,"comparisonValue":"226","minimumVersion":"","maximumVersion":"","formOrder":0,"lowerBound":null,"enabled":true,"mask":"","maskKey":"","keyItemMaskOfField":null,"keyOptionIdReplace":"","relatedOptionIds":[],"onlineServices":[],"childCriteriaItemList":[],"clientContextJson":""},{"keyOptionId":"1320","caption":"Nepal","isDefault":true,"maskCriteriaOnly":false,"definition":"","keyProductQueryItem":"227199","comparisonOperation":0,"comparisonValue":"147","minimumVersion":"","maximumVersion":"","formOrder":0,"lowerBound":null,"enabled":true,"mask":"","maskKey":"","keyItemMaskOfField":null,"keyOptionIdReplace":"","relatedOptionIds":[],"onlineServices":[],"childCriteriaItemList":[],"clientContextJson":""},{"keyOptionId":"1356","caption":"New Caledonia","isDefault":true,"maskCriteriaOnly":false,"definition":"","keyProductQueryItem":"227199","comparisonOperation":0,"comparisonValue":"224","minimumVersion":"","maximumVersion":"","formOrder":0,"lowerBound":null,"enabled":true,"mask":"","maskKey":"","keyItemMaskOfField":null,"keyOptionIdReplace":"","relatedOptionIds":[],"onlineServices":[],"childCriteriaItemList":[],"clientContextJson":""},{"keyOptionId":"1334","caption":"Niue","isDefault":true,"maskCriteriaOnly":false,"definition":"","keyProductQueryItem":"227199","comparisonOperation":0,"comparisonValue":"227","minimumVersion":"","maximumVersion":"","formOrder":0,"lowerBound":null,"enabled":true,"mask":"","maskKey":"","keyItemMaskOfField":null,"keyOptionIdReplace":"","relatedOptionIds":[],"onlineServices":[],"childCriteriaItemList":[],"clientContextJson":""},{"keyOptionId":"1317","caption":"North Korea","isDefault":true,"maskCriteriaOnly":false,"definition":"","keyProductQueryItem":"227199","comparisonOperation":0,"comparisonValue":"166","minimumVersion":"","maximumVersion":"","formOrder":0,"lowerBound":null,"enabled":true,"mask":"","maskKey":"","keyItemMaskOfField":null,"keyOptionIdReplace":"","relatedOptionIds":[],"onlineServices":[],"childCriteriaItemList":[],"clientContextJson":""},{"keyOptionId":"1315","caption":"Northern Mariana","isDefault":true,"maskCriteriaOnly":false,"definition":"","keyProductQueryItem":"227199","comparisonOperation":0,"comparisonValue":"223","minimumVersion":"","maximumVersion":"","formOrder":0,"lowerBound":null,"enabled":true,"mask":"","maskKey":"","keyItemMaskOfField":null,"keyOptionIdReplace":"","relatedOptionIds":[],"onlineServices":[],"childCriteriaItemList":[],"clientContextJson":""},{"keyOptionId":"1323","caption":"Pakistan","isDefault":true,"maskCriteriaOnly":false,"definition":"","keyProductQueryItem":"227199","comparisonOperation":0,"comparisonValue":"149","minimumVersion":"","maximumVersion":"","formOrder":0,"lowerBound":null,"enabled":true,"mask":"","maskKey":"","keyItemMaskOfField":null,"keyOptionIdReplace":"","relatedOptionIds":[],"onlineServices":[],"childCriteriaItemList":[],"clientContextJson":""},{"keyOptionId":"1345","caption":"Palau","isDefault":true,"maskCriteriaOnly":false,"definition":"","keyProductQueryItem":"227199","comparisonOperation":0,"comparisonValue":"232","minimumVersion":"","maximumVersion":"","formOrder":0,"lowerBound":null,"enabled":true,"mask":"","maskKey":"","keyItemMaskOfField":null,"keyOptionIdReplace":"","relatedOptionIds":[],"onlineServices":[],"childCriteriaItemList":[],"clientContextJson":""},{"keyOptionId":"1321","caption":"Papua New Guinea","isDefault":true,"maskCriteriaOnly":false,"definition":"","keyProductQueryItem":"227199","comparisonOperation":0,"comparisonValue":"230","minimumVersion":"","maximumVersion":"","formOrder":0,"lowerBound":null,"enabled":true,"mask":"","maskKey":"","keyItemMaskOfField":null,"keyOptionIdReplace":"","relatedOptionIds":[],"onlineServices":[],"childCriteriaItemList":[],"clientContextJson":""},{"keyOptionId":"1348","caption":"Philippines","isDefault":true,"maskCriteriaOnly":false,"definition":"","keyProductQueryItem":"227199","comparisonOperation":0,"comparisonValue":"167","minimumVersion":"","maximumVersion":"","formOrder":0,"lowerBound":null,"enabled":true,"mask":"","maskKey":"","keyItemMaskOfField":null,"keyOptionIdReplace":"","relatedOptionIds":[],"onlineServices":[],"childCriteriaItemList":[],"clientContextJson":""},{"keyOptionId":"1322","caption":"Samoa","isDefault":true,"maskCriteriaOnly":false,"definition":"","keyProductQueryItem":"227199","comparisonOperation":0,"comparisonValue":"241","minimumVersion":"","maximumVersion":"","formOrder":0,"lowerBound":null,"enabled":true,"mask":"","maskKey":"","keyItemMaskOfField":null,"keyOptionIdReplace":"","relatedOptionIds":[],"onlineServices":[],"childCriteriaItemList":[],"clientContextJson":""},{"keyOptionId":"1352","caption":"Solomon Islands","isDefault":true,"maskCriteriaOnly":false,"definition":"","keyProductQueryItem":"227199","comparisonOperation":0,"comparisonValue":"233","minimumVersion":"","maximumVersion":"","formOrder":0,"lowerBound":null,"enabled":true,"mask":"","maskKey":"","keyItemMaskOfField":null,"keyOptionIdReplace":"","relatedOptionIds":[],"onlineServices":[],"childCriteriaItemList":[],"clientContextJson":""},{"keyOptionId":"1319","caption":"Sri Lanka","isDefault":true,"maskCriteriaOnly":false,"definition":"","keyProductQueryItem":"227199","comparisonOperation":0,"comparisonValue":"141","minimumVersion":"","maximumVersion":"","formOrder":0,"lowerBound":null,"enabled":true,"mask":"","maskKey":"","keyItemMaskOfField":null,"keyOptionIdReplace":"","relatedOptionIds":[],"onlineServices":[],"childCriteriaItemList":[],"clientContextJson":""},{"keyOptionId":"1326","caption":"Thailand","isDefault":true,"maskCriteriaOnly":false,"definition":"","keyProductQueryItem":"227199","comparisonOperation":0,"comparisonValue":"154","minimumVersion":"","maximumVersion":"","formOrder":0,"lowerBound":null,"enabled":true,"mask":"","maskKey":"","keyItemMaskOfField":null,"keyOptionIdReplace":"","relatedOptionIds":[],"onlineServices":[],"childCriteriaItemList":[],"clientContextJson":""},{"keyOptionId":"1318","caption":"Timor-Leste","isDefault":true,"maskCriteriaOnly":false,"definition":"","keyProductQueryItem":"227199","comparisonOperation":0,"comparisonValue":"157","minimumVersion":"","maximumVersion":"","formOrder":0,"lowerBound":null,"enabled":true,"mask":"","maskKey":"","keyItemMaskOfField":null,"keyOptionIdReplace":"","relatedOptionIds":[],"onlineServices":[],"childCriteriaItemList":[],"clientContextJson":""},{"keyOptionId":"1360","caption":"Tokelau","isDefault":true,"maskCriteriaOnly":false,"definition":"","keyProductQueryItem":"227199","comparisonOperation":0,"comparisonValue":"234","minimumVersion":"","maximumVersion":"","formOrder":0,"lowerBound":null,"enabled":true,"mask":"","maskKey":"","keyItemMaskOfField":null,"keyOptionIdReplace":"","relatedOptionIds":[],"onlineServices":[],"childCriteriaItemList":[],"clientContextJson":""},{"keyOptionId":"1327","caption":"Tonga","isDefault":true,"maskCriteriaOnly":false,"definition":"","keyProductQueryItem":"227199","comparisonOperation":0,"comparisonValue":"235","minimumVersion":"","maximumVersion":"","formOrder":0,"lowerBound":null,"enabled":true,"mask":"","maskKey":"","keyItemMaskOfField":null,"keyOptionIdReplace":"","relatedOptionIds":[],"onlineServices":[],"child</t>
  </si>
  <si>
    <t>CriteriaItemList":[],"clientContextJson":""},{"keyOptionId":"1363","caption":"Tuvalu","isDefault":true,"maskCriteriaOnly":false,"definition":"","keyProductQueryItem":"227199","comparisonOperation":0,"comparisonValue":"236","minimumVersion":"","maximumVersion":"","formOrder":0,"lowerBound":null,"enabled":true,"mask":"","maskKey":"","keyItemMaskOfField":null,"keyOptionIdReplace":"","relatedOptionIds":[],"onlineServices":[],"childCriteriaItemList":[],"clientContextJson":""},{"keyOptionId":"1350","caption":"Vanuatu","isDefault":true,"maskCriteriaOnly":false,"definition":"","keyProductQueryItem":"227199","comparisonOperation":0,"comparisonValue":"237","minimumVersion":"","maximumVersion":"","formOrder":0,"lowerBound":null,"enabled":true,"mask":"","maskKey":"","keyItemMaskOfField":null,"keyOptionIdReplace":"","relatedOptionIds":[],"onlineServices":[],"childCriteriaItemList":[],"clientContextJson":""},{"keyOptionId":"1351","caption":"Vietnam","isDefault":true,"maskCriteriaOnly":false,"definition":"","keyProductQueryItem":"227199","comparisonOperation":0,"comparisonValue":"159","minimumVersion":"","maximumVersion":"","formOrder":0,"lowerBound":null,"enabled":true,"mask":"","maskKey":"","keyItemMaskOfField":null,"keyOptionIdReplace":"","relatedOptionIds":[],"onlineServices":[],"childCriteriaItemList":[],"clientContextJson":""},{"keyOptionId":"1359","caption":"Wallis &amp; Futuna","isDefault":true,"maskCriteriaOnly":false,"definition":"","keyProductQueryItem":"227199","comparisonOperation":0,"comparisonValue":"238","minimumVersion":"","maximumVersion":"","formOrder":0,"lowerBound":null,"enabled":true,"mask":"","maskKey":"","keyItemMaskOfField":null,"keyOptionIdReplace":"","relatedOptionIds":[],"onlineServices":[],"childCriteriaItemList":[],"clientContextJson":""}],"clientContextJson":""}],"clientContextJson":""},{"keyOptionId":"1365","caption":"Middle East","isDefault":false,"maskCriteriaOnly":true,"definition":"","keyProductQueryItem":"","comparisonOperation":null,"comparisonValue":"","minimumVersion":"","maximumVersion":"","formOrder":0,"lowerBound":null,"enabled":true,"mask":"","maskKey":"","keyItemMaskOfField":null,"keyOptionIdReplace":"","relatedOptionIds":[],"onlineServices":[],"childCriteriaItemList":[{"keyOptionId":"1369","caption":"Bahrain","isDefault":true,"maskCriteriaOnly":false,"definition":"","keyProductQueryItem":"227199","comparisonOperation":0,"comparisonValue":"162","minimumVersion":"","maximumVersion":"","formOrder":0,"lowerBound":null,"enabled":true,"mask":"","maskKey":"","keyItemMaskOfField":null,"keyOptionIdReplace":"","relatedOptionIds":[],"onlineServices":[],"childCriteriaItemList":[],"clientContextJson":""},{"keyOptionId":"1366","caption":"Egypt","isDefault":true,"maskCriteriaOnly":false,"definition":"","keyProductQueryItem":"227199","comparisonOperation":0,"comparisonValue":"74","minimumVersion":"","maximumVersion":"","formOrder":0,"lowerBound":null,"enabled":true,"mask":"","maskKey":"","keyItemMaskOfField":null,"keyOptionIdReplace":"","relatedOptionIds":[],"onlineServices":[],"childCriteriaItemList":[],"clientContextJson":""},{"keyOptionId":"1368","caption":"Iran","isDefault":true,"maskCriteriaOnly":false,"definition":"","keyProductQueryItem":"227199","comparisonOperation":0,"comparisonValue":"131","minimumVersion":"","maximumVersion":"","formOrder":0,"lowerBound":null,"enabled":true,"mask":"","maskKey":"","keyItemMaskOfField":null,"keyOptionIdReplace":"","relatedOptionIds":[],"onlineServices":[],"childCriteriaItemList":[],"clientContextJson":""},{"keyOptionId":"1373","caption":"Iraq","isDefault":true,"maskCriteriaOnly":false,"definition":"","keyProductQueryItem":"227199","comparisonOperation":0,"comparisonValue":"130","minimumVersion":"","maximumVersion":"","formOrder":0,"lowerBound":null,"enabled":true,"mask":"","maskKey":"","keyItemMaskOfField":null,"keyOptionIdReplace":"","relatedOptionIds":[],"onlineServices":[],"childCriteriaItemList":[],"clientContextJson":""},{"keyOptionId":"1375","caption":"Israel","isDefault":true,"maskCriteriaOnly":false,"definition":"","keyProductQueryItem":"227199","comparisonOperation":0,"comparisonValue":"165","minimumVersion":"","maximumVersion":"","formOrder":0,"lowerBound":null,"enabled":true,"mask":"","maskKey":"","keyItemMaskOfField":null,"keyOptionIdReplace":"","relatedOptionIds":[],"onlineServices":[],"childCriteriaItemList":[],"clientContextJson":""},{"keyOptionId":"1367","caption":"Jordan","isDefault":true,"maskCriteriaOnly":false,"definition":"","keyProductQueryItem":"227199","comparisonOperation":0,"comparisonValue":"132","minimumVersion":"","maximumVersion":"","formOrder":0,"lowerBound":null,"enabled":true,"mask":"","maskKey":"","keyItemMaskOfField":null,"keyOptionIdReplace":"","relatedOptionIds":[],"onlineServices":[],"childCriteriaItemList":[],"clientContextJson":""},{"keyOptionId":"1376","caption":"Kuwait","isDefault":true,"maskCriteriaOnly":false,"definition":"","keyProductQueryItem":"227199","comparisonOperation":0,"comparisonValue":"137","minimumVersion":"","maximumVersion":"","formOrder":0,"lowerBound":null,"enabled":true,"mask":"","maskKey":"","keyItemMaskOfField":null,"keyOptionIdReplace":"","relatedOptionIds":[],"onlineServices":[],"childCriteriaItemList":[],"clientContextJson":""},{"keyOptionId":"1371","caption":"Lebanon","isDefault":true,"maskCriteriaOnly":false,"definition":"","keyProductQueryItem":"227199","comparisonOperation":0,"comparisonValue":"140","minimumVersion":"","maximumVersion":"","formOrder":0,"lowerBound":null,"enabled":true,"mask":"","maskKey":"","keyItemMaskOfField":null,"keyOptionIdReplace":"","relatedOptionIds":[],"onlineServices":[],"childCriteriaItemList":[],"clientContextJson":""},{"keyOptionId":"1378","caption":"Oman","isDefault":true,"maskCriteriaOnly":false,"definition":"","keyProductQueryItem":"227199","comparisonOperation":0,"comparisonValue":"148","minimumVersion":"","maximumVersion":"","formOrder":0,"lowerBound":null,"enabled":true,"mask":"","maskKey":"","keyItemMaskOfField":null,"keyOptionIdReplace":"","relatedOptionIds":[],"onlineServices":[],"childCriteriaItemList":[],"clientContextJson":""},{"keyOptionId":"1372","caption":"Palestine","isDefault":true,"maskCriteriaOnly":false,"definition":"","keyProductQueryItem":"227199","comparisonOperation":0,"comparisonValue":"150","minimumVersion":"","maximumVersion":"","formOrder":0,"lowerBound":null,"enabled":true,"mask":"","maskKey":"","keyItemMaskOfField":null,"keyOptionIdReplace":"","relatedOptionIds":[],"onlineServices":[],"childCriteriaItemList":[],"clientContextJson":""},{"keyOptionId":"1377","caption":"Qatar","isDefault":true,"maskCriteriaOnly":false,"definition":"","keyProductQueryItem":"227199","comparisonOperation":0,"comparisonValue":"151","minimumVersion":"","maximumVersion":"","formOrder":0,"lowerBound":null,"enabled":true,"mask":"","maskKey":"","keyItemMaskOfField":null,"keyOptionIdReplace":"","relatedOptionIds":[],"onlineServices":[],"childCriteriaItemList":[],"clientContextJson":""},{"keyOptionId":"1370","caption":"Saudi Arabia","isDefault":true,"maskCriteriaOnly":false,"definition":"","keyProductQueryItem":"227199","comparisonOperation":0,"comparisonValue":"168","minimumVersion":"","maximumVersion":"","formOrder":0,"lowerBound":null,"enabled":true,"mask":"","maskKey":"","keyItemMaskOfField":null,"keyOptionIdReplace":"","relatedOptionIds":[],"onlineServices":[],"childCriteriaItemList":[],"clientContextJson":""},{"keyOptionId":"1379","caption":"Syria","isDefault":true,"maskCriteriaOnly":false,"definition":"","keyProductQueryItem":"227199","comparisonOperation":0,"comparisonValue":"153","minimumVersion":"","maximumVersion":"","formOrder":0,"lowerBound":null,"enabled":true,"mask":"","m</t>
  </si>
  <si>
    <t>askKey":"","keyItemMaskOfField":null,"keyOptionIdReplace":"","relatedOptionIds":[],"onlineServices":[],"childCriteriaItemList":[],"clientContextJson":""},{"keyOptionId":"1380","caption":"United Arab Emirates","isDefault":true,"maskCriteriaOnly":false,"definition":"","keyProductQueryItem":"227199","comparisonOperation":0,"comparisonValue":"119","minimumVersion":"","maximumVersion":"","formOrder":0,"lowerBound":null,"enabled":true,"mask":"","maskKey":"","keyItemMaskOfField":null,"keyOptionIdReplace":"","relatedOptionIds":[],"onlineServices":[],"childCriteriaItemList":[],"clientContextJson":""},{"keyOptionId":"1374","caption":"Yemen","isDefault":true,"maskCriteriaOnly":false,"definition":"","keyProductQueryItem":"227199","comparisonOperation":0,"comparisonValue":"160","minimumVersion":"","maximumVersion":"","formOrder":0,"lowerBound":null,"enabled":true,"mask":"","maskKey":"","keyItemMaskOfField":null,"keyOptionIdReplace":"","relatedOptionIds":[],"onlineServices":[],"childCriteriaItemList":[],"clientContextJson":""}],"clientContextJson":""},{"keyOptionId":"1381","caption":"Latin America and Caribbean","isDefault":false,"maskCriteriaOnly":true,"definition":"","keyProductQueryItem":"","comparisonOperation":null,"comparisonValue":"","minimumVersion":"","maximumVersion":"","formOrder":0,"lowerBound":null,"enabled":true,"mask":"","maskKey":"","keyItemMaskOfField":null,"keyOptionIdReplace":"","relatedOptionIds":[],"onlineServices":[],"childCriteriaItemList":[{"keyOptionId":"1382","caption":"Anguilla","isDefault":true,"maskCriteriaOnly":false,"definition":"","keyProductQueryItem":"227199","comparisonOperation":0,"comparisonValue":"9","minimumVersion":"","maximumVersion":"","formOrder":0,"lowerBound":null,"enabled":true,"mask":"","maskKey":"","keyItemMaskOfField":null,"keyOptionIdReplace":"","relatedOptionIds":[],"onlineServices":[],"childCriteriaItemList":[],"clientContextJson":""},{"keyOptionId":"1383","caption":"Antigua and Barbuda","isDefault":true,"maskCriteriaOnly":false,"definition":"","keyProductQueryItem":"227199","comparisonOperation":0,"comparisonValue":"8","minimumVersion":"","maximumVersion":"","formOrder":0,"lowerBound":null,"enabled":true,"mask":"","maskKey":"","keyItemMaskOfField":null,"keyOptionIdReplace":"","relatedOptionIds":[],"onlineServices":[],"childCriteriaItemList":[],"clientContextJson":""},{"keyOptionId":"1384","caption":"Argentina","isDefault":true,"maskCriteriaOnly":false,"definition":"","keyProductQueryItem":"227199","comparisonOperation":0,"comparisonValue":"52","minimumVersion":"","maximumVersion":"","formOrder":0,"lowerBound":null,"enabled":true,"mask":"","maskKey":"","keyItemMaskOfField":null,"keyOptionIdReplace":"","relatedOptionIds":[],"onlineServices":[],"childCriteriaItemList":[],"clientContextJson":""},{"keyOptionId":"1385","caption":"Aruba","isDefault":true,"maskCriteriaOnly":false,"definition":"","keyProductQueryItem":"227199","comparisonOperation":0,"comparisonValue":"10","minimumVersion":"","maximumVersion":"","formOrder":0,"lowerBound":null,"enabled":true,"mask":"","maskKey":"","keyItemMaskOfField":null,"keyOptionIdReplace":"","relatedOptionIds":[],"onlineServices":[],"childCriteriaItemList":[],"clientContextJson":""},{"keyOptionId":"1392","caption":"Bahamas","isDefault":true,"maskCriteriaOnly":false,"definition":"","keyProductQueryItem":"227199","comparisonOperation":0,"comparisonValue":"37","minimumVersion":"","maximumVersion":"","formOrder":0,"lowerBound":null,"enabled":true,"mask":"","maskKey":"","keyItemMaskOfField":null,"keyOptionIdReplace":"","relatedOptionIds":[],"onlineServices":[],"childCriteriaItemList":[],"clientContextJson":""},{"keyOptionId":"1386","caption":"Barbados","isDefault":true,"maskCriteriaOnly":false,"definition":"","keyProductQueryItem":"227199","comparisonOperation":0,"comparisonValue":"11","minimumVersion":"","maximumVersion":"","formOrder":0,"lowerBound":null,"enabled":true,"mask":"","maskKey":"","keyItemMaskOfField":null,"keyOptionIdReplace":"","relatedOptionIds":[],"onlineServices":[],"childCriteriaItemList":[],"clientContextJson":""},{"keyOptionId":"1387","caption":"Belize","isDefault":true,"maskCriteriaOnly":false,"definition":"","keyProductQueryItem":"227199","comparisonOperation":0,"comparisonValue":"13","minimumVersion":"","maximumVersion":"","formOrder":0,"lowerBound":null,"enabled":true,"mask":"","maskKey":"","keyItemMaskOfField":null,"keyOptionIdReplace":"","relatedOptionIds":[],"onlineServices":[],"childCriteriaItemList":[],"clientContextJson":""},{"keyOptionId":"1406","caption":"Bolivia","isDefault":true,"maskCriteriaOnly":false,"definition":"","keyProductQueryItem":"227199","comparisonOperation":0,"comparisonValue":"43","minimumVersion":"","maximumVersion":"","formOrder":0,"lowerBound":null,"enabled":true,"mask":"","maskKey":"","keyItemMaskOfField":null,"keyOptionIdReplace":"","relatedOptionIds":[],"onlineServices":[],"childCriteriaItemList":[],"clientContextJson":""},{"keyOptionId":"3214","caption":"Bonaire","isDefault":true,"maskCriteriaOnly":false,"definition":"","keyProductQueryItem":"227199","comparisonOperation":0,"comparisonValue":"1119","minimumVersion":"","maximumVersion":"","formOrder":0,"lowerBound":null,"enabled":true,"mask":"","maskKey":"","keyItemMaskOfField":null,"keyOptionIdReplace":"","relatedOptionIds":[],"onlineServices":[],"childCriteriaItemList":[],"clientContextJson":""},{"keyOptionId":"1400","caption":"Brazil","isDefault":true,"maskCriteriaOnly":false,"definition":"","keyProductQueryItem":"227199","comparisonOperation":0,"comparisonValue":"53","minimumVersion":"","maximumVersion":"","formOrder":0,"lowerBound":null,"enabled":true,"mask":"","maskKey":"","keyItemMaskOfField":null,"keyOptionIdReplace":"","relatedOptionIds":[],"onlineServices":[],"childCriteriaItemList":[],"clientContextJson":""},{"keyOptionId":"1389","caption":"BVI","isDefault":true,"maskCriteriaOnly":false,"definition":"","keyProductQueryItem":"227199","comparisonOperation":0,"comparisonValue":"35","minimumVersion":"","maximumVersion":"","formOrder":0,"lowerBound":null,"enabled":true,"mask":"","maskKey":"","keyItemMaskOfField":null,"keyOptionIdReplace":"","relatedOptionIds":[],"onlineServices":[],"childCriteriaItemList":[],"clientContextJson":""},{"keyOptionId":"1390","caption":"Cayman Islands","isDefault":true,"maskCriteriaOnly":false,"definition":"","keyProductQueryItem":"227199","comparisonOperation":0,"comparisonValue":"41","minimumVersion":"","maximumVersion":"","formOrder":0,"lowerBound":null,"enabled":true,"mask":"","maskKey":"","keyItemMaskOfField":null,"keyOptionIdReplace":"","relatedOptionIds":[],"onlineServices":[],"childCriteriaItemList":[],"clientContextJson":""},{"keyOptionId":"1407","caption":"Chile","isDefault":true,"maskCriteriaOnly":false,"definition":"","keyProductQueryItem":"227199","comparisonOperation":0,"comparisonValue":"54","minimumVersion":"","maximumVersion":"","formOrder":0,"lowerBound":null,"enabled":true,"mask":"","maskKey":"","keyItemMaskOfField":null,"keyOptionIdReplace":"","relatedOptionIds":[],"onlineServices":[],"childCriteriaItemList":[],"clientContextJson":""},{"keyOptionId":"1426","caption":"Cocos Islands","isDefault":true,"maskCriteriaOnly":false,"definition":"","keyProductQueryItem":"227199","comparisonOperation":0,"comparisonValue":"124","minimumVersion":"","maximumVersion":"","formOrder":0,"lowerBound":null,"enabled":true,"mask":"","maskKey":"","keyItemMaskOfField":null,"keyOptionIdReplace":"","relatedOptionIds":[],"onlineServices":[],"childCriteriaItemList":[],"clientContextJson":""},{"keyOptionId":"1408","caption":"Colombia","isDefault":true,"maskCriteriaOnly":false,"definition":"","keyProductQueryItem":"227199","comparisonOperation":0,</t>
  </si>
  <si>
    <t>"comparisonValue":"44","minimumVersion":"","maximumVersion":"","formOrder":0,"lowerBound":null,"enabled":true,"mask":"","maskKey":"","keyItemMaskOfField":null,"keyOptionIdReplace":"","relatedOptionIds":[],"onlineServices":[],"childCriteriaItemList":[],"clientContextJson":""},{"keyOptionId":"1409","caption":"Costa Rica","isDefault":true,"maskCriteriaOnly":false,"definition":"","keyProductQueryItem":"227199","comparisonOperation":0,"comparisonValue":"14","minimumVersion":"","maximumVersion":"","formOrder":0,"lowerBound":null,"enabled":true,"mask":"","maskKey":"","keyItemMaskOfField":null,"keyOptionIdReplace":"","relatedOptionIds":[],"onlineServices":[],"childCriteriaItemList":[],"clientContextJson":""},{"keyOptionId":"1410","caption":"Cuba","isDefault":true,"maskCriteriaOnly":false,"definition":"","keyProductQueryItem":"227199","comparisonOperation":0,"comparisonValue":"15","minimumVersion":"","maximumVersion":"","formOrder":0,"lowerBound":null,"enabled":true,"mask":"","maskKey":"","keyItemMaskOfField":null,"keyOptionIdReplace":"","relatedOptionIds":[],"onlineServices":[],"childCriteriaItemList":[],"clientContextJson":""},{"keyOptionId":"3213","caption":"Curaçao","isDefault":true,"maskCriteriaOnly":false,"definition":"","keyProductQueryItem":"227199","comparisonOperation":0,"comparisonValue":"1118","minimumVersion":"","maximumVersion":"","formOrder":0,"lowerBound":null,"enabled":true,"mask":"","maskKey":"","keyItemMaskOfField":null,"keyOptionIdReplace":"","relatedOptionIds":[],"onlineServices":[],"childCriteriaItemList":[],"clientContextJson":""},{"keyOptionId":"1391","caption":"Dominica","isDefault":true,"maskCriteriaOnly":false,"definition":"","keyProductQueryItem":"227199","comparisonOperation":0,"comparisonValue":"16","minimumVersion":"","maximumVersion":"","formOrder":0,"lowerBound":null,"enabled":true,"mask":"","maskKey":"","keyItemMaskOfField":null,"keyOptionIdReplace":"","relatedOptionIds":[],"onlineServices":[],"childCriteriaItemList":[],"clientContextJson":""},{"keyOptionId":"1397","caption":"Dominican Republic","isDefault":true,"maskCriteriaOnly":false,"definition":"","keyProductQueryItem":"227199","comparisonOperation":0,"comparisonValue":"17","minimumVersion":"","maximumVersion":"","formOrder":0,"lowerBound":null,"enabled":true,"mask":"","maskKey":"","keyItemMaskOfField":null,"keyOptionIdReplace":"","relatedOptionIds":[],"onlineServices":[],"childCriteriaItemList":[],"clientContextJson":""},{"keyOptionId":"1411","caption":"Ecuador","isDefault":true,"maskCriteriaOnly":false,"definition":"","keyProductQueryItem":"227199","comparisonOperation":0,"comparisonValue":"55","minimumVersion":"","maximumVersion":"","formOrder":0,"lowerBound":null,"enabled":true,"mask":"","maskKey":"","keyItemMaskOfField":null,"keyOptionIdReplace":"","relatedOptionIds":[],"onlineServices":[],"childCriteriaItemList":[],"clientContextJson":""},{"keyOptionId":"1412","caption":"El Salvador","isDefault":true,"maskCriteriaOnly":false,"definition":"","keyProductQueryItem":"227199","comparisonOperation":0,"comparisonValue":"42","minimumVersion":"","maximumVersion":"","formOrder":0,"lowerBound":null,"enabled":true,"mask":"","maskKey":"","keyItemMaskOfField":null,"keyOptionIdReplace":"","relatedOptionIds":[],"onlineServices":[],"childCriteriaItemList":[],"clientContextJson":""},{"keyOptionId":"1398","caption":"Falkland Islands","isDefault":true,"maskCriteriaOnly":false,"definition":"","keyProductQueryItem":"227199","comparisonOperation":0,"comparisonValue":"45","minimumVersion":"","maximumVersion":"","formOrder":0,"lowerBound":null,"enabled":true,"mask":"","maskKey":"","keyItemMaskOfField":null,"keyOptionIdReplace":"","relatedOptionIds":[],"onlineServices":[],"childCriteriaItemList":[],"clientContextJson":""},{"keyOptionId":"1395","caption":"French Guiana","isDefault":true,"maskCriteriaOnly":false,"definition":"","keyProductQueryItem":"227199","comparisonOperation":0,"comparisonValue":"46","minimumVersion":"","maximumVersion":"","formOrder":0,"lowerBound":null,"enabled":true,"mask":"","maskKey":"","keyItemMaskOfField":null,"keyOptionIdReplace":"","relatedOptionIds":[],"onlineServices":[],"childCriteriaItemList":[],"clientContextJson":""},{"keyOptionId":"1401","caption":"Grenada","isDefault":true,"maskCriteriaOnly":false,"definition":"","keyProductQueryItem":"227199","comparisonOperation":0,"comparisonValue":"18","minimumVersion":"","maximumVersion":"","formOrder":0,"lowerBound":null,"enabled":true,"mask":"","maskKey":"","keyItemMaskOfField":null,"keyOptionIdReplace":"","relatedOptionIds":[],"onlineServices":[],"childCriteriaItemList":[],"clientContextJson":""},{"keyOptionId":"1394","caption":"Guadeloupe","isDefault":true,"maskCriteriaOnly":false,"definition":"","keyProductQueryItem":"227199","comparisonOperation":0,"comparisonValue":"20","minimumVersion":"","maximumVersion":"","formOrder":0,"lowerBound":null,"enabled":true,"mask":"","maskKey":"","keyItemMaskOfField":null,"keyOptionIdReplace":"","relatedOptionIds":[],"onlineServices":[],"childCriteriaItemList":[],"clientContextJson":""},{"keyOptionId":"1413","caption":"Guatemala","isDefault":true,"maskCriteriaOnly":false,"definition":"","keyProductQueryItem":"227199","comparisonOperation":0,"comparisonValue":"39","minimumVersion":"","maximumVersion":"","formOrder":0,"lowerBound":null,"enabled":true,"mask":"","maskKey":"","keyItemMaskOfField":null,"keyOptionIdReplace":"","relatedOptionIds":[],"onlineServices":[],"childCriteriaItemList":[],"clientContextJson":""},{"keyOptionId":"1393","caption":"Guyana","isDefault":true,"maskCriteriaOnly":false,"definition":"","keyProductQueryItem":"227199","comparisonOperation":0,"comparisonValue":"47","minimumVersion":"","maximumVersion":"","formOrder":0,"lowerBound":null,"enabled":true,"mask":"","maskKey":"","keyItemMaskOfField":null,"keyOptionIdReplace":"","relatedOptionIds":[],"onlineServices":[],"childCriteriaItemList":[],"clientContextJson":""},{"keyOptionId":"1414","caption":"Haiti","isDefault":true,"maskCriteriaOnly":false,"definition":"","keyProductQueryItem":"227199","comparisonOperation":0,"comparisonValue":"22","minimumVersion":"","maximumVersion":"","formOrder":0,"lowerBound":null,"enabled":true,"mask":"","maskKey":"","keyItemMaskOfField":null,"keyOptionIdReplace":"","relatedOptionIds":[],"onlineServices":[],"childCriteriaItemList":[],"clientContextJson":""},{"keyOptionId":"1415","caption":"Honduras","isDefault":true,"maskCriteriaOnly":false,"definition":"","keyProductQueryItem":"227199","comparisonOperation":0,"comparisonValue":"21","minimumVersion":"","maximumVersion":"","formOrder":0,"lowerBound":null,"enabled":true,"mask":"","maskKey":"","keyItemMaskOfField":null,"keyOptionIdReplace":"","relatedOptionIds":[],"onlineServices":[],"childCriteriaItemList":[],"clientContextJson":""},{"keyOptionId":"1402","caption":"Jamaica","isDefault":true,"maskCriteriaOnly":false,"definition":"","keyProductQueryItem":"227199","comparisonOperation":0,"comparisonValue":"23","minimumVersion":"","maximumVersion":"","formOrder":0,"lowerBound":null,"enabled":true,"mask":"","maskKey":"","keyItemMaskOfField":null,"keyOptionIdReplace":"","relatedOptionIds":[],"onlineServices":[],"childCriteriaItemList":[],"clientContextJson":""},{"keyOptionId":"1396","caption":"Martinique","isDefault":true,"maskCriteriaOnly":false,"definition":"","keyProductQueryItem":"227199","comparisonOperation":0,"comparisonValue":"25","minimumVersion":"","maximumVersion":"","formOrder":0,"lowerBound":null,"enabled":true,"mask":"","maskKey":"","keyItemMaskOfField":null,"keyOptionIdReplace":"","relatedOptionIds":[],"onlineServices":[],"childCriteriaItemList":[],"clientContextJson":""},{"keyOptionId":"1428","caption":"Mexico","</t>
  </si>
  <si>
    <t>isDefault":true,"maskCriteriaOnly":false,"definition":"","keyProductQueryItem":"227199","comparisonOperation":0,"comparisonValue":"27","minimumVersion":"","maximumVersion":"","formOrder":0,"lowerBound":null,"enabled":true,"mask":"","maskKey":"","keyItemMaskOfField":null,"keyOptionIdReplace":"","relatedOptionIds":[],"onlineServices":[],"childCriteriaItemList":[],"clientContextJson":""},{"keyOptionId":"1403","caption":"Montserrat","isDefault":true,"maskCriteriaOnly":false,"definition":"","keyProductQueryItem":"227199","comparisonOperation":0,"comparisonValue":"26","minimumVersion":"","maximumVersion":"","formOrder":0,"lowerBound":null,"enabled":true,"mask":"","maskKey":"","keyItemMaskOfField":null,"keyOptionIdReplace":"","relatedOptionIds":[],"onlineServices":[],"childCriteriaItemList":[],"clientContextJson":""},{"keyOptionId":"1416","caption":"Nicaragua","isDefault":true,"maskCriteriaOnly":false,"definition":"","keyProductQueryItem":"227199","comparisonOperation":0,"comparisonValue":"28","minimumVersion":"","maximumVersion":"","formOrder":0,"lowerBound":null,"enabled":true,"mask":"","maskKey":"","keyItemMaskOfField":null,"keyOptionIdReplace":"","relatedOptionIds":[],"onlineServices":[],"childCriteriaItemList":[],"clientContextJson":""},{"keyOptionId":"1417","caption":"Panama","isDefault":true,"maskCriteriaOnly":false,"definition":"","keyProductQueryItem":"227199","comparisonOperation":0,"comparisonValue":"29","minimumVersion":"","maximumVersion":"","formOrder":0,"lowerBound":null,"enabled":true,"mask":"","maskKey":"","keyItemMaskOfField":null,"keyOptionIdReplace":"","relatedOptionIds":[],"onlineServices":[],"childCriteriaItemList":[],"clientContextJson":""},{"keyOptionId":"1418","caption":"Paraguay","isDefault":true,"maskCriteriaOnly":false,"definition":"","keyProductQueryItem":"227199","comparisonOperation":0,"comparisonValue":"49","minimumVersion":"","maximumVersion":"","formOrder":0,"lowerBound":null,"enabled":true,"mask":"","maskKey":"","keyItemMaskOfField":null,"keyOptionIdReplace":"","relatedOptionIds":[],"onlineServices":[],"childCriteriaItemList":[],"clientContextJson":""},{"keyOptionId":"1419","caption":"Peru","isDefault":true,"maskCriteriaOnly":false,"definition":"","keyProductQueryItem":"227199","comparisonOperation":0,"comparisonValue":"48","minimumVersion":"","maximumVersion":"","formOrder":0,"lowerBound":null,"enabled":true,"mask":"","maskKey":"","keyItemMaskOfField":null,"keyOptionIdReplace":"","relatedOptionIds":[],"onlineServices":[],"childCriteriaItemList":[],"clientContextJson":""},{"keyOptionId":"1422","caption":"Saint Lucia","isDefault":true,"maskCriteriaOnly":false,"definition":"","keyProductQueryItem":"227199","comparisonOperation":0,"comparisonValue":"24","minimumVersion":"","maximumVersion":"","formOrder":0,"lowerBound":null,"enabled":true,"mask":"","maskKey":"","keyItemMaskOfField":null,"keyOptionIdReplace":"","relatedOptionIds":[],"onlineServices":[],"childCriteriaItemList":[],"clientContextJson":""},{"keyOptionId":"1423","caption":"Saint Vincent","isDefault":true,"maskCriteriaOnly":false,"definition":"","keyProductQueryItem":"227199","comparisonOperation":0,"comparisonValue":"34","minimumVersion":"","maximumVersion":"","formOrder":0,"lowerBound":null,"enabled":true,"mask":"","maskKey":"","keyItemMaskOfField":null,"keyOptionIdReplace":"","relatedOptionIds":[],"onlineServices":[],"childCriteriaItemList":[],"clientContextJson":""},{"keyOptionId":"3212","caption":"Sint Maarten","isDefault":true,"maskCriteriaOnly":false,"definition":"","keyProductQueryItem":"227199","comparisonOperation":0,"comparisonValue":"1117","minimumVersion":"","maximumVersion":"","formOrder":0,"lowerBound":null,"enabled":true,"mask":"","maskKey":"","keyItemMaskOfField":null,"keyOptionIdReplace":"","relatedOptionIds":[],"onlineServices":[],"childCriteriaItemList":[],"clientContextJson":""},{"keyOptionId":"1424","caption":"South Georgia","isDefault":true,"maskCriteriaOnly":false,"definition":"","keyProductQueryItem":"227199","comparisonOperation":0,"comparisonValue":"59","minimumVersion":"","maximumVersion":"","formOrder":0,"lowerBound":null,"enabled":true,"mask":"","maskKey":"","keyItemMaskOfField":null,"keyOptionIdReplace":"","relatedOptionIds":[],"onlineServices":[],"childCriteriaItemList":[],"clientContextJson":""},{"keyOptionId":"1399","caption":"St. Kitts and Nevis","isDefault":true,"maskCriteriaOnly":false,"definition":"","keyProductQueryItem":"227199","comparisonOperation":0,"comparisonValue":"40","minimumVersion":"","maximumVersion":"","formOrder":0,"lowerBound":null,"enabled":true,"mask":"","maskKey":"","keyItemMaskOfField":null,"keyOptionIdReplace":"","relatedOptionIds":[],"onlineServices":[],"childCriteriaItemList":[],"clientContextJson":""},{"keyOptionId":"1425","caption":"St. Pierre, Miquelon","isDefault":true,"maskCriteriaOnly":false,"definition":"","keyProductQueryItem":"227199","comparisonOperation":0,"comparisonValue":"30","minimumVersion":"","maximumVersion":"","formOrder":0,"lowerBound":null,"enabled":true,"mask":"","maskKey":"","keyItemMaskOfField":null,"keyOptionIdReplace":"","relatedOptionIds":[],"onlineServices":[],"childCriteriaItemList":[],"clientContextJson":""},{"keyOptionId":"1420","caption":"Suriname","isDefault":true,"maskCriteriaOnly":false,"definition":"","keyProductQueryItem":"227199","comparisonOperation":0,"comparisonValue":"50","minimumVersion":"","maximumVersion":"","formOrder":0,"lowerBound":null,"enabled":true,"mask":"","maskKey":"","keyItemMaskOfField":null,"keyOptionIdReplace":"","relatedOptionIds":[],"onlineServices":[],"childCriteriaItemList":[],"clientContextJson":""},{"keyOptionId":"1421","caption":"Trinidad and Tobago","isDefault":true,"maskCriteriaOnly":false,"definition":"","keyProductQueryItem":"227199","comparisonOperation":0,"comparisonValue":"32","minimumVersion":"","maximumVersion":"","formOrder":0,"lowerBound":null,"enabled":true,"mask":"","maskKey":"","keyItemMaskOfField":null,"keyOptionIdReplace":"","relatedOptionIds":[],"onlineServices":[],"childCriteriaItemList":[],"clientContextJson":""},{"keyOptionId":"1427","caption":"Turks &amp; Caicos","isDefault":true,"maskCriteriaOnly":false,"definition":"","keyProductQueryItem":"227199","comparisonOperation":0,"comparisonValue":"31","minimumVersion":"","maximumVersion":"","formOrder":0,"lowerBound":null,"enabled":true,"mask":"","maskKey":"","keyItemMaskOfField":null,"keyOptionIdReplace":"","relatedOptionIds":[],"onlineServices":[],"childCriteriaItemList":[],"clientContextJson":""},{"keyOptionId":"1405","caption":"Uruguay","isDefault":true,"maskCriteriaOnly":false,"definition":"","keyProductQueryItem":"227199","comparisonOperation":0,"comparisonValue":"51","minimumVersion":"","maximumVersion":"","formOrder":0,"lowerBound":null,"enabled":true,"mask":"","maskKey":"","keyItemMaskOfField":null,"keyOptionIdReplace":"","relatedOptionIds":[],"onlineServices":[],"childCriteriaItemList":[],"clientContextJson":""},{"keyOptionId":"1388","caption":"Venezuela","isDefault":true,"maskCriteriaOnly":false,"definition":"","keyProductQueryItem":"227199","comparisonOperation":0,"comparisonValue":"56","minimumVersion":"","maximumVersion":"","formOrder":0,"lowerBound":null,"enabled":true,"mask":"","maskKey":"","keyItemMaskOfField":null,"keyOptionIdReplace":"","relatedOptionIds":[],"onlineServices":[],"childCriteriaItemList":[],"clientContextJson":""}],"clientContextJson":""},{"keyOptionId":"1429","caption":"Africa","isDefault":false,"maskCriteriaOnly":true,"definition":"","keyProductQueryItem":"","comparisonOperation":null,"comparisonValue":"","minimumVersion":"","maximumVersion":"","formOrder":0,"lowerBound":null,"enabled":true,"mask":"","maskKey":"","keyItemMaskOfField":</t>
  </si>
  <si>
    <t>null,"keyOptionIdReplace":"","relatedOptionIds":[],"onlineServices":[],"childCriteriaItemList":[{"keyOptionId":"1434","caption":"Algeria","isDefault":true,"maskCriteriaOnly":false,"definition":"","keyProductQueryItem":"227199","comparisonOperation":0,"comparisonValue":"73","minimumVersion":"","maximumVersion":"","formOrder":0,"lowerBound":null,"enabled":true,"mask":"","maskKey":"","keyItemMaskOfField":null,"keyOptionIdReplace":"","relatedOptionIds":[],"onlineServices":[],"childCriteriaItemList":[],"clientContextJson":""},{"keyOptionId":"1444","caption":"Angola","isDefault":true,"maskCriteriaOnly":false,"definition":"","keyProductQueryItem":"227199","comparisonOperation":0,"comparisonValue":"62","minimumVersion":"","maximumVersion":"","formOrder":0,"lowerBound":null,"enabled":true,"mask":"","maskKey":"","keyItemMaskOfField":null,"keyOptionIdReplace":"","relatedOptionIds":[],"onlineServices":[],"childCriteriaItemList":[],"clientContextJson":""},{"keyOptionId":"1445","caption":"Benin","isDefault":true,"maskCriteriaOnly":false,"definition":"","keyProductQueryItem":"227199","comparisonOperation":0,"comparisonValue":"65","minimumVersion":"","maximumVersion":"","formOrder":0,"lowerBound":null,"enabled":true,"mask":"","maskKey":"","keyItemMaskOfField":null,"keyOptionIdReplace":"","relatedOptionIds":[],"onlineServices":[],"childCriteriaItemList":[],"clientContextJson":""},{"keyOptionId":"1446","caption":"Botswana","isDefault":true,"maskCriteriaOnly":false,"definition":"","keyProductQueryItem":"227199","comparisonOperation":0,"comparisonValue":"66","minimumVersion":"","maximumVersion":"","formOrder":0,"lowerBound":null,"enabled":true,"mask":"","maskKey":"","keyItemMaskOfField":null,"keyOptionIdReplace":"","relatedOptionIds":[],"onlineServices":[],"childCriteriaItemList":[],"clientContextJson":""},{"keyOptionId":"1430","caption":"Bouvet Island","isDefault":true,"maskCriteriaOnly":false,"definition":"","keyProductQueryItem":"227199","comparisonOperation":0,"comparisonValue":"58","minimumVersion":"","maximumVersion":"","formOrder":0,"lowerBound":null,"enabled":true,"mask":"","maskKey":"","keyItemMaskOfField":null,"keyOptionIdReplace":"","relatedOptionIds":[],"onlineServices":[],"childCriteriaItemList":[],"clientContextJson":""},{"keyOptionId":"1431","caption":"Burkina Faso","isDefault":true,"maskCriteriaOnly":false,"definition":"","keyProductQueryItem":"227199","comparisonOperation":0,"comparisonValue":"63","minimumVersion":"","maximumVersion":"","formOrder":0,"lowerBound":null,"enabled":true,"mask":"","maskKey":"","keyItemMaskOfField":null,"keyOptionIdReplace":"","relatedOptionIds":[],"onlineServices":[],"childCriteriaItemList":[],"clientContextJson":""},{"keyOptionId":"1447","caption":"Burundi","isDefault":true,"maskCriteriaOnly":false,"definition":"","keyProductQueryItem":"227199","comparisonOperation":0,"comparisonValue":"64","minimumVersion":"","maximumVersion":"","formOrder":0,"lowerBound":null,"enabled":true,"mask":"","maskKey":"","keyItemMaskOfField":null,"keyOptionIdReplace":"","relatedOptionIds":[],"onlineServices":[],"childCriteriaItemList":[],"clientContextJson":""},{"keyOptionId":"1448","caption":"Cameroon","isDefault":true,"maskCriteriaOnly":false,"definition":"","keyProductQueryItem":"227199","comparisonOperation":0,"comparisonValue":"70","minimumVersion":"","maximumVersion":"","formOrder":0,"lowerBound":null,"enabled":true,"mask":"","maskKey":"","keyItemMaskOfField":null,"keyOptionIdReplace":"","relatedOptionIds":[],"onlineServices":[],"childCriteriaItemList":[],"clientContextJson":""},{"keyOptionId":"1449","caption":"Cape Verde","isDefault":true,"maskCriteriaOnly":false,"definition":"","keyProductQueryItem":"227199","comparisonOperation":0,"comparisonValue":"71","minimumVersion":"","maximumVersion":"","formOrder":0,"lowerBound":null,"enabled":true,"mask":"","maskKey":"","keyItemMaskOfField":null,"keyOptionIdReplace":"","relatedOptionIds":[],"onlineServices":[],"childCriteriaItemList":[],"clientContextJson":""},{"keyOptionId":"1432","caption":"Central African Rep.","isDefault":true,"maskCriteriaOnly":false,"definition":"","keyProductQueryItem":"227199","comparisonOperation":0,"comparisonValue":"67","minimumVersion":"","maximumVersion":"","formOrder":0,"lowerBound":null,"enabled":true,"mask":"","maskKey":"","keyItemMaskOfField":null,"keyOptionIdReplace":"","relatedOptionIds":[],"onlineServices":[],"childCriteriaItemList":[],"clientContextJson":""},{"keyOptionId":"1450","caption":"Chad","isDefault":true,"maskCriteriaOnly":false,"definition":"","keyProductQueryItem":"227199","comparisonOperation":0,"comparisonValue":"108","minimumVersion":"","maximumVersion":"","formOrder":0,"lowerBound":null,"enabled":true,"mask":"","maskKey":"","keyItemMaskOfField":null,"keyOptionIdReplace":"","relatedOptionIds":[],"onlineServices":[],"childCriteriaItemList":[],"clientContextJson":""},{"keyOptionId":"1484","caption":"Comoros","isDefault":true,"maskCriteriaOnly":false,"definition":"","keyProductQueryItem":"227199","comparisonOperation":0,"comparisonValue":"117","minimumVersion":"","maximumVersion":"","formOrder":0,"lowerBound":null,"enabled":true,"mask":"","maskKey":"","keyItemMaskOfField":null,"keyOptionIdReplace":"","relatedOptionIds":[],"onlineServices":[],"childCriteriaItemList":[],"clientContextJson":""},{"keyOptionId":"1451","caption":"Cote d'Ivoire","isDefault":true,"maskCriteriaOnly":false,"definition":"","keyProductQueryItem":"227199","comparisonOperation":0,"comparisonValue":"69","minimumVersion":"","maximumVersion":"","formOrder":0,"lowerBound":null,"enabled":true,"mask":"","maskKey":"","keyItemMaskOfField":null,"keyOptionIdReplace":"","relatedOptionIds":[],"onlineServices":[],"childCriteriaItemList":[],"clientContextJson":""},{"keyOptionId":"1433","caption":"Dem. Rep. Congo","isDefault":true,"maskCriteriaOnly":false,"definition":"","keyProductQueryItem":"227199","comparisonOperation":0,"comparisonValue":"115","minimumVersion":"","maximumVersion":"","formOrder":0,"lowerBound":null,"enabled":true,"mask":"","maskKey":"","keyItemMaskOfField":null,"keyOptionIdReplace":"","relatedOptionIds":[],"onlineServices":[],"childCriteriaItemList":[],"clientContextJson":""},{"keyOptionId":"1452","caption":"Djibouti","isDefault":true,"maskCriteriaOnly":false,"definition":"","keyProductQueryItem":"227199","comparisonOperation":0,"comparisonValue":"72","minimumVersion":"","maximumVersion":"","formOrder":0,"lowerBound":null,"enabled":true,"mask":"","maskKey":"","keyItemMaskOfField":null,"keyOptionIdReplace":"","relatedOptionIds":[],"onlineServices":[],"childCriteriaItemList":[],"clientContextJson":""},{"keyOptionId":"1453","caption":"Equatorial Guinea","isDefault":true,"maskCriteriaOnly":false,"definition":"","keyProductQueryItem":"227199","comparisonOperation":0,"comparisonValue":"82","minimumVersion":"","maximumVersion":"","formOrder":0,"lowerBound":null,"enabled":true,"mask":"","maskKey":"","keyItemMaskOfField":null,"keyOptionIdReplace":"","relatedOptionIds":[],"onlineServices":[],"childCriteriaItemList":[],"clientContextJson":""},{"keyOptionId":"1481","caption":"Eritrea","isDefault":true,"maskCriteriaOnly":false,"definition":"","keyProductQueryItem":"227199","comparisonOperation":0,"comparisonValue":"76","minimumVersion":"","maximumVersion":"","formOrder":0,"lowerBound":null,"enabled":true,"mask":"","maskKey":"","keyItemMaskOfField":null,"keyOptionIdReplace":"","relatedOptionIds":[],"onlineServices":[],"childCriteriaItemList":[],"clientContextJson":""},{"keyOptionId":"1437","caption":"Ethiopia","isDefault":true,"maskCriteriaOnly":false,"definition":"","keyProductQueryItem":"227199","comparisonOperation":0,"comparisonValue":"77","minimumVersion":"","maximumVer</t>
  </si>
  <si>
    <t>sion":"","formOrder":0,"lowerBound":null,"enabled":true,"mask":"","maskKey":"","keyItemMaskOfField":null,"keyOptionIdReplace":"","relatedOptionIds":[],"onlineServices":[],"childCriteriaItemList":[],"clientContextJson":""},{"keyOptionId":"1439","caption":"Gabon","isDefault":true,"maskCriteriaOnly":false,"definition":"","keyProductQueryItem":"227199","comparisonOperation":0,"comparisonValue":"78","minimumVersion":"","maximumVersion":"","formOrder":0,"lowerBound":null,"enabled":true,"mask":"","maskKey":"","keyItemMaskOfField":null,"keyOptionIdReplace":"","relatedOptionIds":[],"onlineServices":[],"childCriteriaItemList":[],"clientContextJson":""},{"keyOptionId":"1471","caption":"Gambia","isDefault":true,"maskCriteriaOnly":false,"definition":"","keyProductQueryItem":"227199","comparisonOperation":0,"comparisonValue":"80","minimumVersion":"","maximumVersion":"","formOrder":0,"lowerBound":null,"enabled":true,"mask":"","maskKey":"","keyItemMaskOfField":null,"keyOptionIdReplace":"","relatedOptionIds":[],"onlineServices":[],"childCriteriaItemList":[],"clientContextJson":""},{"keyOptionId":"1454","caption":"Ghana","isDefault":true,"maskCriteriaOnly":false,"definition":"","keyProductQueryItem":"227199","comparisonOperation":0,"comparisonValue":"79","minimumVersion":"","maximumVersion":"","formOrder":0,"lowerBound":null,"enabled":true,"mask":"","maskKey":"","keyItemMaskOfField":null,"keyOptionIdReplace":"","relatedOptionIds":[],"onlineServices":[],"childCriteriaItemList":[],"clientContextJson":""},{"keyOptionId":"1455","caption":"Guinea","isDefault":true,"maskCriteriaOnly":false,"definition":"","keyProductQueryItem":"227199","comparisonOperation":0,"comparisonValue":"81","minimumVersion":"","maximumVersion":"","formOrder":0,"lowerBound":null,"enabled":true,"mask":"","maskKey":"","keyItemMaskOfField":null,"keyOptionIdReplace":"","relatedOptionIds":[],"onlineServices":[],"childCriteriaItemList":[],"clientContextJson":""},{"keyOptionId":"1456","caption":"Guinea-Bissau","isDefault":true,"maskCriteriaOnly":false,"definition":"","keyProductQueryItem":"227199","comparisonOperation":0,"comparisonValue":"83","minimumVersion":"","maximumVersion":"","formOrder":0,"lowerBound":null,"enabled":true,"mask":"","maskKey":"","keyItemMaskOfField":null,"keyOptionIdReplace":"","relatedOptionIds":[],"onlineServices":[],"childCriteriaItemList":[],"clientContextJson":""},{"keyOptionId":"1457","caption":"Kenya","isDefault":true,"maskCriteriaOnly":false,"definition":"","keyProductQueryItem":"227199","comparisonOperation":0,"comparisonValue":"84","minimumVersion":"","maximumVersion":"","formOrder":0,"lowerBound":null,"enabled":true,"mask":"","maskKey":"","keyItemMaskOfField":null,"keyOptionIdReplace":"","relatedOptionIds":[],"onlineServices":[],"childCriteriaItemList":[],"clientContextJson":""},{"keyOptionId":"1441","caption":"Lesotho","isDefault":true,"maskCriteriaOnly":false,"definition":"","keyProductQueryItem":"227199","comparisonOperation":0,"comparisonValue":"86","minimumVersion":"","maximumVersion":"","formOrder":0,"lowerBound":null,"enabled":true,"mask":"","maskKey":"","keyItemMaskOfField":null,"keyOptionIdReplace":"","relatedOptionIds":[],"onlineServices":[],"childCriteriaItemList":[],"clientContextJson":""},{"keyOptionId":"1458","caption":"Liberia","isDefault":true,"maskCriteriaOnly":false,"definition":"","keyProductQueryItem":"227199","comparisonOperation":0,"comparisonValue":"85","minimumVersion":"","maximumVersion":"","formOrder":0,"lowerBound":null,"enabled":true,"mask":"","maskKey":"","keyItemMaskOfField":null,"keyOptionIdReplace":"","relatedOptionIds":[],"onlineServices":[],"childCriteriaItemList":[],"clientContextJson":""},{"keyOptionId":"1479","caption":"Libya","isDefault":true,"maskCriteriaOnly":false,"definition":"","keyProductQueryItem":"227199","comparisonOperation":0,"comparisonValue":"87","minimumVersion":"","maximumVersion":"","formOrder":0,"lowerBound":null,"enabled":true,"mask":"","maskKey":"","keyItemMaskOfField":null,"keyOptionIdReplace":"","relatedOptionIds":[],"onlineServices":[],"childCriteriaItemList":[],"clientContextJson":""},{"keyOptionId":"1459","caption":"Madagascar","isDefault":true,"maskCriteriaOnly":false,"definition":"","keyProductQueryItem":"227199","comparisonOperation":0,"comparisonValue":"89","minimumVersion":"","maximumVersion":"","formOrder":0,"lowerBound":null,"enabled":true,"mask":"","maskKey":"","keyItemMaskOfField":null,"keyOptionIdReplace":"","relatedOptionIds":[],"onlineServices":[],"childCriteriaItemList":[],"clientContextJson":""},{"keyOptionId":"1460","caption":"Malawi","isDefault":true,"maskCriteriaOnly":false,"definition":"","keyProductQueryItem":"227199","comparisonOperation":0,"comparisonValue":"93","minimumVersion":"","maximumVersion":"","formOrder":0,"lowerBound":null,"enabled":true,"mask":"","maskKey":"","keyItemMaskOfField":null,"keyOptionIdReplace":"","relatedOptionIds":[],"onlineServices":[],"childCriteriaItemList":[],"clientContextJson":""},{"keyOptionId":"1461","caption":"Mali","isDefault":true,"maskCriteriaOnly":false,"definition":"","keyProductQueryItem":"227199","comparisonOperation":0,"comparisonValue":"90","minimumVersion":"","maximumVersion":"","formOrder":0,"lowerBound":null,"enabled":true,"mask":"","maskKey":"","keyItemMaskOfField":null,"keyOptionIdReplace":"","relatedOptionIds":[],"onlineServices":[],"childCriteriaItemList":[],"clientContextJson":""},{"keyOptionId":"1440","caption":"Mauritania","isDefault":true,"maskCriteriaOnly":false,"definition":"","keyProductQueryItem":"227199","comparisonOperation":0,"comparisonValue":"91","minimumVersion":"","maximumVersion":"","formOrder":0,"lowerBound":null,"enabled":true,"mask":"","maskKey":"","keyItemMaskOfField":null,"keyOptionIdReplace":"","relatedOptionIds":[],"onlineServices":[],"childCriteriaItemList":[],"clientContextJson":""},{"keyOptionId":"1462","caption":"Mauritius","isDefault":true,"maskCriteriaOnly":false,"definition":"","keyProductQueryItem":"227199","comparisonOperation":0,"comparisonValue":"92","minimumVersion":"","maximumVersion":"","formOrder":0,"lowerBound":null,"enabled":true,"mask":"","maskKey":"","keyItemMaskOfField":null,"keyOptionIdReplace":"","relatedOptionIds":[],"onlineServices":[],"childCriteriaItemList":[],"clientContextJson":""},{"keyOptionId":"1482","caption":"Mayotte","isDefault":true,"maskCriteriaOnly":false,"definition":"","keyProductQueryItem":"227199","comparisonOperation":0,"comparisonValue":"113","minimumVersion":"","maximumVersion":"","formOrder":0,"lowerBound":null,"enabled":true,"mask":"","maskKey":"","keyItemMaskOfField":null,"keyOptionIdReplace":"","relatedOptionIds":[],"onlineServices":[],"childCriteriaItemList":[],"clientContextJson":""},{"keyOptionId":"1442","caption":"Morocco","isDefault":true,"maskCriteriaOnly":false,"definition":"","keyProductQueryItem":"227199","comparisonOperation":0,"comparisonValue":"88","minimumVersion":"","maximumVersion":"","formOrder":0,"lowerBound":null,"enabled":true,"mask":"","maskKey":"","keyItemMaskOfField":null,"keyOptionIdReplace":"","relatedOptionIds":[],"onlineServices":[],"childCriteriaItemList":[],"clientContextJson":""},{"keyOptionId":"1463","caption":"Mozambique","isDefault":true,"maskCriteriaOnly":false,"definition":"","keyProductQueryItem":"227199","comparisonOperation":0,"comparisonValue":"94","minimumVersion":"","maximumVersion":"","formOrder":0,"lowerBound":null,"enabled":true,"mask":"","maskKey":"","keyItemMaskOfField":null,"keyOptionIdReplace":"","relatedOptionIds":[],"onlineServices":[],"childCriteriaItemList":[],"clientContextJson":""},{"keyOptionId":"1464","caption":"Namibia","isDefault":true,"maskCriteriaOnly":false,"definition":"","keyProductQueryItem":"227199",</t>
  </si>
  <si>
    <t>"comparisonOperation":0,"comparisonValue":"95","minimumVersion":"","maximumVersion":"","formOrder":0,"lowerBound":null,"enabled":true,"mask":"","maskKey":"","keyItemMaskOfField":null,"keyOptionIdReplace":"","relatedOptionIds":[],"onlineServices":[],"childCriteriaItemList":[],"clientContextJson":""},{"keyOptionId":"1465","caption":"Niger","isDefault":true,"maskCriteriaOnly":false,"definition":"","keyProductQueryItem":"227199","comparisonOperation":0,"comparisonValue":"96","minimumVersion":"","maximumVersion":"","formOrder":0,"lowerBound":null,"enabled":true,"mask":"","maskKey":"","keyItemMaskOfField":null,"keyOptionIdReplace":"","relatedOptionIds":[],"onlineServices":[],"childCriteriaItemList":[],"clientContextJson":""},{"keyOptionId":"1438","caption":"Nigeria","isDefault":true,"maskCriteriaOnly":false,"definition":"","keyProductQueryItem":"227199","comparisonOperation":0,"comparisonValue":"97","minimumVersion":"","maximumVersion":"","formOrder":0,"lowerBound":null,"enabled":true,"mask":"","maskKey":"","keyItemMaskOfField":null,"keyOptionIdReplace":"","relatedOptionIds":[],"onlineServices":[],"childCriteriaItemList":[],"clientContextJson":""},{"keyOptionId":"1470","caption":"Rep. Of the Congo","isDefault":true,"maskCriteriaOnly":false,"definition":"","keyProductQueryItem":"227199","comparisonOperation":0,"comparisonValue":"68","minimumVersion":"","maximumVersion":"","formOrder":0,"lowerBound":null,"enabled":true,"mask":"","maskKey":"","keyItemMaskOfField":null,"keyOptionIdReplace":"","relatedOptionIds":[],"onlineServices":[],"childCriteriaItemList":[],"clientContextJson":""},{"keyOptionId":"1436","caption":"Reunion","isDefault":true,"maskCriteriaOnly":false,"definition":"","keyProductQueryItem":"227199","comparisonOperation":0,"comparisonValue":"98","minimumVersion":"","maximumVersion":"","formOrder":0,"lowerBound":null,"enabled":true,"mask":"","maskKey":"","keyItemMaskOfField":null,"keyOptionIdReplace":"","relatedOptionIds":[],"onlineServices":[],"childCriteriaItemList":[],"clientContextJson":""},{"keyOptionId":"1477","caption":"Rwanda","isDefault":true,"maskCriteriaOnly":false,"definition":"","keyProductQueryItem":"227199","comparisonOperation":0,"comparisonValue":"99","minimumVersion":"","maximumVersion":"","formOrder":0,"lowerBound":null,"enabled":true,"mask":"","maskKey":"","keyItemMaskOfField":null,"keyOptionIdReplace":"","relatedOptionIds":[],"onlineServices":[],"childCriteriaItemList":[],"clientContextJson":""},{"keyOptionId":"1478","caption":"Saint Helena","isDefault":true,"maskCriteriaOnly":false,"definition":"","keyProductQueryItem":"227199","comparisonOperation":0,"comparisonValue":"102","minimumVersion":"","maximumVersion":"","formOrder":0,"lowerBound":null,"enabled":true,"mask":"","maskKey":"","keyItemMaskOfField":null,"keyOptionIdReplace":"","relatedOptionIds":[],"onlineServices":[],"childCriteriaItemList":[],"clientContextJson":""},{"keyOptionId":"1435","caption":"Sao Tome &amp; Principe","isDefault":true,"maskCriteriaOnly":false,"definition":"","keyProductQueryItem":"227199","comparisonOperation":0,"comparisonValue":"106","minimumVersion":"","maximumVersion":"","formOrder":0,"lowerBound":null,"enabled":true,"mask":"","maskKey":"","keyItemMaskOfField":null,"keyOptionIdReplace":"","relatedOptionIds":[],"onlineServices":[],"childCriteriaItemList":[],"clientContextJson":""},{"keyOptionId":"1466","caption":"Senegal","isDefault":true,"maskCriteriaOnly":false,"definition":"","keyProductQueryItem":"227199","comparisonOperation":0,"comparisonValue":"104","minimumVersion":"","maximumVersion":"","formOrder":0,"lowerBound":null,"enabled":true,"mask":"","maskKey":"","keyItemMaskOfField":null,"keyOptionIdReplace":"","relatedOptionIds":[],"onlineServices":[],"childCriteriaItemList":[],"clientContextJson":""},{"keyOptionId":"1467","caption":"Seychelles","isDefault":true,"maskCriteriaOnly":false,"definition":"","keyProductQueryItem":"227199","comparisonOperation":0,"comparisonValue":"100","minimumVersion":"","maximumVersion":"","formOrder":0,"lowerBound":null,"enabled":true,"mask":"","maskKey":"","keyItemMaskOfField":null,"keyOptionIdReplace":"","relatedOptionIds":[],"onlineServices":[],"childCriteriaItemList":[],"clientContextJson":""},{"keyOptionId":"1468","caption":"Sierra Leone","isDefault":true,"maskCriteriaOnly":false,"definition":"","keyProductQueryItem":"227199","comparisonOperation":0,"comparisonValue":"103","minimumVersion":"","maximumVersion":"","formOrder":0,"lowerBound":null,"enabled":true,"mask":"","maskKey":"","keyItemMaskOfField":null,"keyOptionIdReplace":"","relatedOptionIds":[],"onlineServices":[],"childCriteriaItemList":[],"clientContextJson":""},{"keyOptionId":"1480","caption":"Somalia","isDefault":true,"maskCriteriaOnly":false,"definition":"","keyProductQueryItem":"227199","comparisonOperation":0,"comparisonValue":"105","minimumVersion":"","maximumVersion":"","formOrder":0,"lowerBound":null,"enabled":true,"mask":"","maskKey":"","keyItemMaskOfField":null,"keyOptionIdReplace":"","relatedOptionIds":[],"onlineServices":[],"childCriteriaItemList":[],"clientContextJson":""},{"keyOptionId":"1469","caption":"South Africa","isDefault":true,"maskCriteriaOnly":false,"definition":"","keyProductQueryItem":"227199","comparisonOperation":0,"comparisonValue":"118","minimumVersion":"","maximumVersion":"","formOrder":0,"lowerBound":null,"enabled":true,"mask":"","maskKey":"","keyItemMaskOfField":null,"keyOptionIdReplace":"","relatedOptionIds":[],"onlineServices":[],"childCriteriaItemList":[],"clientContextJson":""},{"keyOptionId":"1472","caption":"Sudan","isDefault":true,"maskCriteriaOnly":false,"definition":"","keyProductQueryItem":"227199","comparisonOperation":0,"comparisonValue":"101","minimumVersion":"","maximumVersion":"","formOrder":0,"lowerBound":null,"enabled":true,"mask":"","maskKey":"","keyItemMaskOfField":null,"keyOptionIdReplace":"","relatedOptionIds":[],"onlineServices":[],"childCriteriaItemList":[],"clientContextJson":""},{"keyOptionId":"1443","caption":"Swaziland","isDefault":true,"maskCriteriaOnly":false,"definition":"","keyProductQueryItem":"227199","comparisonOperation":0,"comparisonValue":"107","minimumVersion":"","maximumVersion":"","formOrder":0,"lowerBound":null,"enabled":true,"mask":"","maskKey":"","keyItemMaskOfField":null,"keyOptionIdReplace":"","relatedOptionIds":[],"onlineServices":[],"childCriteriaItemList":[],"clientContextJson":""},{"keyOptionId":"1485","caption":"Tanzania","isDefault":true,"maskCriteriaOnly":false,"definition":"","keyProductQueryItem":"227199","comparisonOperation":0,"comparisonValue":"111","minimumVersion":"","maximumVersion":"","formOrder":0,"lowerBound":null,"enabled":true,"mask":"","maskKey":"","keyItemMaskOfField":null,"keyOptionIdReplace":"","relatedOptionIds":[],"onlineServices":[],"childCriteriaItemList":[],"clientContextJson":""},{"keyOptionId":"1483","caption":"Togo","isDefault":true,"maskCriteriaOnly":false,"definition":"","keyProductQueryItem":"227199","comparisonOperation":0,"comparisonValue":"109","minimumVersion":"","maximumVersion":"","formOrder":0,"lowerBound":null,"enabled":true,"mask":"","maskKey":"","keyItemMaskOfField":null,"keyOptionIdReplace":"","relatedOptionIds":[],"onlineServices":[],"childCriteriaItemList":[],"clientContextJson":""},{"keyOptionId":"1473","caption":"Tunisia","isDefault":true,"maskCriteriaOnly":false,"definition":"","keyProductQueryItem":"227199","comparisonOperation":0,"comparisonValue":"110","minimumVersion":"","maximumVersion":"","formOrder":0,"lowerBound":null,"enabled":true,"mask":"","maskKey":"","keyItemMaskOfField":null,"keyOptionIdReplace":"","relatedOptionIds":[],"onlineServices":[],"childCriteriaItemList":[],"clientContextJson":""},{"keyOptio</t>
  </si>
  <si>
    <t>nId":"1474","caption":"Uganda","isDefault":true,"maskCriteriaOnly":false,"definition":"","keyProductQueryItem":"227199","comparisonOperation":0,"comparisonValue":"112","minimumVersion":"","maximumVersion":"","formOrder":0,"lowerBound":null,"enabled":true,"mask":"","maskKey":"","keyItemMaskOfField":null,"keyOptionIdReplace":"","relatedOptionIds":[],"onlineServices":[],"childCriteriaItemList":[],"clientContextJson":""},{"keyOptionId":"1486","caption":"Western Sahara","isDefault":true,"maskCriteriaOnly":false,"definition":"","keyProductQueryItem":"227199","comparisonOperation":0,"comparisonValue":"75","minimumVersion":"","maximumVersion":"","formOrder":0,"lowerBound":null,"enabled":true,"mask":"","maskKey":"","keyItemMaskOfField":null,"keyOptionIdReplace":"","relatedOptionIds":[],"onlineServices":[],"childCriteriaItemList":[],"clientContextJson":""},{"keyOptionId":"1475","caption":"Zambia","isDefault":true,"maskCriteriaOnly":false,"definition":"","keyProductQueryItem":"227199","comparisonOperation":0,"comparisonValue":"114","minimumVersion":"","maximumVersion":"","formOrder":0,"lowerBound":null,"enabled":true,"mask":"","maskKey":"","keyItemMaskOfField":null,"keyOptionIdReplace":"","relatedOptionIds":[],"onlineServices":[],"childCriteriaItemList":[],"clientContextJson":""},{"keyOptionId":"1476","caption":"Zimbabwe","isDefault":true,"maskCriteriaOnly":false,"definition":"","keyProductQueryItem":"227199","comparisonOperation":0,"comparisonValue":"116","minimumVersion":"","maximumVersion":"","formOrder":0,"lowerBound":null,"enabled":true,"mask":"","maskKey":"","keyItemMaskOfField":null,"keyOptionIdReplace":"","relatedOptionIds":[],"onlineServices":[],"childCriteriaItemList":[],"clientContextJson":""}],"clientContextJson":""}],"clientContextJson":""}]},{"filterGroupId":"1559","filterGroupIdReplace":"","caption":"Industry","groupType":2,"optionType":1,"formOrder":2,"minimumVersion":"","maximumVersion":"","onlineServicesEnabled":false,"column":1,"columnFormOrder":20,"criteriaIdName":"","required":true,"dateDefaultType":"","criteriaItemList":[{"keyOptionId":"1560","caption":"All Industries","isDefault":false,"maskCriteriaOnly":true,"definition":"","keyProductQueryItem":"","comparisonOperation":null,"comparisonValue":"","minimumVersion":"","maximumVersion":"","formOrder":0,"lowerBound":null,"enabled":true,"mask":"","maskKey":"","keyItemMaskOfField":null,"keyOptionIdReplace":"","relatedOptionIds":[],"onlineServices":[],"childCriteriaItemList":[{"keyOptionId":"1561","caption":"Banking","isDefault":false,"maskCriteriaOnly":true,"definition":"","keyProductQueryItem":"","comparisonOperation":null,"comparisonValue":"","minimumVersion":"","maximumVersion":"","formOrder":0,"lowerBound":null,"enabled":true,"mask":"","maskKey":"","keyItemMaskOfField":null,"keyOptionIdReplace":"","relatedOptionIds":[],"onlineServices":[],"childCriteriaItemList":[{"keyOptionId":"1562","caption":"Bank","isDefault":true,"maskCriteriaOnly":false,"definition":"","keyProductQueryItem":"226303","comparisonOperation":0,"comparisonValue":"1","minimumVersion":"","maximumVersion":"","formOrder":0,"lowerBound":null,"enabled":true,"mask":"","maskKey":"","keyItemMaskOfField":null,"keyOptionIdReplace":"","relatedOptionIds":[],"onlineServices":[],"childCriteriaItemList":[],"clientContextJson":""},{"keyOptionId":"1563","caption":"Savings Bank/Thrift/Mutual","isDefault":true,"maskCriteriaOnly":false,"definition":"","keyProductQueryItem":"226303","comparisonOperation":0,"comparisonValue":"2","minimumVersion":"","maximumVersion":"","formOrder":0,"lowerBound":null,"enabled":true,"mask":"","maskKey":"","keyItemMaskOfField":null,"keyOptionIdReplace":"","relatedOptionIds":[],"onlineServices":[],"childCriteriaItemList":[],"clientContextJson":""},{"keyOptionId":"1564","caption":"FHLB","isDefault":true,"maskCriteriaOnly":false,"definition":"","keyProductQueryItem":"226303","comparisonOperation":0,"comparisonValue":"13","minimumVersion":"","maximumVersion":"","formOrder":0,"lowerBound":null,"enabled":true,"mask":"","maskKey":"","keyItemMaskOfField":null,"keyOptionIdReplace":"","relatedOptionIds":[],"onlineServices":[],"childCriteriaItemList":[],"clientContextJson":""}],"clientContextJson":""},{"keyOptionId":"1565","caption":"Insurance","isDefault":false,"maskCriteriaOnly":true,"definition":"","keyProductQueryItem":"","comparisonOperation":null,"comparisonValue":"","minimumVersion":"","maximumVersion":"","formOrder":0,"lowerBound":null,"enabled":true,"mask":"","maskKey":"","keyItemMaskOfField":null,"keyOptionIdReplace":"","relatedOptionIds":[],"onlineServices":[],"childCriteriaItemList":[{"keyOptionId":"1566","caption":"Insurance Underwriter","isDefault":true,"maskCriteriaOnly":false,"definition":"","keyProductQueryItem":"226303","comparisonOperation":0,"comparisonValue":"8","minimumVersion":"","maximumVersion":"","formOrder":0,"lowerBound":null,"enabled":true,"mask":"","maskKey":"","keyItemMaskOfField":null,"keyOptionIdReplace":"","relatedOptionIds":[],"onlineServices":[],"childCriteriaItemList":[],"clientContextJson":""},{"keyOptionId":"1567","caption":"Insurance Broker","isDefault":true,"maskCriteriaOnly":false,"definition":"","keyProductQueryItem":"226303","comparisonOperation":0,"comparisonValue":"9","minimumVersion":"","maximumVersion":"","formOrder":0,"lowerBound":null,"enabled":true,"mask":"","maskKey":"","keyItemMaskOfField":null,"keyOptionIdReplace":"","relatedOptionIds":[],"onlineServices":[],"childCriteriaItemList":[],"clientContextJson":""}],"clientContextJson":""},{"keyOptionId":"1568","caption":"Securities &amp; Investments","isDefault":false,"maskCriteriaOnly":true,"definition":"","keyProductQueryItem":"","comparisonOperation":null,"comparisonValue":"","minimumVersion":"","maximumVersion":"","formOrder":0,"lowerBound":null,"enabled":true,"mask":"","maskKey":"","keyItemMaskOfField":null,"keyOptionIdReplace":"","relatedOptionIds":[],"onlineServices":[],"childCriteriaItemList":[{"keyOptionId":"1569","caption":"Asset Manager","isDefault":true,"maskCriteriaOnly":false,"definition":"","keyProductQueryItem":"226303","comparisonOperation":0,"comparisonValue":"4","minimumVersion":"","maximumVersion":"","formOrder":0,"lowerBound":null,"enabled":true,"mask":"","maskKey":"","keyItemMaskOfField":null,"keyOptionIdReplace":"","relatedOptionIds":[],"onlineServices":[],"childCriteriaItemList":[],"clientContextJson":""},{"keyOptionId":"1570","caption":"Broker-Dealer","isDefault":true,"maskCriteriaOnly":false,"definition":"","keyProductQueryItem":"226303","comparisonOperation":0,"comparisonValue":"5","minimumVersion":"","maximumVersion":"","formOrder":0,"lowerBound":null,"enabled":true,"mask":"","maskKey":"","keyItemMaskOfField":null,"keyOptionIdReplace":"","relatedOptionIds":[],"onlineServices":[],"childCriteriaItemList":[],"clientContextJson":""}],"clientContextJson":""},{"keyOptionId":"1571","caption":"Specialty Finance","isDefault":false,"maskCriteriaOnly":true,"definition":"","keyProductQueryItem":"","comparisonOperation":null,"comparisonValue":"","minimumVersion":"","maximumVersion":"","formOrder":0,"lowerBound":null,"enabled":true,"mask":"","maskKey":"","keyItemMaskOfField":null,"keyOptionIdReplace":"","relatedOptionIds":[],"onlineServices":[],"childCriteriaItemList":[{"keyOptionId":"1572","caption":"Specialty Lender","isDefault":true,"maskCriteriaOnly":false,"definition":"","keyProductQueryItem":"226303","comparisonOperation":0,"comparisonValue":"3","minimumVersion":"","maximumVersion":"","formOrder":0,"lowerBound":null,"enabled":true,"mask":"","maskKey":"","keyItemMaskOfField":null,"keyOptionIdReplace":"","relatedOptionIds":[],"onlineServices":[],"childCriteriaItemList":[],"clientContextJson":""},{"keyOp</t>
  </si>
  <si>
    <t>tionId":"1573","caption":"Investment Company","isDefault":true,"maskCriteriaOnly":false,"definition":"","keyProductQueryItem":"226303","comparisonOperation":0,"comparisonValue":"7","minimumVersion":"","maximumVersion":"","formOrder":0,"lowerBound":null,"enabled":true,"mask":"","maskKey":"","keyItemMaskOfField":null,"keyOptionIdReplace":"","relatedOptionIds":[],"onlineServices":[],"childCriteriaItemList":[],"clientContextJson":""}],"clientContextJson":""},{"keyOptionId":"1574","caption":"Financial Technology","isDefault":true,"maskCriteriaOnly":false,"definition":"","keyProductQueryItem":"226303","comparisonOperation":0,"comparisonValue":"15","minimumVersion":"","maximumVersion":"","formOrder":0,"lowerBound":null,"enabled":true,"mask":"","maskKey":"","keyItemMaskOfField":null,"keyOptionIdReplace":"","relatedOptionIds":[],"onlineServices":[],"childCriteriaItemList":[],"clientContextJson":""},{"keyOptionId":"1575","caption":"Real Estate","isDefault":false,"maskCriteriaOnly":true,"definition":"","keyProductQueryItem":"","comparisonOperation":null,"comparisonValue":"","minimumVersion":"","maximumVersion":"","formOrder":0,"lowerBound":null,"enabled":true,"mask":"","maskKey":"","keyItemMaskOfField":null,"keyOptionIdReplace":"","relatedOptionIds":[],"onlineServices":[],"childCriteriaItemList":[{"keyOptionId":"1587","caption":"REIT &amp; Property Company","isDefault":true,"maskCriteriaOnly":false,"definition":"","keyProductQueryItem":"226303","comparisonOperation":0,"comparisonValue":"6","minimumVersion":"","maximumVersion":"","formOrder":0,"lowerBound":null,"enabled":true,"mask":"","maskKey":"","keyItemMaskOfField":null,"keyOptionIdReplace":"","relatedOptionIds":[],"onlineServices":[],"childCriteriaItemList":[],"clientContextJson":""},{"keyOptionId":"1588","caption":"Homebuilder","isDefault":true,"maskCriteriaOnly":false,"definition":"","keyProductQueryItem":"226303","comparisonOperation":0,"comparisonValue":"16","minimumVersion":"","maximumVersion":"","formOrder":0,"lowerBound":null,"enabled":true,"mask":"","maskKey":"","keyItemMaskOfField":null,"keyOptionIdReplace":"","relatedOptionIds":[],"onlineServices":[],"childCriteriaItemList":[],"clientContextJson":""},{"keyOptionId":"1589","caption":"Gaming","isDefault":true,"maskCriteriaOnly":false,"definition":"","keyProductQueryItem":"226303","comparisonOperation":0,"comparisonValue":"19","minimumVersion":"","maximumVersion":"","formOrder":0,"lowerBound":null,"enabled":true,"mask":"","maskKey":"","keyItemMaskOfField":null,"keyOptionIdReplace":"","relatedOptionIds":[],"onlineServices":[],"childCriteriaItemList":[],"clientContextJson":""}],"clientContextJson":""},{"keyOptionId":"1576","caption":"Energy","isDefault":false,"maskCriteriaOnly":true,"definition":"","keyProductQueryItem":"","comparisonOperation":null,"comparisonValue":"","minimumVersion":"","maximumVersion":"","formOrder":0,"lowerBound":null,"enabled":true,"mask":"","maskKey":"","keyItemMaskOfField":null,"keyOptionIdReplace":"","relatedOptionIds":[],"onlineServices":[],"childCriteriaItemList":[{"keyOptionId":"1577","caption":"Power","isDefault":true,"maskCriteriaOnly":false,"definition":"","keyProductQueryItem":"226303","comparisonOperation":0,"comparisonValue":"10","minimumVersion":"","maximumVersion":"","formOrder":0,"lowerBound":null,"enabled":true,"mask":"","maskKey":"","keyItemMaskOfField":null,"keyOptionIdReplace":"","relatedOptionIds":[],"onlineServices":[],"childCriteriaItemList":[],"clientContextJson":""},{"keyOptionId":"1578","caption":"Coal","isDefault":true,"maskCriteriaOnly":false,"definition":"","keyProductQueryItem":"226303","comparisonOperation":0,"comparisonValue":"17","minimumVersion":"","maximumVersion":"","formOrder":0,"lowerBound":null,"enabled":true,"mask":"","maskKey":"","keyItemMaskOfField":null,"keyOptionIdReplace":"","relatedOptionIds":[],"onlineServices":[],"childCriteriaItemList":[],"clientContextJson":""},{"keyOptionId":"1579","caption":"Natural Gas","isDefault":false,"maskCriteriaOnly":true,"definition":"","keyProductQueryItem":"","comparisonOperation":null,"comparisonValue":"","minimumVersion":"","maximumVersion":"","formOrder":0,"lowerBound":null,"enabled":true,"mask":"","maskKey":"","keyItemMaskOfField":null,"keyOptionIdReplace":"","relatedOptionIds":[],"onlineServices":[],"childCriteriaItemList":[{"keyOptionId":"1580","caption":"Gas Utility","isDefault":true,"maskCriteriaOnly":false,"definition":"","keyProductQueryItem":"226303","comparisonOperation":0,"comparisonValue":"18","minimumVersion":"","maximumVersion":"","formOrder":0,"lowerBound":null,"enabled":true,"mask":"","maskKey":"","keyItemMaskOfField":null,"keyOptionIdReplace":"","relatedOptionIds":[],"onlineServices":[],"childCriteriaItemList":[],"clientContextJson":""},{"keyOptionId":"1581","caption":"Midstream","isDefault":true,"maskCriteriaOnly":false,"definition":"","keyProductQueryItem":"226303","comparisonOperation":0,"comparisonValue":"23","minimumVersion":"","maximumVersion":"","formOrder":0,"lowerBound":null,"enabled":true,"mask":"","maskKey":"","keyItemMaskOfField":null,"keyOptionIdReplace":"","relatedOptionIds":[],"onlineServices":[],"childCriteriaItemList":[],"clientContextJson":""}],"clientContextJson":""}],"clientContextJson":""},{"keyOptionId":"1582","caption":"Media &amp; Communications","isDefault":false,"maskCriteriaOnly":true,"definition":"","keyProductQueryItem":"","comparisonOperation":null,"comparisonValue":"","minimumVersion":"","maximumVersion":"","formOrder":0,"lowerBound":null,"enabled":true,"mask":"","maskKey":"","keyItemMaskOfField":null,"keyOptionIdReplace":"","relatedOptionIds":[],"onlineServices":[],"childCriteriaItemList":[{"keyOptionId":"1583","caption":"Media","isDefault":false,"maskCriteriaOnly":true,"definition":"","keyProductQueryItem":"","comparisonOperation":null,"comparisonValue":"","minimumVersion":"","maximumVersion":"","formOrder":0,"lowerBound":null,"enabled":true,"mask":"","maskKey":"","keyItemMaskOfField":null,"keyOptionIdReplace":"","relatedOptionIds":[],"onlineServices":[],"childCriteriaItemList":[{"keyOptionId":"1584","caption":"Media &amp; Entertainment","isDefault":true,"maskCriteriaOnly":false,"definition":"","keyProductQueryItem":"226303","comparisonOperation":0,"comparisonValue":"20","minimumVersion":"","maximumVersion":"","formOrder":0,"lowerBound":null,"enabled":true,"mask":"","maskKey":"","keyItemMaskOfField":null,"keyOptionIdReplace":"","relatedOptionIds":[],"onlineServices":[],"childCriteriaItemList":[],"clientContextJson":""},{"keyOptionId":"1585","caption":"New Media","isDefault":true,"maskCriteriaOnly":false,"definition":"","keyProductQueryItem":"226303","comparisonOperation":0,"comparisonValue":"21","minimumVersion":"","maximumVersion":"","formOrder":0,"lowerBound":null,"enabled":true,"mask":"","maskKey":"","keyItemMaskOfField":null,"keyOptionIdReplace":"","relatedOptionIds":[],"onlineServices":[],"childCriteriaItemList":[],"clientContextJson":""}],"clientContextJson":""},{"keyOptionId":"1586","caption":"Communications","isDefault":true,"maskCriteriaOnly":false,"definition":"","keyProductQueryItem":"226303","comparisonOperation":0,"comparisonValue":"14","minimumVersion":"","maximumVersion":"","formOrder":0,"lowerBound":null,"enabled":true,"mask":"","maskKey":"","keyItemMaskOfField":null,"keyOptionIdReplace":"","relatedOptionIds":[],"onlineServices":[],"childCriteriaItemList":[],"clientContextJson":""}],"clientContextJson":""},{"keyOptionId":"4741","caption":"Metals &amp; Mining","isDefault":true,"maskCriteriaOnly":false,"definition":"","keyProductQueryItem":"226303","comparisonOperation":0,"comparisonValue":"22","minimumVersion":"","maximumVersion":"","formOrder":0,"lowerBound":null,"enabled":true,"mask":"","</t>
  </si>
  <si>
    <t>maskKey":"","keyItemMaskOfField":null,"keyOptionIdReplace":"","relatedOptionIds":[],"onlineServices":[],"childCriteriaItemList":[{"keyOptionId":"4742","caption":"Diversified Commodities","isDefault":true,"maskCriteriaOnly":false,"definition":"","keyProductQueryItem":"226161","comparisonOperation":0,"comparisonValue":"24","minimumVersion":"","maximumVersion":"","formOrder":0,"lowerBound":null,"enabled":true,"mask":"","maskKey":"","keyItemMaskOfField":null,"keyOptionIdReplace":"","relatedOptionIds":[],"onlineServices":[],"childCriteriaItemList":[],"clientContextJson":""},{"keyOptionId":"4743","caption":"Precious Metals","isDefault":true,"maskCriteriaOnly":false,"definition":"","keyProductQueryItem":"226161","comparisonOperation":0,"comparisonValue":"25","minimumVersion":"","maximumVersion":"","formOrder":0,"lowerBound":null,"enabled":true,"mask":"","maskKey":"","keyItemMaskOfField":null,"keyOptionIdReplace":"","relatedOptionIds":[],"onlineServices":[],"childCriteriaItemList":[],"clientContextJson":""},{"keyOptionId":"4744","caption":"Base Metals","isDefault":true,"maskCriteriaOnly":false,"definition":"","keyProductQueryItem":"226161","comparisonOperation":0,"comparisonValue":"26","minimumVersion":"","maximumVersion":"","formOrder":0,"lowerBound":null,"enabled":true,"mask":"","maskKey":"","keyItemMaskOfField":null,"keyOptionIdReplace":"","relatedOptionIds":[],"onlineServices":[],"childCriteriaItemList":[],"clientContextJson":""},{"keyOptionId":"4745","caption":"Bulk Commodities","isDefault":true,"maskCriteriaOnly":false,"definition":"","keyProductQueryItem":"226161","comparisonOperation":0,"comparisonValue":"27","minimumVersion":"","maximumVersion":"","formOrder":0,"lowerBound":null,"enabled":true,"mask":"","maskKey":"","keyItemMaskOfField":null,"keyOptionIdReplace":"","relatedOptionIds":[],"onlineServices":[],"childCriteriaItemList":[],"clientContextJson":""},{"keyOptionId":"4746","caption":"Specialty Commodities","isDefault":true,"maskCriteriaOnly":false,"definition":"","keyProductQueryItem":"226161","comparisonOperation":0,"comparisonValue":"28","minimumVersion":"","maximumVersion":"","formOrder":0,"lowerBound":null,"enabled":true,"mask":"","maskKey":"","keyItemMaskOfField":null,"keyOptionIdReplace":"","relatedOptionIds":[],"onlineServices":[],"childCriteriaItemList":[],"clientContextJson":""}],"clientContextJson":""}],"clientContextJson":""}]},{"filterGroupId":"4831","filterGroupIdReplace":"","caption":"Company Name","groupType":2,"optionType":2,"formOrder":100,"minimumVersion":"","maximumVersion":"","onlineServicesEnabled":false,"column":0,"columnFormOrder":30,"criteriaIdName":"","required":false,"dateDefaultType":"","criteriaItemList":[{"keyOptionId":"4832","caption":"","isDefault":false,"maskCriteriaOnly":true,"definition":"","keyProductQueryItem":"221557","comparisonOperation":4,"comparisonValue":"","minimumVersion":"","maximumVersion":"","formOrder":0,"lowerBound":null,"enabled":true,"mask":"","maskKey":"","keyItemMaskOfField":null,"keyOptionIdReplace":"","relatedOptionIds":[],"onlineServices":[],"childCriteriaItemList":[],"clientContextJson":""}]},{"filterGroupId":"4833","filterGroupIdReplace":"","caption":"Trading Symbol(s)","groupType":2,"optionType":6,"formOrder":200,"minimumVersion":"","maximumVersion":"","onlineServicesEnabled":false,"column":0,"columnFormOrder":20,"criteriaIdName":"","required":false,"dateDefaultType":"","criteriaItemList":[{"keyOptionId":"4834","caption":"","isDefault":false,"maskCriteriaOnly":true,"definition":"","keyProductQueryItem":"249947","comparisonOperation":7,"comparisonValue":"","minimumVersion":"","maximumVersion":"","formOrder":0,"lowerBound":null,"enabled":true,"mask":"","maskKey":"","keyItemMaskOfField":null,"keyOptionIdReplace":"","relatedOptionIds":[],"onlineServices":[],"childCriteriaItemList":[],"clientContextJson":""}]}],"conversionInformation":{"keyCurrency":"USD","measurementStandard":0,"conversionMode":1,"magnitudeOverride":null,"keyForeignLanguage":null,"keyForeignLanguageSecondary":null,"dataLanguage":null,"culture":null,"requestCulture":null,"nullValue":"NA","headerCurrency":null},"countsQuery":false,"standardDeviationQuery":false,"saveQueryType":0,"baseCompany":null},"conversionInfo":null,"operationType":22,"showProductMagnitude":false,"enableSourceTagging":false,"timeoutOverride":0,"ignoreCache":false,"sourceTimeZoneIDItemKey":null,"enforceItemEntitlements":false,"useNewOnPremDomain":false}],"saveQueryType":0,"sourceTimeZoneIDItemKey":null,"enforceItemEntitlements":false,"extensionPropertiesJson":null}</t>
  </si>
  <si>
    <t>WACC_Preferred</t>
  </si>
  <si>
    <t>{"clientContext":null,"conversionInformation":null,"enforceItemEntitlements":false,"extensionPropertiesJson":null,"functionRequests":[{"conversionInfo":null,"enableSourceTagging":false,"enforceItemEntitlements":false,"fields":null,"functionId":0,"groupBy":null,"groupByField":null,"ignoreCache":false,"keys":null,"operationType":22,"perspective":"275259","propDataUserContext":null,"query":{"baseCompany":null,"conversionInformation":{"keyCurrency":"USD","measurementStandard":0,"conversionMode":0,"magnitudeOverride":null,"keyForeignLanguage":null,"keyForeignLanguageSecondary":null,"dataLanguage":"en-US","culture":null,"requestCulture":null,"nullValue":"0","headerCurrency":null},"countsQuery":false,"dateCreated":"2019-03-21T11:11:37.253-04:00","keyPerspective":"275259","name":"WACC_Preferred","queryFilters":[{"filterGroupId":"8085","filterGroupIdReplace":"","caption":"Transaction Type","groupType":2,"optionType":1,"formOrder":10,"minimumVersion":"","maximumVersion":"","onlineServicesEnabled":false,"column":0,"columnFormOrder":10,"criteriaIdName":"","required":true,"dateDefaultType":"","criteriaItemList":[{"keyOptionId":"8086","caption":"All Transaction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8087","caption":"M&amp;A","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8088","caption":"Acquisition of Whole Company (incl. Majority Stake)","isDefault":true,"maskCriteriaOnly":false,"definition":"","keyProductQueryItem":"299101","comparisonOperation":0,"comparisonValue":"5","minimumVersion":"","maximumVersion":"","formOrder":0,"lowerBound":null,"enabled":true,"mask":"","largeMask":"","maskKey":"","keyItemMaskOfField":null,"keyOptionIdReplace":"","relatedOptionIds":[],"onlineServices":[],"childCriteriaItemList":[],"clientContextJson":""},{"keyOptionId":"8089","caption":"Acquisition of Minority Stake","isDefault":true,"maskCriteriaOnly":false,"definition":"","keyProductQueryItem":"299101","comparisonOperation":0,"comparisonValue":"6","minimumVersion":"","maximumVersion":"","formOrder":0,"lowerBound":null,"enabled":true,"mask":"","largeMask":"","maskKey":"","keyItemMaskOfField":null,"keyOptionIdReplace":"","relatedOptionIds":[],"onlineServices":[],"childCriteriaItemList":[],"clientContextJson":""},{"keyOptionId":"8090","caption":"Acquisition of Asset or Branch","isDefault":true,"maskCriteriaOnly":false,"definition":"","keyProductQueryItem":"299101","comparisonOperation":0,"comparisonValue":"7","minimumVersion":"","maximumVersion":"","formOrder":0,"lowerBound":null,"enabled":true,"mask":"","largeMask":"","maskKey":"","keyItemMaskOfField":null,"keyOptionIdReplace":"","relatedOptionIds":[],"onlineServices":[],"childCriteriaItemList":[],"clientContextJson":""},{"keyOptionId":"9742","caption":"Spinoff or Splitoff","isDefault":true,"maskCriteriaOnly":false,"definition":"","keyProductQueryItem":"299101","comparisonOperation":0,"comparisonValue":"21","minimumVersion":"","maximumVersion":"","formOrder":0,"lowerBound":null,"enabled":true,"mask":"","largeMask":"","maskKey":"","keyItemMaskOfField":null,"keyOptionIdReplace":"","relatedOptionIds":[],"onlineServices":[],"childCriteriaItemList":[],"clientContextJson":""}],"clientContextJson":""},{"keyOptionId":"8091","caption":"Equity Capital Market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8092","caption":"Initial Public Offering","isDefault":true,"maskCriteriaOnly":false,"definition":"","keyProductQueryItem":"299101","comparisonOperation":0,"comparisonValue":"8","minimumVersion":"","maximumVersion":"","formOrder":0,"lowerBound":null,"enabled":true,"mask":"","largeMask":"","maskKey":"","keyItemMaskOfField":null,"keyOptionIdReplace":"","relatedOptionIds":[],"onlineServices":[],"childCriteriaItemList":[],"clientContextJson":""},{"keyOptionId":"8093","caption":"Follow-on","isDefault":true,"maskCriteriaOnly":false,"definition":"","keyProductQueryItem":"299101","comparisonOperation":0,"comparisonValue":"9","minimumVersion":"","maximumVersion":"","formOrder":0,"lowerBound":null,"enabled":true,"mask":"","largeMask":"","maskKey":"","keyItemMaskOfField":null,"keyOptionIdReplace":"","relatedOptionIds":[],"onlineServices":[],"childCriteriaItemList":[],"clientContextJson":""},{"keyOptionId":"8094","caption":"Convertible","isDefault":true,"maskCriteriaOnly":false,"definition":"","keyProductQueryItem":"299101","comparisonOperation":0,"comparisonValue":"10","minimumVersion":"","maximumVersion":"","formOrder":0,"lowerBound":null,"enabled":true,"mask":"","largeMask":"","maskKey":"","keyItemMaskOfField":null,"keyOptionIdReplace":"","relatedOptionIds":[],"onlineServices":[],"childCriteriaItemList":[],"clientContextJson":""}],"clientContextJson":""},{"keyOptionId":"8095","caption":"Debt Capital Market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8096","caption":"Preferred Equity","isDefault":true,"maskCriteriaOnly":false,"definition":"","keyProductQueryItem":"299101","comparisonOperation":0,"comparisonValue":"11","minimumVersion":"","maximumVersion":"","formOrder":0,"lowerBound":null,"enabled":true,"mask":"","largeMask":"","maskKey":"","keyItemMaskOfField":null,"keyOptionIdReplace":"","relatedOptionIds":[],"onlineServices":[],"childCriteriaItemList":[],"clientContextJson":""},{"keyOptionId":"8097","caption":"Non-convertible Debt","isDefault":true,"maskCriteriaOnly":false,"definition":"","keyProductQueryItem":"299101","comparisonOperation":0,"comparisonValue":"12","minimumVersion":"","maximumVersion":"","formOrder":0,"lowerBound":null,"enabled":true,"mask":"","largeMask":"","maskKey":"","keyItemMaskOfField":null,"keyOptionIdReplace":"","relatedOptionIds":[],"onlineServices":[],"childCriteriaItemList":[],"clientContextJson":""}],"clientContextJson":""},{"keyOptionId":"8098","caption":"Private Placement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8099","caption":"Common Equity","isDefault":true,"maskCriteriaOnly":false,"definition":"","keyProductQueryItem":"299101","comparisonOperation":0,"comparisonValue":"13","minimumVersion":"","maximumVersion</t>
  </si>
  <si>
    <t>":"","formOrder":0,"lowerBound":null,"enabled":true,"mask":"","largeMask":"","maskKey":"","keyItemMaskOfField":null,"keyOptionIdReplace":"","relatedOptionIds":[],"onlineServices":[],"childCriteriaItemList":[],"clientContextJson":""},{"keyOptionId":"8100","caption":"Preferred Equity","isDefault":true,"maskCriteriaOnly":false,"definition":"","keyProductQueryItem":"299101","comparisonOperation":0,"comparisonValue":"14","minimumVersion":"","maximumVersion":"","formOrder":0,"lowerBound":null,"enabled":true,"mask":"","largeMask":"","maskKey":"","keyItemMaskOfField":null,"keyOptionIdReplace":"","relatedOptionIds":[],"onlineServices":[],"childCriteriaItemList":[],"clientContextJson":""},{"keyOptionId":"8101","caption":"Convertible","isDefault":true,"maskCriteriaOnly":false,"definition":"","keyProductQueryItem":"299101","comparisonOperation":0,"comparisonValue":"15","minimumVersion":"","maximumVersion":"","formOrder":0,"lowerBound":null,"enabled":true,"mask":"","largeMask":"","maskKey":"","keyItemMaskOfField":null,"keyOptionIdReplace":"","relatedOptionIds":[],"onlineServices":[],"childCriteriaItemList":[],"clientContextJson":""},{"keyOptionId":"8102","caption":"Non-convertible Debt","isDefault":true,"maskCriteriaOnly":false,"definition":"","keyProductQueryItem":"299101","comparisonOperation":0,"comparisonValue":"16","minimumVersion":"","maximumVersion":"","formOrder":0,"lowerBound":null,"enabled":true,"mask":"","largeMask":"","maskKey":"","keyItemMaskOfField":null,"keyOptionIdReplace":"","relatedOptionIds":[],"onlineServices":[],"childCriteriaItemList":[],"clientContextJson":""}],"clientContextJson":""},{"keyOptionId":"8103","caption":"Shelf Registration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8104","caption":"Common Equity","isDefault":true,"maskCriteriaOnly":false,"definition":"","keyProductQueryItem":"299101","comparisonOperation":0,"comparisonValue":"17","minimumVersion":"","maximumVersion":"","formOrder":0,"lowerBound":null,"enabled":true,"mask":"","largeMask":"","maskKey":"","keyItemMaskOfField":null,"keyOptionIdReplace":"","relatedOptionIds":[],"onlineServices":[],"childCriteriaItemList":[],"clientContextJson":""},{"keyOptionId":"8105","caption":"Preferred Equity","isDefault":true,"maskCriteriaOnly":false,"definition":"","keyProductQueryItem":"299101","comparisonOperation":0,"comparisonValue":"18","minimumVersion":"","maximumVersion":"","formOrder":0,"lowerBound":null,"enabled":true,"mask":"","largeMask":"","maskKey":"","keyItemMaskOfField":null,"keyOptionIdReplace":"","relatedOptionIds":[],"onlineServices":[],"childCriteriaItemList":[],"clientContextJson":""},{"keyOptionId":"8106","caption":"Convertible","isDefault":true,"maskCriteriaOnly":false,"definition":"","keyProductQueryItem":"299101","comparisonOperation":0,"comparisonValue":"19","minimumVersion":"","maximumVersion":"","formOrder":0,"lowerBound":null,"enabled":true,"mask":"","largeMask":"","maskKey":"","keyItemMaskOfField":null,"keyOptionIdReplace":"","relatedOptionIds":[],"onlineServices":[],"childCriteriaItemList":[],"clientContextJson":""},{"keyOptionId":"8107","caption":"Non-convertible Debt","isDefault":true,"maskCriteriaOnly":false,"definition":"","keyProductQueryItem":"299101","comparisonOperation":0,"comparisonValue":"20","minimumVersion":"","maximumVersion":"","formOrder":0,"lowerBound":null,"enabled":true,"mask":"","largeMask":"","maskKey":"","keyItemMaskOfField":null,"keyOptionIdReplace":"","relatedOptionIds":[],"onlineServices":[],"childCriteriaItemList":[],"clientContextJson":""}],"clientContextJson":""},{"keyOptionId":"9743","caption":"Buyback","isDefault":true,"maskCriteriaOnly":false,"definition":"","keyProductQueryItem":"299101","comparisonOperation":0,"comparisonValue":"22","minimumVersion":"","maximumVersion":"","formOrder":0,"lowerBound":null,"enabled":true,"mask":"","largeMask":"","maskKey":"","keyItemMaskOfField":null,"keyOptionIdReplace":"","relatedOptionIds":[],"onlineServices":[],"childCriteriaItemList":[],"clientContextJson":""}],"clientContextJson":""}]},{"filterGroupId":"8723","filterGroupIdReplace":"","caption":"Target/Issuer Primary Industry","groupType":2,"optionType":1,"formOrder":20,"minimumVersion":"","maximumVersion":"","onlineServicesEnabled":true,"column":0,"columnFormOrder":20,"criteriaIdName":"","required":true,"dateDefaultType":"","criteriaItemList":[{"keyOptionId":"8724","caption":"All","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8725","caption":"Financial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8726","caption":"Banking","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8727","caption":"Bank","isDefault":true,"maskCriteriaOnly":false,"definition":"","keyProductQueryItem":"305790","comparisonOperation":0,"comparisonValue":"3","minimumVersion":"","maximumVersion":"","formOrder":0,"lowerBound":null,"enabled":true,"mask":"","largeMask":"","maskKey":"","keyItemMaskOfField":null,"keyOptionIdReplace":"","relatedOptionIds":[],"onlineServices":[],"childCriteriaItemList":[],"clientContextJson":""},{"keyOptionId":"8728","caption":"Credit Unions and Mutuals","isDefault":true,"maskCriteriaOnly":false,"definition":"","keyProductQueryItem":"305790","comparisonOperation":0,"comparisonValue":"4","minimumVersion":"","maximumVersion":"","formOrder":0,"lowerBound":null,"enabled":true,"mask":"","largeMask":"","maskKey":"","keyItemMaskOfField":null,"keyOptionIdReplace":"","relatedOptionIds":[],"onlineServices":[],"childCriteriaItemList":[],"clientContextJson":""},{"keyOptionId":"8729","caption":"Development Bank","isDefault":true,"maskCriteriaOnly":false,"definition":"","keyProductQueryItem":"305790","comparisonOperation":0,"comparisonValue":"5","minimumVersion":"","maximumVersion":"","formOrder":0,"lowerBound":null,"enabled":true,"mask":"","largeMask":"","maskKey":"","keyItemMaskOfField":null,"keyOptionIdReplace":"","relatedOptionIds":[],"onlineServices":[],"childCriteriaItemList":[],"clientContextJson":""},{"keyOptionId":"8730","caption":"Central Banks","isDefault":true,"maskCriteriaOnly":false,"definition":"","keyProductQueryItem":"305790","comparisonOperation":0,"comparisonValue":"6","minimumVersion":"","maximumVersion":"","formOrder":0,"lowerBound":null,"enabled":true,"mask":"","largeMask":"","maskKey":"","keyItemMaskOfField":null,"keyOptionIdReplace":"","relatedOptionIds":[],"onlineServices":[],"ch</t>
  </si>
  <si>
    <t>ildCriteriaItemList":[],"clientContextJson":""}],"clientContextJson":""},{"keyOptionId":"8731","caption":"Insurance","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8732","caption":"Insurance Underwriter","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8733","caption":"Multiline","isDefault":true,"maskCriteriaOnly":false,"definition":"","keyProductQueryItem":"305790","comparisonOperation":0,"comparisonValue":"9","minimumVersion":"","maximumVersion":"","formOrder":0,"lowerBound":null,"enabled":true,"mask":"","largeMask":"","maskKey":"","keyItemMaskOfField":null,"keyOptionIdReplace":"","relatedOptionIds":[],"onlineServices":[],"childCriteriaItemList":[],"clientContextJson":""},{"keyOptionId":"8734","caption":"Property and Casualty","isDefault":true,"maskCriteriaOnly":false,"definition":"","keyProductQueryItem":"305790","comparisonOperation":0,"comparisonValue":"10","minimumVersion":"","maximumVersion":"","formOrder":0,"lowerBound":null,"enabled":true,"mask":"","largeMask":"","maskKey":"","keyItemMaskOfField":null,"keyOptionIdReplace":"","relatedOptionIds":[],"onlineServices":[],"childCriteriaItemList":[],"clientContextJson":""},{"keyOptionId":"8735","caption":"Life and Health","isDefault":true,"maskCriteriaOnly":false,"definition":"","keyProductQueryItem":"305790","comparisonOperation":0,"comparisonValue":"11","minimumVersion":"","maximumVersion":"","formOrder":0,"lowerBound":null,"enabled":true,"mask":"","largeMask":"","maskKey":"","keyItemMaskOfField":null,"keyOptionIdReplace":"","relatedOptionIds":[],"onlineServices":[],"childCriteriaItemList":[],"clientContextJson":""},{"keyOptionId":"8736","caption":"Title","isDefault":true,"maskCriteriaOnly":false,"definition":"","keyProductQueryItem":"305790","comparisonOperation":0,"comparisonValue":"12","minimumVersion":"","maximumVersion":"","formOrder":0,"lowerBound":null,"enabled":true,"mask":"","largeMask":"","maskKey":"","keyItemMaskOfField":null,"keyOptionIdReplace":"","relatedOptionIds":[],"onlineServices":[],"childCriteriaItemList":[],"clientContextJson":""},{"keyOptionId":"8737","caption":"Mortgage Guaranty","isDefault":true,"maskCriteriaOnly":false,"definition":"","keyProductQueryItem":"305790","comparisonOperation":0,"comparisonValue":"13","minimumVersion":"","maximumVersion":"","formOrder":0,"lowerBound":null,"enabled":true,"mask":"","largeMask":"","maskKey":"","keyItemMaskOfField":null,"keyOptionIdReplace":"","relatedOptionIds":[],"onlineServices":[],"childCriteriaItemList":[],"clientContextJson":""},{"keyOptionId":"8738","caption":"Financial Guaranty","isDefault":true,"maskCriteriaOnly":false,"definition":"","keyProductQueryItem":"305790","comparisonOperation":0,"comparisonValue":"14","minimumVersion":"","maximumVersion":"","formOrder":0,"lowerBound":null,"enabled":true,"mask":"","largeMask":"","maskKey":"","keyItemMaskOfField":null,"keyOptionIdReplace":"","relatedOptionIds":[],"onlineServices":[],"childCriteriaItemList":[],"clientContextJson":""},{"keyOptionId":"8739","caption":"Managed Care","isDefault":true,"maskCriteriaOnly":false,"definition":"","keyProductQueryItem":"305790","comparisonOperation":0,"comparisonValue":"15","minimumVersion":"","maximumVersion":"","formOrder":0,"lowerBound":null,"enabled":true,"mask":"","largeMask":"","maskKey":"","keyItemMaskOfField":null,"keyOptionIdReplace":"","relatedOptionIds":[],"onlineServices":[],"childCriteriaItemList":[],"clientContextJson":""},{"keyOptionId":"8740","caption":"Reinsurance","isDefault":true,"maskCriteriaOnly":false,"definition":"","keyProductQueryItem":"305790","comparisonOperation":0,"comparisonValue":"16","minimumVersion":"","maximumVersion":"","formOrder":0,"lowerBound":null,"enabled":true,"mask":"","largeMask":"","maskKey":"","keyItemMaskOfField":null,"keyOptionIdReplace":"","relatedOptionIds":[],"onlineServices":[],"childCriteriaItemList":[],"clientContextJson":""}],"clientContextJson":""},{"keyOptionId":"8741","caption":"Insurance Broker","isDefault":true,"maskCriteriaOnly":false,"definition":"","keyProductQueryItem":"305790","comparisonOperation":0,"comparisonValue":"17","minimumVersion":"","maximumVersion":"","formOrder":0,"lowerBound":null,"enabled":true,"mask":"","largeMask":"","maskKey":"","keyItemMaskOfField":null,"keyOptionIdReplace":"","relatedOptionIds":[],"onlineServices":[],"childCriteriaItemList":[],"clientContextJson":""},{"keyOptionId":"8742","caption":"Lloyd's Syndicate","isDefault":true,"maskCriteriaOnly":false,"definition":"","keyProductQueryItem":"305790","comparisonOperation":0,"comparisonValue":"18","minimumVersion":"","maximumVersion":"","formOrder":0,"lowerBound":null,"enabled":true,"mask":"","largeMask":"","maskKey":"","keyItemMaskOfField":null,"keyOptionIdReplace":"","relatedOptionIds":[],"onlineServices":[],"childCriteriaItemList":[],"clientContextJson":""}],"clientContextJson":""},{"keyOptionId":"8743","caption":"Mortgage Brokers and Services","isDefault":true,"maskCriteriaOnly":false,"definition":"","keyProductQueryItem":"305790","comparisonOperation":0,"comparisonValue":"19","minimumVersion":"","maximumVersion":"","formOrder":0,"lowerBound":null,"enabled":true,"mask":"","largeMask":"","maskKey":"","keyItemMaskOfField":null,"keyOptionIdReplace":"","relatedOptionIds":[],"onlineServices":[],"childCriteriaItemList":[],"clientContextJson":""},{"keyOptionId":"8744","caption":"Specialty Finance","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8745","caption":"Specialty Finance: Consumer Focused","isDefault":true,"maskCriteriaOnly":false,"definition":"","keyProductQueryItem":"305790","comparisonOperation":0,"comparisonValue":"21","minimumVersion":"","maximumVersion":"","formOrder":0,"lowerBound":null,"enabled":true,"mask":"","largeMask":"","maskKey":"","keyItemMaskOfField":null,"keyOptionIdReplace":"","relatedOptionIds":[],"onlineServices":[],"childCriteriaItemList":[],"clientContextJson":""},{"keyOptionId":"8746","caption":"Specialty Finance: Commercial Focused","isDefault":true,"maskCriteriaOnly":false,"definition":"","keyProductQueryItem":"305790","comparisonOperation":0,"comparisonValue":"22","minimumVersion":"","maximumVersion":"","formOrder":0,"lowerBound":null,"enabled":true,"mask":"","largeMask":"","maskKey":"","keyItemMaskOfField":null,"keyOptionIdReplace":"","relatedOptionIds":[],"onlineServices":[],"childCriteriaItemList":[],"clientContextJson":""}],"clientContextJson":""},{"keyOptionId":"8747","caption":"Investment and Business Development Companies","isDefault":true,"maskCriteriaOnly":false,"definition":"","keyProductQueryItem":"305790","comparisonOperation":0,"comparisonValue":"23","minimumVersion":"","maximumVersion":"","formOrder":0,"lowerBound":null,"enabled":true,"mask":"","lar</t>
  </si>
  <si>
    <t>geMask":"","maskKey":"","keyItemMaskOfField":null,"keyOptionIdReplace":"","relatedOptionIds":[],"onlineServices":[],"childCriteriaItemList":[],"clientContextJson":""},{"keyOptionId":"8748","caption":"Mortgage REIT","isDefault":true,"maskCriteriaOnly":false,"definition":"","keyProductQueryItem":"305790","comparisonOperation":0,"comparisonValue":"26","minimumVersion":"","maximumVersion":"","formOrder":0,"lowerBound":null,"enabled":true,"mask":"","largeMask":"","maskKey":"","keyItemMaskOfField":null,"keyOptionIdReplace":"","relatedOptionIds":[],"onlineServices":[],"childCriteriaItemList":[],"clientContextJson":""},{"keyOptionId":"8749","caption":"Asset Management","isDefault":true,"maskCriteriaOnly":false,"definition":"","keyProductQueryItem":"305790","comparisonOperation":0,"comparisonValue":"27","minimumVersion":"","maximumVersion":"","formOrder":0,"lowerBound":null,"enabled":true,"mask":"","largeMask":"","maskKey":"","keyItemMaskOfField":null,"keyOptionIdReplace":"","relatedOptionIds":[],"onlineServices":[],"childCriteriaItemList":[],"clientContextJson":""},{"keyOptionId":"8750","caption":"Investment Banks, Brokers and Capital Markets","isDefault":true,"maskCriteriaOnly":false,"definition":"","keyProductQueryItem":"305790","comparisonOperation":0,"comparisonValue":"30","minimumVersion":"","maximumVersion":"","formOrder":0,"lowerBound":null,"enabled":true,"mask":"","largeMask":"","maskKey":"","keyItemMaskOfField":null,"keyOptionIdReplace":"","relatedOptionIds":[],"onlineServices":[],"childCriteriaItemList":[],"clientContextJson":""},{"keyOptionId":"8751","caption":"Financial Exchanges","isDefault":true,"maskCriteriaOnly":false,"definition":"","keyProductQueryItem":"305790","comparisonOperation":0,"comparisonValue":"34","minimumVersion":"","maximumVersion":"","formOrder":0,"lowerBound":null,"enabled":true,"mask":"","largeMask":"","maskKey":"","keyItemMaskOfField":null,"keyOptionIdReplace":"","relatedOptionIds":[],"onlineServices":[],"childCriteriaItemList":[],"clientContextJson":""},{"keyOptionId":"8752","caption":"Credit Rating and Reporting","isDefault":true,"maskCriteriaOnly":false,"definition":"","keyProductQueryItem":"305790","comparisonOperation":0,"comparisonValue":"35","minimumVersion":"","maximumVersion":"","formOrder":0,"lowerBound":null,"enabled":true,"mask":"","largeMask":"","maskKey":"","keyItemMaskOfField":null,"keyOptionIdReplace":"","relatedOptionIds":[],"onlineServices":[],"childCriteriaItemList":[],"clientContextJson":""},{"keyOptionId":"8753","caption":"Financial Technology","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8754","caption":"Banking Technology","isDefault":true,"maskCriteriaOnly":false,"definition":"","keyProductQueryItem":"305790","comparisonOperation":0,"comparisonValue":"37","minimumVersion":"","maximumVersion":"","formOrder":0,"lowerBound":null,"enabled":true,"mask":"","largeMask":"","maskKey":"","keyItemMaskOfField":null,"keyOptionIdReplace":"","relatedOptionIds":[],"onlineServices":[],"childCriteriaItemList":[],"clientContextJson":""},{"keyOptionId":"8755","caption":"Digital Lending","isDefault":true,"maskCriteriaOnly":false,"definition":"","keyProductQueryItem":"305790","comparisonOperation":0,"comparisonValue":"38","minimumVersion":"","maximumVersion":"","formOrder":0,"lowerBound":null,"enabled":true,"mask":"","largeMask":"","maskKey":"","keyItemMaskOfField":null,"keyOptionIdReplace":"","relatedOptionIds":[],"onlineServices":[],"childCriteriaItemList":[],"clientContextJson":""},{"keyOptionId":"8756","caption":"Financial Media and Data Solutions","isDefault":true,"maskCriteriaOnly":false,"definition":"","keyProductQueryItem":"305790","comparisonOperation":0,"comparisonValue":"39","minimumVersion":"","maximumVersion":"","formOrder":0,"lowerBound":null,"enabled":true,"mask":"","largeMask":"","maskKey":"","keyItemMaskOfField":null,"keyOptionIdReplace":"","relatedOptionIds":[],"onlineServices":[],"childCriteriaItemList":[],"clientContextJson":""},{"keyOptionId":"8757","caption":"Insurance Technology","isDefault":true,"maskCriteriaOnly":false,"definition":"","keyProductQueryItem":"305790","comparisonOperation":0,"comparisonValue":"40","minimumVersion":"","maximumVersion":"","formOrder":0,"lowerBound":null,"enabled":true,"mask":"","largeMask":"","maskKey":"","keyItemMaskOfField":null,"keyOptionIdReplace":"","relatedOptionIds":[],"onlineServices":[],"childCriteriaItemList":[],"clientContextJson":""},{"keyOptionId":"8758","caption":"Investment and Capital Markets Technology","isDefault":true,"maskCriteriaOnly":false,"definition":"","keyProductQueryItem":"305790","comparisonOperation":0,"comparisonValue":"41","minimumVersion":"","maximumVersion":"","formOrder":0,"lowerBound":null,"enabled":true,"mask":"","largeMask":"","maskKey":"","keyItemMaskOfField":null,"keyOptionIdReplace":"","relatedOptionIds":[],"onlineServices":[],"childCriteriaItemList":[],"clientContextJson":""}],"clientContextJson":""},{"keyOptionId":"8759","caption":"Payment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8760","caption":"Payment Processors","isDefault":true,"maskCriteriaOnly":false,"definition":"","keyProductQueryItem":"305790","comparisonOperation":0,"comparisonValue":"43","minimumVersion":"","maximumVersion":"","formOrder":0,"lowerBound":null,"enabled":true,"mask":"","largeMask":"","maskKey":"","keyItemMaskOfField":null,"keyOptionIdReplace":"","relatedOptionIds":[],"onlineServices":[],"childCriteriaItemList":[],"clientContextJson":""},{"keyOptionId":"8761","caption":"Payment Service Providers and Gateways","isDefault":true,"maskCriteriaOnly":false,"definition":"","keyProductQueryItem":"305790","comparisonOperation":0,"comparisonValue":"44","minimumVersion":"","maximumVersion":"","formOrder":0,"lowerBound":null,"enabled":true,"mask":"","largeMask":"","maskKey":"","keyItemMaskOfField":null,"keyOptionIdReplace":"","relatedOptionIds":[],"onlineServices":[],"childCriteriaItemList":[],"clientContextJson":""},{"keyOptionId":"8762","caption":"Mobile Wallets","isDefault":true,"maskCriteriaOnly":false,"definition":"","keyProductQueryItem":"305790","comparisonOperation":0,"comparisonValue":"45","minimumVersion":"","maximumVersion":"","formOrder":0,"lowerBound":null,"enabled":true,"mask":"","largeMask":"","maskKey":"","keyItemMaskOfField":null,"keyOptionIdReplace":"","relatedOptionIds":[],"onlineServices":[],"childCriteriaItemList":[],"clientContextJson":""},{"keyOptionId":"8763","caption":"Payments Fraud Management","isDefault":true,"maskCriteriaOnly":false,"definition":"","keyProductQueryItem":"305790","comparisonOperation":0,"comparisonValue":"46","minimumVersion":"","maximumVersion":"","formOrder":0,"lowerBound":null,"enabled":true,"mask":"","largeMask":"","maskKey":"","keyItemMaskOfField":null,"keyOptionIdReplace":"","relatedOptionIds":[],"onlineServices":[],"childCriteriaItemList":[],"clientContextJson":""},{"keyOptionId":"8764","caption":"Money Transfer and Remittance","isDefault":true,"maskCriteriaOnly":false,"definition":"","keyProductQueryItem":"305790","compa</t>
  </si>
  <si>
    <t>risonOperation":0,"comparisonValue":"47","minimumVersion":"","maximumVersion":"","formOrder":0,"lowerBound":null,"enabled":true,"mask":"","largeMask":"","maskKey":"","keyItemMaskOfField":null,"keyOptionIdReplace":"","relatedOptionIds":[],"onlineServices":[],"childCriteriaItemList":[],"clientContextJson":""},{"keyOptionId":"8765","caption":"Payments Infrastructure","isDefault":true,"maskCriteriaOnly":false,"definition":"","keyProductQueryItem":"305790","comparisonOperation":0,"comparisonValue":"48","minimumVersion":"","maximumVersion":"","formOrder":0,"lowerBound":null,"enabled":true,"mask":"","largeMask":"","maskKey":"","keyItemMaskOfField":null,"keyOptionIdReplace":"","relatedOptionIds":[],"onlineServices":[],"childCriteriaItemList":[],"clientContextJson":""}],"clientContextJson":""},{"keyOptionId":"8766","caption":"Holding Companies, Patent Owners, and Trusts or Estates","isDefault":true,"maskCriteriaOnly":false,"definition":"","keyProductQueryItem":"305790","comparisonOperation":0,"comparisonValue":"49","minimumVersion":"","maximumVersion":"","formOrder":0,"lowerBound":null,"enabled":true,"mask":"","largeMask":"","maskKey":"","keyItemMaskOfField":null,"keyOptionIdReplace":"","relatedOptionIds":[],"onlineServices":[],"childCriteriaItemList":[],"clientContextJson":""}],"clientContextJson":""},{"keyOptionId":"8767","caption":"Real Estate","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8768","caption":"Equity REIT","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8769","caption":"Diversified REIT","isDefault":true,"maskCriteriaOnly":false,"definition":"","keyProductQueryItem":"305790","comparisonOperation":0,"comparisonValue":"53","minimumVersion":"","maximumVersion":"","formOrder":0,"lowerBound":null,"enabled":true,"mask":"","largeMask":"","maskKey":"","keyItemMaskOfField":null,"keyOptionIdReplace":"","relatedOptionIds":[],"onlineServices":[],"childCriteriaItemList":[],"clientContextJson":""},{"keyOptionId":"8770","caption":"Healthcare REIT","isDefault":true,"maskCriteriaOnly":false,"definition":"","keyProductQueryItem":"305790","comparisonOperation":0,"comparisonValue":"54","minimumVersion":"","maximumVersion":"","formOrder":0,"lowerBound":null,"enabled":true,"mask":"","largeMask":"","maskKey":"","keyItemMaskOfField":null,"keyOptionIdReplace":"","relatedOptionIds":[],"onlineServices":[],"childCriteriaItemList":[],"clientContextJson":""},{"keyOptionId":"8771","caption":"Hotel REIT","isDefault":true,"maskCriteriaOnly":false,"definition":"","keyProductQueryItem":"305790","comparisonOperation":0,"comparisonValue":"55","minimumVersion":"","maximumVersion":"","formOrder":0,"lowerBound":null,"enabled":true,"mask":"","largeMask":"","maskKey":"","keyItemMaskOfField":null,"keyOptionIdReplace":"","relatedOptionIds":[],"onlineServices":[],"childCriteriaItemList":[],"clientContextJson":""},{"keyOptionId":"8772","caption":"Industrial REIT","isDefault":true,"maskCriteriaOnly":false,"definition":"","keyProductQueryItem":"305790","comparisonOperation":0,"comparisonValue":"56","minimumVersion":"","maximumVersion":"","formOrder":0,"lowerBound":null,"enabled":true,"mask":"","largeMask":"","maskKey":"","keyItemMaskOfField":null,"keyOptionIdReplace":"","relatedOptionIds":[],"onlineServices":[],"childCriteriaItemList":[],"clientContextJson":""},{"keyOptionId":"8773","caption":"Office REIT","isDefault":true,"maskCriteriaOnly":false,"definition":"","keyProductQueryItem":"305790","comparisonOperation":0,"comparisonValue":"57","minimumVersion":"","maximumVersion":"","formOrder":0,"lowerBound":null,"enabled":true,"mask":"","largeMask":"","maskKey":"","keyItemMaskOfField":null,"keyOptionIdReplace":"","relatedOptionIds":[],"onlineServices":[],"childCriteriaItemList":[],"clientContextJson":""},{"keyOptionId":"8774","caption":"Residential REIT","isDefault":true,"maskCriteriaOnly":false,"definition":"","keyProductQueryItem":"305790","comparisonOperation":0,"comparisonValue":"58","minimumVersion":"","maximumVersion":"","formOrder":0,"lowerBound":null,"enabled":true,"mask":"","largeMask":"","maskKey":"","keyItemMaskOfField":null,"keyOptionIdReplace":"","relatedOptionIds":[],"onlineServices":[],"childCriteriaItemList":[],"clientContextJson":""},{"keyOptionId":"8775","caption":"Retail REIT","isDefault":true,"maskCriteriaOnly":false,"definition":"","keyProductQueryItem":"305790","comparisonOperation":0,"comparisonValue":"59","minimumVersion":"","maximumVersion":"","formOrder":0,"lowerBound":null,"enabled":true,"mask":"","largeMask":"","maskKey":"","keyItemMaskOfField":null,"keyOptionIdReplace":"","relatedOptionIds":[],"onlineServices":[],"childCriteriaItemList":[],"clientContextJson":""},{"keyOptionId":"8776","caption":"Self-Storage REIT","isDefault":true,"maskCriteriaOnly":false,"definition":"","keyProductQueryItem":"305790","comparisonOperation":0,"comparisonValue":"60","minimumVersion":"","maximumVersion":"","formOrder":0,"lowerBound":null,"enabled":true,"mask":"","largeMask":"","maskKey":"","keyItemMaskOfField":null,"keyOptionIdReplace":"","relatedOptionIds":[],"onlineServices":[],"childCriteriaItemList":[],"clientContextJson":""},{"keyOptionId":"8777","caption":"Specialty REIT","isDefault":true,"maskCriteriaOnly":false,"definition":"","keyProductQueryItem":"305790","comparisonOperation":0,"comparisonValue":"61","minimumVersion":"","maximumVersion":"","formOrder":0,"lowerBound":null,"enabled":true,"mask":"","largeMask":"","maskKey":"","keyItemMaskOfField":null,"keyOptionIdReplace":"","relatedOptionIds":[],"onlineServices":[],"childCriteriaItemList":[],"clientContextJson":""}],"clientContextJson":""},{"keyOptionId":"8778","caption":"Real Estate Management and Development","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8779","caption":"Diversified Real Estate Activities","isDefault":true,"maskCriteriaOnly":false,"definition":"","keyProductQueryItem":"305790","comparisonOperation":0,"comparisonValue":"63","minimumVersion":"","maximumVersion":"","formOrder":0,"lowerBound":null,"enabled":true,"mask":"","largeMask":"","maskKey":"","keyItemMaskOfField":null,"keyOptionIdReplace":"","relatedOptionIds":[],"onlineServices":[],"childCriteriaItemList":[],"clientContextJson":""},{"keyOptionId":"8780","caption":"Real Estate Operating and Management","isDefault":true,"maskCriteriaOnly":false,"definition":"","keyProductQueryItem":"305790","comparisonOperation":0,"comparisonValue":"64","minimumVersion":"","maximumVersion":"","formOrder":0,"lowerBound":null,"enabled":true,"mask":"","largeMask":"","maskKey":"","keyItemMaskOfField":null,"keyOptionIdReplace":"","relatedOptionIds":[],"onlineServices":[],"childCriteriaItemList":[],"clientContextJson":""},{"keyOptionId":"8781","caption":"Rea</t>
  </si>
  <si>
    <t>l Estate Development","isDefault":true,"maskCriteriaOnly":false,"definition":"","keyProductQueryItem":"305790","comparisonOperation":0,"comparisonValue":"65","minimumVersion":"","maximumVersion":"","formOrder":0,"lowerBound":null,"enabled":true,"mask":"","largeMask":"","maskKey":"","keyItemMaskOfField":null,"keyOptionIdReplace":"","relatedOptionIds":[],"onlineServices":[],"childCriteriaItemList":[],"clientContextJson":""},{"keyOptionId":"8782","caption":"Real Estate Services","isDefault":true,"maskCriteriaOnly":false,"definition":"","keyProductQueryItem":"305790","comparisonOperation":0,"comparisonValue":"66","minimumVersion":"","maximumVersion":"","formOrder":0,"lowerBound":null,"enabled":true,"mask":"","largeMask":"","maskKey":"","keyItemMaskOfField":null,"keyOptionIdReplace":"","relatedOptionIds":[],"onlineServices":[],"childCriteriaItemList":[],"clientContextJson":""}],"clientContextJson":""}],"clientContextJson":""},{"keyOptionId":"8783","caption":"Energy and Utilitie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8784","caption":"Oil, Gas and Coal","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8785","caption":"Oil and Gas Drilling","isDefault":true,"maskCriteriaOnly":false,"definition":"","keyProductQueryItem":"305790","comparisonOperation":0,"comparisonValue":"69","minimumVersion":"","maximumVersion":"","formOrder":0,"lowerBound":null,"enabled":true,"mask":"","largeMask":"","maskKey":"","keyItemMaskOfField":null,"keyOptionIdReplace":"","relatedOptionIds":[],"onlineServices":[],"childCriteriaItemList":[],"clientContextJson":""},{"keyOptionId":"8786","caption":"Oil and Gas Equipment and Services","isDefault":true,"maskCriteriaOnly":false,"definition":"","keyProductQueryItem":"305790","comparisonOperation":0,"comparisonValue":"70","minimumVersion":"","maximumVersion":"","formOrder":0,"lowerBound":null,"enabled":true,"mask":"","largeMask":"","maskKey":"","keyItemMaskOfField":null,"keyOptionIdReplace":"","relatedOptionIds":[],"onlineServices":[],"childCriteriaItemList":[],"clientContextJson":""},{"keyOptionId":"8787","caption":"Integrated Oil and Gas","isDefault":true,"maskCriteriaOnly":false,"definition":"","keyProductQueryItem":"305790","comparisonOperation":0,"comparisonValue":"71","minimumVersion":"","maximumVersion":"","formOrder":0,"lowerBound":null,"enabled":true,"mask":"","largeMask":"","maskKey":"","keyItemMaskOfField":null,"keyOptionIdReplace":"","relatedOptionIds":[],"onlineServices":[],"childCriteriaItemList":[],"clientContextJson":""},{"keyOptionId":"8788","caption":"Oil and Gas Exploration and Production","isDefault":true,"maskCriteriaOnly":false,"definition":"","keyProductQueryItem":"305790","comparisonOperation":0,"comparisonValue":"72","minimumVersion":"","maximumVersion":"","formOrder":0,"lowerBound":null,"enabled":true,"mask":"","largeMask":"","maskKey":"","keyItemMaskOfField":null,"keyOptionIdReplace":"","relatedOptionIds":[],"onlineServices":[],"childCriteriaItemList":[],"clientContextJson":""},{"keyOptionId":"8789","caption":"Oil and Gas Refining and Marketing","isDefault":true,"maskCriteriaOnly":false,"definition":"","keyProductQueryItem":"305790","comparisonOperation":0,"comparisonValue":"73","minimumVersion":"","maximumVersion":"","formOrder":0,"lowerBound":null,"enabled":true,"mask":"","largeMask":"","maskKey":"","keyItemMaskOfField":null,"keyOptionIdReplace":"","relatedOptionIds":[],"onlineServices":[],"childCriteriaItemList":[],"clientContextJson":""},{"keyOptionId":"8790","caption":"Oil and Gas Storage and Transportation","isDefault":true,"maskCriteriaOnly":false,"definition":"","keyProductQueryItem":"305790","comparisonOperation":0,"comparisonValue":"74","minimumVersion":"","maximumVersion":"","formOrder":0,"lowerBound":null,"enabled":true,"mask":"","largeMask":"","maskKey":"","keyItemMaskOfField":null,"keyOptionIdReplace":"","relatedOptionIds":[],"onlineServices":[],"childCriteriaItemList":[],"clientContextJson":""},{"keyOptionId":"8791","caption":"Coal and Consumable Fuels","isDefault":true,"maskCriteriaOnly":false,"definition":"","keyProductQueryItem":"305790","comparisonOperation":0,"comparisonValue":"75","minimumVersion":"","maximumVersion":"","formOrder":0,"lowerBound":null,"enabled":true,"mask":"","largeMask":"","maskKey":"","keyItemMaskOfField":null,"keyOptionIdReplace":"","relatedOptionIds":[],"onlineServices":[],"childCriteriaItemList":[],"clientContextJson":""}],"clientContextJson":""},{"keyOptionId":"8792","caption":"Utilitie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8793","caption":"Electric Utilities","isDefault":true,"maskCriteriaOnly":false,"definition":"","keyProductQueryItem":"305790","comparisonOperation":0,"comparisonValue":"77","minimumVersion":"","maximumVersion":"","formOrder":0,"lowerBound":null,"enabled":true,"mask":"","largeMask":"","maskKey":"","keyItemMaskOfField":null,"keyOptionIdReplace":"","relatedOptionIds":[],"onlineServices":[],"childCriteriaItemList":[],"clientContextJson":""},{"keyOptionId":"8794","caption":"Gas Utilities","isDefault":true,"maskCriteriaOnly":false,"definition":"","keyProductQueryItem":"305790","comparisonOperation":0,"comparisonValue":"78","minimumVersion":"","maximumVersion":"","formOrder":0,"lowerBound":null,"enabled":true,"mask":"","largeMask":"","maskKey":"","keyItemMaskOfField":null,"keyOptionIdReplace":"","relatedOptionIds":[],"onlineServices":[],"childCriteriaItemList":[],"clientContextJson":""},{"keyOptionId":"8795","caption":"Multi-Utilities","isDefault":true,"maskCriteriaOnly":false,"definition":"","keyProductQueryItem":"305790","comparisonOperation":0,"comparisonValue":"79","minimumVersion":"","maximumVersion":"","formOrder":0,"lowerBound":null,"enabled":true,"mask":"","largeMask":"","maskKey":"","keyItemMaskOfField":null,"keyOptionIdReplace":"","relatedOptionIds":[],"onlineServices":[],"childCriteriaItemList":[],"clientContextJson":""},{"keyOptionId":"8796","caption":"Water Utilities","isDefault":true,"maskCriteriaOnly":false,"definition":"","keyProductQueryItem":"305790","comparisonOperation":0,"comparisonValue":"80","minimumVersion":"","maximumVersion":"","formOrder":0,"lowerBound":null,"enabled":true,"mask":"","largeMask":"","maskKey":"","keyItemMaskOfField":null,"keyOptionIdReplace":"","relatedOptionIds":[],"onlineServices":[],"childCriteriaItemList":[],"clientContextJson":""}],"clientContextJson":""},{"keyOptionId":"8797","caption":"Independent Power Producers and Energy Traders","isDefault":true,"maskCriteriaOnly":false,"definition":"","keyProductQueryItem":"305790","comparisonOperation":0,"comparisonValue":"81","minimumVersion":"","maximumVersion":"","formOrder":0,"lowerBound":null,"enabled":true,"mask":"","largeMask":""</t>
  </si>
  <si>
    <t>,"maskKey":"","keyItemMaskOfField":null,"keyOptionIdReplace":"","relatedOptionIds":[],"onlineServices":[],"childCriteriaItemList":[],"clientContextJson":""},{"keyOptionId":"8798","caption":"Renewable Electricity","isDefault":true,"maskCriteriaOnly":false,"definition":"","keyProductQueryItem":"305790","comparisonOperation":0,"comparisonValue":"82","minimumVersion":"","maximumVersion":"","formOrder":0,"lowerBound":null,"enabled":true,"mask":"","largeMask":"","maskKey":"","keyItemMaskOfField":null,"keyOptionIdReplace":"","relatedOptionIds":[],"onlineServices":[],"childCriteriaItemList":[],"clientContextJson":""}],"clientContextJson":""},{"keyOptionId":"8799","caption":"Material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8800","caption":"Chemical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8801","caption":"Commodity Chemicals","isDefault":true,"maskCriteriaOnly":false,"definition":"","keyProductQueryItem":"305790","comparisonOperation":0,"comparisonValue":"85","minimumVersion":"","maximumVersion":"","formOrder":0,"lowerBound":null,"enabled":true,"mask":"","largeMask":"","maskKey":"","keyItemMaskOfField":null,"keyOptionIdReplace":"","relatedOptionIds":[],"onlineServices":[],"childCriteriaItemList":[],"clientContextJson":""},{"keyOptionId":"8802","caption":"Diversified Chemicals","isDefault":true,"maskCriteriaOnly":false,"definition":"","keyProductQueryItem":"305790","comparisonOperation":0,"comparisonValue":"86","minimumVersion":"","maximumVersion":"","formOrder":0,"lowerBound":null,"enabled":true,"mask":"","largeMask":"","maskKey":"","keyItemMaskOfField":null,"keyOptionIdReplace":"","relatedOptionIds":[],"onlineServices":[],"childCriteriaItemList":[],"clientContextJson":""},{"keyOptionId":"8803","caption":"Fertilizers and Agricultural Chemicals","isDefault":true,"maskCriteriaOnly":false,"definition":"","keyProductQueryItem":"305790","comparisonOperation":0,"comparisonValue":"87","minimumVersion":"","maximumVersion":"","formOrder":0,"lowerBound":null,"enabled":true,"mask":"","largeMask":"","maskKey":"","keyItemMaskOfField":null,"keyOptionIdReplace":"","relatedOptionIds":[],"onlineServices":[],"childCriteriaItemList":[],"clientContextJson":""},{"keyOptionId":"8804","caption":"Specialty Chemicals","isDefault":true,"maskCriteriaOnly":false,"definition":"","keyProductQueryItem":"305790","comparisonOperation":0,"comparisonValue":"88","minimumVersion":"","maximumVersion":"","formOrder":0,"lowerBound":null,"enabled":true,"mask":"","largeMask":"","maskKey":"","keyItemMaskOfField":null,"keyOptionIdReplace":"","relatedOptionIds":[],"onlineServices":[],"childCriteriaItemList":[],"clientContextJson":""},{"keyOptionId":"8805","caption":"Industrial Gases","isDefault":true,"maskCriteriaOnly":false,"definition":"","keyProductQueryItem":"305790","comparisonOperation":0,"comparisonValue":"89","minimumVersion":"","maximumVersion":"","formOrder":0,"lowerBound":null,"enabled":true,"mask":"","largeMask":"","maskKey":"","keyItemMaskOfField":null,"keyOptionIdReplace":"","relatedOptionIds":[],"onlineServices":[],"childCriteriaItemList":[],"clientContextJson":""}],"clientContextJson":""},{"keyOptionId":"8806","caption":"Metals and Mining","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8807","caption":"Diversified Metals and Mining","isDefault":true,"maskCriteriaOnly":false,"definition":"","keyProductQueryItem":"305790","comparisonOperation":0,"comparisonValue":"91","minimumVersion":"","maximumVersion":"","formOrder":0,"lowerBound":null,"enabled":true,"mask":"","largeMask":"","maskKey":"","keyItemMaskOfField":null,"keyOptionIdReplace":"","relatedOptionIds":[],"onlineServices":[],"childCriteriaItemList":[],"clientContextJson":""},{"keyOptionId":"8808","caption":"Platinum Group Metals and Gemstones","isDefault":true,"maskCriteriaOnly":false,"definition":"","keyProductQueryItem":"305790","comparisonOperation":0,"comparisonValue":"92","minimumVersion":"","maximumVersion":"","formOrder":0,"lowerBound":null,"enabled":true,"mask":"","largeMask":"","maskKey":"","keyItemMaskOfField":null,"keyOptionIdReplace":"","relatedOptionIds":[],"onlineServices":[],"childCriteriaItemList":[],"clientContextJson":""},{"keyOptionId":"8809","caption":"Gold","isDefault":true,"maskCriteriaOnly":false,"definition":"","keyProductQueryItem":"305790","comparisonOperation":0,"comparisonValue":"93","minimumVersion":"","maximumVersion":"","formOrder":0,"lowerBound":null,"enabled":true,"mask":"","largeMask":"","maskKey":"","keyItemMaskOfField":null,"keyOptionIdReplace":"","relatedOptionIds":[],"onlineServices":[],"childCriteriaItemList":[],"clientContextJson":""},{"keyOptionId":"8810","caption":"Silver","isDefault":true,"maskCriteriaOnly":false,"definition":"","keyProductQueryItem":"305790","comparisonOperation":0,"comparisonValue":"94","minimumVersion":"","maximumVersion":"","formOrder":0,"lowerBound":null,"enabled":true,"mask":"","largeMask":"","maskKey":"","keyItemMaskOfField":null,"keyOptionIdReplace":"","relatedOptionIds":[],"onlineServices":[],"childCriteriaItemList":[],"clientContextJson":""},{"keyOptionId":"8811","caption":"Aluminum","isDefault":true,"maskCriteriaOnly":false,"definition":"","keyProductQueryItem":"305790","comparisonOperation":0,"comparisonValue":"97","minimumVersion":"","maximumVersion":"","formOrder":0,"lowerBound":null,"enabled":true,"mask":"","largeMask":"","maskKey":"","keyItemMaskOfField":null,"keyOptionIdReplace":"","relatedOptionIds":[],"onlineServices":[],"childCriteriaItemList":[],"clientContextJson":""},{"keyOptionId":"8812","caption":"Copper","isDefault":true,"maskCriteriaOnly":false,"definition":"","keyProductQueryItem":"305790","comparisonOperation":0,"comparisonValue":"98","minimumVersion":"","maximumVersion":"","formOrder":0,"lowerBound":null,"enabled":true,"mask":"","largeMask":"","maskKey":"","keyItemMaskOfField":null,"keyOptionIdReplace":"","relatedOptionIds":[],"onlineServices":[],"childCriteriaItemList":[],"clientContextJson":""},{"keyOptionId":"8813","caption":"Steel","isDefault":true,"maskCriteriaOnly":false,"definition":"","keyProductQueryItem":"305790","comparisonOperation":0,"comparisonValue":"99","minimumVersion":"","maximumVersion":"","formOrder":0,"lowerBound":null,"enabled":true,"mask":"","largeMask":"","maskKey":"","keyItemMaskOfField":null,"keyOptionIdReplace":"","relatedOptionIds":[],"onlineServices":[],"childCriteriaItemList":[],"clientContextJson":""}],"clientContextJson":""},{"keyOptionId":"8814","caption":"Construction Materials","isDefault":true,"maskCriteriaOnly":false,"definition":"","keyProductQueryItem":"305790","comparisonOperation":0,"comparisonValue":"100","minimumVersion":"","maximumVersion":"","formOrder":0,"lowerBound</t>
  </si>
  <si>
    <t>":null,"enabled":true,"mask":"","largeMask":"","maskKey":"","keyItemMaskOfField":null,"keyOptionIdReplace":"","relatedOptionIds":[],"onlineServices":[],"childCriteriaItemList":[],"clientContextJson":""},{"keyOptionId":"8815","caption":"Containers and Packaging: Metal, Glass, and Plastic","isDefault":true,"maskCriteriaOnly":false,"definition":"","keyProductQueryItem":"305790","comparisonOperation":0,"comparisonValue":"101","minimumVersion":"","maximumVersion":"","formOrder":0,"lowerBound":null,"enabled":true,"mask":"","largeMask":"","maskKey":"","keyItemMaskOfField":null,"keyOptionIdReplace":"","relatedOptionIds":[],"onlineServices":[],"childCriteriaItemList":[],"clientContextJson":""},{"keyOptionId":"8816","caption":"Containers and Packaging: Paper","isDefault":true,"maskCriteriaOnly":false,"definition":"","keyProductQueryItem":"305790","comparisonOperation":0,"comparisonValue":"102","minimumVersion":"","maximumVersion":"","formOrder":0,"lowerBound":null,"enabled":true,"mask":"","largeMask":"","maskKey":"","keyItemMaskOfField":null,"keyOptionIdReplace":"","relatedOptionIds":[],"onlineServices":[],"childCriteriaItemList":[],"clientContextJson":""},{"keyOptionId":"8817","caption":"Forest Products","isDefault":true,"maskCriteriaOnly":false,"definition":"","keyProductQueryItem":"305790","comparisonOperation":0,"comparisonValue":"103","minimumVersion":"","maximumVersion":"","formOrder":0,"lowerBound":null,"enabled":true,"mask":"","largeMask":"","maskKey":"","keyItemMaskOfField":null,"keyOptionIdReplace":"","relatedOptionIds":[],"onlineServices":[],"childCriteriaItemList":[],"clientContextJson":""},{"keyOptionId":"8818","caption":"Paper Products","isDefault":true,"maskCriteriaOnly":false,"definition":"","keyProductQueryItem":"305790","comparisonOperation":0,"comparisonValue":"104","minimumVersion":"","maximumVersion":"","formOrder":0,"lowerBound":null,"enabled":true,"mask":"","largeMask":"","maskKey":"","keyItemMaskOfField":null,"keyOptionIdReplace":"","relatedOptionIds":[],"onlineServices":[],"childCriteriaItemList":[],"clientContextJson":""}],"clientContextJson":""},{"keyOptionId":"8819","caption":"Healthcare","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8820","caption":"Healthcare Equipment","isDefault":true,"maskCriteriaOnly":false,"definition":"","keyProductQueryItem":"305790","comparisonOperation":0,"comparisonValue":"106","minimumVersion":"","maximumVersion":"","formOrder":0,"lowerBound":null,"enabled":true,"mask":"","largeMask":"","maskKey":"","keyItemMaskOfField":null,"keyOptionIdReplace":"","relatedOptionIds":[],"onlineServices":[],"childCriteriaItemList":[],"clientContextJson":""},{"keyOptionId":"8821","caption":"Healthcare Supplies","isDefault":true,"maskCriteriaOnly":false,"definition":"","keyProductQueryItem":"305790","comparisonOperation":0,"comparisonValue":"107","minimumVersion":"","maximumVersion":"","formOrder":0,"lowerBound":null,"enabled":true,"mask":"","largeMask":"","maskKey":"","keyItemMaskOfField":null,"keyOptionIdReplace":"","relatedOptionIds":[],"onlineServices":[],"childCriteriaItemList":[],"clientContextJson":""},{"keyOptionId":"8822","caption":"Healthcare Providers and Service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8823","caption":"Healthcare Distributors","isDefault":true,"maskCriteriaOnly":false,"definition":"","keyProductQueryItem":"305790","comparisonOperation":0,"comparisonValue":"109","minimumVersion":"","maximumVersion":"","formOrder":0,"lowerBound":null,"enabled":true,"mask":"","largeMask":"","maskKey":"","keyItemMaskOfField":null,"keyOptionIdReplace":"","relatedOptionIds":[],"onlineServices":[],"childCriteriaItemList":[],"clientContextJson":""},{"keyOptionId":"8824","caption":"Healthcare Services","isDefault":true,"maskCriteriaOnly":false,"definition":"","keyProductQueryItem":"305790","comparisonOperation":0,"comparisonValue":"110","minimumVersion":"","maximumVersion":"","formOrder":0,"lowerBound":null,"enabled":true,"mask":"","largeMask":"","maskKey":"","keyItemMaskOfField":null,"keyOptionIdReplace":"","relatedOptionIds":[],"onlineServices":[],"childCriteriaItemList":[],"clientContextJson":""},{"keyOptionId":"8825","caption":"Healthcare Facilities","isDefault":true,"maskCriteriaOnly":false,"definition":"","keyProductQueryItem":"305790","comparisonOperation":0,"comparisonValue":"111","minimumVersion":"","maximumVersion":"","formOrder":0,"lowerBound":null,"enabled":true,"mask":"","largeMask":"","maskKey":"","keyItemMaskOfField":null,"keyOptionIdReplace":"","relatedOptionIds":[],"onlineServices":[],"childCriteriaItemList":[],"clientContextJson":""},{"keyOptionId":"8826","caption":"Managed Healthcare","isDefault":true,"maskCriteriaOnly":false,"definition":"","keyProductQueryItem":"305790","comparisonOperation":0,"comparisonValue":"112","minimumVersion":"","maximumVersion":"","formOrder":0,"lowerBound":null,"enabled":true,"mask":"","largeMask":"","maskKey":"","keyItemMaskOfField":null,"keyOptionIdReplace":"","relatedOptionIds":[],"onlineServices":[],"childCriteriaItemList":[],"clientContextJson":""}],"clientContextJson":""},{"keyOptionId":"8827","caption":"Healthcare Technology","isDefault":true,"maskCriteriaOnly":false,"definition":"","keyProductQueryItem":"305790","comparisonOperation":0,"comparisonValue":"113","minimumVersion":"","maximumVersion":"","formOrder":0,"lowerBound":null,"enabled":true,"mask":"","largeMask":"","maskKey":"","keyItemMaskOfField":null,"keyOptionIdReplace":"","relatedOptionIds":[],"onlineServices":[],"childCriteriaItemList":[],"clientContextJson":""},{"keyOptionId":"8828","caption":"Pharmaceuticals, Biotechnology and Life Science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8829","caption":"Biotechnology","isDefault":true,"maskCriteriaOnly":false,"definition":"","keyProductQueryItem":"305790","comparisonOperation":0,"comparisonValue":"115","minimumVersion":"","maximumVersion":"","formOrder":0,"lowerBound":null,"enabled":true,"mask":"","largeMask":"","maskKey":"","keyItemMaskOfField":null,"keyOptionIdReplace":"","relatedOptionIds":[],"onlineServices":[],"childCriteriaItemList":[],"clientContextJson":""},{"keyOptionId":"8830","caption":"Pharmaceuticals","isDefault":true,"maskCriteriaOnly":false,"definition":"","keyProductQueryItem":"305790","comparisonOperation":0,"comparisonValue":"116","minimumVersion":"","maximumVersion":"","formOrder":0,"lowerBound":null,"enabled":true,"mask":"","largeMask":"","maskKey":"","keyItemMaskOfField":null,"keyOptionIdReplace":"","relatedOptionIds":[],"onlineServices":[],"childCriteriaItemList":[],"clientContextJson":""},{"keyOptionId":"8831","caption":"Life Sciences Tools and Services","isDefault":true,"maskCriteriaOnly":false,"defini</t>
  </si>
  <si>
    <t>tion":"","keyProductQueryItem":"305790","comparisonOperation":0,"comparisonValue":"117","minimumVersion":"","maximumVersion":"","formOrder":0,"lowerBound":null,"enabled":true,"mask":"","largeMask":"","maskKey":"","keyItemMaskOfField":null,"keyOptionIdReplace":"","relatedOptionIds":[],"onlineServices":[],"childCriteriaItemList":[],"clientContextJson":""}],"clientContextJson":""}],"clientContextJson":""},{"keyOptionId":"8832","caption":"Industrial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8833","caption":"Capital Good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8834","caption":"Aerospace and Defense","isDefault":true,"maskCriteriaOnly":false,"definition":"","keyProductQueryItem":"305790","comparisonOperation":0,"comparisonValue":"120","minimumVersion":"","maximumVersion":"","formOrder":0,"lowerBound":null,"enabled":true,"mask":"","largeMask":"","maskKey":"","keyItemMaskOfField":null,"keyOptionIdReplace":"","relatedOptionIds":[],"onlineServices":[],"childCriteriaItemList":[],"clientContextJson":""},{"keyOptionId":"8835","caption":"Building Products","isDefault":true,"maskCriteriaOnly":false,"definition":"","keyProductQueryItem":"305790","comparisonOperation":0,"comparisonValue":"121","minimumVersion":"","maximumVersion":"","formOrder":0,"lowerBound":null,"enabled":true,"mask":"","largeMask":"","maskKey":"","keyItemMaskOfField":null,"keyOptionIdReplace":"","relatedOptionIds":[],"onlineServices":[],"childCriteriaItemList":[],"clientContextJson":""},{"keyOptionId":"8836","caption":"Construction and Engineering","isDefault":true,"maskCriteriaOnly":false,"definition":"","keyProductQueryItem":"305790","comparisonOperation":0,"comparisonValue":"122","minimumVersion":"","maximumVersion":"","formOrder":0,"lowerBound":null,"enabled":true,"mask":"","largeMask":"","maskKey":"","keyItemMaskOfField":null,"keyOptionIdReplace":"","relatedOptionIds":[],"onlineServices":[],"childCriteriaItemList":[],"clientContextJson":""},{"keyOptionId":"8837","caption":"Electrical Components and Equipment: Light","isDefault":true,"maskCriteriaOnly":false,"definition":"","keyProductQueryItem":"305790","comparisonOperation":0,"comparisonValue":"123","minimumVersion":"","maximumVersion":"","formOrder":0,"lowerBound":null,"enabled":true,"mask":"","largeMask":"","maskKey":"","keyItemMaskOfField":null,"keyOptionIdReplace":"","relatedOptionIds":[],"onlineServices":[],"childCriteriaItemList":[],"clientContextJson":""},{"keyOptionId":"8838","caption":"Electrical Components and Equipment: Heavy","isDefault":true,"maskCriteriaOnly":false,"definition":"","keyProductQueryItem":"305790","comparisonOperation":0,"comparisonValue":"124","minimumVersion":"","maximumVersion":"","formOrder":0,"lowerBound":null,"enabled":true,"mask":"","largeMask":"","maskKey":"","keyItemMaskOfField":null,"keyOptionIdReplace":"","relatedOptionIds":[],"onlineServices":[],"childCriteriaItemList":[],"clientContextJson":""},{"keyOptionId":"8839","caption":"Industrial Conglomerates","isDefault":true,"maskCriteriaOnly":false,"definition":"","keyProductQueryItem":"305790","comparisonOperation":0,"comparisonValue":"125","minimumVersion":"","maximumVersion":"","formOrder":0,"lowerBound":null,"enabled":true,"mask":"","largeMask":"","maskKey":"","keyItemMaskOfField":null,"keyOptionIdReplace":"","relatedOptionIds":[],"onlineServices":[],"childCriteriaItemList":[],"clientContextJson":""},{"keyOptionId":"8840","caption":"Machinery: Construction and Heavy Trucks","isDefault":true,"maskCriteriaOnly":false,"definition":"","keyProductQueryItem":"305790","comparisonOperation":0,"comparisonValue":"126","minimumVersion":"","maximumVersion":"","formOrder":0,"lowerBound":null,"enabled":true,"mask":"","largeMask":"","maskKey":"","keyItemMaskOfField":null,"keyOptionIdReplace":"","relatedOptionIds":[],"onlineServices":[],"childCriteriaItemList":[],"clientContextJson":""},{"keyOptionId":"8841","caption":"Machinery: Agricultural and Farm","isDefault":true,"maskCriteriaOnly":false,"definition":"","keyProductQueryItem":"305790","comparisonOperation":0,"comparisonValue":"127","minimumVersion":"","maximumVersion":"","formOrder":0,"lowerBound":null,"enabled":true,"mask":"","largeMask":"","maskKey":"","keyItemMaskOfField":null,"keyOptionIdReplace":"","relatedOptionIds":[],"onlineServices":[],"childCriteriaItemList":[],"clientContextJson":""},{"keyOptionId":"8842","caption":"Machinery: Industrial","isDefault":true,"maskCriteriaOnly":false,"definition":"","keyProductQueryItem":"305790","comparisonOperation":0,"comparisonValue":"128","minimumVersion":"","maximumVersion":"","formOrder":0,"lowerBound":null,"enabled":true,"mask":"","largeMask":"","maskKey":"","keyItemMaskOfField":null,"keyOptionIdReplace":"","relatedOptionIds":[],"onlineServices":[],"childCriteriaItemList":[],"clientContextJson":""},{"keyOptionId":"8843","caption":"Trading Companies and Distributors","isDefault":true,"maskCriteriaOnly":false,"definition":"","keyProductQueryItem":"305790","comparisonOperation":0,"comparisonValue":"129","minimumVersion":"","maximumVersion":"","formOrder":0,"lowerBound":null,"enabled":true,"mask":"","largeMask":"","maskKey":"","keyItemMaskOfField":null,"keyOptionIdReplace":"","relatedOptionIds":[],"onlineServices":[],"childCriteriaItemList":[],"clientContextJson":""}],"clientContextJson":""},{"keyOptionId":"8844","caption":"Commercial and Professional Service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8845","caption":"Commercial Printing","isDefault":true,"maskCriteriaOnly":false,"definition":"","keyProductQueryItem":"305790","comparisonOperation":0,"comparisonValue":"131","minimumVersion":"","maximumVersion":"","formOrder":0,"lowerBound":null,"enabled":true,"mask":"","largeMask":"","maskKey":"","keyItemMaskOfField":null,"keyOptionIdReplace":"","relatedOptionIds":[],"onlineServices":[],"childCriteriaItemList":[],"clientContextJson":""},{"keyOptionId":"8846","caption":"Environmental and Facilities Services","isDefault":true,"maskCriteriaOnly":false,"definition":"","keyProductQueryItem":"305790","comparisonOperation":0,"comparisonValue":"132","minimumVersion":"","maximumVersion":"","formOrder":0,"lowerBound":null,"enabled":true,"mask":"","largeMask":"","maskKey":"","keyItemMaskOfField":null,"keyOptionIdReplace":"","relatedOptionIds":[],"onlineServices":[],"childCriteriaItemList":[],"clientContextJson":""},{"keyOptionId":"8847","caption":"Office Services and Supplies","isDefault":true,"maskCriteriaOnly":false,"definition":"","keyProductQueryItem":"305790","comparisonOperation":0,"comparisonValue":"133","minimumVersion":"","maximumVersion":"","formOrder":0,"lowerBound":null,"enabled":true,"mask":"","largeMask":"","maskKey":"","keyIte</t>
  </si>
  <si>
    <t>mMaskOfField":null,"keyOptionIdReplace":"","relatedOptionIds":[],"onlineServices":[],"childCriteriaItemList":[],"clientContextJson":""},{"keyOptionId":"8848","caption":"Diversified Support Services","isDefault":true,"maskCriteriaOnly":false,"definition":"","keyProductQueryItem":"305790","comparisonOperation":0,"comparisonValue":"134","minimumVersion":"","maximumVersion":"","formOrder":0,"lowerBound":null,"enabled":true,"mask":"","largeMask":"","maskKey":"","keyItemMaskOfField":null,"keyOptionIdReplace":"","relatedOptionIds":[],"onlineServices":[],"childCriteriaItemList":[],"clientContextJson":""},{"keyOptionId":"8849","caption":"Security and Alarm Services","isDefault":true,"maskCriteriaOnly":false,"definition":"","keyProductQueryItem":"305790","comparisonOperation":0,"comparisonValue":"135","minimumVersion":"","maximumVersion":"","formOrder":0,"lowerBound":null,"enabled":true,"mask":"","largeMask":"","maskKey":"","keyItemMaskOfField":null,"keyOptionIdReplace":"","relatedOptionIds":[],"onlineServices":[],"childCriteriaItemList":[],"clientContextJson":""},{"keyOptionId":"8850","caption":"Human Resource and Employment Services","isDefault":true,"maskCriteriaOnly":false,"definition":"","keyProductQueryItem":"305790","comparisonOperation":0,"comparisonValue":"136","minimumVersion":"","maximumVersion":"","formOrder":0,"lowerBound":null,"enabled":true,"mask":"","largeMask":"","maskKey":"","keyItemMaskOfField":null,"keyOptionIdReplace":"","relatedOptionIds":[],"onlineServices":[],"childCriteriaItemList":[],"clientContextJson":""},{"keyOptionId":"8851","caption":"Research and Consulting Services","isDefault":true,"maskCriteriaOnly":false,"definition":"","keyProductQueryItem":"305790","comparisonOperation":0,"comparisonValue":"137","minimumVersion":"","maximumVersion":"","formOrder":0,"lowerBound":null,"enabled":true,"mask":"","largeMask":"","maskKey":"","keyItemMaskOfField":null,"keyOptionIdReplace":"","relatedOptionIds":[],"onlineServices":[],"childCriteriaItemList":[],"clientContextJson":""}],"clientContextJson":""},{"keyOptionId":"8852","caption":"Transporta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8853","caption":"Air Freight and Logistics","isDefault":true,"maskCriteriaOnly":false,"definition":"","keyProductQueryItem":"305790","comparisonOperation":0,"comparisonValue":"139","minimumVersion":"","maximumVersion":"","formOrder":0,"lowerBound":null,"enabled":true,"mask":"","largeMask":"","maskKey":"","keyItemMaskOfField":null,"keyOptionIdReplace":"","relatedOptionIds":[],"onlineServices":[],"childCriteriaItemList":[],"clientContextJson":""},{"keyOptionId":"8854","caption":"Airlines","isDefault":true,"maskCriteriaOnly":false,"definition":"","keyProductQueryItem":"305790","comparisonOperation":0,"comparisonValue":"140","minimumVersion":"","maximumVersion":"","formOrder":0,"lowerBound":null,"enabled":true,"mask":"","largeMask":"","maskKey":"","keyItemMaskOfField":null,"keyOptionIdReplace":"","relatedOptionIds":[],"onlineServices":[],"childCriteriaItemList":[],"clientContextJson":""},{"keyOptionId":"8855","caption":"Marine","isDefault":true,"maskCriteriaOnly":false,"definition":"","keyProductQueryItem":"305790","comparisonOperation":0,"comparisonValue":"141","minimumVersion":"","maximumVersion":"","formOrder":0,"lowerBound":null,"enabled":true,"mask":"","largeMask":"","maskKey":"","keyItemMaskOfField":null,"keyOptionIdReplace":"","relatedOptionIds":[],"onlineServices":[],"childCriteriaItemList":[],"clientContextJson":""},{"keyOptionId":"8856","caption":"Railroads","isDefault":true,"maskCriteriaOnly":false,"definition":"","keyProductQueryItem":"305790","comparisonOperation":0,"comparisonValue":"142","minimumVersion":"","maximumVersion":"","formOrder":0,"lowerBound":null,"enabled":true,"mask":"","largeMask":"","maskKey":"","keyItemMaskOfField":null,"keyOptionIdReplace":"","relatedOptionIds":[],"onlineServices":[],"childCriteriaItemList":[],"clientContextJson":""},{"keyOptionId":"8857","caption":"Trucking","isDefault":true,"maskCriteriaOnly":false,"definition":"","keyProductQueryItem":"305790","comparisonOperation":0,"comparisonValue":"143","minimumVersion":"","maximumVersion":"","formOrder":0,"lowerBound":null,"enabled":true,"mask":"","largeMask":"","maskKey":"","keyItemMaskOfField":null,"keyOptionIdReplace":"","relatedOptionIds":[],"onlineServices":[],"childCriteriaItemList":[],"clientContextJson":""},{"keyOptionId":"8858","caption":"Airport Services","isDefault":true,"maskCriteriaOnly":false,"definition":"","keyProductQueryItem":"305790","comparisonOperation":0,"comparisonValue":"144","minimumVersion":"","maximumVersion":"","formOrder":0,"lowerBound":null,"enabled":true,"mask":"","largeMask":"","maskKey":"","keyItemMaskOfField":null,"keyOptionIdReplace":"","relatedOptionIds":[],"onlineServices":[],"childCriteriaItemList":[],"clientContextJson":""},{"keyOptionId":"8859","caption":"Highways and Railtracks","isDefault":true,"maskCriteriaOnly":false,"definition":"","keyProductQueryItem":"305790","comparisonOperation":0,"comparisonValue":"145","minimumVersion":"","maximumVersion":"","formOrder":0,"lowerBound":null,"enabled":true,"mask":"","largeMask":"","maskKey":"","keyItemMaskOfField":null,"keyOptionIdReplace":"","relatedOptionIds":[],"onlineServices":[],"childCriteriaItemList":[],"clientContextJson":""},{"keyOptionId":"8860","caption":"Marine Ports and Services","isDefault":true,"maskCriteriaOnly":false,"definition":"","keyProductQueryItem":"305790","comparisonOperation":0,"comparisonValue":"146","minimumVersion":"","maximumVersion":"","formOrder":0,"lowerBound":null,"enabled":true,"mask":"","largeMask":"","maskKey":"","keyItemMaskOfField":null,"keyOptionIdReplace":"","relatedOptionIds":[],"onlineServices":[],"childCriteriaItemList":[],"clientContextJson":""}],"clientContextJson":""}],"clientContextJson":""},{"keyOptionId":"8861","caption":"Consumer","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8862","caption":"Retail","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8863","caption":"Retailers: Food and Drug","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8864","caption":"Drug Retail","isDefault":true,"maskCriteriaOnly":false,"definition":"","keyProductQueryItem":"305790","comparisonOperation":0,"comparisonValue":"150","minimumVersion":"","maximumVersion":"","formOrder":0,"lowerBound":null,"enabled"</t>
  </si>
  <si>
    <t>:true,"mask":"","largeMask":"","maskKey":"","keyItemMaskOfField":null,"keyOptionIdReplace":"","relatedOptionIds":[],"onlineServices":[],"childCriteriaItemList":[],"clientContextJson":""},{"keyOptionId":"8865","caption":"Food Distributors","isDefault":true,"maskCriteriaOnly":false,"definition":"","keyProductQueryItem":"305790","comparisonOperation":0,"comparisonValue":"151","minimumVersion":"","maximumVersion":"","formOrder":0,"lowerBound":null,"enabled":true,"mask":"","largeMask":"","maskKey":"","keyItemMaskOfField":null,"keyOptionIdReplace":"","relatedOptionIds":[],"onlineServices":[],"childCriteriaItemList":[],"clientContextJson":""},{"keyOptionId":"8866","caption":"Food Retail","isDefault":true,"maskCriteriaOnly":false,"definition":"","keyProductQueryItem":"305790","comparisonOperation":0,"comparisonValue":"152","minimumVersion":"","maximumVersion":"","formOrder":0,"lowerBound":null,"enabled":true,"mask":"","largeMask":"","maskKey":"","keyItemMaskOfField":null,"keyOptionIdReplace":"","relatedOptionIds":[],"onlineServices":[],"childCriteriaItemList":[],"clientContextJson":""},{"keyOptionId":"8867","caption":"Hypermarkets and Supercenters","isDefault":true,"maskCriteriaOnly":false,"definition":"","keyProductQueryItem":"305790","comparisonOperation":0,"comparisonValue":"153","minimumVersion":"","maximumVersion":"","formOrder":0,"lowerBound":null,"enabled":true,"mask":"","largeMask":"","maskKey":"","keyItemMaskOfField":null,"keyOptionIdReplace":"","relatedOptionIds":[],"onlineServices":[],"childCriteriaItemList":[],"clientContextJson":""}],"clientContextJson":""},{"keyOptionId":"8868","caption":"Retailers: NonFood and NonDrug","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8869","caption":"Internet and Direct Marketing Retail","isDefault":true,"maskCriteriaOnly":false,"definition":"","keyProductQueryItem":"305790","comparisonOperation":0,"comparisonValue":"155","minimumVersion":"","maximumVersion":"","formOrder":0,"lowerBound":null,"enabled":true,"mask":"","largeMask":"","maskKey":"","keyItemMaskOfField":null,"keyOptionIdReplace":"","relatedOptionIds":[],"onlineServices":[],"childCriteriaItemList":[],"clientContextJson":""},{"keyOptionId":"8870","caption":"Department Stores","isDefault":true,"maskCriteriaOnly":false,"definition":"","keyProductQueryItem":"305790","comparisonOperation":0,"comparisonValue":"156","minimumVersion":"","maximumVersion":"","formOrder":0,"lowerBound":null,"enabled":true,"mask":"","largeMask":"","maskKey":"","keyItemMaskOfField":null,"keyOptionIdReplace":"","relatedOptionIds":[],"onlineServices":[],"childCriteriaItemList":[],"clientContextJson":""},{"keyOptionId":"8871","caption":"General Merchandise Stores","isDefault":true,"maskCriteriaOnly":false,"definition":"","keyProductQueryItem":"305790","comparisonOperation":0,"comparisonValue":"157","minimumVersion":"","maximumVersion":"","formOrder":0,"lowerBound":null,"enabled":true,"mask":"","largeMask":"","maskKey":"","keyItemMaskOfField":null,"keyOptionIdReplace":"","relatedOptionIds":[],"onlineServices":[],"childCriteriaItemList":[],"clientContextJson":""},{"keyOptionId":"8872","caption":"Apparel Retail","isDefault":true,"maskCriteriaOnly":false,"definition":"","keyProductQueryItem":"305790","comparisonOperation":0,"comparisonValue":"158","minimumVersion":"","maximumVersion":"","formOrder":0,"lowerBound":null,"enabled":true,"mask":"","largeMask":"","maskKey":"","keyItemMaskOfField":null,"keyOptionIdReplace":"","relatedOptionIds":[],"onlineServices":[],"childCriteriaItemList":[],"clientContextJson":""},{"keyOptionId":"8873","caption":"Computer and Electronics Retail","isDefault":true,"maskCriteriaOnly":false,"definition":"","keyProductQueryItem":"305790","comparisonOperation":0,"comparisonValue":"159","minimumVersion":"","maximumVersion":"","formOrder":0,"lowerBound":null,"enabled":true,"mask":"","largeMask":"","maskKey":"","keyItemMaskOfField":null,"keyOptionIdReplace":"","relatedOptionIds":[],"onlineServices":[],"childCriteriaItemList":[],"clientContextJson":""},{"keyOptionId":"8874","caption":"Home Improvement Retail","isDefault":true,"maskCriteriaOnly":false,"definition":"","keyProductQueryItem":"305790","comparisonOperation":0,"comparisonValue":"160","minimumVersion":"","maximumVersion":"","formOrder":0,"lowerBound":null,"enabled":true,"mask":"","largeMask":"","maskKey":"","keyItemMaskOfField":null,"keyOptionIdReplace":"","relatedOptionIds":[],"onlineServices":[],"childCriteriaItemList":[],"clientContextJson":""},{"keyOptionId":"8875","caption":"Specialty Stores","isDefault":true,"maskCriteriaOnly":false,"definition":"","keyProductQueryItem":"305790","comparisonOperation":0,"comparisonValue":"161","minimumVersion":"","maximumVersion":"","formOrder":0,"lowerBound":null,"enabled":true,"mask":"","largeMask":"","maskKey":"","keyItemMaskOfField":null,"keyOptionIdReplace":"","relatedOptionIds":[],"onlineServices":[],"childCriteriaItemList":[],"clientContextJson":""},{"keyOptionId":"8876","caption":"Automotive Retail","isDefault":true,"maskCriteriaOnly":false,"definition":"","keyProductQueryItem":"305790","comparisonOperation":0,"comparisonValue":"162","minimumVersion":"","maximumVersion":"","formOrder":0,"lowerBound":null,"enabled":true,"mask":"","largeMask":"","maskKey":"","keyItemMaskOfField":null,"keyOptionIdReplace":"","relatedOptionIds":[],"onlineServices":[],"childCriteriaItemList":[],"clientContextJson":""},{"keyOptionId":"8877","caption":"Homefurnishing Retail","isDefault":true,"maskCriteriaOnly":false,"definition":"","keyProductQueryItem":"305790","comparisonOperation":0,"comparisonValue":"163","minimumVersion":"","maximumVersion":"","formOrder":0,"lowerBound":null,"enabled":true,"mask":"","largeMask":"","maskKey":"","keyItemMaskOfField":null,"keyOptionIdReplace":"","relatedOptionIds":[],"onlineServices":[],"childCriteriaItemList":[],"clientContextJson":""},{"keyOptionId":"8878","caption":"Other Distributors","isDefault":true,"maskCriteriaOnly":false,"definition":"","keyProductQueryItem":"305790","comparisonOperation":0,"comparisonValue":"164","minimumVersion":"","maximumVersion":"","formOrder":0,"lowerBound":null,"enabled":true,"mask":"","largeMask":"","maskKey":"","keyItemMaskOfField":null,"keyOptionIdReplace":"","relatedOptionIds":[],"onlineServices":[],"childCriteriaItemList":[],"clientContextJson":""}],"clientContextJson":""}],"clientContextJson":""},{"keyOptionId":"8879","caption":"Producer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8880","caption":"Beverage Producer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8881","caption":"Brewer: Beer and Malt Liquor","isDefault":true,"maskCriteriaOnly":false,"definition":"","keyProductQueryItem":"3</t>
  </si>
  <si>
    <t>05790","comparisonOperation":0,"comparisonValue":"167","minimumVersion":"","maximumVersion":"","formOrder":0,"lowerBound":null,"enabled":true,"mask":"","largeMask":"","maskKey":"","keyItemMaskOfField":null,"keyOptionIdReplace":"","relatedOptionIds":[],"onlineServices":[],"childCriteriaItemList":[],"clientContextJson":""},{"keyOptionId":"8882","caption":"Distillers and Vintners","isDefault":true,"maskCriteriaOnly":false,"definition":"","keyProductQueryItem":"305790","comparisonOperation":0,"comparisonValue":"168","minimumVersion":"","maximumVersion":"","formOrder":0,"lowerBound":null,"enabled":true,"mask":"","largeMask":"","maskKey":"","keyItemMaskOfField":null,"keyOptionIdReplace":"","relatedOptionIds":[],"onlineServices":[],"childCriteriaItemList":[],"clientContextJson":""},{"keyOptionId":"8883","caption":"Soft Drinks","isDefault":true,"maskCriteriaOnly":false,"definition":"","keyProductQueryItem":"305790","comparisonOperation":0,"comparisonValue":"169","minimumVersion":"","maximumVersion":"","formOrder":0,"lowerBound":null,"enabled":true,"mask":"","largeMask":"","maskKey":"","keyItemMaskOfField":null,"keyOptionIdReplace":"","relatedOptionIds":[],"onlineServices":[],"childCriteriaItemList":[],"clientContextJson":""}],"clientContextJson":""},{"keyOptionId":"8884","caption":"Consumer Durables Producer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8885","caption":"Consumer Electronics Producers","isDefault":true,"maskCriteriaOnly":false,"definition":"","keyProductQueryItem":"305790","comparisonOperation":0,"comparisonValue":"171","minimumVersion":"","maximumVersion":"","formOrder":0,"lowerBound":null,"enabled":true,"mask":"","largeMask":"","maskKey":"","keyItemMaskOfField":null,"keyOptionIdReplace":"","relatedOptionIds":[],"onlineServices":[],"childCriteriaItemList":[],"clientContextJson":""},{"keyOptionId":"8886","caption":"Home Furnishings Producers","isDefault":true,"maskCriteriaOnly":false,"definition":"","keyProductQueryItem":"305790","comparisonOperation":0,"comparisonValue":"172","minimumVersion":"","maximumVersion":"","formOrder":0,"lowerBound":null,"enabled":true,"mask":"","largeMask":"","maskKey":"","keyItemMaskOfField":null,"keyOptionIdReplace":"","relatedOptionIds":[],"onlineServices":[],"childCriteriaItemList":[],"clientContextJson":""},{"keyOptionId":"8887","caption":"Homebuilding Producers","isDefault":true,"maskCriteriaOnly":false,"definition":"","keyProductQueryItem":"305790","comparisonOperation":0,"comparisonValue":"173","minimumVersion":"","maximumVersion":"","formOrder":0,"lowerBound":null,"enabled":true,"mask":"","largeMask":"","maskKey":"","keyItemMaskOfField":null,"keyOptionIdReplace":"","relatedOptionIds":[],"onlineServices":[],"childCriteriaItemList":[],"clientContextJson":""},{"keyOptionId":"8888","caption":"Household Appliances Producers","isDefault":true,"maskCriteriaOnly":false,"definition":"","keyProductQueryItem":"305790","comparisonOperation":0,"comparisonValue":"174","minimumVersion":"","maximumVersion":"","formOrder":0,"lowerBound":null,"enabled":true,"mask":"","largeMask":"","maskKey":"","keyItemMaskOfField":null,"keyOptionIdReplace":"","relatedOptionIds":[],"onlineServices":[],"childCriteriaItemList":[],"clientContextJson":""},{"keyOptionId":"8889","caption":"Housewares and Specialties Producers","isDefault":true,"maskCriteriaOnly":false,"definition":"","keyProductQueryItem":"305790","comparisonOperation":0,"comparisonValue":"175","minimumVersion":"","maximumVersion":"","formOrder":0,"lowerBound":null,"enabled":true,"mask":"","largeMask":"","maskKey":"","keyItemMaskOfField":null,"keyOptionIdReplace":"","relatedOptionIds":[],"onlineServices":[],"childCriteriaItemList":[],"clientContextJson":""},{"keyOptionId":"8890","caption":"Leisure Products Producers","isDefault":true,"maskCriteriaOnly":false,"definition":"","keyProductQueryItem":"305790","comparisonOperation":0,"comparisonValue":"176","minimumVersion":"","maximumVersion":"","formOrder":0,"lowerBound":null,"enabled":true,"mask":"","largeMask":"","maskKey":"","keyItemMaskOfField":null,"keyOptionIdReplace":"","relatedOptionIds":[],"onlineServices":[],"childCriteriaItemList":[],"clientContextJson":""}],"clientContextJson":""},{"keyOptionId":"8891","caption":"Apparel, Footwear and Textile Producer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8892","caption":"Apparel, Accessories and Luxury Goods","isDefault":true,"maskCriteriaOnly":false,"definition":"","keyProductQueryItem":"305790","comparisonOperation":0,"comparisonValue":"178","minimumVersion":"","maximumVersion":"","formOrder":0,"lowerBound":null,"enabled":true,"mask":"","largeMask":"","maskKey":"","keyItemMaskOfField":null,"keyOptionIdReplace":"","relatedOptionIds":[],"onlineServices":[],"childCriteriaItemList":[],"clientContextJson":""},{"keyOptionId":"8893","caption":"Footwear Producers","isDefault":true,"maskCriteriaOnly":false,"definition":"","keyProductQueryItem":"305790","comparisonOperation":0,"comparisonValue":"179","minimumVersion":"","maximumVersion":"","formOrder":0,"lowerBound":null,"enabled":true,"mask":"","largeMask":"","maskKey":"","keyItemMaskOfField":null,"keyOptionIdReplace":"","relatedOptionIds":[],"onlineServices":[],"childCriteriaItemList":[],"clientContextJson":""},{"keyOptionId":"8894","caption":"Textiles Producers","isDefault":true,"maskCriteriaOnly":false,"definition":"","keyProductQueryItem":"305790","comparisonOperation":0,"comparisonValue":"180","minimumVersion":"","maximumVersion":"","formOrder":0,"lowerBound":null,"enabled":true,"mask":"","largeMask":"","maskKey":"","keyItemMaskOfField":null,"keyOptionIdReplace":"","relatedOptionIds":[],"onlineServices":[],"childCriteriaItemList":[],"clientContextJson":""}],"clientContextJson":""},{"keyOptionId":"8895","caption":"Agricultural Products","isDefault":true,"maskCriteriaOnly":false,"definition":"","keyProductQueryItem":"305790","comparisonOperation":0,"comparisonValue":"181","minimumVersion":"","maximumVersion":"","formOrder":0,"lowerBound":null,"enabled":true,"mask":"","largeMask":"","maskKey":"","keyItemMaskOfField":null,"keyOptionIdReplace":"","relatedOptionIds":[],"onlineServices":[],"childCriteriaItemList":[],"clientContextJson":""},{"keyOptionId":"8898","caption":"Packaged Foods and Meats Producers","isDefault":true,"maskCriteriaOnly":false,"definition":"","keyProductQueryItem":"305790","comparisonOperation":0,"comparisonValue":"182","minimumVersion":"","maximumVersion":"","formOrder":0,"lowerBound":null,"enabled":true,"mask":"","largeMask":"","maskKey":"","keyItemMaskOfField":null,"keyOptionIdReplace":"","relatedOptionIds":[],"onlineServices":[],"childCriteriaItemList":[],"clientContextJson":""},{"keyOptionId":"8914","caption":"Tobacco Producers","isDefault":true,"maskCriteriaOnly":false,"definition":"","keyProductQueryItem":"305790","comparisonOperation":0,"comparisonValue":"183","minimumVersion":"","maximumVersion":"","formOrder":0,"lowerBound":null,"enabled":true,"mask":"","largeMask":"","maskKey":"","keyItemMaskOfField":null,"keyOptionId</t>
  </si>
  <si>
    <t>Replace":"","relatedOptionIds":[],"onlineServices":[],"childCriteriaItemList":[],"clientContextJson":""},{"keyOptionId":"8915","caption":"Household Products Producers","isDefault":true,"maskCriteriaOnly":false,"definition":"","keyProductQueryItem":"305790","comparisonOperation":0,"comparisonValue":"184","minimumVersion":"","maximumVersion":"","formOrder":0,"lowerBound":null,"enabled":true,"mask":"","largeMask":"","maskKey":"","keyItemMaskOfField":null,"keyOptionIdReplace":"","relatedOptionIds":[],"onlineServices":[],"childCriteriaItemList":[],"clientContextJson":""},{"keyOptionId":"8916","caption":"Personal and Beauty Products: Producers","isDefault":true,"maskCriteriaOnly":false,"definition":"","keyProductQueryItem":"305790","comparisonOperation":0,"comparisonValue":"185","minimumVersion":"","maximumVersion":"","formOrder":0,"lowerBound":null,"enabled":true,"mask":"","largeMask":"","maskKey":"","keyItemMaskOfField":null,"keyOptionIdReplace":"","relatedOptionIds":[],"onlineServices":[],"childCriteriaItemList":[],"clientContextJson":""},{"keyOptionId":"8917","caption":"Automobiles and Component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8918","caption":"Auto Parts and Equipment","isDefault":true,"maskCriteriaOnly":false,"definition":"","keyProductQueryItem":"305790","comparisonOperation":0,"comparisonValue":"187","minimumVersion":"","maximumVersion":"","formOrder":0,"lowerBound":null,"enabled":true,"mask":"","largeMask":"","maskKey":"","keyItemMaskOfField":null,"keyOptionIdReplace":"","relatedOptionIds":[],"onlineServices":[],"childCriteriaItemList":[],"clientContextJson":""},{"keyOptionId":"8919","caption":"Tires and Rubber","isDefault":true,"maskCriteriaOnly":false,"definition":"","keyProductQueryItem":"305790","comparisonOperation":0,"comparisonValue":"188","minimumVersion":"","maximumVersion":"","formOrder":0,"lowerBound":null,"enabled":true,"mask":"","largeMask":"","maskKey":"","keyItemMaskOfField":null,"keyOptionIdReplace":"","relatedOptionIds":[],"onlineServices":[],"childCriteriaItemList":[],"clientContextJson":""},{"keyOptionId":"8920","caption":"Automobile Manufacturers","isDefault":true,"maskCriteriaOnly":false,"definition":"","keyProductQueryItem":"305790","comparisonOperation":0,"comparisonValue":"189","minimumVersion":"","maximumVersion":"","formOrder":0,"lowerBound":null,"enabled":true,"mask":"","largeMask":"","maskKey":"","keyItemMaskOfField":null,"keyOptionIdReplace":"","relatedOptionIds":[],"onlineServices":[],"childCriteriaItemList":[],"clientContextJson":""},{"keyOptionId":"8921","caption":"Motorcycle Manufacturers","isDefault":true,"maskCriteriaOnly":false,"definition":"","keyProductQueryItem":"305790","comparisonOperation":0,"comparisonValue":"190","minimumVersion":"","maximumVersion":"","formOrder":0,"lowerBound":null,"enabled":true,"mask":"","largeMask":"","maskKey":"","keyItemMaskOfField":null,"keyOptionIdReplace":"","relatedOptionIds":[],"onlineServices":[],"childCriteriaItemList":[],"clientContextJson":""}],"clientContextJson":""}],"clientContextJson":""},{"keyOptionId":"8922","caption":"Hotels, Restaurants and Leisure","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8923","caption":"Casinos and Gaming","isDefault":true,"maskCriteriaOnly":false,"definition":"","keyProductQueryItem":"305790","comparisonOperation":0,"comparisonValue":"192","minimumVersion":"","maximumVersion":"","formOrder":0,"lowerBound":null,"enabled":true,"mask":"","largeMask":"","maskKey":"","keyItemMaskOfField":null,"keyOptionIdReplace":"","relatedOptionIds":[],"onlineServices":[],"childCriteriaItemList":[],"clientContextJson":""},{"keyOptionId":"8924","caption":"Hotels, Resorts and Cruise Lines","isDefault":true,"maskCriteriaOnly":false,"definition":"","keyProductQueryItem":"305790","comparisonOperation":0,"comparisonValue":"193","minimumVersion":"","maximumVersion":"","formOrder":0,"lowerBound":null,"enabled":true,"mask":"","largeMask":"","maskKey":"","keyItemMaskOfField":null,"keyOptionIdReplace":"","relatedOptionIds":[],"onlineServices":[],"childCriteriaItemList":[],"clientContextJson":""},{"keyOptionId":"8925","caption":"Leisure Facilities","isDefault":true,"maskCriteriaOnly":false,"definition":"","keyProductQueryItem":"305790","comparisonOperation":0,"comparisonValue":"194","minimumVersion":"","maximumVersion":"","formOrder":0,"lowerBound":null,"enabled":true,"mask":"","largeMask":"","maskKey":"","keyItemMaskOfField":null,"keyOptionIdReplace":"","relatedOptionIds":[],"onlineServices":[],"childCriteriaItemList":[],"clientContextJson":""},{"keyOptionId":"8926","caption":"Restaurants","isDefault":true,"maskCriteriaOnly":false,"definition":"","keyProductQueryItem":"305790","comparisonOperation":0,"comparisonValue":"195","minimumVersion":"","maximumVersion":"","formOrder":0,"lowerBound":null,"enabled":true,"mask":"","largeMask":"","maskKey":"","keyItemMaskOfField":null,"keyOptionIdReplace":"","relatedOptionIds":[],"onlineServices":[],"childCriteriaItemList":[],"clientContextJson":""}],"clientContextJson":""},{"keyOptionId":"8927","caption":"Education Services","isDefault":true,"maskCriteriaOnly":false,"definition":"","keyProductQueryItem":"305790","comparisonOperation":0,"comparisonValue":"196","minimumVersion":"","maximumVersion":"","formOrder":0,"lowerBound":null,"enabled":true,"mask":"","largeMask":"","maskKey":"","keyItemMaskOfField":null,"keyOptionIdReplace":"","relatedOptionIds":[],"onlineServices":[],"childCriteriaItemList":[],"clientContextJson":""},{"keyOptionId":"8928","caption":"Specialized Consumer Services","isDefault":true,"maskCriteriaOnly":false,"definition":"","keyProductQueryItem":"305790","comparisonOperation":0,"comparisonValue":"197","minimumVersion":"","maximumVersion":"","formOrder":0,"lowerBound":null,"enabled":true,"mask":"","largeMask":"","maskKey":"","keyItemMaskOfField":null,"keyOptionIdReplace":"","relatedOptionIds":[],"onlineServices":[],"childCriteriaItemList":[],"clientContextJson":""}],"clientContextJson":""},{"keyOptionId":"8929","caption":"Technology, Media and Telecommunication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8930","caption":"Information Technology","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8931","caption":"Software and Services","isDefault":false,"maskCriteriaOnly":true,"definition":"","keyProductQueryItem":"","comparisonOperation":null,"</t>
  </si>
  <si>
    <t>comparisonValue":"","minimumVersion":"","maximumVersion":"","formOrder":0,"lowerBound":null,"enabled":true,"mask":"","largeMask":"","maskKey":"","keyItemMaskOfField":null,"keyOptionIdReplace":"","relatedOptionIds":[],"onlineServices":[],"childCriteriaItemList":[{"keyOptionId":"8932","caption":"Internet Software and Services","isDefault":true,"maskCriteriaOnly":false,"definition":"","keyProductQueryItem":"305790","comparisonOperation":0,"comparisonValue":"201","minimumVersion":"","maximumVersion":"","formOrder":0,"lowerBound":null,"enabled":true,"mask":"","largeMask":"","maskKey":"","keyItemMaskOfField":null,"keyOptionIdReplace":"","relatedOptionIds":[],"onlineServices":[],"childCriteriaItemList":[],"clientContextJson":""},{"keyOptionId":"8933","caption":"IT Consulting and Other Services","isDefault":true,"maskCriteriaOnly":false,"definition":"","keyProductQueryItem":"305790","comparisonOperation":0,"comparisonValue":"202","minimumVersion":"","maximumVersion":"","formOrder":0,"lowerBound":null,"enabled":true,"mask":"","largeMask":"","maskKey":"","keyItemMaskOfField":null,"keyOptionIdReplace":"","relatedOptionIds":[],"onlineServices":[],"childCriteriaItemList":[],"clientContextJson":""},{"keyOptionId":"8934","caption":"Data Processing and Outsourced Services","isDefault":true,"maskCriteriaOnly":false,"definition":"","keyProductQueryItem":"305790","comparisonOperation":0,"comparisonValue":"203","minimumVersion":"","maximumVersion":"","formOrder":0,"lowerBound":null,"enabled":true,"mask":"","largeMask":"","maskKey":"","keyItemMaskOfField":null,"keyOptionIdReplace":"","relatedOptionIds":[],"onlineServices":[],"childCriteriaItemList":[],"clientContextJson":""},{"keyOptionId":"8935","caption":"Application Software","isDefault":true,"maskCriteriaOnly":false,"definition":"","keyProductQueryItem":"305790","comparisonOperation":0,"comparisonValue":"204","minimumVersion":"","maximumVersion":"","formOrder":0,"lowerBound":null,"enabled":true,"mask":"","largeMask":"","maskKey":"","keyItemMaskOfField":null,"keyOptionIdReplace":"","relatedOptionIds":[],"onlineServices":[],"childCriteriaItemList":[],"clientContextJson":""},{"keyOptionId":"8936","caption":"Systems Software","isDefault":true,"maskCriteriaOnly":false,"definition":"","keyProductQueryItem":"305790","comparisonOperation":0,"comparisonValue":"205","minimumVersion":"","maximumVersion":"","formOrder":0,"lowerBound":null,"enabled":true,"mask":"","largeMask":"","maskKey":"","keyItemMaskOfField":null,"keyOptionIdReplace":"","relatedOptionIds":[],"onlineServices":[],"childCriteriaItemList":[],"clientContextJson":""},{"keyOptionId":"8937","caption":"Home Entertainment Software","isDefault":true,"maskCriteriaOnly":false,"definition":"","keyProductQueryItem":"305790","comparisonOperation":0,"comparisonValue":"206","minimumVersion":"","maximumVersion":"","formOrder":0,"lowerBound":null,"enabled":true,"mask":"","largeMask":"","maskKey":"","keyItemMaskOfField":null,"keyOptionIdReplace":"","relatedOptionIds":[],"onlineServices":[],"childCriteriaItemList":[],"clientContextJson":""}],"clientContextJson":""},{"keyOptionId":"8938","caption":"Technology Hardware and Equipment","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8939","caption":"Communications Equipment","isDefault":true,"maskCriteriaOnly":false,"definition":"","keyProductQueryItem":"305790","comparisonOperation":0,"comparisonValue":"208","minimumVersion":"","maximumVersion":"","formOrder":0,"lowerBound":null,"enabled":true,"mask":"","largeMask":"","maskKey":"","keyItemMaskOfField":null,"keyOptionIdReplace":"","relatedOptionIds":[],"onlineServices":[],"childCriteriaItemList":[],"clientContextJson":""},{"keyOptionId":"8940","caption":"Technology Hardware, Storage and Peripherals","isDefault":true,"maskCriteriaOnly":false,"definition":"","keyProductQueryItem":"305790","comparisonOperation":0,"comparisonValue":"209","minimumVersion":"","maximumVersion":"","formOrder":0,"lowerBound":null,"enabled":true,"mask":"","largeMask":"","maskKey":"","keyItemMaskOfField":null,"keyOptionIdReplace":"","relatedOptionIds":[],"onlineServices":[],"childCriteriaItemList":[],"clientContextJson":""},{"keyOptionId":"8941","caption":"Electronic Equipment and Instruments","isDefault":true,"maskCriteriaOnly":false,"definition":"","keyProductQueryItem":"305790","comparisonOperation":0,"comparisonValue":"210","minimumVersion":"","maximumVersion":"","formOrder":0,"lowerBound":null,"enabled":true,"mask":"","largeMask":"","maskKey":"","keyItemMaskOfField":null,"keyOptionIdReplace":"","relatedOptionIds":[],"onlineServices":[],"childCriteriaItemList":[],"clientContextJson":""},{"keyOptionId":"8942","caption":"Electronic Components","isDefault":true,"maskCriteriaOnly":false,"definition":"","keyProductQueryItem":"305790","comparisonOperation":0,"comparisonValue":"211","minimumVersion":"","maximumVersion":"","formOrder":0,"lowerBound":null,"enabled":true,"mask":"","largeMask":"","maskKey":"","keyItemMaskOfField":null,"keyOptionIdReplace":"","relatedOptionIds":[],"onlineServices":[],"childCriteriaItemList":[],"clientContextJson":""},{"keyOptionId":"8943","caption":"Electronic Manufacturing Services","isDefault":true,"maskCriteriaOnly":false,"definition":"","keyProductQueryItem":"305790","comparisonOperation":0,"comparisonValue":"212","minimumVersion":"","maximumVersion":"","formOrder":0,"lowerBound":null,"enabled":true,"mask":"","largeMask":"","maskKey":"","keyItemMaskOfField":null,"keyOptionIdReplace":"","relatedOptionIds":[],"onlineServices":[],"childCriteriaItemList":[],"clientContextJson":""},{"keyOptionId":"8944","caption":"Technology Distributors","isDefault":true,"maskCriteriaOnly":false,"definition":"","keyProductQueryItem":"305790","comparisonOperation":0,"comparisonValue":"213","minimumVersion":"","maximumVersion":"","formOrder":0,"lowerBound":null,"enabled":true,"mask":"","largeMask":"","maskKey":"","keyItemMaskOfField":null,"keyOptionIdReplace":"","relatedOptionIds":[],"onlineServices":[],"childCriteriaItemList":[],"clientContextJson":""},{"keyOptionId":"8945","caption":"Semiconductor Equipment","isDefault":true,"maskCriteriaOnly":false,"definition":"","keyProductQueryItem":"305790","comparisonOperation":0,"comparisonValue":"214","minimumVersion":"","maximumVersion":"","formOrder":0,"lowerBound":null,"enabled":true,"mask":"","largeMask":"","maskKey":"","keyItemMaskOfField":null,"keyOptionIdReplace":"","relatedOptionIds":[],"onlineServices":[],"childCriteriaItemList":[],"clientContextJson":""},{"keyOptionId":"8946","caption":"Semiconductors","isDefault":true,"maskCriteriaOnly":false,"definition":"","keyProductQueryItem":"305790","comparisonOperation":0,"comparisonValue":"215","minimumVersion":"","maximumVersion":"","formOrder":0,"lowerBound":null,"enabled":true,"mask":"","largeMask":"","maskKey":"","keyItemMaskOfField":null,"keyOptionIdReplace":"","relatedOptionIds":[],"onlineServices":[],"childCriteriaItemList":[],"clientContextJson":""}],"clientContextJson":""}],"clientContextJson":""},{"keyOptionId":"8947","caption":"Media","isDefault":false,"maskCriteriaOnly":true,"definition":"","keyProductQueryItem":"","comparisonOperation":null,"comparisonValue":"","minimumVersion":"","maximumVersion":"","formOrder":0,"lowerBound":null,"enabled":true,"mask":"","largeMask":"","maskKey":"","keyItemMaskOfField":null,"keyOptionIdReplace":"","relatedOptionIds"</t>
  </si>
  <si>
    <t>:[],"onlineServices":[],"childCriteriaItemList":[{"keyOptionId":"8948","caption":"Advertising","isDefault":true,"maskCriteriaOnly":false,"definition":"","keyProductQueryItem":"305790","comparisonOperation":0,"comparisonValue":"217","minimumVersion":"","maximumVersion":"","formOrder":0,"lowerBound":null,"enabled":true,"mask":"","largeMask":"","maskKey":"","keyItemMaskOfField":null,"keyOptionIdReplace":"","relatedOptionIds":[],"onlineServices":[],"childCriteriaItemList":[],"clientContextJson":""},{"keyOptionId":"8949","caption":"Broadcasting","isDefault":true,"maskCriteriaOnly":false,"definition":"","keyProductQueryItem":"305790","comparisonOperation":0,"comparisonValue":"218","minimumVersion":"","maximumVersion":"","formOrder":0,"lowerBound":null,"enabled":true,"mask":"","largeMask":"","maskKey":"","keyItemMaskOfField":null,"keyOptionIdReplace":"","relatedOptionIds":[],"onlineServices":[],"childCriteriaItemList":[],"clientContextJson":""},{"keyOptionId":"8950","caption":"Cable and Satellite","isDefault":true,"maskCriteriaOnly":false,"definition":"","keyProductQueryItem":"305790","comparisonOperation":0,"comparisonValue":"219","minimumVersion":"","maximumVersion":"","formOrder":0,"lowerBound":null,"enabled":true,"mask":"","largeMask":"","maskKey":"","keyItemMaskOfField":null,"keyOptionIdReplace":"","relatedOptionIds":[],"onlineServices":[],"childCriteriaItemList":[],"clientContextJson":""},{"keyOptionId":"8951","caption":"Movies and Entertainment","isDefault":true,"maskCriteriaOnly":false,"definition":"","keyProductQueryItem":"305790","comparisonOperation":0,"comparisonValue":"220","minimumVersion":"","maximumVersion":"","formOrder":0,"lowerBound":null,"enabled":true,"mask":"","largeMask":"","maskKey":"","keyItemMaskOfField":null,"keyOptionIdReplace":"","relatedOptionIds":[],"onlineServices":[],"childCriteriaItemList":[],"clientContextJson":""},{"keyOptionId":"8952","caption":"Publishing","isDefault":true,"maskCriteriaOnly":false,"definition":"","keyProductQueryItem":"305790","comparisonOperation":0,"comparisonValue":"221","minimumVersion":"","maximumVersion":"","formOrder":0,"lowerBound":null,"enabled":true,"mask":"","largeMask":"","maskKey":"","keyItemMaskOfField":null,"keyOptionIdReplace":"","relatedOptionIds":[],"onlineServices":[],"childCriteriaItemList":[],"clientContextJson":""}],"clientContextJson":""},{"keyOptionId":"8953","caption":"Telecommunication Service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8954","caption":"Alternative Carriers","isDefault":true,"maskCriteriaOnly":false,"definition":"","keyProductQueryItem":"305790","comparisonOperation":0,"comparisonValue":"223","minimumVersion":"","maximumVersion":"","formOrder":0,"lowerBound":null,"enabled":true,"mask":"","largeMask":"","maskKey":"","keyItemMaskOfField":null,"keyOptionIdReplace":"","relatedOptionIds":[],"onlineServices":[],"childCriteriaItemList":[],"clientContextJson":""},{"keyOptionId":"8955","caption":"Integrated Telecommunication Services","isDefault":true,"maskCriteriaOnly":false,"definition":"","keyProductQueryItem":"305790","comparisonOperation":0,"comparisonValue":"224","minimumVersion":"","maximumVersion":"","formOrder":0,"lowerBound":null,"enabled":true,"mask":"","largeMask":"","maskKey":"","keyItemMaskOfField":null,"keyOptionIdReplace":"","relatedOptionIds":[],"onlineServices":[],"childCriteriaItemList":[],"clientContextJson":""},{"keyOptionId":"8956","caption":"Wireless Telecommunication Services","isDefault":true,"maskCriteriaOnly":false,"definition":"","keyProductQueryItem":"305790","comparisonOperation":0,"comparisonValue":"225","minimumVersion":"","maximumVersion":"","formOrder":0,"lowerBound":null,"enabled":true,"mask":"","largeMask":"","maskKey":"","keyItemMaskOfField":null,"keyOptionIdReplace":"","relatedOptionIds":[],"onlineServices":[],"childCriteriaItemList":[],"clientContextJson":""}],"clientContextJson":""}],"clientContextJson":""}],"clientContextJson":""}]},{"filterGroupId":"8161","filterGroupIdReplace":"","caption":"Target/Issuer Geography","groupType":2,"optionType":1,"formOrder":30,"minimumVersion":"","maximumVersion":"","onlineServicesEnabled":false,"column":0,"columnFormOrder":30,"criteriaIdName":"","required":true,"dateDefaultType":"","criteriaItemList":[{"keyOptionId":"8162","caption":"All Geographie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8163","caption":"United States and Canada","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8164","caption":"United State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8165","caption":"Mid Atlantic","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8166","caption":"Delaware","isDefault":true,"maskCriteriaOnly":false,"definition":"","keyProductQueryItem":"300051","comparisonOperation":0,"comparisonValue":"271","minimumVersion":"","maximumVersion":"","formOrder":0,"lowerBound":null,"enabled":true,"mask":"","largeMask":"","maskKey":"","keyItemMaskOfField":null,"keyOptionIdReplace":"","relatedOptionIds":[],"onlineServices":[],"childCriteriaItemList":[],"clientContextJson":""},{"keyOptionId":"8167","caption":"District of Columbia","isDefault":true,"maskCriteriaOnly":false,"definition":"","keyProductQueryItem":"300051","comparisonOperation":0,"comparisonValue":"270","minimumVersion":"","maximumVersion":"","formOrder":0,"lowerBound":null,"enabled":true,"mask":"","largeMask":"","maskKey":"","keyItemMaskOfField":null,"keyOptionIdReplace":"","relatedOptionIds":[],"onlineServices":[],"childCriteriaItemList":[],"clientContextJson":""},{"keyOptionId":"8168","caption":"Maryland","isDefault":true,"maskCriteriaOnly":false,"definition":"","keyProductQueryItem":"300051","comparisonOperation":0,"comparisonValue":"272","minimumVersion":"","maximumVersion":"","formOrder":0,"lowerBound":null,"enabled":true,"mask":"","largeMask":"","maskKey":"","keyItemMaskOfField":null,"keyOptionIdReplace":"","relatedOptionIds":[],"onlineServices":[],"childCriteriaItemList":[],"clientContextJson":""},{"keyOptionId":"8169","caption":"New Jersey","isDe</t>
  </si>
  <si>
    <t>fault":true,"maskCriteriaOnly":false,"definition":"","keyProductQueryItem":"300051","comparisonOperation":0,"comparisonValue":"273","minimumVersion":"","maximumVersion":"","formOrder":0,"lowerBound":null,"enabled":true,"mask":"","largeMask":"","maskKey":"","keyItemMaskOfField":null,"keyOptionIdReplace":"","relatedOptionIds":[],"onlineServices":[],"childCriteriaItemList":[],"clientContextJson":""},{"keyOptionId":"8170","caption":"New York","isDefault":true,"maskCriteriaOnly":false,"definition":"","keyProductQueryItem":"300051","comparisonOperation":0,"comparisonValue":"274","minimumVersion":"","maximumVersion":"","formOrder":0,"lowerBound":null,"enabled":true,"mask":"","largeMask":"","maskKey":"","keyItemMaskOfField":null,"keyOptionIdReplace":"","relatedOptionIds":[],"onlineServices":[],"childCriteriaItemList":[],"clientContextJson":""},{"keyOptionId":"8171","caption":"Pennsylvania","isDefault":true,"maskCriteriaOnly":false,"definition":"","keyProductQueryItem":"300051","comparisonOperation":0,"comparisonValue":"275","minimumVersion":"","maximumVersion":"","formOrder":0,"lowerBound":null,"enabled":true,"mask":"","largeMask":"","maskKey":"","keyItemMaskOfField":null,"keyOptionIdReplace":"","relatedOptionIds":[],"onlineServices":[],"childCriteriaItemList":[],"clientContextJson":""},{"keyOptionId":"8172","caption":"Puerto Rico","isDefault":true,"maskCriteriaOnly":false,"definition":"","keyProductQueryItem":"300051","comparisonOperation":0,"comparisonValue":"276","minimumVersion":"","maximumVersion":"","formOrder":0,"lowerBound":null,"enabled":true,"mask":"","largeMask":"","maskKey":"","keyItemMaskOfField":null,"keyOptionIdReplace":"","relatedOptionIds":[],"onlineServices":[],"childCriteriaItemList":[],"clientContextJson":""}],"clientContextJson":""},{"keyOptionId":"8173","caption":"Midwest","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8174","caption":"Illinois","isDefault":true,"maskCriteriaOnly":false,"definition":"","keyProductQueryItem":"300051","comparisonOperation":0,"comparisonValue":"278","minimumVersion":"","maximumVersion":"","formOrder":0,"lowerBound":null,"enabled":true,"mask":"","largeMask":"","maskKey":"","keyItemMaskOfField":null,"keyOptionIdReplace":"","relatedOptionIds":[],"onlineServices":[],"childCriteriaItemList":[],"clientContextJson":""},{"keyOptionId":"8175","caption":"Indiana","isDefault":true,"maskCriteriaOnly":false,"definition":"","keyProductQueryItem":"300051","comparisonOperation":0,"comparisonValue":"279","minimumVersion":"","maximumVersion":"","formOrder":0,"lowerBound":null,"enabled":true,"mask":"","largeMask":"","maskKey":"","keyItemMaskOfField":null,"keyOptionIdReplace":"","relatedOptionIds":[],"onlineServices":[],"childCriteriaItemList":[],"clientContextJson":""},{"keyOptionId":"8176","caption":"Iowa","isDefault":true,"maskCriteriaOnly":false,"definition":"","keyProductQueryItem":"300051","comparisonOperation":0,"comparisonValue":"277","minimumVersion":"","maximumVersion":"","formOrder":0,"lowerBound":null,"enabled":true,"mask":"","largeMask":"","maskKey":"","keyItemMaskOfField":null,"keyOptionIdReplace":"","relatedOptionIds":[],"onlineServices":[],"childCriteriaItemList":[],"clientContextJson":""},{"keyOptionId":"8177","caption":"Kansas","isDefault":true,"maskCriteriaOnly":false,"definition":"","keyProductQueryItem":"300051","comparisonOperation":0,"comparisonValue":"280","minimumVersion":"","maximumVersion":"","formOrder":0,"lowerBound":null,"enabled":true,"mask":"","largeMask":"","maskKey":"","keyItemMaskOfField":null,"keyOptionIdReplace":"","relatedOptionIds":[],"onlineServices":[],"childCriteriaItemList":[],"clientContextJson":""},{"keyOptionId":"8178","caption":"Kentucky","isDefault":true,"maskCriteriaOnly":false,"definition":"","keyProductQueryItem":"300051","comparisonOperation":0,"comparisonValue":"281","minimumVersion":"","maximumVersion":"","formOrder":0,"lowerBound":null,"enabled":true,"mask":"","largeMask":"","maskKey":"","keyItemMaskOfField":null,"keyOptionIdReplace":"","relatedOptionIds":[],"onlineServices":[],"childCriteriaItemList":[],"clientContextJson":""},{"keyOptionId":"8179","caption":"Michigan","isDefault":true,"maskCriteriaOnly":false,"definition":"","keyProductQueryItem":"300051","comparisonOperation":0,"comparisonValue":"282","minimumVersion":"","maximumVersion":"","formOrder":0,"lowerBound":null,"enabled":true,"mask":"","largeMask":"","maskKey":"","keyItemMaskOfField":null,"keyOptionIdReplace":"","relatedOptionIds":[],"onlineServices":[],"childCriteriaItemList":[],"clientContextJson":""},{"keyOptionId":"8180","caption":"Minnesota","isDefault":true,"maskCriteriaOnly":false,"definition":"","keyProductQueryItem":"300051","comparisonOperation":0,"comparisonValue":"283","minimumVersion":"","maximumVersion":"","formOrder":0,"lowerBound":null,"enabled":true,"mask":"","largeMask":"","maskKey":"","keyItemMaskOfField":null,"keyOptionIdReplace":"","relatedOptionIds":[],"onlineServices":[],"childCriteriaItemList":[],"clientContextJson":""},{"keyOptionId":"8181","caption":"Missouri","isDefault":true,"maskCriteriaOnly":false,"definition":"","keyProductQueryItem":"300051","comparisonOperation":0,"comparisonValue":"284","minimumVersion":"","maximumVersion":"","formOrder":0,"lowerBound":null,"enabled":true,"mask":"","largeMask":"","maskKey":"","keyItemMaskOfField":null,"keyOptionIdReplace":"","relatedOptionIds":[],"onlineServices":[],"childCriteriaItemList":[],"clientContextJson":""},{"keyOptionId":"8182","caption":"Nebraska","isDefault":true,"maskCriteriaOnly":false,"definition":"","keyProductQueryItem":"300051","comparisonOperation":0,"comparisonValue":"286","minimumVersion":"","maximumVersion":"","formOrder":0,"lowerBound":null,"enabled":true,"mask":"","largeMask":"","maskKey":"","keyItemMaskOfField":null,"keyOptionIdReplace":"","relatedOptionIds":[],"onlineServices":[],"childCriteriaItemList":[],"clientContextJson":""},{"keyOptionId":"8183","caption":"North Dakota","isDefault":true,"maskCriteriaOnly":false,"definition":"","keyProductQueryItem":"300051","comparisonOperation":0,"comparisonValue":"285","minimumVersion":"","maximumVersion":"","formOrder":0,"lowerBound":null,"enabled":true,"mask":"","largeMask":"","maskKey":"","keyItemMaskOfField":null,"keyOptionIdReplace":"","relatedOptionIds":[],"onlineServices":[],"childCriteriaItemList":[],"clientContextJson":""},{"keyOptionId":"8184","caption":"Ohio","isDefault":true,"maskCriteriaOnly":false,"definition":"","keyProductQueryItem":"300051","comparisonOperation":0,"comparisonValue":"287","minimumVersion":"","maximumVersion":"","formOrder":0,"lowerBound":null,"enabled":true,"mask":"","largeMask":"","maskKey":"","keyItemMaskOfField":null,"keyOptionIdReplace":"","relatedOptionIds":[],"onlineServices":[],"childCriteriaItemList":[],"clientContextJson":""},{"keyOptionId":"8185","caption":"South Dakota","isDefault":true,"maskCriteriaOnly":false,"definition":"","keyProductQueryItem":"300051","comparisonOperation":0,"comparisonValue":"288","minimumVersion":"","maximumVersion":"","formOrder":0,"lowerBound":null,"enabled":true,"mask":"","largeMask":"","maskKey":"","keyItemMaskOfField":null,"keyOptionIdReplace":"","relatedOptionIds":[],"onlineServices":[],"childCriteriaItemList":[],"clientContextJson":""},{"keyOptionId":"8186","caption":"Wisconsin","isDefault":true,"maskCriteriaOnly":false,"definition":"","keyProductQueryI</t>
  </si>
  <si>
    <t>tem":"300051","comparisonOperation":0,"comparisonValue":"289","minimumVersion":"","maximumVersion":"","formOrder":0,"lowerBound":null,"enabled":true,"mask":"","largeMask":"","maskKey":"","keyItemMaskOfField":null,"keyOptionIdReplace":"","relatedOptionIds":[],"onlineServices":[],"childCriteriaItemList":[],"clientContextJson":""}],"clientContextJson":""},{"keyOptionId":"8187","caption":"Northeast","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8188","caption":"Connecticut","isDefault":true,"maskCriteriaOnly":false,"definition":"","keyProductQueryItem":"300051","comparisonOperation":0,"comparisonValue":"290","minimumVersion":"","maximumVersion":"","formOrder":0,"lowerBound":null,"enabled":true,"mask":"","largeMask":"","maskKey":"","keyItemMaskOfField":null,"keyOptionIdReplace":"","relatedOptionIds":[],"onlineServices":[],"childCriteriaItemList":[],"clientContextJson":""},{"keyOptionId":"8189","caption":"Maine","isDefault":true,"maskCriteriaOnly":false,"definition":"","keyProductQueryItem":"300051","comparisonOperation":0,"comparisonValue":"292","minimumVersion":"","maximumVersion":"","formOrder":0,"lowerBound":null,"enabled":true,"mask":"","largeMask":"","maskKey":"","keyItemMaskOfField":null,"keyOptionIdReplace":"","relatedOptionIds":[],"onlineServices":[],"childCriteriaItemList":[],"clientContextJson":""},{"keyOptionId":"8190","caption":"Massachusetts","isDefault":true,"maskCriteriaOnly":false,"definition":"","keyProductQueryItem":"300051","comparisonOperation":0,"comparisonValue":"291","minimumVersion":"","maximumVersion":"","formOrder":0,"lowerBound":null,"enabled":true,"mask":"","largeMask":"","maskKey":"","keyItemMaskOfField":null,"keyOptionIdReplace":"","relatedOptionIds":[],"onlineServices":[],"childCriteriaItemList":[],"clientContextJson":""},{"keyOptionId":"8191","caption":"New Hampshire","isDefault":true,"maskCriteriaOnly":false,"definition":"","keyProductQueryItem":"300051","comparisonOperation":0,"comparisonValue":"293","minimumVersion":"","maximumVersion":"","formOrder":0,"lowerBound":null,"enabled":true,"mask":"","largeMask":"","maskKey":"","keyItemMaskOfField":null,"keyOptionIdReplace":"","relatedOptionIds":[],"onlineServices":[],"childCriteriaItemList":[],"clientContextJson":""},{"keyOptionId":"8192","caption":"Rhode Island","isDefault":true,"maskCriteriaOnly":false,"definition":"","keyProductQueryItem":"300051","comparisonOperation":0,"comparisonValue":"294","minimumVersion":"","maximumVersion":"","formOrder":0,"lowerBound":null,"enabled":true,"mask":"","largeMask":"","maskKey":"","keyItemMaskOfField":null,"keyOptionIdReplace":"","relatedOptionIds":[],"onlineServices":[],"childCriteriaItemList":[],"clientContextJson":""},{"keyOptionId":"8193","caption":"Vermont","isDefault":true,"maskCriteriaOnly":false,"definition":"","keyProductQueryItem":"300051","comparisonOperation":0,"comparisonValue":"295","minimumVersion":"","maximumVersion":"","formOrder":0,"lowerBound":null,"enabled":true,"mask":"","largeMask":"","maskKey":"","keyItemMaskOfField":null,"keyOptionIdReplace":"","relatedOptionIds":[],"onlineServices":[],"childCriteriaItemList":[],"clientContextJson":""}],"clientContextJson":""},{"keyOptionId":"8194","caption":"Southeast","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8195","caption":"Alabama","isDefault":true,"maskCriteriaOnly":false,"definition":"","keyProductQueryItem":"300051","comparisonOperation":0,"comparisonValue":"296","minimumVersion":"","maximumVersion":"","formOrder":0,"lowerBound":null,"enabled":true,"mask":"","largeMask":"","maskKey":"","keyItemMaskOfField":null,"keyOptionIdReplace":"","relatedOptionIds":[],"onlineServices":[],"childCriteriaItemList":[],"clientContextJson":""},{"keyOptionId":"8196","caption":"Arkansas","isDefault":true,"maskCriteriaOnly":false,"definition":"","keyProductQueryItem":"300051","comparisonOperation":0,"comparisonValue":"297","minimumVersion":"","maximumVersion":"","formOrder":0,"lowerBound":null,"enabled":true,"mask":"","largeMask":"","maskKey":"","keyItemMaskOfField":null,"keyOptionIdReplace":"","relatedOptionIds":[],"onlineServices":[],"childCriteriaItemList":[],"clientContextJson":""},{"keyOptionId":"8197","caption":"Florida","isDefault":true,"maskCriteriaOnly":false,"definition":"","keyProductQueryItem":"300051","comparisonOperation":0,"comparisonValue":"298","minimumVersion":"","maximumVersion":"","formOrder":0,"lowerBound":null,"enabled":true,"mask":"","largeMask":"","maskKey":"","keyItemMaskOfField":null,"keyOptionIdReplace":"","relatedOptionIds":[],"onlineServices":[],"childCriteriaItemList":[],"clientContextJson":""},{"keyOptionId":"8198","caption":"Georgia","isDefault":true,"maskCriteriaOnly":false,"definition":"","keyProductQueryItem":"300051","comparisonOperation":0,"comparisonValue":"299","minimumVersion":"","maximumVersion":"","formOrder":0,"lowerBound":null,"enabled":true,"mask":"","largeMask":"","maskKey":"","keyItemMaskOfField":null,"keyOptionIdReplace":"","relatedOptionIds":[],"onlineServices":[],"childCriteriaItemList":[],"clientContextJson":""},{"keyOptionId":"8199","caption":"Mississippi","isDefault":true,"maskCriteriaOnly":false,"definition":"","keyProductQueryItem":"300051","comparisonOperation":0,"comparisonValue":"300","minimumVersion":"","maximumVersion":"","formOrder":0,"lowerBound":null,"enabled":true,"mask":"","largeMask":"","maskKey":"","keyItemMaskOfField":null,"keyOptionIdReplace":"","relatedOptionIds":[],"onlineServices":[],"childCriteriaItemList":[],"clientContextJson":""},{"keyOptionId":"8200","caption":"North Carolina","isDefault":true,"maskCriteriaOnly":false,"definition":"","keyProductQueryItem":"300051","comparisonOperation":0,"comparisonValue":"301","minimumVersion":"","maximumVersion":"","formOrder":0,"lowerBound":null,"enabled":true,"mask":"","largeMask":"","maskKey":"","keyItemMaskOfField":null,"keyOptionIdReplace":"","relatedOptionIds":[],"onlineServices":[],"childCriteriaItemList":[],"clientContextJson":""},{"keyOptionId":"8201","caption":"South Carolina","isDefault":true,"maskCriteriaOnly":false,"definition":"","keyProductQueryItem":"300051","comparisonOperation":0,"comparisonValue":"302","minimumVersion":"","maximumVersion":"","formOrder":0,"lowerBound":null,"enabled":true,"mask":"","largeMask":"","maskKey":"","keyItemMaskOfField":null,"keyOptionIdReplace":"","relatedOptionIds":[],"onlineServices":[],"childCriteriaItemList":[],"clientContextJson":""},{"keyOptionId":"8202","caption":"Tennessee","isDefault":true,"maskCriteriaOnly":false,"definition":"","keyProductQueryItem":"300051","comparisonOperation":0,"comparisonValue":"303","minimumVersion":"","maximumVersion":"","formOrder":0,"lowerBound":null,"enabled":true,"mask":"","largeMask":"","maskKey":"","keyItemMaskOfField":null,"keyOptionIdReplace":"","relatedOptionIds":[],"onlineServices":[],"childCriteriaItemList":[],"clientContextJson":""},{"keyOptionId":"8203","caption":"Virgin Islands, U.S.","isDefault":true,"maskCriteriaOnly":false,"definition":"","keyProductQueryItem":"300051","comparisonOperation":0,"com</t>
  </si>
  <si>
    <t>parisonValue":"305","minimumVersion":"","maximumVersion":"","formOrder":0,"lowerBound":null,"enabled":true,"mask":"","largeMask":"","maskKey":"","keyItemMaskOfField":null,"keyOptionIdReplace":"","relatedOptionIds":[],"onlineServices":[],"childCriteriaItemList":[],"clientContextJson":""},{"keyOptionId":"8204","caption":"Virginia","isDefault":true,"maskCriteriaOnly":false,"definition":"","keyProductQueryItem":"300051","comparisonOperation":0,"comparisonValue":"304","minimumVersion":"","maximumVersion":"","formOrder":0,"lowerBound":null,"enabled":true,"mask":"","largeMask":"","maskKey":"","keyItemMaskOfField":null,"keyOptionIdReplace":"","relatedOptionIds":[],"onlineServices":[],"childCriteriaItemList":[],"clientContextJson":""},{"keyOptionId":"8205","caption":"West Virginia","isDefault":true,"maskCriteriaOnly":false,"definition":"","keyProductQueryItem":"300051","comparisonOperation":0,"comparisonValue":"306","minimumVersion":"","maximumVersion":"","formOrder":0,"lowerBound":null,"enabled":true,"mask":"","largeMask":"","maskKey":"","keyItemMaskOfField":null,"keyOptionIdReplace":"","relatedOptionIds":[],"onlineServices":[],"childCriteriaItemList":[],"clientContextJson":""}],"clientContextJson":""},{"keyOptionId":"8206","caption":"Southwest","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8207","caption":"Colorado","isDefault":true,"maskCriteriaOnly":false,"definition":"","keyProductQueryItem":"300051","comparisonOperation":0,"comparisonValue":"307","minimumVersion":"","maximumVersion":"","formOrder":0,"lowerBound":null,"enabled":true,"mask":"","largeMask":"","maskKey":"","keyItemMaskOfField":null,"keyOptionIdReplace":"","relatedOptionIds":[],"onlineServices":[],"childCriteriaItemList":[],"clientContextJson":""},{"keyOptionId":"8208","caption":"Louisiana","isDefault":true,"maskCriteriaOnly":false,"definition":"","keyProductQueryItem":"300051","comparisonOperation":0,"comparisonValue":"308","minimumVersion":"","maximumVersion":"","formOrder":0,"lowerBound":null,"enabled":true,"mask":"","largeMask":"","maskKey":"","keyItemMaskOfField":null,"keyOptionIdReplace":"","relatedOptionIds":[],"onlineServices":[],"childCriteriaItemList":[],"clientContextJson":""},{"keyOptionId":"8209","caption":"New Mexico","isDefault":true,"maskCriteriaOnly":false,"definition":"","keyProductQueryItem":"300051","comparisonOperation":0,"comparisonValue":"309","minimumVersion":"","maximumVersion":"","formOrder":0,"lowerBound":null,"enabled":true,"mask":"","largeMask":"","maskKey":"","keyItemMaskOfField":null,"keyOptionIdReplace":"","relatedOptionIds":[],"onlineServices":[],"childCriteriaItemList":[],"clientContextJson":""},{"keyOptionId":"8210","caption":"Oklahoma","isDefault":true,"maskCriteriaOnly":false,"definition":"","keyProductQueryItem":"300051","comparisonOperation":0,"comparisonValue":"310","minimumVersion":"","maximumVersion":"","formOrder":0,"lowerBound":null,"enabled":true,"mask":"","largeMask":"","maskKey":"","keyItemMaskOfField":null,"keyOptionIdReplace":"","relatedOptionIds":[],"onlineServices":[],"childCriteriaItemList":[],"clientContextJson":""},{"keyOptionId":"8211","caption":"Texas","isDefault":true,"maskCriteriaOnly":false,"definition":"","keyProductQueryItem":"300051","comparisonOperation":0,"comparisonValue":"311","minimumVersion":"","maximumVersion":"","formOrder":0,"lowerBound":null,"enabled":true,"mask":"","largeMask":"","maskKey":"","keyItemMaskOfField":null,"keyOptionIdReplace":"","relatedOptionIds":[],"onlineServices":[],"childCriteriaItemList":[],"clientContextJson":""},{"keyOptionId":"8212","caption":"Utah","isDefault":true,"maskCriteriaOnly":false,"definition":"","keyProductQueryItem":"300051","comparisonOperation":0,"comparisonValue":"312","minimumVersion":"","maximumVersion":"","formOrder":0,"lowerBound":null,"enabled":true,"mask":"","largeMask":"","maskKey":"","keyItemMaskOfField":null,"keyOptionIdReplace":"","relatedOptionIds":[],"onlineServices":[],"childCriteriaItemList":[],"clientContextJson":""}],"clientContextJson":""},{"keyOptionId":"8213","caption":"West","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8214","caption":"Alaska","isDefault":true,"maskCriteriaOnly":false,"definition":"","keyProductQueryItem":"300051","comparisonOperation":0,"comparisonValue":"313","minimumVersion":"","maximumVersion":"","formOrder":0,"lowerBound":null,"enabled":true,"mask":"","largeMask":"","maskKey":"","keyItemMaskOfField":null,"keyOptionIdReplace":"","relatedOptionIds":[],"onlineServices":[],"childCriteriaItemList":[],"clientContextJson":""},{"keyOptionId":"8215","caption":"American Samoa","isDefault":true,"maskCriteriaOnly":false,"definition":"","keyProductQueryItem":"300051","comparisonOperation":0,"comparisonValue":"314","minimumVersion":"","maximumVersion":"","formOrder":0,"lowerBound":null,"enabled":true,"mask":"","largeMask":"","maskKey":"","keyItemMaskOfField":null,"keyOptionIdReplace":"","relatedOptionIds":[],"onlineServices":[],"childCriteriaItemList":[],"clientContextJson":""},{"keyOptionId":"8216","caption":"Arizona","isDefault":true,"maskCriteriaOnly":false,"definition":"","keyProductQueryItem":"300051","comparisonOperation":0,"comparisonValue":"315","minimumVersion":"","maximumVersion":"","formOrder":0,"lowerBound":null,"enabled":true,"mask":"","largeMask":"","maskKey":"","keyItemMaskOfField":null,"keyOptionIdReplace":"","relatedOptionIds":[],"onlineServices":[],"childCriteriaItemList":[],"clientContextJson":""},{"keyOptionId":"8217","caption":"California","isDefault":true,"maskCriteriaOnly":false,"definition":"","keyProductQueryItem":"300051","comparisonOperation":0,"comparisonValue":"316","minimumVersion":"","maximumVersion":"","formOrder":0,"lowerBound":null,"enabled":true,"mask":"","largeMask":"","maskKey":"","keyItemMaskOfField":null,"keyOptionIdReplace":"","relatedOptionIds":[],"onlineServices":[],"childCriteriaItemList":[],"clientContextJson":""},{"keyOptionId":"8218","caption":"Guam","isDefault":true,"maskCriteriaOnly":false,"definition":"","keyProductQueryItem":"300051","comparisonOperation":0,"comparisonValue":"318","minimumVersion":"","maximumVersion":"","formOrder":0,"lowerBound":null,"enabled":true,"mask":"","largeMask":"","maskKey":"","keyItemMaskOfField":null,"keyOptionIdReplace":"","relatedOptionIds":[],"onlineServices":[],"childCriteriaItemList":[],"clientContextJson":""},{"keyOptionId":"8219","caption":"Hawaii","isDefault":true,"maskCriteriaOnly":false,"definition":"","keyProductQueryItem":"300051","comparisonOperation":0,"comparisonValue":"319","minimumVersion":"","maximumVersion":"","formOrder":0,"lowerBound":null,"enabled":true,"mask":"","largeMask":"","maskKey":"","keyItemMaskOfField":null,"keyOptionIdReplace":"","relatedOptionIds":[],"onlineServices":[],"childCriteriaItemList":[],"clientContextJson":""},{"keyOptionId":"8220","caption":"Idaho","isDefault":true,"maskCriteriaOnly":false,"definition":"","keyProductQueryItem":"300051","comparisonOperation":0,"comparisonValue":"320","minimumVersion":"","maximumVersion":"","formOrder":0,"lowerBound":n</t>
  </si>
  <si>
    <t>ull,"enabled":true,"mask":"","largeMask":"","maskKey":"","keyItemMaskOfField":null,"keyOptionIdReplace":"","relatedOptionIds":[],"onlineServices":[],"childCriteriaItemList":[],"clientContextJson":""},{"keyOptionId":"8221","caption":"Montana","isDefault":true,"maskCriteriaOnly":false,"definition":"","keyProductQueryItem":"300051","comparisonOperation":0,"comparisonValue":"323","minimumVersion":"","maximumVersion":"","formOrder":0,"lowerBound":null,"enabled":true,"mask":"","largeMask":"","maskKey":"","keyItemMaskOfField":null,"keyOptionIdReplace":"","relatedOptionIds":[],"onlineServices":[],"childCriteriaItemList":[],"clientContextJson":""},{"keyOptionId":"8222","caption":"Nevada","isDefault":true,"maskCriteriaOnly":false,"definition":"","keyProductQueryItem":"300051","comparisonOperation":0,"comparisonValue":"324","minimumVersion":"","maximumVersion":"","formOrder":0,"lowerBound":null,"enabled":true,"mask":"","largeMask":"","maskKey":"","keyItemMaskOfField":null,"keyOptionIdReplace":"","relatedOptionIds":[],"onlineServices":[],"childCriteriaItemList":[],"clientContextJson":""},{"keyOptionId":"8223","caption":"Northern Mariana Islands","isDefault":true,"maskCriteriaOnly":false,"definition":"","keyProductQueryItem":"300051","comparisonOperation":0,"comparisonValue":"322","minimumVersion":"","maximumVersion":"","formOrder":0,"lowerBound":null,"enabled":true,"mask":"","largeMask":"","maskKey":"","keyItemMaskOfField":null,"keyOptionIdReplace":"","relatedOptionIds":[],"onlineServices":[],"childCriteriaItemList":[],"clientContextJson":""},{"keyOptionId":"8224","caption":"Oregon","isDefault":true,"maskCriteriaOnly":false,"definition":"","keyProductQueryItem":"300051","comparisonOperation":0,"comparisonValue":"325","minimumVersion":"","maximumVersion":"","formOrder":0,"lowerBound":null,"enabled":true,"mask":"","largeMask":"","maskKey":"","keyItemMaskOfField":null,"keyOptionIdReplace":"","relatedOptionIds":[],"onlineServices":[],"childCriteriaItemList":[],"clientContextJson":""},{"keyOptionId":"8225","caption":"United States Minor Outlying Islands","isDefault":true,"maskCriteriaOnly":false,"definition":"","keyProductQueryItem":"300051","comparisonOperation":0,"comparisonValue":"327","minimumVersion":"","maximumVersion":"","formOrder":0,"lowerBound":null,"enabled":true,"mask":"","largeMask":"","maskKey":"","keyItemMaskOfField":null,"keyOptionIdReplace":"","relatedOptionIds":[],"onlineServices":[],"childCriteriaItemList":[],"clientContextJson":""},{"keyOptionId":"8226","caption":"Washington","isDefault":true,"maskCriteriaOnly":false,"definition":"","keyProductQueryItem":"300051","comparisonOperation":0,"comparisonValue":"328","minimumVersion":"","maximumVersion":"","formOrder":0,"lowerBound":null,"enabled":true,"mask":"","largeMask":"","maskKey":"","keyItemMaskOfField":null,"keyOptionIdReplace":"","relatedOptionIds":[],"onlineServices":[],"childCriteriaItemList":[],"clientContextJson":""},{"keyOptionId":"8227","caption":"Wyoming","isDefault":true,"maskCriteriaOnly":false,"definition":"","keyProductQueryItem":"300051","comparisonOperation":0,"comparisonValue":"329","minimumVersion":"","maximumVersion":"","formOrder":0,"lowerBound":null,"enabled":true,"mask":"","largeMask":"","maskKey":"","keyItemMaskOfField":null,"keyOptionIdReplace":"","relatedOptionIds":[],"onlineServices":[],"childCriteriaItemList":[],"clientContextJson":""}],"clientContextJson":""},{"keyOptionId":"8957","caption":"Unknown","isDefault":true,"maskCriteriaOnly":false,"definition":"","keyProductQueryItem":"300051","comparisonOperation":0,"comparisonValue":"33","minimumVersion":"","maximumVersion":"","formOrder":0,"lowerBound":null,"enabled":true,"mask":"","largeMask":"","maskKey":"","keyItemMaskOfField":null,"keyOptionIdReplace":"","relatedOptionIds":[],"onlineServices":[],"childCriteriaItemList":[],"clientContextJson":""}],"clientContextJson":""},{"keyOptionId":"8228","caption":"Canada","isDefault":true,"maskCriteriaOnly":false,"definition":"","keyProductQueryItem":"300051","comparisonOperation":0,"comparisonValue":"38","minimumVersion":"","maximumVersion":"","formOrder":0,"lowerBound":null,"enabled":true,"mask":"","largeMask":"","maskKey":"","keyItemMaskOfField":null,"keyOptionIdReplace":"","relatedOptionIds":[],"onlineServices":[],"childCriteriaItemList":[],"clientContextJson":""},{"keyOptionId":"8229","caption":"Bermuda","isDefault":true,"maskCriteriaOnly":false,"definition":"","keyProductQueryItem":"300051","comparisonOperation":0,"comparisonValue":"12","minimumVersion":"","maximumVersion":"","formOrder":0,"lowerBound":null,"enabled":true,"mask":"","largeMask":"","maskKey":"","keyItemMaskOfField":null,"keyOptionIdReplace":"","relatedOptionIds":[],"onlineServices":[],"childCriteriaItemList":[],"clientContextJson":""}],"clientContextJson":""},{"keyOptionId":"8230","caption":"Europe","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8231","caption":"Developed Europe","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8232","caption":"Andorra","isDefault":true,"maskCriteriaOnly":false,"definition":"","keyProductQueryItem":"300051","comparisonOperation":0,"comparisonValue":"170","minimumVersion":"","maximumVersion":"","formOrder":0,"lowerBound":null,"enabled":true,"mask":"","largeMask":"","maskKey":"","keyItemMaskOfField":null,"keyOptionIdReplace":"","relatedOptionIds":[],"onlineServices":[],"childCriteriaItemList":[],"clientContextJson":""},{"keyOptionId":"8233","caption":"Austria","isDefault":true,"maskCriteriaOnly":false,"definition":"","keyProductQueryItem":"300051","comparisonOperation":0,"comparisonValue":"206","minimumVersion":"","maximumVersion":"","formOrder":0,"lowerBound":null,"enabled":true,"mask":"","largeMask":"","maskKey":"","keyItemMaskOfField":null,"keyOptionIdReplace":"","relatedOptionIds":[],"onlineServices":[],"childCriteriaItemList":[],"clientContextJson":""},{"keyOptionId":"8234","caption":"Belgium","isDefault":true,"maskCriteriaOnly":false,"definition":"","keyProductQueryItem":"300051","comparisonOperation":0,"comparisonValue":"175","minimumVersion":"","maximumVersion":"","formOrder":0,"lowerBound":null,"enabled":true,"mask":"","largeMask":"","maskKey":"","keyItemMaskOfField":null,"keyOptionIdReplace":"","relatedOptionIds":[],"onlineServices":[],"childCriteriaItemList":[],"clientContextJson":""},{"keyOptionId":"8235","caption":"Cyprus","isDefault":true,"maskCriteriaOnly":false,"definition":"","keyProductQueryItem":"300051","comparisonOperation":0,"comparisonValue":"126","minimumVersion":"","maximumVersion":"","formOrder":0,"lowerBound":null,"enabled":true,"mask":"","largeMask":"","maskKey":"","keyItemMaskOfField":null,"keyOptionIdReplace":"","relatedOptionIds":[],"onlineServices":[],"childCriteriaItemList":[],"clientContextJson":""},{"keyOptionId":"8236","caption":"Czech Republic","isDefault":true,"maskCriteriaOnly":false,"definition":"","keyProductQueryItem":"300051","comparisonOperation":0,"comparisonValue":"207","minimumVersion":"","maximumVersion":"","formOrder":0,"lowerBound":null,"enabled":tru</t>
  </si>
  <si>
    <t>e,"mask":"","largeMask":"","maskKey":"","keyItemMaskOfField":null,"keyOptionIdReplace":"","relatedOptionIds":[],"onlineServices":[],"childCriteriaItemList":[],"clientContextJson":""},{"keyOptionId":"8237","caption":"Denmark","isDefault":true,"maskCriteriaOnly":false,"definition":"","keyProductQueryItem":"300051","comparisonOperation":0,"comparisonValue":"209","minimumVersion":"","maximumVersion":"","formOrder":0,"lowerBound":null,"enabled":true,"mask":"","largeMask":"","maskKey":"","keyItemMaskOfField":null,"keyOptionIdReplace":"","relatedOptionIds":[],"onlineServices":[],"childCriteriaItemList":[],"clientContextJson":""},{"keyOptionId":"8238","caption":"Finland","isDefault":true,"maskCriteriaOnly":false,"definition":"","keyProductQueryItem":"300051","comparisonOperation":0,"comparisonValue":"181","minimumVersion":"","maximumVersion":"","formOrder":0,"lowerBound":null,"enabled":true,"mask":"","largeMask":"","maskKey":"","keyItemMaskOfField":null,"keyOptionIdReplace":"","relatedOptionIds":[],"onlineServices":[],"childCriteriaItemList":[],"clientContextJson":""},{"keyOptionId":"8239","caption":"France","isDefault":true,"maskCriteriaOnly":false,"definition":"","keyProductQueryItem":"300051","comparisonOperation":0,"comparisonValue":"183","minimumVersion":"","maximumVersion":"","formOrder":0,"lowerBound":null,"enabled":true,"mask":"","largeMask":"","maskKey":"","keyItemMaskOfField":null,"keyOptionIdReplace":"","relatedOptionIds":[],"onlineServices":[],"childCriteriaItemList":[],"clientContextJson":""},{"keyOptionId":"8240","caption":"Germany","isDefault":true,"maskCriteriaOnly":false,"definition":"","keyProductQueryItem":"300051","comparisonOperation":0,"comparisonValue":"208","minimumVersion":"","maximumVersion":"","formOrder":0,"lowerBound":null,"enabled":true,"mask":"","largeMask":"","maskKey":"","keyItemMaskOfField":null,"keyOptionIdReplace":"","relatedOptionIds":[],"onlineServices":[],"childCriteriaItemList":[],"clientContextJson":""},{"keyOptionId":"8241","caption":"Gibraltar","isDefault":true,"maskCriteriaOnly":false,"definition":"","keyProductQueryItem":"300051","comparisonOperation":0,"comparisonValue":"185","minimumVersion":"","maximumVersion":"","formOrder":0,"lowerBound":null,"enabled":true,"mask":"","largeMask":"","maskKey":"","keyItemMaskOfField":null,"keyOptionIdReplace":"","relatedOptionIds":[],"onlineServices":[],"childCriteriaItemList":[],"clientContextJson":""},{"keyOptionId":"8242","caption":"Greece","isDefault":true,"maskCriteriaOnly":false,"definition":"","keyProductQueryItem":"300051","comparisonOperation":0,"comparisonValue":"186","minimumVersion":"","maximumVersion":"","formOrder":0,"lowerBound":null,"enabled":true,"mask":"","largeMask":"","maskKey":"","keyItemMaskOfField":null,"keyOptionIdReplace":"","relatedOptionIds":[],"onlineServices":[],"childCriteriaItemList":[],"clientContextJson":""},{"keyOptionId":"8243","caption":"Greenland","isDefault":true,"maskCriteriaOnly":false,"definition":"","keyProductQueryItem":"300051","comparisonOperation":0,"comparisonValue":"19","minimumVersion":"","maximumVersion":"","formOrder":0,"lowerBound":null,"enabled":true,"mask":"","largeMask":"","maskKey":"","keyItemMaskOfField":null,"keyOptionIdReplace":"","relatedOptionIds":[],"onlineServices":[],"childCriteriaItemList":[],"clientContextJson":""},{"keyOptionId":"8244","caption":"Iceland","isDefault":true,"maskCriteriaOnly":false,"definition":"","keyProductQueryItem":"300051","comparisonOperation":0,"comparisonValue":"189","minimumVersion":"","maximumVersion":"","formOrder":0,"lowerBound":null,"enabled":true,"mask":"","largeMask":"","maskKey":"","keyItemMaskOfField":null,"keyOptionIdReplace":"","relatedOptionIds":[],"onlineServices":[],"childCriteriaItemList":[],"clientContextJson":""},{"keyOptionId":"8245","caption":"Ireland","isDefault":true,"maskCriteriaOnly":false,"definition":"","keyProductQueryItem":"300051","comparisonOperation":0,"comparisonValue":"212","minimumVersion":"","maximumVersion":"","formOrder":0,"lowerBound":null,"enabled":true,"mask":"","largeMask":"","maskKey":"","keyItemMaskOfField":null,"keyOptionIdReplace":"","relatedOptionIds":[],"onlineServices":[],"childCriteriaItemList":[],"clientContextJson":""},{"keyOptionId":"8246","caption":"Italy","isDefault":true,"maskCriteriaOnly":false,"definition":"","keyProductQueryItem":"300051","comparisonOperation":0,"comparisonValue":"190","minimumVersion":"","maximumVersion":"","formOrder":0,"lowerBound":null,"enabled":true,"mask":"","largeMask":"","maskKey":"","keyItemMaskOfField":null,"keyOptionIdReplace":"","relatedOptionIds":[],"onlineServices":[],"childCriteriaItemList":[],"clientContextJson":""},{"keyOptionId":"8247","caption":"Liechtenstein","isDefault":true,"maskCriteriaOnly":false,"definition":"","keyProductQueryItem":"300051","comparisonOperation":0,"comparisonValue":"213","minimumVersion":"","maximumVersion":"","formOrder":0,"lowerBound":null,"enabled":true,"mask":"","largeMask":"","maskKey":"","keyItemMaskOfField":null,"keyOptionIdReplace":"","relatedOptionIds":[],"onlineServices":[],"childCriteriaItemList":[],"clientContextJson":""},{"keyOptionId":"8248","caption":"Luxembourg","isDefault":true,"maskCriteriaOnly":false,"definition":"","keyProductQueryItem":"300051","comparisonOperation":0,"comparisonValue":"214","minimumVersion":"","maximumVersion":"","formOrder":0,"lowerBound":null,"enabled":true,"mask":"","largeMask":"","maskKey":"","keyItemMaskOfField":null,"keyOptionIdReplace":"","relatedOptionIds":[],"onlineServices":[],"childCriteriaItemList":[],"clientContextJson":""},{"keyOptionId":"8249","caption":"Malta","isDefault":true,"maskCriteriaOnly":false,"definition":"","keyProductQueryItem":"300051","comparisonOperation":0,"comparisonValue":"195","minimumVersion":"","maximumVersion":"","formOrder":0,"lowerBound":null,"enabled":true,"mask":"","largeMask":"","maskKey":"","keyItemMaskOfField":null,"keyOptionIdReplace":"","relatedOptionIds":[],"onlineServices":[],"childCriteriaItemList":[],"clientContextJson":""},{"keyOptionId":"8250","caption":"Monaco","isDefault":true,"maskCriteriaOnly":false,"definition":"","keyProductQueryItem":"300051","comparisonOperation":0,"comparisonValue":"215","minimumVersion":"","maximumVersion":"","formOrder":0,"lowerBound":null,"enabled":true,"mask":"","largeMask":"","maskKey":"","keyItemMaskOfField":null,"keyOptionIdReplace":"","relatedOptionIds":[],"onlineServices":[],"childCriteriaItemList":[],"clientContextJson":""},{"keyOptionId":"8251","caption":"Netherlands","isDefault":true,"maskCriteriaOnly":false,"definition":"","keyProductQueryItem":"300051","comparisonOperation":0,"comparisonValue":"216","minimumVersion":"","maximumVersion":"","formOrder":0,"lowerBound":null,"enabled":true,"mask":"","largeMask":"","maskKey":"","keyItemMaskOfField":null,"keyOptionIdReplace":"","relatedOptionIds":[],"onlineServices":[],"childCriteriaItemList":[],"clientContextJson":""},{"keyOptionId":"8252","caption":"Norway","isDefault":true,"maskCriteriaOnly":false,"definition":"","keyProductQueryItem":"300051","comparisonOperation":0,"comparisonValue":"196","minimumVersion":"","maximumVersion":"","formOrder":0,"lowerBound":null,"enabled":true,"mask":"","largeMask":"","maskKey":"","keyItemMaskOfField":null,"keyOptionIdReplace":"","relatedOptionIds":[],"onlineServices":[],"childCriteriaItemList":[],"clientContextJson":""},{"keyOptionId":"8253","caption":"Portugal","isDefault":true,"maskCriteriaOnly":false,"definition":"","keyProductQueryItem":"300051","comparisonOperation":0,"comparisonValue":"218","minimumVersion":"","maximumVersion":"","formOrder":0,"lowerBound":null,"enabled":true,"mask":"","largeMask":"","maskKey":"","keyItemMaskOfField":null,"keyOption</t>
  </si>
  <si>
    <t>IdReplace":"","relatedOptionIds":[],"onlineServices":[],"childCriteriaItemList":[],"clientContextJson":""},{"keyOptionId":"8254","caption":"San Marino","isDefault":true,"maskCriteriaOnly":false,"definition":"","keyProductQueryItem":"300051","comparisonOperation":0,"comparisonValue":"202","minimumVersion":"","maximumVersion":"","formOrder":0,"lowerBound":null,"enabled":true,"mask":"","largeMask":"","maskKey":"","keyItemMaskOfField":null,"keyOptionIdReplace":"","relatedOptionIds":[],"onlineServices":[],"childCriteriaItemList":[],"clientContextJson":""},{"keyOptionId":"8255","caption":"Slovakia","isDefault":true,"maskCriteriaOnly":false,"definition":"","keyProductQueryItem":"300051","comparisonOperation":0,"comparisonValue":"201","minimumVersion":"","maximumVersion":"","formOrder":0,"lowerBound":null,"enabled":true,"mask":"","largeMask":"","maskKey":"","keyItemMaskOfField":null,"keyOptionIdReplace":"","relatedOptionIds":[],"onlineServices":[],"childCriteriaItemList":[],"clientContextJson":""},{"keyOptionId":"8256","caption":"Slovenia","isDefault":true,"maskCriteriaOnly":false,"definition":"","keyProductQueryItem":"300051","comparisonOperation":0,"comparisonValue":"199","minimumVersion":"","maximumVersion":"","formOrder":0,"lowerBound":null,"enabled":true,"mask":"","largeMask":"","maskKey":"","keyItemMaskOfField":null,"keyOptionIdReplace":"","relatedOptionIds":[],"onlineServices":[],"childCriteriaItemList":[],"clientContextJson":""},{"keyOptionId":"8257","caption":"Spain","isDefault":true,"maskCriteriaOnly":false,"definition":"","keyProductQueryItem":"300051","comparisonOperation":0,"comparisonValue":"210","minimumVersion":"","maximumVersion":"","formOrder":0,"lowerBound":null,"enabled":true,"mask":"","largeMask":"","maskKey":"","keyItemMaskOfField":null,"keyOptionIdReplace":"","relatedOptionIds":[],"onlineServices":[],"childCriteriaItemList":[],"clientContextJson":""},{"keyOptionId":"8258","caption":"Sweden","isDefault":true,"maskCriteriaOnly":false,"definition":"","keyProductQueryItem":"300051","comparisonOperation":0,"comparisonValue":"219","minimumVersion":"","maximumVersion":"","formOrder":0,"lowerBound":null,"enabled":true,"mask":"","largeMask":"","maskKey":"","keyItemMaskOfField":null,"keyOptionIdReplace":"","relatedOptionIds":[],"onlineServices":[],"childCriteriaItemList":[],"clientContextJson":""},{"keyOptionId":"8259","caption":"Switzerland","isDefault":true,"maskCriteriaOnly":false,"definition":"","keyProductQueryItem":"300051","comparisonOperation":0,"comparisonValue":"178","minimumVersion":"","maximumVersion":"","formOrder":0,"lowerBound":null,"enabled":true,"mask":"","largeMask":"","maskKey":"","keyItemMaskOfField":null,"keyOptionIdReplace":"","relatedOptionIds":[],"onlineServices":[],"childCriteriaItemList":[],"clientContextJson":""},{"keyOptionId":"8260","caption":"United Kingdom","isDefault":true,"maskCriteriaOnly":false,"definition":"","keyProductQueryItem":"300051","comparisonOperation":0,"comparisonValue":"211","minimumVersion":"","maximumVersion":"","formOrder":0,"lowerBound":null,"enabled":true,"mask":"","largeMask":"","maskKey":"","keyItemMaskOfField":null,"keyOptionIdReplace":"","relatedOptionIds":[],"onlineServices":[],"childCriteriaItemList":[],"clientContextJson":""},{"keyOptionId":"8261","caption":"Vatican City","isDefault":true,"maskCriteriaOnly":false,"definition":"","keyProductQueryItem":"300051","comparisonOperation":0,"comparisonValue":"205","minimumVersion":"","maximumVersion":"","formOrder":0,"lowerBound":null,"enabled":true,"mask":"","largeMask":"","maskKey":"","keyItemMaskOfField":null,"keyOptionIdReplace":"","relatedOptionIds":[],"onlineServices":[],"childCriteriaItemList":[],"clientContextJson":""}],"clientContextJson":""},{"keyOptionId":"8262","caption":"Emerging Europe","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8263","caption":"Åland Islands","isDefault":true,"maskCriteriaOnly":false,"definition":"","keyProductQueryItem":"300051","comparisonOperation":0,"comparisonValue":"172","minimumVersion":"","maximumVersion":"","formOrder":0,"lowerBound":null,"enabled":true,"mask":"","largeMask":"","maskKey":"","keyItemMaskOfField":null,"keyOptionIdReplace":"","relatedOptionIds":[],"onlineServices":[],"childCriteriaItemList":[],"clientContextJson":""},{"keyOptionId":"8264","caption":"Albania","isDefault":true,"maskCriteriaOnly":false,"definition":"","keyProductQueryItem":"300051","comparisonOperation":0,"comparisonValue":"171","minimumVersion":"","maximumVersion":"","formOrder":0,"lowerBound":null,"enabled":true,"mask":"","largeMask":"","maskKey":"","keyItemMaskOfField":null,"keyOptionIdReplace":"","relatedOptionIds":[],"onlineServices":[],"childCriteriaItemList":[],"clientContextJson":""},{"keyOptionId":"8265","caption":"Armenia","isDefault":true,"maskCriteriaOnly":false,"definition":"","keyProductQueryItem":"300051","comparisonOperation":0,"comparisonValue":"120","minimumVersion":"","maximumVersion":"","formOrder":0,"lowerBound":null,"enabled":true,"mask":"","largeMask":"","maskKey":"","keyItemMaskOfField":null,"keyOptionIdReplace":"","relatedOptionIds":[],"onlineServices":[],"childCriteriaItemList":[],"clientContextJson":""},{"keyOptionId":"8266","caption":"Azerbaijan","isDefault":true,"maskCriteriaOnly":false,"definition":"","keyProductQueryItem":"300051","comparisonOperation":0,"comparisonValue":"173","minimumVersion":"","maximumVersion":"","formOrder":0,"lowerBound":null,"enabled":true,"mask":"","largeMask":"","maskKey":"","keyItemMaskOfField":null,"keyOptionIdReplace":"","relatedOptionIds":[],"onlineServices":[],"childCriteriaItemList":[],"clientContextJson":""},{"keyOptionId":"8267","caption":"Belarus","isDefault":true,"maskCriteriaOnly":false,"definition":"","keyProductQueryItem":"300051","comparisonOperation":0,"comparisonValue":"177","minimumVersion":"","maximumVersion":"","formOrder":0,"lowerBound":null,"enabled":true,"mask":"","largeMask":"","maskKey":"","keyItemMaskOfField":null,"keyOptionIdReplace":"","relatedOptionIds":[],"onlineServices":[],"childCriteriaItemList":[],"clientContextJson":""},{"keyOptionId":"8268","caption":"Bosnia &amp; Herzegovina","isDefault":true,"maskCriteriaOnly":false,"definition":"","keyProductQueryItem":"300051","comparisonOperation":0,"comparisonValue":"174","minimumVersion":"","maximumVersion":"","formOrder":0,"lowerBound":null,"enabled":true,"mask":"","largeMask":"","maskKey":"","keyItemMaskOfField":null,"keyOptionIdReplace":"","relatedOptionIds":[],"onlineServices":[],"childCriteriaItemList":[],"clientContextJson":""},{"keyOptionId":"8269","caption":"Bulgaria","isDefault":true,"maskCriteriaOnly":false,"definition":"","keyProductQueryItem":"300051","comparisonOperation":0,"comparisonValue":"176","minimumVersion":"","maximumVersion":"","formOrder":0,"lowerBound":null,"enabled":true,"mask":"","largeMask":"","maskKey":"","keyItemMaskOfField":null,"keyOptionIdReplace":"","relatedOptionIds":[],"onlineServices":[],"childCriteriaItemList":[],"clientContextJson":""},{"keyOptionId":"8270","caption":"Croatia","isDefault":true,"maskCriteriaOnly":false,"definition":"","keyProductQueryItem":"300051","comparisonOperation":0,"comparisonValue":"187","minimumVersion":"","maximumVersion":"","formOrder":0,"lowerBound":null,"enabled":true,"mask":"","largeMask":"","maskKey":"","keyItemMaskOfField":null,"keyOptionIdReplace":"","relatedOptionIds":[],"online</t>
  </si>
  <si>
    <t>Services":[],"childCriteriaItemList":[],"clientContextJson":""},{"keyOptionId":"8271","caption":"Estonia","isDefault":true,"maskCriteriaOnly":false,"definition":"","keyProductQueryItem":"300051","comparisonOperation":0,"comparisonValue":"180","minimumVersion":"","maximumVersion":"","formOrder":0,"lowerBound":null,"enabled":true,"mask":"","largeMask":"","maskKey":"","keyItemMaskOfField":null,"keyOptionIdReplace":"","relatedOptionIds":[],"onlineServices":[],"childCriteriaItemList":[],"clientContextJson":""},{"keyOptionId":"8272","caption":"Faroe Islands","isDefault":true,"maskCriteriaOnly":false,"definition":"","keyProductQueryItem":"300051","comparisonOperation":0,"comparisonValue":"182","minimumVersion":"","maximumVersion":"","formOrder":0,"lowerBound":null,"enabled":true,"mask":"","largeMask":"","maskKey":"","keyItemMaskOfField":null,"keyOptionIdReplace":"","relatedOptionIds":[],"onlineServices":[],"childCriteriaItemList":[],"clientContextJson":""},{"keyOptionId":"8273","caption":"Georgia","isDefault":true,"maskCriteriaOnly":false,"definition":"","keyProductQueryItem":"300051","comparisonOperation":0,"comparisonValue":"184","minimumVersion":"","maximumVersion":"","formOrder":0,"lowerBound":null,"enabled":true,"mask":"","largeMask":"","maskKey":"","keyItemMaskOfField":null,"keyOptionIdReplace":"","relatedOptionIds":[],"onlineServices":[],"childCriteriaItemList":[],"clientContextJson":""},{"keyOptionId":"8274","caption":"Hungary","isDefault":true,"maskCriteriaOnly":false,"definition":"","keyProductQueryItem":"300051","comparisonOperation":0,"comparisonValue":"188","minimumVersion":"","maximumVersion":"","formOrder":0,"lowerBound":null,"enabled":true,"mask":"","largeMask":"","maskKey":"","keyItemMaskOfField":null,"keyOptionIdReplace":"","relatedOptionIds":[],"onlineServices":[],"childCriteriaItemList":[],"clientContextJson":""},{"keyOptionId":"8275","caption":"Kazakhstan","isDefault":true,"maskCriteriaOnly":false,"definition":"","keyProductQueryItem":"300051","comparisonOperation":0,"comparisonValue":"138","minimumVersion":"","maximumVersion":"","formOrder":0,"lowerBound":null,"enabled":true,"mask":"","largeMask":"","maskKey":"","keyItemMaskOfField":null,"keyOptionIdReplace":"","relatedOptionIds":[],"onlineServices":[],"childCriteriaItemList":[],"clientContextJson":""},{"keyOptionId":"8276","caption":"Kyrgyzstan","isDefault":true,"maskCriteriaOnly":false,"definition":"","keyProductQueryItem":"300051","comparisonOperation":0,"comparisonValue":"134","minimumVersion":"","maximumVersion":"","formOrder":0,"lowerBound":null,"enabled":true,"mask":"","largeMask":"","maskKey":"","keyItemMaskOfField":null,"keyOptionIdReplace":"","relatedOptionIds":[],"onlineServices":[],"childCriteriaItemList":[],"clientContextJson":""},{"keyOptionId":"8277","caption":"Latvia","isDefault":true,"maskCriteriaOnly":false,"definition":"","keyProductQueryItem":"300051","comparisonOperation":0,"comparisonValue":"192","minimumVersion":"","maximumVersion":"","formOrder":0,"lowerBound":null,"enabled":true,"mask":"","largeMask":"","maskKey":"","keyItemMaskOfField":null,"keyOptionIdReplace":"","relatedOptionIds":[],"onlineServices":[],"childCriteriaItemList":[],"clientContextJson":""},{"keyOptionId":"8278","caption":"Lithuania","isDefault":true,"maskCriteriaOnly":false,"definition":"","keyProductQueryItem":"300051","comparisonOperation":0,"comparisonValue":"191","minimumVersion":"","maximumVersion":"","formOrder":0,"lowerBound":null,"enabled":true,"mask":"","largeMask":"","maskKey":"","keyItemMaskOfField":null,"keyOptionIdReplace":"","relatedOptionIds":[],"onlineServices":[],"childCriteriaItemList":[],"clientContextJson":""},{"keyOptionId":"8279","caption":"Macedonia","isDefault":true,"maskCriteriaOnly":false,"definition":"","keyProductQueryItem":"300051","comparisonOperation":0,"comparisonValue":"194","minimumVersion":"","maximumVersion":"","formOrder":0,"lowerBound":null,"enabled":true,"mask":"","largeMask":"","maskKey":"","keyItemMaskOfField":null,"keyOptionIdReplace":"","relatedOptionIds":[],"onlineServices":[],"childCriteriaItemList":[],"clientContextJson":""},{"keyOptionId":"8280","caption":"Moldova","isDefault":true,"maskCriteriaOnly":false,"definition":"","keyProductQueryItem":"300051","comparisonOperation":0,"comparisonValue":"193","minimumVersion":"","maximumVersion":"","formOrder":0,"lowerBound":null,"enabled":true,"mask":"","largeMask":"","maskKey":"","keyItemMaskOfField":null,"keyOptionIdReplace":"","relatedOptionIds":[],"onlineServices":[],"childCriteriaItemList":[],"clientContextJson":""},{"keyOptionId":"8281","caption":"Montenegro","isDefault":true,"maskCriteriaOnly":false,"definition":"","keyProductQueryItem":"300051","comparisonOperation":0,"comparisonValue":"997","minimumVersion":"","maximumVersion":"","formOrder":0,"lowerBound":null,"enabled":true,"mask":"","largeMask":"","maskKey":"","keyItemMaskOfField":null,"keyOptionIdReplace":"","relatedOptionIds":[],"onlineServices":[],"childCriteriaItemList":[],"clientContextJson":""},{"keyOptionId":"8282","caption":"Poland","isDefault":true,"maskCriteriaOnly":false,"definition":"","keyProductQueryItem":"300051","comparisonOperation":0,"comparisonValue":"217","minimumVersion":"","maximumVersion":"","formOrder":0,"lowerBound":null,"enabled":true,"mask":"","largeMask":"","maskKey":"","keyItemMaskOfField":null,"keyOptionIdReplace":"","relatedOptionIds":[],"onlineServices":[],"childCriteriaItemList":[],"clientContextJson":""},{"keyOptionId":"8283","caption":"Romania","isDefault":true,"maskCriteriaOnly":false,"definition":"","keyProductQueryItem":"300051","comparisonOperation":0,"comparisonValue":"197","minimumVersion":"","maximumVersion":"","formOrder":0,"lowerBound":null,"enabled":true,"mask":"","largeMask":"","maskKey":"","keyItemMaskOfField":null,"keyOptionIdReplace":"","relatedOptionIds":[],"onlineServices":[],"childCriteriaItemList":[],"clientContextJson":""},{"keyOptionId":"8284","caption":"Russia","isDefault":true,"maskCriteriaOnly":false,"definition":"","keyProductQueryItem":"300051","comparisonOperation":0,"comparisonValue":"198","minimumVersion":"","maximumVersion":"","formOrder":0,"lowerBound":null,"enabled":true,"mask":"","largeMask":"","maskKey":"","keyItemMaskOfField":null,"keyOptionIdReplace":"","relatedOptionIds":[],"onlineServices":[],"childCriteriaItemList":[],"clientContextJson":""},{"keyOptionId":"8285","caption":"Serbia","isDefault":true,"maskCriteriaOnly":false,"definition":"","keyProductQueryItem":"300051","comparisonOperation":0,"comparisonValue":"179","minimumVersion":"","maximumVersion":"","formOrder":0,"lowerBound":null,"enabled":true,"mask":"","largeMask":"","maskKey":"","keyItemMaskOfField":null,"keyOptionIdReplace":"","relatedOptionIds":[],"onlineServices":[],"childCriteriaItemList":[],"clientContextJson":""},{"keyOptionId":"8286","caption":"Svalbard","isDefault":true,"maskCriteriaOnly":false,"definition":"","keyProductQueryItem":"300051","comparisonOperation":0,"comparisonValue":"200","minimumVersion":"","maximumVersion":"","formOrder":0,"lowerBound":null,"enabled":true,"mask":"","largeMask":"","maskKey":"","keyItemMaskOfField":null,"keyOptionIdReplace":"","relatedOptionIds":[],"onlineServices":[],"childCriteriaItemList":[],"clientContextJson":""},{"keyOptionId":"8287","caption":"Tajikistan","isDefault":true,"maskCriteriaOnly":false,"definition":"","keyProductQueryItem":"300051","comparisonOperation":0,"comparisonValue":"155","minimumVersion":"","maximumVersion":"","formOrder":0,"lowerBound":null,"enabled":true,"mask":"","largeMask":"","maskKey":"","keyItemMaskOfField":null,"keyOptionIdReplace":"","relatedOptionIds":[],"onlineServices":[],"childCriteriaItemList":[],"clientContextJson":""},{"</t>
  </si>
  <si>
    <t>keyOptionId":"8288","caption":"Turkey","isDefault":true,"maskCriteriaOnly":false,"definition":"","keyProductQueryItem":"300051","comparisonOperation":0,"comparisonValue":"203","minimumVersion":"","maximumVersion":"","formOrder":0,"lowerBound":null,"enabled":true,"mask":"","largeMask":"","maskKey":"","keyItemMaskOfField":null,"keyOptionIdReplace":"","relatedOptionIds":[],"onlineServices":[],"childCriteriaItemList":[],"clientContextJson":""},{"keyOptionId":"8289","caption":"Turkmenistan","isDefault":true,"maskCriteriaOnly":false,"definition":"","keyProductQueryItem":"300051","comparisonOperation":0,"comparisonValue":"156","minimumVersion":"","maximumVersion":"","formOrder":0,"lowerBound":null,"enabled":true,"mask":"","largeMask":"","maskKey":"","keyItemMaskOfField":null,"keyOptionIdReplace":"","relatedOptionIds":[],"onlineServices":[],"childCriteriaItemList":[],"clientContextJson":""},{"keyOptionId":"8290","caption":"Ukraine","isDefault":true,"maskCriteriaOnly":false,"definition":"","keyProductQueryItem":"300051","comparisonOperation":0,"comparisonValue":"204","minimumVersion":"","maximumVersion":"","formOrder":0,"lowerBound":null,"enabled":true,"mask":"","largeMask":"","maskKey":"","keyItemMaskOfField":null,"keyOptionIdReplace":"","relatedOptionIds":[],"onlineServices":[],"childCriteriaItemList":[],"clientContextJson":""},{"keyOptionId":"8291","caption":"Uzbekistan","isDefault":true,"maskCriteriaOnly":false,"definition":"","keyProductQueryItem":"300051","comparisonOperation":0,"comparisonValue":"158","minimumVersion":"","maximumVersion":"","formOrder":0,"lowerBound":null,"enabled":true,"mask":"","largeMask":"","maskKey":"","keyItemMaskOfField":null,"keyOptionIdReplace":"","relatedOptionIds":[],"onlineServices":[],"childCriteriaItemList":[],"clientContextJson":""}],"clientContextJson":""}],"clientContextJson":""},{"keyOptionId":"8292","caption":"Asia-Pacific","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8293","caption":"Developed Asia-Pacific","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8294","caption":"Australia","isDefault":true,"maskCriteriaOnly":false,"definition":"","keyProductQueryItem":"300051","comparisonOperation":0,"comparisonValue":"239","minimumVersion":"","maximumVersion":"","formOrder":0,"lowerBound":null,"enabled":true,"mask":"","largeMask":"","maskKey":"","keyItemMaskOfField":null,"keyOptionIdReplace":"","relatedOptionIds":[],"onlineServices":[],"childCriteriaItemList":[],"clientContextJson":""},{"keyOptionId":"8295","caption":"Hong Kong","isDefault":true,"maskCriteriaOnly":false,"definition":"","keyProductQueryItem":"300051","comparisonOperation":0,"comparisonValue":"127","minimumVersion":"","maximumVersion":"","formOrder":0,"lowerBound":null,"enabled":true,"mask":"","largeMask":"","maskKey":"","keyItemMaskOfField":null,"keyOptionIdReplace":"","relatedOptionIds":[],"onlineServices":[],"childCriteriaItemList":[],"clientContextJson":""},{"keyOptionId":"8296","caption":"Japan","isDefault":true,"maskCriteriaOnly":false,"definition":"","keyProductQueryItem":"300051","comparisonOperation":0,"comparisonValue":"133","minimumVersion":"","maximumVersion":"","formOrder":0,"lowerBound":null,"enabled":true,"mask":"","largeMask":"","maskKey":"","keyItemMaskOfField":null,"keyOptionIdReplace":"","relatedOptionIds":[],"onlineServices":[],"childCriteriaItemList":[],"clientContextJson":""},{"keyOptionId":"8297","caption":"New Zealand","isDefault":true,"maskCriteriaOnly":false,"definition":"","keyProductQueryItem":"300051","comparisonOperation":0,"comparisonValue":"228","minimumVersion":"","maximumVersion":"","formOrder":0,"lowerBound":null,"enabled":true,"mask":"","largeMask":"","maskKey":"","keyItemMaskOfField":null,"keyOptionIdReplace":"","relatedOptionIds":[],"onlineServices":[],"childCriteriaItemList":[],"clientContextJson":""},{"keyOptionId":"8298","caption":"Singapore","isDefault":true,"maskCriteriaOnly":false,"definition":"","keyProductQueryItem":"300051","comparisonOperation":0,"comparisonValue":"152","minimumVersion":"","maximumVersion":"","formOrder":0,"lowerBound":null,"enabled":true,"mask":"","largeMask":"","maskKey":"","keyItemMaskOfField":null,"keyOptionIdReplace":"","relatedOptionIds":[],"onlineServices":[],"childCriteriaItemList":[],"clientContextJson":""},{"keyOptionId":"8299","caption":"South Korea","isDefault":true,"maskCriteriaOnly":false,"definition":"","keyProductQueryItem":"300051","comparisonOperation":0,"comparisonValue":"136","minimumVersion":"","maximumVersion":"","formOrder":0,"lowerBound":null,"enabled":true,"mask":"","largeMask":"","maskKey":"","keyItemMaskOfField":null,"keyOptionIdReplace":"","relatedOptionIds":[],"onlineServices":[],"childCriteriaItemList":[],"clientContextJson":""},{"keyOptionId":"8300","caption":"Taiwan","isDefault":true,"maskCriteriaOnly":false,"definition":"","keyProductQueryItem":"300051","comparisonOperation":0,"comparisonValue":"169","minimumVersion":"","maximumVersion":"","formOrder":0,"lowerBound":null,"enabled":true,"mask":"","largeMask":"","maskKey":"","keyItemMaskOfField":null,"keyOptionIdReplace":"","relatedOptionIds":[],"onlineServices":[],"childCriteriaItemList":[],"clientContextJson":""}],"clientContextJson":""},{"keyOptionId":"8301","caption":"Emerging Asia-Pacific","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8302","caption":"Afghanistan","isDefault":true,"maskCriteriaOnly":false,"definition":"","keyProductQueryItem":"300051","comparisonOperation":0,"comparisonValue":"161","minimumVersion":"","maximumVersion":"","formOrder":0,"lowerBound":null,"enabled":true,"mask":"","largeMask":"","maskKey":"","keyItemMaskOfField":null,"keyOptionIdReplace":"","relatedOptionIds":[],"onlineServices":[],"childCriteriaItemList":[],"clientContextJson":""},{"keyOptionId":"8303","caption":"Bangladesh","isDefault":true,"maskCriteriaOnly":false,"definition":"","keyProductQueryItem":"300051","comparisonOperation":0,"comparisonValue":"121","minimumVersion":"","maximumVersion":"","formOrder":0,"lowerBound":null,"enabled":true,"mask":"","largeMask":"","maskKey":"","keyItemMaskOfField":null,"keyOptionIdReplace":"","relatedOptionIds":[],"onlineServices":[],"childCriteriaItemList":[],"clientContextJson":""},{"keyOptionId":"8304","caption":"Bhutan","isDefault":true,"maskCriteriaOnly":false,"definition":"","keyProductQueryItem":"300051","comparisonOperation":0,"comparisonValue":"123","minimumVersion":"","maximumVersion":"","formOrder":0,"lowerBound":null,"enabled":true,"mask":"","largeMask":"","maskKey":"","keyItemMaskOfField":null,"keyOptionIdReplace":"","relatedOptionIds":[],"onlineServices":[],"childCriteriaItemList":[],"clientContextJson":""},{"keyOptionId":"8305","caption":"Brunei","isDefaul</t>
  </si>
  <si>
    <t>t":true,"maskCriteriaOnly":false,"definition":"","keyProductQueryItem":"300051","comparisonOperation":0,"comparisonValue":"122","minimumVersion":"","maximumVersion":"","formOrder":0,"lowerBound":null,"enabled":true,"mask":"","largeMask":"","maskKey":"","keyItemMaskOfField":null,"keyOptionIdReplace":"","relatedOptionIds":[],"onlineServices":[],"childCriteriaItemList":[],"clientContextJson":""},{"keyOptionId":"8306","caption":"Cambodia","isDefault":true,"maskCriteriaOnly":false,"definition":"","keyProductQueryItem":"300051","comparisonOperation":0,"comparisonValue":"135","minimumVersion":"","maximumVersion":"","formOrder":0,"lowerBound":null,"enabled":true,"mask":"","largeMask":"","maskKey":"","keyItemMaskOfField":null,"keyOptionIdReplace":"","relatedOptionIds":[],"onlineServices":[],"childCriteriaItemList":[],"clientContextJson":""},{"keyOptionId":"8307","caption":"China","isDefault":true,"maskCriteriaOnly":false,"definition":"","keyProductQueryItem":"300051","comparisonOperation":0,"comparisonValue":"163","minimumVersion":"","maximumVersion":"","formOrder":0,"lowerBound":null,"enabled":true,"mask":"","largeMask":"","maskKey":"","keyItemMaskOfField":null,"keyOptionIdReplace":"","relatedOptionIds":[],"onlineServices":[],"childCriteriaItemList":[],"clientContextJson":""},{"keyOptionId":"8308","caption":"Cook Islands","isDefault":true,"maskCriteriaOnly":false,"definition":"","keyProductQueryItem":"300051","comparisonOperation":0,"comparisonValue":"220","minimumVersion":"","maximumVersion":"","formOrder":0,"lowerBound":null,"enabled":true,"mask":"","largeMask":"","maskKey":"","keyItemMaskOfField":null,"keyOptionIdReplace":"","relatedOptionIds":[],"onlineServices":[],"childCriteriaItemList":[],"clientContextJson":""},{"keyOptionId":"8309","caption":"Fiji","isDefault":true,"maskCriteriaOnly":false,"definition":"","keyProductQueryItem":"300051","comparisonOperation":0,"comparisonValue":"221","minimumVersion":"","maximumVersion":"","formOrder":0,"lowerBound":null,"enabled":true,"mask":"","largeMask":"","maskKey":"","keyItemMaskOfField":null,"keyOptionIdReplace":"","relatedOptionIds":[],"onlineServices":[],"childCriteriaItemList":[],"clientContextJson":""},{"keyOptionId":"8310","caption":"French Polynesia","isDefault":true,"maskCriteriaOnly":false,"definition":"","keyProductQueryItem":"300051","comparisonOperation":0,"comparisonValue":"229","minimumVersion":"","maximumVersion":"","formOrder":0,"lowerBound":null,"enabled":true,"mask":"","largeMask":"","maskKey":"","keyItemMaskOfField":null,"keyOptionIdReplace":"","relatedOptionIds":[],"onlineServices":[],"childCriteriaItemList":[],"clientContextJson":""},{"keyOptionId":"8311","caption":"India","isDefault":true,"maskCriteriaOnly":false,"definition":"","keyProductQueryItem":"300051","comparisonOperation":0,"comparisonValue":"128","minimumVersion":"","maximumVersion":"","formOrder":0,"lowerBound":null,"enabled":true,"mask":"","largeMask":"","maskKey":"","keyItemMaskOfField":null,"keyOptionIdReplace":"","relatedOptionIds":[],"onlineServices":[],"childCriteriaItemList":[],"clientContextJson":""},{"keyOptionId":"8312","caption":"Indonesia","isDefault":true,"maskCriteriaOnly":false,"definition":"","keyProductQueryItem":"300051","comparisonOperation":0,"comparisonValue":"164","minimumVersion":"","maximumVersion":"","formOrder":0,"lowerBound":null,"enabled":true,"mask":"","largeMask":"","maskKey":"","keyItemMaskOfField":null,"keyOptionIdReplace":"","relatedOptionIds":[],"onlineServices":[],"childCriteriaItemList":[],"clientContextJson":""},{"keyOptionId":"8313","caption":"Kiribati","isDefault":true,"maskCriteriaOnly":false,"definition":"","keyProductQueryItem":"300051","comparisonOperation":0,"comparisonValue":"222","minimumVersion":"","maximumVersion":"","formOrder":0,"lowerBound":null,"enabled":true,"mask":"","largeMask":"","maskKey":"","keyItemMaskOfField":null,"keyOptionIdReplace":"","relatedOptionIds":[],"onlineServices":[],"childCriteriaItemList":[],"clientContextJson":""},{"keyOptionId":"8314","caption":"Laos","isDefault":true,"maskCriteriaOnly":false,"definition":"","keyProductQueryItem":"300051","comparisonOperation":0,"comparisonValue":"139","minimumVersion":"","maximumVersion":"","formOrder":0,"lowerBound":null,"enabled":true,"mask":"","largeMask":"","maskKey":"","keyItemMaskOfField":null,"keyOptionIdReplace":"","relatedOptionIds":[],"onlineServices":[],"childCriteriaItemList":[],"clientContextJson":""},{"keyOptionId":"8315","caption":"Macau","isDefault":true,"maskCriteriaOnly":false,"definition":"","keyProductQueryItem":"300051","comparisonOperation":0,"comparisonValue":"144","minimumVersion":"","maximumVersion":"","formOrder":0,"lowerBound":null,"enabled":true,"mask":"","largeMask":"","maskKey":"","keyItemMaskOfField":null,"keyOptionIdReplace":"","relatedOptionIds":[],"onlineServices":[],"childCriteriaItemList":[],"clientContextJson":""},{"keyOptionId":"8316","caption":"Malaysia","isDefault":true,"maskCriteriaOnly":false,"definition":"","keyProductQueryItem":"300051","comparisonOperation":0,"comparisonValue":"146","minimumVersion":"","maximumVersion":"","formOrder":0,"lowerBound":null,"enabled":true,"mask":"","largeMask":"","maskKey":"","keyItemMaskOfField":null,"keyOptionIdReplace":"","relatedOptionIds":[],"onlineServices":[],"childCriteriaItemList":[],"clientContextJson":""},{"keyOptionId":"8317","caption":"Maldives","isDefault":true,"maskCriteriaOnly":false,"definition":"","keyProductQueryItem":"300051","comparisonOperation":0,"comparisonValue":"145","minimumVersion":"","maximumVersion":"","formOrder":0,"lowerBound":null,"enabled":true,"mask":"","largeMask":"","maskKey":"","keyItemMaskOfField":null,"keyOptionIdReplace":"","relatedOptionIds":[],"onlineServices":[],"childCriteriaItemList":[],"clientContextJson":""},{"keyOptionId":"8318","caption":"Marshall Islands","isDefault":true,"maskCriteriaOnly":false,"definition":"","keyProductQueryItem":"300051","comparisonOperation":0,"comparisonValue":"240","minimumVersion":"","maximumVersion":"","formOrder":0,"lowerBound":null,"enabled":true,"mask":"","largeMask":"","maskKey":"","keyItemMaskOfField":null,"keyOptionIdReplace":"","relatedOptionIds":[],"onlineServices":[],"childCriteriaItemList":[],"clientContextJson":""},{"keyOptionId":"8319","caption":"Mongolia","isDefault":true,"maskCriteriaOnly":false,"definition":"","keyProductQueryItem":"300051","comparisonOperation":0,"comparisonValue":"143","minimumVersion":"","maximumVersion":"","formOrder":0,"lowerBound":null,"enabled":true,"mask":"","largeMask":"","maskKey":"","keyItemMaskOfField":null,"keyOptionIdReplace":"","relatedOptionIds":[],"onlineServices":[],"childCriteriaItemList":[],"clientContextJson":""},{"keyOptionId":"8320","caption":"Myanmar","isDefault":true,"maskCriteriaOnly":false,"definition":"","keyProductQueryItem":"300051","comparisonOperation":0,"comparisonValue":"142","minimumVersion":"","maximumVersion":"","formOrder":0,"lowerBound":null,"enabled":true,"mask":"","largeMask":"","maskKey":"","keyItemMaskOfField":null,"keyOptionIdReplace":"","relatedOptionIds":[],"onlineServices":[],"childCriteriaItemList":[],"clientContextJson":""},{"keyOptionId":"8321","caption":"Nauru","isDefault":true,"maskCriteriaOnly":false,"definition":"","keyProductQueryItem":"300051","comparisonOperation":0,"comparisonValue":"226","minimumVersion":"","maximumVersion":"","formOrder":0,"lowerBound":null,"enabled":true,"mask":"","largeMask":"","maskKey":"","keyItemMaskOfField":null,"keyOptionIdReplace":"","relatedOptionIds":[],"onlineServices":[],"childCriteriaItemList":[],"clientContextJson":""},{"keyOptionId":"8322","caption":"Nepal","isDefault":true,"maskCriteriaOnly":false,"definition":"","keyProductQueryItem":</t>
  </si>
  <si>
    <t>"300051","comparisonOperation":0,"comparisonValue":"147","minimumVersion":"","maximumVersion":"","formOrder":0,"lowerBound":null,"enabled":true,"mask":"","largeMask":"","maskKey":"","keyItemMaskOfField":null,"keyOptionIdReplace":"","relatedOptionIds":[],"onlineServices":[],"childCriteriaItemList":[],"clientContextJson":""},{"keyOptionId":"8323","caption":"New Caledonia","isDefault":true,"maskCriteriaOnly":false,"definition":"","keyProductQueryItem":"300051","comparisonOperation":0,"comparisonValue":"224","minimumVersion":"","maximumVersion":"","formOrder":0,"lowerBound":null,"enabled":true,"mask":"","largeMask":"","maskKey":"","keyItemMaskOfField":null,"keyOptionIdReplace":"","relatedOptionIds":[],"onlineServices":[],"childCriteriaItemList":[],"clientContextJson":""},{"keyOptionId":"8324","caption":"Niue","isDefault":true,"maskCriteriaOnly":false,"definition":"","keyProductQueryItem":"300051","comparisonOperation":0,"comparisonValue":"227","minimumVersion":"","maximumVersion":"","formOrder":0,"lowerBound":null,"enabled":true,"mask":"","largeMask":"","maskKey":"","keyItemMaskOfField":null,"keyOptionIdReplace":"","relatedOptionIds":[],"onlineServices":[],"childCriteriaItemList":[],"clientContextJson":""},{"keyOptionId":"8325","caption":"North Korea","isDefault":true,"maskCriteriaOnly":false,"definition":"","keyProductQueryItem":"300051","comparisonOperation":0,"comparisonValue":"166","minimumVersion":"","maximumVersion":"","formOrder":0,"lowerBound":null,"enabled":true,"mask":"","largeMask":"","maskKey":"","keyItemMaskOfField":null,"keyOptionIdReplace":"","relatedOptionIds":[],"onlineServices":[],"childCriteriaItemList":[],"clientContextJson":""},{"keyOptionId":"8326","caption":"Northern Mariana","isDefault":true,"maskCriteriaOnly":false,"definition":"","keyProductQueryItem":"300051","comparisonOperation":0,"comparisonValue":"223","minimumVersion":"","maximumVersion":"","formOrder":0,"lowerBound":null,"enabled":true,"mask":"","largeMask":"","maskKey":"","keyItemMaskOfField":null,"keyOptionIdReplace":"","relatedOptionIds":[],"onlineServices":[],"childCriteriaItemList":[],"clientContextJson":""},{"keyOptionId":"8327","caption":"Pakistan","isDefault":true,"maskCriteriaOnly":false,"definition":"","keyProductQueryItem":"300051","comparisonOperation":0,"comparisonValue":"149","minimumVersion":"","maximumVersion":"","formOrder":0,"lowerBound":null,"enabled":true,"mask":"","largeMask":"","maskKey":"","keyItemMaskOfField":null,"keyOptionIdReplace":"","relatedOptionIds":[],"onlineServices":[],"childCriteriaItemList":[],"clientContextJson":""},{"keyOptionId":"8328","caption":"Palau","isDefault":true,"maskCriteriaOnly":false,"definition":"","keyProductQueryItem":"300051","comparisonOperation":0,"comparisonValue":"232","minimumVersion":"","maximumVersion":"","formOrder":0,"lowerBound":null,"enabled":true,"mask":"","largeMask":"","maskKey":"","keyItemMaskOfField":null,"keyOptionIdReplace":"","relatedOptionIds":[],"onlineServices":[],"childCriteriaItemList":[],"clientContextJson":""},{"keyOptionId":"8329","caption":"Papua New Guinea","isDefault":true,"maskCriteriaOnly":false,"definition":"","keyProductQueryItem":"300051","comparisonOperation":0,"comparisonValue":"230","minimumVersion":"","maximumVersion":"","formOrder":0,"lowerBound":null,"enabled":true,"mask":"","largeMask":"","maskKey":"","keyItemMaskOfField":null,"keyOptionIdReplace":"","relatedOptionIds":[],"onlineServices":[],"childCriteriaItemList":[],"clientContextJson":""},{"keyOptionId":"8330","caption":"Philippines","isDefault":true,"maskCriteriaOnly":false,"definition":"","keyProductQueryItem":"300051","comparisonOperation":0,"comparisonValue":"167","minimumVersion":"","maximumVersion":"","formOrder":0,"lowerBound":null,"enabled":true,"mask":"","largeMask":"","maskKey":"","keyItemMaskOfField":null,"keyOptionIdReplace":"","relatedOptionIds":[],"onlineServices":[],"childCriteriaItemList":[],"clientContextJson":""},{"keyOptionId":"8331","caption":"Samoa","isDefault":true,"maskCriteriaOnly":false,"definition":"","keyProductQueryItem":"300051","comparisonOperation":0,"comparisonValue":"241","minimumVersion":"","maximumVersion":"","formOrder":0,"lowerBound":null,"enabled":true,"mask":"","largeMask":"","maskKey":"","keyItemMaskOfField":null,"keyOptionIdReplace":"","relatedOptionIds":[],"onlineServices":[],"childCriteriaItemList":[],"clientContextJson":""},{"keyOptionId":"8332","caption":"Solomon Islands","isDefault":true,"maskCriteriaOnly":false,"definition":"","keyProductQueryItem":"300051","comparisonOperation":0,"comparisonValue":"233","minimumVersion":"","maximumVersion":"","formOrder":0,"lowerBound":null,"enabled":true,"mask":"","largeMask":"","maskKey":"","keyItemMaskOfField":null,"keyOptionIdReplace":"","relatedOptionIds":[],"onlineServices":[],"childCriteriaItemList":[],"clientContextJson":""},{"keyOptionId":"8333","caption":"Sri Lanka","isDefault":true,"maskCriteriaOnly":false,"definition":"","keyProductQueryItem":"300051","comparisonOperation":0,"comparisonValue":"141","minimumVersion":"","maximumVersion":"","formOrder":0,"lowerBound":null,"enabled":true,"mask":"","largeMask":"","maskKey":"","keyItemMaskOfField":null,"keyOptionIdReplace":"","relatedOptionIds":[],"onlineServices":[],"childCriteriaItemList":[],"clientContextJson":""},{"keyOptionId":"8334","caption":"Thailand","isDefault":true,"maskCriteriaOnly":false,"definition":"","keyProductQueryItem":"300051","comparisonOperation":0,"comparisonValue":"154","minimumVersion":"","maximumVersion":"","formOrder":0,"lowerBound":null,"enabled":true,"mask":"","largeMask":"","maskKey":"","keyItemMaskOfField":null,"keyOptionIdReplace":"","relatedOptionIds":[],"onlineServices":[],"childCriteriaItemList":[],"clientContextJson":""},{"keyOptionId":"8335","caption":"Timor-Leste","isDefault":true,"maskCriteriaOnly":false,"definition":"","keyProductQueryItem":"300051","comparisonOperation":0,"comparisonValue":"157","minimumVersion":"","maximumVersion":"","formOrder":0,"lowerBound":null,"enabled":true,"mask":"","largeMask":"","maskKey":"","keyItemMaskOfField":null,"keyOptionIdReplace":"","relatedOptionIds":[],"onlineServices":[],"childCriteriaItemList":[],"clientContextJson":""},{"keyOptionId":"8336","caption":"Tokelau","isDefault":true,"maskCriteriaOnly":false,"definition":"","keyProductQueryItem":"300051","comparisonOperation":0,"comparisonValue":"234","minimumVersion":"","maximumVersion":"","formOrder":0,"lowerBound":null,"enabled":true,"mask":"","largeMask":"","maskKey":"","keyItemMaskOfField":null,"keyOptionIdReplace":"","relatedOptionIds":[],"onlineServices":[],"childCriteriaItemList":[],"clientContextJson":""},{"keyOptionId":"8337","caption":"Tonga","isDefault":true,"maskCriteriaOnly":false,"definition":"","keyProductQueryItem":"300051","comparisonOperation":0,"comparisonValue":"235","minimumVersion":"","maximumVersion":"","formOrder":0,"lowerBound":null,"enabled":true,"mask":"","largeMask":"","maskKey":"","keyItemMaskOfField":null,"keyOptionIdReplace":"","relatedOptionIds":[],"onlineServices":[],"childCriteriaItemList":[],"clientContextJson":""},{"keyOptionId":"8338","caption":"Tuvalu","isDefault":true,"maskCriteriaOnly":false,"definition":"","keyProductQueryItem":"300051","comparisonOperation":0,"comparisonValue":"236","minimumVersion":"","maximumVersion":"","formOrder":0,"lowerBound":null,"enabled":true,"mask":"","largeMask":"","maskKey":"","keyItemMaskOfField":null,"keyOptionIdReplace":"","relatedOptionIds":[],"onlineServices":[],"childCriteriaItemList":[],"clientContextJson":""},{"keyOptionId":"8339","caption":"Vanuatu","isDefault":true,"maskCriteriaOnly":false,"definition":"","keyProductQueryItem":"300051","comparisonOperation":0,"comparisonVal</t>
  </si>
  <si>
    <t>ue":"237","minimumVersion":"","maximumVersion":"","formOrder":0,"lowerBound":null,"enabled":true,"mask":"","largeMask":"","maskKey":"","keyItemMaskOfField":null,"keyOptionIdReplace":"","relatedOptionIds":[],"onlineServices":[],"childCriteriaItemList":[],"clientContextJson":""},{"keyOptionId":"8340","caption":"Vietnam","isDefault":true,"maskCriteriaOnly":false,"definition":"","keyProductQueryItem":"300051","comparisonOperation":0,"comparisonValue":"159","minimumVersion":"","maximumVersion":"","formOrder":0,"lowerBound":null,"enabled":true,"mask":"","largeMask":"","maskKey":"","keyItemMaskOfField":null,"keyOptionIdReplace":"","relatedOptionIds":[],"onlineServices":[],"childCriteriaItemList":[],"clientContextJson":""},{"keyOptionId":"8341","caption":"Wallis &amp; Futuna","isDefault":true,"maskCriteriaOnly":false,"definition":"","keyProductQueryItem":"300051","comparisonOperation":0,"comparisonValue":"238","minimumVersion":"","maximumVersion":"","formOrder":0,"lowerBound":null,"enabled":true,"mask":"","largeMask":"","maskKey":"","keyItemMaskOfField":null,"keyOptionIdReplace":"","relatedOptionIds":[],"onlineServices":[],"childCriteriaItemList":[],"clientContextJson":""}],"clientContextJson":""}],"clientContextJson":""},{"keyOptionId":"8342","caption":"Middle East","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8343","caption":"Bahrain","isDefault":true,"maskCriteriaOnly":false,"definition":"","keyProductQueryItem":"300051","comparisonOperation":0,"comparisonValue":"162","minimumVersion":"","maximumVersion":"","formOrder":0,"lowerBound":null,"enabled":true,"mask":"","largeMask":"","maskKey":"","keyItemMaskOfField":null,"keyOptionIdReplace":"","relatedOptionIds":[],"onlineServices":[],"childCriteriaItemList":[],"clientContextJson":""},{"keyOptionId":"8344","caption":"Egypt","isDefault":true,"maskCriteriaOnly":false,"definition":"","keyProductQueryItem":"300051","comparisonOperation":0,"comparisonValue":"74","minimumVersion":"","maximumVersion":"","formOrder":0,"lowerBound":null,"enabled":true,"mask":"","largeMask":"","maskKey":"","keyItemMaskOfField":null,"keyOptionIdReplace":"","relatedOptionIds":[],"onlineServices":[],"childCriteriaItemList":[],"clientContextJson":""},{"keyOptionId":"8345","caption":"Iran","isDefault":true,"maskCriteriaOnly":false,"definition":"","keyProductQueryItem":"300051","comparisonOperation":0,"comparisonValue":"131","minimumVersion":"","maximumVersion":"","formOrder":0,"lowerBound":null,"enabled":true,"mask":"","largeMask":"","maskKey":"","keyItemMaskOfField":null,"keyOptionIdReplace":"","relatedOptionIds":[],"onlineServices":[],"childCriteriaItemList":[],"clientContextJson":""},{"keyOptionId":"8346","caption":"Iraq","isDefault":true,"maskCriteriaOnly":false,"definition":"","keyProductQueryItem":"300051","comparisonOperation":0,"comparisonValue":"130","minimumVersion":"","maximumVersion":"","formOrder":0,"lowerBound":null,"enabled":true,"mask":"","largeMask":"","maskKey":"","keyItemMaskOfField":null,"keyOptionIdReplace":"","relatedOptionIds":[],"onlineServices":[],"childCriteriaItemList":[],"clientContextJson":""},{"keyOptionId":"8347","caption":"Israel","isDefault":true,"maskCriteriaOnly":false,"definition":"","keyProductQueryItem":"300051","comparisonOperation":0,"comparisonValue":"165","minimumVersion":"","maximumVersion":"","formOrder":0,"lowerBound":null,"enabled":true,"mask":"","largeMask":"","maskKey":"","keyItemMaskOfField":null,"keyOptionIdReplace":"","relatedOptionIds":[],"onlineServices":[],"childCriteriaItemList":[],"clientContextJson":""},{"keyOptionId":"8348","caption":"Jordan","isDefault":true,"maskCriteriaOnly":false,"definition":"","keyProductQueryItem":"300051","comparisonOperation":0,"comparisonValue":"132","minimumVersion":"","maximumVersion":"","formOrder":0,"lowerBound":null,"enabled":true,"mask":"","largeMask":"","maskKey":"","keyItemMaskOfField":null,"keyOptionIdReplace":"","relatedOptionIds":[],"onlineServices":[],"childCriteriaItemList":[],"clientContextJson":""},{"keyOptionId":"8349","caption":"Kuwait","isDefault":true,"maskCriteriaOnly":false,"definition":"","keyProductQueryItem":"300051","comparisonOperation":0,"comparisonValue":"137","minimumVersion":"","maximumVersion":"","formOrder":0,"lowerBound":null,"enabled":true,"mask":"","largeMask":"","maskKey":"","keyItemMaskOfField":null,"keyOptionIdReplace":"","relatedOptionIds":[],"onlineServices":[],"childCriteriaItemList":[],"clientContextJson":""},{"keyOptionId":"8350","caption":"Lebanon","isDefault":true,"maskCriteriaOnly":false,"definition":"","keyProductQueryItem":"300051","comparisonOperation":0,"comparisonValue":"140","minimumVersion":"","maximumVersion":"","formOrder":0,"lowerBound":null,"enabled":true,"mask":"","largeMask":"","maskKey":"","keyItemMaskOfField":null,"keyOptionIdReplace":"","relatedOptionIds":[],"onlineServices":[],"childCriteriaItemList":[],"clientContextJson":""},{"keyOptionId":"8351","caption":"Oman","isDefault":true,"maskCriteriaOnly":false,"definition":"","keyProductQueryItem":"300051","comparisonOperation":0,"comparisonValue":"148","minimumVersion":"","maximumVersion":"","formOrder":0,"lowerBound":null,"enabled":true,"mask":"","largeMask":"","maskKey":"","keyItemMaskOfField":null,"keyOptionIdReplace":"","relatedOptionIds":[],"onlineServices":[],"childCriteriaItemList":[],"clientContextJson":""},{"keyOptionId":"8352","caption":"Palestine","isDefault":true,"maskCriteriaOnly":false,"definition":"","keyProductQueryItem":"300051","comparisonOperation":0,"comparisonValue":"150","minimumVersion":"","maximumVersion":"","formOrder":0,"lowerBound":null,"enabled":true,"mask":"","largeMask":"","maskKey":"","keyItemMaskOfField":null,"keyOptionIdReplace":"","relatedOptionIds":[],"onlineServices":[],"childCriteriaItemList":[],"clientContextJson":""},{"keyOptionId":"8353","caption":"Qatar","isDefault":true,"maskCriteriaOnly":false,"definition":"","keyProductQueryItem":"300051","comparisonOperation":0,"comparisonValue":"151","minimumVersion":"","maximumVersion":"","formOrder":0,"lowerBound":null,"enabled":true,"mask":"","largeMask":"","maskKey":"","keyItemMaskOfField":null,"keyOptionIdReplace":"","relatedOptionIds":[],"onlineServices":[],"childCriteriaItemList":[],"clientContextJson":""},{"keyOptionId":"8354","caption":"Saudi Arabia","isDefault":true,"maskCriteriaOnly":false,"definition":"","keyProductQueryItem":"300051","comparisonOperation":0,"comparisonValue":"168","minimumVersion":"","maximumVersion":"","formOrder":0,"lowerBound":null,"enabled":true,"mask":"","largeMask":"","maskKey":"","keyItemMaskOfField":null,"keyOptionIdReplace":"","relatedOptionIds":[],"onlineServices":[],"childCriteriaItemList":[],"clientContextJson":""},{"keyOptionId":"8355","caption":"Syria","isDefault":true,"maskCriteriaOnly":false,"definition":"","keyProductQueryItem":"300051","comparisonOperation":0,"comparisonValue":"153","minimumVersion":"","maximumVersion":"","formOrder":0,"lowerBound":null,"enabled":true,"mask":"","largeMask":"","maskKey":"","keyItemMaskOfField":null,"keyOptionIdReplace":"","relatedOptionIds":[],"onlineServices":[],"childCriteriaItemList":[],"clientContextJson":""},{"keyOptionId":"8356","caption":"United Arab Emirates","isDefault":true,"maskCriteriaOnly":false,"definition":"","keyProductQueryItem":"300051","comparisonOperation":0,"comparisonValue":"119","minimumVersion":"","maximumVersion":"","for</t>
  </si>
  <si>
    <t>mOrder":0,"lowerBound":null,"enabled":true,"mask":"","largeMask":"","maskKey":"","keyItemMaskOfField":null,"keyOptionIdReplace":"","relatedOptionIds":[],"onlineServices":[],"childCriteriaItemList":[],"clientContextJson":""},{"keyOptionId":"8357","caption":"Yemen","isDefault":true,"maskCriteriaOnly":false,"definition":"","keyProductQueryItem":"300051","comparisonOperation":0,"comparisonValue":"160","minimumVersion":"","maximumVersion":"","formOrder":0,"lowerBound":null,"enabled":true,"mask":"","largeMask":"","maskKey":"","keyItemMaskOfField":null,"keyOptionIdReplace":"","relatedOptionIds":[],"onlineServices":[],"childCriteriaItemList":[],"clientContextJson":""}],"clientContextJson":""},{"keyOptionId":"8358","caption":"Latin America and Caribbea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8359","caption":"Anguilla","isDefault":true,"maskCriteriaOnly":false,"definition":"","keyProductQueryItem":"300051","comparisonOperation":0,"comparisonValue":"9","minimumVersion":"","maximumVersion":"","formOrder":0,"lowerBound":null,"enabled":true,"mask":"","largeMask":"","maskKey":"","keyItemMaskOfField":null,"keyOptionIdReplace":"","relatedOptionIds":[],"onlineServices":[],"childCriteriaItemList":[],"clientContextJson":""},{"keyOptionId":"8360","caption":"Antigua and Barbuda","isDefault":true,"maskCriteriaOnly":false,"definition":"","keyProductQueryItem":"300051","comparisonOperation":0,"comparisonValue":"8","minimumVersion":"","maximumVersion":"","formOrder":0,"lowerBound":null,"enabled":true,"mask":"","largeMask":"","maskKey":"","keyItemMaskOfField":null,"keyOptionIdReplace":"","relatedOptionIds":[],"onlineServices":[],"childCriteriaItemList":[],"clientContextJson":""},{"keyOptionId":"8361","caption":"Argentina","isDefault":true,"maskCriteriaOnly":false,"definition":"","keyProductQueryItem":"300051","comparisonOperation":0,"comparisonValue":"52","minimumVersion":"","maximumVersion":"","formOrder":0,"lowerBound":null,"enabled":true,"mask":"","largeMask":"","maskKey":"","keyItemMaskOfField":null,"keyOptionIdReplace":"","relatedOptionIds":[],"onlineServices":[],"childCriteriaItemList":[],"clientContextJson":""},{"keyOptionId":"8362","caption":"Aruba","isDefault":true,"maskCriteriaOnly":false,"definition":"","keyProductQueryItem":"300051","comparisonOperation":0,"comparisonValue":"10","minimumVersion":"","maximumVersion":"","formOrder":0,"lowerBound":null,"enabled":true,"mask":"","largeMask":"","maskKey":"","keyItemMaskOfField":null,"keyOptionIdReplace":"","relatedOptionIds":[],"onlineServices":[],"childCriteriaItemList":[],"clientContextJson":""},{"keyOptionId":"8363","caption":"Bahamas","isDefault":true,"maskCriteriaOnly":false,"definition":"","keyProductQueryItem":"300051","comparisonOperation":0,"comparisonValue":"37","minimumVersion":"","maximumVersion":"","formOrder":0,"lowerBound":null,"enabled":true,"mask":"","largeMask":"","maskKey":"","keyItemMaskOfField":null,"keyOptionIdReplace":"","relatedOptionIds":[],"onlineServices":[],"childCriteriaItemList":[],"clientContextJson":""},{"keyOptionId":"8364","caption":"Barbados","isDefault":true,"maskCriteriaOnly":false,"definition":"","keyProductQueryItem":"300051","comparisonOperation":0,"comparisonValue":"11","minimumVersion":"","maximumVersion":"","formOrder":0,"lowerBound":null,"enabled":true,"mask":"","largeMask":"","maskKey":"","keyItemMaskOfField":null,"keyOptionIdReplace":"","relatedOptionIds":[],"onlineServices":[],"childCriteriaItemList":[],"clientContextJson":""},{"keyOptionId":"8365","caption":"Belize","isDefault":true,"maskCriteriaOnly":false,"definition":"","keyProductQueryItem":"300051","comparisonOperation":0,"comparisonValue":"13","minimumVersion":"","maximumVersion":"","formOrder":0,"lowerBound":null,"enabled":true,"mask":"","largeMask":"","maskKey":"","keyItemMaskOfField":null,"keyOptionIdReplace":"","relatedOptionIds":[],"onlineServices":[],"childCriteriaItemList":[],"clientContextJson":""},{"keyOptionId":"8366","caption":"Bolivia","isDefault":true,"maskCriteriaOnly":false,"definition":"","keyProductQueryItem":"300051","comparisonOperation":0,"comparisonValue":"43","minimumVersion":"","maximumVersion":"","formOrder":0,"lowerBound":null,"enabled":true,"mask":"","largeMask":"","maskKey":"","keyItemMaskOfField":null,"keyOptionIdReplace":"","relatedOptionIds":[],"onlineServices":[],"childCriteriaItemList":[],"clientContextJson":""},{"keyOptionId":"8367","caption":"Bonaire","isDefault":true,"maskCriteriaOnly":false,"definition":"","keyProductQueryItem":"300051","comparisonOperation":0,"comparisonValue":"1119","minimumVersion":"","maximumVersion":"","formOrder":0,"lowerBound":null,"enabled":true,"mask":"","largeMask":"","maskKey":"","keyItemMaskOfField":null,"keyOptionIdReplace":"","relatedOptionIds":[],"onlineServices":[],"childCriteriaItemList":[],"clientContextJson":""},{"keyOptionId":"8368","caption":"Brazil","isDefault":true,"maskCriteriaOnly":false,"definition":"","keyProductQueryItem":"300051","comparisonOperation":0,"comparisonValue":"53","minimumVersion":"","maximumVersion":"","formOrder":0,"lowerBound":null,"enabled":true,"mask":"","largeMask":"","maskKey":"","keyItemMaskOfField":null,"keyOptionIdReplace":"","relatedOptionIds":[],"onlineServices":[],"childCriteriaItemList":[],"clientContextJson":""},{"keyOptionId":"8369","caption":"BVI","isDefault":true,"maskCriteriaOnly":false,"definition":"","keyProductQueryItem":"300051","comparisonOperation":0,"comparisonValue":"35","minimumVersion":"","maximumVersion":"","formOrder":0,"lowerBound":null,"enabled":true,"mask":"","largeMask":"","maskKey":"","keyItemMaskOfField":null,"keyOptionIdReplace":"","relatedOptionIds":[],"onlineServices":[],"childCriteriaItemList":[],"clientContextJson":""},{"keyOptionId":"8370","caption":"Cayman Islands","isDefault":true,"maskCriteriaOnly":false,"definition":"","keyProductQueryItem":"300051","comparisonOperation":0,"comparisonValue":"41","minimumVersion":"","maximumVersion":"","formOrder":0,"lowerBound":null,"enabled":true,"mask":"","largeMask":"","maskKey":"","keyItemMaskOfField":null,"keyOptionIdReplace":"","relatedOptionIds":[],"onlineServices":[],"childCriteriaItemList":[],"clientContextJson":""},{"keyOptionId":"8371","caption":"Chile","isDefault":true,"maskCriteriaOnly":false,"definition":"","keyProductQueryItem":"300051","comparisonOperation":0,"comparisonValue":"54","minimumVersion":"","maximumVersion":"","formOrder":0,"lowerBound":null,"enabled":true,"mask":"","largeMask":"","maskKey":"","keyItemMaskOfField":null,"keyOptionIdReplace":"","relatedOptionIds":[],"onlineServices":[],"childCriteriaItemList":[],"clientContextJson":""},{"keyOptionId":"8372","caption":"Cocos Islands","isDefault":true,"maskCriteriaOnly":false,"definition":"","keyProductQueryItem":"300051","comparisonOperation":0,"comparisonValue":"124","minimumVersion":"","maximumVersion":"","formOrder":0,"lowerBound":null,"enabled":true,"mask":"","largeMask":"","maskKey":"","keyItemMaskOfField":null,"keyOptionIdReplace":"","relatedOptionIds":[],"onlineServices":[],"childCriteriaItemList":[],"clientContextJson":""},{"keyOptionId":"8373","caption":"Colombia","isDefault":true,"maskCriteriaOnly":false,"definition":"","keyProductQueryItem":"300051","comparisonOperation":0,"comparisonValue":"44","minimumVersion":"","maximumVersion":"","formOrder":0,"lowerBound":null,"enabled":true,"mask":"","largeMask":"",</t>
  </si>
  <si>
    <t>"maskKey":"","keyItemMaskOfField":null,"keyOptionIdReplace":"","relatedOptionIds":[],"onlineServices":[],"childCriteriaItemList":[],"clientContextJson":""},{"keyOptionId":"8374","caption":"Costa Rica","isDefault":true,"maskCriteriaOnly":false,"definition":"","keyProductQueryItem":"300051","comparisonOperation":0,"comparisonValue":"14","minimumVersion":"","maximumVersion":"","formOrder":0,"lowerBound":null,"enabled":true,"mask":"","largeMask":"","maskKey":"","keyItemMaskOfField":null,"keyOptionIdReplace":"","relatedOptionIds":[],"onlineServices":[],"childCriteriaItemList":[],"clientContextJson":""},{"keyOptionId":"8375","caption":"Cuba","isDefault":true,"maskCriteriaOnly":false,"definition":"","keyProductQueryItem":"300051","comparisonOperation":0,"comparisonValue":"15","minimumVersion":"","maximumVersion":"","formOrder":0,"lowerBound":null,"enabled":true,"mask":"","largeMask":"","maskKey":"","keyItemMaskOfField":null,"keyOptionIdReplace":"","relatedOptionIds":[],"onlineServices":[],"childCriteriaItemList":[],"clientContextJson":""},{"keyOptionId":"8376","caption":"Curaçao","isDefault":true,"maskCriteriaOnly":false,"definition":"","keyProductQueryItem":"300051","comparisonOperation":0,"comparisonValue":"1118","minimumVersion":"","maximumVersion":"","formOrder":0,"lowerBound":null,"enabled":true,"mask":"","largeMask":"","maskKey":"","keyItemMaskOfField":null,"keyOptionIdReplace":"","relatedOptionIds":[],"onlineServices":[],"childCriteriaItemList":[],"clientContextJson":""},{"keyOptionId":"8377","caption":"Dominica","isDefault":true,"maskCriteriaOnly":false,"definition":"","keyProductQueryItem":"300051","comparisonOperation":0,"comparisonValue":"16","minimumVersion":"","maximumVersion":"","formOrder":0,"lowerBound":null,"enabled":true,"mask":"","largeMask":"","maskKey":"","keyItemMaskOfField":null,"keyOptionIdReplace":"","relatedOptionIds":[],"onlineServices":[],"childCriteriaItemList":[],"clientContextJson":""},{"keyOptionId":"8378","caption":"Dominican Republic","isDefault":true,"maskCriteriaOnly":false,"definition":"","keyProductQueryItem":"300051","comparisonOperation":0,"comparisonValue":"17","minimumVersion":"","maximumVersion":"","formOrder":0,"lowerBound":null,"enabled":true,"mask":"","largeMask":"","maskKey":"","keyItemMaskOfField":null,"keyOptionIdReplace":"","relatedOptionIds":[],"onlineServices":[],"childCriteriaItemList":[],"clientContextJson":""},{"keyOptionId":"8379","caption":"Ecuador","isDefault":true,"maskCriteriaOnly":false,"definition":"","keyProductQueryItem":"300051","comparisonOperation":0,"comparisonValue":"55","minimumVersion":"","maximumVersion":"","formOrder":0,"lowerBound":null,"enabled":true,"mask":"","largeMask":"","maskKey":"","keyItemMaskOfField":null,"keyOptionIdReplace":"","relatedOptionIds":[],"onlineServices":[],"childCriteriaItemList":[],"clientContextJson":""},{"keyOptionId":"8380","caption":"El Salvador","isDefault":true,"maskCriteriaOnly":false,"definition":"","keyProductQueryItem":"300051","comparisonOperation":0,"comparisonValue":"42","minimumVersion":"","maximumVersion":"","formOrder":0,"lowerBound":null,"enabled":true,"mask":"","largeMask":"","maskKey":"","keyItemMaskOfField":null,"keyOptionIdReplace":"","relatedOptionIds":[],"onlineServices":[],"childCriteriaItemList":[],"clientContextJson":""},{"keyOptionId":"8381","caption":"Falkland Islands","isDefault":true,"maskCriteriaOnly":false,"definition":"","keyProductQueryItem":"300051","comparisonOperation":0,"comparisonValue":"45","minimumVersion":"","maximumVersion":"","formOrder":0,"lowerBound":null,"enabled":true,"mask":"","largeMask":"","maskKey":"","keyItemMaskOfField":null,"keyOptionIdReplace":"","relatedOptionIds":[],"onlineServices":[],"childCriteriaItemList":[],"clientContextJson":""},{"keyOptionId":"8382","caption":"French Guiana","isDefault":true,"maskCriteriaOnly":false,"definition":"","keyProductQueryItem":"300051","comparisonOperation":0,"comparisonValue":"46","minimumVersion":"","maximumVersion":"","formOrder":0,"lowerBound":null,"enabled":true,"mask":"","largeMask":"","maskKey":"","keyItemMaskOfField":null,"keyOptionIdReplace":"","relatedOptionIds":[],"onlineServices":[],"childCriteriaItemList":[],"clientContextJson":""},{"keyOptionId":"8383","caption":"Grenada","isDefault":true,"maskCriteriaOnly":false,"definition":"","keyProductQueryItem":"300051","comparisonOperation":0,"comparisonValue":"18","minimumVersion":"","maximumVersion":"","formOrder":0,"lowerBound":null,"enabled":true,"mask":"","largeMask":"","maskKey":"","keyItemMaskOfField":null,"keyOptionIdReplace":"","relatedOptionIds":[],"onlineServices":[],"childCriteriaItemList":[],"clientContextJson":""},{"keyOptionId":"8384","caption":"Guadeloupe","isDefault":true,"maskCriteriaOnly":false,"definition":"","keyProductQueryItem":"300051","comparisonOperation":0,"comparisonValue":"20","minimumVersion":"","maximumVersion":"","formOrder":0,"lowerBound":null,"enabled":true,"mask":"","largeMask":"","maskKey":"","keyItemMaskOfField":null,"keyOptionIdReplace":"","relatedOptionIds":[],"onlineServices":[],"childCriteriaItemList":[],"clientContextJson":""},{"keyOptionId":"8385","caption":"Guatemala","isDefault":true,"maskCriteriaOnly":false,"definition":"","keyProductQueryItem":"300051","comparisonOperation":0,"comparisonValue":"39","minimumVersion":"","maximumVersion":"","formOrder":0,"lowerBound":null,"enabled":true,"mask":"","largeMask":"","maskKey":"","keyItemMaskOfField":null,"keyOptionIdReplace":"","relatedOptionIds":[],"onlineServices":[],"childCriteriaItemList":[],"clientContextJson":""},{"keyOptionId":"8386","caption":"Guyana","isDefault":true,"maskCriteriaOnly":false,"definition":"","keyProductQueryItem":"300051","comparisonOperation":0,"comparisonValue":"47","minimumVersion":"","maximumVersion":"","formOrder":0,"lowerBound":null,"enabled":true,"mask":"","largeMask":"","maskKey":"","keyItemMaskOfField":null,"keyOptionIdReplace":"","relatedOptionIds":[],"onlineServices":[],"childCriteriaItemList":[],"clientContextJson":""},{"keyOptionId":"8387","caption":"Haiti","isDefault":true,"maskCriteriaOnly":false,"definition":"","keyProductQueryItem":"300051","comparisonOperation":0,"comparisonValue":"22","minimumVersion":"","maximumVersion":"","formOrder":0,"lowerBound":null,"enabled":true,"mask":"","largeMask":"","maskKey":"","keyItemMaskOfField":null,"keyOptionIdReplace":"","relatedOptionIds":[],"onlineServices":[],"childCriteriaItemList":[],"clientContextJson":""},{"keyOptionId":"8388","caption":"Honduras","isDefault":true,"maskCriteriaOnly":false,"definition":"","keyProductQueryItem":"300051","comparisonOperation":0,"comparisonValue":"21","minimumVersion":"","maximumVersion":"","formOrder":0,"lowerBound":null,"enabled":true,"mask":"","largeMask":"","maskKey":"","keyItemMaskOfField":null,"keyOptionIdReplace":"","relatedOptionIds":[],"onlineServices":[],"childCriteriaItemList":[],"clientContextJson":""},{"keyOptionId":"8389","caption":"Jamaica","isDefault":true,"maskCriteriaOnly":false,"definition":"","keyProductQueryItem":"300051","comparisonOperation":0,"comparisonValue":"23","minimumVersion":"","maximumVersion":"","formOrder":0,"lowerBound":null,"enabled":true,"mask":"","largeMask":"","maskKey":"","keyItemMaskOfField":null,"keyOptionIdReplace":"","relatedOptionIds":[],"onlineServices":[],"childCriteriaItemList":[],"clientContextJson":""},{"keyOptionId":"8390","caption":"Martinique","isDefault":true,"maskCriteriaOnly":false,"definition":"","keyProductQueryItem":"300051","comparisonOperation":0,"comparisonValue":"25","minimumVersion":"","maximumVersion":"","formOrder":0,"lowerBound":null,"enabled":true,"mask":"","largeMask":"","maskKey":"","keyItemMaskOfField":null,"keyOptionIdReplace":"",</t>
  </si>
  <si>
    <t>"relatedOptionIds":[],"onlineServices":[],"childCriteriaItemList":[],"clientContextJson":""},{"keyOptionId":"8391","caption":"Mexico","isDefault":true,"maskCriteriaOnly":false,"definition":"","keyProductQueryItem":"300051","comparisonOperation":0,"comparisonValue":"27","minimumVersion":"","maximumVersion":"","formOrder":0,"lowerBound":null,"enabled":true,"mask":"","largeMask":"","maskKey":"","keyItemMaskOfField":null,"keyOptionIdReplace":"","relatedOptionIds":[],"onlineServices":[],"childCriteriaItemList":[],"clientContextJson":""},{"keyOptionId":"8392","caption":"Montserrat","isDefault":true,"maskCriteriaOnly":false,"definition":"","keyProductQueryItem":"300051","comparisonOperation":0,"comparisonValue":"26","minimumVersion":"","maximumVersion":"","formOrder":0,"lowerBound":null,"enabled":true,"mask":"","largeMask":"","maskKey":"","keyItemMaskOfField":null,"keyOptionIdReplace":"","relatedOptionIds":[],"onlineServices":[],"childCriteriaItemList":[],"clientContextJson":""},{"keyOptionId":"8393","caption":"Nicaragua","isDefault":true,"maskCriteriaOnly":false,"definition":"","keyProductQueryItem":"300051","comparisonOperation":0,"comparisonValue":"28","minimumVersion":"","maximumVersion":"","formOrder":0,"lowerBound":null,"enabled":true,"mask":"","largeMask":"","maskKey":"","keyItemMaskOfField":null,"keyOptionIdReplace":"","relatedOptionIds":[],"onlineServices":[],"childCriteriaItemList":[],"clientContextJson":""},{"keyOptionId":"8394","caption":"Panama","isDefault":true,"maskCriteriaOnly":false,"definition":"","keyProductQueryItem":"300051","comparisonOperation":0,"comparisonValue":"29","minimumVersion":"","maximumVersion":"","formOrder":0,"lowerBound":null,"enabled":true,"mask":"","largeMask":"","maskKey":"","keyItemMaskOfField":null,"keyOptionIdReplace":"","relatedOptionIds":[],"onlineServices":[],"childCriteriaItemList":[],"clientContextJson":""},{"keyOptionId":"8395","caption":"Paraguay","isDefault":true,"maskCriteriaOnly":false,"definition":"","keyProductQueryItem":"300051","comparisonOperation":0,"comparisonValue":"49","minimumVersion":"","maximumVersion":"","formOrder":0,"lowerBound":null,"enabled":true,"mask":"","largeMask":"","maskKey":"","keyItemMaskOfField":null,"keyOptionIdReplace":"","relatedOptionIds":[],"onlineServices":[],"childCriteriaItemList":[],"clientContextJson":""},{"keyOptionId":"8396","caption":"Peru","isDefault":true,"maskCriteriaOnly":false,"definition":"","keyProductQueryItem":"300051","comparisonOperation":0,"comparisonValue":"48","minimumVersion":"","maximumVersion":"","formOrder":0,"lowerBound":null,"enabled":true,"mask":"","largeMask":"","maskKey":"","keyItemMaskOfField":null,"keyOptionIdReplace":"","relatedOptionIds":[],"onlineServices":[],"childCriteriaItemList":[],"clientContextJson":""},{"keyOptionId":"8397","caption":"Saint Lucia","isDefault":true,"maskCriteriaOnly":false,"definition":"","keyProductQueryItem":"300051","comparisonOperation":0,"comparisonValue":"24","minimumVersion":"","maximumVersion":"","formOrder":0,"lowerBound":null,"enabled":true,"mask":"","largeMask":"","maskKey":"","keyItemMaskOfField":null,"keyOptionIdReplace":"","relatedOptionIds":[],"onlineServices":[],"childCriteriaItemList":[],"clientContextJson":""},{"keyOptionId":"8398","caption":"Saint Vincent","isDefault":true,"maskCriteriaOnly":false,"definition":"","keyProductQueryItem":"300051","comparisonOperation":0,"comparisonValue":"34","minimumVersion":"","maximumVersion":"","formOrder":0,"lowerBound":null,"enabled":true,"mask":"","largeMask":"","maskKey":"","keyItemMaskOfField":null,"keyOptionIdReplace":"","relatedOptionIds":[],"onlineServices":[],"childCriteriaItemList":[],"clientContextJson":""},{"keyOptionId":"8399","caption":"Sint Maarten","isDefault":true,"maskCriteriaOnly":false,"definition":"","keyProductQueryItem":"300051","comparisonOperation":0,"comparisonValue":"1117","minimumVersion":"","maximumVersion":"","formOrder":0,"lowerBound":null,"enabled":true,"mask":"","largeMask":"","maskKey":"","keyItemMaskOfField":null,"keyOptionIdReplace":"","relatedOptionIds":[],"onlineServices":[],"childCriteriaItemList":[],"clientContextJson":""},{"keyOptionId":"8400","caption":"South Georgia","isDefault":true,"maskCriteriaOnly":false,"definition":"","keyProductQueryItem":"300051","comparisonOperation":0,"comparisonValue":"59","minimumVersion":"","maximumVersion":"","formOrder":0,"lowerBound":null,"enabled":true,"mask":"","largeMask":"","maskKey":"","keyItemMaskOfField":null,"keyOptionIdReplace":"","relatedOptionIds":[],"onlineServices":[],"childCriteriaItemList":[],"clientContextJson":""},{"keyOptionId":"8401","caption":"St. Kitts and Nevis","isDefault":true,"maskCriteriaOnly":false,"definition":"","keyProductQueryItem":"300051","comparisonOperation":0,"comparisonValue":"40","minimumVersion":"","maximumVersion":"","formOrder":0,"lowerBound":null,"enabled":true,"mask":"","largeMask":"","maskKey":"","keyItemMaskOfField":null,"keyOptionIdReplace":"","relatedOptionIds":[],"onlineServices":[],"childCriteriaItemList":[],"clientContextJson":""},{"keyOptionId":"8402","caption":"St. Pierre, Miquelon","isDefault":true,"maskCriteriaOnly":false,"definition":"","keyProductQueryItem":"300051","comparisonOperation":0,"comparisonValue":"30","minimumVersion":"","maximumVersion":"","formOrder":0,"lowerBound":null,"enabled":true,"mask":"","largeMask":"","maskKey":"","keyItemMaskOfField":null,"keyOptionIdReplace":"","relatedOptionIds":[],"onlineServices":[],"childCriteriaItemList":[],"clientContextJson":""},{"keyOptionId":"8403","caption":"Suriname","isDefault":true,"maskCriteriaOnly":false,"definition":"","keyProductQueryItem":"300051","comparisonOperation":0,"comparisonValue":"50","minimumVersion":"","maximumVersion":"","formOrder":0,"lowerBound":null,"enabled":true,"mask":"","largeMask":"","maskKey":"","keyItemMaskOfField":null,"keyOptionIdReplace":"","relatedOptionIds":[],"onlineServices":[],"childCriteriaItemList":[],"clientContextJson":""},{"keyOptionId":"8404","caption":"Trinidad and Tobago","isDefault":true,"maskCriteriaOnly":false,"definition":"","keyProductQueryItem":"300051","comparisonOperation":0,"comparisonValue":"32","minimumVersion":"","maximumVersion":"","formOrder":0,"lowerBound":null,"enabled":true,"mask":"","largeMask":"","maskKey":"","keyItemMaskOfField":null,"keyOptionIdReplace":"","relatedOptionIds":[],"onlineServices":[],"childCriteriaItemList":[],"clientContextJson":""},{"keyOptionId":"8405","caption":"Turks &amp; Caicos","isDefault":true,"maskCriteriaOnly":false,"definition":"","keyProductQueryItem":"300051","comparisonOperation":0,"comparisonValue":"31","minimumVersion":"","maximumVersion":"","formOrder":0,"lowerBound":null,"enabled":true,"mask":"","largeMask":"","maskKey":"","keyItemMaskOfField":null,"keyOptionIdReplace":"","relatedOptionIds":[],"onlineServices":[],"childCriteriaItemList":[],"clientContextJson":""},{"keyOptionId":"8406","caption":"Uruguay","isDefault":true,"maskCriteriaOnly":false,"definition":"","keyProductQueryItem":"300051","comparisonOperation":0,"comparisonValue":"51","minimumVersion":"","maximumVersion":"","formOrder":0,"lowerBound":null,"enabled":true,"mask":"","largeMask":"","maskKey":"","keyItemMaskOfField":null,"keyOptionIdReplace":"","relatedOptionIds":[],"onlineServices":[],"childCriteriaItemList":[],"clientContextJson":""},{"keyOptionId":"8407","caption":"Venezuela","isDefault":true,"maskCriteriaOnly":false,"definition":"","keyProductQueryItem":"300051","comparisonOperation":0,"comparisonValue":"56","minimumVersion":"","maximumVersion":"","formOrder":0,"lowerBound":null,"enabled":true,"mask":"","largeMask":"","maskKey":"","keyItemMaskOfField":null,"keyOptionIdReplace":"","relatedOptionIds":[],"onlineSe</t>
  </si>
  <si>
    <t>rvices":[],"childCriteriaItemList":[],"clientContextJson":""}],"clientContextJson":""},{"keyOptionId":"8408","caption":"Africa","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8409","caption":"Algeria","isDefault":true,"maskCriteriaOnly":false,"definition":"","keyProductQueryItem":"300051","comparisonOperation":0,"comparisonValue":"73","minimumVersion":"","maximumVersion":"","formOrder":0,"lowerBound":null,"enabled":true,"mask":"","largeMask":"","maskKey":"","keyItemMaskOfField":null,"keyOptionIdReplace":"","relatedOptionIds":[],"onlineServices":[],"childCriteriaItemList":[],"clientContextJson":""},{"keyOptionId":"8410","caption":"Angola","isDefault":true,"maskCriteriaOnly":false,"definition":"","keyProductQueryItem":"300051","comparisonOperation":0,"comparisonValue":"62","minimumVersion":"","maximumVersion":"","formOrder":0,"lowerBound":null,"enabled":true,"mask":"","largeMask":"","maskKey":"","keyItemMaskOfField":null,"keyOptionIdReplace":"","relatedOptionIds":[],"onlineServices":[],"childCriteriaItemList":[],"clientContextJson":""},{"keyOptionId":"8411","caption":"Benin","isDefault":true,"maskCriteriaOnly":false,"definition":"","keyProductQueryItem":"300051","comparisonOperation":0,"comparisonValue":"65","minimumVersion":"","maximumVersion":"","formOrder":0,"lowerBound":null,"enabled":true,"mask":"","largeMask":"","maskKey":"","keyItemMaskOfField":null,"keyOptionIdReplace":"","relatedOptionIds":[],"onlineServices":[],"childCriteriaItemList":[],"clientContextJson":""},{"keyOptionId":"8412","caption":"Botswana","isDefault":true,"maskCriteriaOnly":false,"definition":"","keyProductQueryItem":"300051","comparisonOperation":0,"comparisonValue":"66","minimumVersion":"","maximumVersion":"","formOrder":0,"lowerBound":null,"enabled":true,"mask":"","largeMask":"","maskKey":"","keyItemMaskOfField":null,"keyOptionIdReplace":"","relatedOptionIds":[],"onlineServices":[],"childCriteriaItemList":[],"clientContextJson":""},{"keyOptionId":"8413","caption":"Bouvet Island","isDefault":true,"maskCriteriaOnly":false,"definition":"","keyProductQueryItem":"300051","comparisonOperation":0,"comparisonValue":"58","minimumVersion":"","maximumVersion":"","formOrder":0,"lowerBound":null,"enabled":true,"mask":"","largeMask":"","maskKey":"","keyItemMaskOfField":null,"keyOptionIdReplace":"","relatedOptionIds":[],"onlineServices":[],"childCriteriaItemList":[],"clientContextJson":""},{"keyOptionId":"8414","caption":"Burkina Faso","isDefault":true,"maskCriteriaOnly":false,"definition":"","keyProductQueryItem":"300051","comparisonOperation":0,"comparisonValue":"63","minimumVersion":"","maximumVersion":"","formOrder":0,"lowerBound":null,"enabled":true,"mask":"","largeMask":"","maskKey":"","keyItemMaskOfField":null,"keyOptionIdReplace":"","relatedOptionIds":[],"onlineServices":[],"childCriteriaItemList":[],"clientContextJson":""},{"keyOptionId":"8415","caption":"Burundi","isDefault":true,"maskCriteriaOnly":false,"definition":"","keyProductQueryItem":"300051","comparisonOperation":0,"comparisonValue":"64","minimumVersion":"","maximumVersion":"","formOrder":0,"lowerBound":null,"enabled":true,"mask":"","largeMask":"","maskKey":"","keyItemMaskOfField":null,"keyOptionIdReplace":"","relatedOptionIds":[],"onlineServices":[],"childCriteriaItemList":[],"clientContextJson":""},{"keyOptionId":"8416","caption":"Cameroon","isDefault":true,"maskCriteriaOnly":false,"definition":"","keyProductQueryItem":"300051","comparisonOperation":0,"comparisonValue":"70","minimumVersion":"","maximumVersion":"","formOrder":0,"lowerBound":null,"enabled":true,"mask":"","largeMask":"","maskKey":"","keyItemMaskOfField":null,"keyOptionIdReplace":"","relatedOptionIds":[],"onlineServices":[],"childCriteriaItemList":[],"clientContextJson":""},{"keyOptionId":"8417","caption":"Cape Verde","isDefault":true,"maskCriteriaOnly":false,"definition":"","keyProductQueryItem":"300051","comparisonOperation":0,"comparisonValue":"71","minimumVersion":"","maximumVersion":"","formOrder":0,"lowerBound":null,"enabled":true,"mask":"","largeMask":"","maskKey":"","keyItemMaskOfField":null,"keyOptionIdReplace":"","relatedOptionIds":[],"onlineServices":[],"childCriteriaItemList":[],"clientContextJson":""},{"keyOptionId":"8418","caption":"Central African Rep.","isDefault":true,"maskCriteriaOnly":false,"definition":"","keyProductQueryItem":"300051","comparisonOperation":0,"comparisonValue":"67","minimumVersion":"","maximumVersion":"","formOrder":0,"lowerBound":null,"enabled":true,"mask":"","largeMask":"","maskKey":"","keyItemMaskOfField":null,"keyOptionIdReplace":"","relatedOptionIds":[],"onlineServices":[],"childCriteriaItemList":[],"clientContextJson":""},{"keyOptionId":"8419","caption":"Chad","isDefault":true,"maskCriteriaOnly":false,"definition":"","keyProductQueryItem":"300051","comparisonOperation":0,"comparisonValue":"108","minimumVersion":"","maximumVersion":"","formOrder":0,"lowerBound":null,"enabled":true,"mask":"","largeMask":"","maskKey":"","keyItemMaskOfField":null,"keyOptionIdReplace":"","relatedOptionIds":[],"onlineServices":[],"childCriteriaItemList":[],"clientContextJson":""},{"keyOptionId":"8420","caption":"Comoros","isDefault":true,"maskCriteriaOnly":false,"definition":"","keyProductQueryItem":"300051","comparisonOperation":0,"comparisonValue":"117","minimumVersion":"","maximumVersion":"","formOrder":0,"lowerBound":null,"enabled":true,"mask":"","largeMask":"","maskKey":"","keyItemMaskOfField":null,"keyOptionIdReplace":"","relatedOptionIds":[],"onlineServices":[],"childCriteriaItemList":[],"clientContextJson":""},{"keyOptionId":"8421","caption":"Cote d'Ivoire","isDefault":true,"maskCriteriaOnly":false,"definition":"","keyProductQueryItem":"300051","comparisonOperation":0,"comparisonValue":"69","minimumVersion":"","maximumVersion":"","formOrder":0,"lowerBound":null,"enabled":true,"mask":"","largeMask":"","maskKey":"","keyItemMaskOfField":null,"keyOptionIdReplace":"","relatedOptionIds":[],"onlineServices":[],"childCriteriaItemList":[],"clientContextJson":""},{"keyOptionId":"8422","caption":"Dem. Rep. Congo","isDefault":true,"maskCriteriaOnly":false,"definition":"","keyProductQueryItem":"300051","comparisonOperation":0,"comparisonValue":"115","minimumVersion":"","maximumVersion":"","formOrder":0,"lowerBound":null,"enabled":true,"mask":"","largeMask":"","maskKey":"","keyItemMaskOfField":null,"keyOptionIdReplace":"","relatedOptionIds":[],"onlineServices":[],"childCriteriaItemList":[],"clientContextJson":""},{"keyOptionId":"8423","caption":"Djibouti","isDefault":true,"maskCriteriaOnly":false,"definition":"","keyProductQueryItem":"300051","comparisonOperation":0,"comparisonValue":"72","minimumVersion":"","maximumVersion":"","formOrder":0,"lowerBound":null,"enabled":true,"mask":"","largeMask":"","maskKey":"","keyItemMaskOfField":null,"keyOptionIdReplace":"","relatedOptionIds":[],"onlineServices":[],"childCriteriaItemList":[],"clientContextJson":""},{"keyOptionId":"8424","caption":"Equatorial Guinea","isDefault":true,"maskCriteriaOnly":false,"definition":"","keyProductQueryItem":"300051","comparisonOperation":0,"comparisonValue":"82","minimumVersion":"","maximumVersion":"","formOrder":0,"lowerBound":null,"enabled":true,"mask":"","largeMask":"","maskKey":"","keyItemMaskOfField":null,"keyOptionIdReplace":"","relatedOptionIds":[],"onlineServices":[],"childCriteriaItemList":[],"clientContextJson":</t>
  </si>
  <si>
    <t>""},{"keyOptionId":"8425","caption":"Eritrea","isDefault":true,"maskCriteriaOnly":false,"definition":"","keyProductQueryItem":"300051","comparisonOperation":0,"comparisonValue":"76","minimumVersion":"","maximumVersion":"","formOrder":0,"lowerBound":null,"enabled":true,"mask":"","largeMask":"","maskKey":"","keyItemMaskOfField":null,"keyOptionIdReplace":"","relatedOptionIds":[],"onlineServices":[],"childCriteriaItemList":[],"clientContextJson":""},{"keyOptionId":"8458","caption":"Eswatini","isDefault":true,"maskCriteriaOnly":false,"definition":"","keyProductQueryItem":"300051","comparisonOperation":0,"comparisonValue":"107","minimumVersion":"","maximumVersion":"","formOrder":0,"lowerBound":null,"enabled":true,"mask":"","largeMask":"","maskKey":"","keyItemMaskOfField":null,"keyOptionIdReplace":"","relatedOptionIds":[],"onlineServices":[],"childCriteriaItemList":[],"clientContextJson":""},{"keyOptionId":"8426","caption":"Ethiopia","isDefault":true,"maskCriteriaOnly":false,"definition":"","keyProductQueryItem":"300051","comparisonOperation":0,"comparisonValue":"77","minimumVersion":"","maximumVersion":"","formOrder":0,"lowerBound":null,"enabled":true,"mask":"","largeMask":"","maskKey":"","keyItemMaskOfField":null,"keyOptionIdReplace":"","relatedOptionIds":[],"onlineServices":[],"childCriteriaItemList":[],"clientContextJson":""},{"keyOptionId":"8427","caption":"Gabon","isDefault":true,"maskCriteriaOnly":false,"definition":"","keyProductQueryItem":"300051","comparisonOperation":0,"comparisonValue":"78","minimumVersion":"","maximumVersion":"","formOrder":0,"lowerBound":null,"enabled":true,"mask":"","largeMask":"","maskKey":"","keyItemMaskOfField":null,"keyOptionIdReplace":"","relatedOptionIds":[],"onlineServices":[],"childCriteriaItemList":[],"clientContextJson":""},{"keyOptionId":"8428","caption":"Gambia","isDefault":true,"maskCriteriaOnly":false,"definition":"","keyProductQueryItem":"300051","comparisonOperation":0,"comparisonValue":"80","minimumVersion":"","maximumVersion":"","formOrder":0,"lowerBound":null,"enabled":true,"mask":"","largeMask":"","maskKey":"","keyItemMaskOfField":null,"keyOptionIdReplace":"","relatedOptionIds":[],"onlineServices":[],"childCriteriaItemList":[],"clientContextJson":""},{"keyOptionId":"8429","caption":"Ghana","isDefault":true,"maskCriteriaOnly":false,"definition":"","keyProductQueryItem":"300051","comparisonOperation":0,"comparisonValue":"79","minimumVersion":"","maximumVersion":"","formOrder":0,"lowerBound":null,"enabled":true,"mask":"","largeMask":"","maskKey":"","keyItemMaskOfField":null,"keyOptionIdReplace":"","relatedOptionIds":[],"onlineServices":[],"childCriteriaItemList":[],"clientContextJson":""},{"keyOptionId":"8430","caption":"Guinea","isDefault":true,"maskCriteriaOnly":false,"definition":"","keyProductQueryItem":"300051","comparisonOperation":0,"comparisonValue":"81","minimumVersion":"","maximumVersion":"","formOrder":0,"lowerBound":null,"enabled":true,"mask":"","largeMask":"","maskKey":"","keyItemMaskOfField":null,"keyOptionIdReplace":"","relatedOptionIds":[],"onlineServices":[],"childCriteriaItemList":[],"clientContextJson":""},{"keyOptionId":"8431","caption":"Guinea-Bissau","isDefault":true,"maskCriteriaOnly":false,"definition":"","keyProductQueryItem":"300051","comparisonOperation":0,"comparisonValue":"83","minimumVersion":"","maximumVersion":"","formOrder":0,"lowerBound":null,"enabled":true,"mask":"","largeMask":"","maskKey":"","keyItemMaskOfField":null,"keyOptionIdReplace":"","relatedOptionIds":[],"onlineServices":[],"childCriteriaItemList":[],"clientContextJson":""},{"keyOptionId":"8432","caption":"Kenya","isDefault":true,"maskCriteriaOnly":false,"definition":"","keyProductQueryItem":"300051","comparisonOperation":0,"comparisonValue":"84","minimumVersion":"","maximumVersion":"","formOrder":0,"lowerBound":null,"enabled":true,"mask":"","largeMask":"","maskKey":"","keyItemMaskOfField":null,"keyOptionIdReplace":"","relatedOptionIds":[],"onlineServices":[],"childCriteriaItemList":[],"clientContextJson":""},{"keyOptionId":"8433","caption":"Lesotho","isDefault":true,"maskCriteriaOnly":false,"definition":"","keyProductQueryItem":"300051","comparisonOperation":0,"comparisonValue":"86","minimumVersion":"","maximumVersion":"","formOrder":0,"lowerBound":null,"enabled":true,"mask":"","largeMask":"","maskKey":"","keyItemMaskOfField":null,"keyOptionIdReplace":"","relatedOptionIds":[],"onlineServices":[],"childCriteriaItemList":[],"clientContextJson":""},{"keyOptionId":"8434","caption":"Liberia","isDefault":true,"maskCriteriaOnly":false,"definition":"","keyProductQueryItem":"300051","comparisonOperation":0,"comparisonValue":"85","minimumVersion":"","maximumVersion":"","formOrder":0,"lowerBound":null,"enabled":true,"mask":"","largeMask":"","maskKey":"","keyItemMaskOfField":null,"keyOptionIdReplace":"","relatedOptionIds":[],"onlineServices":[],"childCriteriaItemList":[],"clientContextJson":""},{"keyOptionId":"8435","caption":"Libya","isDefault":true,"maskCriteriaOnly":false,"definition":"","keyProductQueryItem":"300051","comparisonOperation":0,"comparisonValue":"87","minimumVersion":"","maximumVersion":"","formOrder":0,"lowerBound":null,"enabled":true,"mask":"","largeMask":"","maskKey":"","keyItemMaskOfField":null,"keyOptionIdReplace":"","relatedOptionIds":[],"onlineServices":[],"childCriteriaItemList":[],"clientContextJson":""},{"keyOptionId":"8436","caption":"Madagascar","isDefault":true,"maskCriteriaOnly":false,"definition":"","keyProductQueryItem":"300051","comparisonOperation":0,"comparisonValue":"89","minimumVersion":"","maximumVersion":"","formOrder":0,"lowerBound":null,"enabled":true,"mask":"","largeMask":"","maskKey":"","keyItemMaskOfField":null,"keyOptionIdReplace":"","relatedOptionIds":[],"onlineServices":[],"childCriteriaItemList":[],"clientContextJson":""},{"keyOptionId":"8437","caption":"Malawi","isDefault":true,"maskCriteriaOnly":false,"definition":"","keyProductQueryItem":"300051","comparisonOperation":0,"comparisonValue":"93","minimumVersion":"","maximumVersion":"","formOrder":0,"lowerBound":null,"enabled":true,"mask":"","largeMask":"","maskKey":"","keyItemMaskOfField":null,"keyOptionIdReplace":"","relatedOptionIds":[],"onlineServices":[],"childCriteriaItemList":[],"clientContextJson":""},{"keyOptionId":"8438","caption":"Mali","isDefault":true,"maskCriteriaOnly":false,"definition":"","keyProductQueryItem":"300051","comparisonOperation":0,"comparisonValue":"90","minimumVersion":"","maximumVersion":"","formOrder":0,"lowerBound":null,"enabled":true,"mask":"","largeMask":"","maskKey":"","keyItemMaskOfField":null,"keyOptionIdReplace":"","relatedOptionIds":[],"onlineServices":[],"childCriteriaItemList":[],"clientContextJson":""},{"keyOptionId":"8439","caption":"Mauritania","isDefault":true,"maskCriteriaOnly":false,"definition":"","keyProductQueryItem":"300051","comparisonOperation":0,"comparisonValue":"91","minimumVersion":"","maximumVersion":"","formOrder":0,"lowerBound":null,"enabled":true,"mask":"","largeMask":"","maskKey":"","keyItemMaskOfField":null,"keyOptionIdReplace":"","relatedOptionIds":[],"onlineServices":[],"childCriteriaItemList":[],"clientContextJson":""},{"keyOptionId":"8440","caption":"Mauritius","isDefault":true,"maskCriteriaOnly":false,"definition":"","keyProductQueryItem":"300051","comparisonOperation":0,"comparisonValue":"92","minimumVersion":"","maximumVersion":"","formOrder":0,"lowerBound":null,"enabled":true,"mask":"","largeMask":"","maskKey":"","keyItemMaskOfField":null,"keyOptionIdReplace":"","relatedOptionIds":[],"onlineServices":[],"childCriteriaItemList":[],"clientContextJson":""},{"keyOptionId":"8441","caption":"Mayotte","isDefault":true,"maskCriteriaOnly":false,"definition</t>
  </si>
  <si>
    <t>":"","keyProductQueryItem":"300051","comparisonOperation":0,"comparisonValue":"113","minimumVersion":"","maximumVersion":"","formOrder":0,"lowerBound":null,"enabled":true,"mask":"","largeMask":"","maskKey":"","keyItemMaskOfField":null,"keyOptionIdReplace":"","relatedOptionIds":[],"onlineServices":[],"childCriteriaItemList":[],"clientContextJson":""},{"keyOptionId":"8442","caption":"Morocco","isDefault":true,"maskCriteriaOnly":false,"definition":"","keyProductQueryItem":"300051","comparisonOperation":0,"comparisonValue":"88","minimumVersion":"","maximumVersion":"","formOrder":0,"lowerBound":null,"enabled":true,"mask":"","largeMask":"","maskKey":"","keyItemMaskOfField":null,"keyOptionIdReplace":"","relatedOptionIds":[],"onlineServices":[],"childCriteriaItemList":[],"clientContextJson":""},{"keyOptionId":"8443","caption":"Mozambique","isDefault":true,"maskCriteriaOnly":false,"definition":"","keyProductQueryItem":"300051","comparisonOperation":0,"comparisonValue":"94","minimumVersion":"","maximumVersion":"","formOrder":0,"lowerBound":null,"enabled":true,"mask":"","largeMask":"","maskKey":"","keyItemMaskOfField":null,"keyOptionIdReplace":"","relatedOptionIds":[],"onlineServices":[],"childCriteriaItemList":[],"clientContextJson":""},{"keyOptionId":"8444","caption":"Namibia","isDefault":true,"maskCriteriaOnly":false,"definition":"","keyProductQueryItem":"300051","comparisonOperation":0,"comparisonValue":"95","minimumVersion":"","maximumVersion":"","formOrder":0,"lowerBound":null,"enabled":true,"mask":"","largeMask":"","maskKey":"","keyItemMaskOfField":null,"keyOptionIdReplace":"","relatedOptionIds":[],"onlineServices":[],"childCriteriaItemList":[],"clientContextJson":""},{"keyOptionId":"8445","caption":"Niger","isDefault":true,"maskCriteriaOnly":false,"definition":"","keyProductQueryItem":"300051","comparisonOperation":0,"comparisonValue":"96","minimumVersion":"","maximumVersion":"","formOrder":0,"lowerBound":null,"enabled":true,"mask":"","largeMask":"","maskKey":"","keyItemMaskOfField":null,"keyOptionIdReplace":"","relatedOptionIds":[],"onlineServices":[],"childCriteriaItemList":[],"clientContextJson":""},{"keyOptionId":"8446","caption":"Nigeria","isDefault":true,"maskCriteriaOnly":false,"definition":"","keyProductQueryItem":"300051","comparisonOperation":0,"comparisonValue":"97","minimumVersion":"","maximumVersion":"","formOrder":0,"lowerBound":null,"enabled":true,"mask":"","largeMask":"","maskKey":"","keyItemMaskOfField":null,"keyOptionIdReplace":"","relatedOptionIds":[],"onlineServices":[],"childCriteriaItemList":[],"clientContextJson":""},{"keyOptionId":"8447","caption":"Rep. Of the Congo","isDefault":true,"maskCriteriaOnly":false,"definition":"","keyProductQueryItem":"300051","comparisonOperation":0,"comparisonValue":"68","minimumVersion":"","maximumVersion":"","formOrder":0,"lowerBound":null,"enabled":true,"mask":"","largeMask":"","maskKey":"","keyItemMaskOfField":null,"keyOptionIdReplace":"","relatedOptionIds":[],"onlineServices":[],"childCriteriaItemList":[],"clientContextJson":""},{"keyOptionId":"8448","caption":"Reunion","isDefault":true,"maskCriteriaOnly":false,"definition":"","keyProductQueryItem":"300051","comparisonOperation":0,"comparisonValue":"98","minimumVersion":"","maximumVersion":"","formOrder":0,"lowerBound":null,"enabled":true,"mask":"","largeMask":"","maskKey":"","keyItemMaskOfField":null,"keyOptionIdReplace":"","relatedOptionIds":[],"onlineServices":[],"childCriteriaItemList":[],"clientContextJson":""},{"keyOptionId":"8449","caption":"Rwanda","isDefault":true,"maskCriteriaOnly":false,"definition":"","keyProductQueryItem":"300051","comparisonOperation":0,"comparisonValue":"99","minimumVersion":"","maximumVersion":"","formOrder":0,"lowerBound":null,"enabled":true,"mask":"","largeMask":"","maskKey":"","keyItemMaskOfField":null,"keyOptionIdReplace":"","relatedOptionIds":[],"onlineServices":[],"childCriteriaItemList":[],"clientContextJson":""},{"keyOptionId":"8450","caption":"Saint Helena","isDefault":true,"maskCriteriaOnly":false,"definition":"","keyProductQueryItem":"300051","comparisonOperation":0,"comparisonValue":"102","minimumVersion":"","maximumVersion":"","formOrder":0,"lowerBound":null,"enabled":true,"mask":"","largeMask":"","maskKey":"","keyItemMaskOfField":null,"keyOptionIdReplace":"","relatedOptionIds":[],"onlineServices":[],"childCriteriaItemList":[],"clientContextJson":""},{"keyOptionId":"8451","caption":"Sao Tome &amp; Principe","isDefault":true,"maskCriteriaOnly":false,"definition":"","keyProductQueryItem":"300051","comparisonOperation":0,"comparisonValue":"106","minimumVersion":"","maximumVersion":"","formOrder":0,"lowerBound":null,"enabled":true,"mask":"","largeMask":"","maskKey":"","keyItemMaskOfField":null,"keyOptionIdReplace":"","relatedOptionIds":[],"onlineServices":[],"childCriteriaItemList":[],"clientContextJson":""},{"keyOptionId":"8452","caption":"Senegal","isDefault":true,"maskCriteriaOnly":false,"definition":"","keyProductQueryItem":"300051","comparisonOperation":0,"comparisonValue":"104","minimumVersion":"","maximumVersion":"","formOrder":0,"lowerBound":null,"enabled":true,"mask":"","largeMask":"","maskKey":"","keyItemMaskOfField":null,"keyOptionIdReplace":"","relatedOptionIds":[],"onlineServices":[],"childCriteriaItemList":[],"clientContextJson":""},{"keyOptionId":"8453","caption":"Seychelles","isDefault":true,"maskCriteriaOnly":false,"definition":"","keyProductQueryItem":"300051","comparisonOperation":0,"comparisonValue":"100","minimumVersion":"","maximumVersion":"","formOrder":0,"lowerBound":null,"enabled":true,"mask":"","largeMask":"","maskKey":"","keyItemMaskOfField":null,"keyOptionIdReplace":"","relatedOptionIds":[],"onlineServices":[],"childCriteriaItemList":[],"clientContextJson":""},{"keyOptionId":"8454","caption":"Sierra Leone","isDefault":true,"maskCriteriaOnly":false,"definition":"","keyProductQueryItem":"300051","comparisonOperation":0,"comparisonValue":"103","minimumVersion":"","maximumVersion":"","formOrder":0,"lowerBound":null,"enabled":true,"mask":"","largeMask":"","maskKey":"","keyItemMaskOfField":null,"keyOptionIdReplace":"","relatedOptionIds":[],"onlineServices":[],"childCriteriaItemList":[],"clientContextJson":""},{"keyOptionId":"8455","caption":"Somalia","isDefault":true,"maskCriteriaOnly":false,"definition":"","keyProductQueryItem":"300051","comparisonOperation":0,"comparisonValue":"105","minimumVersion":"","maximumVersion":"","formOrder":0,"lowerBound":null,"enabled":true,"mask":"","largeMask":"","maskKey":"","keyItemMaskOfField":null,"keyOptionIdReplace":"","relatedOptionIds":[],"onlineServices":[],"childCriteriaItemList":[],"clientContextJson":""},{"keyOptionId":"8456","caption":"South Africa","isDefault":true,"maskCriteriaOnly":false,"definition":"","keyProductQueryItem":"300051","comparisonOperation":0,"comparisonValue":"118","minimumVersion":"","maximumVersion":"","formOrder":0,"lowerBound":null,"enabled":true,"mask":"","largeMask":"","maskKey":"","keyItemMaskOfField":null,"keyOptionIdReplace":"","relatedOptionIds":[],"onlineServices":[],"childCriteriaItemList":[],"clientContextJson":""},{"keyOptionId":"8457","caption":"Sudan","isDefault":true,"maskCriteriaOnly":false,"definition":"","keyProductQueryItem":"300051","comparisonOperation":0,"comparisonValue":"101","minimumVersion":"","maximumVersion":"","formOrder":0,"lowerBound":null,"enabled":true,"mask":"","largeMask":"","maskKey":"","keyItemMaskOfField":null,"keyOptionIdReplace":"","relatedOptionIds":[],"onlineServices":[],"childCriteriaItemList":[],"clientContextJson":""},{"keyOptionId":"8459","caption":"Tanzania","isDefault":true,"maskCriteriaOnly":false,"definition":"","keyProductQueryItem":"300051","comparisonOperati</t>
  </si>
  <si>
    <t>on":0,"comparisonValue":"111","minimumVersion":"","maximumVersion":"","formOrder":0,"lowerBound":null,"enabled":true,"mask":"","largeMask":"","maskKey":"","keyItemMaskOfField":null,"keyOptionIdReplace":"","relatedOptionIds":[],"onlineServices":[],"childCriteriaItemList":[],"clientContextJson":""},{"keyOptionId":"8460","caption":"Togo","isDefault":true,"maskCriteriaOnly":false,"definition":"","keyProductQueryItem":"300051","comparisonOperation":0,"comparisonValue":"109","minimumVersion":"","maximumVersion":"","formOrder":0,"lowerBound":null,"enabled":true,"mask":"","largeMask":"","maskKey":"","keyItemMaskOfField":null,"keyOptionIdReplace":"","relatedOptionIds":[],"onlineServices":[],"childCriteriaItemList":[],"clientContextJson":""},{"keyOptionId":"8461","caption":"Tunisia","isDefault":true,"maskCriteriaOnly":false,"definition":"","keyProductQueryItem":"300051","comparisonOperation":0,"comparisonValue":"110","minimumVersion":"","maximumVersion":"","formOrder":0,"lowerBound":null,"enabled":true,"mask":"","largeMask":"","maskKey":"","keyItemMaskOfField":null,"keyOptionIdReplace":"","relatedOptionIds":[],"onlineServices":[],"childCriteriaItemList":[],"clientContextJson":""},{"keyOptionId":"8462","caption":"Uganda","isDefault":true,"maskCriteriaOnly":false,"definition":"","keyProductQueryItem":"300051","comparisonOperation":0,"comparisonValue":"112","minimumVersion":"","maximumVersion":"","formOrder":0,"lowerBound":null,"enabled":true,"mask":"","largeMask":"","maskKey":"","keyItemMaskOfField":null,"keyOptionIdReplace":"","relatedOptionIds":[],"onlineServices":[],"childCriteriaItemList":[],"clientContextJson":""},{"keyOptionId":"8463","caption":"Western Sahara","isDefault":true,"maskCriteriaOnly":false,"definition":"","keyProductQueryItem":"300051","comparisonOperation":0,"comparisonValue":"75","minimumVersion":"","maximumVersion":"","formOrder":0,"lowerBound":null,"enabled":true,"mask":"","largeMask":"","maskKey":"","keyItemMaskOfField":null,"keyOptionIdReplace":"","relatedOptionIds":[],"onlineServices":[],"childCriteriaItemList":[],"clientContextJson":""},{"keyOptionId":"8464","caption":"Zambia","isDefault":true,"maskCriteriaOnly":false,"definition":"","keyProductQueryItem":"300051","comparisonOperation":0,"comparisonValue":"114","minimumVersion":"","maximumVersion":"","formOrder":0,"lowerBound":null,"enabled":true,"mask":"","largeMask":"","maskKey":"","keyItemMaskOfField":null,"keyOptionIdReplace":"","relatedOptionIds":[],"onlineServices":[],"childCriteriaItemList":[],"clientContextJson":""},{"keyOptionId":"8465","caption":"Zimbabwe","isDefault":true,"maskCriteriaOnly":false,"definition":"","keyProductQueryItem":"300051","comparisonOperation":0,"comparisonValue":"116","minimumVersion":"","maximumVersion":"","formOrder":0,"lowerBound":null,"enabled":true,"mask":"","largeMask":"","maskKey":"","keyItemMaskOfField":null,"keyOptionIdReplace":"","relatedOptionIds":[],"onlineServices":[],"childCriteriaItemList":[],"clientContextJson":""}],"clientContextJson":""}],"clientContextJson":""}]},{"filterGroupId":"8469","filterGroupIdReplace":"","caption":"Transaction Status","groupType":2,"optionType":1,"formOrder":50,"minimumVersion":"","maximumVersion":"","onlineServicesEnabled":false,"column":0,"columnFormOrder":50,"criteriaIdName":"","required":true,"dateDefaultType":"","criteriaItemList":[{"keyOptionId":"8470","caption":"Announced","isDefault":true,"maskCriteriaOnly":false,"definition":"","keyProductQueryItem":"299103","comparisonOperation":0,"comparisonValue":"0","minimumVersion":"","maximumVersion":"","formOrder":0,"lowerBound":null,"enabled":true,"mask":"","largeMask":"","maskKey":"","keyItemMaskOfField":null,"keyOptionIdReplace":"","relatedOptionIds":[],"onlineServices":[],"childCriteriaItemList":[],"clientContextJson":""},{"keyOptionId":"8471","caption":"Completed","isDefault":true,"maskCriteriaOnly":false,"definition":"","keyProductQueryItem":"299103","comparisonOperation":0,"comparisonValue":"1","minimumVersion":"","maximumVersion":"","formOrder":0,"lowerBound":null,"enabled":true,"mask":"","largeMask":"","maskKey":"","keyItemMaskOfField":null,"keyOptionIdReplace":"","relatedOptionIds":[],"onlineServices":[],"childCriteriaItemList":[],"clientContextJson":""},{"keyOptionId":"8472","caption":"Terminated/Withdrawn","isDefault":false,"maskCriteriaOnly":false,"definition":"","keyProductQueryItem":"299103","comparisonOperation":0,"comparisonValue":"2","minimumVersion":"","maximumVersion":"","formOrder":0,"lowerBound":null,"enabled":true,"mask":"","largeMask":"","maskKey":"","keyItemMaskOfField":null,"keyOptionIdReplace":"","relatedOptionIds":[],"onlineServices":[],"childCriteriaItemList":[],"clientContextJson":""}]},{"filterGroupId":"9696","filterGroupIdReplace":"","caption":"Transaction Feature","groupType":2,"optionType":1,"formOrder":70,"minimumVersion":"","maximumVersion":"","onlineServicesEnabled":false,"column":0,"columnFormOrder":70,"criteriaIdName":"","required":false,"dateDefaultType":"","criteriaItemList":[{"keyOptionId":"9735","caption":"All","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9697","caption":"M&amp;A","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9698","caption":"Asset Acquisition","isDefault":false,"maskCriteriaOnly":false,"definition":"","keyProductQueryItem":"311833","comparisonOperation":0,"comparisonValue":"0","minimumVersion":"","maximumVersion":"","formOrder":0,"lowerBound":null,"enabled":true,"mask":"","largeMask":"","maskKey":"","keyItemMaskOfField":null,"keyOptionIdReplace":"","relatedOptionIds":[],"onlineServices":[],"childCriteriaItemList":[],"clientContextJson":""},{"keyOptionId":"9699","caption":"Bankruptcy Sale","isDefault":false,"maskCriteriaOnly":false,"definition":"","keyProductQueryItem":"311833","comparisonOperation":0,"comparisonValue":"3","minimumVersion":"","maximumVersion":"","formOrder":0,"lowerBound":null,"enabled":true,"mask":"","largeMask":"","maskKey":"","keyItemMaskOfField":null,"keyOptionIdReplace":"","relatedOptionIds":[],"onlineServices":[],"childCriteriaItemList":[],"clientContextJson":""},{"keyOptionId":"9700","caption":"Government Assisted Deal","isDefault":false,"maskCriteriaOnly":false,"definition":"","keyProductQueryItem":"311833","comparisonOperation":0,"comparisonValue":"4","minimumVersion":"","maximumVersion":"","formOrder":0,"lowerBound":null,"enabled":true,"mask":"","largeMask":"","maskKey":"","keyItemMaskOfField":null,"keyOptionIdReplace":"","relatedOptionIds":[],"onlineServices":[],"childCriteriaItemList":[],"clientContextJson":""},{"keyOptionId":"9701","caption":"Thrift Merger Conversion","isDefault":false,"maskCriteriaOnly":false,"definition":"","keyProductQueryItem":"311833","comparisonOperation":0,"comparisonValue":"5","minimumVersion":"","maximumVersion":"","formOrder":0,"lowerBound":null,"enabled":true,"mask":"","largeMask":"","maskKey":"","keyItemMaskOfField":null,"keyOptionIdReplace":"","relatedOptionIds":[],"onlineServices":[],"childCriteriaItemList":[],"clientContextJson":""},{"keyOptionId":"9702","capt</t>
  </si>
  <si>
    <t>ion":"Merger of Equals","isDefault":false,"maskCriteriaOnly":false,"definition":"","keyProductQueryItem":"311833","comparisonOperation":0,"comparisonValue":"6","minimumVersion":"","maximumVersion":"","formOrder":0,"lowerBound":null,"enabled":true,"mask":"","largeMask":"","maskKey":"","keyItemMaskOfField":null,"keyOptionIdReplace":"","relatedOptionIds":[],"onlineServices":[],"childCriteriaItemList":[],"clientContextJson":""},{"keyOptionId":"9703","caption":"Merger of Mutuals","isDefault":false,"maskCriteriaOnly":false,"definition":"","keyProductQueryItem":"311833","comparisonOperation":0,"comparisonValue":"7","minimumVersion":"","maximumVersion":"","formOrder":0,"lowerBound":null,"enabled":true,"mask":"","largeMask":"","maskKey":"","keyItemMaskOfField":null,"keyOptionIdReplace":"","relatedOptionIds":[],"onlineServices":[],"childCriteriaItemList":[],"clientContextJson":""},{"keyOptionId":"9704","caption":"Reverse Merger","isDefault":false,"maskCriteriaOnly":false,"definition":"","keyProductQueryItem":"311833","comparisonOperation":0,"comparisonValue":"10","minimumVersion":"","maximumVersion":"","formOrder":0,"lowerBound":null,"enabled":true,"mask":"","largeMask":"","maskKey":"","keyItemMaskOfField":null,"keyOptionIdReplace":"","relatedOptionIds":[],"onlineServices":[],"childCriteriaItemList":[],"clientContextJson":""},{"keyOptionId":"9705","caption":"Tender Offer","isDefault":false,"maskCriteriaOnly":false,"definition":"","keyProductQueryItem":"311833","comparisonOperation":0,"comparisonValue":"11","minimumVersion":"","maximumVersion":"","formOrder":0,"lowerBound":null,"enabled":true,"mask":"","largeMask":"","maskKey":"","keyItemMaskOfField":null,"keyOptionIdReplace":"","relatedOptionIds":[],"onlineServices":[],"childCriteriaItemList":[],"clientContextJson":""},{"keyOptionId":"9706","caption":"Reverse Morris Trust","isDefault":false,"maskCriteriaOnly":false,"definition":"","keyProductQueryItem":"311833","comparisonOperation":0,"comparisonValue":"29","minimumVersion":"","maximumVersion":"","formOrder":0,"lowerBound":null,"enabled":true,"mask":"","largeMask":"","maskKey":"","keyItemMaskOfField":null,"keyOptionIdReplace":"","relatedOptionIds":[],"onlineServices":[],"childCriteriaItemList":[],"clientContextJson":""},{"keyOptionId":"9707","caption":"Branch Acquisition","isDefault":false,"maskCriteriaOnly":false,"definition":"","keyProductQueryItem":"311833","comparisonOperation":0,"comparisonValue":"45","minimumVersion":"","maximumVersion":"","formOrder":0,"lowerBound":null,"enabled":true,"mask":"","largeMask":"","maskKey":"","keyItemMaskOfField":null,"keyOptionIdReplace":"","relatedOptionIds":[],"onlineServices":[],"childCriteriaItemList":[],"clientContextJson":""},{"keyOptionId":"9708","caption":"Property Acquisition","isDefault":false,"maskCriteriaOnly":false,"definition":"","keyProductQueryItem":"311833","comparisonOperation":0,"comparisonValue":"46","minimumVersion":"","maximumVersion":"","formOrder":0,"lowerBound":null,"enabled":true,"mask":"","largeMask":"","maskKey":"","keyItemMaskOfField":null,"keyOptionIdReplace":"","relatedOptionIds":[],"onlineServices":[],"childCriteriaItemList":[],"clientContextJson":""},{"keyOptionId":"9709","caption":"Franchise Acquisition","isDefault":false,"maskCriteriaOnly":false,"definition":"","keyProductQueryItem":"311833","comparisonOperation":0,"comparisonValue":"47","minimumVersion":"","maximumVersion":"","formOrder":0,"lowerBound":null,"enabled":true,"mask":"","largeMask":"","maskKey":"","keyItemMaskOfField":null,"keyOptionIdReplace":"","relatedOptionIds":[],"onlineServices":[],"childCriteriaItemList":[],"clientContextJson":""},{"keyOptionId":"9710","caption":"Going Private Transaction","isDefault":false,"maskCriteriaOnly":false,"definition":"","keyProductQueryItem":"311833","comparisonOperation":0,"comparisonValue":"57","minimumVersion":"","maximumVersion":"","formOrder":0,"lowerBound":null,"enabled":true,"mask":"","largeMask":"","maskKey":"","keyItemMaskOfField":null,"keyOptionIdReplace":"","relatedOptionIds":[],"onlineServices":[],"childCriteriaItemList":[],"clientContextJson":""},{"keyOptionId":"9711","caption":"Leveraged Buyout (LBO)","isDefault":false,"maskCriteriaOnly":false,"definition":"","keyProductQueryItem":"311833","comparisonOperation":0,"comparisonValue":"71","minimumVersion":"","maximumVersion":"","formOrder":0,"lowerBound":null,"enabled":true,"mask":"","largeMask":"","maskKey":"","keyItemMaskOfField":null,"keyOptionIdReplace":"","relatedOptionIds":[],"onlineServices":[],"childCriteriaItemList":[],"clientContextJson":""},{"keyOptionId":"9712","caption":"Management Buyout (MBO)","isDefault":false,"maskCriteriaOnly":false,"definition":"","keyProductQueryItem":"311833","comparisonOperation":0,"comparisonValue":"74","minimumVersion":"","maximumVersion":"","formOrder":0,"lowerBound":null,"enabled":true,"mask":"","largeMask":"","maskKey":"","keyItemMaskOfField":null,"keyOptionIdReplace":"","relatedOptionIds":[],"onlineServices":[],"childCriteriaItemList":[],"clientContextJson":""}],"clientContextJson":""},{"keyOptionId":"9713","caption":"Offerings","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9714","caption":"New Market Listing","isDefault":true,"maskCriteriaOnly":false,"definition":"","keyProductQueryItem":"311834","comparisonOperation":0,"comparisonValue":"90","minimumVersion":"","maximumVersion":"","formOrder":0,"lowerBound":null,"enabled":true,"mask":"","largeMask":"","maskKey":"","keyItemMaskOfField":null,"keyOptionIdReplace":"","relatedOptionIds":[],"onlineServices":[],"childCriteriaItemList":[],"clientContextJson":""},{"keyOptionId":"9715","caption":"At the Market Offering","isDefault":true,"maskCriteriaOnly":false,"definition":"","keyProductQueryItem":"311834","comparisonOperation":0,"comparisonValue":"91","minimumVersion":"","maximumVersion":"","formOrder":0,"lowerBound":null,"enabled":true,"mask":"","largeMask":"","maskKey":"","keyItemMaskOfField":null,"keyOptionIdReplace":"","relatedOptionIds":[],"onlineServices":[],"childCriteriaItemList":[],"clientContextJson":""},{"keyOptionId":"9716","caption":"Best Efforts Basis","isDefault":true,"maskCriteriaOnly":false,"definition":"","keyProductQueryItem":"311834","comparisonOperation":0,"comparisonValue":"92","minimumVersion":"","maximumVersion":"","formOrder":0,"lowerBound":null,"enabled":true,"mask":"","largeMask":"","maskKey":"","keyItemMaskOfField":null,"keyOptionIdReplace":"","relatedOptionIds":[],"onlineServices":[],"childCriteriaItemList":[],"clientContextJson":""},{"keyOptionId":"9717","caption":"Carve Out","isDefault":true,"maskCriteriaOnly":false,"definition":"","keyProductQueryItem":"311834","comparisonOperation":0,"comparisonValue":"97","minimumVersion":"","maximumVersion":"","formOrder":0,"lowerBound":null,"enabled":true,"mask":"","largeMask":"","maskKey":"","keyItemMaskOfField":null,"keyOptionIdReplace":"","relatedOptionIds":[],"onlineServices":[],"childCriteriaItemList":[],"clientContextJson":""},{"keyOptionId":"9718","caption":"Mutual Conversion","isDefault":true,"maskCriteriaOnly":false,"definition":"","keyProductQueryItem":"311834","comparisonOperation":0,"comparisonValue":"98","minimumVersion":"","maximumVersion":"","formOrder":0,"lowerBound":null,"enabled":true,"mask":"","largeMask":"","maskKey":"","keyItemMaskOfField":null,"keyOptionIdReplace":"","relatedOptionIds":[],"onlineServices</t>
  </si>
  <si>
    <t>":[],"childCriteriaItemList":[],"clientContextJson":""},{"keyOptionId":"9719","caption":"Sponsor Backed Offering","isDefault":true,"maskCriteriaOnly":false,"definition":"","keyProductQueryItem":"311834","comparisonOperation":0,"comparisonValue":"100","minimumVersion":"","maximumVersion":"","formOrder":0,"lowerBound":null,"enabled":true,"mask":"","largeMask":"","maskKey":"","keyItemMaskOfField":null,"keyOptionIdReplace":"","relatedOptionIds":[],"onlineServices":[],"childCriteriaItemList":[],"clientContextJson":""},{"keyOptionId":"9720","caption":"Direct Listing","isDefault":true,"maskCriteriaOnly":false,"definition":"","keyProductQueryItem":"311834","comparisonOperation":0,"comparisonValue":"101","minimumVersion":"","maximumVersion":"","formOrder":0,"lowerBound":null,"enabled":true,"mask":"","largeMask":"","maskKey":"","keyItemMaskOfField":null,"keyOptionIdReplace":"","relatedOptionIds":[],"onlineServices":[],"childCriteriaItemList":[],"clientContextJson":""},{"keyOptionId":"9721","caption":"Exchange Offer","isDefault":true,"maskCriteriaOnly":false,"definition":"","keyProductQueryItem":"311834","comparisonOperation":0,"comparisonValue":"104","minimumVersion":"","maximumVersion":"","formOrder":0,"lowerBound":null,"enabled":true,"mask":"","largeMask":"","maskKey":"","keyItemMaskOfField":null,"keyOptionIdReplace":"","relatedOptionIds":[],"onlineServices":[],"childCriteriaItemList":[],"clientContextJson":""},{"keyOptionId":"9722","caption":"Registered Direct Offering","isDefault":true,"maskCriteriaOnly":false,"definition":"","keyProductQueryItem":"311834","comparisonOperation":0,"comparisonValue":"105","minimumVersion":"","maximumVersion":"","formOrder":0,"lowerBound":null,"enabled":true,"mask":"","largeMask":"","maskKey":"","keyItemMaskOfField":null,"keyOptionIdReplace":"","relatedOptionIds":[],"onlineServices":[],"childCriteriaItemList":[],"clientContextJson":""},{"keyOptionId":"9723","caption":"Regulation S","isDefault":true,"maskCriteriaOnly":false,"definition":"","keyProductQueryItem":"311834","comparisonOperation":0,"comparisonValue":"106","minimumVersion":"","maximumVersion":"","formOrder":0,"lowerBound":null,"enabled":true,"mask":"","largeMask":"","maskKey":"","keyItemMaskOfField":null,"keyOptionIdReplace":"","relatedOptionIds":[],"onlineServices":[],"childCriteriaItemList":[],"clientContextJson":""},{"keyOptionId":"9724","caption":"Rights Offering","isDefault":true,"maskCriteriaOnly":false,"definition":"","keyProductQueryItem":"311834","comparisonOperation":0,"comparisonValue":"108","minimumVersion":"","maximumVersion":"","formOrder":0,"lowerBound":null,"enabled":true,"mask":"","largeMask":"","maskKey":"","keyItemMaskOfField":null,"keyOptionIdReplace":"","relatedOptionIds":[],"onlineServices":[],"childCriteriaItemList":[],"clientContextJson":""},{"keyOptionId":"9725","caption":"Rule 144A","isDefault":true,"maskCriteriaOnly":false,"definition":"","keyProductQueryItem":"311834","comparisonOperation":0,"comparisonValue":"109","minimumVersion":"","maximumVersion":"","formOrder":0,"lowerBound":null,"enabled":true,"mask":"","largeMask":"","maskKey":"","keyItemMaskOfField":null,"keyOptionIdReplace":"","relatedOptionIds":[],"onlineServices":[],"childCriteriaItemList":[],"clientContextJson":""},{"keyOptionId":"9726","caption":"Incubation","isDefault":true,"maskCriteriaOnly":false,"definition":"","keyProductQueryItem":"311834","comparisonOperation":0,"comparisonValue":"127","minimumVersion":"","maximumVersion":"","formOrder":0,"lowerBound":null,"enabled":true,"mask":"","largeMask":"","maskKey":"","keyItemMaskOfField":null,"keyOptionIdReplace":"","relatedOptionIds":[],"onlineServices":[],"childCriteriaItemList":[],"clientContextJson":""},{"keyOptionId":"9727","caption":"Bought Deal","isDefault":true,"maskCriteriaOnly":false,"definition":"","keyProductQueryItem":"311834","comparisonOperation":0,"comparisonValue":"143","minimumVersion":"","maximumVersion":"","formOrder":0,"lowerBound":null,"enabled":true,"mask":"","largeMask":"","maskKey":"","keyItemMaskOfField":null,"keyOptionIdReplace":"","relatedOptionIds":[],"onlineServices":[],"childCriteriaItemList":[],"clientContextJson":""},{"keyOptionId":"9728","caption":"Regulation D","isDefault":true,"maskCriteriaOnly":false,"definition":"","keyProductQueryItem":"311834","comparisonOperation":0,"comparisonValue":"145","minimumVersion":"","maximumVersion":"","formOrder":0,"lowerBound":null,"enabled":true,"mask":"","largeMask":"","maskKey":"","keyItemMaskOfField":null,"keyOptionIdReplace":"","relatedOptionIds":[],"onlineServices":[],"childCriteriaItemList":[],"clientContextJson":""},{"keyOptionId":"9729","caption":"Growth Capital","isDefault":true,"maskCriteriaOnly":false,"definition":"","keyProductQueryItem":"311834","comparisonOperation":0,"comparisonValue":"148","minimumVersion":"","maximumVersion":"","formOrder":0,"lowerBound":null,"enabled":true,"mask":"","largeMask":"","maskKey":"","keyItemMaskOfField":null,"keyOptionIdReplace":"","relatedOptionIds":[],"onlineServices":[],"childCriteriaItemList":[],"clientContextJson":""},{"keyOptionId":"9730","caption":"Venture Capital","isDefault":true,"maskCriteriaOnly":false,"definition":"","keyProductQueryItem":"311834","comparisonOperation":0,"comparisonValue":"149","minimumVersion":"","maximumVersion":"","formOrder":0,"lowerBound":null,"enabled":true,"mask":"","largeMask":"","maskKey":"","keyItemMaskOfField":null,"keyOptionIdReplace":"","relatedOptionIds":[],"onlineServices":[],"childCriteriaItemList":[],"clientContextJson":""},{"keyOptionId":"9731","caption":"PIPE","isDefault":true,"maskCriteriaOnly":false,"definition":"","keyProductQueryItem":"311834","comparisonOperation":0,"comparisonValue":"150","minimumVersion":"","maximumVersion":"","formOrder":0,"lowerBound":null,"enabled":true,"mask":"","largeMask":"","maskKey":"","keyItemMaskOfField":null,"keyOptionIdReplace":"","relatedOptionIds":[],"onlineServices":[],"childCriteriaItemList":[],"clientContextJson":""},{"keyOptionId":"9732","caption":"Underwritten Offering","isDefault":true,"maskCriteriaOnly":false,"definition":"","keyProductQueryItem":"311834","comparisonOperation":0,"comparisonValue":"156","minimumVersion":"","maximumVersion":"","formOrder":0,"lowerBound":null,"enabled":true,"mask":"","largeMask":"","maskKey":"","keyItemMaskOfField":null,"keyOptionIdReplace":"","relatedOptionIds":[],"onlineServices":[],"childCriteriaItemList":[],"clientContextJson":""},{"keyOptionId":"9733","caption":"Sales Agency Agreement","isDefault":true,"maskCriteriaOnly":false,"definition":"","keyProductQueryItem":"311834","comparisonOperation":0,"comparisonValue":"157","minimumVersion":"","maximumVersion":"","formOrder":0,"lowerBound":null,"enabled":true,"mask":"","largeMask":"","maskKey":"","keyItemMaskOfField":null,"keyOptionIdReplace":"","relatedOptionIds":[],"onlineServices":[],"childCriteriaItemList":[],"clientContextJson":""},{"keyOptionId":"9734","caption":"De Novo Offering","isDefault":true,"maskCriteriaOnly":false,"definition":"","keyProductQueryItem":"311834","comparisonOperation":0,"comparisonValue":"162","minimumVersion":"","maximumVersion":"","formOrder":0,"lowerBound":null,"enabled":true,"mask":"","largeMask":"","maskKey":"","keyItemMaskOfField":null,"keyOptionIdReplace":"","relatedOptionIds":[],"onlineServices":[],"childCriteriaItemList":[],"clientContextJson":""}],"clientContextJson":""}],"clientContextJson":""}]},{"filterGroupId":"8466","filterGroupIdReplace":"","caption":"Announcement Date Range","groupType":2,"optionType":4,"formOrder":40,"minimumVersion":"","maximumVersion":"","onlineServicesEnabled":false,"column":0,"columnFormOrder":40,"criteriaIdName":"","required":false,"dateDefaultType":"","criteri</t>
  </si>
  <si>
    <t>","relatedOptionIds":[],"onlineServices":[],"childCriteriaItemList":[],"clientContextJson":""},{"keyOptionId":"9728","caption":"Regulation D","isDefault":true,"maskCriteriaOnly":false,"definition":"","keyProductQueryItem":"311834","comparisonOperation":0,"comparisonValue":"145","minimumVersion":"","maximumVersion":"","formOrder":0,"lowerBound":null,"enabled":true,"mask":"","largeMask":"","maskKey":"","keyItemMaskOfField":null,"keyOptionIdReplace":"","relatedOptionIds":[],"onlineServices":[],"childCriteriaItemList":[],"clientContextJson":""},{"keyOptionId":"9729","caption":"Growth Capital","isDefault":true,"maskCriteriaOnly":false,"definition":"","keyProductQueryItem":"311834","comparisonOperation":0,"comparisonValue":"148","minimumVersion":"","maximumVersion":"","formOrder":0,"lowerBound":null,"enabled":true,"mask":"","largeMask":"","maskKey":"","keyItemMaskOfField":null,"keyOptionIdReplace":"","relatedOptionIds":[],"onlineServices":[],"childCriteriaItemList":[],"clientContextJson":""},{"keyOptionId":"9730","caption":"Venture Capital","isDefault":true,"maskCriteriaOnly":false,"definition":"","keyProductQueryItem":"311834","comparisonOperation":0,"comparisonValue":"149","minimumVersion":"","maximumVersion":"","formOrder":0,"lowerBound":null,"enabled":true,"mask":"","largeMask":"","maskKey":"","keyItemMaskOfField":null,"keyOptionIdReplace":"","relatedOptionIds":[],"onlineServices":[],"childCriteriaItemList":[],"clientContextJson":""},{"keyOptionId":"9731","caption":"PIPE","isDefault":true,"maskCriteriaOnly":false,"definition":"","keyProductQueryItem":"311834","comparisonOperation":0,"comparisonValue":"150","minimumVersion":"","maximumVersion":"","formOrder":0,"lowerBound":null,"enabled":true,"mask":"","largeMask":"","maskKey":"","keyItemMaskOfField":null,"keyOptionIdReplace":"","relatedOptionIds":[],"onlineServices":[],"childCriteriaItemList":[],"clientContextJson":""},{"keyOptionId":"9732","caption":"Underwritten Offering","isDefault":true,"maskCriteriaOnly":false,"definition":"","keyProductQueryItem":"311834","comparisonOperation":0,"comparisonValue":"156","minimumVersion":"","maximumVersion":"","formOrder":0,"lowerBound":null,"enabled":true,"mask":"","largeMask":"","maskKey":"","keyItemMaskOfField":null,"keyOptionIdReplace":"","relatedOptionIds":[],"onlineServices":[],"childCriteriaItemList":[],"clientContextJson":""},{"keyOptionId":"9733","caption":"Sales Agency Agreement","isDefault":true,"maskCriteriaOnly":false,"definition":"","keyProductQueryItem":"311834","comparisonOperation":0,"comparisonValue":"157","minimumVersion":"","maximumVersion":"","formOrder":0,"lowerBound":null,"enabled":true,"mask":"","largeMask":"","maskKey":"","keyItemMaskOfField":null,"keyOptionIdReplace":"","relatedOptionIds":[],"onlineServices":[],"childCriteriaItemList":[],"clientContextJson":""},{"keyOptionId":"9734","caption":"De Novo Offering","isDefault":true,"maskCriteriaOnly":false,"definition":"","keyProductQueryItem":"311834","comparisonOperation":0,"comparisonValue":"162","minimumVersion":"","maximumVersion":"","formOrder":0,"lowerBound":null,"enabled":true,"mask":"","largeMask":"","maskKey":"","keyItemMaskOfField":null,"keyOptionIdReplace":"","relatedOptionIds":[],"onlineServices":[],"childCriteriaItemList":[],"clientContextJson":""}],"clientContextJson":""}],"clientContextJson":""}]},{"filterGroupId":"8466","filterGroupIdReplace":"","caption":"Announcement Date Range","groupType":2,"optionType":4,"formOrder":40,"minimumVersion":"","maximumVersion":"","onlineServicesEnabled":false,"column":0,"columnFormOrder":40,"criteriaIdName":"","required":false,"dateDefaultType":"","criteriaItemList":[{"keyOptionId":"8467","caption":"From","isDefault":false,"maskCriteriaOnly":true,"definition":"","keyProductQueryItem":"300056","comparisonOperation":6,"comparisonValue":"","minimumVersion":"","maximumVersion":"","formOrder":0,"lowerBound":null,"enabled":true,"mask":"","largeMask":"","maskKey":"","keyItemMaskOfField":null,"keyOptionIdReplace":"","relatedOptionIds":[],"onlineServices":[],"childCriteriaItemList":[],"clientContextJson":""},{"keyOptionId":"8468","caption":"To","isDefault":false,"maskCriteriaOnly":true,"definition":"","keyProductQueryItem":"300056","comparisonOperation":5,"comparisonValue":"","minimumVersion":"","maximumVersion":"","formOrder":0,"lowerBound":null,"enabled":true,"mask":"","largeMask":"","maskKey":"","keyItemMaskOfField":null,"keyOptionIdReplace":"","relatedOptionIds":[],"onlineServices":[],"childCriteriaItemList":[],"clientContextJson":""}]},{"filterGroupId":"8473","filterGroupIdReplace":"","caption":"Deal Value/Transaction Value","groupType":2,"optionType":3,"formOrder":60,"minimumVersion":"","maximumVersion":"","onlineServicesEnabled":false,"column":0,"columnFormOrder":60,"criteriaIdName":"","required":false,"dateDefaultType":"","criteriaItemList":[{"keyOptionId":"8474","caption":"From","isDefault":false,"maskCriteriaOnly":true,"definition":"","keyProductQueryItem":"300057","comparisonOperation":6,"comparisonValue":"","minimumVersion":"","maximumVersion":"","formOrder":0,"lowerBound":null,"enabled":true,"mask":"","largeMask":"","maskKey":"","keyItemMaskOfField":null,"keyOptionIdReplace":"","relatedOptionIds":[],"onlineServices":[],"childCriteriaItemList":[],"clientContextJson":""},{"keyOptionId":"8475","caption":"To","isDefault":false,"maskCriteriaOnly":true,"definition":"","keyProductQueryItem":"300057","comparisonOperation":5,"comparisonValue":"","minimumVersion":"","maximumVersion":"","formOrder":0,"lowerBound":null,"enabled":true,"mask":"","largeMask":"","maskKey":"","keyItemMaskOfField":null,"keyOptionIdReplace":"","relatedOptionIds":[],"onlineServices":[],"childCriteriaItemList":[],"clientContextJson":""}]}],"queryLineGroups":[{"groupName":"QueryLines","queryLines":[{"beginGroup":false,"connector":0,"displayText":null,"endGroup":false,"field":{"displayName":null,"displayType":null,"displayUnits":null,"fieldKey":"300085","originalRequestField":null,"secondaryKeys":[]},"functionName":null,"invariantValue":null,"mathOperator":0,"mathValue":null,"operator":0,"queryItemId":"00000000-0000-0000-0000-000000000000","relativeOperation":false,"listKey":null,"sortOrder":null,"sortStyle":null,"supressSelect":false,"value":"DUMMY_KEY","valueField":null},{"beginGroup":false,"connector":0,"displayText":null,"endGroup":false,"field":{"displayName":null,"displayType":null,"displayUnits":null,"fieldKey":"300091","originalRequestField":null,"secondaryKeys":[]},"functionName":null,"invariantValue":null,"mathOperator":0,"mathValue":null,"operator":7,"queryItemId":"00000000-0000-0000-0000-000000000000","relativeOperation":false,"listKey":null,"sortOrder":null,"sortStyle":null,"supressSelect":false,"value":"'Senior Debt','Subordinated Debt','Senior Subordinated Debt','Junior Subordinated Debt','Subsidiary Trust Preferred','Subsidiary Pfd Partnership Interest','GIC-backed Note','Covered Bonds','Revenue Bonds','Bond or Note'","valueField":null},{"beginGroup":false,"connector":0,"displayText":null,"endGroup":false,"field":{"displayName":null,"displayType":null,"displayUnits":null,"fieldKey":"301857","originalRequestField":null,"secondaryKeys":[]},"functionName":null,"invariantValue":null,"mathOperator":0,"mathValue":null,"operator":7,"queryItemId":"00000000-0000-0000-0000-000000000000","relativeOperation":false,"listKey":null,"sortOrder":null,"sortStyle":null,"supressSelect":false,"value":"'0'","valueField":null},{"beginGroup":false,"connector":0,"displayText":null,"endGroup":false,"field":{"displayName":null,"displayType":null,"displayUnits":null,"fieldKey":"301818","originalRequestField":null,"secondaryKeys":[]},"functionName":null,"invariantValue":null,"mathOp</t>
  </si>
  <si>
    <t>aItemList":[{"keyOptionId":"8467","caption":"From","isDefault":false,"maskCriteriaOnly":true,"definition":"","keyProductQueryItem":"300056","comparisonOperation":6,"comparisonValue":"","minimumVersion":"","maximumVersion":"","formOrder":0,"lowerBound":null,"enabled":true,"mask":"","largeMask":"","maskKey":"","keyItemMaskOfField":null,"keyOptionIdReplace":"","relatedOptionIds":[],"onlineServices":[],"childCriteriaItemList":[],"clientContextJson":""},{"keyOptionId":"8468","caption":"To","isDefault":false,"maskCriteriaOnly":true,"definition":"","keyProductQueryItem":"300056","comparisonOperation":5,"comparisonValue":"","minimumVersion":"","maximumVersion":"","formOrder":0,"lowerBound":null,"enabled":true,"mask":"","largeMask":"","maskKey":"","keyItemMaskOfField":null,"keyOptionIdReplace":"","relatedOptionIds":[],"onlineServices":[],"childCriteriaItemList":[],"clientContextJson":""}]},{"filterGroupId":"8473","filterGroupIdReplace":"","caption":"Deal Value/Transaction Value","groupType":2,"optionType":3,"formOrder":60,"minimumVersion":"","maximumVersion":"","onlineServicesEnabled":false,"column":0,"columnFormOrder":60,"criteriaIdName":"","required":false,"dateDefaultType":"","criteriaItemList":[{"keyOptionId":"8474","caption":"From","isDefault":false,"maskCriteriaOnly":true,"definition":"","keyProductQueryItem":"300057","comparisonOperation":6,"comparisonValue":"","minimumVersion":"","maximumVersion":"","formOrder":0,"lowerBound":null,"enabled":true,"mask":"","largeMask":"","maskKey":"","keyItemMaskOfField":null,"keyOptionIdReplace":"","relatedOptionIds":[],"onlineServices":[],"childCriteriaItemList":[],"clientContextJson":""},{"keyOptionId":"8475","caption":"To","isDefault":false,"maskCriteriaOnly":true,"definition":"","keyProductQueryItem":"300057","comparisonOperation":5,"comparisonValue":"","minimumVersion":"","maximumVersion":"","formOrder":0,"lowerBound":null,"enabled":true,"mask":"","largeMask":"","maskKey":"","keyItemMaskOfField":null,"keyOptionIdReplace":"","relatedOptionIds":[],"onlineServices":[],"childCriteriaItemList":[],"clientContextJson":""}]}],"queryLineGroups":[{"groupName":"QueryLines","queryLines":[{"beginGroup":false,"connector":0,"displayText":null,"endGroup":false,"field":{"displayName":null,"displayType":null,"displayUnits":null,"fieldKey":"300085","originalRequestField":null,"secondaryKeys":[]},"functionName":null,"invariantValue":null,"mathOperator":0,"mathValue":null,"operator":0,"queryItemId":"00000000-0000-0000-0000-000000000000","relativeOperation":false,"sortOrder":null,"sortStyle":null,"supressSelect":false,"value":"DUMMY_KEY","valueField":null},{"beginGroup":false,"connector":0,"displayText":null,"endGroup":false,"field":{"displayName":null,"displayType":null,"displayUnits":null,"fieldKey":"300091","originalRequestField":null,"secondaryKeys":[]},"functionName":null,"invariantValue":null,"mathOperator":0,"mathValue":null,"operator":7,"queryItemId":"00000000-0000-0000-0000-000000000000","relativeOperation":false,"sortOrder":null,"sortStyle":null,"supressSelect":false,"value":"'Preferred Equity','Preferred Security','Depositary Receipt (Preferred Security)'","valueField":null},{"beginGroup":false,"connector":0,"displayText":null,"endGroup":false,"field":{"displayName":null,"displayType":null,"displayUnits":null,"fieldKey":"301857","originalRequestField":null,"secondaryKeys":[]},"functionName":null,"invariantValue":null,"mathOperator":0,"mathValue":null,"operator":7,"queryItemId":"00000000-0000-0000-0000-000000000000","relativeOperation":false,"sortOrder":null,"sortStyle":null,"supressSelect":false,"value":"'0'","valueField":null}]},{"groupName":"WhiteAndBlackListCriteria","queryLines":[]}],"saveQueryType":0,"standardDeviationQuery":false,"version":null},"reports":null,"showProductMagnitude":false,"skip":0,"sortBy":null,"sortDesc":false,"sourceTimeZoneIDItemKey":null,"timeoutOverride":0,"top":0,"useNewOnPremDomain":false}],"saveQueryType":0,"sourceTimeZoneIDItemKey":null}</t>
  </si>
  <si>
    <t>Australia</t>
  </si>
  <si>
    <t>Austria</t>
  </si>
  <si>
    <t>Belgium</t>
  </si>
  <si>
    <t>Brazil</t>
  </si>
  <si>
    <t>Bulgaria</t>
  </si>
  <si>
    <t>Canada</t>
  </si>
  <si>
    <t>China</t>
  </si>
  <si>
    <t>Columbia</t>
  </si>
  <si>
    <t>Czech Republic</t>
  </si>
  <si>
    <t>Denmark</t>
  </si>
  <si>
    <t>Eurozone</t>
  </si>
  <si>
    <t>Finland</t>
  </si>
  <si>
    <t>France</t>
  </si>
  <si>
    <t>Germany</t>
  </si>
  <si>
    <t>Greece</t>
  </si>
  <si>
    <t>Hong Kong</t>
  </si>
  <si>
    <t>Hungary</t>
  </si>
  <si>
    <t>India</t>
  </si>
  <si>
    <t>Indonesia</t>
  </si>
  <si>
    <t>Ireland</t>
  </si>
  <si>
    <t>Israel</t>
  </si>
  <si>
    <t>Italy</t>
  </si>
  <si>
    <t>Japan</t>
  </si>
  <si>
    <t>Kenya</t>
  </si>
  <si>
    <t>Malaysia</t>
  </si>
  <si>
    <t>Mexico</t>
  </si>
  <si>
    <t>Netherlands</t>
  </si>
  <si>
    <t>New Zealand</t>
  </si>
  <si>
    <t>Norway</t>
  </si>
  <si>
    <t>Philippines</t>
  </si>
  <si>
    <t>Poland</t>
  </si>
  <si>
    <t>Portugal</t>
  </si>
  <si>
    <t>Russia</t>
  </si>
  <si>
    <t>Singapore</t>
  </si>
  <si>
    <t>Slovakia</t>
  </si>
  <si>
    <t>South Africa</t>
  </si>
  <si>
    <t>South Korea</t>
  </si>
  <si>
    <t>Spain</t>
  </si>
  <si>
    <t>Sweden</t>
  </si>
  <si>
    <t>Switzerland</t>
  </si>
  <si>
    <t>Taiwan</t>
  </si>
  <si>
    <t>Thailand</t>
  </si>
  <si>
    <t>Turkey</t>
  </si>
  <si>
    <t>United Kingdom</t>
  </si>
  <si>
    <t>Vietnam</t>
  </si>
  <si>
    <t>10y Taiwan Bond</t>
  </si>
  <si>
    <t>10y Thailand Bond</t>
  </si>
  <si>
    <t>10y Switzerland</t>
  </si>
  <si>
    <t>SP_COUNTRY_NAME</t>
  </si>
  <si>
    <t>USA</t>
  </si>
  <si>
    <t>Country / Region Name</t>
  </si>
  <si>
    <t>Chinese - Simplified</t>
  </si>
  <si>
    <t>Chinese - Traditional</t>
  </si>
  <si>
    <t>Japanese</t>
  </si>
  <si>
    <t>Spanish</t>
  </si>
  <si>
    <t>German</t>
  </si>
  <si>
    <t>French</t>
  </si>
  <si>
    <t>Italian</t>
  </si>
  <si>
    <t>Korean</t>
  </si>
  <si>
    <t>Russian</t>
  </si>
  <si>
    <t>Portugese</t>
  </si>
  <si>
    <t>Levered Beta</t>
  </si>
  <si>
    <t>Implied Perp. Growth Rate of Unlevered Free Cash Flow(2)</t>
  </si>
  <si>
    <t>Net Debt(1)</t>
  </si>
  <si>
    <t>D/E</t>
  </si>
  <si>
    <t>P/E</t>
  </si>
  <si>
    <t>Cost of Debt (Rd) - Average of Last 5 Issued Bonds</t>
  </si>
  <si>
    <t>Cost of Preferred (Rp)</t>
  </si>
  <si>
    <t>PV of Terminal Value(1)</t>
  </si>
  <si>
    <t>Country Name</t>
  </si>
  <si>
    <t>Step 3: Select an Index for Market Return.</t>
  </si>
  <si>
    <t>Step 1: Select terminology from dropdown to be used in template.</t>
  </si>
  <si>
    <t>Step 2: Hit "UPDATE TERMINOLOGY" button to update terminology in template.</t>
  </si>
  <si>
    <t xml:space="preserve">第2步：点击“更新术语”按钮以更新模板中的术语。 </t>
  </si>
  <si>
    <t xml:space="preserve">第2步：點擊“更新術語”按鈕更新範本中的術語。 </t>
  </si>
  <si>
    <t>ステップ2：「用語の更新」ボタンを押してテンプレート内の用語を更新します。 テンプレート内の用語を更新します。</t>
  </si>
  <si>
    <t>Paso 2: Presione el botón "ACTUALIZAR TERMINOLOGÍA" para actualizar la terminología en la plantilla.</t>
  </si>
  <si>
    <t>Schritt 2: Klicken Sie auf "Terminologie aktualisieren", um die Terminologie in der Vorlage zu aktualisieren.</t>
  </si>
  <si>
    <t>Étape 2: Appuyez sur le bouton "METTRE À JOUR LA TERMINOLOGIE" pour mettre à jour la terminologie dans le modèle.</t>
  </si>
  <si>
    <t>Passo 2: Premi il pulsante "AGGIORNA TERMINOLOGIA" per aggiornare la terminologia nel modello.</t>
  </si>
  <si>
    <t xml:space="preserve">2 단계 : 템플릿의 용어를 업데이트하려면 "용어 업데이트" 버튼을 누르세요.  </t>
  </si>
  <si>
    <t>Шаг 2: Нажмите кнопку "Обновить терминологию",  чтобы обновить терминологию в шаблоне.</t>
  </si>
  <si>
    <t>第1步：从下拉列表中选择在模版中使用的术语。</t>
  </si>
  <si>
    <t>第1步：從下拉式清單選擇要在範本中使用的術語。</t>
  </si>
  <si>
    <t>ステップ1:テンプレートで使用する用語をドロップダウンリストから選択します。</t>
  </si>
  <si>
    <t>Paso 1: Seleccione en el menú desplegable la terminología que se utilizará en la plantilla.</t>
  </si>
  <si>
    <t>1. Schritt: Wählen Sie aus dem Dropdown-Menü die Terminologie, die in der Vorlage verwendet werden soll.</t>
  </si>
  <si>
    <t>Étape 1 : Dans la liste déroulante, sélectionnez la langue à utiliser dans le modèle.</t>
  </si>
  <si>
    <t>Fase 1: Dal menu a discesa, selezionare la terminologia da utilizzare nel modello.</t>
  </si>
  <si>
    <t>단계 1: 템플릿에 사용할 용어를 드롭다운에서 선택합니다.</t>
  </si>
  <si>
    <t>Шаг 1: Выберите из выпадающего списка терминологию, которую вы хотите использовать в шаблоне.</t>
  </si>
  <si>
    <t>3) For best performance, save this file to your computer, close and then reopen.</t>
  </si>
  <si>
    <t>2) Enable macros while opening the template.</t>
  </si>
  <si>
    <t>Format: FYyyyy</t>
  </si>
  <si>
    <t>Step 5: Select currency and magnitude.</t>
  </si>
  <si>
    <t>Step 6: Select discount factor.</t>
  </si>
  <si>
    <t>Mid-Period Convention</t>
  </si>
  <si>
    <t>End-of-Period Convention</t>
  </si>
  <si>
    <t>Step 7: Select calculation method for Δ working cap.</t>
  </si>
  <si>
    <t>Step 8: Click on "REFRESH SHEET" button.</t>
  </si>
  <si>
    <t>Market Return (Rm) - Yearly for Last 10 Years</t>
  </si>
  <si>
    <t xml:space="preserve">Multiplied by: </t>
  </si>
  <si>
    <t xml:space="preserve"> Bottom-Up Beta</t>
  </si>
  <si>
    <t xml:space="preserve"> Regression Beta</t>
  </si>
  <si>
    <t>P/(D+P+E)</t>
  </si>
  <si>
    <t>PV of</t>
  </si>
  <si>
    <t>Free Cash Flow Stub(1)</t>
  </si>
  <si>
    <t>Free Cash Flows(1)</t>
  </si>
  <si>
    <t>Present Value of Equity at</t>
  </si>
  <si>
    <t>Fiscal Year Ending</t>
  </si>
  <si>
    <t>Total Non-Debt Current LiabilIties</t>
  </si>
  <si>
    <t>净运营资金 / 赤字</t>
  </si>
  <si>
    <t>淨運營資金 / 赤字</t>
  </si>
  <si>
    <t>ネット運転資本</t>
  </si>
  <si>
    <t>Capital de trabajo neto / (Déficit)</t>
  </si>
  <si>
    <t>Nettoarbeitskapital/(Defizit)</t>
  </si>
  <si>
    <t>Fonds de roulement net / (Déficit)</t>
  </si>
  <si>
    <t>Capitale circolante netto/(Disavanzo)</t>
  </si>
  <si>
    <t>순운전자본 / (적자)</t>
  </si>
  <si>
    <t>Чистый оборотный капитал / (Дефицит)</t>
  </si>
  <si>
    <t>, except per share data)</t>
  </si>
  <si>
    <t>In</t>
  </si>
  <si>
    <t>3) The model includes only the securities issued by the Focus company.</t>
  </si>
  <si>
    <t>5Yr Avg</t>
  </si>
  <si>
    <t>Mkt. Val.</t>
  </si>
  <si>
    <t>Equity</t>
  </si>
  <si>
    <t>Change in Inc. Taxes</t>
  </si>
  <si>
    <t>Current Portion of Long Term Debt</t>
  </si>
  <si>
    <t>Net Working Capital/(Deficit)</t>
  </si>
  <si>
    <t>Shares Outstanding</t>
  </si>
  <si>
    <t>Pref/</t>
  </si>
  <si>
    <t>Debt/</t>
  </si>
  <si>
    <t>Unlevered</t>
  </si>
  <si>
    <t>Beta</t>
  </si>
  <si>
    <t>Preferred</t>
  </si>
  <si>
    <t>Present Value of Equity</t>
  </si>
  <si>
    <t>Terminal value equals present value of</t>
  </si>
  <si>
    <t>EBITDA of</t>
  </si>
  <si>
    <t>Terminal Forward EBITDA Multiple.</t>
  </si>
  <si>
    <t>(1) Assumes</t>
  </si>
  <si>
    <t>days remain in</t>
  </si>
  <si>
    <t>for annual cash flows; Terminal value cash flow occurs at</t>
  </si>
  <si>
    <t>终值与预测税息折旧及摊销前利润倍数</t>
  </si>
  <si>
    <t>終值與預測稅息折舊及攤銷前利潤倍數</t>
  </si>
  <si>
    <t>永久EBITDAマルチプル</t>
  </si>
  <si>
    <t>Valor terminal de EBITDA Forward</t>
  </si>
  <si>
    <t>Multiples des Forward-EBITDA des Terminals.</t>
  </si>
  <si>
    <t>Multiple du EBITDA à terme du terminal.</t>
  </si>
  <si>
    <t>Multiplo EBITDA valore finale atteso</t>
  </si>
  <si>
    <t>최종(Terminal) Forward EBITDA 배수</t>
  </si>
  <si>
    <t>Терминальный форвардный  Мультипликатор EBITDA</t>
  </si>
  <si>
    <t>现金流贴现分析</t>
  </si>
  <si>
    <t>現金流貼現分析</t>
  </si>
  <si>
    <t> 割引キャッシュフロー分析</t>
  </si>
  <si>
    <t>Análisis de Flujo de caja descontado</t>
  </si>
  <si>
    <t>DISCOUNTED-CASHFLOW-ANALYSE</t>
  </si>
  <si>
    <t>Analyse des flux de trésorerie actualisés</t>
  </si>
  <si>
    <t>Analisi dei flussi di cassa attualizzati</t>
  </si>
  <si>
    <t>현금흐름할인법 (DCF method)</t>
  </si>
  <si>
    <t>Анализ дисконтированных денежных потоков</t>
  </si>
  <si>
    <t>3）为获得最佳性能，请将此文件保存到您的计算机，关闭然后重新打开。</t>
  </si>
  <si>
    <t>3）為獲得最佳性能，請將此文件保存到您的計算機，關閉然後重新打開。</t>
  </si>
  <si>
    <t>3）最高のパフォーマンスを得るために、このファイルをコンピューターに保存してから閉じてから、再度開きます。</t>
  </si>
  <si>
    <t>3) Para obtener el mejor rendimiento, guarde este archivo en su computadora, cierre y vuelva a abrir.</t>
  </si>
  <si>
    <t>3) Um eine optimale Leistung zu erzielen, speichern Sie diese Datei auf Ihrem Computer, schließen Sie sie und öffnen Sie sie erneut.</t>
  </si>
  <si>
    <t>3) Pour de meilleures performances, enregistrez ce fichier sur votre ordinateur, fermez-le puis rouvrez-le.</t>
  </si>
  <si>
    <t>3) Per prestazioni ottimali, salvare questo file sul computer, chiudere e riaprire.</t>
  </si>
  <si>
    <t>3) 최상의 성능을 위해이 파일을 컴퓨터에 저장하고 닫은 다음 다시 엽니 다.</t>
  </si>
  <si>
    <t>3) Для лучшей производительности сохраните этот файл на своем компьютере, закройте и снова откройте.</t>
  </si>
  <si>
    <t>格式：FYyyyy</t>
  </si>
  <si>
    <t>フォーマット：FYyyyy</t>
  </si>
  <si>
    <t>Formato: FYyyyy</t>
  </si>
  <si>
    <t>Formate: FYyyyy</t>
  </si>
  <si>
    <t>서식: FYyyyy</t>
  </si>
  <si>
    <t>(Формат: FYyyyy</t>
  </si>
  <si>
    <t>注意事项：</t>
  </si>
  <si>
    <t>注意事項：</t>
  </si>
  <si>
    <t>注意：</t>
  </si>
  <si>
    <t>Notas:</t>
  </si>
  <si>
    <t>Erläuterungen:</t>
  </si>
  <si>
    <t>Notes :</t>
  </si>
  <si>
    <t>Note:</t>
  </si>
  <si>
    <t>주의사항:</t>
  </si>
  <si>
    <t>Примечания:</t>
  </si>
  <si>
    <t>格式：mm/dd/yyyy</t>
  </si>
  <si>
    <t>フォーマット：mm/dd/yyyy</t>
  </si>
  <si>
    <t>Formato: mm/dd/aaaa</t>
  </si>
  <si>
    <t>Format: mm/tag/jjjjj</t>
  </si>
  <si>
    <t>Format : mm/jj/aaaa</t>
  </si>
  <si>
    <t>Formato: mm/gg/aaaa</t>
  </si>
  <si>
    <t>형식: mm/dd/yyyy</t>
  </si>
  <si>
    <t>Формат: mm/dd/yyyy</t>
  </si>
  <si>
    <t>1) 시장 인텔리전스는 가장 최근의 연례/분기별 보고 기간을 기준으로 WACC를 계산합니다.</t>
  </si>
  <si>
    <t>除了以下参数：</t>
  </si>
  <si>
    <t>除了以下參數：</t>
  </si>
  <si>
    <t>次のパラメーターを除きます：</t>
  </si>
  <si>
    <t>excepto los siguientes parámetros:</t>
  </si>
  <si>
    <t>mit Ausnahme der folgenden Parameter:</t>
  </si>
  <si>
    <t>sauf les paramètres suivants :</t>
  </si>
  <si>
    <t>con l'eccezione dei seguenti parametri:</t>
  </si>
  <si>
    <t>다음 매개 변수 제외:</t>
  </si>
  <si>
    <t>кроме следующих параметров:</t>
  </si>
  <si>
    <t>步骤3：选择市场回报指数。</t>
  </si>
  <si>
    <t>步驟3：選擇市場回報指數。</t>
  </si>
  <si>
    <t>ステップ3：市場利回り用のインデックスをご選択ください。</t>
  </si>
  <si>
    <t>Paso 3: seleccione un índice de rentabilidad del mercado.</t>
  </si>
  <si>
    <t>Schritt 3: Wählen Sie einen Index für Marktrendite.</t>
  </si>
  <si>
    <t>Étape 3 : Sélectionnez un indice pour le rendement du marché.</t>
  </si>
  <si>
    <t>Fase 3: Seleziona un Indice del rendimento di mercato.</t>
  </si>
  <si>
    <t>3단계: 시장 수익률에 대한 지수를 선택합니다.</t>
  </si>
  <si>
    <t>Шаг 3: Выберите индекс рыночной доходности.</t>
  </si>
  <si>
    <t>A）无风险收益率（Rf）–在最近交易日导出10年/ 5年期美国国债收益率。</t>
  </si>
  <si>
    <t>A）無風險收益率（Rf）–在最近交易日導出10年/ 5年期美國國債收益率。</t>
  </si>
  <si>
    <t>A）リスクフリーレート（Rf）- 直近の取引日の10年物/5年物米国債利回りが使用されます。</t>
  </si>
  <si>
    <t>A) Tasa de rendimiento libre de riesgo (Rf): aumenta el rendimiento de los T-Note estadounidenses a 10/5 años para el día de negociación más reciente.</t>
  </si>
  <si>
    <t>A) Risikofreier Zinssatz (Rf) - Zeigt die Rendite der US-T-Note 10y/5y für den letzten Handelstag.</t>
  </si>
  <si>
    <t>A) Risk-Free Rate of Return (Rf) - Tire le rendement de 10y/5y US T-Note pour le jour de négociation le plus récent.</t>
  </si>
  <si>
    <t>A) Tasso di rendimento privo di rischio (Rf) – Riflette il rendimento dei Treasury USA a 10/5 anni per l'ultimo giorno di negoziazione.</t>
  </si>
  <si>
    <t>A) 무위험 수익률(Rf) – 가장 최근 거래일 동안 10y/5y 미국 T노트 수익률을 대입합니다.</t>
  </si>
  <si>
    <t>A) Безрисковая ставка доходности (Rf) - Повышает доходность 10/5-летних казначейских облигаций США за последний торговый день.</t>
  </si>
  <si>
    <t>B）最近五次发行债券的平均值基于最近发行的债券。</t>
  </si>
  <si>
    <t>B）最近五次發行債券的平均值基於最近發行的債券。</t>
  </si>
  <si>
    <t>B）最新発行された5つの発行債券の平均が使用されます。</t>
  </si>
  <si>
    <t>B) El promedio de los últimos 5 bonos emitidos se basa en la emisión más reciente.</t>
  </si>
  <si>
    <t>B) Der Durchschnitt der letzten 5 ausgegebenen Anleihen ist auf der jüngsten Emission basiert.</t>
  </si>
  <si>
    <t>B) La moyenne des 5 dernières obligations émises est basée sur l'émission la plus récente.</t>
  </si>
  <si>
    <t>B) La media delle ultime 5 obbligazioni emesse è basata sull'ultima emissione.</t>
  </si>
  <si>
    <t>B) 최근 발행된 5개의 채권의 평균은 가장 최근의 발행을 기준으로 합니다.</t>
  </si>
  <si>
    <t>Б) Среднее значение последних 5 выпущенных облигаций основано на самом последнем выпуске.</t>
  </si>
  <si>
    <t>步骤4：选择同业以生成Beta。</t>
  </si>
  <si>
    <t>步驟4：選擇同業以生成Beta。</t>
  </si>
  <si>
    <t>ステップ4：ベータ生成用のピアをご選択ください。</t>
  </si>
  <si>
    <t>Paso 4: seleccione compañeros para la generación Beta.</t>
  </si>
  <si>
    <t>Schritt 4: Peers für die Beta-Generierung auswählen.</t>
  </si>
  <si>
    <t>Étape 4 : Sélection des pairs pour la génération du bêta.</t>
  </si>
  <si>
    <t>Fase 4: Seleziona i pari per la generazione di beta.</t>
  </si>
  <si>
    <t>4단계: 베타 생성을 위해 피어를 선택합니다.</t>
  </si>
  <si>
    <t>Шаг 4: Выберите аналогичные компании для генерирования бета-версии.</t>
  </si>
  <si>
    <t>2）当前市值数据用于权益计算。</t>
  </si>
  <si>
    <t>2）當前市值數據用於權益計算。</t>
  </si>
  <si>
    <t>2）現在の時価総額データは資本の計算に使用されます。</t>
  </si>
  <si>
    <t>2) Los datos de capitalización de mercado actuales se utilizan en el cálculo del capital.</t>
  </si>
  <si>
    <t>2) Aktuelle Marktkapitalisierungsdaten werden bei der Berechnung des Eigenkapitals verwendet.</t>
  </si>
  <si>
    <t>2) Les données sur la capitalisation boursière actuelle sont utilisées dans le calcul des capitaux propres.</t>
  </si>
  <si>
    <t>2) Nel calcolo del patrimonio netto sono utilizzati i dati della capitalizzazione di mercato corrente.</t>
  </si>
  <si>
    <t>2) 현재 시가총액 데이터가 주식 계산에 사용됩니다.</t>
  </si>
  <si>
    <t>2) Данные о текущей рыночной капитализации используются при расчете собственного капитала.</t>
  </si>
  <si>
    <t>3）该模型仅包含目标公司发行的证券。</t>
  </si>
  <si>
    <t>3）該模型僅包含目標公司發行的證券。</t>
  </si>
  <si>
    <t>3）このモデルには、対象企業の発行した有価証券のみが含まれています。</t>
  </si>
  <si>
    <t>3) El modelo incluye únicamente los valores emitidos por la empresa Focus.</t>
  </si>
  <si>
    <t>3) Das Modell enthält nur die von dem Fokus Unternehmen ausgegebenen Wertpapiere.</t>
  </si>
  <si>
    <t>3) Le modèle n'inclut que les titres émis par la société Focus.</t>
  </si>
  <si>
    <t>3) Il modello comprende soltanto i titoli emessi dalla società obiettivo.</t>
  </si>
  <si>
    <t>3) 해당 모델에는 포커스 회사가 발행한 증권만 포함됩니다.</t>
  </si>
  <si>
    <t>3) Модель включает только ценные бумаги, выпущенные рассматриваемой компанией.</t>
  </si>
  <si>
    <t>步骤 5：选择货币和幅度。</t>
  </si>
  <si>
    <t>步驟 5：選擇貨幣和幅度。</t>
  </si>
  <si>
    <t>ステップ5：通貨、規模、変換方法を選択します。</t>
  </si>
  <si>
    <t>Paso 5.: Seleccione Moneda y Escala.</t>
  </si>
  <si>
    <t>Schritt 5: Wählen Sie Währung und Größe.</t>
  </si>
  <si>
    <t>Étape 5. Sélectionnez la devise et la magnitude.</t>
  </si>
  <si>
    <t>Fase 5: Selezionare la valuta e la grandezza.</t>
  </si>
  <si>
    <t>5 단계 : 통화, 단위 및 환율 적용률 선택.</t>
  </si>
  <si>
    <t>Шаг 5. Выберите валюту и размерность</t>
  </si>
  <si>
    <t>步骤6：选择折扣系数。</t>
  </si>
  <si>
    <t>步驟6：選擇折扣係數。</t>
  </si>
  <si>
    <t>ステップ6：割引率をご選択ください。</t>
  </si>
  <si>
    <t>Paso 6: seleccione el factor de descuento.</t>
  </si>
  <si>
    <t>Schritt 6: Wählen Sie den Diskontierungsfaktor.</t>
  </si>
  <si>
    <t>Étape 6 : Sélectionnez le facteur de remise.</t>
  </si>
  <si>
    <t>Fase 6: Seleziona il fattore di sconto.</t>
  </si>
  <si>
    <t>6단계: 할인 계수를 선택합니다.</t>
  </si>
  <si>
    <t>Шаг 6: Выберите коэффициент скидки.</t>
  </si>
  <si>
    <t>贴现率</t>
  </si>
  <si>
    <t>貼現率</t>
  </si>
  <si>
    <t>割引率:</t>
  </si>
  <si>
    <t>Factor de descuento:</t>
  </si>
  <si>
    <t>Diskontierungsfaktor:</t>
  </si>
  <si>
    <t>Facteur d'escompte:</t>
  </si>
  <si>
    <t>Fattore di sconto:</t>
  </si>
  <si>
    <t>할인계수:</t>
  </si>
  <si>
    <t>Коэффициент дисконтирования</t>
  </si>
  <si>
    <t>期中惯例</t>
  </si>
  <si>
    <t>期中慣例</t>
  </si>
  <si>
    <t>期央調整</t>
  </si>
  <si>
    <t>Convenio de mitad de período</t>
  </si>
  <si>
    <t>Halbperiode-Konvention</t>
  </si>
  <si>
    <t>convention de Milieu de période</t>
  </si>
  <si>
    <t>Convenzione di medio periodo</t>
  </si>
  <si>
    <t xml:space="preserve">기중할인 가정 </t>
  </si>
  <si>
    <t>Соглашение на середину периода</t>
  </si>
  <si>
    <t>期末惯例</t>
  </si>
  <si>
    <t>期末慣例</t>
  </si>
  <si>
    <t>期末計算</t>
  </si>
  <si>
    <t>Convenio de fin de período</t>
  </si>
  <si>
    <t>Ende der Periode-Konvention</t>
  </si>
  <si>
    <t>Convention de fin de période</t>
  </si>
  <si>
    <t>Convenzione di fine periodo</t>
  </si>
  <si>
    <t xml:space="preserve">기말할인 가정 </t>
  </si>
  <si>
    <t>Соглашение на конец периода</t>
  </si>
  <si>
    <t>步骤7：选择Δ营运资金的计算方法</t>
  </si>
  <si>
    <t>步驟7：選擇Δ營運資金的計算方法</t>
  </si>
  <si>
    <t>ステップ7：Δ運転資本の計算方法をご選択ください。</t>
  </si>
  <si>
    <t>Paso 7: Seleccione el método de cálculo para Δ capital de trabajo</t>
  </si>
  <si>
    <t>Schritt 7: Wählen Sie die Berechnungsmethode für Δ Betriebskapital</t>
  </si>
  <si>
    <t>Étape 7 : Sélectionner la méthode de calcul de la variation du fonds de roulement</t>
  </si>
  <si>
    <t>Fase 7: Seleziona l metodo di calcolo del Δ capitale circolante.</t>
  </si>
  <si>
    <t>7단계: Δ 작업 캡 계산 방법을 선택합니다.</t>
  </si>
  <si>
    <t>Шаг 7: Выберите метод расчета Δ оборотного капитала</t>
  </si>
  <si>
    <t>Δ营运资金参考：</t>
  </si>
  <si>
    <t>Δ營運資金參考：</t>
  </si>
  <si>
    <t>Δ運転資本の参照：</t>
  </si>
  <si>
    <t>Δ Casquillo de trabajo. Referencia:</t>
  </si>
  <si>
    <t>Δ Betriebskapital Referenz:</t>
  </si>
  <si>
    <t>Référence de la variation du fonds de roulement :</t>
  </si>
  <si>
    <t>Δ Riferimento capitale circolante:</t>
  </si>
  <si>
    <t>Δ 작업 캡. 참조:</t>
  </si>
  <si>
    <t xml:space="preserve">Δ оборотный капитал -- Справка </t>
  </si>
  <si>
    <t>1 = 现金流表原始数据</t>
  </si>
  <si>
    <t>1 = 現金流表原始數據</t>
  </si>
  <si>
    <t>1 = キャッシュフロー実績値で計算</t>
  </si>
  <si>
    <t>1 = Como se informa en el Estado de Flujos de Efectivo</t>
  </si>
  <si>
    <t>1 = Wie in der Kapitalflussrechnung angegeben</t>
  </si>
  <si>
    <t>1 = Comme indiqué sur le flux de trésorerie</t>
  </si>
  <si>
    <t>1 = Come segnalato sul flusso di cassa</t>
  </si>
  <si>
    <t>1 = 현금흐름표에서 보고된 수치</t>
  </si>
  <si>
    <t>1 = как отражено в денежном потоке</t>
  </si>
  <si>
    <t>2 = 按运营资金表计算的数据</t>
  </si>
  <si>
    <t>2 = 按運營資金表計算的數據</t>
  </si>
  <si>
    <t>2 = 運転資本スケジュールで計算</t>
  </si>
  <si>
    <t>2 = Calculado a través del calendario de capital de trabajo</t>
  </si>
  <si>
    <t>2 = Berechnet über das Arbeitskapitalplan</t>
  </si>
  <si>
    <t>2 = calculé via le programme de fonds de roulement</t>
  </si>
  <si>
    <t>2 = Calcolato tramite Schema di CC</t>
  </si>
  <si>
    <t>2 =  운전자본 Schedule에 따라 계산된 수치</t>
  </si>
  <si>
    <t>2 = Рассчитано по графику оборотного капитала</t>
  </si>
  <si>
    <t>步骤8：点击“REFRESH SHEET”按钮。</t>
  </si>
  <si>
    <t>步驟8：點擊“REFRESH SHEET”按鈕。</t>
  </si>
  <si>
    <t>ステップ8：「REFRESH SHEET」のボタンをクリックしてください。</t>
  </si>
  <si>
    <t>Paso 8: Haga clic en el botón "ACTUALIZAR HOJA".</t>
  </si>
  <si>
    <t>Schritt 8: Klicken Sie auf die Schaltfläche "BLATT AKTUALISIEREN".</t>
  </si>
  <si>
    <t>Étape 8 : Cliquez sur le bouton "REFRESH SHEET".</t>
  </si>
  <si>
    <t>Fase 8: Fai clic sul pulsante "RICARICA FOGLIO".</t>
  </si>
  <si>
    <t>8단계: "시트 새로 고침" 버튼을 클릭하세요.</t>
  </si>
  <si>
    <t>Шаг 8: Нажмите кнопку «ОБНОВИТЬ ЛИСТ».</t>
  </si>
  <si>
    <t>贝塔系数选择</t>
  </si>
  <si>
    <t>貝塔係數選擇</t>
  </si>
  <si>
    <t>ベータ選択</t>
  </si>
  <si>
    <t>Selección Beta</t>
  </si>
  <si>
    <t>Beta-Auswahl</t>
  </si>
  <si>
    <t>Sélection Bêta</t>
  </si>
  <si>
    <t>Selezionare Beta</t>
  </si>
  <si>
    <t>베타 선택</t>
  </si>
  <si>
    <t xml:space="preserve">Выбор Бета-коэффициента </t>
  </si>
  <si>
    <t>贝塔系数</t>
  </si>
  <si>
    <t>貝塔係數</t>
  </si>
  <si>
    <t>ベータ</t>
  </si>
  <si>
    <t>Bêta</t>
  </si>
  <si>
    <t>베타</t>
  </si>
  <si>
    <t>假设</t>
  </si>
  <si>
    <t>假設</t>
  </si>
  <si>
    <t>前提条件</t>
  </si>
  <si>
    <t>SUPUESTOS</t>
  </si>
  <si>
    <t>ANNAHMEN</t>
  </si>
  <si>
    <t>HYPOTHÈSES</t>
  </si>
  <si>
    <t>IPOTESI</t>
  </si>
  <si>
    <t>추정치</t>
  </si>
  <si>
    <t xml:space="preserve">ДОПУЩЕНИЯ </t>
  </si>
  <si>
    <t>贝塔系数计算</t>
  </si>
  <si>
    <t>貝塔係數計算</t>
  </si>
  <si>
    <t>ベータ計算</t>
  </si>
  <si>
    <t>CÁLCULO BETA</t>
  </si>
  <si>
    <t>BETA-BERECHNUNG</t>
  </si>
  <si>
    <t>CALCUL BÊTA</t>
  </si>
  <si>
    <t>CALCOLO BETA</t>
  </si>
  <si>
    <t>베타 계산</t>
  </si>
  <si>
    <t>РАСЧЕТ БЕТА-КОЭФФИЦИЕНТА</t>
  </si>
  <si>
    <t>1 = 自下而上贝塔系数</t>
  </si>
  <si>
    <t>1 = 自下而上貝塔係數</t>
  </si>
  <si>
    <t>1 = ボトムアップ・ベータ</t>
  </si>
  <si>
    <t>1 = Beta de abajo hacia arriba</t>
  </si>
  <si>
    <t>1 = Bottom-Up-Beta</t>
  </si>
  <si>
    <t>1 = Bêta ascendante</t>
  </si>
  <si>
    <t xml:space="preserve">1 = Beta bottom-up </t>
  </si>
  <si>
    <t>1 = 바텀업 (Bottom-Up) 베타</t>
  </si>
  <si>
    <t>1 = Восходящий Бета-коэффициент</t>
  </si>
  <si>
    <t>杠杆贝塔系数</t>
  </si>
  <si>
    <t>槓桿貝塔係數</t>
  </si>
  <si>
    <t>レバード・ベータ</t>
  </si>
  <si>
    <t>Beta apalancada</t>
  </si>
  <si>
    <t>Gehebeltes Beta</t>
  </si>
  <si>
    <t xml:space="preserve">Bêta « levered » </t>
  </si>
  <si>
    <t>Beta Levered</t>
  </si>
  <si>
    <t>차입 (Levered) 베타</t>
  </si>
  <si>
    <t>Бета-коэффициент с учетом долгового бремени (Levered Beta)</t>
  </si>
  <si>
    <t>优先股/</t>
  </si>
  <si>
    <t>優先股/</t>
  </si>
  <si>
    <t>優先株/</t>
  </si>
  <si>
    <t>Preferente/</t>
  </si>
  <si>
    <t>VZ/</t>
  </si>
  <si>
    <t>Préf /</t>
  </si>
  <si>
    <t>privilegiato/</t>
  </si>
  <si>
    <t>우선주/</t>
  </si>
  <si>
    <t>Привилегированный акционерный капитал / Собственный капитал</t>
  </si>
  <si>
    <t>债务/</t>
  </si>
  <si>
    <t>債務/</t>
  </si>
  <si>
    <t>有利子負債/</t>
  </si>
  <si>
    <t>Deuda/</t>
  </si>
  <si>
    <t>Schuld/</t>
  </si>
  <si>
    <t>Dette/</t>
  </si>
  <si>
    <t>Indebitamento/</t>
  </si>
  <si>
    <t>부채/</t>
  </si>
  <si>
    <t>Долг / Собственный капитал</t>
  </si>
  <si>
    <t>权益</t>
  </si>
  <si>
    <t>權益</t>
  </si>
  <si>
    <t>株主資本</t>
  </si>
  <si>
    <t>Capital</t>
  </si>
  <si>
    <t>Eigenkapital</t>
  </si>
  <si>
    <t>Capitale</t>
  </si>
  <si>
    <t>자본</t>
  </si>
  <si>
    <t>无杠杆</t>
  </si>
  <si>
    <t>無槓桿</t>
  </si>
  <si>
    <t>アンレバード</t>
  </si>
  <si>
    <t>no apalancada</t>
  </si>
  <si>
    <t>Nicht gehebelt</t>
  </si>
  <si>
    <t>« Unlevered »</t>
  </si>
  <si>
    <t>무차입 (Unlevered)</t>
  </si>
  <si>
    <t>Бета-коэффициент(2) без учета долгового бремени</t>
  </si>
  <si>
    <t>2 = 回归贝塔系数</t>
  </si>
  <si>
    <t>2 = 回歸貝塔係數</t>
  </si>
  <si>
    <t>2 = 回帰ベータ</t>
  </si>
  <si>
    <t>2 = Regresión Beta</t>
  </si>
  <si>
    <t>2 = Regressions-Beta</t>
  </si>
  <si>
    <t>2 = Bêta de régression</t>
  </si>
  <si>
    <t>2 = Beta di regressione</t>
  </si>
  <si>
    <t>2 = 회기분석 Beta</t>
  </si>
  <si>
    <t>2 = Регрессионный Бета-коэффициент</t>
  </si>
  <si>
    <t>パッド：ON</t>
  </si>
  <si>
    <t>PAD: ENCENDIDO</t>
  </si>
  <si>
    <t>PAD: EIN</t>
  </si>
  <si>
    <t>PAD : ON</t>
  </si>
  <si>
    <t>패드: 켜짐</t>
  </si>
  <si>
    <t>PAD: ВКЛ.</t>
  </si>
  <si>
    <t>五年平均税率</t>
  </si>
  <si>
    <t>五年平均稅率</t>
  </si>
  <si>
    <t>税率（5年平均）</t>
  </si>
  <si>
    <t>Tasa impositiva (promedio de 5 años)</t>
  </si>
  <si>
    <t>Steuersatz (5 Jahre Durchschnitt)</t>
  </si>
  <si>
    <t>Taux d'impôt (5 ans en moyenne)</t>
  </si>
  <si>
    <t>Aliquota fiscale (media di 5 anni)</t>
  </si>
  <si>
    <t>법인세율 (5년평균)</t>
  </si>
  <si>
    <t>Налоговая ставка (среднее значение за 5 лет)</t>
  </si>
  <si>
    <t>哥伦比亚</t>
  </si>
  <si>
    <t>哥倫比亞</t>
  </si>
  <si>
    <t>コロンビア</t>
  </si>
  <si>
    <t>Kolumbien</t>
  </si>
  <si>
    <t>Colombie</t>
  </si>
  <si>
    <t>컬럼비아</t>
  </si>
  <si>
    <t>Колумбия</t>
  </si>
  <si>
    <t>规模溢价</t>
  </si>
  <si>
    <t>規模溢價</t>
  </si>
  <si>
    <t>サイズプレミアム</t>
  </si>
  <si>
    <t>Prima de Tamaño</t>
  </si>
  <si>
    <t>Größe Premium</t>
  </si>
  <si>
    <t>Prime de taille</t>
  </si>
  <si>
    <t>Premio di taglia</t>
  </si>
  <si>
    <t>기업 규모에 따른 프리미엄</t>
  </si>
  <si>
    <t>Премия за размер</t>
  </si>
  <si>
    <t>机构名称</t>
  </si>
  <si>
    <t>機構名稱</t>
  </si>
  <si>
    <t>機関名</t>
  </si>
  <si>
    <t>Nombre de la Institución</t>
  </si>
  <si>
    <t>Name der Einrichtung</t>
  </si>
  <si>
    <t>nom de l'institution</t>
  </si>
  <si>
    <t>Nome dell'istituzione</t>
  </si>
  <si>
    <t>기관 이름</t>
  </si>
  <si>
    <t>Название учебного заведения</t>
  </si>
  <si>
    <t>资金类型</t>
  </si>
  <si>
    <t>資金類型</t>
  </si>
  <si>
    <t>資金の種類</t>
  </si>
  <si>
    <t>Tipo de financiación</t>
  </si>
  <si>
    <t>Art der Finanzierung</t>
  </si>
  <si>
    <t>Type de financement</t>
  </si>
  <si>
    <t>Tipo di finanziamento</t>
  </si>
  <si>
    <t>자금 조달 유형</t>
  </si>
  <si>
    <t>Тип финансирования</t>
  </si>
  <si>
    <t>股息率（％）</t>
  </si>
  <si>
    <t>配当率（％）</t>
  </si>
  <si>
    <t>Tasa de dividendo (%)</t>
  </si>
  <si>
    <t>Dividendenrate (%)</t>
  </si>
  <si>
    <t>Taux de dividende (%)</t>
  </si>
  <si>
    <t>Tasso di dividendo (%)</t>
  </si>
  <si>
    <t>배당률 (%)</t>
  </si>
  <si>
    <t>Дивидендная ставка (%)</t>
  </si>
  <si>
    <t>交易日期（mm/dd/yyyy）</t>
  </si>
  <si>
    <t>取引日付（mm/dd/yyyy）</t>
  </si>
  <si>
    <t>Fecha de negociación (mm/dd/aaaa)</t>
  </si>
  <si>
    <t>Handelsdatum (mm/tt/jjjjj)</t>
  </si>
  <si>
    <t>Date de l'échange (mm/jj/aaaa)</t>
  </si>
  <si>
    <t>Data operazione (mm/gg/aaaa)</t>
  </si>
  <si>
    <t>거래일(mm/dd/yyyy)</t>
  </si>
  <si>
    <t>Дата сделки (mm/dd/yyyy)</t>
  </si>
  <si>
    <t>可比公司平均未杠杆贝塔系数</t>
  </si>
  <si>
    <t>可比公司平均未槓桿貝塔係數</t>
  </si>
  <si>
    <t>類似企業平均アンレバード・ベータ</t>
  </si>
  <si>
    <t>Beta promedio no apalancada para fines comparativos</t>
  </si>
  <si>
    <t>Durchschnittliches nicht gehebeltes Beta für Comps</t>
  </si>
  <si>
    <t xml:space="preserve">Bêta « unlevered » moyenne pour sociétés </t>
  </si>
  <si>
    <t>Beta unlevered media per confronto</t>
  </si>
  <si>
    <t>비교 기업 무차입 (Unlevered) 베타 평균치</t>
  </si>
  <si>
    <t xml:space="preserve">Среднее значение Бета-коэффициента без учета долгового бремени (Unlevered Beta) для сравнительного анализа компаний </t>
  </si>
  <si>
    <t>税前债务成本步骤</t>
  </si>
  <si>
    <t>稅前債務成本步驟</t>
  </si>
  <si>
    <t>税前負債コストのステップ</t>
  </si>
  <si>
    <t>Costo de la deuda antes de impuestos - Etapa</t>
  </si>
  <si>
    <t>Fremdkapitalkosten vor Steuern-Schritt</t>
  </si>
  <si>
    <t>Étape du coût de la dette avant impôt</t>
  </si>
  <si>
    <t>Costo del debito ante imposte - Fase</t>
  </si>
  <si>
    <t>세전부채비용 비율간격</t>
  </si>
  <si>
    <t xml:space="preserve">Шаг расчета стоимости долга до налогов </t>
  </si>
  <si>
    <t>债务/(债务+优先股+权益) 步骤</t>
  </si>
  <si>
    <t>債務/(債務+優先股+權益) 步驟</t>
  </si>
  <si>
    <t>有利子負債/（有利子負債+優先株+株主資本）のステップ</t>
  </si>
  <si>
    <t>D / (D + P + C) Etapa</t>
  </si>
  <si>
    <t>S / (S + V + E) Schritt</t>
  </si>
  <si>
    <t xml:space="preserve">Étape D/(D + P + C) </t>
  </si>
  <si>
    <t>D / (D + P + C) - Fase</t>
  </si>
  <si>
    <t>D/(D+P+E) 비율간격</t>
  </si>
  <si>
    <t>Шаг расчета D/(D+P+E)</t>
  </si>
  <si>
    <t>权益成本步骤</t>
  </si>
  <si>
    <t>權益成本步驟</t>
  </si>
  <si>
    <t>株主資本コストのステップ</t>
  </si>
  <si>
    <t>Costo del capital - Etapa</t>
  </si>
  <si>
    <t>Eigenkapitalkosten-Schritt</t>
  </si>
  <si>
    <t>Étape du Coût du capital</t>
  </si>
  <si>
    <t>Costo del capitale - Fase</t>
  </si>
  <si>
    <t>자본비용 비율간격</t>
  </si>
  <si>
    <t>Шаг расчета стоимости собственного капитала</t>
  </si>
  <si>
    <t>权益/(债务+优先股+权益) 步骤</t>
  </si>
  <si>
    <t>權益/(債務+優先股+權益) 步驟</t>
  </si>
  <si>
    <t>株主資本/（有利子負債+優先株+株主資本）のステップ</t>
  </si>
  <si>
    <t>C / (D + P + C) Etapa</t>
  </si>
  <si>
    <t>E / (S + V + E) Schritt</t>
  </si>
  <si>
    <t>Étape E/(D+P+C)</t>
  </si>
  <si>
    <t>E / (D + P + C) - Fase</t>
  </si>
  <si>
    <t xml:space="preserve">E/(D+P+E) </t>
  </si>
  <si>
    <t>Шаг расчета E/(D+P+E)</t>
  </si>
  <si>
    <t>加权平均资本成本敏感性分析</t>
  </si>
  <si>
    <t>加權平均資本成本敏感性分析</t>
  </si>
  <si>
    <t>加重平均資本コスト感応度分析</t>
  </si>
  <si>
    <t xml:space="preserve">ANÁLISIS DE SENSIBILIDAD COSTO MEDIO PONDERADO DEL CAPITAL </t>
  </si>
  <si>
    <t>WACC-EMPFINDLICHKEITSANALYSE</t>
  </si>
  <si>
    <t>ANALYSE DE SENSIBILITÉ DU CMPC (COÛT MOYEN PONDÉRÉ DU CAPITAL)</t>
  </si>
  <si>
    <t>ANALISI DELLA SENSIBILITÀ DEL COSTO MEDIO PONDERATO DEL CAPITALE</t>
  </si>
  <si>
    <t>가중평균자본비용 민감도 분석</t>
  </si>
  <si>
    <t>Анализ чувствительности средневзвешенной стоимости капитала (WACC)</t>
  </si>
  <si>
    <t>债务/(债务+优先股+权益)</t>
  </si>
  <si>
    <t>債務/(債務+優先股+權益)</t>
  </si>
  <si>
    <t>有利子負債/（有利子負債+優先株+株主資本）</t>
  </si>
  <si>
    <t>D/(D+P+C)</t>
  </si>
  <si>
    <t>S/(S+V+E)</t>
  </si>
  <si>
    <t xml:space="preserve">D/(D+P+E) </t>
  </si>
  <si>
    <t>税前债务成本</t>
  </si>
  <si>
    <t>稅前債務成本</t>
  </si>
  <si>
    <t>税前負債コスト</t>
  </si>
  <si>
    <t>Costo de la deuda antes de impuestos</t>
  </si>
  <si>
    <t>Fremdkapitalkosten vor Steuern</t>
  </si>
  <si>
    <t>Coût de la dette avant impôt</t>
  </si>
  <si>
    <t>Costo del debito ante imposte</t>
  </si>
  <si>
    <t>세전부채비용</t>
  </si>
  <si>
    <t xml:space="preserve">Стоимость долга до налогов </t>
  </si>
  <si>
    <t>交易代码及交易所。</t>
  </si>
  <si>
    <t>交易代碼及交易所。</t>
  </si>
  <si>
    <t>証券コード／ID</t>
  </si>
  <si>
    <t>Símbolo bursátil &amp; Bolsa</t>
  </si>
  <si>
    <t>Handelssymbol und Börse</t>
  </si>
  <si>
    <t xml:space="preserve">Symbole boursier &amp; Échange </t>
  </si>
  <si>
    <t>Simbolo di quotazione 
in borsa</t>
  </si>
  <si>
    <t xml:space="preserve">거래 기호 
및 거래소 </t>
  </si>
  <si>
    <t>Торговый Символ &amp; Биржа</t>
  </si>
  <si>
    <t>加权平均资本成本</t>
  </si>
  <si>
    <t>加權平均資本成本</t>
  </si>
  <si>
    <t>加重平均資本コスト(WACC)</t>
  </si>
  <si>
    <t xml:space="preserve">COSTO MEDIO PONDERADO DEL CAPITAL </t>
  </si>
  <si>
    <t>gewichtete durchschnittliche Kapitalkosten</t>
  </si>
  <si>
    <t>COÛT MOYEN PONDÉRÉ DU CAPITAL</t>
  </si>
  <si>
    <t>COSTO MEDIO PONDERATO DEL CAPITALE</t>
  </si>
  <si>
    <t xml:space="preserve">가중평균자본비용 </t>
  </si>
  <si>
    <t>Средневзвешенная стоимость капитала (WACC)</t>
  </si>
  <si>
    <t>SNL机构密钥</t>
  </si>
  <si>
    <t>SNL機構密鑰</t>
  </si>
  <si>
    <t>SNL機関キー</t>
  </si>
  <si>
    <t>Llave de la Institución SNL</t>
  </si>
  <si>
    <t>SNL-Institutionsschlüssel</t>
  </si>
  <si>
    <t>Clé de l'établissement SNL</t>
  </si>
  <si>
    <t>Chiave dell'istituto SNL</t>
  </si>
  <si>
    <t>SNL 기관 키</t>
  </si>
  <si>
    <t>Ключ учреждения SNL</t>
  </si>
  <si>
    <t>市场风险溢价 (Rm - Rf)</t>
  </si>
  <si>
    <t>市場風險溢價 (Rm - Rf)</t>
  </si>
  <si>
    <t>マーケット・リスク・プレミアム (Rm - Rf)</t>
  </si>
  <si>
    <t>Prima de riesgo de mercado (Rm - Rf)</t>
  </si>
  <si>
    <t>Marktrisikoprämie (Rm - Rf)</t>
  </si>
  <si>
    <t>Prime de risque de marché (Rm - Rf)</t>
  </si>
  <si>
    <t>Premio di rischio di mercato (Rm - Rf)</t>
  </si>
  <si>
    <t>시장 위험 프리미엄(Rm - Rf)</t>
  </si>
  <si>
    <t>Премия за рыночный риск (Rm - Rf)</t>
  </si>
  <si>
    <t>公司名称，简称</t>
  </si>
  <si>
    <t>公司名稱，簡稱</t>
  </si>
  <si>
    <t>会社名、略称</t>
  </si>
  <si>
    <t>Nombre de la empresa, abreviado</t>
  </si>
  <si>
    <t>Name der Firma, abgekürzt</t>
  </si>
  <si>
    <t>Nom de la société, en abrégé</t>
  </si>
  <si>
    <t>Nome società, Abbreviato</t>
  </si>
  <si>
    <t>회사 이름, 약어</t>
  </si>
  <si>
    <t>Наименование компании, сокращенное</t>
  </si>
  <si>
    <t>调整后市场风险溢价</t>
  </si>
  <si>
    <t>調整後市場風險溢價</t>
  </si>
  <si>
    <t>調整後マーケット・リスク・プレミアム</t>
  </si>
  <si>
    <t>Prima de riesgo de mercado ajustada</t>
  </si>
  <si>
    <t>Angepasste Marktrisikoprämie</t>
  </si>
  <si>
    <t>Prime de risque de marché ajustée</t>
  </si>
  <si>
    <t>Premio di rischio di mercato rettificato</t>
  </si>
  <si>
    <t>수정된 시장 위험 프리미엄</t>
  </si>
  <si>
    <t>Скорректированная премия за рыночный риск (Rm - Rf)</t>
  </si>
  <si>
    <t>加：无风险回报率 (Rf)</t>
  </si>
  <si>
    <t>加：無風險回報率 (Rf)</t>
  </si>
  <si>
    <t>プラス：リスクフリーレート (Rf)(1)</t>
  </si>
  <si>
    <t>Agregar: Tasa de retorno libre de riesgo (Rf)(1)</t>
  </si>
  <si>
    <t>Hinzufügen: Risikofreie Rendite (Rf)(1)</t>
  </si>
  <si>
    <t>Plus: Taux de rendement sans risque (Rf) (1)</t>
  </si>
  <si>
    <t>Più: Indice reddituale senza rischio (1)</t>
  </si>
  <si>
    <t>+무위험수익률(Rf)(1)</t>
  </si>
  <si>
    <t>Прибавить: Безрисковая ставка доходности (Rf)(1)</t>
  </si>
  <si>
    <t>加：规模溢价</t>
  </si>
  <si>
    <t>加：規模溢價</t>
  </si>
  <si>
    <t>プラス：サイズプレミアム</t>
  </si>
  <si>
    <t>Agregar: Prima de Tamaño</t>
  </si>
  <si>
    <t>Hinzufügen: Size Premium</t>
  </si>
  <si>
    <t>Plus: Prime de taille</t>
  </si>
  <si>
    <t>Più: Dimensione premio</t>
  </si>
  <si>
    <t>+기업 규모에 따른 프리미엄</t>
  </si>
  <si>
    <t>Прибавить: Премия за размер</t>
  </si>
  <si>
    <t>权益成本</t>
  </si>
  <si>
    <t>權益成本</t>
  </si>
  <si>
    <t>資本コスト</t>
  </si>
  <si>
    <t>Costo del capital</t>
  </si>
  <si>
    <t>Eigenkapitalkosten</t>
  </si>
  <si>
    <t>Coût du capital</t>
  </si>
  <si>
    <t>Costo del capitale</t>
  </si>
  <si>
    <t>자본비용</t>
  </si>
  <si>
    <t>Стоимость собственного капитала</t>
  </si>
  <si>
    <t>权益成本部分</t>
  </si>
  <si>
    <t>權益成本部分</t>
  </si>
  <si>
    <t>資本コスト部分</t>
  </si>
  <si>
    <t>Costo de la porción del capital social</t>
  </si>
  <si>
    <t>Kosten des Eigenkapitalanteils</t>
  </si>
  <si>
    <t>Coût de la partie du capital</t>
  </si>
  <si>
    <t>Costo della quota di capitale</t>
  </si>
  <si>
    <t>자본비용 비중</t>
  </si>
  <si>
    <t xml:space="preserve">Стоимость части собственного капитала </t>
  </si>
  <si>
    <t>权益/(债务+优先股+权益)</t>
  </si>
  <si>
    <t>權益/(債務+優先股+權益)</t>
  </si>
  <si>
    <t>株主資本/（有利子負債+優先株+株主資本）</t>
  </si>
  <si>
    <t>C/(D+P+C)</t>
  </si>
  <si>
    <t>E/(S+V+E)</t>
  </si>
  <si>
    <t>税后债务成本</t>
  </si>
  <si>
    <t>稅後債務成本</t>
  </si>
  <si>
    <t>税引後債務コスト</t>
  </si>
  <si>
    <t>Costo de la deuda después de impuestos</t>
  </si>
  <si>
    <t>Fremdkapitalkosten nach Steuern</t>
  </si>
  <si>
    <t>Coût de la dette après impôt</t>
  </si>
  <si>
    <t>Costo del debito dopo imposte</t>
  </si>
  <si>
    <t>세후이자비용</t>
  </si>
  <si>
    <t xml:space="preserve">Стоимость долга после налогов </t>
  </si>
  <si>
    <t>债务成本部分</t>
  </si>
  <si>
    <t>債務成本部分</t>
  </si>
  <si>
    <t>負債コスト部分</t>
  </si>
  <si>
    <t>Costo de la porción de la deuda</t>
  </si>
  <si>
    <t>Anteil an Fremdkapitalkosten</t>
  </si>
  <si>
    <t>Coût de la partie de la dette</t>
  </si>
  <si>
    <t>Costo della quota di debito</t>
  </si>
  <si>
    <t>부채비용 비중</t>
  </si>
  <si>
    <t>Стоимость части долга</t>
  </si>
  <si>
    <t>优先股成本部分</t>
  </si>
  <si>
    <t>優先股成本部分</t>
  </si>
  <si>
    <t>優先株コスト部分</t>
  </si>
  <si>
    <t>Costo de la porción preferente</t>
  </si>
  <si>
    <t>Kosten des Vorzugs-Anteils</t>
  </si>
  <si>
    <t>Coût de la partie préféréntielle</t>
  </si>
  <si>
    <t>Costo della quota privilegiata</t>
  </si>
  <si>
    <t>우선주 비용 비중</t>
  </si>
  <si>
    <t>Стоимость привилегированной части</t>
  </si>
  <si>
    <t>(1) 无杠杆贝塔 = 杠杆贝塔 / ( 1 + ((债务/权益) * (1 - 税率)) + 优先股/权益)</t>
  </si>
  <si>
    <t>(1) 無槓桿貝塔 = 槓桿貝塔 / ( 1 + ((債務/權益) * (1 - 稅率)) + 優先股/權益)</t>
  </si>
  <si>
    <t>(1) アンレバード・ベータ＝レバード・ベータ/（1+（（有利子負債/株主資本）*（1-実効税率））+優先株/株主資本）</t>
  </si>
  <si>
    <t>(1) Beta no apalancada = Beta apalancada / (1 + ((D / C) * (1 - T)) + P / C</t>
  </si>
  <si>
    <t>(1) Nicht gehebeltes Beta = Gehebeltes Beta / (1 + ((S / E) * (1 - T)) + V / E)</t>
  </si>
  <si>
    <t>(1) Bêta « unlevered » = Bêta « levered » / (1 + ((D/E) * (1 - T)) + P/E)</t>
  </si>
  <si>
    <t>(1) Beta unlevered = Beta levered / ( 1 + ((D/C) * (1 - T)) + P/C)</t>
  </si>
  <si>
    <t>(1) 무차입(Unlevered) 베타 = 차입 (Levered) 베타/ ( 1 + ((D/E) * (1 - T)) + P/E)</t>
  </si>
  <si>
    <t>(1) Бета-коэффициент без учета долгового бремени (Unlevered Beta) = Бета-коэффициент с учетом долгового бремени (Levered Beta) / ( 1 + ((D/E) * (1 - T)) + P/E)</t>
  </si>
  <si>
    <t>(2) 杠杆贝塔 = 无杠杆贝塔 * ( 1 + ((债务/权益) * (1 - 税率)) + 优先股/权益)</t>
  </si>
  <si>
    <t>(2) 槓桿貝塔 = 無槓桿貝塔 * ( 1 + ((債務/權益) * (1 - 稅率)) + 優先股/權益)</t>
  </si>
  <si>
    <t>(2) レバード・ベータ＝アンレバード・ベータ*（1+（（有利子負債/株主資本）*（1-実効税率））+優先株/株主資本）</t>
  </si>
  <si>
    <t>(2) Beta apalancada = Beta no apalancada* (1 + ((D / C) * (1 - T)) + P / C</t>
  </si>
  <si>
    <t>(2) Gehebeltes Beta = nicht gehebeltes Beta * (1 + ((S / E) * (1 - T)) + V / E)</t>
  </si>
  <si>
    <t>(2) Bêta « levered » = Bêta « unlevered » * (1 + ((D/E) * (1 - T)) + P / E)</t>
  </si>
  <si>
    <t>(2) Beta levered = Beta unlevered * ( 1 + ((D/C) * (1 - T)) + P/C)</t>
  </si>
  <si>
    <t>(2) 차입(Levered) 베타 = 무차입(Unlevered) 베타 * ( 1 + ((D/E) * (1 - T)) + P/E)</t>
  </si>
  <si>
    <t>(2) Бета-коэффициент с учетом долгового бремени (Levered Beta) = Бета-коэффициент без учета долгового бремени (Unlevered Beta) * ( 1 + ((D/E) * (1 - T)) + P/E)</t>
  </si>
  <si>
    <t>预计现金流量</t>
  </si>
  <si>
    <t>預計現金流量</t>
  </si>
  <si>
    <t>将来キャッシュフロー</t>
  </si>
  <si>
    <t>FLUJOS DE EFECTIVO PROYECTADOS</t>
  </si>
  <si>
    <t>PROGNOSTIZIERTE GELDFLÜSSE</t>
  </si>
  <si>
    <t>FLUX DE TRÉSORERIE PROJETÉS</t>
  </si>
  <si>
    <t>FLUSSI FINANZIARI PREVISTI</t>
  </si>
  <si>
    <t>예상 현금흐름</t>
  </si>
  <si>
    <t>ОЖИДАЕМЫЕ ДЕНЕЖНЫЕ ПОТОКИ</t>
  </si>
  <si>
    <t xml:space="preserve">复合年均增长率 </t>
  </si>
  <si>
    <t>複合年均增長率</t>
  </si>
  <si>
    <t xml:space="preserve">平均年間成長率 </t>
  </si>
  <si>
    <t xml:space="preserve">Tasa de crecimiento anual compuesto </t>
  </si>
  <si>
    <t xml:space="preserve">CAGR [durchschnittliche jährliche Wachstumsrate]
</t>
  </si>
  <si>
    <t>CAGR [taux de croissance annuel composé]</t>
  </si>
  <si>
    <t>Tasso di crescita annuale composto (CAGR)</t>
  </si>
  <si>
    <t>연평균성장률 (CAGR)</t>
  </si>
  <si>
    <t>Совокупный среднегодовой темп роста (CAGR)</t>
  </si>
  <si>
    <t>总收入</t>
  </si>
  <si>
    <t>總收入</t>
  </si>
  <si>
    <t>売上高</t>
  </si>
  <si>
    <t>Total de ingresos</t>
  </si>
  <si>
    <t>Gesamtumsatz</t>
  </si>
  <si>
    <t>Total chiffre d'affaires</t>
  </si>
  <si>
    <t>Ricavi totali</t>
  </si>
  <si>
    <t>총 매출</t>
  </si>
  <si>
    <t xml:space="preserve">Общая выручка </t>
  </si>
  <si>
    <t>年均增长率</t>
  </si>
  <si>
    <t>年均增長率</t>
  </si>
  <si>
    <t xml:space="preserve">年間成長率 </t>
  </si>
  <si>
    <t>Crecimiento anual</t>
  </si>
  <si>
    <t>Jährliches Wachstum</t>
  </si>
  <si>
    <t>Croissance annuelle</t>
  </si>
  <si>
    <t>Crescita annuale</t>
  </si>
  <si>
    <t xml:space="preserve">연간 성장률 </t>
  </si>
  <si>
    <t>Годовой рост</t>
  </si>
  <si>
    <t>收入成本</t>
  </si>
  <si>
    <t>売上原価</t>
  </si>
  <si>
    <t>Costo de los ingresos</t>
  </si>
  <si>
    <t>Kosten des Umsatzes</t>
  </si>
  <si>
    <t>Coût des ventes</t>
  </si>
  <si>
    <t>Costo del ricavo</t>
  </si>
  <si>
    <t>매출원가</t>
  </si>
  <si>
    <t xml:space="preserve">Стоимость выручки </t>
  </si>
  <si>
    <t>占收入百分比(%)</t>
  </si>
  <si>
    <t>佔收入百分比(%)</t>
  </si>
  <si>
    <t>売上総利益率 (%)</t>
  </si>
  <si>
    <t>Margen</t>
  </si>
  <si>
    <t>Marge</t>
  </si>
  <si>
    <t>Margine</t>
  </si>
  <si>
    <t>이익률</t>
  </si>
  <si>
    <t xml:space="preserve">Маржа </t>
  </si>
  <si>
    <t>税息折旧及摊销前利润</t>
  </si>
  <si>
    <t>稅息折舊及攤銷前利潤</t>
  </si>
  <si>
    <t>减：折旧与摊销费用</t>
  </si>
  <si>
    <t>減：折舊與攤銷費用</t>
  </si>
  <si>
    <t>- 減価償却費</t>
  </si>
  <si>
    <t>Menos: Depreciación y amortización</t>
  </si>
  <si>
    <t>Weniger: Abschreibungen und Amortisationen</t>
  </si>
  <si>
    <t>Moins : Dépréciation &amp; Amort.</t>
  </si>
  <si>
    <t>Meno: Ammortamento e svalutazioni</t>
  </si>
  <si>
    <t xml:space="preserve"> - 감가상각비</t>
  </si>
  <si>
    <t>Минус: износ и амортизация</t>
  </si>
  <si>
    <t>步骤</t>
  </si>
  <si>
    <t>步驟</t>
  </si>
  <si>
    <t>増加幅</t>
  </si>
  <si>
    <t>Paso</t>
  </si>
  <si>
    <t>Schritt</t>
  </si>
  <si>
    <t>Fase</t>
  </si>
  <si>
    <t>간격</t>
  </si>
  <si>
    <t>Шаг</t>
  </si>
  <si>
    <t>资本支出百分比 (%)</t>
  </si>
  <si>
    <t>資本支出百分比 (%)</t>
  </si>
  <si>
    <t>設備投資対比 (%)</t>
  </si>
  <si>
    <t>% de gastos de capital</t>
  </si>
  <si>
    <t>% der Investitionen in Sachanlagen</t>
  </si>
  <si>
    <t>% des dépenses en capital</t>
  </si>
  <si>
    <t>% delle spese in conto capitale</t>
  </si>
  <si>
    <t>감가상각비/자본적 지출 %</t>
  </si>
  <si>
    <t>% капитальных затрат</t>
  </si>
  <si>
    <t>息稅前利潤</t>
  </si>
  <si>
    <t>减：所得税</t>
  </si>
  <si>
    <t>減：所得稅</t>
  </si>
  <si>
    <t>- 法人税等</t>
  </si>
  <si>
    <t>Menos: Impuestos sobre la renta</t>
  </si>
  <si>
    <t>Weniger: Ertragsteuern</t>
  </si>
  <si>
    <t>Moins : Impôts sur les revenus</t>
  </si>
  <si>
    <t>Meno: Imposte sul reddito</t>
  </si>
  <si>
    <t xml:space="preserve"> - 법인세비용</t>
  </si>
  <si>
    <t>Минус: подоходный налог</t>
  </si>
  <si>
    <t xml:space="preserve">非杠杆净收入 </t>
  </si>
  <si>
    <t xml:space="preserve">非槓桿淨收入 </t>
  </si>
  <si>
    <t>アンレバード純利益</t>
  </si>
  <si>
    <t>Ingresos netos excluyendo pago de intereses</t>
  </si>
  <si>
    <t>Nettogewinn ohne Schulden</t>
  </si>
  <si>
    <t>Revenu net sans endettement</t>
  </si>
  <si>
    <t>Reddito netto unlevered</t>
  </si>
  <si>
    <t>무차입(Unlevered) 순이익</t>
  </si>
  <si>
    <t>Чистый доход без учета финансовых обязательств</t>
  </si>
  <si>
    <t>加：折旧与摊销费用</t>
  </si>
  <si>
    <t>加：折舊與攤銷費用</t>
  </si>
  <si>
    <t>+ 減価償却費</t>
  </si>
  <si>
    <t>Más: Depreciación y amortización</t>
  </si>
  <si>
    <t>Plus: Abschreibungen und Amortisationen</t>
  </si>
  <si>
    <t>Plus: Dépréciation &amp; Amort.</t>
  </si>
  <si>
    <t>Più: Ammortamento e svalutazioni</t>
  </si>
  <si>
    <t xml:space="preserve"> + 감가상각비</t>
  </si>
  <si>
    <t>Плюс: износ и амортизация</t>
  </si>
  <si>
    <t>减：无形资产增加</t>
  </si>
  <si>
    <t>減：無形資産增加</t>
  </si>
  <si>
    <t>- 無形固定資産</t>
  </si>
  <si>
    <t>Menos: Incorporaciones a los intangibles</t>
  </si>
  <si>
    <t>Weniger: Zugänge zu den immateriellen Vermögenswerten</t>
  </si>
  <si>
    <t>Moins : Ajouts aux actifs incorporels</t>
  </si>
  <si>
    <t>Meno: Incrementi di immobilizzazioni immateriali</t>
  </si>
  <si>
    <t xml:space="preserve"> - 무형자산의 증가액 </t>
  </si>
  <si>
    <t>Минус: дополнения к нематериальным активам</t>
  </si>
  <si>
    <t>减：运营资金增加</t>
  </si>
  <si>
    <t>減：運營資金增加</t>
  </si>
  <si>
    <t>- 運転資本増</t>
  </si>
  <si>
    <t>Menos: Aumento del capital circulante</t>
  </si>
  <si>
    <t>Weniger: Erhöhung des Arbeitskapitals</t>
  </si>
  <si>
    <t>Moins : Augmentation du fonds de roulement</t>
  </si>
  <si>
    <t>Meno: Aumento del capitale circolante</t>
  </si>
  <si>
    <t xml:space="preserve"> - 순영업자산증감</t>
  </si>
  <si>
    <t>Минус: увеличение оборотного капитала</t>
  </si>
  <si>
    <t>交易资产证券变更</t>
  </si>
  <si>
    <t>交易資產證券變更</t>
  </si>
  <si>
    <t>有価証券の増減</t>
  </si>
  <si>
    <t xml:space="preserve">Cambio en los valores de los activos </t>
  </si>
  <si>
    <t>Veränderung bei handelbaren Wertpapieranlagen</t>
  </si>
  <si>
    <t>Variation des titres d'actifs négociables</t>
  </si>
  <si>
    <t>Variazione in titoli di negoziazione</t>
  </si>
  <si>
    <t>거래 자산 증권 변동</t>
  </si>
  <si>
    <t>Изменение в ценных бумагах, используемых для торговли активами</t>
  </si>
  <si>
    <t>应收账款变更</t>
  </si>
  <si>
    <t>應收賬款變更</t>
  </si>
  <si>
    <t>売上債権の増減</t>
  </si>
  <si>
    <t>Cambio en Cuentas por cobrar</t>
  </si>
  <si>
    <t>Veränderung der Forderungen aus LL</t>
  </si>
  <si>
    <t>Variation du compte à recevoir</t>
  </si>
  <si>
    <t>Variazione crediti</t>
  </si>
  <si>
    <t>외상매출금 변동</t>
  </si>
  <si>
    <t>Изменение дебиторской задолженности</t>
  </si>
  <si>
    <t>存货变更</t>
  </si>
  <si>
    <t>存貨變更</t>
  </si>
  <si>
    <t>棚卸資産の増減</t>
  </si>
  <si>
    <t>Cambio en los inventarios</t>
  </si>
  <si>
    <t>Bestandsveränderungen</t>
  </si>
  <si>
    <t>Variation des stocks</t>
  </si>
  <si>
    <t>Variazione scorte</t>
  </si>
  <si>
    <t>재고 변동</t>
  </si>
  <si>
    <t>Изменение в запасах</t>
  </si>
  <si>
    <t>应付帐款变更</t>
  </si>
  <si>
    <t>應付帳款變更</t>
  </si>
  <si>
    <t>仕入債務の増減</t>
  </si>
  <si>
    <t>Cambio en Cuentas a pagar</t>
  </si>
  <si>
    <t>Veränderung der Verbindlichkeiten aus LL</t>
  </si>
  <si>
    <t>Variation du compte à payer</t>
  </si>
  <si>
    <t>Variazione debiti</t>
  </si>
  <si>
    <t>외상매입금 변동</t>
  </si>
  <si>
    <t>Изменение кредиторской задолженности</t>
  </si>
  <si>
    <t>预收收入变更</t>
  </si>
  <si>
    <t>預收收入變更</t>
  </si>
  <si>
    <t>前受収益の増減</t>
  </si>
  <si>
    <t>Cambio en los ingresos no devengados</t>
  </si>
  <si>
    <t>Veränderung der Prämienbestandteile für zukünftige Perioden</t>
  </si>
  <si>
    <t>Variation des revenus non réalisés</t>
  </si>
  <si>
    <t>Variazione ricavi non acquisiti</t>
  </si>
  <si>
    <t>선수수익 변동</t>
  </si>
  <si>
    <t>Изменение незаработанных доходов</t>
  </si>
  <si>
    <t>所得税的变更</t>
  </si>
  <si>
    <t>所得稅的變更</t>
  </si>
  <si>
    <t>未払法人税等、及び未払費用の増減</t>
  </si>
  <si>
    <t>Cambio en Impuestos a las ganancias</t>
  </si>
  <si>
    <t>Veränderung der angefallenen Steuern</t>
  </si>
  <si>
    <t>Variation de l'impôt sur le revenu</t>
  </si>
  <si>
    <t>Variazione imposte sul redd.</t>
  </si>
  <si>
    <t>소득세 변경</t>
  </si>
  <si>
    <t>Изменение подоходного налога</t>
  </si>
  <si>
    <t>今天的日期</t>
  </si>
  <si>
    <t>今日の日付</t>
  </si>
  <si>
    <t>La fecha de hoy</t>
  </si>
  <si>
    <t>Datum Heute</t>
  </si>
  <si>
    <t>Date d'aujourd'hui</t>
  </si>
  <si>
    <t>Data di oggi</t>
  </si>
  <si>
    <t>오늘 날짜</t>
  </si>
  <si>
    <t>Дата Сегодня</t>
  </si>
  <si>
    <t>递延税项变更</t>
  </si>
  <si>
    <t>遞延稅項變更</t>
  </si>
  <si>
    <t>繰延税金資産</t>
  </si>
  <si>
    <t>Cambio en Impuestos Diferidos</t>
  </si>
  <si>
    <t>Veränderung der latenten Steuern</t>
  </si>
  <si>
    <t>Variation des impôts différés</t>
  </si>
  <si>
    <t>Variazione imposte differite</t>
  </si>
  <si>
    <t>이연법인세 변경</t>
  </si>
  <si>
    <t>Изменение в отложенных налогах</t>
  </si>
  <si>
    <t>最近刷新日期</t>
  </si>
  <si>
    <t>最終更新日</t>
  </si>
  <si>
    <t>Fecha de la última actualización</t>
  </si>
  <si>
    <t>Datum der letzten Aktualisierung</t>
  </si>
  <si>
    <t>Date du dernier rafraîchissement</t>
  </si>
  <si>
    <t>Data ultimo aggiornamento</t>
  </si>
  <si>
    <t>마지막 새로 고침 날짜</t>
  </si>
  <si>
    <t>Дата последнего обновления</t>
  </si>
  <si>
    <t>其他净经营资产变更</t>
  </si>
  <si>
    <t>其他淨經營資產變更</t>
  </si>
  <si>
    <t>その他純営業資産の増減</t>
  </si>
  <si>
    <t>Variación de otros activos operativos netos</t>
  </si>
  <si>
    <t>Veränderung des sonstigen Nettobetriebsvermögens</t>
  </si>
  <si>
    <t>Variation des autres actifs nets d'exploitation</t>
  </si>
  <si>
    <t>Variazione altre attività operative nette</t>
  </si>
  <si>
    <t>기타 순 운영 자산 변동</t>
  </si>
  <si>
    <t>Изменение прочих чистых операционных активов</t>
  </si>
  <si>
    <t>非杠杆自由现金流</t>
  </si>
  <si>
    <t>非槓桿自由現金流</t>
  </si>
  <si>
    <t>アンレバードフリーキャッシュフロー</t>
  </si>
  <si>
    <t>Flujo de efectivo libre excluyendo pago de intereses</t>
  </si>
  <si>
    <t>Verfügbarer Geldfluss ohne Schulden</t>
  </si>
  <si>
    <t>Flux de trésorerie disponible sans désendettement</t>
  </si>
  <si>
    <t>Flusso di cassa libero unlevered</t>
  </si>
  <si>
    <t>기업잉여현금흐름 (Unlevered)</t>
  </si>
  <si>
    <t>Свободный денежный поток без учета финансовых обязательств</t>
  </si>
  <si>
    <t>年度现金流现值</t>
  </si>
  <si>
    <t>年度現金流現值</t>
  </si>
  <si>
    <t>キャッシュフロー現在価値</t>
  </si>
  <si>
    <t>Valor actual de flujos de caja anuales</t>
  </si>
  <si>
    <t>Barwert der jährlichen Geldflüsse</t>
  </si>
  <si>
    <t>Valeur actuelle des flux de trésorerie annuels</t>
  </si>
  <si>
    <t>Valore attuale di flussi di cassa annuali</t>
  </si>
  <si>
    <t xml:space="preserve">연간 현금흐름의 현가  </t>
  </si>
  <si>
    <t>Приведенная стоимость (PV) годового денежного потока</t>
  </si>
  <si>
    <t>贴现现金流假设条件</t>
  </si>
  <si>
    <t>貼現現金流假設條件</t>
  </si>
  <si>
    <t>DCF計算仮定</t>
  </si>
  <si>
    <t>Supuestos del modelo de flujo de caja descontado</t>
  </si>
  <si>
    <t>Annahmen von Diskontierung der Geldflüsse</t>
  </si>
  <si>
    <t>Hypothèses Actualisation des flux de trésorerie</t>
  </si>
  <si>
    <t>Ipotesi DCF</t>
  </si>
  <si>
    <t>DCF 가정</t>
  </si>
  <si>
    <t xml:space="preserve">Дисконтированные денежные потоки (DCF) -- Допущения </t>
  </si>
  <si>
    <t>总企业价值百分比 (%)</t>
  </si>
  <si>
    <t>總企業價值百分比 (%)</t>
  </si>
  <si>
    <t>企業価値 %</t>
  </si>
  <si>
    <t>% de Valor de la empresa total</t>
  </si>
  <si>
    <t>% des Unternehmenswertes</t>
  </si>
  <si>
    <t>% du total valeur de l'entreprise</t>
  </si>
  <si>
    <t>% di Valore aziendale totale</t>
  </si>
  <si>
    <t>% общей стоимости предприятия (TEV)</t>
  </si>
  <si>
    <t>股权市值百分比</t>
  </si>
  <si>
    <t>股權市值百分比</t>
  </si>
  <si>
    <t>時価総額 %</t>
  </si>
  <si>
    <t>% del Valor de mercado del patrimonio</t>
  </si>
  <si>
    <t>% des Marktwerts des Eigenkapitals</t>
  </si>
  <si>
    <t>% de valeur marchande des capitaux propres</t>
  </si>
  <si>
    <t>% di valore di mercato di equity</t>
  </si>
  <si>
    <t>% рыночной стоимости акций (MVE)</t>
  </si>
  <si>
    <t>加重平均資本コスト</t>
  </si>
  <si>
    <t>Costo medio ponderado del capital</t>
  </si>
  <si>
    <t>Gewichteter durchschnittlicher Kapitalkosten</t>
  </si>
  <si>
    <t>Coût en capital moyen pondéré</t>
  </si>
  <si>
    <t>Costo medio ponderato del capitale</t>
  </si>
  <si>
    <t>가중평균자본비용</t>
  </si>
  <si>
    <t>Средневзвешенная стоимость капитала</t>
  </si>
  <si>
    <t>终端税息折旧及摊销前利润倍数</t>
  </si>
  <si>
    <t>終端稅息折舊及攤銷前利潤倍數</t>
  </si>
  <si>
    <t>Valor terminal por múltiplos de EBITDA</t>
  </si>
  <si>
    <t>EBITDA terminal multiple</t>
  </si>
  <si>
    <t>Multiplo EBITDA finale</t>
  </si>
  <si>
    <t>최종(Terminal)  EBITDA 배수</t>
  </si>
  <si>
    <t>Терминальный  мультипликатор EBITDA</t>
  </si>
  <si>
    <t>当日收盘价</t>
  </si>
  <si>
    <t>當日收盤價</t>
  </si>
  <si>
    <t>終値</t>
  </si>
  <si>
    <t>Precio de cierre del día</t>
  </si>
  <si>
    <t>Kurs bei Tagesschluss</t>
  </si>
  <si>
    <t>Prix de clôture du jour</t>
  </si>
  <si>
    <t>Prezzo alla chiusura della giornata</t>
  </si>
  <si>
    <t>일일 종가</t>
  </si>
  <si>
    <t>Цена закрытия</t>
  </si>
  <si>
    <t>企业价值</t>
  </si>
  <si>
    <t>企業價值</t>
  </si>
  <si>
    <t>企業価値</t>
  </si>
  <si>
    <t>Valor de la empresa</t>
  </si>
  <si>
    <t>Unternehmenswert</t>
  </si>
  <si>
    <t>Valeur d'entreprise</t>
  </si>
  <si>
    <t>Valore aziendale</t>
  </si>
  <si>
    <t xml:space="preserve">기업가치 (Enterprise Value) </t>
  </si>
  <si>
    <t>Стоимость предприятия</t>
  </si>
  <si>
    <t>减：</t>
  </si>
  <si>
    <t>減：</t>
  </si>
  <si>
    <t>Menos:</t>
  </si>
  <si>
    <t>Weniger:</t>
  </si>
  <si>
    <t>Moins :</t>
  </si>
  <si>
    <t>Meno:</t>
  </si>
  <si>
    <t>Минус:</t>
  </si>
  <si>
    <t>非杠杆现金流的隐含永续增长率 （2）</t>
  </si>
  <si>
    <t>非槓桿現金流的隱含永續增長率 （2）</t>
  </si>
  <si>
    <t>Implied 永久成長率 (アンレバードフリーキャッシュフロー) (2)</t>
  </si>
  <si>
    <t>Tasa de crecimiento perpetuo implícito del flujo de efectivo libre excluyendo pago de intereses (2)</t>
  </si>
  <si>
    <t>Implizite ewige Wachstumsrate des Nettogewinns ohne Schulden (2)</t>
  </si>
  <si>
    <t>Taux de croissance implicite à l'infini des flux de trésorerie disponibles sans endettement (2)</t>
  </si>
  <si>
    <t>Tasso di crescita perpetuo implicito di flusso di cassa libero unlevered (2)</t>
  </si>
  <si>
    <t>기업잉여현금흐름(Unlevered) 내재영구성장률(2)</t>
  </si>
  <si>
    <t>Предполагаемый постоянный темп роста свободного денежного потока без учета финансовых обязательств</t>
  </si>
  <si>
    <t>优先股</t>
  </si>
  <si>
    <t>優先股</t>
  </si>
  <si>
    <t>優先株</t>
  </si>
  <si>
    <t>ACCIONES PREFERENTES</t>
  </si>
  <si>
    <t>Vorzugsaktie</t>
  </si>
  <si>
    <t>Actions de préférence</t>
  </si>
  <si>
    <t>Azioni privilegiate</t>
  </si>
  <si>
    <t>우선주</t>
  </si>
  <si>
    <t>Привилегированные акции</t>
  </si>
  <si>
    <t>总企业价值</t>
  </si>
  <si>
    <t>總企業價值</t>
  </si>
  <si>
    <t>Valor total de la Empresa</t>
  </si>
  <si>
    <t>Gesamtunternehmenswert</t>
  </si>
  <si>
    <t>Valore aziendale totale</t>
  </si>
  <si>
    <t>기업가치 (TEV)</t>
  </si>
  <si>
    <t>Общая стоимость предприятия</t>
  </si>
  <si>
    <t>加：</t>
  </si>
  <si>
    <t>Más:</t>
  </si>
  <si>
    <t>Più:</t>
  </si>
  <si>
    <t>Плюс:</t>
  </si>
  <si>
    <t>指数清单</t>
  </si>
  <si>
    <t>指數清單</t>
  </si>
  <si>
    <t>インデックス・リスト</t>
  </si>
  <si>
    <t>Lista de índice</t>
  </si>
  <si>
    <t>Index-Liste</t>
  </si>
  <si>
    <t>Liste d'index</t>
  </si>
  <si>
    <t>Elenco indici</t>
  </si>
  <si>
    <t>지수 목록</t>
  </si>
  <si>
    <t>Список индексов</t>
  </si>
  <si>
    <t>股权价值</t>
  </si>
  <si>
    <t>股權價值</t>
  </si>
  <si>
    <t>株式価値</t>
  </si>
  <si>
    <t>Valor patrimonial</t>
  </si>
  <si>
    <t>Eigenkapitalwert</t>
  </si>
  <si>
    <t>Valeur par capitaux propres</t>
  </si>
  <si>
    <t>Valore di equity</t>
  </si>
  <si>
    <t>자기자본 가치</t>
  </si>
  <si>
    <t>Стоимость акций</t>
  </si>
  <si>
    <t>最近财政年度</t>
  </si>
  <si>
    <t>最近財政年度</t>
  </si>
  <si>
    <t>直近会計年度末</t>
  </si>
  <si>
    <t>Último cierre del ejercicio</t>
  </si>
  <si>
    <t>Letztes Geschäftsjahresende</t>
  </si>
  <si>
    <t>Dernier exercice</t>
  </si>
  <si>
    <t>Ultimo anno fiscale</t>
  </si>
  <si>
    <t>최근 회계 연도말</t>
  </si>
  <si>
    <t>Последний отчетный год закончившийся:</t>
  </si>
  <si>
    <t>最近财政季度</t>
  </si>
  <si>
    <t>最近財政季度</t>
  </si>
  <si>
    <t>直近四半期末</t>
  </si>
  <si>
    <t xml:space="preserve">Último Trimestre fiscal </t>
  </si>
  <si>
    <t>Letztes FQE</t>
  </si>
  <si>
    <t>Dernier trimestre fiscal</t>
  </si>
  <si>
    <t>Ultimo trimestre fiscale</t>
  </si>
  <si>
    <t>최근 회계 분기말</t>
  </si>
  <si>
    <t>Последний отчетный квартал закончившийся:</t>
  </si>
  <si>
    <t>隐含每股价值</t>
  </si>
  <si>
    <t>隱含每股價值</t>
  </si>
  <si>
    <t>一株当たり株式価値</t>
  </si>
  <si>
    <t>Valor implícito por acción</t>
  </si>
  <si>
    <t>Implizit pro Aktienwert</t>
  </si>
  <si>
    <t>Valeur implicite par action</t>
  </si>
  <si>
    <t>Valore per azione implicito</t>
  </si>
  <si>
    <t>주당 내재가치</t>
  </si>
  <si>
    <t>Предполагаемая стоимость одной акции</t>
  </si>
  <si>
    <t>今天日期</t>
  </si>
  <si>
    <t>本日</t>
  </si>
  <si>
    <t>Hoy</t>
  </si>
  <si>
    <t>Heute</t>
  </si>
  <si>
    <t>Aujourd'hui</t>
  </si>
  <si>
    <t>Oggi</t>
  </si>
  <si>
    <t>금일</t>
  </si>
  <si>
    <t>Сегодня</t>
  </si>
  <si>
    <t>现有价格</t>
  </si>
  <si>
    <t>現有價格</t>
  </si>
  <si>
    <t>株価</t>
  </si>
  <si>
    <t>Precio Actual</t>
  </si>
  <si>
    <t>Aktueller Preis</t>
  </si>
  <si>
    <t>Cours actuel</t>
  </si>
  <si>
    <t>Prezzo Attuale</t>
  </si>
  <si>
    <t>현재주가</t>
  </si>
  <si>
    <t>Текущая цена</t>
  </si>
  <si>
    <t>财政年度剩余天数</t>
  </si>
  <si>
    <t>財政年度剩余天數</t>
  </si>
  <si>
    <t>本会計年度残日数</t>
  </si>
  <si>
    <t>Días restantes del ejercicio fiscal</t>
  </si>
  <si>
    <t>Im Geschäftsjahr verbleibende Tage</t>
  </si>
  <si>
    <t>Jours restant dans l'exercice</t>
  </si>
  <si>
    <t>Giorni rimanenti in anno fiscale</t>
  </si>
  <si>
    <t>회계연도의 잔여일수</t>
  </si>
  <si>
    <t xml:space="preserve">Количество дней оставшихся в отчетном году </t>
  </si>
  <si>
    <t>现有价格的溢价或折价</t>
  </si>
  <si>
    <t>現有價格的溢價或折價</t>
  </si>
  <si>
    <t>直近株価と比較した際のプレミアム/ディスカウント</t>
  </si>
  <si>
    <t>Prima / (Descuento) al Precio Actual</t>
  </si>
  <si>
    <t>Prämie/(Rabatt) auf den aktuellen Preis</t>
  </si>
  <si>
    <t>Prime/(décote) par rapport au prix courant</t>
  </si>
  <si>
    <t>Premium/(Sconto) al prezzo attuale</t>
  </si>
  <si>
    <t xml:space="preserve">현재주가와의 프리미엄(디스카운트) </t>
  </si>
  <si>
    <t>Премиум / (Дисконт) к текущей цене</t>
  </si>
  <si>
    <t>（2）自由现金流的隐含永续增长率 = 【（终端税息折旧及摊销前利润）*（终端税息折旧及摊销前利润倍数）*（加权平均资本成本）-（终端自由现金流）】/【（终端税息折旧及摊销前利润）*（终端税息折旧及摊销前利润倍数）+（终端自由现金流）】</t>
  </si>
  <si>
    <t>（2）自由現金流的隱含永續增長率 = 【（終端稅息折舊及攤銷前利潤）*（終端稅息折舊及攤銷前利潤倍數）*（加權平均資本成本）-（終端自由現金流）】/【（終端稅息折舊及攤銷前利潤）*（終端稅息折舊及攤銷前利潤倍數）+（終端自由現金流）】</t>
  </si>
  <si>
    <t>Implied 永久成長率= [計画期間最終EBITDA*EBITDAマルチプル*WACC - 計画期間最終FCF] / [計画期間最終EBITDA * EBITDAマルチプル+ 計画期間最終FCF</t>
  </si>
  <si>
    <t>(2) Tasa de crecimiento perpetuo implícito de Flujo de caja libre = [(Valor terminal de EBITDA) * (Valor terminal por múltiplos de EBITDA) * (Promedio Ponderado del Costo de Capital) - (Año de valor terminal de flujo de caja libre)] / [(Valor terminal de EBITDA) * (Valor terminal por múltiplos de EBITDA) + (Año de valor terminal de flujo de caja libre) ]</t>
  </si>
  <si>
    <t>(2) Implizite ewige Wachstumsrate des FCF = [(Terminal EBITDA)*(Multiples des Terminal EBITDA)*(WACC) - (Terminal Jahr FCF)] / [(Terminal EBITDA)*(Terminal EBITDA Multiples)+(Terminal Jahr FCF))]</t>
  </si>
  <si>
    <t>(2) Taux de croissance perpétuelle implicite du FCF = [(EBITDA terminal) * (Multiple du EBITDA terminal) * (WACC) - (FCF de l’année terminale)] / [(EBITDA terminal) * (Multiple du EBITDA terminal) + (FCF de l’année terminale) ]</t>
  </si>
  <si>
    <t>(2) Tasso di crescita perpetuo implicito di flusso di cassa libero = [(EBITDA finale) * (Multiplo EBITDA finale) * (WACC) - (Flusso di cassa libero dell’anno finale)]/[(EBITDA finale) * (Multiplo EBITDA finale) + (Flusso di cassa libero dell’anno finale)]</t>
  </si>
  <si>
    <t>(2) Implied Perpetual Growth Rate of FCF(기업잉여현금흐름의 내재영구성장률) = [(Terminal EBITDA)*(Terminal EBITDA Multiple)*(WACC) - (Terminal Year FCF)] / [(Terminal EBITDA)*(Terminal EBITDA Multiple) + (Terminal Year FCF)]</t>
  </si>
  <si>
    <t xml:space="preserve">(2) Предполагаемый постоянный темп роста свободного денежного потока  (FCF) = [(Терминальный показатель EBITDA) * (Терминальный EBITDA Мультипликатор) * (Средневзвешенная стоимость капитала WACC) - (Терминальная стоимость конечного годового свободного денежного  потока FCF)] / [(Терминальный показатель EBITDA) ** (Терминальный  EBITDA Мультипликатор) + (Терминальная стоимость конечного годового свободного денежный потока) </t>
  </si>
  <si>
    <t>敏感性分析</t>
  </si>
  <si>
    <t>感応度分析</t>
  </si>
  <si>
    <t>ANÁLISIS DE SENSIBILIDAD</t>
  </si>
  <si>
    <t>SENSITIVITÄTSANALYSE</t>
  </si>
  <si>
    <t>ANALYSE DE LA SENSIBILITÉ</t>
  </si>
  <si>
    <t>ANALISI DI SENSIBILITÀ</t>
  </si>
  <si>
    <t>민감도 분석</t>
  </si>
  <si>
    <t>АНАЛИЗ ЧУВСТВИТЕЛЬНОСТИ</t>
  </si>
  <si>
    <t>贴现</t>
  </si>
  <si>
    <t>貼現</t>
  </si>
  <si>
    <t>割引</t>
  </si>
  <si>
    <t>Con descuento</t>
  </si>
  <si>
    <t>Diskontiert</t>
  </si>
  <si>
    <t>escompté</t>
  </si>
  <si>
    <t>Scontato</t>
  </si>
  <si>
    <t>할인 된</t>
  </si>
  <si>
    <t xml:space="preserve">Дисконтирование </t>
  </si>
  <si>
    <t>终值的现值</t>
  </si>
  <si>
    <t>終值的現值</t>
  </si>
  <si>
    <t>残存価値の現在価値</t>
  </si>
  <si>
    <t>Valor presente del valor terminal</t>
  </si>
  <si>
    <t>Barwert des Terminalwertes</t>
  </si>
  <si>
    <t>Valeur actuelle de la valeur terminale</t>
  </si>
  <si>
    <t>Valore attuale del valore finale</t>
  </si>
  <si>
    <t>종료가치(Terminal Value)의 현가</t>
  </si>
  <si>
    <t>Приведенная стоимость терминальной стоимости</t>
  </si>
  <si>
    <t>企业价值的现值</t>
  </si>
  <si>
    <t>企業價值的現值</t>
  </si>
  <si>
    <t>Valor presente del valor de la empresa</t>
  </si>
  <si>
    <t>Barwert des Unternehmenswertes</t>
  </si>
  <si>
    <t>Valeur actuelle de la valeur d'entreprise</t>
  </si>
  <si>
    <t>Valore attuale del valore aziendale</t>
  </si>
  <si>
    <t>기업가치의 현가</t>
  </si>
  <si>
    <t>Приведенная стоимость стоимости предприятия</t>
  </si>
  <si>
    <t>现金流</t>
  </si>
  <si>
    <t>現金流</t>
  </si>
  <si>
    <t>キャッシュフロー</t>
  </si>
  <si>
    <t>Flujo de efectivo</t>
  </si>
  <si>
    <t>FF</t>
  </si>
  <si>
    <t>현금 흐름</t>
  </si>
  <si>
    <t>денежных потоков (CF)</t>
  </si>
  <si>
    <t>税息折旧及摊销前利润结束年份倍数</t>
  </si>
  <si>
    <t>稅息折舊及攤銷前利潤結束年份倍數</t>
  </si>
  <si>
    <t>EBITDA Exit マルチプル</t>
  </si>
  <si>
    <t>Múltiplo de salida de EBITDA</t>
  </si>
  <si>
    <t>EBITDA Sortie Multiple</t>
  </si>
  <si>
    <t>Multiplo di uscita EBITDA</t>
  </si>
  <si>
    <t>EBITDA 출구가격배수(exit multiple)</t>
  </si>
  <si>
    <t>Конечный мультипликатор EBITDA</t>
  </si>
  <si>
    <t>加权平均资本成本步骤</t>
  </si>
  <si>
    <t>加權平均資本成本步驟</t>
  </si>
  <si>
    <t>WACC増加幅</t>
  </si>
  <si>
    <t>Costo medio ponderado de capital - Paso</t>
  </si>
  <si>
    <t>WACC-Schritt</t>
  </si>
  <si>
    <t>Étape Coût moyen pondéré du capital</t>
  </si>
  <si>
    <t>Fase CMPC</t>
  </si>
  <si>
    <t>가중평균자본비용 간격</t>
  </si>
  <si>
    <t xml:space="preserve">Шаг в расчете средневзвешенной стоимости капитала (WACC) </t>
  </si>
  <si>
    <t>结束年份倍数步骤</t>
  </si>
  <si>
    <t>結束年份倍數步驟</t>
  </si>
  <si>
    <t>Exitマルチプル増加幅</t>
  </si>
  <si>
    <t>Múltiplo de salida - Paso</t>
  </si>
  <si>
    <t>Beenden des Mehrschrittes</t>
  </si>
  <si>
    <t>Étape Exit Multiple</t>
  </si>
  <si>
    <t>Fase del multiplo di uscita</t>
  </si>
  <si>
    <t>출구가격배수(Exit Multiple) 간격</t>
  </si>
  <si>
    <t>Шаг в расчете конечной стоимости денежных потоков с использованием мультипликатора</t>
  </si>
  <si>
    <t>净债务（１）</t>
  </si>
  <si>
    <t>淨債務（１）</t>
  </si>
  <si>
    <t>純有利子負債(1)</t>
  </si>
  <si>
    <t>Deuda Neta (1)</t>
  </si>
  <si>
    <t>Nettoverschuldung (1)</t>
  </si>
  <si>
    <t>Dette nette (1)</t>
  </si>
  <si>
    <t>Indebitamento netto (1)</t>
  </si>
  <si>
    <t>순 부채(1)</t>
  </si>
  <si>
    <t>Чистый долг (1)</t>
  </si>
  <si>
    <t>股权现值日期</t>
  </si>
  <si>
    <t>股權現值日期</t>
  </si>
  <si>
    <t>Valor presente del patrimonio al</t>
  </si>
  <si>
    <t>Barwert des Eigenkapitals zu</t>
  </si>
  <si>
    <t>Valeur actuelle des capitaux propres à</t>
  </si>
  <si>
    <t>Valore attuale di equity al</t>
  </si>
  <si>
    <t xml:space="preserve">자기자본의 현가 </t>
  </si>
  <si>
    <t>Приведенная стоимость собственного капитала по состоянию на</t>
  </si>
  <si>
    <t>每股股权价值</t>
  </si>
  <si>
    <t>每股股權價值</t>
  </si>
  <si>
    <t>Valor del patrimonio por acción</t>
  </si>
  <si>
    <t>Eigenkapital Wert pro Aktie</t>
  </si>
  <si>
    <t>Valeur de l'équité par action</t>
  </si>
  <si>
    <t>Valore di equity per azione</t>
  </si>
  <si>
    <t>주당 자기자본</t>
  </si>
  <si>
    <t>Акционерная стоимость в расчете на одну акцию</t>
  </si>
  <si>
    <t>於</t>
  </si>
  <si>
    <t>al</t>
  </si>
  <si>
    <t>zu</t>
  </si>
  <si>
    <t>à</t>
  </si>
  <si>
    <t>a</t>
  </si>
  <si>
    <t>에서</t>
  </si>
  <si>
    <t>По состоянию на:</t>
  </si>
  <si>
    <t>除</t>
  </si>
  <si>
    <t>÷</t>
  </si>
  <si>
    <t>Dividido</t>
  </si>
  <si>
    <t>Geteilt</t>
  </si>
  <si>
    <t>Divisé</t>
  </si>
  <si>
    <t>Diviso</t>
  </si>
  <si>
    <t>Разделено</t>
  </si>
  <si>
    <t>Por</t>
  </si>
  <si>
    <t>Von</t>
  </si>
  <si>
    <t>Par</t>
  </si>
  <si>
    <t>Per</t>
  </si>
  <si>
    <t>으로</t>
  </si>
  <si>
    <t xml:space="preserve">на </t>
  </si>
  <si>
    <t>股份</t>
  </si>
  <si>
    <t>発行済み株式数</t>
  </si>
  <si>
    <t>Acciones</t>
  </si>
  <si>
    <t>Aktien</t>
  </si>
  <si>
    <t>Actions</t>
  </si>
  <si>
    <t>Azioni</t>
  </si>
  <si>
    <t xml:space="preserve">주식 수 </t>
  </si>
  <si>
    <t>Акции</t>
  </si>
  <si>
    <t>自由现金流的隐含永续增长率</t>
  </si>
  <si>
    <t>自由現金流的隱含永續增長率</t>
  </si>
  <si>
    <t>Implied 永久成長率 (フリーキャッシュフロー)</t>
  </si>
  <si>
    <t>Tasa de crecimiento perpetuo implícito de Flujos de caja libres</t>
  </si>
  <si>
    <t>Implizite ewige Wachstumsrate des FCF</t>
  </si>
  <si>
    <t>Taux de croissance perpétuelle implicite du FCF</t>
  </si>
  <si>
    <t>Tasso di crescita perpetuo implicito di flusso di cassa libero</t>
  </si>
  <si>
    <t>기업잉여현금흐름의 내재영구성장률</t>
  </si>
  <si>
    <t xml:space="preserve">Предполагаемый постоянный темп роста свободного денежного потока </t>
  </si>
  <si>
    <t>每股当前价格的溢价或折价</t>
  </si>
  <si>
    <t>每股當前價格的溢價或折價</t>
  </si>
  <si>
    <t>Prima / (Descuento) al Precio Actual por Acción</t>
  </si>
  <si>
    <t>Prämie/(Rabatt) zum aktuellen Preis pro Aktie</t>
  </si>
  <si>
    <t>Prime / (remise) au prix actuel par action</t>
  </si>
  <si>
    <t>Premium/(Sconto) al prezzo corrente per azione</t>
  </si>
  <si>
    <t>현재 주가수익비율 대비 프리미엄(디스카운트)</t>
  </si>
  <si>
    <t>Премиум / (Дисконт) к текущей цене  в расчете на одну акцию</t>
  </si>
  <si>
    <t>（1）等于总债务加优先股加少数权益减现金及约当现金</t>
  </si>
  <si>
    <t>（1）等於總債務加優先股加少數權益減現金及約當現金</t>
  </si>
  <si>
    <t>(1) = 総有利子負債 +  優先株式 + 少数株主持分 - 現金同等物</t>
  </si>
  <si>
    <t>(1) Es igual a la deuda total más participación preferente más el interés minoritario, menos efectivo y equivalentes.</t>
  </si>
  <si>
    <t>(1) Entspricht der Gesamtverschuldung zuzüglich des Vorzugskapitals zuzüglich der Minderheitsanteile abzüglich des Bargelds und Zahlungsmitteläquivalente.</t>
  </si>
  <si>
    <t>(1) Correspond au total de la dette, des capitaux propres privilégiés et des intérêts minoritaires, moins la trésorerie et les équivalents</t>
  </si>
  <si>
    <t>(1) Pari il indebitamento totale più equity privilegiato più la partecipazione minoritaria meno disponibilità liquide e mezzi equivalenti.</t>
  </si>
  <si>
    <t>(1)=부채총액+ 우선주 + 비지배지분 - 현금및현금성자산</t>
  </si>
  <si>
    <t>(1) Равен сумме долга плюс привилегированный капитал плюс доля меньшинства за вычетом денежных средств и их эквивалентов.</t>
  </si>
  <si>
    <t>运营资金时间表</t>
  </si>
  <si>
    <t>運營資金時間表</t>
  </si>
  <si>
    <t>運転資本スケジュール</t>
  </si>
  <si>
    <t>Calendario de capital de trabajo</t>
  </si>
  <si>
    <t>ARBEITSKAPITALPLAN</t>
  </si>
  <si>
    <t>CALENDRIER DU FONDS DE ROULEMENT</t>
  </si>
  <si>
    <t>SCHEMA DEL CAPITALE CIRCOLANTE</t>
  </si>
  <si>
    <t>운전자본일정</t>
  </si>
  <si>
    <t>ГРАФИК ОБОРОТНОГО КАПИТАЛА</t>
  </si>
  <si>
    <t>应收账款</t>
  </si>
  <si>
    <t>應收賬款</t>
  </si>
  <si>
    <t>売掛金</t>
  </si>
  <si>
    <t>Cuentas por cobrar</t>
  </si>
  <si>
    <t>Forderungen</t>
  </si>
  <si>
    <t>Comptes d'encaissement créditeurs</t>
  </si>
  <si>
    <t>Crediti verso clienti</t>
  </si>
  <si>
    <t>매출채권</t>
  </si>
  <si>
    <t>Дебиторская задолженность</t>
  </si>
  <si>
    <t>应收账款周转天数</t>
  </si>
  <si>
    <t>應收賬款周轉天數</t>
  </si>
  <si>
    <t>売掛金回転日数</t>
  </si>
  <si>
    <t>Promedio de cobro en días</t>
  </si>
  <si>
    <t>Forderungsdauer Tage</t>
  </si>
  <si>
    <t>Jours de réception</t>
  </si>
  <si>
    <t>Giorni ricevibili</t>
  </si>
  <si>
    <t>매출채권회전일수</t>
  </si>
  <si>
    <t>Оборачиваемость дебиторской задолженности в днях</t>
  </si>
  <si>
    <t>存货</t>
  </si>
  <si>
    <t>存貨</t>
  </si>
  <si>
    <t>棚卸資産</t>
  </si>
  <si>
    <t>Inventario</t>
  </si>
  <si>
    <t>Lagerbestand</t>
  </si>
  <si>
    <t>État des stocks</t>
  </si>
  <si>
    <t>재고자산</t>
  </si>
  <si>
    <t>Запасы</t>
  </si>
  <si>
    <t>存货周转天数</t>
  </si>
  <si>
    <t>存貨周轉天數</t>
  </si>
  <si>
    <t>棚卸資産回転日数</t>
  </si>
  <si>
    <t>Periodo en días de inventario</t>
  </si>
  <si>
    <t>Lagerbestandstage</t>
  </si>
  <si>
    <t>Jours d'inventaire</t>
  </si>
  <si>
    <t>Giorni di inventario</t>
  </si>
  <si>
    <t>재고자산회전일수</t>
  </si>
  <si>
    <t xml:space="preserve">Количество дней оборачиваемости товарных запасов </t>
  </si>
  <si>
    <t>其他流动资产</t>
  </si>
  <si>
    <t>其他流動資産</t>
  </si>
  <si>
    <t>その他流動資産</t>
  </si>
  <si>
    <t>Otros activos corrientes</t>
  </si>
  <si>
    <t>Sonstige kurzfristige Vermögenswerte</t>
  </si>
  <si>
    <t>Autres actifs courants</t>
  </si>
  <si>
    <t>Altre attività correnti</t>
  </si>
  <si>
    <t>기타유동자산</t>
  </si>
  <si>
    <t>Прочие текущие активы</t>
  </si>
  <si>
    <t>流动资产总额</t>
  </si>
  <si>
    <t>流動資産總額</t>
  </si>
  <si>
    <t>流動資産合計</t>
  </si>
  <si>
    <t>Total de activos corrientes</t>
  </si>
  <si>
    <t>Kurzfristige Vermögenswerte insgesamt</t>
  </si>
  <si>
    <t>TOTAL DE L’ACTIF COURANT</t>
  </si>
  <si>
    <t>Totale attività correnti</t>
  </si>
  <si>
    <t>총 유동자산</t>
  </si>
  <si>
    <t>Всего текущих активов</t>
  </si>
  <si>
    <t>现金和短期投资</t>
  </si>
  <si>
    <t>現金和短期投資</t>
  </si>
  <si>
    <t>現金と短期投資</t>
  </si>
  <si>
    <t>Caja e inversiones a corto plazo</t>
  </si>
  <si>
    <t>Barmittel und kurzfristige Investitionen</t>
  </si>
  <si>
    <t>Liquidités et placements à court terme</t>
  </si>
  <si>
    <t>Investimenti in denaro e a breve termine</t>
  </si>
  <si>
    <t>현금 및 단기투자</t>
  </si>
  <si>
    <t>Денежные средства и краткосрочные инвестиции</t>
  </si>
  <si>
    <t>总非现金流动资产</t>
  </si>
  <si>
    <t>總非現金流動資産</t>
  </si>
  <si>
    <t>流動資産（現金以外）</t>
  </si>
  <si>
    <t>Total de activos corrientes no monetarios</t>
  </si>
  <si>
    <t>Nicht liquiditätswirksames Umlaufvermögen insgesamt</t>
  </si>
  <si>
    <t>Total des actifs courants hors trésorerie</t>
  </si>
  <si>
    <t>Totale attività correnti non monetarie</t>
  </si>
  <si>
    <t>비현금유동자산총계</t>
  </si>
  <si>
    <t>Всего неденежных оборотных активов</t>
  </si>
  <si>
    <t>应付账款</t>
  </si>
  <si>
    <t>應付賬款</t>
  </si>
  <si>
    <t>仕入債務</t>
  </si>
  <si>
    <t>Cuentas por pagar</t>
  </si>
  <si>
    <t>Verbindlichkeiten aus Lieferungen und Leistungen</t>
  </si>
  <si>
    <t>Comptes fournisseurs</t>
  </si>
  <si>
    <t>Conti debitori</t>
  </si>
  <si>
    <t>매입채무</t>
  </si>
  <si>
    <t xml:space="preserve">Кредиторская задолженность </t>
  </si>
  <si>
    <t>应付账款周转天数 </t>
  </si>
  <si>
    <t>應付賬款周轉天數</t>
  </si>
  <si>
    <t>仕入債務回転日数</t>
  </si>
  <si>
    <t>Promedio de pago en días</t>
  </si>
  <si>
    <t>Fälligkeitstage</t>
  </si>
  <si>
    <t>Jours payables</t>
  </si>
  <si>
    <t>Giorni pagabili</t>
  </si>
  <si>
    <t>매입채무회전일수</t>
  </si>
  <si>
    <t xml:space="preserve">Количество дней оборачиваемости задолженности </t>
  </si>
  <si>
    <t>应计负债</t>
  </si>
  <si>
    <t>應計負債</t>
  </si>
  <si>
    <t>未払費用</t>
  </si>
  <si>
    <t>Pasivos acumulados</t>
  </si>
  <si>
    <t>Passive Rechnungsabgrenzungsposten</t>
  </si>
  <si>
    <t>Charges à payer</t>
  </si>
  <si>
    <t>Ratei passivi</t>
  </si>
  <si>
    <t>미지급부채</t>
  </si>
  <si>
    <t>Начисленные обязательства</t>
  </si>
  <si>
    <t>其他流动负债</t>
  </si>
  <si>
    <t>其他流動負債</t>
  </si>
  <si>
    <t>その他流動負債</t>
  </si>
  <si>
    <t>Otros pasivos corrientes</t>
  </si>
  <si>
    <t>Sonstige kurzfristige Verbindlichkeiten</t>
  </si>
  <si>
    <t>Autres passifs à court terme</t>
  </si>
  <si>
    <t>Altre passività correnti</t>
  </si>
  <si>
    <t>기타유동부채</t>
  </si>
  <si>
    <t>Прочие текущие обязательства</t>
  </si>
  <si>
    <t> 流动负债总额 </t>
  </si>
  <si>
    <t> 流動負債總額 </t>
  </si>
  <si>
    <t>流動負債合計</t>
  </si>
  <si>
    <t>Total pasivos corrientes</t>
  </si>
  <si>
    <t>Kurzfristige Verbindlichkeiten insgesamt</t>
  </si>
  <si>
    <t>Total des passifs à court terme</t>
  </si>
  <si>
    <t>Totale passività correnti</t>
  </si>
  <si>
    <t>총 유동 부채</t>
  </si>
  <si>
    <t>Всего текущих обязательств</t>
  </si>
  <si>
    <t>短期借贷</t>
  </si>
  <si>
    <t>短期借貸</t>
  </si>
  <si>
    <t>短期借入金</t>
  </si>
  <si>
    <t>Préstamos a corto plazo</t>
  </si>
  <si>
    <t>Kurzfristige Darlehen</t>
  </si>
  <si>
    <t>Emprunts à court terme</t>
  </si>
  <si>
    <t>Finanziamenti a breve termine</t>
  </si>
  <si>
    <t>단기차입금</t>
  </si>
  <si>
    <t>Краткосрочные кредиты</t>
  </si>
  <si>
    <t>长期债务(当期)</t>
  </si>
  <si>
    <t>長期債務(當期)</t>
  </si>
  <si>
    <t>一年内償還予定の長期有利子負債</t>
  </si>
  <si>
    <t>Porción corriente de la deuda a largo plazo</t>
  </si>
  <si>
    <t>Derzeitiger Teil der langfristigen Schulden</t>
  </si>
  <si>
    <t>Tranche à court terme de la dette à long terme</t>
  </si>
  <si>
    <t>Parte corrente del debito a lungo termine</t>
  </si>
  <si>
    <t>유동 장기부채</t>
  </si>
  <si>
    <t>Текущая часть долгосрочной задолженности</t>
  </si>
  <si>
    <t>总非债务流动负债</t>
  </si>
  <si>
    <t>總非債務流動負債</t>
  </si>
  <si>
    <t>流動負債（有利子負債以外）</t>
  </si>
  <si>
    <t>Total de pasivos corrientes no provenientes de la deuda</t>
  </si>
  <si>
    <t>Nicht-verschuldeten kurzfristigen Verbindlichkeiten insgesamt</t>
  </si>
  <si>
    <t>Total des passifs courants non endettés</t>
  </si>
  <si>
    <t>Totale passività finanziarie non debitorie</t>
  </si>
  <si>
    <t>비유이자부채유동부채총계</t>
  </si>
  <si>
    <t>Всего недолговых текущих обязательств</t>
  </si>
  <si>
    <t>运营资金的（增长）/减少</t>
  </si>
  <si>
    <t>運營資金的（增長）/減少</t>
  </si>
  <si>
    <t>運転資本(増)減</t>
  </si>
  <si>
    <t>(Aumento) / Disminución del capital de trabajo</t>
  </si>
  <si>
    <t>(Erhöhung)/Reduzierung des Arbeitskapitals</t>
  </si>
  <si>
    <t>(augmentation) / diminution du fonds de roulement</t>
  </si>
  <si>
    <t>(Aumento)/Diminuzione del capitale circolante</t>
  </si>
  <si>
    <t>운전자본증감</t>
  </si>
  <si>
    <t>(Увеличение) / Уменьшение оборотного капитала</t>
  </si>
  <si>
    <t>市场年度回报率 (Rm) - 最近10年</t>
  </si>
  <si>
    <t>市場年度回報率 (Rm) - 最近10年</t>
  </si>
  <si>
    <t>マーケット・リターン (Rm) - 過去10年平均</t>
  </si>
  <si>
    <t>Retorno de Mercado (Rm) -Anual para los últimos diez años</t>
  </si>
  <si>
    <t>Marktrendite (Rm) - Jährlich für die letzten 10 Jahre</t>
  </si>
  <si>
    <t>Rendement du marché (Rm) - Annuel pour les dernières 10 années</t>
  </si>
  <si>
    <t>Rendimento di mercato (Rm) - Annuale per gli ultimi 10 anni</t>
  </si>
  <si>
    <t>시장수익률 (RM) - 지난 10년 연간수익률</t>
  </si>
  <si>
    <t xml:space="preserve">Рыночная доходность (Rm) - годовая за последние 10 лет </t>
  </si>
  <si>
    <t>债务/权益</t>
  </si>
  <si>
    <t>債務/權益</t>
  </si>
  <si>
    <t>有利子負債/株主資本</t>
  </si>
  <si>
    <t>D/C</t>
  </si>
  <si>
    <t>S/E</t>
  </si>
  <si>
    <t>优先股/权益</t>
  </si>
  <si>
    <t>優先股/權益</t>
  </si>
  <si>
    <t>優先株/株主資本</t>
  </si>
  <si>
    <t>P/C</t>
  </si>
  <si>
    <t>V/E</t>
  </si>
  <si>
    <t>债务成本 (Rd) - 最近发行的5个债券平均值</t>
  </si>
  <si>
    <t>債務成本 (Rd) - 最近發行的5個債券平均值</t>
  </si>
  <si>
    <t>債務コスト (Rd) - 直近発行5債券の平均</t>
  </si>
  <si>
    <t>Costo de Deuda (Rd) - Promedio de los últimos 5 bonos emitidos</t>
  </si>
  <si>
    <t>Fremdkapitalkosten (Rd) - Durchschnitt der letzten 5 ausgegebenen Anleihen</t>
  </si>
  <si>
    <t>Coût de la dette (Rd) - Moyenne des dernières 5 obligations émises</t>
  </si>
  <si>
    <t>Costo del debito (Rd) - Media delle ultime 5 obbligazioni emesse</t>
  </si>
  <si>
    <t>부채 비용 (Rd) - 최근 발행된 5개의 채권 평균 값</t>
  </si>
  <si>
    <t xml:space="preserve">Стоимость долга (Rd) - средний показатель 5 последних эмиссий облигаций </t>
  </si>
  <si>
    <t>优先股成本率 (Rp)</t>
  </si>
  <si>
    <t>優先股成本率 (Rp)</t>
  </si>
  <si>
    <t>優先株コスト (Rp)</t>
  </si>
  <si>
    <t>Costo de Preferente (Rp)</t>
  </si>
  <si>
    <t>Kosten Vorzug (Rp)</t>
  </si>
  <si>
    <t>Coût des actions préférentielles (Rp)</t>
  </si>
  <si>
    <t>Costo del privilegiato (Rp)</t>
  </si>
  <si>
    <t>우선주비용 (Rp)</t>
  </si>
  <si>
    <t>Стоимость привилегированного акционерного капитала (Rp)</t>
  </si>
  <si>
    <t>税率</t>
  </si>
  <si>
    <t>稅率</t>
  </si>
  <si>
    <t>Tasa impositiva</t>
  </si>
  <si>
    <t>Steuersatz</t>
  </si>
  <si>
    <t>Taux d'impôt</t>
  </si>
  <si>
    <t>Aliquota fiscale</t>
  </si>
  <si>
    <t>세율</t>
  </si>
  <si>
    <t>终值现值 （1）</t>
  </si>
  <si>
    <t>終值現值 （1）</t>
  </si>
  <si>
    <t>残存価値の現在価値(1)</t>
  </si>
  <si>
    <t>Valor presente del valor terminal(1)</t>
  </si>
  <si>
    <t>Barwert des Endwertes (1)</t>
  </si>
  <si>
    <t>Valeur actuelle de la valeur finale (1)</t>
  </si>
  <si>
    <t>Valorea attuale del valore finale (1)</t>
  </si>
  <si>
    <t xml:space="preserve">종료가치(Terminal Value)의 현가 </t>
  </si>
  <si>
    <t>Приведенная стоимость (PV) терминальной стоимости (1)</t>
  </si>
  <si>
    <t>财政年度结束</t>
  </si>
  <si>
    <t>財政年度結束</t>
  </si>
  <si>
    <t>会計年度期末(予測値)</t>
  </si>
  <si>
    <t>Ejercicio fiscal terminado</t>
  </si>
  <si>
    <t>Ende des Geschäftsjahres</t>
  </si>
  <si>
    <t>Exercice clos le</t>
  </si>
  <si>
    <t>Anno fiscale chiuso</t>
  </si>
  <si>
    <t>회계연도 종료일</t>
  </si>
  <si>
    <t>Конец отчетного года</t>
  </si>
  <si>
    <t>说明：</t>
  </si>
  <si>
    <t>說明：</t>
  </si>
  <si>
    <t>使用説明:</t>
  </si>
  <si>
    <t>Instrucciones:</t>
  </si>
  <si>
    <t>Anleitung:</t>
  </si>
  <si>
    <t>Instructions :</t>
  </si>
  <si>
    <t>Istruzioni:</t>
  </si>
  <si>
    <t>설명:</t>
  </si>
  <si>
    <t>Инструкции:</t>
  </si>
  <si>
    <t>联系方式：</t>
  </si>
  <si>
    <t>聯絡方式：</t>
  </si>
  <si>
    <t>連絡先:</t>
  </si>
  <si>
    <t>Contacto:</t>
  </si>
  <si>
    <t>Kontakt:</t>
  </si>
  <si>
    <t>Contact :</t>
  </si>
  <si>
    <t>Contatto:</t>
  </si>
  <si>
    <t>연락처:</t>
  </si>
  <si>
    <t>Контактные данные:</t>
  </si>
  <si>
    <t>2）打开模板时启用宏。</t>
  </si>
  <si>
    <t>2）打開模板時啟用宏。</t>
  </si>
  <si>
    <t>2）テンプレートを開くときにマクロを有効にします。</t>
  </si>
  <si>
    <t>2) Habilitar macros al abrir la plantilla.</t>
  </si>
  <si>
    <t>2) Aktivieren Sie Makros beim Öffnen der Vorlage.</t>
  </si>
  <si>
    <t>2) Activer les macros lors de l’ouverture du modèle.</t>
  </si>
  <si>
    <t>2) Abilita le macro durante l'apertura del modello.</t>
  </si>
  <si>
    <t>2) 템플릿을 여는 동안 매크로를 활성화하십시오.</t>
  </si>
  <si>
    <t>2) Включить макросы при открытии шаблона.</t>
  </si>
  <si>
    <t>电话：</t>
  </si>
  <si>
    <t>電話:</t>
  </si>
  <si>
    <t>電話番号：</t>
  </si>
  <si>
    <t>Teléfono:</t>
  </si>
  <si>
    <t>Telefon:</t>
  </si>
  <si>
    <t>Téléphone :</t>
  </si>
  <si>
    <t>Telefono:</t>
  </si>
  <si>
    <t>전화번호:</t>
  </si>
  <si>
    <t>тел.:</t>
  </si>
  <si>
    <t>电子邮箱：</t>
  </si>
  <si>
    <t>電子郵件：</t>
  </si>
  <si>
    <t>メールアドレス:</t>
  </si>
  <si>
    <t>correo electrónico:</t>
  </si>
  <si>
    <t>E-Mail:</t>
  </si>
  <si>
    <t>Adresse e-mail :</t>
  </si>
  <si>
    <t>e-mail:</t>
  </si>
  <si>
    <t>이메일:</t>
  </si>
  <si>
    <t>Электронная почта:</t>
  </si>
  <si>
    <t>放弃:</t>
  </si>
  <si>
    <t>放棄:</t>
  </si>
  <si>
    <t>免責事項:</t>
  </si>
  <si>
    <t>Renuncia:</t>
  </si>
  <si>
    <t>Haftungsausschluss:</t>
  </si>
  <si>
    <t>Avertissement:</t>
  </si>
  <si>
    <t>disconoscimento:</t>
  </si>
  <si>
    <t>기권:</t>
  </si>
  <si>
    <t>отказ:</t>
  </si>
  <si>
    <t>货币</t>
  </si>
  <si>
    <t>貨幣</t>
  </si>
  <si>
    <t>通貨</t>
  </si>
  <si>
    <t>Moneda</t>
  </si>
  <si>
    <t>Währung</t>
  </si>
  <si>
    <t>Devise</t>
  </si>
  <si>
    <t>Valuta</t>
  </si>
  <si>
    <t>통화</t>
  </si>
  <si>
    <t>Валюта</t>
  </si>
  <si>
    <t>幅度</t>
  </si>
  <si>
    <t>規模</t>
  </si>
  <si>
    <t>Escala</t>
  </si>
  <si>
    <t>Größe</t>
  </si>
  <si>
    <t>Grandezza</t>
  </si>
  <si>
    <t>단위</t>
  </si>
  <si>
    <t>Размерность</t>
  </si>
  <si>
    <t>总债务</t>
  </si>
  <si>
    <t>總債務</t>
  </si>
  <si>
    <t>有利子負債合計</t>
  </si>
  <si>
    <t>Deuda total</t>
  </si>
  <si>
    <t>Gesamtverschuldung</t>
  </si>
  <si>
    <t>Dette totale</t>
  </si>
  <si>
    <t>Indebitamento totale</t>
  </si>
  <si>
    <t>총 부채</t>
  </si>
  <si>
    <t>Общая задолженность</t>
  </si>
  <si>
    <t>货币换算方法</t>
  </si>
  <si>
    <t>貨幣轉換方法</t>
  </si>
  <si>
    <t>通貨換算方法</t>
  </si>
  <si>
    <t>Método de conversión de monedas</t>
  </si>
  <si>
    <t>Währungsumrechnungsmethode</t>
  </si>
  <si>
    <t>Méthode de conversion des devises</t>
  </si>
  <si>
    <t>Metodo di conversione della valuta</t>
  </si>
  <si>
    <t>통화 환율 적용률</t>
  </si>
  <si>
    <t>Метод конвертации валют</t>
  </si>
  <si>
    <t>非正常会计周期逻辑</t>
  </si>
  <si>
    <t>非正常財務期間邏輯</t>
  </si>
  <si>
    <t>臨時会計期間ロジック</t>
  </si>
  <si>
    <t>Lógica para un ejercicio dado</t>
  </si>
  <si>
    <t>Logik zu unüblichem Geschäftsjahr</t>
  </si>
  <si>
    <t>Logique de la période d'exercice spéciale</t>
  </si>
  <si>
    <t>Logica periodo di imposta speciale</t>
  </si>
  <si>
    <t>특이 회계기간 처리</t>
  </si>
  <si>
    <t>Выгодная логика отчетного периода</t>
  </si>
  <si>
    <t>公司名称</t>
  </si>
  <si>
    <t>公司名稱</t>
  </si>
  <si>
    <t>企業名</t>
  </si>
  <si>
    <t>Nombre</t>
  </si>
  <si>
    <t>Dénomination</t>
  </si>
  <si>
    <t>Nome</t>
  </si>
  <si>
    <t>회사명</t>
  </si>
  <si>
    <t>Наименование</t>
  </si>
  <si>
    <t>澳大利亚</t>
  </si>
  <si>
    <t>澳大利亞</t>
  </si>
  <si>
    <t>オーストラリア</t>
  </si>
  <si>
    <t>Australien</t>
  </si>
  <si>
    <t>Australie</t>
  </si>
  <si>
    <t>호주</t>
  </si>
  <si>
    <t>Австралия</t>
  </si>
  <si>
    <t>奥地利</t>
  </si>
  <si>
    <t>奧地利</t>
  </si>
  <si>
    <t>オーストリア</t>
  </si>
  <si>
    <t>Österreich</t>
  </si>
  <si>
    <t>Autriche</t>
  </si>
  <si>
    <t>오스트리아</t>
  </si>
  <si>
    <t>Австрия</t>
  </si>
  <si>
    <t>比利时</t>
  </si>
  <si>
    <t>比利時</t>
  </si>
  <si>
    <t>ベルギー</t>
  </si>
  <si>
    <t>Bélgica</t>
  </si>
  <si>
    <t>Belgien</t>
  </si>
  <si>
    <t>Belgique</t>
  </si>
  <si>
    <t>Belgio</t>
  </si>
  <si>
    <t>벨기에</t>
  </si>
  <si>
    <t>Бельгия</t>
  </si>
  <si>
    <t>巴西</t>
  </si>
  <si>
    <t>ブラジル</t>
  </si>
  <si>
    <t>Brasil</t>
  </si>
  <si>
    <t>Brasilien</t>
  </si>
  <si>
    <t>Brésil</t>
  </si>
  <si>
    <t>Brasile</t>
  </si>
  <si>
    <t>브라질</t>
  </si>
  <si>
    <t>Бразилия</t>
  </si>
  <si>
    <t>保加利亚</t>
  </si>
  <si>
    <t>保加利亞</t>
  </si>
  <si>
    <t>ブルガリア</t>
  </si>
  <si>
    <t>Bulgarien</t>
  </si>
  <si>
    <t>Bulgarie</t>
  </si>
  <si>
    <t>불가리아</t>
  </si>
  <si>
    <t>Болгария</t>
  </si>
  <si>
    <t>加拿大</t>
  </si>
  <si>
    <t>カナダ</t>
  </si>
  <si>
    <t>Canadá</t>
  </si>
  <si>
    <t>Kanada</t>
  </si>
  <si>
    <t>캐나다</t>
  </si>
  <si>
    <t>Канада</t>
  </si>
  <si>
    <t>中国</t>
  </si>
  <si>
    <t>中國</t>
  </si>
  <si>
    <t>Chine</t>
  </si>
  <si>
    <t>Cina</t>
  </si>
  <si>
    <t>중국</t>
  </si>
  <si>
    <t>Китай</t>
  </si>
  <si>
    <t>捷克</t>
  </si>
  <si>
    <t>捷克共和國</t>
  </si>
  <si>
    <t>チェコ共和国</t>
  </si>
  <si>
    <t>Republica checa</t>
  </si>
  <si>
    <t>Tschechische Republik</t>
  </si>
  <si>
    <t>République tchèque</t>
  </si>
  <si>
    <t>Repubblica Ceca</t>
  </si>
  <si>
    <t>체코 공화국</t>
  </si>
  <si>
    <t>Чешская Республика</t>
  </si>
  <si>
    <t>丹麦</t>
  </si>
  <si>
    <t>丹麥</t>
  </si>
  <si>
    <t>デンマーク</t>
  </si>
  <si>
    <t>Dinamarca</t>
  </si>
  <si>
    <t>Dänemark</t>
  </si>
  <si>
    <t>Danemark</t>
  </si>
  <si>
    <t>Danimarca</t>
  </si>
  <si>
    <t>덴마크</t>
  </si>
  <si>
    <t>Дания</t>
  </si>
  <si>
    <t>欧元区</t>
  </si>
  <si>
    <t>歐元區</t>
  </si>
  <si>
    <t>ユーロゾーン</t>
  </si>
  <si>
    <t>Zona euro</t>
  </si>
  <si>
    <t>Zone Euro</t>
  </si>
  <si>
    <t>EuroZone</t>
  </si>
  <si>
    <t>유로존</t>
  </si>
  <si>
    <t>Еврозона</t>
  </si>
  <si>
    <t>芬兰</t>
  </si>
  <si>
    <t>芬蘭</t>
  </si>
  <si>
    <t>フィンランド</t>
  </si>
  <si>
    <t>Finlandia</t>
  </si>
  <si>
    <t>Finnland</t>
  </si>
  <si>
    <t>Finlande</t>
  </si>
  <si>
    <t>핀란드</t>
  </si>
  <si>
    <t>Финляндия</t>
  </si>
  <si>
    <t>法国</t>
  </si>
  <si>
    <t>法國</t>
  </si>
  <si>
    <t>フランス</t>
  </si>
  <si>
    <t>Francia</t>
  </si>
  <si>
    <t>Frankreich</t>
  </si>
  <si>
    <t>프랑스</t>
  </si>
  <si>
    <t>Франция</t>
  </si>
  <si>
    <t>德国</t>
  </si>
  <si>
    <t>德國</t>
  </si>
  <si>
    <t>ドイツ</t>
  </si>
  <si>
    <t>Alemania</t>
  </si>
  <si>
    <t>Deutschland</t>
  </si>
  <si>
    <t>Allemagne</t>
  </si>
  <si>
    <t>Germania</t>
  </si>
  <si>
    <t>독일</t>
  </si>
  <si>
    <t>Германия</t>
  </si>
  <si>
    <t>希腊</t>
  </si>
  <si>
    <t>希臘</t>
  </si>
  <si>
    <t> ギリシャ</t>
  </si>
  <si>
    <t>Grecia</t>
  </si>
  <si>
    <t>Griechenland</t>
  </si>
  <si>
    <t>Grèce</t>
  </si>
  <si>
    <t>그리스</t>
  </si>
  <si>
    <t>Греция</t>
  </si>
  <si>
    <t>香港</t>
  </si>
  <si>
    <t>Hongkong</t>
  </si>
  <si>
    <t>홍콩</t>
  </si>
  <si>
    <t>Гонконг</t>
  </si>
  <si>
    <t>匈牙利</t>
  </si>
  <si>
    <t>ハンガリー</t>
  </si>
  <si>
    <t>Hungría</t>
  </si>
  <si>
    <t>Ungarn</t>
  </si>
  <si>
    <t>Hongrie</t>
  </si>
  <si>
    <t>Ungheria</t>
  </si>
  <si>
    <t>헝가리</t>
  </si>
  <si>
    <t>Венгрия</t>
  </si>
  <si>
    <t>印度</t>
  </si>
  <si>
    <t>インド</t>
  </si>
  <si>
    <t>Indien</t>
  </si>
  <si>
    <t>Inde</t>
  </si>
  <si>
    <t>인도</t>
  </si>
  <si>
    <t>Индия</t>
  </si>
  <si>
    <t>印尼</t>
  </si>
  <si>
    <t>インドネシア</t>
  </si>
  <si>
    <t>Indonesien</t>
  </si>
  <si>
    <t>Indonésie</t>
  </si>
  <si>
    <t>인도네시아 공화국</t>
  </si>
  <si>
    <t>Индонезия</t>
  </si>
  <si>
    <t>爱尔兰</t>
  </si>
  <si>
    <t>愛爾蘭</t>
  </si>
  <si>
    <t>アイルランド</t>
  </si>
  <si>
    <t>Irlanda</t>
  </si>
  <si>
    <t>Irland</t>
  </si>
  <si>
    <t>Irlande</t>
  </si>
  <si>
    <t>아일랜드</t>
  </si>
  <si>
    <t>Ирландия</t>
  </si>
  <si>
    <t>以色列</t>
  </si>
  <si>
    <t>イスラエル</t>
  </si>
  <si>
    <t>Israêl</t>
  </si>
  <si>
    <t>Israele</t>
  </si>
  <si>
    <t>이스라엘</t>
  </si>
  <si>
    <t>Израиль</t>
  </si>
  <si>
    <t>意大利</t>
  </si>
  <si>
    <t>イタリア</t>
  </si>
  <si>
    <t>Italia</t>
  </si>
  <si>
    <t>Italien</t>
  </si>
  <si>
    <t>Italie</t>
  </si>
  <si>
    <t>이탈리아</t>
  </si>
  <si>
    <t>Италия</t>
  </si>
  <si>
    <t>日本</t>
  </si>
  <si>
    <t>Japon</t>
  </si>
  <si>
    <t>Giappone</t>
  </si>
  <si>
    <t>일본</t>
  </si>
  <si>
    <t>Япония</t>
  </si>
  <si>
    <t>肯尼亚</t>
  </si>
  <si>
    <t>肯亞</t>
  </si>
  <si>
    <t>ケニア</t>
  </si>
  <si>
    <t>Kenia</t>
  </si>
  <si>
    <t>케냐</t>
  </si>
  <si>
    <t>Кения</t>
  </si>
  <si>
    <t>马来西亚</t>
  </si>
  <si>
    <t>馬來西亞</t>
  </si>
  <si>
    <t>マレーシア</t>
  </si>
  <si>
    <t>Malasia</t>
  </si>
  <si>
    <t>Malaisie</t>
  </si>
  <si>
    <t>말레이시아</t>
  </si>
  <si>
    <t>Малайзия</t>
  </si>
  <si>
    <t>墨西哥</t>
  </si>
  <si>
    <t>メキシコ</t>
  </si>
  <si>
    <t>México</t>
  </si>
  <si>
    <t>Mexiko</t>
  </si>
  <si>
    <t>Messico</t>
  </si>
  <si>
    <t>멕시코</t>
  </si>
  <si>
    <t>Мексика</t>
  </si>
  <si>
    <t>荷兰</t>
  </si>
  <si>
    <t>荷蘭</t>
  </si>
  <si>
    <t>オランダ</t>
  </si>
  <si>
    <t>Holanda</t>
  </si>
  <si>
    <t>Niederlande</t>
  </si>
  <si>
    <t>Pays-Bas</t>
  </si>
  <si>
    <t>Paesi Bassi</t>
  </si>
  <si>
    <t>네덜란드</t>
  </si>
  <si>
    <t>Нидерланды</t>
  </si>
  <si>
    <t>新西兰</t>
  </si>
  <si>
    <t>紐西蘭</t>
  </si>
  <si>
    <t>ニュージーランド</t>
  </si>
  <si>
    <t>Nueva Zelanda</t>
  </si>
  <si>
    <t>Neuseeland</t>
  </si>
  <si>
    <t>Nouvelle-Zélande</t>
  </si>
  <si>
    <t>Nuova Zelanda</t>
  </si>
  <si>
    <t>뉴질랜드</t>
  </si>
  <si>
    <t>Новая Зеландия</t>
  </si>
  <si>
    <t>挪威</t>
  </si>
  <si>
    <t>ノルウェー</t>
  </si>
  <si>
    <t>Noruega</t>
  </si>
  <si>
    <t>Norwegen</t>
  </si>
  <si>
    <t>Norvège</t>
  </si>
  <si>
    <t>Norvegia</t>
  </si>
  <si>
    <t>노르웨이</t>
  </si>
  <si>
    <t>Норвегия</t>
  </si>
  <si>
    <t>菲律宾</t>
  </si>
  <si>
    <t>菲律賓</t>
  </si>
  <si>
    <t>フィリピン</t>
  </si>
  <si>
    <t>Filipinas</t>
  </si>
  <si>
    <t>Philippinen</t>
  </si>
  <si>
    <t>Filippine</t>
  </si>
  <si>
    <t>필리핀</t>
  </si>
  <si>
    <t>Филиппины</t>
  </si>
  <si>
    <t>波兰</t>
  </si>
  <si>
    <t>波蘭</t>
  </si>
  <si>
    <t>ポーランド</t>
  </si>
  <si>
    <t>Polonia</t>
  </si>
  <si>
    <t>Polen</t>
  </si>
  <si>
    <t>Pologne</t>
  </si>
  <si>
    <t>폴란드</t>
  </si>
  <si>
    <t>Польша</t>
  </si>
  <si>
    <t>葡萄牙</t>
  </si>
  <si>
    <t>ポルトガル</t>
  </si>
  <si>
    <t>PT</t>
  </si>
  <si>
    <t>Portogallo</t>
  </si>
  <si>
    <t>포르투갈</t>
  </si>
  <si>
    <t>Португалия</t>
  </si>
  <si>
    <t>俄罗斯</t>
  </si>
  <si>
    <t>俄羅斯</t>
  </si>
  <si>
    <t>ロシア</t>
  </si>
  <si>
    <t>Rusia</t>
  </si>
  <si>
    <t>Russland</t>
  </si>
  <si>
    <t>Russie</t>
  </si>
  <si>
    <t>러시아</t>
  </si>
  <si>
    <t>Россия</t>
  </si>
  <si>
    <t>新加坡</t>
  </si>
  <si>
    <t>シンガポール</t>
  </si>
  <si>
    <t>Singapur</t>
  </si>
  <si>
    <t>Singapour</t>
  </si>
  <si>
    <t>싱가포르</t>
  </si>
  <si>
    <t>Сингапур</t>
  </si>
  <si>
    <t>斯洛伐克</t>
  </si>
  <si>
    <t>スロバキア</t>
  </si>
  <si>
    <t>Eslovaquia</t>
  </si>
  <si>
    <t>Slowakei</t>
  </si>
  <si>
    <t>Slovaquie</t>
  </si>
  <si>
    <t>Slovacchia</t>
  </si>
  <si>
    <t>슬로바키아</t>
  </si>
  <si>
    <t>Словакия</t>
  </si>
  <si>
    <t>南非</t>
  </si>
  <si>
    <t>南アフリカ</t>
  </si>
  <si>
    <t>Sudáfrica</t>
  </si>
  <si>
    <t>Südafrika</t>
  </si>
  <si>
    <t>Afrique du Sud</t>
  </si>
  <si>
    <t>Sud Africa</t>
  </si>
  <si>
    <t>남아프리카 공화국</t>
  </si>
  <si>
    <t>Южная Африка</t>
  </si>
  <si>
    <t>韩国</t>
  </si>
  <si>
    <t>韓國</t>
  </si>
  <si>
    <t>韓国</t>
  </si>
  <si>
    <t>Corea del Sur</t>
  </si>
  <si>
    <t>Südkorea</t>
  </si>
  <si>
    <t>Corée du Sud</t>
  </si>
  <si>
    <t>Corea del Sud</t>
  </si>
  <si>
    <t>한국</t>
  </si>
  <si>
    <t>Южная Корея</t>
  </si>
  <si>
    <t>西班牙</t>
  </si>
  <si>
    <t>スペイン</t>
  </si>
  <si>
    <t>España</t>
  </si>
  <si>
    <t>Spanien</t>
  </si>
  <si>
    <t>Espagne</t>
  </si>
  <si>
    <t>Spagna</t>
  </si>
  <si>
    <t>스페인</t>
  </si>
  <si>
    <t>Испания</t>
  </si>
  <si>
    <t>瑞典</t>
  </si>
  <si>
    <t>スウェーデン</t>
  </si>
  <si>
    <t>Suecia</t>
  </si>
  <si>
    <t>Schweden</t>
  </si>
  <si>
    <t>Suède</t>
  </si>
  <si>
    <t>Svezia</t>
  </si>
  <si>
    <t>스웨덴</t>
  </si>
  <si>
    <t>Швеция</t>
  </si>
  <si>
    <t>瑞士</t>
  </si>
  <si>
    <t>スイス</t>
  </si>
  <si>
    <t>Suiza</t>
  </si>
  <si>
    <t>Schweiz</t>
  </si>
  <si>
    <t>Suisse</t>
  </si>
  <si>
    <t>Svizzera</t>
  </si>
  <si>
    <t>스위스</t>
  </si>
  <si>
    <t>Швейцария</t>
  </si>
  <si>
    <t>中国台湾</t>
  </si>
  <si>
    <t>中國台灣</t>
  </si>
  <si>
    <t>台湾</t>
  </si>
  <si>
    <t>Taiwán</t>
  </si>
  <si>
    <t>대만</t>
  </si>
  <si>
    <t>Тайвань</t>
  </si>
  <si>
    <t>泰国</t>
  </si>
  <si>
    <t>泰國</t>
  </si>
  <si>
    <t>タイ</t>
  </si>
  <si>
    <t>Tailandia</t>
  </si>
  <si>
    <t>Thaïlande</t>
  </si>
  <si>
    <t>태국</t>
  </si>
  <si>
    <t>Таиланд</t>
  </si>
  <si>
    <t>土耳其</t>
  </si>
  <si>
    <t>土庫曼</t>
  </si>
  <si>
    <t>トルコ国</t>
  </si>
  <si>
    <t>Turquía</t>
  </si>
  <si>
    <t>Türkei</t>
  </si>
  <si>
    <t>Turquie</t>
  </si>
  <si>
    <t>Turchia</t>
  </si>
  <si>
    <t>투르크메니스탄</t>
  </si>
  <si>
    <t>Турция</t>
  </si>
  <si>
    <t>英国</t>
  </si>
  <si>
    <t>英國</t>
  </si>
  <si>
    <t>イギリス</t>
  </si>
  <si>
    <t>Reino Unido</t>
  </si>
  <si>
    <t>Großbritannien</t>
  </si>
  <si>
    <t>Royaume-Uni</t>
  </si>
  <si>
    <t>Regno Unito</t>
  </si>
  <si>
    <t>영국</t>
  </si>
  <si>
    <t>Соединенное Королевство</t>
  </si>
  <si>
    <t>美国</t>
  </si>
  <si>
    <t>美國</t>
  </si>
  <si>
    <t>アメリカ合衆国</t>
  </si>
  <si>
    <t>Estados Unidos</t>
  </si>
  <si>
    <t>Vereinigte Staaten von Amerika</t>
  </si>
  <si>
    <t>Stati Uniti d'America</t>
  </si>
  <si>
    <t>미국</t>
  </si>
  <si>
    <t>Соединенные Штаты Америки</t>
  </si>
  <si>
    <t>越南</t>
  </si>
  <si>
    <t>ベトナム</t>
  </si>
  <si>
    <t>베트남</t>
  </si>
  <si>
    <t>Вьетнам</t>
  </si>
  <si>
    <t>编号</t>
  </si>
  <si>
    <t>編號</t>
  </si>
  <si>
    <t>番号</t>
  </si>
  <si>
    <t>N.º</t>
  </si>
  <si>
    <t>Nr.</t>
  </si>
  <si>
    <t>N°</t>
  </si>
  <si>
    <t>N.</t>
  </si>
  <si>
    <t>번호</t>
  </si>
  <si>
    <t>№</t>
  </si>
  <si>
    <t>一月</t>
  </si>
  <si>
    <t>1月</t>
  </si>
  <si>
    <t>Ene</t>
  </si>
  <si>
    <t>Janv.</t>
  </si>
  <si>
    <t>Gen</t>
  </si>
  <si>
    <t>1월</t>
  </si>
  <si>
    <t>Янв.</t>
  </si>
  <si>
    <t>二月</t>
  </si>
  <si>
    <t>2月</t>
  </si>
  <si>
    <t>Févr.</t>
  </si>
  <si>
    <t>2월</t>
  </si>
  <si>
    <t>Фев.</t>
  </si>
  <si>
    <t>三月</t>
  </si>
  <si>
    <t>3月</t>
  </si>
  <si>
    <t>Mrz</t>
  </si>
  <si>
    <t>Mars</t>
  </si>
  <si>
    <t>3월</t>
  </si>
  <si>
    <t>Мар.</t>
  </si>
  <si>
    <t>四月</t>
  </si>
  <si>
    <t>4月</t>
  </si>
  <si>
    <t>Abr</t>
  </si>
  <si>
    <t>Avr.</t>
  </si>
  <si>
    <t>4월</t>
  </si>
  <si>
    <t>Апр.</t>
  </si>
  <si>
    <t>五月</t>
  </si>
  <si>
    <t>5月</t>
  </si>
  <si>
    <t>Mayo</t>
  </si>
  <si>
    <t>Mai</t>
  </si>
  <si>
    <t>maggio</t>
  </si>
  <si>
    <t>5월</t>
  </si>
  <si>
    <t>май</t>
  </si>
  <si>
    <t>六月</t>
  </si>
  <si>
    <t>6月</t>
  </si>
  <si>
    <t>Juni</t>
  </si>
  <si>
    <t>Juin</t>
  </si>
  <si>
    <t>Giu</t>
  </si>
  <si>
    <t>6월</t>
  </si>
  <si>
    <t>Июн.</t>
  </si>
  <si>
    <t>七月</t>
  </si>
  <si>
    <t>7月</t>
  </si>
  <si>
    <t>Juli</t>
  </si>
  <si>
    <t>Juillet</t>
  </si>
  <si>
    <t>Lug</t>
  </si>
  <si>
    <t>7월</t>
  </si>
  <si>
    <t>Июл.</t>
  </si>
  <si>
    <t>八月</t>
  </si>
  <si>
    <t>8月</t>
  </si>
  <si>
    <t>Ago</t>
  </si>
  <si>
    <t>Août</t>
  </si>
  <si>
    <t>8월</t>
  </si>
  <si>
    <t>Авг.</t>
  </si>
  <si>
    <t>九月</t>
  </si>
  <si>
    <t>9月</t>
  </si>
  <si>
    <t>Sept.</t>
  </si>
  <si>
    <t>Sett</t>
  </si>
  <si>
    <t>9월</t>
  </si>
  <si>
    <t>Сен.</t>
  </si>
  <si>
    <t>十月</t>
  </si>
  <si>
    <t>10月</t>
  </si>
  <si>
    <t>Okt</t>
  </si>
  <si>
    <t>Oct.</t>
  </si>
  <si>
    <t>Ott</t>
  </si>
  <si>
    <t>10월</t>
  </si>
  <si>
    <t>Окт.</t>
  </si>
  <si>
    <t>十一月</t>
  </si>
  <si>
    <t>11月</t>
  </si>
  <si>
    <t>Nov.</t>
  </si>
  <si>
    <t>11월</t>
  </si>
  <si>
    <t>Ноя.</t>
  </si>
  <si>
    <t>十二月</t>
  </si>
  <si>
    <t>12月</t>
  </si>
  <si>
    <t>Dic</t>
  </si>
  <si>
    <t>Dez</t>
  </si>
  <si>
    <t>Déc.</t>
  </si>
  <si>
    <t>12월</t>
  </si>
  <si>
    <t>Дек.</t>
  </si>
  <si>
    <t>平均</t>
  </si>
  <si>
    <t>Promedio</t>
  </si>
  <si>
    <t>Durchschnittlich</t>
  </si>
  <si>
    <t>Moyenne</t>
  </si>
  <si>
    <t>Media</t>
  </si>
  <si>
    <t>평균</t>
  </si>
  <si>
    <t>Среднее значение</t>
  </si>
  <si>
    <t>市值</t>
  </si>
  <si>
    <t>時価総額</t>
  </si>
  <si>
    <t>Capitalización Bursátil</t>
  </si>
  <si>
    <t>Marktkapitalisierung</t>
  </si>
  <si>
    <t>Capitalisation boursière</t>
  </si>
  <si>
    <t>Capitalizzazione di mercato</t>
  </si>
  <si>
    <t>시가총액</t>
  </si>
  <si>
    <t>Рыночная капитализация</t>
  </si>
  <si>
    <t>有效税率 (%)</t>
  </si>
  <si>
    <t>有效稅率 (%)</t>
  </si>
  <si>
    <t>実効税率 (%)</t>
  </si>
  <si>
    <t>Tasa Efectiva de Impuestos (%)</t>
  </si>
  <si>
    <t>Effektivsteuersatz (%)</t>
  </si>
  <si>
    <t>Taux d'imposition effectif (%)</t>
  </si>
  <si>
    <t>Aliquota fiscale effettiva (%)</t>
  </si>
  <si>
    <t>실효세율(%)</t>
  </si>
  <si>
    <t>Эффективная налоговая ставка (%)</t>
  </si>
  <si>
    <t>财务报告的货币代码</t>
  </si>
  <si>
    <t>財務報告的貨幣代碼</t>
  </si>
  <si>
    <t>財務報告通貨コード</t>
  </si>
  <si>
    <t>Código de moneda reportado de finanzas</t>
  </si>
  <si>
    <t>Währungscode für gemeldete Finanzdaten</t>
  </si>
  <si>
    <t>Code de la monnaie déclarée</t>
  </si>
  <si>
    <t>Dati finanziari indicati Codice valuta</t>
  </si>
  <si>
    <t>재무보고 된 통화 코드</t>
  </si>
  <si>
    <t>Финансовый отчет Код валюты</t>
  </si>
  <si>
    <t>Nombre de la institución</t>
  </si>
  <si>
    <t>Name der Institution</t>
  </si>
  <si>
    <t>Nom de l'institution</t>
  </si>
  <si>
    <t>Nome dell'ente</t>
  </si>
  <si>
    <t xml:space="preserve">기관 명칭 </t>
  </si>
  <si>
    <t>Наименование организации</t>
  </si>
  <si>
    <t>国家名称</t>
  </si>
  <si>
    <t>國家名稱</t>
  </si>
  <si>
    <t>国名</t>
  </si>
  <si>
    <t>Nombre del País</t>
  </si>
  <si>
    <t>Name des Landes</t>
  </si>
  <si>
    <t>Nom du pays</t>
  </si>
  <si>
    <t>Nome del paese</t>
  </si>
  <si>
    <t>국가명</t>
  </si>
  <si>
    <t>Название Страны</t>
  </si>
  <si>
    <t>少数权益</t>
  </si>
  <si>
    <t>少數權益</t>
  </si>
  <si>
    <t>少数株主持分</t>
  </si>
  <si>
    <t>Participación del interés minoritario</t>
  </si>
  <si>
    <t>Minderheitsanteile</t>
  </si>
  <si>
    <t>Intérêt minoritaire</t>
  </si>
  <si>
    <t>Partecipazione minoritaria</t>
  </si>
  <si>
    <t>비지배지분</t>
  </si>
  <si>
    <t>Доля меньшинства</t>
  </si>
  <si>
    <t>现金及现金等价物</t>
  </si>
  <si>
    <t>現金及現金等價物</t>
  </si>
  <si>
    <t>現金及び現金等価物</t>
  </si>
  <si>
    <t>Efectivo y equivalentes</t>
  </si>
  <si>
    <t>Liquide Mittel</t>
  </si>
  <si>
    <t>Trésorerie et équivalents de trésorerie</t>
  </si>
  <si>
    <t>Disponibilità liquide e mezzi equivalenti</t>
  </si>
  <si>
    <t>현금 및 현금 등가물</t>
  </si>
  <si>
    <t>Денежные средства и их эквиваленты</t>
  </si>
  <si>
    <t>已发行股数 （实际）</t>
  </si>
  <si>
    <t>已發行股數 (實際)</t>
  </si>
  <si>
    <t>発行済株式数（実績値）</t>
  </si>
  <si>
    <t>Acciones en Circulación (reales)</t>
  </si>
  <si>
    <t>Ausstehende Aktien (Ist)</t>
  </si>
  <si>
    <t>Actions en circulation (réel)</t>
  </si>
  <si>
    <t>Azioni in circolazione (effettive)</t>
  </si>
  <si>
    <t>발행주식수 (실제값)</t>
  </si>
  <si>
    <t>Акции в обращении (факт.)</t>
  </si>
  <si>
    <t>现金及约当现金</t>
  </si>
  <si>
    <t>現金及約當現金</t>
  </si>
  <si>
    <t>現金同等物</t>
  </si>
  <si>
    <t>Efectivo y equivalentes al efectivo</t>
  </si>
  <si>
    <t>Bargelt und Zahlungsmitteläquivalente</t>
  </si>
  <si>
    <t>현금 및 현금성자산</t>
  </si>
  <si>
    <t>enero</t>
  </si>
  <si>
    <t>Januar</t>
  </si>
  <si>
    <t>Janvier</t>
  </si>
  <si>
    <t>gennaio</t>
  </si>
  <si>
    <t>январь</t>
  </si>
  <si>
    <t>febrero</t>
  </si>
  <si>
    <t>Februar</t>
  </si>
  <si>
    <t>Fevrier</t>
  </si>
  <si>
    <t>febbraio</t>
  </si>
  <si>
    <t>февраль</t>
  </si>
  <si>
    <t>marzo</t>
  </si>
  <si>
    <t>März</t>
  </si>
  <si>
    <t>марш</t>
  </si>
  <si>
    <t>abril</t>
  </si>
  <si>
    <t>Avril</t>
  </si>
  <si>
    <t>aprile</t>
  </si>
  <si>
    <t>апрель</t>
  </si>
  <si>
    <t>junio</t>
  </si>
  <si>
    <t>giugno</t>
  </si>
  <si>
    <t>июнь</t>
  </si>
  <si>
    <t>julio</t>
  </si>
  <si>
    <t>luglio</t>
  </si>
  <si>
    <t>июль</t>
  </si>
  <si>
    <t>agosto</t>
  </si>
  <si>
    <t>Aout</t>
  </si>
  <si>
    <t>август</t>
  </si>
  <si>
    <t>septiembre</t>
  </si>
  <si>
    <t>Septembre</t>
  </si>
  <si>
    <t>settembre</t>
  </si>
  <si>
    <t>сентябрь</t>
  </si>
  <si>
    <t>octubre</t>
  </si>
  <si>
    <t>Oktober</t>
  </si>
  <si>
    <t>Octobre</t>
  </si>
  <si>
    <t>ottobre</t>
  </si>
  <si>
    <t>октября</t>
  </si>
  <si>
    <t>noviembre</t>
  </si>
  <si>
    <t>Novembre</t>
  </si>
  <si>
    <t>novembre</t>
  </si>
  <si>
    <t>ноябрь</t>
  </si>
  <si>
    <t>diciembre</t>
  </si>
  <si>
    <t>Dezember</t>
  </si>
  <si>
    <t>Decembre</t>
  </si>
  <si>
    <t>dicembre</t>
  </si>
  <si>
    <t>декабрь</t>
  </si>
  <si>
    <t>ピア1</t>
  </si>
  <si>
    <t>ピア2</t>
  </si>
  <si>
    <t>ピア3</t>
  </si>
  <si>
    <t>ピア4</t>
  </si>
  <si>
    <t>ピア5</t>
  </si>
  <si>
    <t>ピア6</t>
  </si>
  <si>
    <t>乘于：</t>
  </si>
  <si>
    <t>乘於：</t>
  </si>
  <si>
    <t>乗ずる:</t>
  </si>
  <si>
    <t xml:space="preserve">Multiplicado por: </t>
  </si>
  <si>
    <t>Multipliziert mit:</t>
  </si>
  <si>
    <t xml:space="preserve">Multiplié par:  </t>
  </si>
  <si>
    <t xml:space="preserve">Moltiplicato per: </t>
  </si>
  <si>
    <t>x</t>
  </si>
  <si>
    <t xml:space="preserve">Умножить на: </t>
  </si>
  <si>
    <t>自下而上贝塔系数</t>
  </si>
  <si>
    <t>自下而上貝塔係數</t>
  </si>
  <si>
    <t>ボトムアップ・ベータ</t>
  </si>
  <si>
    <t>Beta de abajo hacia arriba</t>
  </si>
  <si>
    <t>Bottom-Up Beta</t>
  </si>
  <si>
    <t xml:space="preserve"> Bêta ascendante</t>
  </si>
  <si>
    <t xml:space="preserve"> Beta bottom-up</t>
  </si>
  <si>
    <t>바텀업 (Bottom-up)  베타</t>
  </si>
  <si>
    <t>Восходящий Бета-коэффициент</t>
  </si>
  <si>
    <t>回归贝塔系数</t>
  </si>
  <si>
    <t>回歸貝塔係數</t>
  </si>
  <si>
    <t>回帰ベータ</t>
  </si>
  <si>
    <t>Regresión Beta</t>
  </si>
  <si>
    <t>Regressions-Beta</t>
  </si>
  <si>
    <t xml:space="preserve"> Bêta de régression</t>
  </si>
  <si>
    <t xml:space="preserve"> Beta di regressione</t>
  </si>
  <si>
    <t xml:space="preserve"> 회기분석 베타</t>
  </si>
  <si>
    <t>Регрессионный Бета-коэффициент</t>
  </si>
  <si>
    <t>优先股/(债务+优先股+权益)</t>
  </si>
  <si>
    <t>優先股/(債務+優先股+權益)</t>
  </si>
  <si>
    <t>優先株/（有利子負債+優先株+株主資本）</t>
  </si>
  <si>
    <t>P/(D+P+C)</t>
  </si>
  <si>
    <t>V/(S+V+E)</t>
  </si>
  <si>
    <t>的现值</t>
  </si>
  <si>
    <t>的現值</t>
  </si>
  <si>
    <t>現在価値</t>
  </si>
  <si>
    <t>Valor actual de</t>
  </si>
  <si>
    <t>Barwert der</t>
  </si>
  <si>
    <t>Valeur actuelle de</t>
  </si>
  <si>
    <t>Valore attuale di</t>
  </si>
  <si>
    <t xml:space="preserve">현가: </t>
  </si>
  <si>
    <t>Приведенная стоимость (PV)</t>
  </si>
  <si>
    <t>自有現金流匯報期末段</t>
  </si>
  <si>
    <t>フリーキャッシュフロー年央調整(1)</t>
  </si>
  <si>
    <t>Período roto - Flujo de caja libre (1)</t>
  </si>
  <si>
    <t>Verfügbarer Geldfluss (1)</t>
  </si>
  <si>
    <t>Flux de trésorerie disponible (1)</t>
  </si>
  <si>
    <t>Flusso di cassa libero Stub (1)</t>
  </si>
  <si>
    <t>기업잉여현금흐름(FCF) Stub (1)</t>
  </si>
  <si>
    <t>свободный денежный поток за неполный период (1)</t>
  </si>
  <si>
    <t>自由现金流（1）</t>
  </si>
  <si>
    <t>自由現金流 （1）</t>
  </si>
  <si>
    <t>フリーキャッシュフロー(1)</t>
  </si>
  <si>
    <t>Flujos de efectivo libres (1)</t>
  </si>
  <si>
    <t>Verfügbarer Geldflüsse (1)</t>
  </si>
  <si>
    <t>Flux de trésorerie disponibles (1)</t>
  </si>
  <si>
    <t>Flussi di cassa liberi (1)</t>
  </si>
  <si>
    <t>기업잉여현금흐름(FCF) (1)</t>
  </si>
  <si>
    <t>Свободные денежные потоки (1)</t>
  </si>
  <si>
    <t>，每股数据除外）</t>
  </si>
  <si>
    <t>，每股數據除外）</t>
  </si>
  <si>
    <t>1株当たりデータを除く）</t>
  </si>
  <si>
    <t>, excepto por datos compartidos)</t>
  </si>
  <si>
    <t>(außer Daten pro Aktie)</t>
  </si>
  <si>
    <t>, sauf données par action)</t>
  </si>
  <si>
    <t>, eccetto per dati di condivisione)</t>
  </si>
  <si>
    <t>, 주당 데이터 제외)</t>
  </si>
  <si>
    <t>在</t>
  </si>
  <si>
    <t>に</t>
  </si>
  <si>
    <t>En</t>
  </si>
  <si>
    <t>im</t>
  </si>
  <si>
    <t>dans</t>
  </si>
  <si>
    <t>nella</t>
  </si>
  <si>
    <t>...에서</t>
  </si>
  <si>
    <t>в</t>
  </si>
  <si>
    <t>五年平均</t>
  </si>
  <si>
    <t>5年平均</t>
  </si>
  <si>
    <t>promedio a 5 años</t>
  </si>
  <si>
    <t>5-Jahres-Durchschnitt</t>
  </si>
  <si>
    <t>5 ans en moyenne</t>
  </si>
  <si>
    <t>media di 5 anni</t>
  </si>
  <si>
    <t>5년 평균</t>
  </si>
  <si>
    <t>Средний показатель ставки налога за 5 лет</t>
  </si>
  <si>
    <t>マーケット・バリュー</t>
  </si>
  <si>
    <t>Valor de mercado</t>
  </si>
  <si>
    <t>Mkt. Wert</t>
  </si>
  <si>
    <t>Valeur de marché</t>
  </si>
  <si>
    <t>Valore di mercato</t>
  </si>
  <si>
    <t>시장 가치</t>
  </si>
  <si>
    <t>Рыночная стоимость собственного капитала</t>
  </si>
  <si>
    <t>已发行股数</t>
  </si>
  <si>
    <t>已發行股數</t>
  </si>
  <si>
    <t>発行済株式数（自己株控除）</t>
  </si>
  <si>
    <t>Acciones en circulación</t>
  </si>
  <si>
    <t>Ausstehende Aktien</t>
  </si>
  <si>
    <t>PARTS EN CIRCULATION</t>
  </si>
  <si>
    <t>Azioni in circolazione</t>
  </si>
  <si>
    <t>발행주식총수</t>
  </si>
  <si>
    <t>Акции в обращении</t>
  </si>
  <si>
    <t>Preferente</t>
  </si>
  <si>
    <t>Vorzugs</t>
  </si>
  <si>
    <t>Préférence</t>
  </si>
  <si>
    <t>Privilegiato</t>
  </si>
  <si>
    <t>Привилегирован.</t>
  </si>
  <si>
    <t>股权现值</t>
  </si>
  <si>
    <t>股權現值</t>
  </si>
  <si>
    <t>Valor presente del patrimonio</t>
  </si>
  <si>
    <t>Barwert des Eigenkapitals</t>
  </si>
  <si>
    <t>Valeur actuelle des capitaux propres</t>
  </si>
  <si>
    <t>Valore attuale di equity</t>
  </si>
  <si>
    <t>자기자본의 현가</t>
  </si>
  <si>
    <t>Приведенная стоимость собственного капитала</t>
  </si>
  <si>
    <t>终值等于的现值</t>
  </si>
  <si>
    <t>終值等於的現值</t>
  </si>
  <si>
    <t>残存価値 = 現在価値</t>
  </si>
  <si>
    <t>El valor terminal es igual al valor presente de</t>
  </si>
  <si>
    <t>Terminalwert entspricht dem Barwert von</t>
  </si>
  <si>
    <t>La valeur terminale est égale à la valeur actualisée de</t>
  </si>
  <si>
    <t>Il valore finale è uguale al valore attuale di</t>
  </si>
  <si>
    <t>종료가치는 현재가치와 같습니다</t>
  </si>
  <si>
    <t>Терминальная стоимость равна приведенной стоимости</t>
  </si>
  <si>
    <t>のEBITDA</t>
  </si>
  <si>
    <t>EBITDA de</t>
  </si>
  <si>
    <t>EBITDA von</t>
  </si>
  <si>
    <t>EBITDA di</t>
  </si>
  <si>
    <t>년 EBITDA의 현가</t>
  </si>
  <si>
    <t>EBITDA в размере</t>
  </si>
  <si>
    <t>（1）假设</t>
  </si>
  <si>
    <t>（1）假設</t>
  </si>
  <si>
    <t>仮定</t>
  </si>
  <si>
    <t>(1) Asume</t>
  </si>
  <si>
    <t>(1) Nimmt an</t>
  </si>
  <si>
    <t>(1) Hypothèse</t>
  </si>
  <si>
    <t>(1) Assume</t>
  </si>
  <si>
    <t>(1)가정:</t>
  </si>
  <si>
    <t xml:space="preserve">(1) Предположим, что  </t>
  </si>
  <si>
    <t>年还剩余天</t>
  </si>
  <si>
    <t>年還剩餘天</t>
  </si>
  <si>
    <t>残存日数</t>
  </si>
  <si>
    <t>días restantes en</t>
  </si>
  <si>
    <t>Tage bleiben in</t>
  </si>
  <si>
    <t>jours restent en</t>
  </si>
  <si>
    <t>i giorni rimanenti</t>
  </si>
  <si>
    <t>잔존 일수:</t>
  </si>
  <si>
    <t>дней осталось в</t>
  </si>
  <si>
    <t>年度现金流遵循；终值现金流发生於</t>
  </si>
  <si>
    <t>年度現金流遵循；終值現金流發生於</t>
  </si>
  <si>
    <t>期中キャッシュフローの計算に;  計画期間最終キャッシュフローは</t>
  </si>
  <si>
    <t>para flujos de efectivo anuales; Valor terminal de flujo de efectivo se produce en</t>
  </si>
  <si>
    <t>für jährliche Geldflüsse; der Terminalwert der Geldflüsse liegt bei</t>
  </si>
  <si>
    <t>pour les flux de trésorerie annuels ; le flux de trésorerie de la valeur terminale a lieu au</t>
  </si>
  <si>
    <t>per i flussi di cassa annuali; Il flusso di cassa del valore finale si verifica al</t>
  </si>
  <si>
    <t>연간 현금 흐름; 종료 가치 현금 흐름에서 발생합니다</t>
  </si>
  <si>
    <t>годового денежного потока; Терминальная стоимость денежного потока наступает</t>
  </si>
  <si>
    <t>English</t>
  </si>
  <si>
    <t>Button 9</t>
  </si>
  <si>
    <t>Button 2</t>
  </si>
  <si>
    <t>UPDATE TERMINOLOGY</t>
  </si>
  <si>
    <t>更新术语</t>
  </si>
  <si>
    <t>更新術語</t>
  </si>
  <si>
    <t>用語の更新</t>
  </si>
  <si>
    <t>ACTUALIZAR TERMINOLOGÍA</t>
  </si>
  <si>
    <t>TERMINOLOGIE AKTUALISIEREN</t>
  </si>
  <si>
    <t>METTRE À JOUR LA LANGUE</t>
  </si>
  <si>
    <t>AGGIORNA TERMINOLOGIA</t>
  </si>
  <si>
    <t>용어 업데이트</t>
  </si>
  <si>
    <t>ОБНОВИТЬ ТЕРМИНОЛОГИЮ</t>
  </si>
  <si>
    <t>刷新</t>
  </si>
  <si>
    <t>を更新</t>
  </si>
  <si>
    <t>ACTUALIZAR</t>
  </si>
  <si>
    <t>AKTUALISIEREN</t>
  </si>
  <si>
    <t>ACTUALISER</t>
  </si>
  <si>
    <t>RICARICARE</t>
  </si>
  <si>
    <t>새로 고침</t>
  </si>
  <si>
    <t>ОБНОВИТЬ</t>
  </si>
  <si>
    <t>Valor Presente do Patrimônio em</t>
  </si>
  <si>
    <t>Valor Presente do Patrimônio</t>
  </si>
  <si>
    <t>O valor terminal é igual ao valor presente de</t>
  </si>
  <si>
    <t>Terminal Forward múltiplo de EBITDA.</t>
  </si>
  <si>
    <t>Presume-se que faltem</t>
  </si>
  <si>
    <t>dias em</t>
  </si>
  <si>
    <t>para fluxos de caixa anuais; O fluxo de caixa do valor terminal ocorre em 30 de dezembro de</t>
  </si>
  <si>
    <t>Análise de fluxo de caixa descontado</t>
  </si>
  <si>
    <t>3) Para melhor desempenho, salve este arquivo em seu computador, feche e reabra.</t>
  </si>
  <si>
    <t>Formato: dd/mm/ aaaa</t>
  </si>
  <si>
    <t>exceto os seguintes parâmetros:</t>
  </si>
  <si>
    <t xml:space="preserve">Passo 3: Selecione um índice para retorno do mercado.  </t>
  </si>
  <si>
    <t>A) Taxa de retorno livre de risco (Rf) - retorna o rendimento dos Títulos do Tesouro EUA de 10 a 5 anos para o dia de negociação mais recente.</t>
  </si>
  <si>
    <t>B) A média dos últimos 5 títulos emitidos é baseada na emissão mais recente.</t>
  </si>
  <si>
    <t>Passo 4: Selecione empresas comparáveis para geração Beta.</t>
  </si>
  <si>
    <t>2) Os dados atuais de capitalização de mercado são usados no cálculo do patrimônio líquido.</t>
  </si>
  <si>
    <t>3) O modelo inclui apenas os títulos emitidos da empresa foco.</t>
  </si>
  <si>
    <t>Passo 5: Selecione Moeda e Magnitude.</t>
  </si>
  <si>
    <t>Passo 6:  Selecione o fator de desconto.</t>
  </si>
  <si>
    <t>Factor de desconto:</t>
  </si>
  <si>
    <t>Convenção de Período intermediário</t>
  </si>
  <si>
    <t>Convenção de Fim de Período</t>
  </si>
  <si>
    <t>Δ Capital de giro Referência:</t>
  </si>
  <si>
    <t>1 = Conforme relatado no fluxo de caixa</t>
  </si>
  <si>
    <t>2 = Calculado via WC Schedule</t>
  </si>
  <si>
    <t>Seleção Beta</t>
  </si>
  <si>
    <t>PREMISSAS:</t>
  </si>
  <si>
    <t>1 = Beta de baixo para cima</t>
  </si>
  <si>
    <t>Beta Alavancado</t>
  </si>
  <si>
    <t>Preferencial/</t>
  </si>
  <si>
    <t>Dívida/</t>
  </si>
  <si>
    <t>Patrimo nial</t>
  </si>
  <si>
    <t>Desalavancado</t>
  </si>
  <si>
    <t>2 = Beta de regressão</t>
  </si>
  <si>
    <t>PAD: Liga</t>
  </si>
  <si>
    <t>Alíquota de imposto (média de 5 anos)</t>
  </si>
  <si>
    <t>Tamanho Prêmio</t>
  </si>
  <si>
    <t xml:space="preserve">Nome da Instituição </t>
  </si>
  <si>
    <t xml:space="preserve">Tipo de Financiamento </t>
  </si>
  <si>
    <t>Taxa de dividendos (%)</t>
  </si>
  <si>
    <t>Data de Negociação (dd/mm/aaaa)</t>
  </si>
  <si>
    <t>Beta desalavancado médio para Comps</t>
  </si>
  <si>
    <t>Etapa do custo da dívida antes dos impostos</t>
  </si>
  <si>
    <t>Etapa D/(D+P+E)</t>
  </si>
  <si>
    <t>Etapa de custo de capital próprio</t>
  </si>
  <si>
    <t xml:space="preserve">Etapa E/(D+P+E) </t>
  </si>
  <si>
    <t>ANÁLISE DE SENSIBILIDADE WACC</t>
  </si>
  <si>
    <t>Custo da dívida antes dos impostos</t>
  </si>
  <si>
    <t xml:space="preserve">Símbolo comercial e bolsa </t>
  </si>
  <si>
    <t xml:space="preserve">Identidicador de instituição SNL </t>
  </si>
  <si>
    <t>Prêmio de risco de mercado (Rm - Rf)</t>
  </si>
  <si>
    <t>Nome da empresa, abreviado</t>
  </si>
  <si>
    <t>Prêmio de risco de mercado ajustado</t>
  </si>
  <si>
    <t>Adicionar: Taxa de retorno livre de risco (Rf) (1)</t>
  </si>
  <si>
    <t>Adicionar: Tamanho Prêmio</t>
  </si>
  <si>
    <t>Custo de capital próprio</t>
  </si>
  <si>
    <t>Parcela de custo de capital</t>
  </si>
  <si>
    <t>Custo da dívida após impostos</t>
  </si>
  <si>
    <t>Custo da porção da dívida</t>
  </si>
  <si>
    <t>Custo da porção preferencial</t>
  </si>
  <si>
    <t>(1) Beta não alavancado = Beta alavancado / ( 1 + ((D/E) * (1 - T)) + P/E)</t>
  </si>
  <si>
    <t>(2) Beta alavancado = Beta não alavancado * ( 1 + ((D/E) * (1 - T)) + P/E)</t>
  </si>
  <si>
    <t>FLUXO DE CAIXA PROJETADOS</t>
  </si>
  <si>
    <t>Receita Total</t>
  </si>
  <si>
    <t>Crescimento anual</t>
  </si>
  <si>
    <t>Custo de receita</t>
  </si>
  <si>
    <t>Margem</t>
  </si>
  <si>
    <t>Menos: Depreciações e Amortizações</t>
  </si>
  <si>
    <t>Passo</t>
  </si>
  <si>
    <t>% da despesa de capital</t>
  </si>
  <si>
    <t>EBIT/LAJIR</t>
  </si>
  <si>
    <t>Menos: Tributos sobre a receita</t>
  </si>
  <si>
    <t>Lucro líquido não alavancado</t>
  </si>
  <si>
    <t>Mais: Depreciações e Amortizações</t>
  </si>
  <si>
    <t>Menos: Adições a intangíveis</t>
  </si>
  <si>
    <t>Menos: Aumento do capital de giro</t>
  </si>
  <si>
    <t>Variação na comercialização de títulos de participações</t>
  </si>
  <si>
    <t>Variação no contas a receber</t>
  </si>
  <si>
    <t>Variação em estoques</t>
  </si>
  <si>
    <t>Variação em contas a pagar</t>
  </si>
  <si>
    <t>Variação na receita a apropriar</t>
  </si>
  <si>
    <t>Variação no imposto de renda</t>
  </si>
  <si>
    <t>Data de hoje</t>
  </si>
  <si>
    <t>Variação em impostos diferidos</t>
  </si>
  <si>
    <t>Data da Última Atualização</t>
  </si>
  <si>
    <t>Variação em outros ativos operacionais líquidos</t>
  </si>
  <si>
    <t>Fluxo de caixa livre desalavancado</t>
  </si>
  <si>
    <t>VP (valor presente) de fluxos de caixa anuais</t>
  </si>
  <si>
    <t>Premissas - Fluxos de caixa descontados</t>
  </si>
  <si>
    <t>% de TEV (Valor Total da Empresa)</t>
  </si>
  <si>
    <t>% de MVE (Valor de mercado do patrimônio)</t>
  </si>
  <si>
    <t>Custo médio ponderado de capital</t>
  </si>
  <si>
    <t>Terminal EBITDA múltiplo</t>
  </si>
  <si>
    <t>Preço de fechamento do dia</t>
  </si>
  <si>
    <t>Valor da Empresa</t>
  </si>
  <si>
    <t>Taxa de crescimento perpétuo implícito do fluxo de caixa livre desalavancado (2)</t>
  </si>
  <si>
    <t>Ações preferenciais</t>
  </si>
  <si>
    <t>TEV (Valor Total da Empresa)</t>
  </si>
  <si>
    <t>Mais:</t>
  </si>
  <si>
    <t>Lista de Índice</t>
  </si>
  <si>
    <t>Último fim do exercício</t>
  </si>
  <si>
    <t>Último fim do trimestre</t>
  </si>
  <si>
    <t>Valor implícito por ação</t>
  </si>
  <si>
    <t>Hoje</t>
  </si>
  <si>
    <t>Preço atual</t>
  </si>
  <si>
    <t>Dias restantes no exercício</t>
  </si>
  <si>
    <t>Prêmio / (desconto) para o preço atual</t>
  </si>
  <si>
    <t>(2) Taxa de crescimento perpétuo implícita de Fluxo de Caixa Livre (FCF) = [(EBITDA Terminal ) * (EBITDA Terminal múltiplo) * (WACC) - (Ano Terminal FCF)] / [(EBITDA Terminal ) * (EBITDA Terminal múltiplo) + (Ano Terminal FCF) ]</t>
  </si>
  <si>
    <t>ANÁLISE DE SENSIBILIDADE</t>
  </si>
  <si>
    <t>Descontado</t>
  </si>
  <si>
    <t>Valor Presente do Valor Terminal</t>
  </si>
  <si>
    <t>Valor presente do valor da empresa</t>
  </si>
  <si>
    <t>CF (Fluxo de Caixa)</t>
  </si>
  <si>
    <t>EBITDA Saída Múltiplo de Referência</t>
  </si>
  <si>
    <t>Etapa WACC</t>
  </si>
  <si>
    <t>Etapa Saída  Múltiplo de Referência</t>
  </si>
  <si>
    <t>Dívida Líquida (1)</t>
  </si>
  <si>
    <t>Valor Patrimonial por Ação</t>
  </si>
  <si>
    <t>em</t>
  </si>
  <si>
    <t>Ações</t>
  </si>
  <si>
    <t>Taxa de crescimento perpétuo implícita do Fluxo de Caixa</t>
  </si>
  <si>
    <t>Prêmio / (desconto) ao preço atual por ação</t>
  </si>
  <si>
    <t>(1) Equivale à Dívida Total mais Ações Preferenciais mais Participações Minoritárias menos Caixa e Equivalentes.</t>
  </si>
  <si>
    <t>CRONOGRAMA DE CAPITAL DE GIRO</t>
  </si>
  <si>
    <t>Cortas a Receber</t>
  </si>
  <si>
    <t>Dias de recebíveis</t>
  </si>
  <si>
    <t>Estoques</t>
  </si>
  <si>
    <t>Dias de estoque</t>
  </si>
  <si>
    <t>Outros ativos circulantes</t>
  </si>
  <si>
    <t>Total do ativo circulante</t>
  </si>
  <si>
    <t>Caixa e investimentos de curto prazo</t>
  </si>
  <si>
    <t>Total de ativos circulantes não caixa</t>
  </si>
  <si>
    <t>Contas a pagar</t>
  </si>
  <si>
    <t>Dias a Pagar</t>
  </si>
  <si>
    <t>Passivos provisionados</t>
  </si>
  <si>
    <t>Outras obrigações Circulantes</t>
  </si>
  <si>
    <t>Total Passivo Corrente</t>
  </si>
  <si>
    <t>Empréstimos de curto prazo</t>
  </si>
  <si>
    <t>Porção circulante da dívida a curto prazo</t>
  </si>
  <si>
    <t>Total do passivo circulante não relacionado à dívida</t>
  </si>
  <si>
    <t>(Aumento) / redução no capital de giro</t>
  </si>
  <si>
    <t>Retorno (Rm) - Anual nos últimos 10 anos</t>
  </si>
  <si>
    <t>Custo da dívida (Rd) - média dos últimos 5 títulos emitidos</t>
  </si>
  <si>
    <t>Custo da porção preferencial (Rp)</t>
  </si>
  <si>
    <t>Alíquota de imposto</t>
  </si>
  <si>
    <t>VP do valor terminal (1)</t>
  </si>
  <si>
    <t>Data final do Exercício Financeiro Atual</t>
  </si>
  <si>
    <t>Instruções:</t>
  </si>
  <si>
    <t>Contato:</t>
  </si>
  <si>
    <t>2) Permitir macros ao abrir o modelo.</t>
  </si>
  <si>
    <t>Telefone:</t>
  </si>
  <si>
    <t>Isenção de responsabilidade:</t>
  </si>
  <si>
    <t>Divisas</t>
  </si>
  <si>
    <t>Dívida total</t>
  </si>
  <si>
    <t>Método de conversão de moeda</t>
  </si>
  <si>
    <t>Lógica do período fiscal ímpar</t>
  </si>
  <si>
    <t>Austrália</t>
  </si>
  <si>
    <t>Belgica</t>
  </si>
  <si>
    <t>Bulgária</t>
  </si>
  <si>
    <t>Rep.Checa</t>
  </si>
  <si>
    <t>Zona do Euro</t>
  </si>
  <si>
    <t>Finlândia</t>
  </si>
  <si>
    <t>França</t>
  </si>
  <si>
    <t>Alemanha</t>
  </si>
  <si>
    <t>Grécia</t>
  </si>
  <si>
    <t>Hungria</t>
  </si>
  <si>
    <t>Índia</t>
  </si>
  <si>
    <t>Indonésia</t>
  </si>
  <si>
    <t>Japão</t>
  </si>
  <si>
    <t>Quênia</t>
  </si>
  <si>
    <t>Malásia</t>
  </si>
  <si>
    <t>Nova Zelândia</t>
  </si>
  <si>
    <t>Polónia</t>
  </si>
  <si>
    <t>Rússia</t>
  </si>
  <si>
    <t>Cingapura</t>
  </si>
  <si>
    <t>Eslováquia</t>
  </si>
  <si>
    <t>Coréia do Sul</t>
  </si>
  <si>
    <t>Suiça</t>
  </si>
  <si>
    <t>Tailândia</t>
  </si>
  <si>
    <t>Turquia</t>
  </si>
  <si>
    <t>E. U. A.</t>
  </si>
  <si>
    <t>Vietnã</t>
  </si>
  <si>
    <t>N.°</t>
  </si>
  <si>
    <t>Set</t>
  </si>
  <si>
    <t>Out</t>
  </si>
  <si>
    <t>Medio</t>
  </si>
  <si>
    <t>Capitalização de Mercado</t>
  </si>
  <si>
    <t>Alíquota efetiva (%)</t>
  </si>
  <si>
    <t xml:space="preserve">Código de moeda do relatório financeiro </t>
  </si>
  <si>
    <t>Nome da Instituição</t>
  </si>
  <si>
    <t>Nome do país</t>
  </si>
  <si>
    <t>Participação dos minoritários</t>
  </si>
  <si>
    <t>Caixa e equivalentes de caixa</t>
  </si>
  <si>
    <t>Caixa e equivalentes</t>
  </si>
  <si>
    <t>Janeiro</t>
  </si>
  <si>
    <t>Fevereiro</t>
  </si>
  <si>
    <t>Março</t>
  </si>
  <si>
    <t>Abril</t>
  </si>
  <si>
    <t>Junho</t>
  </si>
  <si>
    <t>Julho</t>
  </si>
  <si>
    <t>Agosto</t>
  </si>
  <si>
    <t>Setembro</t>
  </si>
  <si>
    <t>Outubro</t>
  </si>
  <si>
    <t>Novembro</t>
  </si>
  <si>
    <t>Dezembro</t>
  </si>
  <si>
    <t>Passo 1: Selecione a terminologia na lista suspensa para ser usada no modelo.</t>
  </si>
  <si>
    <t>Passo 2: Clique no botão "UPDATE TERMINOLOGY" para atualizar a terminologia no modelo.</t>
  </si>
  <si>
    <t>Par 1</t>
  </si>
  <si>
    <t>Par 2</t>
  </si>
  <si>
    <t>Par 3</t>
  </si>
  <si>
    <t>Par 4</t>
  </si>
  <si>
    <t>Par 5</t>
  </si>
  <si>
    <t>Par 6</t>
  </si>
  <si>
    <t>Multiplicado por:</t>
  </si>
  <si>
    <t>Beta de baixo para cima</t>
  </si>
  <si>
    <t>Beta de regressão</t>
  </si>
  <si>
    <t>VP de</t>
  </si>
  <si>
    <t>Fluxo de Caixa Livre - Stub (1)</t>
  </si>
  <si>
    <t>Fluxos de Caixa Livre (1)</t>
  </si>
  <si>
    <t>Capital de giro líquido / (déficit)</t>
  </si>
  <si>
    <t>, exceto dados ação)</t>
  </si>
  <si>
    <t>média 5 anos</t>
  </si>
  <si>
    <t>Ações em circulação</t>
  </si>
  <si>
    <t>Total de ações preferenciais</t>
  </si>
  <si>
    <t>ATUALIZAR TERMINOLOGIA</t>
  </si>
  <si>
    <t>Atualizar</t>
  </si>
  <si>
    <t>英语</t>
  </si>
  <si>
    <t>英語</t>
  </si>
  <si>
    <t>Inglés</t>
  </si>
  <si>
    <t>Englisch</t>
  </si>
  <si>
    <t>Anglais</t>
  </si>
  <si>
    <t>Inglese</t>
  </si>
  <si>
    <t>영어</t>
  </si>
  <si>
    <t>Английский</t>
  </si>
  <si>
    <t>简体中文</t>
  </si>
  <si>
    <t>簡體中文</t>
  </si>
  <si>
    <t>中国語 - 簡体字</t>
  </si>
  <si>
    <t>Chino - Simplificado</t>
  </si>
  <si>
    <t>Chinesisch - Vereinfacht</t>
  </si>
  <si>
    <t>Chinois - Simplifié</t>
  </si>
  <si>
    <t>Cinese - semplificato</t>
  </si>
  <si>
    <t>중국어 - 간체</t>
  </si>
  <si>
    <t>Китайский - упрощенный</t>
  </si>
  <si>
    <t>繁体中文</t>
  </si>
  <si>
    <t>繁體中文</t>
  </si>
  <si>
    <t>中国語 - 繁体字</t>
  </si>
  <si>
    <t>Chino - Tradicional</t>
  </si>
  <si>
    <t>Chinesisch - Traditionell</t>
  </si>
  <si>
    <t>Chinois - Traditionnel</t>
  </si>
  <si>
    <t>Cinese - tradizionale</t>
  </si>
  <si>
    <t>중국어 - 번체</t>
  </si>
  <si>
    <t>Китайский - традиционный</t>
  </si>
  <si>
    <t>法语</t>
  </si>
  <si>
    <t>法語</t>
  </si>
  <si>
    <t>フランス語</t>
  </si>
  <si>
    <t>Francés</t>
  </si>
  <si>
    <t>Französisch</t>
  </si>
  <si>
    <t>Français</t>
  </si>
  <si>
    <t>Francese</t>
  </si>
  <si>
    <t>불어</t>
  </si>
  <si>
    <t>Французский</t>
  </si>
  <si>
    <t>德语</t>
  </si>
  <si>
    <t>德語</t>
  </si>
  <si>
    <t>ドイツ語</t>
  </si>
  <si>
    <t>Alemán</t>
  </si>
  <si>
    <t>Deutsch</t>
  </si>
  <si>
    <t>Allemand</t>
  </si>
  <si>
    <t>Tedesco</t>
  </si>
  <si>
    <t>독일어</t>
  </si>
  <si>
    <t>Немецкий</t>
  </si>
  <si>
    <t>意大利语</t>
  </si>
  <si>
    <t>義大利語</t>
  </si>
  <si>
    <t>イタリア語</t>
  </si>
  <si>
    <t>Italiano</t>
  </si>
  <si>
    <t>Italienisch</t>
  </si>
  <si>
    <t>이탈리아어</t>
  </si>
  <si>
    <t>Итальянский</t>
  </si>
  <si>
    <t>日语</t>
  </si>
  <si>
    <t>日語</t>
  </si>
  <si>
    <t>日本語</t>
  </si>
  <si>
    <t>Japonés</t>
  </si>
  <si>
    <t>Japanisch</t>
  </si>
  <si>
    <t>Japonais</t>
  </si>
  <si>
    <t>Giapponese</t>
  </si>
  <si>
    <t>일본어</t>
  </si>
  <si>
    <t>Японский</t>
  </si>
  <si>
    <t>韩语</t>
  </si>
  <si>
    <t>韓語</t>
  </si>
  <si>
    <t>韓国語</t>
  </si>
  <si>
    <t>Coreano</t>
  </si>
  <si>
    <t>Koreanisch</t>
  </si>
  <si>
    <t>Coréen</t>
  </si>
  <si>
    <t>한국어</t>
  </si>
  <si>
    <t>Корейский</t>
  </si>
  <si>
    <t>俄语</t>
  </si>
  <si>
    <t>俄語</t>
  </si>
  <si>
    <t>ロシア語</t>
  </si>
  <si>
    <t>Ruso</t>
  </si>
  <si>
    <t>Russisch</t>
  </si>
  <si>
    <t>Russe</t>
  </si>
  <si>
    <t>Russo</t>
  </si>
  <si>
    <t>러시아어</t>
  </si>
  <si>
    <t>Русский</t>
  </si>
  <si>
    <t>西班牙语</t>
  </si>
  <si>
    <t>西班牙語</t>
  </si>
  <si>
    <t>スペイン語</t>
  </si>
  <si>
    <t>Español</t>
  </si>
  <si>
    <t>Spanisch</t>
  </si>
  <si>
    <t>Espagnol</t>
  </si>
  <si>
    <t>Spagnolo</t>
  </si>
  <si>
    <t>스페인어</t>
  </si>
  <si>
    <t>Испанский</t>
  </si>
  <si>
    <t>乍得</t>
  </si>
  <si>
    <t>查德</t>
  </si>
  <si>
    <t>Tchad</t>
  </si>
  <si>
    <t>차드</t>
  </si>
  <si>
    <t>Chad</t>
  </si>
  <si>
    <t>チャド</t>
  </si>
  <si>
    <t>Tschad</t>
  </si>
  <si>
    <t>Чад</t>
  </si>
  <si>
    <t>Ações em circulação (atual)</t>
  </si>
  <si>
    <t>欧元</t>
  </si>
  <si>
    <t>歐元</t>
  </si>
  <si>
    <t>ユーロ</t>
  </si>
  <si>
    <t>유로</t>
  </si>
  <si>
    <t>Евро</t>
  </si>
  <si>
    <t>英镑</t>
  </si>
  <si>
    <t>英鎊</t>
  </si>
  <si>
    <t>英国ポンド</t>
  </si>
  <si>
    <t>Libra esterlina</t>
  </si>
  <si>
    <t>Britisches Pfund Sterling</t>
  </si>
  <si>
    <t>Livre sterling</t>
  </si>
  <si>
    <t>Sterlina britannica</t>
  </si>
  <si>
    <t>영국 파운드</t>
  </si>
  <si>
    <t>Британский фунт стерлингов</t>
  </si>
  <si>
    <t>日元</t>
  </si>
  <si>
    <t>日圓</t>
  </si>
  <si>
    <t>日本円</t>
  </si>
  <si>
    <t>Yen japonés</t>
  </si>
  <si>
    <t>Japanischer Yen</t>
  </si>
  <si>
    <t>Yen japonais</t>
  </si>
  <si>
    <t>Yen giapponese</t>
  </si>
  <si>
    <t>일본 엔</t>
  </si>
  <si>
    <t>Японская йена</t>
  </si>
  <si>
    <t>阿富汗尼</t>
  </si>
  <si>
    <t>阿富汗阿富汗尼</t>
  </si>
  <si>
    <t>アフガニスタン・アフガニ</t>
  </si>
  <si>
    <t>Afgani afgano</t>
  </si>
  <si>
    <t>Afghanischer Afghani</t>
  </si>
  <si>
    <t>Afghani afghan</t>
  </si>
  <si>
    <t>Afghani afgano</t>
  </si>
  <si>
    <t>아프가니스탄 아프가니</t>
  </si>
  <si>
    <t xml:space="preserve">Афганистанский Афгани </t>
  </si>
  <si>
    <t>阿尔巴尼亚列克</t>
  </si>
  <si>
    <t>阿爾巴尼亞列克</t>
  </si>
  <si>
    <t>アルバニア　レク</t>
  </si>
  <si>
    <t>Lek albanés</t>
  </si>
  <si>
    <t>Albanischer Lek</t>
  </si>
  <si>
    <t>Lek albanais</t>
  </si>
  <si>
    <t>Lek albanese</t>
  </si>
  <si>
    <t>알바니아 렉</t>
  </si>
  <si>
    <t>Албанский лек</t>
  </si>
  <si>
    <t>阿根廷比绍</t>
  </si>
  <si>
    <t>阿根廷披索</t>
  </si>
  <si>
    <t>アルゼンチン・ペソ</t>
  </si>
  <si>
    <t>Peso argentino</t>
  </si>
  <si>
    <t>Argentinischer Peso</t>
  </si>
  <si>
    <t>Peso argentin</t>
  </si>
  <si>
    <t>아르헨티나 페소</t>
  </si>
  <si>
    <t>Аргентинский песо</t>
  </si>
  <si>
    <t>亚美尼亚德拉姆</t>
  </si>
  <si>
    <t>亞美尼亞德拉姆</t>
  </si>
  <si>
    <t>アルメニアドラム</t>
  </si>
  <si>
    <t>Dram armenio</t>
  </si>
  <si>
    <t>Armenischer Dram</t>
  </si>
  <si>
    <t>Dram arménien</t>
  </si>
  <si>
    <t>Dram armeno</t>
  </si>
  <si>
    <t>아르메니아 드람</t>
  </si>
  <si>
    <t>Армянский драм</t>
  </si>
  <si>
    <t>澳大利亚元</t>
  </si>
  <si>
    <t>澳幣</t>
  </si>
  <si>
    <t>豪ドル</t>
  </si>
  <si>
    <t>Dólar australiano</t>
  </si>
  <si>
    <t>Australischer Dollar</t>
  </si>
  <si>
    <t>Dollar australien</t>
  </si>
  <si>
    <t>Dollaro australiano</t>
  </si>
  <si>
    <t>호주 달러</t>
  </si>
  <si>
    <t>Австралийский доллар</t>
  </si>
  <si>
    <t>阿塞拜疆马纳特</t>
  </si>
  <si>
    <t>亞塞拜然馬納特</t>
  </si>
  <si>
    <t>アゼルバイジャン　マナト</t>
  </si>
  <si>
    <t>Manat azerbaiyano</t>
  </si>
  <si>
    <t>Aserbaidschan-Manat</t>
  </si>
  <si>
    <t>Manat azerbaïdjanais</t>
  </si>
  <si>
    <t>Manat azero</t>
  </si>
  <si>
    <t>아제르바이잔 마나트</t>
  </si>
  <si>
    <t>Азербайджанский манат</t>
  </si>
  <si>
    <t>巴哈马元</t>
  </si>
  <si>
    <t>巴哈馬元</t>
  </si>
  <si>
    <t>バハマドル</t>
  </si>
  <si>
    <t>Dólar bahameño</t>
  </si>
  <si>
    <t>Bahama-Dollar</t>
  </si>
  <si>
    <t>Dollar bahaméen</t>
  </si>
  <si>
    <t>Dollaro delle Bahamas</t>
  </si>
  <si>
    <t>바하마 달러</t>
  </si>
  <si>
    <t>Багамский доллар</t>
  </si>
  <si>
    <t>巴林第纳尔</t>
  </si>
  <si>
    <t>巴林第納爾</t>
  </si>
  <si>
    <t>バーレーンディナール</t>
  </si>
  <si>
    <t>Dinar bareiní</t>
  </si>
  <si>
    <t>Bahrain-Dinar</t>
  </si>
  <si>
    <t>Dinar bahreïni</t>
  </si>
  <si>
    <t>Dinaro del Bahrein</t>
  </si>
  <si>
    <t>바레인 디나르</t>
  </si>
  <si>
    <t>Бахрейнский динар</t>
  </si>
  <si>
    <t>孟加拉塔卡</t>
  </si>
  <si>
    <t>バングラディッシュ・タカ</t>
  </si>
  <si>
    <t>Taka bangladesí</t>
  </si>
  <si>
    <t>Bangladeschischer Taka</t>
  </si>
  <si>
    <t>Taka bangladeshi</t>
  </si>
  <si>
    <t>Taka bengalese</t>
  </si>
  <si>
    <t>방글라데시 타카</t>
  </si>
  <si>
    <t>Бангладешский така</t>
  </si>
  <si>
    <t>白俄罗斯卢布</t>
  </si>
  <si>
    <t>白俄羅斯盧布</t>
  </si>
  <si>
    <t>ベラルーシルーブル</t>
  </si>
  <si>
    <t>Rublo bielorruso</t>
  </si>
  <si>
    <t>Weißrussischer Rubel</t>
  </si>
  <si>
    <t>Rouble biélorusse</t>
  </si>
  <si>
    <t>Rublo bielorusso</t>
  </si>
  <si>
    <t>벨라루스 루블</t>
  </si>
  <si>
    <t>Белорусский рубль</t>
  </si>
  <si>
    <t>波斯尼亚可兑换马尔卡</t>
  </si>
  <si>
    <t>波赫馬克</t>
  </si>
  <si>
    <t>ボスニア兌換マルク</t>
  </si>
  <si>
    <t>Marco bosnioherzegovino</t>
  </si>
  <si>
    <t>Bosnishe Konvertible Mark</t>
  </si>
  <si>
    <t>Mark convertible de Bosnie-Herzégovine</t>
  </si>
  <si>
    <t>Marco convertibile bosniaco</t>
  </si>
  <si>
    <t>보스니아 태환 마르카</t>
  </si>
  <si>
    <t>Боснийская конвертируемая марка</t>
  </si>
  <si>
    <t>巴西雷亚尔</t>
  </si>
  <si>
    <t>巴西雷阿爾</t>
  </si>
  <si>
    <t>ブラジル・レアル</t>
  </si>
  <si>
    <t>Real brasileño</t>
  </si>
  <si>
    <t>Brasilianischer Real</t>
  </si>
  <si>
    <t>Réal brésilien</t>
  </si>
  <si>
    <t>Real brasiliano</t>
  </si>
  <si>
    <t>브라질 레알</t>
  </si>
  <si>
    <t>Бразильский реал</t>
  </si>
  <si>
    <t>保加利亚列弗</t>
  </si>
  <si>
    <t>保加利亞列弗</t>
  </si>
  <si>
    <t>ブルガリアレフ</t>
  </si>
  <si>
    <t>Lev búlgaro</t>
  </si>
  <si>
    <t>Lew</t>
  </si>
  <si>
    <t>Lev bulgare</t>
  </si>
  <si>
    <t>Lev bulgaro</t>
  </si>
  <si>
    <t>불가리아 레프</t>
  </si>
  <si>
    <t>Болгарский лев</t>
  </si>
  <si>
    <t>柬埔寨里尔</t>
  </si>
  <si>
    <t>柬埔寨瑞爾</t>
  </si>
  <si>
    <t>カンボジア・リエル</t>
  </si>
  <si>
    <t>Riel camboyano</t>
  </si>
  <si>
    <t>Kambodschanischer Riel</t>
  </si>
  <si>
    <t>Riel cambodgien</t>
  </si>
  <si>
    <t>Riel cambogiano</t>
  </si>
  <si>
    <t>캄보디아 리엘</t>
  </si>
  <si>
    <t>Камбоджийский риель</t>
  </si>
  <si>
    <t>加拿大元</t>
  </si>
  <si>
    <t>加幣</t>
  </si>
  <si>
    <t>カナダ・ドル</t>
  </si>
  <si>
    <t>Dólar canadiense</t>
  </si>
  <si>
    <t>Kanadischer Dollar</t>
  </si>
  <si>
    <t>Dollar canadien</t>
  </si>
  <si>
    <t>Dollaro canadese</t>
  </si>
  <si>
    <t>캐나다 달러</t>
  </si>
  <si>
    <t>Канадский доллар</t>
  </si>
  <si>
    <t>智利比绍</t>
  </si>
  <si>
    <t>智利披索</t>
  </si>
  <si>
    <t>チリ・ペソ</t>
  </si>
  <si>
    <t>Peso chileno</t>
  </si>
  <si>
    <t>Chilenischer Peso</t>
  </si>
  <si>
    <t>Peso chilien</t>
  </si>
  <si>
    <t>Peso cileno</t>
  </si>
  <si>
    <t>칠레 페소</t>
  </si>
  <si>
    <t>Чилийский песо</t>
  </si>
  <si>
    <t>中国人民币元</t>
  </si>
  <si>
    <t>中國人民幣</t>
  </si>
  <si>
    <t>中国元</t>
  </si>
  <si>
    <t>Yuan Chino Renminbi</t>
  </si>
  <si>
    <t>Chinesischer Yuan Renminbi</t>
  </si>
  <si>
    <t>Yuan renminbi chinois</t>
  </si>
  <si>
    <t>Renminbi yuan cinese</t>
  </si>
  <si>
    <t>중국 위안</t>
  </si>
  <si>
    <t>Китайский юань</t>
  </si>
  <si>
    <t>哥伦比亚比绍</t>
  </si>
  <si>
    <t>哥倫比亞披索</t>
  </si>
  <si>
    <t>コロンビア・ペソ</t>
  </si>
  <si>
    <t>Peso colombiano</t>
  </si>
  <si>
    <t>Kolumbianischer Peso</t>
  </si>
  <si>
    <t>Peso colombien</t>
  </si>
  <si>
    <t>콜롬비아 페소</t>
  </si>
  <si>
    <t>Колумбийский песо</t>
  </si>
  <si>
    <t>哥斯达黎加科朗</t>
  </si>
  <si>
    <t>哥斯大黎加科朗</t>
  </si>
  <si>
    <t>コスタリカコロン</t>
  </si>
  <si>
    <t>Colón costarricense</t>
  </si>
  <si>
    <t>Costa-Rica-Colón</t>
  </si>
  <si>
    <t>Colon costaricien</t>
  </si>
  <si>
    <t>Colón costaricano</t>
  </si>
  <si>
    <t>코스타리카 콜론</t>
  </si>
  <si>
    <t>Костариканский колон</t>
  </si>
  <si>
    <t>克罗地亚库纳</t>
  </si>
  <si>
    <t>克羅埃西亞庫納</t>
  </si>
  <si>
    <t>クロアチアクーナ</t>
  </si>
  <si>
    <t>Kuna croata</t>
  </si>
  <si>
    <t>Kroatische Kuna</t>
  </si>
  <si>
    <t>Kuna croate</t>
  </si>
  <si>
    <t>크로아티아 쿠나</t>
  </si>
  <si>
    <t>Хорватская куна</t>
  </si>
  <si>
    <t>捷克克朗</t>
  </si>
  <si>
    <t>チェコ・コルナ</t>
  </si>
  <si>
    <t>Corona checa</t>
  </si>
  <si>
    <t>Tschechische Krone</t>
  </si>
  <si>
    <t>Couronne tchèque</t>
  </si>
  <si>
    <t>Corona ceca</t>
  </si>
  <si>
    <t>체코 코루나</t>
  </si>
  <si>
    <t>Чешская крона</t>
  </si>
  <si>
    <t>丹麦克朗</t>
  </si>
  <si>
    <t>丹麥克朗</t>
  </si>
  <si>
    <t>デンマーク・クローネ</t>
  </si>
  <si>
    <t>Corona danesa</t>
  </si>
  <si>
    <t>Dänische Krone</t>
  </si>
  <si>
    <t>Couronne danoise</t>
  </si>
  <si>
    <t>Corona danese</t>
  </si>
  <si>
    <t>덴마크 크로네</t>
  </si>
  <si>
    <t>Датская крона</t>
  </si>
  <si>
    <t>多米尼加比索</t>
  </si>
  <si>
    <t>多明尼加披索</t>
  </si>
  <si>
    <t>ドミニカペソ</t>
  </si>
  <si>
    <t>Peso dominicano</t>
  </si>
  <si>
    <t>Dominikanischer Peso</t>
  </si>
  <si>
    <t>Peso dominicain</t>
  </si>
  <si>
    <t>도미니카 페소</t>
  </si>
  <si>
    <t>Доминиканский песо</t>
  </si>
  <si>
    <t>埃及镑</t>
  </si>
  <si>
    <t>埃及鎊</t>
  </si>
  <si>
    <t>エジプトポンド</t>
  </si>
  <si>
    <t>Libra egipcia</t>
  </si>
  <si>
    <t>Ägyptisches Pfund</t>
  </si>
  <si>
    <t>Livre égyptienne</t>
  </si>
  <si>
    <t>Sterlina egiziana</t>
  </si>
  <si>
    <t>이집트 파운드</t>
  </si>
  <si>
    <t>Египетский фунт</t>
  </si>
  <si>
    <t>格鲁吉亚拉里</t>
  </si>
  <si>
    <t>喬治亞拉裡</t>
  </si>
  <si>
    <t>ジョージア　ラリ</t>
  </si>
  <si>
    <t>Lari georgiano</t>
  </si>
  <si>
    <t>Georgischer Lari</t>
  </si>
  <si>
    <t>Lari géorgien</t>
  </si>
  <si>
    <t>조지아 라리</t>
  </si>
  <si>
    <t>Грузинский лари</t>
  </si>
  <si>
    <t>危地马拉格查尔</t>
  </si>
  <si>
    <t>瓜地馬拉格查爾</t>
  </si>
  <si>
    <t>グアテマラケツァール</t>
  </si>
  <si>
    <t>Quetzal guatemalteco</t>
  </si>
  <si>
    <t>Guatemaltekischer Quetzal</t>
  </si>
  <si>
    <t>Quetzal guatémaltèque</t>
  </si>
  <si>
    <t>과테말라 케찰</t>
  </si>
  <si>
    <t>Гватемальский кетсаль</t>
  </si>
  <si>
    <t>洪都拉斯伦皮拉</t>
  </si>
  <si>
    <t>洪都拉斯倫皮拉</t>
  </si>
  <si>
    <t>ホンジュラスレンピラ</t>
  </si>
  <si>
    <t>Lempira hondureño</t>
  </si>
  <si>
    <t>Lempira</t>
  </si>
  <si>
    <t>Lempira hondurien</t>
  </si>
  <si>
    <t>Lempira honduregna</t>
  </si>
  <si>
    <t>온두라스 렘피라</t>
  </si>
  <si>
    <t>Гондурасская лемпира</t>
  </si>
  <si>
    <t>港元</t>
  </si>
  <si>
    <t>港幣</t>
  </si>
  <si>
    <t>香港ドル</t>
  </si>
  <si>
    <t>Dólar hongkonés</t>
  </si>
  <si>
    <t>Hongkong-Dollar</t>
  </si>
  <si>
    <t>Dollar de Hong Kong</t>
  </si>
  <si>
    <t>Dollaro di Hong Kong</t>
  </si>
  <si>
    <t>홍콩 달러</t>
  </si>
  <si>
    <t>Гонконгский доллар</t>
  </si>
  <si>
    <t>匈牙利福林</t>
  </si>
  <si>
    <t>ハンガリーフォリント</t>
  </si>
  <si>
    <t>Florín húngaro</t>
  </si>
  <si>
    <t>Forint</t>
  </si>
  <si>
    <t>Forint hongrois</t>
  </si>
  <si>
    <t>Fiorino ungherese</t>
  </si>
  <si>
    <t>헝가리 포린트</t>
  </si>
  <si>
    <t>Венгерский форинт</t>
  </si>
  <si>
    <t>冰岛克朗</t>
  </si>
  <si>
    <t>冰島克朗</t>
  </si>
  <si>
    <t>アイスランドクローナ</t>
  </si>
  <si>
    <t>Corona islandesa</t>
  </si>
  <si>
    <t>Isländische Krone</t>
  </si>
  <si>
    <t>Couronne islandaise</t>
  </si>
  <si>
    <t>Corona islandese</t>
  </si>
  <si>
    <t>아이슬란드 크로나</t>
  </si>
  <si>
    <t>Исландская крона</t>
  </si>
  <si>
    <t>印度卢比</t>
  </si>
  <si>
    <t>印度盧比</t>
  </si>
  <si>
    <t>インド・ルピー</t>
  </si>
  <si>
    <t>Rupia india</t>
  </si>
  <si>
    <t>Indische Rupie</t>
  </si>
  <si>
    <t>Roupie indienne</t>
  </si>
  <si>
    <t>Rupia indiana</t>
  </si>
  <si>
    <t>인도 루피</t>
  </si>
  <si>
    <t>Индийская рупия</t>
  </si>
  <si>
    <t>印度尼西亚盾</t>
  </si>
  <si>
    <t>印尼盾</t>
  </si>
  <si>
    <t>インドネシア・ルピア</t>
  </si>
  <si>
    <t>Rupia indonesia</t>
  </si>
  <si>
    <t>Indonesische Rupiah</t>
  </si>
  <si>
    <t>Roupie indonésienne</t>
  </si>
  <si>
    <t>Rupia indonesiana</t>
  </si>
  <si>
    <t>인도네시아 루피아</t>
  </si>
  <si>
    <t>Индонезийская рупия</t>
  </si>
  <si>
    <t>约旦第纳尔</t>
  </si>
  <si>
    <t>約旦第納爾</t>
  </si>
  <si>
    <t>ヨルダンディナール</t>
  </si>
  <si>
    <t>Dinar jordano</t>
  </si>
  <si>
    <t>Jordanischer Dinar</t>
  </si>
  <si>
    <t>Dinar jordanien</t>
  </si>
  <si>
    <t>Dinaro giordano</t>
  </si>
  <si>
    <t>요르단 디나르</t>
  </si>
  <si>
    <t>Иорданский динар</t>
  </si>
  <si>
    <t>哈萨克斯坦坚戈</t>
  </si>
  <si>
    <t>哈薩克坦吉</t>
  </si>
  <si>
    <t>カザフスタンテンゲ</t>
  </si>
  <si>
    <t>Tenge kazajo</t>
  </si>
  <si>
    <t>Tenge</t>
  </si>
  <si>
    <t>Tenge kazakh</t>
  </si>
  <si>
    <t>Tenge kazako</t>
  </si>
  <si>
    <t>카자흐스탄 텡게</t>
  </si>
  <si>
    <t>Казахстанский тенге</t>
  </si>
  <si>
    <t>肯尼亚先令</t>
  </si>
  <si>
    <t>肯亞先令</t>
  </si>
  <si>
    <t>ケニアシリング</t>
  </si>
  <si>
    <t>Chelín keniano</t>
  </si>
  <si>
    <t>Kenia-Schilling</t>
  </si>
  <si>
    <t>Shilling kenyan</t>
  </si>
  <si>
    <t>Scellino keniota</t>
  </si>
  <si>
    <t>케냐 실링</t>
  </si>
  <si>
    <t>Кенийский шиллинг</t>
  </si>
  <si>
    <t>科威特第纳尔</t>
  </si>
  <si>
    <t>科威特第納爾</t>
  </si>
  <si>
    <t>クウェートディナール</t>
  </si>
  <si>
    <t>Dinar kuwaití</t>
  </si>
  <si>
    <t>Kuwait-Dinar</t>
  </si>
  <si>
    <t>Dinar koweïtien</t>
  </si>
  <si>
    <t>Dinaro kuwaitiano</t>
  </si>
  <si>
    <t>쿠웨이트 디나르</t>
  </si>
  <si>
    <t>Кувейтский динар</t>
  </si>
  <si>
    <t>吉尔吉斯斯坦索姆</t>
  </si>
  <si>
    <t>吉爾吉斯斯坦索姆</t>
  </si>
  <si>
    <t>キルギス　ソム</t>
  </si>
  <si>
    <t>Som kirguís</t>
  </si>
  <si>
    <t>Kirgistan-Som</t>
  </si>
  <si>
    <t>Som du Kirghizistan</t>
  </si>
  <si>
    <t>Som kirghiso</t>
  </si>
  <si>
    <t>키르기스스탄 솜</t>
  </si>
  <si>
    <t>Киргизский сом</t>
  </si>
  <si>
    <t>马其顿代纳尔</t>
  </si>
  <si>
    <t>馬其頓第納爾</t>
  </si>
  <si>
    <t>マケドニアディナール</t>
  </si>
  <si>
    <t>Denar macedonio</t>
  </si>
  <si>
    <t>Mazedonischer Denar</t>
  </si>
  <si>
    <t>Denar macédonien</t>
  </si>
  <si>
    <t>Denaro macedone</t>
  </si>
  <si>
    <t>마케도니아 데나르</t>
  </si>
  <si>
    <t>Македонский денар</t>
  </si>
  <si>
    <t>马来西亚令吉</t>
  </si>
  <si>
    <t>馬來西亞林吉特</t>
  </si>
  <si>
    <t>マレーシア・リンギット</t>
  </si>
  <si>
    <t>Ringgit malayo</t>
  </si>
  <si>
    <t>Malaysischer Ringgit</t>
  </si>
  <si>
    <t>Ringgit malaisien</t>
  </si>
  <si>
    <t>Ringgit malaysiano</t>
  </si>
  <si>
    <t>말레이시아 링깃</t>
  </si>
  <si>
    <t>Малазийский ринггит</t>
  </si>
  <si>
    <t>墨西哥比索</t>
  </si>
  <si>
    <t>墨西哥披索</t>
  </si>
  <si>
    <t>メキシコ・ペソ</t>
  </si>
  <si>
    <t>Peso mexicano</t>
  </si>
  <si>
    <t>Mexikanischer Peso</t>
  </si>
  <si>
    <t>Peso mexicain</t>
  </si>
  <si>
    <t>Peso messicano</t>
  </si>
  <si>
    <t>멕시코 페소</t>
  </si>
  <si>
    <t>Мексиканский песо</t>
  </si>
  <si>
    <t>摩尔多瓦列伊</t>
  </si>
  <si>
    <t>莫爾達瓦列伊</t>
  </si>
  <si>
    <t>モルドバ　レウ</t>
  </si>
  <si>
    <t>Leu moldavo</t>
  </si>
  <si>
    <t>Moldau-Leu</t>
  </si>
  <si>
    <t>Leu moldave</t>
  </si>
  <si>
    <t>몰도바 레우</t>
  </si>
  <si>
    <t>Молдавский лей</t>
  </si>
  <si>
    <t>蒙古图格里克</t>
  </si>
  <si>
    <t>蒙古圖格裡克</t>
  </si>
  <si>
    <t>モンゴル・トゥグルグ</t>
  </si>
  <si>
    <t>Tugrik mongol</t>
  </si>
  <si>
    <t>Mongolischer Tugrik</t>
  </si>
  <si>
    <t>Tugrik mongolien</t>
  </si>
  <si>
    <t>Tugrik mongolo</t>
  </si>
  <si>
    <t>몽고 투그릭</t>
  </si>
  <si>
    <t>Монгольский тугрик</t>
  </si>
  <si>
    <t>摩洛哥迪拉姆</t>
  </si>
  <si>
    <t>モロッコ　ディルハム</t>
  </si>
  <si>
    <t>Dirham marroquí</t>
  </si>
  <si>
    <t>Marokkanischer Dirham</t>
  </si>
  <si>
    <t>Dirham marocain</t>
  </si>
  <si>
    <t>Dirham marocchino</t>
  </si>
  <si>
    <t>모로코 디르함</t>
  </si>
  <si>
    <t>Марокканский дирхам</t>
  </si>
  <si>
    <t>以色列新谢克尔</t>
  </si>
  <si>
    <t>以色列新謝克爾</t>
  </si>
  <si>
    <t>イスラエル新シェケル</t>
  </si>
  <si>
    <t>Nuevo shéquel israelí</t>
  </si>
  <si>
    <t>Schekel</t>
  </si>
  <si>
    <t>Nouveau shekel israélien</t>
  </si>
  <si>
    <t>Nuovo shekel israeliano</t>
  </si>
  <si>
    <t>이스라엘 신 셰켈</t>
  </si>
  <si>
    <t>Новый израильский шекель</t>
  </si>
  <si>
    <t>新台币</t>
  </si>
  <si>
    <t>新臺幣</t>
  </si>
  <si>
    <t>ニュー台湾ドル</t>
  </si>
  <si>
    <t>Nuevo dólar taiwanés</t>
  </si>
  <si>
    <t>Neuer Taiwan-Dollar</t>
  </si>
  <si>
    <t>Nouveau dollar taïwanais</t>
  </si>
  <si>
    <t>Nuovo dollaro taiwanese</t>
  </si>
  <si>
    <t>뉴타이완달러</t>
  </si>
  <si>
    <t>Новый тайваньский доллар</t>
  </si>
  <si>
    <t>新西兰元</t>
  </si>
  <si>
    <t>紐幣</t>
  </si>
  <si>
    <t>ニュージーランド・ドル</t>
  </si>
  <si>
    <t>Nuevo dólar neozelandés</t>
  </si>
  <si>
    <t>Neuseeländischer Dollar</t>
  </si>
  <si>
    <t>Dollar néo-zélandais</t>
  </si>
  <si>
    <t>Dollaro neozelandese</t>
  </si>
  <si>
    <t>뉴질랜드 달러</t>
  </si>
  <si>
    <t>Новозеландский доллар</t>
  </si>
  <si>
    <t>挪威克朗</t>
  </si>
  <si>
    <t>ノルウェー・クローネ</t>
  </si>
  <si>
    <t>Corona noruega</t>
  </si>
  <si>
    <t>Norwegische Krone</t>
  </si>
  <si>
    <t>Couronne norvégienne</t>
  </si>
  <si>
    <t>Corona norvegese</t>
  </si>
  <si>
    <t>노르웨이 크로네</t>
  </si>
  <si>
    <t>Норвежская крона</t>
  </si>
  <si>
    <t>阿曼里亚尔</t>
  </si>
  <si>
    <t>阿曼裡亞爾</t>
  </si>
  <si>
    <t>オマーン　リアル</t>
  </si>
  <si>
    <t>Rial omaní</t>
  </si>
  <si>
    <t>Omanischer Rial</t>
  </si>
  <si>
    <t>Rial omanais</t>
  </si>
  <si>
    <t>Rial dell'Oman</t>
  </si>
  <si>
    <t>오만 리알</t>
  </si>
  <si>
    <t>Оманский риал</t>
  </si>
  <si>
    <t>巴基斯坦卢比</t>
  </si>
  <si>
    <t>巴基斯坦盧比</t>
  </si>
  <si>
    <t>パキスタンルピー</t>
  </si>
  <si>
    <t>Rupia paquistaní</t>
  </si>
  <si>
    <t>Pakistanische Rupie</t>
  </si>
  <si>
    <t>Roupie pakistanaise</t>
  </si>
  <si>
    <t>Rupia pakistana</t>
  </si>
  <si>
    <t>파키스탄 루피</t>
  </si>
  <si>
    <t>Пакистанская рупия</t>
  </si>
  <si>
    <t>巴拿马巴波亚</t>
  </si>
  <si>
    <t>巴拿馬巴爾波</t>
  </si>
  <si>
    <t>パナマバルボア</t>
  </si>
  <si>
    <t>Balboa panameño</t>
  </si>
  <si>
    <t>Panamaischer Balboa</t>
  </si>
  <si>
    <t>Balboa panaméen</t>
  </si>
  <si>
    <t>Balboa panamense</t>
  </si>
  <si>
    <t>파나마 발보아</t>
  </si>
  <si>
    <t>Панамский бальбоа</t>
  </si>
  <si>
    <t>秘鲁索尔</t>
  </si>
  <si>
    <t>秘魯索爾</t>
  </si>
  <si>
    <t>ペルー　ソル</t>
  </si>
  <si>
    <t>Sol peruano</t>
  </si>
  <si>
    <t>Peruanischer Sol</t>
  </si>
  <si>
    <t>Sol péruvien</t>
  </si>
  <si>
    <t>Sol peruviano</t>
  </si>
  <si>
    <t>페루 솔</t>
  </si>
  <si>
    <t>Перуанский соль</t>
  </si>
  <si>
    <t>菲律宾比绍</t>
  </si>
  <si>
    <t>菲律賓披索</t>
  </si>
  <si>
    <t>フィリピン・ペソ</t>
  </si>
  <si>
    <t>Peso filipino</t>
  </si>
  <si>
    <t>Philippinischer Peso</t>
  </si>
  <si>
    <t>Peso philippin</t>
  </si>
  <si>
    <t>Peso filippino</t>
  </si>
  <si>
    <t>필리핀 페소</t>
  </si>
  <si>
    <t>Филиппинский песо</t>
  </si>
  <si>
    <t>波兰兹罗提</t>
  </si>
  <si>
    <t>波蘭茲羅提</t>
  </si>
  <si>
    <t>ポーランド・ズウォティ</t>
  </si>
  <si>
    <t>Zloty polaco</t>
  </si>
  <si>
    <t>Polnischer Zloty</t>
  </si>
  <si>
    <t>Zloty polonais</t>
  </si>
  <si>
    <t>Zloty polacco</t>
  </si>
  <si>
    <t>폴란드 즐로티</t>
  </si>
  <si>
    <t>Польский злотый</t>
  </si>
  <si>
    <t>卡塔尔里亚尔</t>
  </si>
  <si>
    <t>卡達裡亞爾</t>
  </si>
  <si>
    <t>カタールリヤル</t>
  </si>
  <si>
    <t>Rial qatarí</t>
  </si>
  <si>
    <t>Katar-Riyal</t>
  </si>
  <si>
    <t>riyal du Qatar</t>
  </si>
  <si>
    <t>Riyal del Qatar</t>
  </si>
  <si>
    <t>카타르 리알</t>
  </si>
  <si>
    <t>Катарский риал</t>
  </si>
  <si>
    <t>罗马尼亚列伊</t>
  </si>
  <si>
    <t>羅馬尼亞列伊</t>
  </si>
  <si>
    <t>ルーマニアレウ</t>
  </si>
  <si>
    <t>Leu rumano</t>
  </si>
  <si>
    <t>Rumänischer Leu</t>
  </si>
  <si>
    <t>Leu roumain</t>
  </si>
  <si>
    <t>Leu romeno</t>
  </si>
  <si>
    <t>루마니아 레우</t>
  </si>
  <si>
    <t>Румынский лей</t>
  </si>
  <si>
    <t>俄罗斯卢布</t>
  </si>
  <si>
    <t>俄羅斯盧布</t>
  </si>
  <si>
    <t>ロシアルーブル</t>
  </si>
  <si>
    <t>Rublo Ruso</t>
  </si>
  <si>
    <t>Russischer Rubel</t>
  </si>
  <si>
    <t>Rouble russe</t>
  </si>
  <si>
    <t>Rublo russo</t>
  </si>
  <si>
    <t>러시아 루블</t>
  </si>
  <si>
    <t>Российский рубль</t>
  </si>
  <si>
    <t>萨摩亚塔拉</t>
  </si>
  <si>
    <t>薩摩亞塔拉</t>
  </si>
  <si>
    <t>サモア　タラ</t>
  </si>
  <si>
    <t>Tala samoano</t>
  </si>
  <si>
    <t>Samoanischer Tala</t>
  </si>
  <si>
    <t>Tala de Samoa</t>
  </si>
  <si>
    <t>사모아 탈라</t>
  </si>
  <si>
    <t>Самоанская тала</t>
  </si>
  <si>
    <t>沙特阿拉伯里亚尔</t>
  </si>
  <si>
    <t>沙烏地里亞爾</t>
  </si>
  <si>
    <t>サウジアラビアリヤル</t>
  </si>
  <si>
    <t>Riyal saudí</t>
  </si>
  <si>
    <t>Saudi-Riyal</t>
  </si>
  <si>
    <t>Riyal saoudien</t>
  </si>
  <si>
    <t>Riyal saudita</t>
  </si>
  <si>
    <t>사우디아라비아 리얄</t>
  </si>
  <si>
    <t>Саудовский риал</t>
  </si>
  <si>
    <t>塞尔维亚第纳尔</t>
  </si>
  <si>
    <t>塞爾維亞第納爾</t>
  </si>
  <si>
    <t>セルビアディナール</t>
  </si>
  <si>
    <t>Dinar serbio</t>
  </si>
  <si>
    <t>Serbischer Dinar</t>
  </si>
  <si>
    <t>Dinar serbe</t>
  </si>
  <si>
    <t>Dinaro serbo</t>
  </si>
  <si>
    <t>세르비아 디나르</t>
  </si>
  <si>
    <t>Сербский динар</t>
  </si>
  <si>
    <t>新加坡元</t>
  </si>
  <si>
    <t>新加坡幣</t>
  </si>
  <si>
    <t>シンガポール・ドル</t>
  </si>
  <si>
    <t>Dólar de Singapur</t>
  </si>
  <si>
    <t>Singapur-Dollar</t>
  </si>
  <si>
    <t>Dollar singapourien</t>
  </si>
  <si>
    <t>Dollaro di Singapore</t>
  </si>
  <si>
    <t>싱가포르 달러</t>
  </si>
  <si>
    <t>Сингапурский доллар</t>
  </si>
  <si>
    <t>南非兰特</t>
  </si>
  <si>
    <t>南非蘭特</t>
  </si>
  <si>
    <t>南アフリカ・ランド</t>
  </si>
  <si>
    <t>Rand sudafricano</t>
  </si>
  <si>
    <t>Südafrikanischer Rand</t>
  </si>
  <si>
    <t>Rand sud-africain</t>
  </si>
  <si>
    <t>남아프리카 랜드</t>
  </si>
  <si>
    <t>Южноафриканский ранд</t>
  </si>
  <si>
    <t>韩元</t>
  </si>
  <si>
    <t>韓圜</t>
  </si>
  <si>
    <t>韓国ウォン</t>
  </si>
  <si>
    <t>Won surcoreano</t>
  </si>
  <si>
    <t>Südkoreanischer Won</t>
  </si>
  <si>
    <t>Won sud-coréen</t>
  </si>
  <si>
    <t>Won sudcoreano</t>
  </si>
  <si>
    <t>대한민국 원</t>
  </si>
  <si>
    <t>Южнокорейская вона</t>
  </si>
  <si>
    <t>斯里兰卡卢比</t>
  </si>
  <si>
    <t>斯里蘭卡盧比</t>
  </si>
  <si>
    <t>スリランカ・ルピー</t>
  </si>
  <si>
    <t>Rupia de Sri Lanka</t>
  </si>
  <si>
    <t>Sri Lanka Rupie</t>
  </si>
  <si>
    <t>Roupie du Sri Lanka</t>
  </si>
  <si>
    <t>Rupia dello Sri Lanka</t>
  </si>
  <si>
    <t>스리랑카 루피</t>
  </si>
  <si>
    <t>Шри-Ланкийская рупия</t>
  </si>
  <si>
    <t>瑞典克朗</t>
  </si>
  <si>
    <t>スウェーデン・クローナ</t>
  </si>
  <si>
    <t>Corona sueca</t>
  </si>
  <si>
    <t>Schwedische Krone</t>
  </si>
  <si>
    <t>Couronne suédoise</t>
  </si>
  <si>
    <t>Corona svedese</t>
  </si>
  <si>
    <t>스웨덴 크로네</t>
  </si>
  <si>
    <t>Шведская крона</t>
  </si>
  <si>
    <t>瑞士法郎</t>
  </si>
  <si>
    <t>スイス・フラン</t>
  </si>
  <si>
    <t>Franco suizo</t>
  </si>
  <si>
    <t>Schweizer Franken</t>
  </si>
  <si>
    <t>Franc suisse</t>
  </si>
  <si>
    <t>Franco svizzero</t>
  </si>
  <si>
    <t>스위스 프랑</t>
  </si>
  <si>
    <t>Швейцарский франк</t>
  </si>
  <si>
    <t>塔吉克索莫尼</t>
  </si>
  <si>
    <t>タジキスタン　ソモニ</t>
  </si>
  <si>
    <t>Somoni tayiko</t>
  </si>
  <si>
    <t>Tadschikischer Somoni</t>
  </si>
  <si>
    <t>Somoni tadjik</t>
  </si>
  <si>
    <t>Somoni tagiko</t>
  </si>
  <si>
    <t>타지크 소모니</t>
  </si>
  <si>
    <t>Таджикский сомони</t>
  </si>
  <si>
    <t>泰铢</t>
  </si>
  <si>
    <t>泰銖</t>
  </si>
  <si>
    <t>タイ・バーツ</t>
  </si>
  <si>
    <t>Baht tailandés</t>
  </si>
  <si>
    <t>Thailändischer Baht</t>
  </si>
  <si>
    <t>Baht thaïlandais</t>
  </si>
  <si>
    <t>Baht thailandese</t>
  </si>
  <si>
    <t>태국 바트</t>
  </si>
  <si>
    <t>Тайский бат</t>
  </si>
  <si>
    <t>突尼斯第纳尔</t>
  </si>
  <si>
    <t>突尼斯第納爾</t>
  </si>
  <si>
    <t>チュニジア　ディナール</t>
  </si>
  <si>
    <t>Dinar tunecino</t>
  </si>
  <si>
    <t>Tunesischer Dinar</t>
  </si>
  <si>
    <t>Dinar tunisien</t>
  </si>
  <si>
    <t>Dinaro tunisino</t>
  </si>
  <si>
    <t>튀니지 디나르</t>
  </si>
  <si>
    <t>Тунисский динар</t>
  </si>
  <si>
    <t>土耳其里拉</t>
  </si>
  <si>
    <t>トルコリラ</t>
  </si>
  <si>
    <t>Lira turca</t>
  </si>
  <si>
    <t>Türkische Lira</t>
  </si>
  <si>
    <t>Livre turque</t>
  </si>
  <si>
    <t>터키 리라</t>
  </si>
  <si>
    <t>Турецкая лира</t>
  </si>
  <si>
    <t>土库曼斯坦马纳特</t>
  </si>
  <si>
    <t>土庫曼斯坦馬納特</t>
  </si>
  <si>
    <t>トルクメニスタン　マナト</t>
  </si>
  <si>
    <t>Manat turcomano</t>
  </si>
  <si>
    <t>Turkmenistan-Manat</t>
  </si>
  <si>
    <t>Manat turkmène</t>
  </si>
  <si>
    <t>Manat turkmeno</t>
  </si>
  <si>
    <t>투르크메니스탄 마나트</t>
  </si>
  <si>
    <t>Туркменский манат</t>
  </si>
  <si>
    <t>UAE Dirham</t>
  </si>
  <si>
    <t>阿联酋迪拉姆</t>
  </si>
  <si>
    <t>阿拉伯聯合大公國迪拉姆</t>
  </si>
  <si>
    <t>UAEディルハム</t>
  </si>
  <si>
    <t>Dirham de los Emiratos Árabes Unidos</t>
  </si>
  <si>
    <t>VAE-Dirham</t>
  </si>
  <si>
    <t>Dirham émirati</t>
  </si>
  <si>
    <t>Dirham degli Emirati Arabi Uniti</t>
  </si>
  <si>
    <t>아랍에미리트 디르함</t>
  </si>
  <si>
    <t>Дирхам ОАЭ</t>
  </si>
  <si>
    <t>乌克兰格里夫纳</t>
  </si>
  <si>
    <t>烏克蘭赫伐尼亞</t>
  </si>
  <si>
    <t>ウクライナフリヴニャ</t>
  </si>
  <si>
    <t>Grivna ucraniana</t>
  </si>
  <si>
    <t>Hrywnja</t>
  </si>
  <si>
    <t>Hryvnia ukrainienne</t>
  </si>
  <si>
    <t>Grivnia ucraina</t>
  </si>
  <si>
    <t>우크라이나 흐리브냐</t>
  </si>
  <si>
    <t>Украинская гривна</t>
  </si>
  <si>
    <t>乌兹别克斯坦索姆</t>
  </si>
  <si>
    <t>烏茲別克斯坦蘇姆</t>
  </si>
  <si>
    <t>ウズベキスタン　ソム</t>
  </si>
  <si>
    <t>Som Uzbeko</t>
  </si>
  <si>
    <t>Usbekischer Som</t>
  </si>
  <si>
    <t>Som d'Ouzbékistan</t>
  </si>
  <si>
    <t>Som uzbeko</t>
  </si>
  <si>
    <t>우즈베키스탄 솜</t>
  </si>
  <si>
    <t>Узбекский сум</t>
  </si>
  <si>
    <t>Venezuelan Bolívar</t>
  </si>
  <si>
    <t>委内瑞拉玻利瓦尔</t>
  </si>
  <si>
    <t>委內瑞拉玻利瓦爾</t>
  </si>
  <si>
    <t>ベネズエラボリバル</t>
  </si>
  <si>
    <t>Bolívar Venezolano</t>
  </si>
  <si>
    <t>Venezolanischer Bolívar</t>
  </si>
  <si>
    <t>Bolivar vénézuélien</t>
  </si>
  <si>
    <t>Bolívar venezuelano</t>
  </si>
  <si>
    <t>베네수엘라 볼리바르</t>
  </si>
  <si>
    <t>Венесуэльский боливар</t>
  </si>
  <si>
    <t>越南盾</t>
  </si>
  <si>
    <t>ベトナム・ドン</t>
  </si>
  <si>
    <t>Dong vietnamita</t>
  </si>
  <si>
    <t>Vietnamesischer Dong</t>
  </si>
  <si>
    <t>Dong vietnamien</t>
  </si>
  <si>
    <t>베트남 동</t>
  </si>
  <si>
    <t>Вьетнамский дун</t>
  </si>
  <si>
    <t>Venezuelan Bolivar</t>
  </si>
  <si>
    <t>美元</t>
  </si>
  <si>
    <t>米国ドル</t>
  </si>
  <si>
    <t>Dólar estadounidense</t>
  </si>
  <si>
    <t>US-Dollar</t>
  </si>
  <si>
    <t>Dollar américain</t>
  </si>
  <si>
    <t>Dollaro statunitense</t>
  </si>
  <si>
    <t>미국 달러</t>
  </si>
  <si>
    <t>Доллар США</t>
  </si>
  <si>
    <t>实际值</t>
  </si>
  <si>
    <t>實際值</t>
  </si>
  <si>
    <t>現物</t>
  </si>
  <si>
    <t>Valores reales</t>
  </si>
  <si>
    <t>Ist-Werte</t>
  </si>
  <si>
    <t>Résultats réels</t>
  </si>
  <si>
    <t>Effettivi</t>
  </si>
  <si>
    <t>실제</t>
  </si>
  <si>
    <t>Фактические данные</t>
  </si>
  <si>
    <t>千</t>
  </si>
  <si>
    <t>Millares</t>
  </si>
  <si>
    <t>in Tausend</t>
  </si>
  <si>
    <t>Milliers</t>
  </si>
  <si>
    <t>Migliaia</t>
  </si>
  <si>
    <t>천</t>
  </si>
  <si>
    <t>Тысячи</t>
  </si>
  <si>
    <t>百万</t>
  </si>
  <si>
    <t>百萬</t>
  </si>
  <si>
    <t>Millones</t>
  </si>
  <si>
    <t>in Millionen</t>
  </si>
  <si>
    <t>Milioni</t>
  </si>
  <si>
    <t>백만</t>
  </si>
  <si>
    <t>Миллионы</t>
  </si>
  <si>
    <t>十亿</t>
  </si>
  <si>
    <t>十億</t>
  </si>
  <si>
    <t>Miles de millones</t>
  </si>
  <si>
    <t>in Milliarden</t>
  </si>
  <si>
    <t>Milliards</t>
  </si>
  <si>
    <t>Miliardi</t>
  </si>
  <si>
    <t>십억</t>
  </si>
  <si>
    <t>Миллиарды</t>
  </si>
  <si>
    <t>万亿</t>
  </si>
  <si>
    <t>萬億</t>
  </si>
  <si>
    <t>兆</t>
  </si>
  <si>
    <t>Billones</t>
  </si>
  <si>
    <t>in Billionen</t>
  </si>
  <si>
    <t>Migliaia di miliardi</t>
  </si>
  <si>
    <t>조</t>
  </si>
  <si>
    <t>Триллионы</t>
  </si>
  <si>
    <t>MI标准</t>
  </si>
  <si>
    <t>MI 標準</t>
  </si>
  <si>
    <t>MI標準</t>
  </si>
  <si>
    <t>Estándar de MI</t>
  </si>
  <si>
    <t>MI-Standard</t>
  </si>
  <si>
    <t>Standard MI</t>
  </si>
  <si>
    <t>MI 표준</t>
  </si>
  <si>
    <t>Стандарт MI</t>
  </si>
  <si>
    <t>MIstandard</t>
  </si>
  <si>
    <t>Passo 7: Selecione o método de cálculo para Δ de capital de giro</t>
  </si>
  <si>
    <t>Passo 8: Clique no botão «ATUALIZAR FOLHA".</t>
  </si>
  <si>
    <t>Всего собственного капитала</t>
  </si>
  <si>
    <t>кроме данных на акцию</t>
  </si>
  <si>
    <t>REFRESH SHEET</t>
  </si>
  <si>
    <t>Libra esterlina britânica</t>
  </si>
  <si>
    <t>Iene japonês</t>
  </si>
  <si>
    <t>Dólar americano</t>
  </si>
  <si>
    <t>Afegão de afegão</t>
  </si>
  <si>
    <t>Lek albanês</t>
  </si>
  <si>
    <t>Dram armênio</t>
  </si>
  <si>
    <t>Dolar australiano</t>
  </si>
  <si>
    <t>Manat do Azerbaijão</t>
  </si>
  <si>
    <t>Dólar das Bahamas</t>
  </si>
  <si>
    <t>Dinar do Bahrein</t>
  </si>
  <si>
    <t>Taka de Bangladesh</t>
  </si>
  <si>
    <t>Rublo bielorrusso</t>
  </si>
  <si>
    <t>Marcos conversíveis da Bósnia</t>
  </si>
  <si>
    <t>Real  Brasileiro</t>
  </si>
  <si>
    <t>Riel cambojano</t>
  </si>
  <si>
    <t>Dólar canadense</t>
  </si>
  <si>
    <t>Pesos chilenos</t>
  </si>
  <si>
    <t>Yuan Renminbi Chinês</t>
  </si>
  <si>
    <t>Colón costa-riquenho</t>
  </si>
  <si>
    <t>Coroa Tcheca</t>
  </si>
  <si>
    <t>Coroa dinamarquesa</t>
  </si>
  <si>
    <t>Peso Dominicano</t>
  </si>
  <si>
    <t>Quetzal da Guatemala</t>
  </si>
  <si>
    <t>Lempira hondurenha</t>
  </si>
  <si>
    <t>Dólar de Hong Kong</t>
  </si>
  <si>
    <t>Forint hungaro</t>
  </si>
  <si>
    <t>Krona islandesa</t>
  </si>
  <si>
    <t>Rupia Indiana</t>
  </si>
  <si>
    <t>Rúpia da Indonésia</t>
  </si>
  <si>
    <t>Dinar jordaniano</t>
  </si>
  <si>
    <t>Cazaquistão Tenge</t>
  </si>
  <si>
    <t>Xelim queniano</t>
  </si>
  <si>
    <t>Dinar Koweitiano</t>
  </si>
  <si>
    <t>Denar macedônio</t>
  </si>
  <si>
    <t>Ringgit da Malásia</t>
  </si>
  <si>
    <t>Peso Mexico</t>
  </si>
  <si>
    <t>Leu da Moldávia</t>
  </si>
  <si>
    <t>Tugrik da Mongólia</t>
  </si>
  <si>
    <t>Dirham marroquino</t>
  </si>
  <si>
    <t>Novo Shekel Israelita</t>
  </si>
  <si>
    <t>Novo dólar taiwanês</t>
  </si>
  <si>
    <t>Dólar da Nova Zelândia</t>
  </si>
  <si>
    <t>Coroa norueguesa</t>
  </si>
  <si>
    <t>Rial de Omã</t>
  </si>
  <si>
    <t>Rúpia do Paquistão</t>
  </si>
  <si>
    <t>Balboa panamenho</t>
  </si>
  <si>
    <t>Rial Catariano</t>
  </si>
  <si>
    <t>Rial saudita</t>
  </si>
  <si>
    <t>Dinar sérvio</t>
  </si>
  <si>
    <t>Dólar de Singapura</t>
  </si>
  <si>
    <t>Rands Sul-Africanos</t>
  </si>
  <si>
    <t>Won sul-coreano</t>
  </si>
  <si>
    <t>Rúpia do Sri Lanka</t>
  </si>
  <si>
    <t>Franco suiço</t>
  </si>
  <si>
    <t>Tadjique somoni</t>
  </si>
  <si>
    <t>Baht tailandês</t>
  </si>
  <si>
    <t>Dinar tunisino</t>
  </si>
  <si>
    <t xml:space="preserve">Manat de Turcomenistão </t>
  </si>
  <si>
    <t>Dirham dos EAU</t>
  </si>
  <si>
    <t xml:space="preserve">Hryvnia da Ucrânia </t>
  </si>
  <si>
    <t>Som do Uzbequistão</t>
  </si>
  <si>
    <t>Dong da Vietnã</t>
  </si>
  <si>
    <t>Efetivos</t>
  </si>
  <si>
    <t>Milhares</t>
  </si>
  <si>
    <t>Milhões</t>
  </si>
  <si>
    <t>Bilhões</t>
  </si>
  <si>
    <t>Trilhões</t>
  </si>
  <si>
    <t>Source: S&amp;P Capital IQ Pro</t>
  </si>
  <si>
    <t>来源：S&amp;P Capital IQ Pro</t>
  </si>
  <si>
    <t>來源：S&amp;P Capital IQ Pro</t>
  </si>
  <si>
    <t>出典：S&amp;P Capital IQ Pro</t>
  </si>
  <si>
    <t>Fuente: S&amp;P Capital IQ Pro</t>
  </si>
  <si>
    <t>Quelle: S&amp;P Capital IQ Pro</t>
  </si>
  <si>
    <t>Source : S&amp;P Capital IQ Pro </t>
  </si>
  <si>
    <t>Fonte: S&amp;P Capital IQ Pro</t>
  </si>
  <si>
    <t>출처 : S&amp;P Capital IQ Pro</t>
  </si>
  <si>
    <t>Источник: Данные предоставлены компанией S&amp;P Capital IQ Pro</t>
  </si>
  <si>
    <t>Fonte : S&amp;P Capital IQ Pro</t>
  </si>
  <si>
    <t>Step 1: Enter Trading Symbol-Exchange / Entity ID / CIQ ID in Cell L13.</t>
  </si>
  <si>
    <t>步骤1：在单元格L13中输入交易符号 - 交换/ Entity ID / CIQ ID。</t>
  </si>
  <si>
    <t>步驟1：在儲存格L13中輸入交易符號 - 交換/ Entity ID / CIQ ID。</t>
  </si>
  <si>
    <t>ステップ1：セルL13に取引シンボル交換/ Entity ID / CIQ IDを入力します。</t>
  </si>
  <si>
    <t>Paso 1: Ingrese Trading Symbol-Exchange / Entity ID / CIQ ID en la celda L13.</t>
  </si>
  <si>
    <t>1 단계 : 셀 L13에 종목 코드 / Entity ID / CIQ ID를 입력합니다.</t>
  </si>
  <si>
    <t>Passo 1: Digite o símbolo de negociação-bolsa / Entity ID / CIQ ID na Célula L13.</t>
  </si>
  <si>
    <t>Schritt 1: Geben Sie in Zelle L13 die Handelssymbol-Börse / Entity-ID / CIQ-ID ein.</t>
  </si>
  <si>
    <t>Étape 1: Entrez l'ID de symbole de négociation / d'échange / Entity / CIQ dans la cellule L13.</t>
  </si>
  <si>
    <t>Passaggio 1: immettere lo scambio di simboli / ID Entity / ID CIQ nella cella L13.</t>
  </si>
  <si>
    <t>Шаг 1: Введите торговый символ компании Focus-Exchange / идентификатор Entity / идентификатор CIQ.</t>
  </si>
  <si>
    <t>Please contact S&amp;P Capital IQ Pro Support with any questions or comments:</t>
  </si>
  <si>
    <t>如有任何问题或意见，请联系 S&amp;P Capital IQ Pro 支持部门：</t>
  </si>
  <si>
    <t>如有任何問題或意見，請聯絡 S&amp;P Capital IQ Pro 支援部門：</t>
  </si>
  <si>
    <t>質問やコメントがあればS&amp;P Capital IQ Proサポートにご連絡ください。</t>
  </si>
  <si>
    <t>Por favor, póngase en contacto con el Servicio de asistencia técnica de S&amp;P Capital IQ Pro si tiene alguna pregunta o comentario:</t>
  </si>
  <si>
    <t>Bei Fragen oder Anregungen wenden Sie sich bitte an den S&amp;P Capital IQ Pro Support:</t>
  </si>
  <si>
    <t>Pour toute question ou remarque, contactez le support de S&amp;P Capital IQ Pro:</t>
  </si>
  <si>
    <t>Si prega di contattare il supporto S&amp;P Capital IQ Pro per qualsiasi domanda o commento:</t>
  </si>
  <si>
    <t>문의 사항이나 의견이 있으면 아래 S&amp;P Capital IQ Pro 지원 부서로 연락하십시오.</t>
  </si>
  <si>
    <t>Пожалуйста, свяжитесь со службой поддержки S&amp;P Capital IQ Pro по любым вопросам или комментариям:</t>
  </si>
  <si>
    <t>Por favor, entre em contato com o Suporte de S&amp;P Capital IQ Pro em caso de dúvidas ou comentários:</t>
  </si>
  <si>
    <t>1) Select S&amp;P Capital IQ Pro Add-In manual refresh option.</t>
  </si>
  <si>
    <t>1）选择S&amp;P Capital IQ Pro加载项手动刷新选项。</t>
  </si>
  <si>
    <t>1）選擇S&amp;P Capital IQ Pro加載項手動刷新選項。</t>
  </si>
  <si>
    <t>1）S&amp;P Capital IQ Proアドインの手動更新オプションを選択します。</t>
  </si>
  <si>
    <t>1) Seleccione la opción de actualización manual de S&amp;P Capital IQ Pro Add-In.</t>
  </si>
  <si>
    <t>1) Wählen Sie die manuelle Aktualisierungsoption für das S&amp;P Capital IQ Pro-Add-In.</t>
  </si>
  <si>
    <t>1) Sélectionnez l'option d'actualisation manuelle du complément S&amp;P Capital IQ Pro.</t>
  </si>
  <si>
    <t>1) S&amp;P Capital IQ Pro Add-In 수동 새로 고침 옵션을 선택하십시오.</t>
  </si>
  <si>
    <t>1) Выберите вариант обновления вручную надстройки S&amp;P Capital IQ Pro.</t>
  </si>
  <si>
    <t>1) Selecione a opção de atualização manual do suplemento do S&amp;P Capital IQ Pro.</t>
  </si>
  <si>
    <t>1) Selezionare l'opzione di aggiornamento manuale del componente aggiuntivo di S&amp;P Capital IQ Pro.</t>
  </si>
  <si>
    <t>1) S&amp;P Capital IQ Pro calculates WACC based on the most recent annual/quarterly reporting period,</t>
  </si>
  <si>
    <t>1）S&amp;P Capital IQ Pro根据最近的年度/季度报告期计算加权平均资本成本，</t>
  </si>
  <si>
    <t>1）S&amp;P Capital IQ Pro根據最近的年度/季度報告期計算加權平均資本成本，</t>
  </si>
  <si>
    <t>1）S&amp;P Capital IQ Pro は直近年度・四半期の報告に基づいてWACCを算出し、</t>
  </si>
  <si>
    <t>1) S&amp;P Capital IQ Pro calcula el costo de capital medio ponderado en función del período de informe anual / trimestral más reciente,</t>
  </si>
  <si>
    <t>1) S&amp;P Capital IQ Pro berechnet den WACC auf der Grundlage des letzten Jahres-/Quartalsberichtszeitraums,</t>
  </si>
  <si>
    <t>1) S&amp;P Capital IQ Pro calcule le WACC sur la base de la période de rapport annuel/trimestriel la plus récente,</t>
  </si>
  <si>
    <t>1) S&amp;P Capital IQ Pro calcola il WACC sulla base dell'ultimo periodo di riferimetno annuale/trimestrale</t>
  </si>
  <si>
    <t>1) S&amp;P Capital IQ Pro рассчитывает Средневзвешенную стоимость капитала (WACC) на основе последнего годового/квартального отчетного периода,</t>
  </si>
  <si>
    <t>1) A S&amp;P Capital IQ Pro calcula o WACC com base no Exercício Financeiro anual/trimestral mais recente,</t>
  </si>
  <si>
    <t>support.CapIQPro@spglobal.com</t>
  </si>
  <si>
    <t>(Format: FYyyyy - FY2012; FQqyyyy - FQ32013)</t>
  </si>
  <si>
    <t>（格式：FYyyyy - FY2012; FQqyyyy - FQ32013）</t>
  </si>
  <si>
    <t>（格式：FYyyyy - FY2012; FQqyyyy - FQ32013)</t>
  </si>
  <si>
    <t>(フォーマット：FYyyyy - FY2012; FQqyyyy - FQ32013)</t>
  </si>
  <si>
    <t>(Formato: FYyyyy - FY2012; FQqyyyy - FQ32013)</t>
  </si>
  <si>
    <t>(Formate: FYyyyy - FY2012; FQqyyyy - FQ32013)</t>
  </si>
  <si>
    <t>(서식: FYyyyy - FY2012; FQqyyyy - FQ32013)</t>
  </si>
  <si>
    <t>(Формат: FYyyyy - FY2012; FQqyyyy - FQ32013)</t>
  </si>
  <si>
    <t>Bursa Malaysia Finance Index</t>
  </si>
  <si>
    <t>Israel TA-35</t>
  </si>
  <si>
    <t>IQ_EBITDA_LEASE_ADJUSTED</t>
  </si>
  <si>
    <t>IQ_LEASE_ADJUSTMENT_EBITDA</t>
  </si>
  <si>
    <t>IQ_RUA_GROSS</t>
  </si>
  <si>
    <t>IQ_RUA_OPERATING_LEASE_GROSS</t>
  </si>
  <si>
    <t>Lease Adjustment for EBITDA</t>
  </si>
  <si>
    <t>Capital Expenditure</t>
  </si>
  <si>
    <t>Right-of-Use Assets: Gross</t>
  </si>
  <si>
    <t>Operating Lease Right-of-Use Assets: Gross</t>
  </si>
  <si>
    <t>EBITDA, Lease Adjusted</t>
  </si>
  <si>
    <t>息税折旧摊销前利润,已调整租赁</t>
  </si>
  <si>
    <t>息稅折舊攤銷前利潤 ,已調整租賃</t>
  </si>
  <si>
    <t>EBITDA, ajusté au bail</t>
  </si>
  <si>
    <t>EBITDA, mietbereinigt</t>
  </si>
  <si>
    <t>EBITDA, rettificato per locazioni</t>
  </si>
  <si>
    <t>EBITDA(リース調整後)</t>
  </si>
  <si>
    <t>EBITDA, Скорректированная на лизинг</t>
  </si>
  <si>
    <t>EBITDA, Ajustado por el arrendamiento</t>
  </si>
  <si>
    <t>EBITDA, 리스 조정</t>
  </si>
  <si>
    <t>EBITDA, ajuste de leasing</t>
  </si>
  <si>
    <t>Less: Capital Expenditures and Additional Lease</t>
  </si>
  <si>
    <t>减：资本支出和额外租赁</t>
  </si>
  <si>
    <t>減：資本支出和額外租賃</t>
  </si>
  <si>
    <t>Dépenses d'Investissement et Bail Supplémentaire</t>
  </si>
  <si>
    <t>Abzüglich: Investitionsausgaben und zusätzliche Leasingverträge</t>
  </si>
  <si>
    <t>Meno: Spese in conto capitale e leasing aggiuntivi</t>
  </si>
  <si>
    <t>-設備投資及び追加リース</t>
  </si>
  <si>
    <t>Минус: капитальные затраты и дополнительная аренда</t>
  </si>
  <si>
    <t>Menos: Gastos de Capital y Arrendamiento Adicional</t>
  </si>
  <si>
    <t>감소: 자본 지출 및 추가 임대</t>
  </si>
  <si>
    <t>Menos: Despesas de Capital e Arrendamento Adicional</t>
  </si>
  <si>
    <t>IQ_EBIT</t>
  </si>
  <si>
    <t xml:space="preserve">Copyright © </t>
  </si>
  <si>
    <t xml:space="preserve">版权所有 © </t>
  </si>
  <si>
    <t xml:space="preserve">著作權 © </t>
  </si>
  <si>
    <t xml:space="preserve">著作権 © </t>
  </si>
  <si>
    <t xml:space="preserve">Derechos de autor © </t>
  </si>
  <si>
    <t xml:space="preserve">Urheberrecht © </t>
  </si>
  <si>
    <t xml:space="preserve">Droit d'auteur © </t>
  </si>
  <si>
    <t xml:space="preserve">Diritto d’autore © </t>
  </si>
  <si>
    <t xml:space="preserve">저작권 © </t>
  </si>
  <si>
    <t xml:space="preserve">Авторские права © </t>
  </si>
  <si>
    <t>Copyright ©</t>
  </si>
  <si>
    <t>S&amp;P Global Market Intelligence LLC (y sus afiliados, según corresponda): todos los derechos reservados</t>
  </si>
  <si>
    <t>S&amp;P Global Market Intelligence LLC (and its affiliates as applicable) – All rights reserved.</t>
  </si>
  <si>
    <t>S&amp;P Global Market Intelligence LLC（及其附属公司，如适用） - 保留所有权利。</t>
  </si>
  <si>
    <t>S&amp;P Global Market Intelligence LLC（當可適用時，包括其關係企業） – 保留所有權利。 </t>
  </si>
  <si>
    <t>S&amp;P Global Market Intelligence LLC (および該当する場合はその関連会社) – 無断複写・転載を禁じます。  </t>
  </si>
  <si>
    <t>S&amp;P Global Market Intelligence LLC (und seine verbundenen Unternehmen, falls zutreffend) - Alle Rechte vorbehalten</t>
  </si>
  <si>
    <t>S&amp;P Global Market Intelligence LLC (et ses filiales, le cas échéant) - Tous droits réservés</t>
  </si>
  <si>
    <t>S&amp;P Global Market Intelligence LLC (e le sue affiliate a seconda dei casi) - Tutti i diritti riservati</t>
  </si>
  <si>
    <t>S&amp;P Global Market Intelligence LLC (및 그의 계열사) – 모든 권리 본사 소유</t>
  </si>
  <si>
    <t>S&amp;P Global Market Intelligence LLC (и его ассоциированные общества, если применимо) - Все права защищены</t>
  </si>
  <si>
    <t>S&amp;P Global Market Intelligence LLC (e suas afiliadas conforme aplicável) - Todos os direitos reservados.</t>
  </si>
  <si>
    <t>This model and/or any data in it are provided subject to the written agreement of S&amp;P Global Market Intelligence LLC governing the subscription service to which this model is applied.</t>
  </si>
  <si>
    <t>S&amp;P Global Market Intelligence LLC 就应用本模型的订阅服务签订了书面协议，本模型和/或其中的任何数据均依据这些协议提供。</t>
  </si>
  <si>
    <t>此模型及 / 或其內所含任何資料之提供，係依據 S&amp;P Global Market Intelligence LLC 針對此模型所應用訂閱服務而簽訂之書面協議為之。</t>
  </si>
  <si>
    <t>本モデルおよび/またはモデル内のあらゆるデータは、本モデルが適用される定期購読サービスを管理するS&amp;P Global Market Intelligence LLCの書面契約書に従って提供されます。</t>
  </si>
  <si>
    <t>Este modelo y/o cualquier dato que contenga están sujetos al acuerdo por escrito de S&amp;P Global Market Intelligence LLC que rige el servicio de suscripción al que se aplica este modelo.</t>
  </si>
  <si>
    <t>Dieses Modell und/oder alle darin enthaltenen Daten werden vorbehaltlich der schriftlichen Vereinbarung von S&amp;P Global Market Intelligence LLC über den Abonnementdienst, auf den dieses Modell angewendet wird, bereitgestellt.</t>
  </si>
  <si>
    <t>Ce modèle et / ou toutes les données qu'il contient sont fournis sous réserve de l'accord écrit de S&amp;P Global Market Intelligence LLC régissant le service d'abonnement auquel ce modèle est appliqué.</t>
  </si>
  <si>
    <t>Questo modello e/o qualsiasi dato in esso contenuto sono forniti previo accordo scritto di S&amp;P Global Market Intelligence LLC che disciplina il servizio di abbonamento a cui questo modello è applicato.</t>
  </si>
  <si>
    <t>본 모델 또는 관련 데이터는 본 모델의 구독 서비스를 관리하는 S&amp;P Global Market Intelligence LLC와 맺은 서면 계약에 따라 제공됩니다.</t>
  </si>
  <si>
    <t>Эта модель и/или любые данные в ней предоставляются при наличии письменного соглашения S&amp;P Global Market Intelligence LLC, регулирующего службу подписки, к которой применяется эта модель.</t>
  </si>
  <si>
    <t>Este modelo e/ou quaisquer dados nele contidos são fornecidos de acordo com o contrato por escrito da S&amp;P Global Market Intelligence LLC que rege o serviço de assinatura ao qual este modelo é aplicado.</t>
  </si>
  <si>
    <t>Step 4: Enter peers for beta generation.</t>
  </si>
  <si>
    <t>FY0</t>
  </si>
  <si>
    <t>FY-1</t>
  </si>
  <si>
    <t>FY-2</t>
  </si>
  <si>
    <t>FY-3</t>
  </si>
  <si>
    <t>FY-4</t>
  </si>
  <si>
    <t>FY-5</t>
  </si>
  <si>
    <t>IQ_FISCAL_Y</t>
  </si>
  <si>
    <t>FQ0</t>
  </si>
  <si>
    <t>Step 2: Enter date for analysis.</t>
  </si>
  <si>
    <t>步骤 2：输入分析日期。</t>
  </si>
  <si>
    <t>步驟 2：輸入分析日期。</t>
  </si>
  <si>
    <t>ステップ 2: 分析する日付を入力します。</t>
  </si>
  <si>
    <t>Paso 2: Ingrese la fecha para el análisis.</t>
  </si>
  <si>
    <t>Schritt 2: Geben Sie das Datum für die Analyse ein.</t>
  </si>
  <si>
    <t>Étape 2 : Saisissez la date d'analyse.</t>
  </si>
  <si>
    <t>Passaggio 2: inserire la data per l'analisi.</t>
  </si>
  <si>
    <t>2단계: 분석 날짜를 입력합니다.</t>
  </si>
  <si>
    <t>Шаг 2: Введите дату анализа.</t>
  </si>
  <si>
    <t>Passo 2: Insira a data para análise.</t>
  </si>
  <si>
    <t>Cost of Preferred Equity, and Market Return.</t>
  </si>
  <si>
    <t>优先股成本和市场回报。</t>
  </si>
  <si>
    <t>優先股成本和市場回報。</t>
  </si>
  <si>
    <t>優先株式のコストと市場収益。</t>
  </si>
  <si>
    <t>Costo de acciones preferentes y rentabilidad del mercado.</t>
  </si>
  <si>
    <t>Kosten des Vorzugskapitals und Marktrendite.</t>
  </si>
  <si>
    <t>Coût des actions privilégiées et rendement du marché.</t>
  </si>
  <si>
    <t>Costo dell'equità privilegiata e rendimento di mercato.</t>
  </si>
  <si>
    <t>우선주 비용 및 시장 수익률.</t>
  </si>
  <si>
    <t>Стоимость привилегированного капитала и рыночная доходность.</t>
  </si>
  <si>
    <t>Custo de ações preferenciais e retorno de mercado.</t>
  </si>
  <si>
    <t>Risk-free Rate Manual Overide ►</t>
  </si>
  <si>
    <t>无风险利率手动覆盖 ►</t>
  </si>
  <si>
    <t>無風險利率手動覆蓋 ►</t>
  </si>
  <si>
    <t>リスクフリーレートの手動オーバーライド ►</t>
  </si>
  <si>
    <t>Cambio manual de tasa libre de riesgo ►</t>
  </si>
  <si>
    <t>Manuelle Überschreibung des risikofreien Zinssatzes ►</t>
  </si>
  <si>
    <t>Annulation manuelle du taux sans risque ►</t>
  </si>
  <si>
    <t>Overide manuale del tasso privo di rischio ►</t>
  </si>
  <si>
    <t>무위험 비율 수동 오버라이드 ►</t>
  </si>
  <si>
    <t>Ручной обход безрисковой ставки ►</t>
  </si>
  <si>
    <t>Substituição manual de taxa sem risco ►</t>
  </si>
  <si>
    <t>Market Return Manual Overide ►</t>
  </si>
  <si>
    <t>市场回报手动覆盖 ►</t>
  </si>
  <si>
    <t>市場回報手動覆蓋 ►</t>
  </si>
  <si>
    <t>マーケットリターンマニュアルオーバーライド ►</t>
  </si>
  <si>
    <t>Reemplazo manual de retorno de mercado ►</t>
  </si>
  <si>
    <t>Marktrendite-Handbuch überschreiben ►</t>
  </si>
  <si>
    <t>Remplacement manuel du rendement du marché ►</t>
  </si>
  <si>
    <t>Rendimento di mercato Overide manuale ►</t>
  </si>
  <si>
    <t>시장 수익률 수동 오버라이드 ►</t>
  </si>
  <si>
    <t>Рыночная доходность вручную ►</t>
  </si>
  <si>
    <t>Substituição manual de retorno de mercado ►</t>
  </si>
  <si>
    <t>Cost of Debt Manual Overide ►</t>
  </si>
  <si>
    <t>债务成本手动覆盖 ►</t>
  </si>
  <si>
    <t>債務成本手動覆蓋 ►</t>
  </si>
  <si>
    <t>負債コストの手動上書き ►</t>
  </si>
  <si>
    <t>Anulación del Manual del Costo de la Deuda ►</t>
  </si>
  <si>
    <t>Manuelle Überschreibung der Schuldenkosten ►</t>
  </si>
  <si>
    <t>Annulation manuelle du coût de la dette ►</t>
  </si>
  <si>
    <t>Overide manuale del costo del debito ►</t>
  </si>
  <si>
    <t>부채 수동 재정의 비용 ►</t>
  </si>
  <si>
    <t>Стоимость долга в ручном режиме ►</t>
  </si>
  <si>
    <t>Custo da Dívida Substituição Manual ►</t>
  </si>
  <si>
    <t>Cost of Preferred Equity Manual Overide ►</t>
  </si>
  <si>
    <t>优先股成本手动覆盖 ►</t>
  </si>
  <si>
    <t>優先股成本手動覆蓋 ►</t>
  </si>
  <si>
    <t>優先株式のコストの手動上書き ►</t>
  </si>
  <si>
    <t>Costo de anulación del manual de capital preferente ►</t>
  </si>
  <si>
    <t>Kosten des Vorzugsaktienhandbuchs ►</t>
  </si>
  <si>
    <t>Remplacement manuel du coût des actions privilégiées ►</t>
  </si>
  <si>
    <t>Costo dell'equità privilegiata Overide manuale ►</t>
  </si>
  <si>
    <t>우선주 비용 수동 대체 ►</t>
  </si>
  <si>
    <t>Ручная корректировка стоимости привилегированных акций ►</t>
  </si>
  <si>
    <t>Custo de Substituição Manual de Capital Preferencial ►</t>
  </si>
  <si>
    <t>IQ_CURRENT_PORT_LEASES</t>
  </si>
  <si>
    <t>FY-6</t>
  </si>
  <si>
    <t>Current Portion of Leases</t>
  </si>
  <si>
    <t>目前部分租賃</t>
  </si>
  <si>
    <t>Текущая часть аренды</t>
  </si>
  <si>
    <t>当前部分租赁</t>
  </si>
  <si>
    <t>リースの1年以内の部分</t>
  </si>
  <si>
    <t>Porción actual de arrendamientos</t>
  </si>
  <si>
    <t>Aktueller Anteil der Mietverträge</t>
  </si>
  <si>
    <t>Portion actuelle des baux</t>
  </si>
  <si>
    <t>Porzione attuale di locazioni</t>
  </si>
  <si>
    <t>현재 임대 부분</t>
  </si>
  <si>
    <t>Parcela Atual de Locações</t>
  </si>
  <si>
    <t>Peer 1</t>
  </si>
  <si>
    <t>同行 1</t>
  </si>
  <si>
    <t>Pares 1</t>
  </si>
  <si>
    <t>Vergleichsunternehmen 1</t>
  </si>
  <si>
    <t>homologues 1</t>
  </si>
  <si>
    <t>pari 1</t>
  </si>
  <si>
    <t>경쟁사 1</t>
  </si>
  <si>
    <t>Аналогичные компании 1</t>
  </si>
  <si>
    <t>Peer 2</t>
  </si>
  <si>
    <t>同行 2</t>
  </si>
  <si>
    <t>Pares 2</t>
  </si>
  <si>
    <t>Vergleichsunternehmen 2</t>
  </si>
  <si>
    <t>homologues 2</t>
  </si>
  <si>
    <t>pari 2</t>
  </si>
  <si>
    <t>경쟁사 2</t>
  </si>
  <si>
    <t>Аналогичные компании 2</t>
  </si>
  <si>
    <t>Peer 3</t>
  </si>
  <si>
    <t>同行 3</t>
  </si>
  <si>
    <t>Pares 3</t>
  </si>
  <si>
    <t>Vergleichsunternehmen 3</t>
  </si>
  <si>
    <t>homologues 3</t>
  </si>
  <si>
    <t>pari 3</t>
  </si>
  <si>
    <t>경쟁사 3</t>
  </si>
  <si>
    <t>Аналогичные компании 3</t>
  </si>
  <si>
    <t>Peer 4</t>
  </si>
  <si>
    <t>同行 4</t>
  </si>
  <si>
    <t>Pares 4</t>
  </si>
  <si>
    <t>Vergleichsunternehmen 4</t>
  </si>
  <si>
    <t>homologues 4</t>
  </si>
  <si>
    <t>pari 4</t>
  </si>
  <si>
    <t>경쟁사 4</t>
  </si>
  <si>
    <t>Аналогичные компании 4</t>
  </si>
  <si>
    <t>Peer 5</t>
  </si>
  <si>
    <t>同行 5</t>
  </si>
  <si>
    <t>Pares 5</t>
  </si>
  <si>
    <t>Vergleichsunternehmen 5</t>
  </si>
  <si>
    <t>homologues 5</t>
  </si>
  <si>
    <t>pari 5</t>
  </si>
  <si>
    <t>경쟁사 5</t>
  </si>
  <si>
    <t>Аналогичные компании 5</t>
  </si>
  <si>
    <t>Peer 6</t>
  </si>
  <si>
    <t>同行 6</t>
  </si>
  <si>
    <t>Pares 6</t>
  </si>
  <si>
    <t>Vergleichsunternehmen 6</t>
  </si>
  <si>
    <t>homologues 6</t>
  </si>
  <si>
    <t>pari 6</t>
  </si>
  <si>
    <t>경쟁사 6</t>
  </si>
  <si>
    <t>Аналогичные компании 6</t>
  </si>
  <si>
    <t>Auto-generated Peers</t>
  </si>
  <si>
    <t>自动生成的可比公司</t>
  </si>
  <si>
    <t>自動產生的可比公司</t>
  </si>
  <si>
    <t>自動生成されたピア</t>
  </si>
  <si>
    <t>Pares generados automáticamente</t>
  </si>
  <si>
    <t>Automatisch generierte Peers</t>
  </si>
  <si>
    <t>Pairs générés automatiquement</t>
  </si>
  <si>
    <t>Peer generati automaticamente</t>
  </si>
  <si>
    <t>자동 생성된 피어</t>
  </si>
  <si>
    <t>Автоматически сгенерированные пиры</t>
  </si>
  <si>
    <t>Pares gerados automaticamente</t>
  </si>
  <si>
    <t>Exclude or Override Peers</t>
  </si>
  <si>
    <t>排除或覆盖可比公司</t>
  </si>
  <si>
    <t>排除或覆蓋可比公司</t>
  </si>
  <si>
    <t>ピアを除外または上書き</t>
  </si>
  <si>
    <t>Excluir o anular pares</t>
  </si>
  <si>
    <t>Peers ausschließen oder überschreiben</t>
  </si>
  <si>
    <t>Exclure ou remplacer des pairs</t>
  </si>
  <si>
    <t>Escludi o sostituisci i peer</t>
  </si>
  <si>
    <t>피어 제외 또는 재정의</t>
  </si>
  <si>
    <t>Исключить или переопределить пиры</t>
  </si>
  <si>
    <t>Excluir ou substituir pares</t>
  </si>
  <si>
    <t>&gt;To exclude, put an asterisk (*) in their corresponding adjacent yellow cells.</t>
  </si>
  <si>
    <t>&gt;若要排除，请在其对应的相邻黄色单元格中输入星号 (*)。</t>
  </si>
  <si>
    <t>&gt;若要排除，請在其對應的相鄰黃色單元格中輸入星號 (*)。</t>
  </si>
  <si>
    <t>&gt;除外するには、対応する隣接する黄色のセルにアスタリスク (*) を入力します。</t>
  </si>
  <si>
    <t>&gt;Para excluir, coloque un asterisco (*) en las celdas amarillas adyacentes correspondientes.</t>
  </si>
  <si>
    <t>&gt;Zum Ausschließen setzen Sie ein Sternchen (*) in die entsprechenden angrenzenden gelben Zellen.</t>
  </si>
  <si>
    <t>&gt;Pour exclure, mettez un astérisque (*) dans les cellules jaunes adjacentes correspondantes.</t>
  </si>
  <si>
    <t>&gt;Per escludere, inserisci un asterisco (*) nelle celle gialle adiacenti corrispondenti.</t>
  </si>
  <si>
    <t>&gt;제외하려면 해당 인접한 노란색 셀에 별표(*)를 입력합니다.</t>
  </si>
  <si>
    <t>&gt;Чтобы исключить, поставьте звездочку (*) в соответствующих им соседних желтых ячейках.</t>
  </si>
  <si>
    <t>&gt;Para excluir, coloque um asterisco (*) nas células amarelas adjacentes correspondentes.</t>
  </si>
  <si>
    <t>&gt;To override, enter Trading Symbol &amp; Exchange of desired peers in their corresponding adjacent yellow cells.</t>
  </si>
  <si>
    <t>&gt;若要覆盖，请在其对应的相邻黄色单元格中输入所需同行的交易代码和交易所。</t>
  </si>
  <si>
    <t>&gt;若要覆蓋，請在其對應的相鄰黃色單元格中輸入所需同業的交易代碼和交易所。</t>
  </si>
  <si>
    <t>&gt;上書きするには、対応する隣接する黄色のセルに希望するピアの取引シンボルと取引所を入力します。</t>
  </si>
  <si>
    <t>&gt;Para anular, ingrese el símbolo comercial y la bolsa de los pares deseados en las celdas amarillas adyacentes correspondientes.</t>
  </si>
  <si>
    <t>&gt;Zum Überschreiben geben Sie das Handelssymbol und die Börse der gewünschten Peers in die entsprechenden angrenzenden gelben Zellen ein.</t>
  </si>
  <si>
    <t>&gt;Pour remplacer, entrez le symbole boursier et la bourse des pairs souhaités dans les cellules jaunes adjacentes correspondantes.</t>
  </si>
  <si>
    <t>&gt;Per sostituirli, inserisci il simbolo di trading e la borsa dei peer desiderati nelle celle gialle adiacenti corrispondenti.</t>
  </si>
  <si>
    <t>&gt;재정의하려면 해당 인접한 노란색 셀에 원하는 피어의 거래 기호 및 거래소를 입력합니다.</t>
  </si>
  <si>
    <t>&gt;Чтобы переопределить, введите торговый символ и биржу желаемых пиров в соответствующих им соседних желтых ячейках.</t>
  </si>
  <si>
    <t>&gt;Para substituir, insira o símbolo de negociação e a bolsa dos pares desejados nas células amarelas adjacentes correspondentes.</t>
  </si>
  <si>
    <t>(Sample format: NYSE:ORCL or BARC-LSE)</t>
  </si>
  <si>
    <t>（格式：NYSE:ORCL 或 BARC-LSE）</t>
  </si>
  <si>
    <t>(形式: NYSE:ORCL または BARC-LSE)</t>
  </si>
  <si>
    <t>(Formato: NYSE:ORCL o BARC-LSE)</t>
  </si>
  <si>
    <t>(Format: NYSE:ORCL oder BARC-LSE)</t>
  </si>
  <si>
    <t>(Format : NYSE:ORCL ou BARC-LSE)</t>
  </si>
  <si>
    <t>(형식: NYSE:ORCL 또는 BARC-LSE)</t>
  </si>
  <si>
    <t>(формата: NYSE:ORCL или BARC-LSE)</t>
  </si>
  <si>
    <t>(Formato: NYSE:ORCL ou BARC-LSE)</t>
  </si>
  <si>
    <t>Cost of Preferred Equity Manual Override ►</t>
  </si>
  <si>
    <t>Costo dell'equità privilegiata Override manuale ►</t>
  </si>
  <si>
    <t>&gt;Automatic peers are generated in Cells L22:L27.</t>
  </si>
  <si>
    <t>&gt;自动可比公司在单元格 L22:L27 中生成。</t>
  </si>
  <si>
    <t>&gt;自動可比公司在單元格 L22:L27 中產生。</t>
  </si>
  <si>
    <t>&gt;自動ピアはセル L22:L27 に生成されます。</t>
  </si>
  <si>
    <t>&gt;Los pares automáticos se generan en las celdas L22:L27.</t>
  </si>
  <si>
    <t>&gt;Automatische Peers werden in den Zellen L22:L27 generiert.</t>
  </si>
  <si>
    <t>&gt;Les pairs automatiques sont générés dans les cellules L22:L27.</t>
  </si>
  <si>
    <t>&gt;I peer automatici vengono generati nelle celle L22:L27.</t>
  </si>
  <si>
    <t>&gt;자동 피어는 셀 L22:L27에 생성됩니다.</t>
  </si>
  <si>
    <t>&gt;Автоматически пиры генерируются в ячейках L22:L27.</t>
  </si>
  <si>
    <t>&gt;Os pares automáticos são gerados nas células L22:L27.</t>
  </si>
  <si>
    <t>SPT2633671</t>
  </si>
  <si>
    <t>%</t>
  </si>
  <si>
    <t>5Y Australian Benchmark Note</t>
  </si>
  <si>
    <t>%SPT368</t>
  </si>
  <si>
    <t>5Y Austria Benchmark</t>
  </si>
  <si>
    <t>%SPT377</t>
  </si>
  <si>
    <t>5Y Belgium Benchmark Note</t>
  </si>
  <si>
    <t>%SPT389</t>
  </si>
  <si>
    <t>5Y Brazilian Benchmark Bond</t>
  </si>
  <si>
    <t>%SPT2602</t>
  </si>
  <si>
    <t>5Y Canadian Benchmark Note</t>
  </si>
  <si>
    <t>%SPT415</t>
  </si>
  <si>
    <t>5Y China Benchmark Bond</t>
  </si>
  <si>
    <t>%SPT427</t>
  </si>
  <si>
    <t>5Y Colombian Fixed Benchmark Bond</t>
  </si>
  <si>
    <t>%SPT434</t>
  </si>
  <si>
    <t>5Y Czech Republic Benchmark</t>
  </si>
  <si>
    <t>%SPT443</t>
  </si>
  <si>
    <t>5Y Denmark Benchmark Note</t>
  </si>
  <si>
    <t>%SPT455</t>
  </si>
  <si>
    <t>5Y Eurozone Benchmark</t>
  </si>
  <si>
    <t>%SPT467</t>
  </si>
  <si>
    <t>5Y Finland Benchmark</t>
  </si>
  <si>
    <t>%SPT479</t>
  </si>
  <si>
    <t>5Y French Benchmark Note</t>
  </si>
  <si>
    <t>%SPT491</t>
  </si>
  <si>
    <t>5Y German Benchmark Note</t>
  </si>
  <si>
    <t>%SPT506</t>
  </si>
  <si>
    <t>5Y Greece Benchmark</t>
  </si>
  <si>
    <t>%SPT516</t>
  </si>
  <si>
    <t>5Y Holland Benchmark Note</t>
  </si>
  <si>
    <t>%SPT642</t>
  </si>
  <si>
    <t>5Y Hong Kong Benchmark Bond</t>
  </si>
  <si>
    <t>%SPT529</t>
  </si>
  <si>
    <t>5Y India Benchmark Bond</t>
  </si>
  <si>
    <t>%SPT545</t>
  </si>
  <si>
    <t>5Y Indonesia Benchmark Bond</t>
  </si>
  <si>
    <t>%SPT555</t>
  </si>
  <si>
    <t>5Y Irish Benchmark Note</t>
  </si>
  <si>
    <t>%SPT562</t>
  </si>
  <si>
    <t>5Y Israel Benchmark</t>
  </si>
  <si>
    <t>%SPT569</t>
  </si>
  <si>
    <t>5Y Italian Benchmark Note</t>
  </si>
  <si>
    <t>%SPT578</t>
  </si>
  <si>
    <t>5Y Japanese Benchmark Note</t>
  </si>
  <si>
    <t>%SPT592</t>
  </si>
  <si>
    <t>5Y Kenya Benchmark</t>
  </si>
  <si>
    <t>%SPT605</t>
  </si>
  <si>
    <t>5Y Malaysia Benchmark Bond</t>
  </si>
  <si>
    <t>%SPT622</t>
  </si>
  <si>
    <t>5Y Mexican Benchmark Bond</t>
  </si>
  <si>
    <t>%SPT631</t>
  </si>
  <si>
    <t>5Y New Zealand Benchmark Note</t>
  </si>
  <si>
    <t>%SPT653</t>
  </si>
  <si>
    <t>5Y Norwegian Benchmark Note</t>
  </si>
  <si>
    <t>%SPT659</t>
  </si>
  <si>
    <t>5Y Philippines Benchmark Bond</t>
  </si>
  <si>
    <t>%SPT668</t>
  </si>
  <si>
    <t>5Y Portuguese Benchmark Bond</t>
  </si>
  <si>
    <t>%SPT685</t>
  </si>
  <si>
    <t>5Y Russia Benchmark</t>
  </si>
  <si>
    <t>%SPT696</t>
  </si>
  <si>
    <t>5Y Singapore Benchmark Bond</t>
  </si>
  <si>
    <t>%SPT703</t>
  </si>
  <si>
    <t>5Y South Korea Benchmark Bond</t>
  </si>
  <si>
    <t>%SPT617</t>
  </si>
  <si>
    <t>5Y Spanish Benchmark Note</t>
  </si>
  <si>
    <t>%SPT727</t>
  </si>
  <si>
    <t>5Y Swedish Benchmark Note</t>
  </si>
  <si>
    <t>%SPT741</t>
  </si>
  <si>
    <t>5Y Switzerland</t>
  </si>
  <si>
    <t>%SPT747</t>
  </si>
  <si>
    <t>5Y Taiwan Bond</t>
  </si>
  <si>
    <t>%SPT757</t>
  </si>
  <si>
    <t>5Y Thailand Bond</t>
  </si>
  <si>
    <t>%SPT761</t>
  </si>
  <si>
    <t>5Y Turkey Benchmark</t>
  </si>
  <si>
    <t>%SPT769</t>
  </si>
  <si>
    <t>5Y UK Benchmark Note</t>
  </si>
  <si>
    <t>%SPT777</t>
  </si>
  <si>
    <t>5Y US T-Note</t>
  </si>
  <si>
    <t>%SPT6</t>
  </si>
  <si>
    <t>5Y Vietnam Benchmark</t>
  </si>
  <si>
    <t>%SPT801</t>
  </si>
  <si>
    <t>10y Australian Benchmark Note</t>
  </si>
  <si>
    <t>%SPT371</t>
  </si>
  <si>
    <t>10y Austria Benchmark</t>
  </si>
  <si>
    <t>%SPT382</t>
  </si>
  <si>
    <t>10y Belgium Benchmark Note</t>
  </si>
  <si>
    <t>%SPT394</t>
  </si>
  <si>
    <t>10y Brazilian Benchmark Bond</t>
  </si>
  <si>
    <t>%SPT402</t>
  </si>
  <si>
    <t>10y Canadian Benchmark Note</t>
  </si>
  <si>
    <t>%SPT417</t>
  </si>
  <si>
    <t>10y China Benchmark Bond</t>
  </si>
  <si>
    <t>%SPT429</t>
  </si>
  <si>
    <t>10y Colombian Fixed Benchmark Bond</t>
  </si>
  <si>
    <t>%SPT435</t>
  </si>
  <si>
    <t>10y Czech Republic Benchmark</t>
  </si>
  <si>
    <t>%SPT447</t>
  </si>
  <si>
    <t>10y Denmark Benchmark Note</t>
  </si>
  <si>
    <t>%SPT457</t>
  </si>
  <si>
    <t>10y Eurozone Benchmark</t>
  </si>
  <si>
    <t>%SPT472</t>
  </si>
  <si>
    <t>10y Finland Benchmark</t>
  </si>
  <si>
    <t>%SPT482</t>
  </si>
  <si>
    <t>10y French Benchmark Note</t>
  </si>
  <si>
    <t>%SPT496</t>
  </si>
  <si>
    <t>10y German Benchmark Note</t>
  </si>
  <si>
    <t>%SPT511</t>
  </si>
  <si>
    <t>10y Greek Benchmark Note</t>
  </si>
  <si>
    <t>%SPT517</t>
  </si>
  <si>
    <t>10y Holland Benchmark Note</t>
  </si>
  <si>
    <t>%SPT647</t>
  </si>
  <si>
    <t>10y Hong Kong Benchmark Bond</t>
  </si>
  <si>
    <t>%SPT531</t>
  </si>
  <si>
    <t>10y India Benchmark Bond</t>
  </si>
  <si>
    <t>%SPT550</t>
  </si>
  <si>
    <t>10y Indonesia Benchmark Bond</t>
  </si>
  <si>
    <t>%SPT556</t>
  </si>
  <si>
    <t>10y Irish Benchmark Bond</t>
  </si>
  <si>
    <t>%SPT564</t>
  </si>
  <si>
    <t>10y Israel Benchmark</t>
  </si>
  <si>
    <t>%SPT570</t>
  </si>
  <si>
    <t>10y Italian Benchmark Note</t>
  </si>
  <si>
    <t>%SPT583</t>
  </si>
  <si>
    <t>10y Japanese Benchmark Note</t>
  </si>
  <si>
    <t>%SPT597</t>
  </si>
  <si>
    <t>10y Kenya Benchmark</t>
  </si>
  <si>
    <t>%SPT610</t>
  </si>
  <si>
    <t>10y Malaysia Benchmark Bond</t>
  </si>
  <si>
    <t>%SPT623</t>
  </si>
  <si>
    <t>10y Mexican Benchmark Bond</t>
  </si>
  <si>
    <t>%SPT633</t>
  </si>
  <si>
    <t>10y New Zealand Benchmark Note</t>
  </si>
  <si>
    <t>%SPT655</t>
  </si>
  <si>
    <t>10y Norwegian Benchmark Note</t>
  </si>
  <si>
    <t>%SPT660</t>
  </si>
  <si>
    <t>10y Philippines Benchmark Bond</t>
  </si>
  <si>
    <t>%SPT670</t>
  </si>
  <si>
    <t>10y Portuguese Benchmark Bond</t>
  </si>
  <si>
    <t>%SPT689</t>
  </si>
  <si>
    <t>10y Russia Benchmark</t>
  </si>
  <si>
    <t>%SPT697</t>
  </si>
  <si>
    <t>10y Singapore Benchmark Bond</t>
  </si>
  <si>
    <t>%SPT704</t>
  </si>
  <si>
    <t>10y South Korea Benchmark Bond</t>
  </si>
  <si>
    <t>%SPT618</t>
  </si>
  <si>
    <t>10y Spanish Benchmark Note</t>
  </si>
  <si>
    <t>%SPT732</t>
  </si>
  <si>
    <t>10y Swedish Benchmark Note</t>
  </si>
  <si>
    <t>%SPT742</t>
  </si>
  <si>
    <t>%SPT752</t>
  </si>
  <si>
    <t>%SPT758</t>
  </si>
  <si>
    <t>%SPT763</t>
  </si>
  <si>
    <t>10y Turkey Benchmark</t>
  </si>
  <si>
    <t>%SPT770</t>
  </si>
  <si>
    <t>10y UK Benchmark Note</t>
  </si>
  <si>
    <t>%SPT782</t>
  </si>
  <si>
    <t>%SPT7</t>
  </si>
  <si>
    <t>10y Vietnam Benchmark</t>
  </si>
  <si>
    <t>%SPT803</t>
  </si>
  <si>
    <t>BONDS</t>
  </si>
  <si>
    <t>PREFERRED</t>
  </si>
  <si>
    <t>As of today</t>
  </si>
  <si>
    <t>As of input date</t>
  </si>
  <si>
    <t>Final Cost of Debt</t>
  </si>
  <si>
    <t>Final Cost of Pref</t>
  </si>
  <si>
    <t>Issue Date</t>
  </si>
  <si>
    <t>Rank</t>
  </si>
  <si>
    <t>SPT313329942</t>
  </si>
  <si>
    <t>SPT32199760</t>
  </si>
  <si>
    <t>SPT46518931</t>
  </si>
  <si>
    <t>SPT20246648</t>
  </si>
  <si>
    <t>SPT50960038</t>
  </si>
  <si>
    <t>SPT313329945</t>
  </si>
  <si>
    <t>SPT128679647</t>
  </si>
  <si>
    <t>SPT316513090</t>
  </si>
  <si>
    <t>SPT20246501</t>
  </si>
  <si>
    <t>SPT50959996</t>
  </si>
  <si>
    <t>SPT36315062</t>
  </si>
  <si>
    <t>SPT316510417</t>
  </si>
  <si>
    <t>SPT313329951</t>
  </si>
  <si>
    <t>SPT54808132</t>
  </si>
  <si>
    <t>Cyprus General Index</t>
  </si>
  <si>
    <t>SPT61940193</t>
  </si>
  <si>
    <t>^DJIA</t>
  </si>
  <si>
    <t>SPT714907055</t>
  </si>
  <si>
    <t>SPT267186009</t>
  </si>
  <si>
    <t>SPT50960014</t>
  </si>
  <si>
    <t>SPT49951630</t>
  </si>
  <si>
    <t>SPT39658826</t>
  </si>
  <si>
    <t>SPT20923777</t>
  </si>
  <si>
    <t>SPT183805277</t>
  </si>
  <si>
    <t>SPT59644231</t>
  </si>
  <si>
    <t>Ghana GSE Composite Index</t>
  </si>
  <si>
    <t>SPT133201717</t>
  </si>
  <si>
    <t>SPT32199814</t>
  </si>
  <si>
    <t>SPT20246513</t>
  </si>
  <si>
    <t>SPT20246537</t>
  </si>
  <si>
    <t>^IBrX</t>
  </si>
  <si>
    <t>SPT20246462</t>
  </si>
  <si>
    <t>IGBC General Index</t>
  </si>
  <si>
    <t>SPT45746929</t>
  </si>
  <si>
    <t>SPT20246531</t>
  </si>
  <si>
    <t>SPT20246636</t>
  </si>
  <si>
    <t>ISE National All Shares 100</t>
  </si>
  <si>
    <t>SPT61995469</t>
  </si>
  <si>
    <t>SPT20246504</t>
  </si>
  <si>
    <t>SPT32199976</t>
  </si>
  <si>
    <t>Jamaica JSE All Share Index</t>
  </si>
  <si>
    <t>SPT333998460</t>
  </si>
  <si>
    <t>Jordan General</t>
  </si>
  <si>
    <t>SPT50960044</t>
  </si>
  <si>
    <t>Kenya NSE 20</t>
  </si>
  <si>
    <t>SPT50960035</t>
  </si>
  <si>
    <t>SPT33154426</t>
  </si>
  <si>
    <t>SPT316748793</t>
  </si>
  <si>
    <t>SPT62097165</t>
  </si>
  <si>
    <t>SPT228282419</t>
  </si>
  <si>
    <t>SPT50960008</t>
  </si>
  <si>
    <t>SPT316748545</t>
  </si>
  <si>
    <t>SPT380400690</t>
  </si>
  <si>
    <t>SPT380401372</t>
  </si>
  <si>
    <t>SPT380401515</t>
  </si>
  <si>
    <t>SPT380326020</t>
  </si>
  <si>
    <t>SPT380401179</t>
  </si>
  <si>
    <t>SPT50960026</t>
  </si>
  <si>
    <t>SPT2632568</t>
  </si>
  <si>
    <t>NASDAQ Financial</t>
  </si>
  <si>
    <t>SPT2632586</t>
  </si>
  <si>
    <t>Nigeria Stock Exchange All Shares Index</t>
  </si>
  <si>
    <t>SPT50960032</t>
  </si>
  <si>
    <t>SPT2634362</t>
  </si>
  <si>
    <t>SPT9777507</t>
  </si>
  <si>
    <t>SPT62111226</t>
  </si>
  <si>
    <t>SPT20246492</t>
  </si>
  <si>
    <t>SPT20246585</t>
  </si>
  <si>
    <t>SPT49951591</t>
  </si>
  <si>
    <t>SPT20246639</t>
  </si>
  <si>
    <t>SPT49951588</t>
  </si>
  <si>
    <t>SPT20246627</t>
  </si>
  <si>
    <t>SPT62504296</t>
  </si>
  <si>
    <t>SPT316748991</t>
  </si>
  <si>
    <t>SPT61940088</t>
  </si>
  <si>
    <t>SPT20246555</t>
  </si>
  <si>
    <t>SPT273484572</t>
  </si>
  <si>
    <t>SPT50960050</t>
  </si>
  <si>
    <t>SPT50026349</t>
  </si>
  <si>
    <t>SPT7653251</t>
  </si>
  <si>
    <t>SPT2596108</t>
  </si>
  <si>
    <t>SPT7674218</t>
  </si>
  <si>
    <t>SPT2589761</t>
  </si>
  <si>
    <t>SPT2653595</t>
  </si>
  <si>
    <t>SPT2596138</t>
  </si>
  <si>
    <t>SPT20246597</t>
  </si>
  <si>
    <t>SPT2658555</t>
  </si>
  <si>
    <t>SPT50026361</t>
  </si>
  <si>
    <t>SPT38807259</t>
  </si>
  <si>
    <t>SPT38807262</t>
  </si>
  <si>
    <t>SPT20246573</t>
  </si>
  <si>
    <t>SPT50959999</t>
  </si>
  <si>
    <t>SPT50960005</t>
  </si>
  <si>
    <t>SPT140310543</t>
  </si>
  <si>
    <t>SPT36315065</t>
  </si>
  <si>
    <t>SPT226680644</t>
  </si>
  <si>
    <t>SPT20246540</t>
  </si>
  <si>
    <t>SPT20246522</t>
  </si>
  <si>
    <t>SPT313322890</t>
  </si>
  <si>
    <t>SPT316748687</t>
  </si>
  <si>
    <t>TUNINDEX</t>
  </si>
  <si>
    <t>SPT545618100</t>
  </si>
  <si>
    <t>SPT228282347</t>
  </si>
  <si>
    <t>SPT50960047</t>
  </si>
  <si>
    <t>SPT20246534</t>
  </si>
  <si>
    <t>SPT316510882</t>
  </si>
  <si>
    <t>SPT50959981</t>
  </si>
  <si>
    <t>SPT274615812</t>
  </si>
  <si>
    <t>Initial check:</t>
  </si>
  <si>
    <t>初步检查：</t>
  </si>
  <si>
    <t>初步檢查：</t>
  </si>
  <si>
    <t>初期確認:</t>
  </si>
  <si>
    <t>Comprobación inicial:</t>
  </si>
  <si>
    <t>Erstkontrolle:</t>
  </si>
  <si>
    <t>Vérification initiale:</t>
  </si>
  <si>
    <t>Controllo iniziale:</t>
  </si>
  <si>
    <t>초기 확인:</t>
  </si>
  <si>
    <t>Первичная проверка:</t>
  </si>
  <si>
    <t>Verificação inicial:</t>
  </si>
  <si>
    <t>Final Peer List:</t>
  </si>
  <si>
    <t>最终可比公司名单：</t>
  </si>
  <si>
    <t>最終可比公司名單：</t>
  </si>
  <si>
    <t>最終ピアリスト:</t>
  </si>
  <si>
    <t>Lista final de pares:</t>
  </si>
  <si>
    <t>Endgültige Peer-Liste:</t>
  </si>
  <si>
    <t>Liste finale des pairs :</t>
  </si>
  <si>
    <t>Elenco finale dei pari:</t>
  </si>
  <si>
    <t>최종 피어 리스트:</t>
  </si>
  <si>
    <t>Окончательный список коллег:</t>
  </si>
  <si>
    <t>Bottom-Up-Beta</t>
  </si>
  <si>
    <t>Bêta ascendante</t>
  </si>
  <si>
    <t xml:space="preserve">Beta bottom-up </t>
  </si>
  <si>
    <t>바텀업 (Bottom-Up) 베타</t>
  </si>
  <si>
    <t>Regression Beta</t>
  </si>
  <si>
    <t>Bêta de régression</t>
  </si>
  <si>
    <t>Beta di regressione</t>
  </si>
  <si>
    <t>회기분석 Beta</t>
  </si>
  <si>
    <t>DAX (Performance)</t>
  </si>
  <si>
    <t>SPT20923780</t>
  </si>
  <si>
    <t>YTW/YTM</t>
  </si>
  <si>
    <t>YTW</t>
  </si>
  <si>
    <t>YTM</t>
  </si>
  <si>
    <t>Coupon</t>
  </si>
  <si>
    <t>Sensitivity Analysis Steps</t>
  </si>
  <si>
    <t xml:space="preserve">债务/(债务+优先股+权益) </t>
  </si>
  <si>
    <t xml:space="preserve">权益/(债务+优先股+权益) </t>
  </si>
  <si>
    <t xml:space="preserve">債務/(債務+優先股+權益) </t>
  </si>
  <si>
    <t xml:space="preserve">權益/(債務+優先股+權益) </t>
  </si>
  <si>
    <t>税引前負債コスト</t>
  </si>
  <si>
    <t>有利子負債／（有利子負債＋優先株式＋株主資本）</t>
  </si>
  <si>
    <t>自己資本コスト</t>
  </si>
  <si>
    <t>株主資本 / (有利子負債 + 優先株式 + 株主資本)</t>
  </si>
  <si>
    <t>D / (D + P + C)</t>
  </si>
  <si>
    <t>C / (D + P + C)</t>
  </si>
  <si>
    <t>S / (S + V + E)</t>
  </si>
  <si>
    <t>E / (S + V + E)</t>
  </si>
  <si>
    <t xml:space="preserve">D/(D + P + C) </t>
  </si>
  <si>
    <t>E/(D+P+C)</t>
  </si>
  <si>
    <t>E / (D + P + C)</t>
  </si>
  <si>
    <t xml:space="preserve">세전부채비용 </t>
  </si>
  <si>
    <t xml:space="preserve">자본비용 </t>
  </si>
  <si>
    <t>стоимость заемного капитала до уплаты налогов.</t>
  </si>
  <si>
    <t>стоимости собственного капитала</t>
  </si>
  <si>
    <t>敏感性分析步骤</t>
  </si>
  <si>
    <t>敏感度分析步驟</t>
  </si>
  <si>
    <t>Pasos del análisis de sensibilidad</t>
  </si>
  <si>
    <t>Schritte der Sensitivitätsanalyse</t>
  </si>
  <si>
    <t>Étapes de l'analyse de sensibilité</t>
  </si>
  <si>
    <t>Fasi dell'analisi di sensibilità</t>
  </si>
  <si>
    <t>민감도 분석 단계</t>
  </si>
  <si>
    <t>Etapas da Análise de Sensibilidade</t>
  </si>
  <si>
    <t>感度分析のステップ</t>
  </si>
  <si>
    <t>Шаг анализа чувствительности</t>
  </si>
  <si>
    <t>Portuguese</t>
  </si>
  <si>
    <t>Inglês</t>
  </si>
  <si>
    <t>Chinês simplificado</t>
  </si>
  <si>
    <t>Chinês tradicional</t>
  </si>
  <si>
    <t>Japonês</t>
  </si>
  <si>
    <t>Espanhol</t>
  </si>
  <si>
    <t>Alemão</t>
  </si>
  <si>
    <t>Francês</t>
  </si>
  <si>
    <t>Russa</t>
  </si>
  <si>
    <t>Português</t>
  </si>
  <si>
    <t>This model contains VBA macros, which require specific settings to be enabled to function.</t>
  </si>
  <si>
    <t>此模型包含 VBA 宏，需要启用特定设置才能正常运行。</t>
  </si>
  <si>
    <t>此模型包含 VBA 巨集，需要啟用特定設定才能正常運作。</t>
  </si>
  <si>
    <t>このモデルには VBA マクロが含まれており、機能させるには特定の設定を有効にする必要があります。</t>
  </si>
  <si>
    <t>Este modelo contiene macros de VBA, que requieren que se habiliten configuraciones específicas para funcionar.</t>
  </si>
  <si>
    <t>Dieses Modell enthält VBA-Makros, für deren Funktion bestimmte Einstellungen aktiviert werden müssen.</t>
  </si>
  <si>
    <t>Ce modèle contient des macros VBA, qui nécessitent l’activation de paramètres spécifiques pour fonctionner.</t>
  </si>
  <si>
    <t>Questo modello contiene macro VBA, che richiedono l’abilitazione di impostazioni specifiche per funzionare.</t>
  </si>
  <si>
    <t>이 모델에는 VBA 매크로가 포함되어 있으며, 정상적으로 작동하려면 특정 설정을 활성화해야 합니다.</t>
  </si>
  <si>
    <t>Эта модель содержит макросы VBA, для работы которых необходимо включить определённые параметры.</t>
  </si>
  <si>
    <t>Este modelo contém macros VBA, que exigem que configurações específicas sejam habilitadas para funcionar.</t>
  </si>
  <si>
    <t>This model contains ActiveX components, which require specific settings to be enabled to function.</t>
  </si>
  <si>
    <t>此模型包含 ActiveX 组件，需要启用特定设置才能正常运行。</t>
  </si>
  <si>
    <t>此模型包含 ActiveX 元件，需要啟用特定設定才能正常運作。</t>
  </si>
  <si>
    <t>このモデルには ActiveX コンポーネントが含まれており、機能させるには特定の設定を有効にする必要があります</t>
  </si>
  <si>
    <t>Este modelo contiene componentes ActiveX, que requieren que se habiliten configuraciones específicas para funcionar.</t>
  </si>
  <si>
    <t>Dieses Modell enthält ActiveX-Komponenten, für deren Funktion bestimmte Einstellungen aktiviert werden müssen.</t>
  </si>
  <si>
    <t>Ce modèle contient des composants ActiveX, qui nécessitent l’activation de paramètres spécifiques pour fonctionner.</t>
  </si>
  <si>
    <t>Questo modello contiene componenti ActiveX, che richiedono l’abilitazione di impostazioni specifiche per funzionare.</t>
  </si>
  <si>
    <t>이 모델에는 ActiveX 구성 요소가 포함되어 있으며, 정상적으로 작동하려면 특정 설정을 활성화해야 합니다.</t>
  </si>
  <si>
    <t>Эта модель содержит компоненты ActiveX, для работы которых необходимо включить определённые параметры.</t>
  </si>
  <si>
    <t>Este modelo contém componentes ActiveX, que exigem que configurações específicas sejam habilitadas para funcionar.</t>
  </si>
  <si>
    <t>This model contains ActiveX components and VBA macros, which require specific settings to be enabled to function.</t>
  </si>
  <si>
    <t>此模型包含 ActiveX 组件和 VBA 宏，需要启用特定设置才能正常运行。</t>
  </si>
  <si>
    <t>此模型包含 ActiveX 元件和 VBA 巨集，需要啟用特定設定才能正常運作。</t>
  </si>
  <si>
    <t>このモデルには ActiveX コンポーネントと VBA マクロが含まれており、機能させるには特定の設定を有効にする必要があります。</t>
  </si>
  <si>
    <t>Este modelo contiene componentes ActiveX y macros de VBA, que requieren que se habiliten configuraciones específicas para funcionar.</t>
  </si>
  <si>
    <t>Dieses Modell enthält ActiveX-Komponenten und VBA-Makros, für deren Funktion bestimmte Einstellungen aktiviert werden müssen.</t>
  </si>
  <si>
    <t>Ce modèle contient des composants ActiveX et des macros VBA, qui nécessitent l’activation de paramètres spécifiques pour fonctionner.</t>
  </si>
  <si>
    <t>Questo modello contiene componenti ActiveX e macro VBA, che richiedono l’abilitazione di impostazioni specifiche per funzionare.</t>
  </si>
  <si>
    <t>이 모델에는 ActiveX 구성 요소와 VBA 매크로가 포함되어 있으며, 정상적으로 작동하려면 특정 설정을 활성화해야 합니다.</t>
  </si>
  <si>
    <t>Эта модель содержит компоненты ActiveX и макросы VBA, для работы которых необходимо включить определённые параметры.</t>
  </si>
  <si>
    <t>Este modelo contém componentes ActiveX e macros VBA, que exigem que configurações específicas sejam habilitadas para funcionar.</t>
  </si>
  <si>
    <r>
      <t xml:space="preserve">Go to </t>
    </r>
    <r>
      <rPr>
        <b/>
        <sz val="8"/>
        <color rgb="FF000000"/>
        <rFont val="Arial"/>
        <family val="2"/>
      </rPr>
      <t>File → Options → Trust Center → Trust Center Settings → Macro Settings</t>
    </r>
    <r>
      <rPr>
        <sz val="8"/>
        <color rgb="FF000000"/>
        <rFont val="Arial"/>
        <family val="2"/>
      </rPr>
      <t xml:space="preserve">, select </t>
    </r>
    <r>
      <rPr>
        <b/>
        <sz val="8"/>
        <color rgb="FF000000"/>
        <rFont val="Arial"/>
        <family val="2"/>
      </rPr>
      <t>Enable VBA macros</t>
    </r>
    <r>
      <rPr>
        <sz val="8"/>
        <color rgb="FF000000"/>
        <rFont val="Arial"/>
        <family val="2"/>
      </rPr>
      <t xml:space="preserve"> </t>
    </r>
    <r>
      <rPr>
        <b/>
        <sz val="8"/>
        <color rgb="FF000000"/>
        <rFont val="Arial"/>
        <family val="2"/>
      </rPr>
      <t>→ OK</t>
    </r>
    <r>
      <rPr>
        <sz val="8"/>
        <color rgb="FF000000"/>
        <rFont val="Arial"/>
        <family val="2"/>
      </rPr>
      <t>, then restart Excel and reopen the file.</t>
    </r>
  </si>
  <si>
    <t>Total Revenue % Growth</t>
  </si>
  <si>
    <t>Operating Margin</t>
  </si>
  <si>
    <t>Capex as % Sales</t>
  </si>
  <si>
    <t>Indicator►</t>
  </si>
  <si>
    <t>Reverse Discounted Cash Flow</t>
  </si>
  <si>
    <t xml:space="preserve">             </t>
  </si>
  <si>
    <t>Operating Income</t>
  </si>
  <si>
    <t>Less:Taxes</t>
  </si>
  <si>
    <t>NOPAT</t>
  </si>
  <si>
    <t>D&amp;A % Capex</t>
  </si>
  <si>
    <t>Less:Capex</t>
  </si>
  <si>
    <t>Less: Increase in Net Working Capital</t>
  </si>
  <si>
    <t>Free Cash Flow</t>
  </si>
  <si>
    <t>Discount Factor</t>
  </si>
  <si>
    <t>Present Value of Free Cash Flow</t>
  </si>
  <si>
    <t>Accounts Recievable</t>
  </si>
  <si>
    <t xml:space="preserve">Receivable Days </t>
  </si>
  <si>
    <t>COGS</t>
  </si>
  <si>
    <t xml:space="preserve">  </t>
  </si>
  <si>
    <t>WACC Rate</t>
  </si>
  <si>
    <t>FCF Terminal Growth Rate</t>
  </si>
  <si>
    <t xml:space="preserve">Present Value </t>
  </si>
  <si>
    <t>FCFF Terminal Growth Rate</t>
  </si>
  <si>
    <t>Final Year FCF*(1+g)</t>
  </si>
  <si>
    <t>Terminal Value</t>
  </si>
  <si>
    <t>PV of terminal Value</t>
  </si>
  <si>
    <t xml:space="preserve">Equity value </t>
  </si>
  <si>
    <t xml:space="preserve">Outstanding Diluted shares </t>
  </si>
  <si>
    <t>Implied Share price</t>
  </si>
  <si>
    <t>The growth rate updates based on the indicator selected.</t>
  </si>
  <si>
    <t>Based on this:</t>
  </si>
  <si>
    <t>REVERSE DISCOUNTED CASH FLOWS OVERVEIW</t>
  </si>
  <si>
    <t xml:space="preserve">Reverse Discounted Cash Flows </t>
  </si>
  <si>
    <t>SPS384093299</t>
  </si>
  <si>
    <t>SPS1859817340</t>
  </si>
  <si>
    <t>SPS1859817339</t>
  </si>
  <si>
    <t>SPS1859279478</t>
  </si>
  <si>
    <t>SPS1859277727</t>
  </si>
  <si>
    <t>SPS418495085</t>
  </si>
  <si>
    <t>SPS1859277728</t>
  </si>
  <si>
    <t>SPS1859279479</t>
  </si>
  <si>
    <t>SPS1859817342</t>
  </si>
  <si>
    <t>SPS431859132</t>
  </si>
  <si>
    <t>SPS252435093</t>
  </si>
  <si>
    <t>SPS1859279480</t>
  </si>
  <si>
    <t>SPS1859817343</t>
  </si>
  <si>
    <t>SPS682212371</t>
  </si>
  <si>
    <t>SPS1859277729</t>
  </si>
  <si>
    <t>SPS1859817344</t>
  </si>
  <si>
    <t>SPS237632041</t>
  </si>
  <si>
    <t>SPS284695193</t>
  </si>
  <si>
    <t>SPS315524436</t>
  </si>
  <si>
    <t>SPS378529618</t>
  </si>
  <si>
    <t>SPS418495086</t>
  </si>
  <si>
    <t>SPS59044246</t>
  </si>
  <si>
    <t>SPS113680599</t>
  </si>
  <si>
    <t>SPS119133222</t>
  </si>
  <si>
    <t>SPS223932660</t>
  </si>
  <si>
    <t>SPS237631262</t>
  </si>
  <si>
    <t>SPS252494420</t>
  </si>
  <si>
    <t>SPS284695194</t>
  </si>
  <si>
    <t>SPS315524437</t>
  </si>
  <si>
    <t>SPS378529621</t>
  </si>
  <si>
    <t>SPS418495084</t>
  </si>
  <si>
    <t>SPS1859817345</t>
  </si>
  <si>
    <t>SPS1859817346</t>
  </si>
  <si>
    <t>SPS1859277730</t>
  </si>
  <si>
    <t>SPS431859180</t>
  </si>
  <si>
    <t>SPS1859279481</t>
  </si>
  <si>
    <t>SPS666635733</t>
  </si>
  <si>
    <t>SPS1859279482</t>
  </si>
  <si>
    <t>SPS1859277731</t>
  </si>
  <si>
    <t>SPS1859817348</t>
  </si>
  <si>
    <t>SPS682212372</t>
  </si>
  <si>
    <t>SPS704712755</t>
  </si>
  <si>
    <t>SPS284695195</t>
  </si>
  <si>
    <t>SPS315524411</t>
  </si>
  <si>
    <t>SPS378529622</t>
  </si>
  <si>
    <t>SPS418495087</t>
  </si>
  <si>
    <t>SPS666635734</t>
  </si>
  <si>
    <t>SPS704712747</t>
  </si>
  <si>
    <t>SPS109697187</t>
  </si>
  <si>
    <t>FCFF= NOPAT+ Depreciation &amp; Amortization- Capex-Change in Net working Capital.</t>
  </si>
  <si>
    <t>Discount Factor = Prior Year Discounted Factor / (1 + WACC).</t>
  </si>
  <si>
    <t>Each year's FCFF is discounted using a discount factor :</t>
  </si>
  <si>
    <t>The first step calculates the free cash flow as -</t>
  </si>
  <si>
    <t>Terminal FCFF:Final Year FCFF × (1 + Terminal Growth Rate) (Cell O24)</t>
  </si>
  <si>
    <t>Terminal value in the final year = Terminal FCFF/ (WACC- FCFF terminal growth rate) (cell O25).</t>
  </si>
  <si>
    <t>Present Value of Terminal Value = Terminal Value / (1 + WACC) ^ Discount Factor (cell O26)</t>
  </si>
  <si>
    <t>Enterprise Value = Present value of FCFFs+ Present value of Terminal value (Cell O27)</t>
  </si>
  <si>
    <t>Equity Value = Enterprise Value- Net Debt ( Cell O28)</t>
  </si>
  <si>
    <t>Implied Share Price= Equity Value/ Outstanding Diluted shares ( Cell O34)</t>
  </si>
  <si>
    <t>After selection, the model automatically works out the implied value for that indicator. The Impute button runs a Goal Seek analysis to solve for the growth rate or margin implied by the current stock price.</t>
  </si>
  <si>
    <t xml:space="preserve">The indicators include-:a) Total Revenue % Growth </t>
  </si>
  <si>
    <t xml:space="preserve">                                     b) Operating Margin</t>
  </si>
  <si>
    <t xml:space="preserve">                                     c) Capex as % of Sales </t>
  </si>
  <si>
    <t>Reverse DCF is a valuation approach used to estimate the growth rate implied by the current stock price. In simple terms, the growth rate or margins are derived by equating the implied valuation to the current market price, while a standard DCF gives the intrinsic value based on projected future cash flows.</t>
  </si>
  <si>
    <t>Reverse DCF is a valuation approach used to estimate the growth rate implied by the current stock price.</t>
  </si>
  <si>
    <t>In simple terms, the growth rate or margins are derived by equating the implied valuation to the current market price, while a standard DCF gives the intrinsic value based on projected future cash flows.</t>
  </si>
  <si>
    <t>Step 1: Modify the highlighted inputs below, as desired.</t>
  </si>
  <si>
    <t>Step 2:Select Indicator to be Adjusted by Imputation and REFRESH in the DCF tab.</t>
  </si>
  <si>
    <t>Step 3: Click on the IMPUTE button to get the Growth Rate/Margin.</t>
  </si>
  <si>
    <t>Other Assets</t>
  </si>
  <si>
    <t>Accrued Liablities</t>
  </si>
  <si>
    <t>Other Liablities</t>
  </si>
  <si>
    <t>Total Non-Debt Current Liablities</t>
  </si>
  <si>
    <t>Net Working Capital</t>
  </si>
  <si>
    <t>Present Value</t>
  </si>
  <si>
    <t>Stock Price</t>
  </si>
  <si>
    <t>Outstanding Diluted shares</t>
  </si>
  <si>
    <t>Net Debt</t>
  </si>
  <si>
    <t>步骤 1：根据需要修改下方突出显示的输入项。</t>
  </si>
  <si>
    <t>步驟 1：根據需要修改下方突出顯示的輸入項。</t>
  </si>
  <si>
    <t>ステップ 1：必要に応じて、以下のハイライトされた入力項目を変更します。</t>
  </si>
  <si>
    <t>Paso 1: Modifique las entradas resaltadas a continuación, según sea necesario.</t>
  </si>
  <si>
    <t>Schritt 1: Ändern Sie die hervorgehobenen Eingaben unten nach Bedarf.</t>
  </si>
  <si>
    <t>Étape 1 : Modifiez les entrées surlignées ci-dessous, selon vos besoins.</t>
  </si>
  <si>
    <t>Passo 1: Modificare gli input evidenziati qui sotto, come desiderato.</t>
  </si>
  <si>
    <t>1단계: 필요에 따라 아래 강조 표시된 입력값을 수정합니다.</t>
  </si>
  <si>
    <t>Шаг 1: Измените выделенные исходные данные ниже по своему усмотрению.</t>
  </si>
  <si>
    <t>Passo 1: Modifique as entradas destacadas abaixo, conforme desejar.</t>
  </si>
  <si>
    <t>步骤 2：选择要通过插补法调整的指标并刷新 DCF 工作表。</t>
  </si>
  <si>
    <t>步驟 2：選擇要透過插補法調整的指標並刷新 DCF 工作表。</t>
  </si>
  <si>
    <t>ステップ 2：DCF タブで、補完により調整する指標を選択し、更新します。</t>
  </si>
  <si>
    <t>Paso 2: Seleccione el indicador que se ajustará por imputación y ACTUALICE en la pestaña DCF.</t>
  </si>
  <si>
    <t>Schritt 2: Wählen Sie im DCF-Tab den Indikator aus, der durch Imputation angepasst werden soll, und klicken Sie auf „REFRESH“.</t>
  </si>
  <si>
    <t>Étape 2 : Sélectionnez l'indicateur à ajuster par imputation et ACTUALISEZ dans l'onglet DCF.</t>
  </si>
  <si>
    <t>Passo 2:Selezionare l’indicatore da adeguare tramite imputazione e AGGIORNARE nella scheda DCF.</t>
  </si>
  <si>
    <t>2단계: DCF 탭에서 보간으로 조정할 지표를 선택하고 새로 고침합니다.</t>
  </si>
  <si>
    <t>Шаг 2: Выберите показатель, корректируемый методом вменения, и нажмите ОБНОВИТЬ на вкладке DCF.</t>
  </si>
  <si>
    <t>Passo 2: Selecione o Indicador a ser Ajustado por Imputação e ATUALIZAR na aba DCF.</t>
  </si>
  <si>
    <t>步骤 3：点击 【估算】 按钮以获取增长率/利润率。</t>
  </si>
  <si>
    <t>步驟 3：點擊 【估算】 按鈕以取得成長率/利潤率。</t>
  </si>
  <si>
    <t>ステップ 3：IMPUTE ボタンをクリックして、成長率/マージンを取得します。</t>
  </si>
  <si>
    <t>Paso 3: Haga clic en el botón IMPUTAR para obtener la tasa de crecimiento/el margen.</t>
  </si>
  <si>
    <t>Schritt 3: Klicken Sie auf die Schaltfläche „IMPUTE“, um die Wachstumsrate/Spanne zu erhalten.</t>
  </si>
  <si>
    <t>Étape 3 : Cliquez sur le bouton IMPUTER pour obtenir le taux de croissance/la marge.</t>
  </si>
  <si>
    <t>Passo 3: Fare clic sul pulsante IMPUTE per ottenere il Tasso di Crescita/ Margine.</t>
  </si>
  <si>
    <t>3단계: IMPUTE 버튼을 클릭하여 성장률/마진을 가져옵니다.</t>
  </si>
  <si>
    <t>Шаг 3: Нажмите кнопку ВМЕНИТЬ, чтобы получить темп роста/маржу.</t>
  </si>
  <si>
    <t>Passo 3: Clique no botão INSERE para obter a Taxa de Crescimento/Margem.</t>
  </si>
  <si>
    <t>总收入增长率 %</t>
  </si>
  <si>
    <t>總收入成長率 %</t>
  </si>
  <si>
    <t>総収益成長率 %</t>
  </si>
  <si>
    <t>Crecimiento porcentual de los ingresos totales</t>
  </si>
  <si>
    <t>Umsatzwachstum insgesamt in %</t>
  </si>
  <si>
    <t>Croissance du chiffre d'affaires total en %</t>
  </si>
  <si>
    <t>Crescita % dei ricavi Totali</t>
  </si>
  <si>
    <t>총수익 성장률 %</t>
  </si>
  <si>
    <t>Темп роста совокупной выручки, %</t>
  </si>
  <si>
    <t>Crescimento percentual de receita total</t>
  </si>
  <si>
    <t>营业收入</t>
  </si>
  <si>
    <t xml:space="preserve">營業收入 </t>
  </si>
  <si>
    <t xml:space="preserve">営業収益 </t>
  </si>
  <si>
    <t>Ingresos Operativos</t>
  </si>
  <si>
    <t>Operatives Ergebnis</t>
  </si>
  <si>
    <t>Bénéfice d'exploitation</t>
  </si>
  <si>
    <t>Proventi operativi</t>
  </si>
  <si>
    <t xml:space="preserve">영업이익 </t>
  </si>
  <si>
    <t>Операционный доход</t>
  </si>
  <si>
    <t>Receita Operacional</t>
  </si>
  <si>
    <t>营业利润率</t>
  </si>
  <si>
    <t>營業利潤率</t>
  </si>
  <si>
    <t>営業利益率(%)</t>
  </si>
  <si>
    <t>Margen de explotación</t>
  </si>
  <si>
    <t>operative Gewinnmarge</t>
  </si>
  <si>
    <t>Marge d'exploitation</t>
  </si>
  <si>
    <t>Margine operativo</t>
  </si>
  <si>
    <t>엉업이익률</t>
  </si>
  <si>
    <t xml:space="preserve">Операционная маржа </t>
  </si>
  <si>
    <t>Margem Operacional</t>
  </si>
  <si>
    <t>减：税费</t>
  </si>
  <si>
    <t>減：稅費</t>
  </si>
  <si>
    <t>控除：税金</t>
  </si>
  <si>
    <t>Menos: impuestos</t>
  </si>
  <si>
    <t>Abzüglich: Steuern</t>
  </si>
  <si>
    <t>Moins : impôts</t>
  </si>
  <si>
    <t>Meno:Imposte</t>
  </si>
  <si>
    <t>차감: 세금</t>
  </si>
  <si>
    <t>За вычетом: налоги</t>
  </si>
  <si>
    <t>Menos: Impostos</t>
  </si>
  <si>
    <t>税后净营业利润 (NOPAT)</t>
  </si>
  <si>
    <t>稅後淨營業利潤 (NOPAT)</t>
  </si>
  <si>
    <t>Nettogewinn aus dem operativen Geschäft nach Steuern</t>
  </si>
  <si>
    <t>Utile operativo netto dopo le imposte</t>
  </si>
  <si>
    <t>чистая операционная прибыль после налогообложения</t>
  </si>
  <si>
    <t>折旧与摊销占资本支出 %</t>
  </si>
  <si>
    <t>折舊與攤銷占資本支出 %</t>
  </si>
  <si>
    <t>設備投資に対するD&amp;A比率 %</t>
  </si>
  <si>
    <t>D&amp;A como % de Capex</t>
  </si>
  <si>
    <t>Abschreibungen &amp; Amortisation in % Capex</t>
  </si>
  <si>
    <t>D&amp;A en % des Capex</t>
  </si>
  <si>
    <t>Ammortamento e Depreciation % Capex</t>
  </si>
  <si>
    <t>D&amp;A 대비 CAPEX %</t>
  </si>
  <si>
    <t>Амортизация в % от капитальных затрат</t>
  </si>
  <si>
    <t>资本支出占销售额 %</t>
  </si>
  <si>
    <t>資本支出占銷售額 %</t>
  </si>
  <si>
    <t>売上高に対する設備投資比率 %</t>
  </si>
  <si>
    <t>Capex como % de ventas</t>
  </si>
  <si>
    <t>Capex als % des Umsatzes</t>
  </si>
  <si>
    <t>Capex en % des ventes</t>
  </si>
  <si>
    <t>Capex come % dei Ricavi</t>
  </si>
  <si>
    <t>매출 대비 CAPEX%</t>
  </si>
  <si>
    <t>Капитальные затраты в % от продаж</t>
  </si>
  <si>
    <t>Capex como % de vendas</t>
  </si>
  <si>
    <t>减：资本支出</t>
  </si>
  <si>
    <t>減：資本支出</t>
  </si>
  <si>
    <t>控除：設備投資</t>
  </si>
  <si>
    <t>Menos: Capex</t>
  </si>
  <si>
    <t>Abzüglich: Capex</t>
  </si>
  <si>
    <t>Moins : Capex</t>
  </si>
  <si>
    <t>Meno:Capex</t>
  </si>
  <si>
    <t>차감: CAPEX</t>
  </si>
  <si>
    <t>За вычетом: капитальные затраты</t>
  </si>
  <si>
    <t>减：净营运资本增加</t>
  </si>
  <si>
    <t>減：淨營運資本增加</t>
  </si>
  <si>
    <t>控除：純運転資本増加</t>
  </si>
  <si>
    <t>Menos: aumento del capital de trabajo neto</t>
  </si>
  <si>
    <t>Abzüglich: Zunahme des Nettoumlaufvermögens</t>
  </si>
  <si>
    <t>Moins : augmentation du fonds de roulement net</t>
  </si>
  <si>
    <t>Meno: Aumento del Capitale Circolante Netto</t>
  </si>
  <si>
    <t>차감: 순운전자본 증가</t>
  </si>
  <si>
    <t>За вычетом: увеличение чистого оборотного капитала</t>
  </si>
  <si>
    <t>Menos: Aumento do Capital de Giro Líquido</t>
  </si>
  <si>
    <t>自由现金流</t>
  </si>
  <si>
    <t>自由現金流</t>
  </si>
  <si>
    <t>フリーキャッシュフロー</t>
  </si>
  <si>
    <t>Flujo de caja libre</t>
  </si>
  <si>
    <t>Verfügbarer Geldfluss</t>
  </si>
  <si>
    <t>Flux de trésorerie disponibles</t>
  </si>
  <si>
    <t>Flusso di cassa libero</t>
  </si>
  <si>
    <t>잉여현금흐름</t>
  </si>
  <si>
    <t>Свободный денежный поток</t>
  </si>
  <si>
    <t>Fluxo de Caixa Livre</t>
  </si>
  <si>
    <t>割引率</t>
  </si>
  <si>
    <t>Factor de descuento</t>
  </si>
  <si>
    <t>Diskontierungsfaktor</t>
  </si>
  <si>
    <t>Facteur d'escompte</t>
  </si>
  <si>
    <t>Fattore di sconto</t>
  </si>
  <si>
    <t>할인계수</t>
  </si>
  <si>
    <t>fator de desconto</t>
  </si>
  <si>
    <t>自由现金流现值</t>
  </si>
  <si>
    <t>自由現金流現值</t>
  </si>
  <si>
    <t>フリーキャッシュフローの現在価値</t>
  </si>
  <si>
    <t>Valor actual del flujo de caja libre</t>
  </si>
  <si>
    <t xml:space="preserve">Barwert des Free Cash Flow </t>
  </si>
  <si>
    <t>Valeur actuelle du flux de trésorerie disponible</t>
  </si>
  <si>
    <t>Valore attuale del Flusso di Cassa Libero</t>
  </si>
  <si>
    <t>잉여현금흐름의 현재가치</t>
  </si>
  <si>
    <t>Приведённая стоимость свободного денежного потока</t>
  </si>
  <si>
    <t>Valor Presente do Fluxo de Caixa Livre</t>
  </si>
  <si>
    <t>應收帳款</t>
  </si>
  <si>
    <t>Forderungen aus Lieferungen und Leistungen</t>
  </si>
  <si>
    <t>Comptes clients</t>
  </si>
  <si>
    <t>Contas Recebíveis</t>
  </si>
  <si>
    <t>應收帳款周轉天數</t>
  </si>
  <si>
    <t>Días de cobro</t>
  </si>
  <si>
    <t xml:space="preserve">Forderungstage </t>
  </si>
  <si>
    <t>Jours de créances</t>
  </si>
  <si>
    <t>Giorni di incasso</t>
  </si>
  <si>
    <t>매출채권 회전일수</t>
  </si>
  <si>
    <t>Период оборота дебиторской задолженности</t>
  </si>
  <si>
    <t>Dias a receber</t>
  </si>
  <si>
    <t>销货成本</t>
  </si>
  <si>
    <t>銷貨成本</t>
  </si>
  <si>
    <t>Себестоимость реализованной продукции</t>
  </si>
  <si>
    <t>其他资产</t>
  </si>
  <si>
    <t xml:space="preserve">其他資產 </t>
  </si>
  <si>
    <t xml:space="preserve">その他資産 </t>
  </si>
  <si>
    <t>Otros Activos</t>
  </si>
  <si>
    <t>Weitere Aktiva</t>
  </si>
  <si>
    <t>Autres actifs</t>
  </si>
  <si>
    <t>Altre attività</t>
  </si>
  <si>
    <t xml:space="preserve">기타 자산 </t>
  </si>
  <si>
    <t>Прочие активы</t>
  </si>
  <si>
    <t>Outros Ativos</t>
  </si>
  <si>
    <t>未払負債</t>
  </si>
  <si>
    <t>Abgegrenzte Verbindlichkeiten</t>
  </si>
  <si>
    <t>Responsabilidades Acumuladas</t>
  </si>
  <si>
    <t>其他负债</t>
  </si>
  <si>
    <t>其他負債</t>
  </si>
  <si>
    <t>その他負債</t>
  </si>
  <si>
    <t>Otros pasivos</t>
  </si>
  <si>
    <t>Sonstige Verbindlichkeiten</t>
  </si>
  <si>
    <t>Autres passifs</t>
  </si>
  <si>
    <t>Altre passività</t>
  </si>
  <si>
    <t>기타 부채</t>
  </si>
  <si>
    <t>Прочие обязательства</t>
  </si>
  <si>
    <t>Outras Responsabilidades</t>
  </si>
  <si>
    <t>(aumento) / diminuição do capital de giro</t>
  </si>
  <si>
    <t>非债务流动负债总额</t>
  </si>
  <si>
    <t>非債務流動負債總額</t>
  </si>
  <si>
    <t>Total de pasivos corrientes sin deuda</t>
  </si>
  <si>
    <t xml:space="preserve">Gesamte kurzfristige Nicht-Schuldenverbindlichkeiten </t>
  </si>
  <si>
    <t>Total des passifs courants hors dette</t>
  </si>
  <si>
    <t>Totale passività a breve termine non finanziarie</t>
  </si>
  <si>
    <t>비부채 유동부채 총계</t>
  </si>
  <si>
    <t>Итого недолговые краткосрочные обязательства</t>
  </si>
  <si>
    <t>Total de Responsabilidades Correntes Não Relacionadas à Dívida</t>
  </si>
  <si>
    <t>净营运资金</t>
  </si>
  <si>
    <t>淨營運資金</t>
  </si>
  <si>
    <t>純運転資本</t>
  </si>
  <si>
    <t>Capital de trabajo neto</t>
  </si>
  <si>
    <t>Nettobetriebskapital</t>
  </si>
  <si>
    <t>Fonds de roulement net</t>
  </si>
  <si>
    <t>Capitale circolante netto</t>
  </si>
  <si>
    <t>순운영자본</t>
  </si>
  <si>
    <t>Чистый оборотный капитал</t>
  </si>
  <si>
    <t>Capital de Giro Líquido</t>
  </si>
  <si>
    <t>现值</t>
  </si>
  <si>
    <t>現值</t>
  </si>
  <si>
    <t>Valor actual</t>
  </si>
  <si>
    <t xml:space="preserve">Barwert </t>
  </si>
  <si>
    <t>Valeur actuelle</t>
  </si>
  <si>
    <t>Valore attuale</t>
  </si>
  <si>
    <t>현재가치</t>
  </si>
  <si>
    <t>Приведённая стоимость</t>
  </si>
  <si>
    <t>Valor Presente</t>
  </si>
  <si>
    <t>加权平均资本成本率（WACC 率）</t>
  </si>
  <si>
    <t>加權平均資本成本率（WACC 率）</t>
  </si>
  <si>
    <t>WACC 率</t>
  </si>
  <si>
    <t>Tasa WACC</t>
  </si>
  <si>
    <t>Gewichteter durchschnittlicher Kapitalkostensatz</t>
  </si>
  <si>
    <t>Taux WACC</t>
  </si>
  <si>
    <t>Tasso WACC</t>
  </si>
  <si>
    <t>WACC 비율</t>
  </si>
  <si>
    <t>Ставка WACC (средневзвешенная стоимость капитала)</t>
  </si>
  <si>
    <t>Taxa WACC</t>
  </si>
  <si>
    <t>公司自由现金流终值增长率</t>
  </si>
  <si>
    <t>公司自由現金流終值成長率</t>
  </si>
  <si>
    <t>FCFF ターミナル成長率</t>
  </si>
  <si>
    <t>Tasa de crecimiento terminal del FCFF</t>
  </si>
  <si>
    <t>Freier Cashflow für das Unternehmen Endwachstumsrate</t>
  </si>
  <si>
    <t>Taux de croissance terminal du FCFF</t>
  </si>
  <si>
    <t>Tasso di crescita terminale del Flusso di cassa libero per l’impresa</t>
  </si>
  <si>
    <t>FCFF 터미널 성장률</t>
  </si>
  <si>
    <t>Свободный денежный поток фирмы (Терминальный темп роста)</t>
  </si>
  <si>
    <t>Taxa de Crescimento Terminal FCFF</t>
  </si>
  <si>
    <t>最终年度自由现金流*(1+g)</t>
  </si>
  <si>
    <t>最終年度自由現金流*(1+g)</t>
  </si>
  <si>
    <t>最終年度 FCF*(1+g)</t>
  </si>
  <si>
    <t>FCF del año final*(1+g)</t>
  </si>
  <si>
    <t>Freier Cashflow im Endjahr × (1 + Wachstumsrate)</t>
  </si>
  <si>
    <t>FCF de l'année finale*(1+g)</t>
  </si>
  <si>
    <t>Flusso di cassa libero dell’ultimo anno * (1 + tasso di crescita)</t>
  </si>
  <si>
    <t>최종 연도 FCF*(1+g)</t>
  </si>
  <si>
    <t>СДП последнего года*(1+темп роста)</t>
  </si>
  <si>
    <t>Ano Final FCF*(1+g)</t>
  </si>
  <si>
    <t>权益价值</t>
  </si>
  <si>
    <t>權益價值</t>
  </si>
  <si>
    <t>株主資本価値</t>
  </si>
  <si>
    <t>Valor del patrimonio</t>
  </si>
  <si>
    <t xml:space="preserve">Unternehmenswert zum Eigenkapital </t>
  </si>
  <si>
    <t>Valeur des capitaux propres</t>
  </si>
  <si>
    <t>Valore dell’equity</t>
  </si>
  <si>
    <t>Valor acionário</t>
  </si>
  <si>
    <t>终值</t>
  </si>
  <si>
    <t>終值</t>
  </si>
  <si>
    <t>ターミナルバリュー</t>
  </si>
  <si>
    <t>Valor terminal</t>
  </si>
  <si>
    <t>Endwert</t>
  </si>
  <si>
    <t>Valeur terminale</t>
  </si>
  <si>
    <t>Valore terminale</t>
  </si>
  <si>
    <t>터미널 가치</t>
  </si>
  <si>
    <t>Терминальная стоимость</t>
  </si>
  <si>
    <t>Valor Terminal</t>
  </si>
  <si>
    <t>ターミナルバリューの現在価値</t>
  </si>
  <si>
    <t>VA del valor terminal</t>
  </si>
  <si>
    <t>Barwert des Endwerts</t>
  </si>
  <si>
    <t>VA de la valeur terminale</t>
  </si>
  <si>
    <t>Valore attuale del valore terminale</t>
  </si>
  <si>
    <t>터미널 가치의 현재가치</t>
  </si>
  <si>
    <t>Приведённая стоимость терминальной стоимости</t>
  </si>
  <si>
    <t>Valor presente do valor terminal</t>
  </si>
  <si>
    <t>股价</t>
  </si>
  <si>
    <t>股價</t>
  </si>
  <si>
    <t>Precio de la acción</t>
  </si>
  <si>
    <t>Aktienkurs</t>
  </si>
  <si>
    <t>Cours de l'action</t>
  </si>
  <si>
    <t>Prezzo delle azioni</t>
  </si>
  <si>
    <t>주가</t>
  </si>
  <si>
    <t>Цена акций</t>
  </si>
  <si>
    <t>Preço das Ações</t>
  </si>
  <si>
    <t>稀释后流通股数</t>
  </si>
  <si>
    <t>稀釋後流通股數</t>
  </si>
  <si>
    <t>希薄化後発行済株式数</t>
  </si>
  <si>
    <t>Acciones diluidas en circulación</t>
  </si>
  <si>
    <t>Ausstehende verwässerte Aktienanzah</t>
  </si>
  <si>
    <t>Actions diluées en circulation</t>
  </si>
  <si>
    <t>Azioni diluite in circolazione</t>
  </si>
  <si>
    <t>희석 후 유통주식수</t>
  </si>
  <si>
    <t>Разводнённое количество акций в обращении</t>
  </si>
  <si>
    <t>Ações em circulação diluídas</t>
  </si>
  <si>
    <t>自由现金流终值增长率</t>
  </si>
  <si>
    <t>自由現金流終值成長率</t>
  </si>
  <si>
    <t>FCF ターミナル成長率</t>
  </si>
  <si>
    <t>Tasa de crecimiento terminal del FCF</t>
  </si>
  <si>
    <t>Freier Cashflow Endwachstumsrate</t>
  </si>
  <si>
    <t>Taux de croissance terminal du FCF</t>
  </si>
  <si>
    <t>Tasso di crescita terminale dell’FCF</t>
  </si>
  <si>
    <t>FCF 터미널 성장률</t>
  </si>
  <si>
    <t>Терминальный темп роста СДП</t>
  </si>
  <si>
    <t>Taxa de Crescimento Terminal do FCF</t>
  </si>
  <si>
    <t>Ausstehende verwässerte Aktienanzahl</t>
  </si>
  <si>
    <t>市場第一志向</t>
  </si>
  <si>
    <t>Capitalización de mercado</t>
  </si>
  <si>
    <t>Capitalisation du marché</t>
  </si>
  <si>
    <t>시가 총액</t>
  </si>
  <si>
    <t>Capitalização de mercado</t>
  </si>
  <si>
    <t>并购目标净债务</t>
  </si>
  <si>
    <t>併購目標淨債務</t>
  </si>
  <si>
    <t>純有利子負債</t>
  </si>
  <si>
    <t>Deuda Neta</t>
  </si>
  <si>
    <t>Nettoverschuldung</t>
  </si>
  <si>
    <t>Dette nette</t>
  </si>
  <si>
    <t>Debito netto</t>
  </si>
  <si>
    <t>순부채</t>
  </si>
  <si>
    <t>Чистая Задолженность</t>
  </si>
  <si>
    <t>Dívida líquida</t>
  </si>
  <si>
    <t>隐含股价</t>
  </si>
  <si>
    <t>隱含股價</t>
  </si>
  <si>
    <t>インプライド株価</t>
  </si>
  <si>
    <t>Precio implícito de la acción</t>
  </si>
  <si>
    <t>Implizierter Kurs je Aktie</t>
  </si>
  <si>
    <t>Prix implicite de l'action</t>
  </si>
  <si>
    <t>Prezzo implicito per azione</t>
  </si>
  <si>
    <t>내재 주가</t>
  </si>
  <si>
    <t>Подразумеваемая цена акции</t>
  </si>
  <si>
    <t>Preço Implícito da Ação</t>
  </si>
  <si>
    <t>反向现金流贴现概述</t>
  </si>
  <si>
    <t>反向現金流貼現概述</t>
  </si>
  <si>
    <t>リバース割引キャッシュフローの概要</t>
  </si>
  <si>
    <t>RESUMEN DE FLUJOS DE CAJA DESCONTADOS INVERSOS</t>
  </si>
  <si>
    <t>Überblick über Reverse Diskontierte Cash Flows</t>
  </si>
  <si>
    <t>APERÇU DES FLUX DE TRÉSORERIE ACTUALISÉS INVERSÉS</t>
  </si>
  <si>
    <t>PANORAMICA DEI FLUSSI DI CASSA SCONTATI INVERSI</t>
  </si>
  <si>
    <t>역할인현금흐름 개요</t>
  </si>
  <si>
    <t>ОБЗОР ОБРАТНОГО ДИСКОНТИРОВАНИЯ ДЕНЕЖНЫХ ПОТОКОВ</t>
  </si>
  <si>
    <t>VISÃO GERAL DOS FLUXOS DE CAIXA DESCONTADOS REVERSOS</t>
  </si>
  <si>
    <t>反向现金流贴现（反向 DCF）</t>
  </si>
  <si>
    <t>反向現金流貼現（反向 DCF）</t>
  </si>
  <si>
    <t>リバース割引キャッシュフロー</t>
  </si>
  <si>
    <t>Flujos de caja descontados inversos</t>
  </si>
  <si>
    <t>Reverse-Diskontierte-Cashflow-Modelle</t>
  </si>
  <si>
    <t>Flux de trésorerie actualisés inversés</t>
  </si>
  <si>
    <t>Flussi di cassa scontati inversi</t>
  </si>
  <si>
    <t>역할인현금흐름</t>
  </si>
  <si>
    <t>Обратное дисконтирование денежных потоков</t>
  </si>
  <si>
    <t>Fluxos de Caixa Descontados Reversos</t>
  </si>
  <si>
    <t>反向 DCF 是一种估值方法，用于估算当前股价所隐含的增长率。简单来说，这种做法会通过让「推算出来的估值」等于「目前的市场价格」来反推出增长率或利润率；而一般的 DCF 则是根据未来预测的现金流计算出企业的内在价值。</t>
  </si>
  <si>
    <t>反向 DCF 是一種估值方法，用於估算目前股價所隱含的成長率。簡單來說，這種做法會透過讓「推算出來的估值」等於「目前的市場價格」來反推出成長率或利潤率；而一般的 DCF 則是根據未來預測的現金流計算出企業的內在價值。</t>
  </si>
  <si>
    <t>リバース DCF は、現在の株価に織り込まれた成長率を推定するために使用される評価手法です。簡単に言えば、インプライド評価額を現在の市場価格と一致させることで成長率またはマージンを導き出す一方、標準的な DCF は予測される将来キャッシュフローに基づいて本源的価値を算出します。</t>
  </si>
  <si>
    <t>El DCF inverso es un enfoque de valoración utilizado para estimar la tasa de crecimiento implícita en el precio actual de la acción. En términos simples, la tasa de crecimiento o los márgenes se derivan igualando la valoración implícita al precio de mercado actual, mientras que un DCF estándar proporciona el valor intrínseco basado en los flujos de caja futuros proyectados.</t>
  </si>
  <si>
    <t>Reverse DCF ist ein Bewertungsansatz zur Schätzung der Wachstumsrate, die im aktuellen Aktienkurs impliziert ist. Vereinfacht ausgedrückt werden die Wachstumsrate oder die Margen daraus abgeleitet, indem man die sich ergebende Bewertung mit dem aktuellen Marktpreis gleichsetzt. Im Gegensatz dazu ermittelt ein klassisches DCF den inneren Wert auf Basis prognostizierter zukünftiger Cashflows.</t>
  </si>
  <si>
    <t>Le DCF inversé est une approche d'évaluation utilisée pour estimer le taux de croissance implicite dans le cours actuel de l'action. En termes simples, le taux de croissance ou les marges sont déterminés en égalant la valorisation implicite au prix de marché actuel, tandis qu'un DCF standard donne la valeur intrinsèque sur la base des flux de trésorerie futurs projetés.</t>
  </si>
  <si>
    <t>Il Reverse DCF è un approccio di valutazione usato per stimare il tasso di crescita implicito dall’attuale prezzo delle azioni. In termini semplici, il tasso di crescita o i margini sono derivati mettendo in uguaglianza la valutazione implicita con il prezzo di mercato corrente, mentre un DCF standard fornisce il valore intrinseco basandosi sui flussi di cassa futuri previsti.</t>
  </si>
  <si>
    <t>역 DCF는 현재 주가에 내재된 성장률을 추정하는 데 사용되는 가치평가 접근법입니다. 간단히 말해, 내재 가치평가액을 현재 시장 가격과 일치시켜 성장률 또는 마진을 도출하는 반면, 표준 DCF는 예상 미래 현금흐름을 기반으로 내재가치를 산출합니다.</t>
  </si>
  <si>
    <t xml:space="preserve">Обратный DCF — это метод оценки, используемый для определения темпа роста, подразумеваемого текущей ценой акций.Проще говоря, темпы роста или маржа рассчитываются путём приравнивания подразумеваемой оценки к текущей рыночной цене, тогда как стандартный DCF даёт внутреннюю (справедливую) стоимость на основе прогнозируемых будущих денежных потоков. </t>
  </si>
  <si>
    <t>DCF reversa é uma abordagem de avaliação usada para estimar a taxa de crescimento implícita pelo preço presente da ação. Em termos simples, a taxa de crescimento ou margens são derivadas equiparando a avaliação implícita ao preço presente de mercado, enquanto um DCF padrão fornece o valor intrínseco com base nos fluxos de caixa futuros projetados.</t>
  </si>
  <si>
    <t>反向 DCF 的工作原理</t>
  </si>
  <si>
    <t>反向 DCF 的運作原理</t>
  </si>
  <si>
    <t>リバース DCF の仕組み</t>
  </si>
  <si>
    <t>Funcionamiento del DCF inverso</t>
  </si>
  <si>
    <t>Funktionsweise von Reverse DCF</t>
  </si>
  <si>
    <t>Fonctionnement du DCF inversé</t>
  </si>
  <si>
    <t>Funzionamento del DCF inverso</t>
  </si>
  <si>
    <t>역 DCF의 작동 방식</t>
  </si>
  <si>
    <t>Принцип работы обратного DCF</t>
  </si>
  <si>
    <t>Funcionamento do DCF Reverso</t>
  </si>
  <si>
    <t>增长率根据所选指标更新。</t>
  </si>
  <si>
    <t>成長率根據所選指標更新。</t>
  </si>
  <si>
    <t>成長率は、選択された指標に基づいて更新されます。</t>
  </si>
  <si>
    <t>La tasa de crecimiento se actualiza en función del indicador seleccionado.</t>
  </si>
  <si>
    <t>Die in das Modell einzuspeisende Wachstumsrate aktualisiert sich auf Grundlage des ausgewählten Indikators.</t>
  </si>
  <si>
    <t>Le taux de croissance se met à jour en fonction de l'indicateur sélectionné.</t>
  </si>
  <si>
    <t>Il tasso di crescita si aggiorna in base all’indicatore selezionato.</t>
  </si>
  <si>
    <t>성장률은 선택한 지표에 따라 업데이트됩니다.</t>
  </si>
  <si>
    <t>Темп роста обновляется в зависимости от выбранного показателя. </t>
  </si>
  <si>
    <t>A taxa de crescimento é atualizada com base no indicador selecionado.</t>
  </si>
  <si>
    <t>指标包括：a) 总收入增长率 %</t>
  </si>
  <si>
    <t>指標包括：a) 總收入成長率 %</t>
  </si>
  <si>
    <t>指標には以下が含まれます：a) 総収益成長率 %</t>
  </si>
  <si>
    <t>Los indicadores incluyen: a) Crecimiento porcentual de los ingresos totales</t>
  </si>
  <si>
    <t>Die Indikatoren umfassen: a) Umsatzwachstum insgesamt in %</t>
  </si>
  <si>
    <t>Les indicateurs incluent : a) Croissance du chiffre d'affaires total en %</t>
  </si>
  <si>
    <t>Gli indicatori includono-:a) Crescita % dei ricavi Totali</t>
  </si>
  <si>
    <t>지표에는 다음이 포함됩니다: a) 총수익 성장률 %</t>
  </si>
  <si>
    <t>К показателям относятся-: a) Общий рост выручки в %</t>
  </si>
  <si>
    <t>Os indicadores incluem-:a) Crescimento Percentual de Receita Total</t>
  </si>
  <si>
    <t xml:space="preserve">                                     b) 经营利润率</t>
  </si>
  <si>
    <t xml:space="preserve">                                     b) 營業利潤率</t>
  </si>
  <si>
    <t xml:space="preserve">                                     b) 営業利益率</t>
  </si>
  <si>
    <t xml:space="preserve">                                     b) Margen operativo</t>
  </si>
  <si>
    <t>b) Operative Marge</t>
  </si>
  <si>
    <t xml:space="preserve">                                     b) Marge opérationnelle</t>
  </si>
  <si>
    <t>b) Margine operativo</t>
  </si>
  <si>
    <t xml:space="preserve">                                     b) 영업이익률</t>
  </si>
  <si>
    <t>b) Операционная маржа</t>
  </si>
  <si>
    <t>b) Margem Operacional</t>
  </si>
  <si>
    <t xml:space="preserve">                                     c) 资本支出占销售额 %</t>
  </si>
  <si>
    <t xml:space="preserve">                                     c) 資本支出占銷售額 %</t>
  </si>
  <si>
    <t xml:space="preserve">                                     c) 売上高に対する設備投資比率 %</t>
  </si>
  <si>
    <t xml:space="preserve">                                     c) Capex como % de ventas</t>
  </si>
  <si>
    <t>c) Capex als % des Umsatzes</t>
  </si>
  <si>
    <t xml:space="preserve">                                     c) Capex en % des ventes</t>
  </si>
  <si>
    <t>c) Capex come % dei Ricavi</t>
  </si>
  <si>
    <t xml:space="preserve">                                     c) 매출 대비 CAPEX 비율 %</t>
  </si>
  <si>
    <t>c) Капитальные затраты как % от продаж</t>
  </si>
  <si>
    <t>c) Capex como % das vendas</t>
  </si>
  <si>
    <t>选择后，模型将自动计算该指标的隐含值。【估算】按钮将运行单变量求解分析以计算当前股价所隐含的增长率或利润率。</t>
  </si>
  <si>
    <t>選擇後，模型將自動計算該指標的隱含值。【估算】 按鈕將執行目標尋覓分析以計算目前股價所隱含的成長率或利潤率。</t>
  </si>
  <si>
    <t>選択後、モデルはその指標のインプライド値を自動的に算出します。Impute ボタンはゴールシーク分析を実行し、現在の株価に織り込まれた成長率またはマージンを求めます。</t>
  </si>
  <si>
    <t>Después de la selección, el modelo calcula automáticamente el valor implícito para ese indicador. El botón Imputar ejecuta un análisis de búsqueda de objetivo para resolver la tasa de crecimiento o el margen implícito en el precio actual de la acción.</t>
  </si>
  <si>
    <t>Nach der Auswahl berechnet das Modell automatisch den implizierten Wert für diesen Indikator. Die Schaltfläche „Impute“ führt eine Zielwertsuche aus, um die vom aktuellen Aktienkurs implizierte Wachstumsrate bzw. Marge zu lösen.</t>
  </si>
  <si>
    <t>Après la sélection, le modèle calcule automatiquement la valeur implicite de cet indicateur. Le bouton Imputer exécute une analyse de recherche d'objectif pour résoudre le taux de croissance ou la marge implicite dans le cours actuel de l'action.</t>
  </si>
  <si>
    <t xml:space="preserve">Dopo la selezione, il modello calcola automaticamente il valore implicito per quell’indicatore. Il pulsante Impute esegue un’analisi di Goal Seek per risolvere il tasso di crescita o il margine implicito dal prezzo corrente dell’azione. </t>
  </si>
  <si>
    <t>선택 후 모델은 해당 지표의 내재 값을 자동으로 계산합니다. Impute 버튼은 목표값 찾기 분석을 실행하여 현재 주가에 내재된 성장률 또는 마진을 구합니다.</t>
  </si>
  <si>
    <t>После выбора показателя модель автоматически рассчитывает подразумеваемое значение для данного показателя. Кнопка «Impute» (Вычислить) запускает анализ методом подбора параметра (Goal Seek) для нахождения темпа роста или маржи, подразумеваемых текущей ценой акций.</t>
  </si>
  <si>
    <t>Após a seleção, o modelo automaticamente calcula o valor implícito para esse indicador. O botão Impute executa uma análise de Busca de Objetivos para determinar a taxa de crescimento ou margem implícita pelo preço presente da ação.</t>
  </si>
  <si>
    <t>第一步计算自由现金流如下：</t>
  </si>
  <si>
    <t>第一步計算自由現金流如下：</t>
  </si>
  <si>
    <t>最初のステップでは、フリーキャッシュフローを次のように計算します：</t>
  </si>
  <si>
    <t>El primer paso calcula el flujo de caja libre de la siguiente manera:</t>
  </si>
  <si>
    <t>Der erste Schritt berechnet den Free Cash Flow wie folgt:</t>
  </si>
  <si>
    <t>La première étape calcule le flux de trésorerie disponible comme suit :</t>
  </si>
  <si>
    <t>Il primo passaggio calcola il flusso di cassa libero come -</t>
  </si>
  <si>
    <t>첫 번째 단계에서는 잉여현금흐름을 다음과 같이 계산합니다:</t>
  </si>
  <si>
    <t>На первом этапе рассчитывается свободный денежный поток по формуле-</t>
  </si>
  <si>
    <t>O primeiro passo calcula o fluxo de caixa livre como -</t>
  </si>
  <si>
    <t>公司自由现金流（FCFF） = NOPAT + 折旧及摊销 - 资本支出 - 净营运资本变动。</t>
  </si>
  <si>
    <t>公司自由現金流（FCFF）= NOPAT + 折舊及攤銷 - 資本支出 - 淨營運資本變動。</t>
  </si>
  <si>
    <t>FCFF = NOPAT + 減価償却費及び償却費 - 設備投資-純運転資本の増減額</t>
  </si>
  <si>
    <t>FCFF = NOPAT + depreciación y amortización - Capex - variación del capital de trabajo neto.</t>
  </si>
  <si>
    <t xml:space="preserve">Freier Cashflow für das Unternehmen(FCFF) = Nettogewinn aus dem operativen Geschäft nach Steuern(NOPAT) + Abschreibungen – Investitionen (Capex) – Veränderung des Netto-Umlaufvermögens.
</t>
  </si>
  <si>
    <t>FCFF = NOPAT + dépréciation et amortissement - Capex - variation du fonds de roulement net.</t>
  </si>
  <si>
    <t xml:space="preserve">FCFF= NOPAT+ Ammortamento e Depreciation - Capex- Variazione nel Capitale Circolante Netto. </t>
  </si>
  <si>
    <t>FCFF = NOPAT + 감가상각 및 상각비 - CAPEX - 순운전자본 변동.</t>
  </si>
  <si>
    <t>FCFF = NOPAT + Амортизация основных средств и нематериальных активов − Капитальные затраты − Изменение чистого оборотного капитала.</t>
  </si>
  <si>
    <t>FCFF= NOPAT+ Depreciação e Amortização - Capex - Variação do Capital de Giro Líquido.</t>
  </si>
  <si>
    <t>每年的 FCFF 使用折现因子进行折现：</t>
  </si>
  <si>
    <t>每年的 FCFF 使用折現因子進行折現：</t>
  </si>
  <si>
    <t>各年の FCFF は、割引係数を使用して割り引かれます：</t>
  </si>
  <si>
    <t>El FCFF de cada año se descuenta utilizando un factor de descuento:</t>
  </si>
  <si>
    <t>Jährliche FCFF werden mithilfe eines Abzinsungsfaktors diskontiert:</t>
  </si>
  <si>
    <t>Le FCFF de chaque année est actualisé à l'aide d'un facteur d'actualisation :</t>
  </si>
  <si>
    <t>Ogni anno, il FCFF viene attualizzato usando un fattore di sconto:</t>
  </si>
  <si>
    <t>각 연도의 FCFF는 할인계수를 사용하여 할인됩니다:</t>
  </si>
  <si>
    <t xml:space="preserve">FCFF каждого года дисконтируется с использованием коэффициента дисконтирования: </t>
  </si>
  <si>
    <t>O FCFF de cada ano é descontado usando um fator de desconto:</t>
  </si>
  <si>
    <t>折现因子 = 上一年折现因子 / (1 + WACC)。</t>
  </si>
  <si>
    <t>折現因子 = 上一年折現因子 / (1 + WACC)。</t>
  </si>
  <si>
    <t>割引係数 = 前年の割引係数 / (1 + WACC)。</t>
  </si>
  <si>
    <t>Factor de descuento = factor de descuento del año anterior / (1 + WACC).</t>
  </si>
  <si>
    <t>Abzinsungsfaktor = Abzinsungsfaktor des Vorjahres / (1 + gewichtete durchschnittliche Kapitalkosten)</t>
  </si>
  <si>
    <t>Facteur d'actualisation = facteur d'actualisation de l'année précédente / (1 + WACC).</t>
  </si>
  <si>
    <t>Fattore di sconto = Fattore di sconto dell’anno precedente / (1 + WACC).</t>
  </si>
  <si>
    <t>할인계수 = 전년도 할인계수 / (1 + WACC).</t>
  </si>
  <si>
    <t> Коэффициент дисконтирования = Коэффициент дисконтирования предыдущего года / (1 + WACC)</t>
  </si>
  <si>
    <t>Fator de Desconto = Fator Descontado do Ano Anterior / (1 + WACC).</t>
  </si>
  <si>
    <t>在终值计算中，模型采用永续增长法：</t>
  </si>
  <si>
    <t>在終值計算中，模型採用永續成長法：</t>
  </si>
  <si>
    <t>ターミナルバリューの計算では、モデルは永続成長法を適用します：</t>
  </si>
  <si>
    <t>Para el cálculo del valor terminal, el modelo aplica el método de crecimiento a perpetuidad:</t>
  </si>
  <si>
    <t>Für die Berechnung des Endwerts wendet das Modell die Perpetuity-Growth-Methode an:</t>
  </si>
  <si>
    <t>Pour le calcul de la valeur terminale, le modèle applique la méthode de croissance à perpétuité :</t>
  </si>
  <si>
    <t>Per il calcolo del valore terminale, il modello applica il metodo della crescita perpetua:</t>
  </si>
  <si>
    <t>터미널 가치 계산에서 모델은 영구성장법을 적용합니다:</t>
  </si>
  <si>
    <t>Для расчета терминальной стоимости модель применяет метод бессрочного роста:</t>
  </si>
  <si>
    <t>Para o cálculo do valor terminal, o modelo aplica o método de crescimento de perpetuidade:</t>
  </si>
  <si>
    <t>终值 FCFF：最终年度 FCFF × (1 + 终值增长率)（单元格 O24）</t>
  </si>
  <si>
    <t>終值 FCFF：最終年度 FCFF × (1 + 終值成長率)（儲存格 O24）</t>
  </si>
  <si>
    <t>ターミナル FCFF：最終年度 FCFF × (1 + ターミナル成長率)（セル O24）</t>
  </si>
  <si>
    <t>FCFF terminal: FCFF del año final × (1 + tasa de crecimiento terminal) (celda O24)</t>
  </si>
  <si>
    <t>Terminale FCFF = FCFF des letztes jahr × (1 + Terminalwachstumsrate) (Zelle O24)</t>
  </si>
  <si>
    <t>FCFF terminal : FCFF de l'année finale × (1 + taux de croissance terminal) (cellule O24)</t>
  </si>
  <si>
    <t>Terminal FCFF:FCFF dell’ultimo anno × (1 + Tasso di crescita terminale) (Cell O24)</t>
  </si>
  <si>
    <t>터미널 FCFF: 최종 연도 FCFF × (1 + 터미널 성장률) (셀 O24)</t>
  </si>
  <si>
    <t>Терминальный FCFF: FCFF последнего года × (1 + Терминальный темп роста) (Ячейка O24)</t>
  </si>
  <si>
    <t>FCFF Terminal: Ano Final FCFF × (1 + Taxa de Crescimento Terminal) (Célula O24)</t>
  </si>
  <si>
    <t>最终年度终值 = 终值 FCFF / (WACC - FCFF 终值增长率)（单元格 O25）。</t>
  </si>
  <si>
    <t>最終年度終值 = 終值 FCFF / (WACC - FCFF 終值成長率)（儲存格 O25）。</t>
  </si>
  <si>
    <t>最終年度のターミナルバリュー = ターミナル FCFF / (WACC - FCFF ターミナル成長率)（セル O25）。</t>
  </si>
  <si>
    <t>Valor terminal en el año final = FCFF terminal / (WACC - tasa de crecimiento terminal del FCFF) (celda O25).</t>
  </si>
  <si>
    <t>Terminalwert im letzten Prognosejahr = Terminale FCFF / (WACC – Terminalwachstumsrate) (Zelle O25)</t>
  </si>
  <si>
    <t>Valeur terminale dans l'année finale = FCFF terminal / (WACC - taux de croissance terminal du FCFF) (cellule O25).</t>
  </si>
  <si>
    <t>Valore terminale nell’anno finale = Terminale FCFF/ (WACC- Tasso di crescita terminale del FCFF) (cell O25).</t>
  </si>
  <si>
    <t>최종 연도의 터미널 가치 = 터미널 FCFF / (WACC - FCFF 터미널 성장률) (셀 O25).</t>
  </si>
  <si>
    <t>Терминальная стоимость в последнем году = Терминальный FCFF / (WACC − терминальный темп роста FCFF) (Ячейка O25).</t>
  </si>
  <si>
    <t>Valor terminal no último ano = FCFF Terminal / (taxa de crescimento terminal WACC-FCFF) (célula O25).</t>
  </si>
  <si>
    <t>终值的现值 = 终值 / (1 + WACC) ^ 折现因子（单元格 O26）</t>
  </si>
  <si>
    <t>終值的現值 = 終值 / (1 + WACC) ^ 折現因子（儲存格 O26）</t>
  </si>
  <si>
    <t>ターミナルバリューの現在価値 = ターミナルバリュー / (1 + WACC) ^ 割引係数（セル O26）</t>
  </si>
  <si>
    <t>Valor actual del valor terminal = valor terminal / (1 + WACC) ^ factor de descuento (celda O26)</t>
  </si>
  <si>
    <t>Barwert des Terminalwerts = Terminalwert / (1 + WACC) ^ Abzinsungsfaktor (Zelle O26)</t>
  </si>
  <si>
    <t>Valeur actuelle de la valeur terminale = valeur terminale / (1 + WACC) ^ facteur d'actualisation (cellule O26)</t>
  </si>
  <si>
    <t>Valore attuale del Valore Terminale = Valore Terminale / (1 + WACC) ^ Fattore di sconto (cell O26)</t>
  </si>
  <si>
    <t>터미널 가치의 현재가치 = 터미널 가치 / (1 + WACC) ^ 할인계수 (셀 O26)</t>
  </si>
  <si>
    <t>Приведённая стоимость терминальной стоимости = Терминальная стоимость / (1 + WACC) ^ Коэффициент дисконтирования (Ячейка O26)</t>
  </si>
  <si>
    <t>Valor Presente do Valor Terminal = Valor Terminal / (1 + WACC) ^ Fator de Desconto (célula O26)</t>
  </si>
  <si>
    <t>基于此：</t>
  </si>
  <si>
    <t>基於此：</t>
  </si>
  <si>
    <t>これに基づき：</t>
  </si>
  <si>
    <t>Sobre esta base:</t>
  </si>
  <si>
    <t>Auf Basis dessen gilt:</t>
  </si>
  <si>
    <t>Sur cette base :</t>
  </si>
  <si>
    <t>In base a questo:</t>
  </si>
  <si>
    <t>이를 바탕으로:</t>
  </si>
  <si>
    <t>На основании этого:</t>
  </si>
  <si>
    <t>Com base nisso:</t>
  </si>
  <si>
    <t>企业价值 = FCFF 现值 + 终值的现值（单元格 O27）</t>
  </si>
  <si>
    <t>企業價值 = FCFF 現值 + 終值的現值（儲存格 O27）</t>
  </si>
  <si>
    <t>企業価値 = FCFF の現在価値 + ターミナルバリューの現在価値（セル O27）</t>
  </si>
  <si>
    <t>Valor de empresa = valor actual de los FCFF + valor actual del valor terminal (celda O27)</t>
  </si>
  <si>
    <t>Unternehmenswert = Barwert der FCFFs + Barwert des Terminalwerts (Zelle O27)</t>
  </si>
  <si>
    <t>Valeur d'entreprise = valeur actuelle des FCFF + valeur actuelle de la valeur terminale (cellule O27)</t>
  </si>
  <si>
    <t>Valore d’Impresa = Valore attuale dei FCFFs+ Valore attuale del Valore Terminale (Cell O27)</t>
  </si>
  <si>
    <t>기업가치 = FCFF의 현재가치 + 터미널 가치의 현재가치 (셀 O27)</t>
  </si>
  <si>
    <t>Стоимость предприятия = Приведённая стоимость FCFF + Приведённая стоимость терминальной стоимости (Ячейка O27)</t>
  </si>
  <si>
    <t>Valor Empresarial = Valor presente dos FCFFs+ Valor presente do valor terminal (Célula O27)</t>
  </si>
  <si>
    <t>权益价值 = 企业价值 - 净债务（单元格 O28）</t>
  </si>
  <si>
    <t>權益價值 = 企業價值 - 淨債務（儲存格 O28）</t>
  </si>
  <si>
    <t>株主資本価値 = 企業価値 - 純有利子負債（セル O28）</t>
  </si>
  <si>
    <t>Valor del patrimonio = valor de empresa - deuda neta (celda O28)</t>
  </si>
  <si>
    <t>Eigenkapitalwert = Unternehmenswert − Netto-Schulden(Zelle O28)</t>
  </si>
  <si>
    <t>Valeur des capitaux propres = valeur d'entreprise - dette nette (cellule O28)</t>
  </si>
  <si>
    <t>Valore del Capitale Netto = Valore d’Impresa - Debito Netto ( Cell O28)</t>
  </si>
  <si>
    <t>자기자본 가치 = 기업가치 - 순부채 (셀 O28)</t>
  </si>
  <si>
    <t>Стоимость собственного капитала = Стоимость предприятия − Чистый долг (Ячейка O28)</t>
  </si>
  <si>
    <t>Valor Patrimônio = Valor Empresarial - Dívida Líquida (Cell O28)</t>
  </si>
  <si>
    <t>隐含股价 = 权益价值 / 稀释后流通股数（单元格 O34）</t>
  </si>
  <si>
    <t>隱含股價 = 權益價值 / 稀釋後流通股數（儲存格 O34）</t>
  </si>
  <si>
    <t>インプライド株価 = 株主資本価値 / 希薄化後発行済株式数（セル O34）</t>
  </si>
  <si>
    <t>Precio implícito de la acción = valor del patrimonio / acciones diluidas en circulación (celda O34)</t>
  </si>
  <si>
    <t xml:space="preserve">Implizierter Aktienkurs = Eigenkapitalwert / Ausstehende verwässerte Aktienanzahl (Zelle O34)
</t>
  </si>
  <si>
    <t>Prix implicite de l'action = valeur des capitaux propres / actions diluées en circulation (cellule O34)</t>
  </si>
  <si>
    <t>Prezzo implicito per azione= Valore del Capitale Netto/ Azioni Diluite in circolazione (Cell O34)</t>
  </si>
  <si>
    <t>내재 주가 = 자기자본 가치 / 희석 후 유통주식수 (셀 O34)</t>
  </si>
  <si>
    <t>Подразумеваемая цена акции = Стоимость собственного капитала / Разводнённое количество акций в обращении (Ячейка O34)</t>
  </si>
  <si>
    <t>Preço Implícito da Ação = Valor da Ação / Ações Diluídas em circulação (Cell O34)</t>
  </si>
  <si>
    <t>反向 DCF 是一种估值方法，用于估算当前股价所隐含的增长率。</t>
  </si>
  <si>
    <t>反向 DCF 是一種估值方法，用於估算目前股價所隱含的成長率。</t>
  </si>
  <si>
    <t>リバース DCF は、現在の株価に織り込まれた成長率を推定するために使用される評価手法です。</t>
  </si>
  <si>
    <t>El DCF inverso es un enfoque de valoración utilizado para estimar la tasa de crecimiento implícita en el precio actual de la acción.</t>
  </si>
  <si>
    <t xml:space="preserve">Reverse DCF ist ein Bewertungsansatz, mit dem die Wachstumsrate abgeleitet wird, die in der aktuellen Aktie eingepreist ist.
</t>
  </si>
  <si>
    <t>Le DCF inversé est une approche d'évaluation utilisée pour estimer le taux de croissance implicite dans le cours actuel de l'action.</t>
  </si>
  <si>
    <t>Il Reverse DCF è un approccio di valutazione usato per stimare il tasso di crescita implicito dall’attuale prezzo delle azioni.</t>
  </si>
  <si>
    <t>역 DCF는 현재 주가에 내재된 성장률을 추정하는 데 사용되는 가치평가 접근법입니다.</t>
  </si>
  <si>
    <t>Обратный DCF — это метод оценки, используемый для определения темпа роста, подразумеваемого текущей ценой акций.</t>
  </si>
  <si>
    <t>DCF reversa é uma abordagem de avaliação usada para estimar a taxa de crescimento implícita pelo preço presente da ação.</t>
  </si>
  <si>
    <t>简单来说，这种做法会通过让「推算出来的估值」等于「目前的市场价格」来反推出增长率或利润率；而一般的 DCF 则是根据未来预测的现金流计算出企业的内在价值。</t>
  </si>
  <si>
    <t>簡單來說，這種做法會透過讓「推算出來的估值」等於「目前的市場價格」來反推出成長率或利潤率；而一般的 DCF 則是根據未來預測的現金流計算出企業的內在價值。</t>
  </si>
  <si>
    <t>簡単に言えば、インプライド評価額を現在の市場価格と一致させることで成長率またはマージンを導き出す一方、標準的な DCF は予測される将来キャッシュフローに基づいて本源的価値を算出します。</t>
  </si>
  <si>
    <t>En términos simples, la tasa de crecimiento o los márgenes se derivan igualando la valoración implícita al precio de mercado actual, mientras que un DCF estándar proporciona el valor intrínseco basado en los flujos de caja futuros proyectados.</t>
  </si>
  <si>
    <t>Vereinfacht gesagt werden die Wachstumsrate oder die Margen daraus gewonnen, indem man die implizierte Bewertung dem aktuellen Marktpreis gleichsetzt; ein Standard-DCF liefert den inneren Wert anhand projizierter zukünftiger Cash Flows.</t>
  </si>
  <si>
    <t>En termes simples, le taux de croissance ou les marges sont déterminés en égalant la valorisation implicite au prix de marché actuel, tandis qu'un DCF standard donne la valeur intrinsèque sur la base des flux de trésorerie futurs projetés.</t>
  </si>
  <si>
    <t>In termini semplici, il tasso di crescita o i margini vengono ricavati uguagliando la valutazione implicita al prezzo di mercato corrente, mentre un DCF standard fornisce il valore intrinseco basandosi sui flussi di cassa futuri previsti.</t>
  </si>
  <si>
    <t>간단히 말해, 내재 가치평가액을 현재 시장 가격과 일치시켜 성장률 또는 마진을 도출하는 반면, 표준 DCF는 예상 미래 현금흐름을 기반으로 내재가치를 산출합니다.</t>
  </si>
  <si>
    <t>Проще говоря, темпы роста или маржа рассчитываются путём приравнивания подразумеваемой оценки к текущей рыночной цене, тогда как стандартный DCF даёт внутреннюю (справедливую) стоимость на основе прогнозируемых будущих денежных потоков.</t>
  </si>
  <si>
    <t>Em termos simples, a taxa de crescimento ou margens são derivadas equiparando a avaliação implícita ao preço presente de mercado, enquanto um DCF padrão fornece o valor intrínseco com base nos fluxos de caixa futuros projetados.</t>
  </si>
  <si>
    <t>SPS2012255296</t>
  </si>
  <si>
    <t>SPS2012554751</t>
  </si>
  <si>
    <t>Free Cash Flow - Calculation</t>
  </si>
  <si>
    <t>Change in Net Working Capital - Calculation</t>
  </si>
  <si>
    <t>自由现金流 - 计算</t>
  </si>
  <si>
    <t>自由現金流 - 計算</t>
  </si>
  <si>
    <t>フリーキャッシュフロー - 計算</t>
  </si>
  <si>
    <t>Flujo de caja libre - Cálculo</t>
  </si>
  <si>
    <t>Verfügbarer Geldfluss - Berechnung</t>
  </si>
  <si>
    <t>Flux de trésorerie disponibles - Calcul</t>
  </si>
  <si>
    <t>Flusso di cassa libero - Calcolo</t>
  </si>
  <si>
    <t>잉여현금흐름 - 계산</t>
  </si>
  <si>
    <t>Свободный денежный поток - Расчет</t>
  </si>
  <si>
    <t>Fluxo de Caixa Livre - Cálculo</t>
  </si>
  <si>
    <t>净营运资金变动 - 计算</t>
  </si>
  <si>
    <t>淨營運資金變動 - 計算</t>
  </si>
  <si>
    <t>純運転資本の増減額 - 計算</t>
  </si>
  <si>
    <t>Variación del capital de trabajo neto - Cálculo</t>
  </si>
  <si>
    <t>Veränderung des Nettoumlaufvermögens - Berechnung</t>
  </si>
  <si>
    <t>Variation du fonds de roulement net - Calcul</t>
  </si>
  <si>
    <t>Variazione capitale circolante netto - Calcolo</t>
  </si>
  <si>
    <t>순운영자본 변동 - 계산</t>
  </si>
  <si>
    <t>Изменение чистого оборотного капитала - Расчет</t>
  </si>
  <si>
    <t>Variação Líquida no Capital de Giro - Cálculo</t>
  </si>
  <si>
    <t>隐含 股价 - 计算</t>
  </si>
  <si>
    <t>隱含 股價 - 計算</t>
  </si>
  <si>
    <t>インプライド  株価 - 計算</t>
  </si>
  <si>
    <t>implícito Precio de la acción - Cálculo</t>
  </si>
  <si>
    <t>Implizites Aktienkurs - Berechnung</t>
  </si>
  <si>
    <t>Implicite Prix ​​de l'action - Calcul</t>
  </si>
  <si>
    <t>Implicito Prezzo azioni - Calcolo</t>
  </si>
  <si>
    <t>묵시적 주식 가격 - 계산</t>
  </si>
  <si>
    <t>Подразумеваемая Цена акции - Расчет</t>
  </si>
  <si>
    <t>Implied Share price - Calculation</t>
  </si>
  <si>
    <t>Workings of Reverse DCF</t>
  </si>
  <si>
    <t xml:space="preserve">For the terminal value calculation, the model applies the perpetuity growth method: </t>
  </si>
  <si>
    <t>Enterprise value</t>
  </si>
  <si>
    <t>Equity value</t>
  </si>
  <si>
    <t>允䅁䡁䥫䅁潁䅁䅁睉䩂䕁䄴杖䉂䕁䅷兓䕂䍁䅁睑偂䕁䄰䅕䉂䕁䄴兗杁䕁䅫䅒䅁乁䅑䅁捁䅁䅁睕兂䙁䅍免㑁䑁䅉睍㑁䑁䅫䅏睁䑁䅁免䅁佁䙫䅁允䅁䅁兊呂䙁䅁䅖ぁ䑁䅣兏䅁䙁䙉䅁允䅁䅁杒剂䑁䅑杍睁䑁䅅䅏䅁䑁䍉䅁奂䅁䅁睊扂䕁䄰兓時䕁䅑睑䝂䕁䅅杢桂䝁䅷入穂䝁䅫督時䡁䅙免杁䍁䄰䅉䑂䝁䄸䅣㕂䍁䄴䅥獂䡁䅍兢摂䕁䅑睑䝂䍁䅣光歁䕁䅉䅊祁䑁䅁杍䅁䱁䍣䅁浂䅁䅁睊扂䕁䅑睑䝂䍁䅁睑療䝁䄴杤求䡁䅉督灂䝁䄸杢杁䍁䅧杤求䡁䅉督灂䝁䄸杢杁䑁䅅克畁䡁䅧䅢穂䝁䅉兘䕂䕁䅍杒湁䍁䅅䅊卂䍁䅑䅏㕁䑁䅯䅊坂䍁䅑䅏㕁䅁䅁光䅅䝁䅉䅁湁䙁䅳睕兂䕁䅣睘䕂䕁䅍杒䉂䝁䄴兙獂䡁䅫督灂䡁䅍睘㉂䑁䅅䅉潁䑁䅍克畁䡁䅧䅢穂䝁䄰兘䕂䕁䅍杒湁䍁䅅䅊䙂䍁䅑杍硁䑁䅍杏歁䕁䅕䅊祁䑁䅍睍䅁䝁䐸䅁奁䅁䅁䅖偂䙁䅑兑䵂䙁䅉兒啂䙁䅕杕佂䅁䅁兆䅁䅁䅉䅁䅁䍁䅁䅁允䅁䅁兊呂䙁䅁䅖ぁ䑁䅣杍䅁䡁䙑䅁慁䅁䅁杔䉂䙁䅍䅒䉂䙁䅅睒呂䑁䅯睖乂䕁䅣䅁祃杂䅁杕䅁䍁䅣睗䕂䕁䅍杒杁䕁䅍睢畂䡁䅙党祂䡁䅍兡療䝁䄴杌㑂䝁䅷督瑂䙁䄰䅒䑂䕁䅙睊桁䍁䅑兑䡂䍁䅑䅎ㅁ䑁䅯䅊䉂䕁䅣䅊ㅁ䑁䅙䅁歁允䅁杊䅁䍁䅍杔偂䍁䅁䅒䉂䙁䅑兑杁䕁䅅杖䉂䕁䅫䅔䉂䕁䅉䅔䙂䅁䅁党䅙䝁䅉䅁扂䕁䄰兓時䕁䅫杔呂䙁䄸睒䵂䕁䄸村䉂䕁䅷睘塂䕁䅅睑䑂䍁䄴兑畂䝁䅅䅢㕂䡁䅍兡穂䙁䄸杤硁䍁䄴䅥獂䡁䅍兢摂䙁䅣兑䑂䕁䅍光歁䕁䅅兒歁䑁䅑䅍䅁䱁䅅䅁卂䅁䅁睊扂䕁䄰兓時䕁䅑睑䝂䕁䅅杢桂䝁䅷入穂䝁䅫督時䡁䅙免杁䍁䅧杍灁䍁䄴䅥獂䡁䅍兢摂䕁䅑睑䝂䍁䅣光歁䕁䅍兖歁䑁䅕免䅁䅁䐸䅁捁䅁䅁兓剂䙁䅑免㍁䑁䅫杍㉁䑁䅁李㑁䑁䅙䅎䅁䅁䔴䅁浂䅁䅁睊扂䕁䄰兓時䕁䅑睑䝂䕁䅅杢桂䝁䅷入穂䝁䅫督時䡁䅙免杁䍁䄰䅉䑂䝁䄸䅣㕂䍁䄴䅥獂䡁䅍兢摂䕁䅑睑䝂䍁䅣光歁䙁䅧䅊硁䑁䅑睍㙁䍁䅑䅗歁䑁䅅䅎㑁䅁䅁兴䅉䅁䄴䅁橁䕁䅕杕卂䕁䄸杕䅁乁䅉䅁杂䅁䅁睊扂䕁䄰兓時䕁䅑睑䝂䕁䅅杢桂䝁䅷入穂䝁䅫督時䡁䅙免杁䍁䅧杍灁䍁䄴䅥獂䡁䅍兢摂䕁䅑睑䝂䍁䅣光歁䕁䅣䅊硁䑁䅁睍㙁䍁䅑睒歁䑁䅅睍睁䅁䅁杆䅍䍁䄴䅁橁䕁䅑兖兂䕁䅷兓䑂䕁䅅䅖䙂䍁䅁睔兂䙁䅑兓偂䕁䄴䅉䱂䕁䅕兗呂䅁䅁䄹䅑䕁䅙䅁湁䙁䅳䅒䑂䕁䅙䅉䑂䝁䄸杢㉂䝁䅕杣穂䝁䅫睢畂䍁䄴䅥獂䡁䅍兢摂䙁䅣兑䑂䕁䅍睊桁䍁䅑兑䙂䍁䅑䅎睁䅁䅁睅䅅䉁䅁䅁汁䙁䅍䅕啂䑁䅙兎ㅁ䅁䅁睏䅕䙁䅑䅁扂䕁䄰兓時䕁䅑睑䝂䕁䅅杢桂䝁䅷入穂䝁䅫督時䡁䅙免畁䡁䅧䅢穂䝁䄰兘䕂䕁䅍杒桁䍁䅑兗歁䑁䅅䅎ㅁ䑁䅯䅊婂䍁䅑免ㅁ䑁䅁䅁奂杁䅁杇䅁䙁䅍䅕呂䑁䅉䅏㑁䑁䅣免㑁䑁䅫兏睁䅁䅁朸䅙䉁䅁䅁汁䙁䅍䅕啂䑁䅑兎㍁䅁䅁睔䅕䉁䅁䅁汁䙁䅍䅕啂䑁䅕杍㕁䅁䅁睑䅕䉁䅷䅁䩂䙁䅅䅖硁䑁䅧䅎㍁䑁䅫兏ㅁ䑁䅉李穁䅁䅁兎䅑䙁䅁䅁湁䙁䅳兔䩂䙁䄸䅒䑂䕁䅙兑畂䝁䅅䅢㕂䡁䅍兡穂䙁䄸杤硁䍁䅁䅋祁䍁䅫杌㑂䝁䅷督瑂䙁䄰䅒䑂䕁䅙睊桁䍁䅑杖歁䑁䅑睎䅁䅁䑯䅁奁䅁䅁睕兂䙁䅍䅎睁䑁䅕兎㕁䑁䅁睍祁䅁䅁䅔䅣䉁䅉䅁汁䙁䅍䅕啂䑁䅉李睁䑁䅉䅁㑁兂䅁䅅䅁䍁䅕睕兂䙁䅑兎㕁䑁䅉䅁摂兂䅁䅒䅁䍁䅣睗䕂䕁䅍杒杁䕁䅍睢畂䡁䅙党祂䡁䅍兡療䝁䄴杌㑂䝁䅷督瑂䙁䄰䅒䑂䕁䅙睊桁䍁䅑䅗歁䑁䅅免㍁䅁䅁兣䅅䍁䅁䅁䩂䙁䅅睘啂䕁䄸䅖䉂䕁䅷睘卂䕁䅕睑䙂䕁䅫杖䅁䥁䝕䅁慁䅁䅁睕兂䙁䅍睎睁䑁䅉兏祁䑁䅅李㍁䑁䅉䅁䱂䅃䅁䅅䅁䍁䅕睕兂䙁䅑睍㕁䑁䅑䅁慂兂䅁䅖䅁䙁䅳兔䩂䙁䄸䅒䑂䕁䅙兑畂䝁䅅䅢㕂䡁䅍兡穂䙁䄸杤硁䍁䄴䅥獂䡁䅍兢摂䕁䅑睑䝂䍁䅅䅊䕂䕁䄴䅊ぁ䑁䅫杏歁䕁䅑杔歁䑁䅕䅎䅁䑁䍫䅁䵁䅁䅁睉兂䕁䅕杔䕂䅁䅁关䅍䉁䅷䅁䩂䙁䅅䅖硁䑁䅧䅎㍁䑁䅫兏ㅁ䑁䅉免ぁ䅁䅁䅌䅑䉁䅯䅁呂䙁䅁睕ㅁ䑁䅫䅎ㅁ䑁䅁睍穁䑁䅧兏䅁乁䝯䅁兂䅁䅁睊扂䕁䅑睑䝂䍁䅁睑療䝁䄴杤求䡁䅉督灂䝁䄸杢畁䡁䅧䅢穂䝁䄰兘呂䝁䅧党求䡁䅑免湁䍁䅅䅊乂䍁䅑䅎㙁䍁䅑睔歁䑁䅑䅁䱂允䅁杇䅁䙁䅍䅕呂䑁䅉䅏㑁䑁䅣免㑁䑁䅫兏穁䅁䅁儹䅙䉁䅁䅁汁䙁䅍䅕啂䑁䅕免硁䅁䅁睢䅕䙁䅧䅁湁䙁䅳兔䩂䙁䄸䅒䑂䕁䅙兑畂䝁䅅䅢㕂䡁䅍兡穂䙁䄸杤硁䍁䅁兌杁䕁䅍睢睂䡁䅫杌㑂䝁䅷督瑂䙁䄰䅒䑂䕁䅙睊桁䍁䅑兗歁䑁䅅杍㍁䅁䅁睲䅉䕁䅑䅁湁䙁䅳䅒䑂䕁䅙䅉䑂䝁䄸杢㉂䝁䅕杣穂䝁䅫睢畂䍁䄴䅥獂䡁䅍兢摂䕁䅑睑䝂䍁䅣光歁䙁䅍䅊硁䑁䅧李䅁䑁䉫䅁捁䅁䅁兓剂䙁䅑免㑁䑁䅍睎ぁ䑁䅕杍睁䑁䅅䅎䅁䅁䕙䅁允䅁䅁兊呂䙁䅁䅖穁䑁䅙䅏䅁䑁䙁䅁䥂䅁䅁睗呂䙁䅁睒時䕁䅑睑䝂䕁䅅杢桂䝁䅷入穂䝁䅫督時䡁䅙免畁䡁䅧䅢穂䝁䄰兘䕂䕁䅍杒桁䍁䅑兑䡂䍁䅑䅎㍁䅁䅁䅎䅍䉁䅷䅁䩂䙁䅅䅖硁䑁䅧李ぁ䑁䅁䅎ㅁ䑁䅑睎祁䅁䅁䅴䅑䉁䅷䅁呂䙁䅁睕硁䑁䅣兏祁䑁䅣睎ㅁ䑁䅑睍睁䅁䅁兆䅙䙁䅉䅁湁䙁䅳兔䩂䙁䄸䅒䑂䕁䅙兑畂䝁䅅䅢㕂䡁䅍兡穂䙁䄸杤硁䍁䅁䅋祁䍁䅫杌㑂䝁䅷督瑂䙁䄰䅒䑂䕁䅙睊桁䍁䅑䅒佂䍁䅑䅎㑁䅁䅁儯䅉䉁䅷䅁䩂䙁䅅䅖硁䑁䅧䅎㍁䑁䅫兏ㅁ䑁䅉䅎祁䅁䅁杹䅑䉁䅯䅁佂䕁䅅睕䕂䕁䅅兕䡂䙁䅍杏塂䕁䅉䅒䅁䭁䝧䅁坂䅁䅁睗乂䕁䅫睘䡂䕁䅷睔䍂䕁䅅䅔時䙁䅣兑䑂䕁䅍兑畂䝁䅅䅢㕂䡁䅍兡穂䙁䄸杤硁䍁䄴䅥獂䡁䅍兢摂䙁䅣兑䑂䕁䅍光歁䙁䅁䅊穁䑁䅉䅁⽃䅁䅁䅣䅁䕁䄸䅣あ䝁䅫睢畂䡁䅍杏䑂䡁䅕杣祂䑁䄰兖呂䕁䅑䅌乂䝁䅅睚㥁䙁䅑䅡療䡁䅕督桂䝁䄴䅚穂䍁䅷睑療䝁䄴杤乂䝁䅕䅤潂䝁䄸䅚㥁䕁䄰兓祂䝁䅕睙療䝁䄰兢求䝁䄴䅚求䝁䅑䅁剁睁䅁杒䅁䍁䅣睗䕂䕁䅍杒杁䕁䅍睢畂䡁䅙党祂䡁䅍兡療䝁䄴杌㑂䝁䅷督瑂䙁䄰睕潂䝁䅕党あ䑁䅅睊桁䍁䅑杒歁䑁䅕䅁䅂允䅁䅅䅁䍁䅕睕兂䙁䅑睍㍁䑁䅅䅁穂兂䅁䅈䅁䕁䅫兕啂䑁䅅睎㕁䑁䅉睎㍁䑁䅕䅎㉁䑁䅫䅁敃䅂䅁杒䅁䙁䅳兔䩂䙁䄸䅒䑂䕁䅙兑畂䝁䅅䅢㕂䡁䅍兡穂䙁䄸杤硁䍁䄴䅥獂䡁䅍兢摂䕁䅑睑䝂䍁䅅䅊婂䍁䅑免祁䑁䅫䅁剂杁䅁䅖䅁䍁䅣睗呂䙁䅁睒時䕁䅑睑䝂䕁䅅杢桂䝁䅷入穂䝁䅫督時䡁䅙免杁䍁䅧睍灁䍁䄴䅥獂䡁䅍兢摂䕁䅑睑䝂䍁䅣光歁䙁䅫䅊硁䑁䅍杍䅁䝁䑕䅁允䅁䅁兊呂䙁䅁䅖穁䑁䅣睎䅁䑁䙯䅁䕂䅁䅁睊扂䙁䅣兑䑂䕁䅍䅉呂䕁䄴䅔畁䡁䅧䅢穂䝁䄰兘塂䕁䅅睑䑂䍁䅣光歁䕁䅷䅊穁䑁䅕杏歁䕁䅷䅊ぁ䑁䅫䅁桃䅁䅁䅂䅁䕁䅍䅁䩂䅂䅁村䅁䍁䅣睗䕂䕁䅍杒杁䕁䅍睢畂䡁䅙党祂䡁䅍兡療䝁䄴杌㑂䝁䅷督瑂䙁䄰䅒䑂䕁䅙睊桁䍁䅑睕歁䑁䅫杍䅁䭁䉫䅁允䅁䅁兊呂䙁䅁䅖穁䑁䅧杍䅁䙁䙫䅁䕂䅁䅁睊扂䕁䅑睑䝂䍁䅁睑療䝁䄴杤求䡁䅉督灂䝁䄸杢畁䡁䅧䅢穂䝁䄰兘䕂䕁䅍杒湁䍁䅅䅊婂䍁䅑免祁䑁䅉䅁祂允䅁杙䅁䍁䅣睗呂䙁䅁睒時䕁䅑睑䝂䕁䅅杢桂䝁䅷入穂䝁䅫督時䡁䅙免杁䍁䅧睍灁䍁䄴䅥獂䡁䅍兢摂䕁䅑睑䝂䍁䅣光歁䕁䅑䅕歁䑁䅑兏㙁䍁䅑䅒剂䍁䅑䅎㕁䅁䅁杔䅍䝁䅉䅁湁䙁䅳睕兂䕁䅣睘䕂䕁䅍杒䉂䝁䄴兙獂䡁䅫督灂䡁䅍睘㉂䑁䅅䅉潁䑁䅍克畁䡁䅧䅢穂䝁䄰兘䕂䕁䅍杒湁䍁䅅䅊奂䍁䅑免ぁ䑁䅧杏歁䙁䅧䅊硁䑁䅕睍䅁䝁䑳䅁睂䅁䅁睔睂䡁䅑兡療䝁䄴督㙁䕁䅍兤祂䡁䅉児噂䙁䅍䅒獁䕁䄰兙湂䑁䄰兔灂䝁䅷䅢灂䝁䄸杢穂䍁䅷睑療䝁䄴杤乂䝁䅕䅤潂䝁䄸䅚㥁䙁䅍杔䵂䡁䅉党橂䝁䄸兢瑂䝁䅕杢歂䝁䅕䅚䅁䩁䄸䅁允䅁䅁兊呂䙁䅁䅖ㅁ䑁䅣䅏䅁䕁䙉䅁允䅁䅁兊呂䙁䅁䅖穁䑁䅧兏䅁䑁䙕䅁䕂䅁䅁睊扂䕁䅑睑䝂䍁䅁睑療䝁䄴杤求䡁䅉督灂䝁䄸杢畁䡁䅧䅢穂䝁䄰兘䕂䕁䅍杒湁䍁䅅䅊坂䍁䅑免硁䑁䅫䅁ㅂ允䅁䅅䅁䍁䅕睕兂䙁䅑䅎睁䑁䅉䅁ㅂ兂䅁䅖䅁䍁䅣睗呂䙁䅁睒時䕁䅑睑䝂䕁䅅杢桂䝁䅷入穂䝁䅫督時䡁䅙免杁䍁䅧睍灁䍁䄴䅥獂䡁䅍兢摂䕁䅑睑䝂䍁䅣光歁䙁䅣䅊硁䑁䅑䅍䅁䝁䑙䅁允䅁䅁兊呂䙁䅁䅖㉁䑁䅅睎䅁䕁䙕䅁杁䅁䅁䅒求䝁䅕杣求䍁䅁杊杁䕁䅍睢瑂䡁䅁兙畂䡁䅫䅁塄䅂䅁䅅䅁䍁䅕睕兂䙁䅑䅎硁䑁䅕䅁䕂兂䅁䅖䅁䙁䅳睕兂䕁䅣睘䕂䕁䅍杒時䕁䅅杢桂䝁䅷入穂䝁䅫督時䡁䅙免時䕁䅳兡求䝁䅷杌㑂䝁䅷督瑂䙁䄰䅒䑂䕁䅙光歁䕁䅅䅗歁䑁䅕睎䅁䡁䥑䅁捁䅁䅁睕兂䙁䅍免㑁䑁䅑睎㕁䑁䅫兎穁䑁䅣兏䅁䅁䝅䅁慁䅁䅁村療䝁䄴䅚杁䝁䄸杣杁䕁䄴睢あ䝁䅕䅁敂杁䅁杗䅁䍁䅣睗呂䙁䅁睒時䕁䅑睑䝂䙁䄸兑畂䝁䅅䅢㕂䡁䅍兡穂䙁䄸杤硁䍁䅁杒灂䝁䄴兙獂䍁䄴䅥獂䡁䅍兢摂䕁䅑睑䝂䍁䅣光歁䕁䅅䅗歁䑁䅕睎䅁䵁䡍䅁奁䅁䅁睕兂䙁䅍免ぁ䑁䅁兎硁䑁䅉兏睁䅁䅁眵䅕䙁䅁䅁湁䙁䅳睕兂䕁䅣睘䕂䕁䅍杒䉂䝁䄴兙獂䡁䅫督灂䡁䅍睘㉂䑁䅅䅉ぁ䍁䄴䅥獂䡁䅍兢摂䕁䅑睑䝂䍁䅣光歁䙁䅣䅊硁䑁䅍免䅁䅁䘰䅁浂䅁䅁睊扂䕁䄰兓時䕁䅑睑䝂䕁䅅杢桂䝁䅷入穂䝁䅫督時䡁䅙免杁䍁䄰䅉䑂䝁䄸䅣㕂䍁䄴䅥獂䡁䅍兢摂䕁䅑睑䝂䍁䅣光歁䕁䅕䅊祁䑁䅁䅏㙁䍁䅑兒歁䑁䅉杍㑁䅁䅁兵䅉䉁䅁䅁汁䙁䅍䅕啂䑁䅕兎睁䅁䅁睥䅕䉁䅷䅁䩂䙁䅅䅖硁䑁䅣兏祁䑁䅙䅍㉁䑁䅧李ㅁ䅁䅁睰䅑䝁䅁䅁湁䙁䅳兔䩂䙁䄸䅒䑂䕁䅙兑畂䝁䅅䅢㕂䡁䅍兡穂䙁䄸杤硁䍁䅁䅋祁䍁䅫杌㑂䝁䅷督瑂䙁䄰䅒䑂䕁䅙睊桁䍁䅑兑乂䍁䅑兎㕁䑁䅯䅊䉂䕁䄰䅊㍁䑁䅉䅁䙁睁䅁䅈䅁䙁䅍䅕呂䑁䅅䅏㑁䑁䅣䅏㑁䑁䅣兎㕁䑁䅣䅁䅂睂䅁䅅䅁䍁䅕睕兂䙁䅑睎ㅁ䑁䅉䅁䉃兂䅁䅅䅁䍁䅕睕兂䙁䅑兎㉁䑁䅫䅁䡂兂䅁杇䅁䙁䅍䅕啂䙁䅉睔硁䑁䅙兏祁䑁䅙睍穁䅁䅁䅘䅉䉁䅁䅁汁䙁䅍䅕啂䑁䅑免㍁䅁䅁兕䅕䉁䅁䅁汁䙁䅍䅕啂䑁䅑杍㍁䅁䅁䅎䅕䙁䄴䅁湁䙁䅳睕兂䕁䅣睘䕂䕁䅍杒䉂䝁䄴兙獂䡁䅫督灂䡁䅍睘㉂䑁䅅䅉ぁ䍁䄴䅥獂䡁䅍兢摂䕁䅑睑䝂䍁䅣光歁䙁䅫䅊硁䑁䅕杍㙁䍁䅑兗歁䑁䅅兎穁䅁䅁䅇䅕䝁䅉䅁湁䙁䅳兔䩂䙁䄸䅒䑂䕁䅙兑畂䝁䅅䅢㕂䡁䅍兡穂䙁䄸杤硁䍁䅁兌杁䕁䅍睢睂䡁䅫杌㑂䝁䅷督瑂䙁䄰䅒䑂䕁䅙睊桁䍁䅑䅓歁䑁䅫睍㙁䍁䅑兔歁䑁䅫睍䅁䭁䍫䅁䭁䅁䅁睕兂䕁䅣兓䅁䙁䡣䅁允䅁䅁兊呂䙁䅁䅖ㅁ䑁䅍免䅁䙁䙧䅁奂䅁䅁睖桂䡁䅉杢求䡁䅉䅉䍂䡁䅉睢穂䍁䄴䅉䕂䝁䅫督橂䝁䄸杤求䡁䅉入獁䍁䅁兓畂䝁䅍杌杁䍁䅧杔䉂䙁䅍䅒䉂䙁䅅睒呂䑁䅯睖䍂䕁䅑克䅁䱁䝕䅁捁䅁䅁睕兂䙁䅍免㍁䑁䅫杍㍁䑁䅣兎ぁ䑁䅍杍䅁䱁䘰䅁允䅁䅁兊呂䙁䅁䅖ぁ䑁䅉兏䅁䡁䙙䅁兂䅁䅁睊扂䕁䅑睑䝂䍁䅁睑療䝁䄴杤求䡁䅉督灂䝁䄸杢畁䡁䅧䅢穂䝁䄰兘呂䝁䅧党求䡁䅑免湁䍁䅅䅊佂䍁䅑睍㙁䍁䅑兕歁䑁䅍䅁佂允䅁䅈䅁䙁䅍䅕呂䑁䅅䅏祁䑁䅅䅎硁䑁䅁杍㕁䑁䅕䅁䅃睂䅁䅅䅁䍁䅕睕兂䙁䅑䅎穁䑁䅑䅁䭂兂䅁杙䅁䍁䅣睗呂䙁䅁睒時䕁䅑睑䝂䕁䅅杢桂䝁䅷入穂䝁䅫督時䡁䅙免杁䍁䅧免灁䍁䄴䅥獂䡁䅍兢摂䕁䅑睑䝂䍁䅣光歁䕁䅉䅗歁䑁䅕睍㙁䍁䅑睑䉂䍁䅑兎穁䅁䅁杮䅍䉁䅁䅁汁䙁䅍䅕啂䑁䅕睎睁䅁䅁䅥䅕䉁䅯䅁偂䡁䅁䅤灂䝁䄸杢穂䑁䅯杔䉂䑁䄰䅍䅁偁䕅䅁卂䅁䅁睊扂䕁䄰兓時䕁䅑睑䝂䕁䅅杢桂䝁䅷入穂䝁䅫督時䡁䅙免杁䍁䅧杍灁䍁䄴䅥獂䡁䅍兢摂䕁䅑睑䝂䍁䅣光歁䙁䅫䅊硁䑁䅍杍䅁䉁䑳䅁捁䅁䅁睕兂䙁䅍免㑁䑁䅧睎睁䑁䅍䅍㕁䑁䅕兏䅁偁䘴䅁捁䅁䅁兓剂䙁䅑免㑁䑁䅑睎㕁䑁䅫兎ぁ䑁䅁睎䅁䅁䔸䅁䕂䅁䅁睊扂䕁䅑睑䝂䍁䅁睑療䝁䄴杤求䡁䅉督灂䝁䄸杢畁䡁䅧䅢穂䝁䄰兘䕂䕁䅍杒湁䍁䅅䅊啂䍁䅑免㑁䑁䅙䅁㉁允䅁杒䅁䙁䅳兔䩂䙁䄸䅒䑂䕁䅙兑畂䝁䅅䅢㕂䡁䅍兡穂䙁䄸杤硁䍁䄴䅥獂䡁䅍兢摂䕁䅑睑䝂䍁䅅䅊婂䍁䅑免穁䑁䅅䅁婄杁䅁杙䅁䍁䅣睗呂䙁䅁睒時䕁䅑睑䝂䕁䅅杢桂䝁䅷入穂䝁䅫督時䡁䅙免杁䍁䅧睍灁䍁䄴䅥獂䡁䅍兢摂䕁䅑睑䝂䍁䅣光歁䕁䅑䅒歁䑁䅕睍㙁䍁䅑䅒䝂䍁䅑兎穁䅁䅁兘䅍䉁䅁䅁汁䙁䅍䅕啂䑁䅑睍ㅁ䅁䅁材䅕䉁䅷䅁呂䙁䅁睕硁䑁䅧杍穁䑁䅧睎㑁䑁䅅睎睁䅁䅁䄶䅕䉁䅷䅁䩂䙁䅅䅖硁䑁䅧李ぁ䑁䅁䅎㉁䑁䅑兎ㅁ䅁䅁䅐䅑䉁䅁䅁汁䙁䅍䅕啂䑁䅑兏㉁䅁䅁入䅕䙁䅙䅁扂䙁䅍䅕䡂䙁䄸䅒䑂䕁䅙兑畂䝁䅅䅢㕂䡁䅍兡穂䙁䄸杤硁䍁䄴䅥獂䡁䅍兢摂䕁䅑睑䝂䍁䅅䅊䕂䙁䅁䅊ぁ䑁䅫杏歁䕁䅑兕歁䑁䅑兏䅁䍁䑫䅁允䅁䅁兊呂䙁䅁䅖ぁ䑁䅑睍䅁䕁䙷䅁捁䅁䅁睕兂䙁䅍免㑁䑁䅑睎㕁䑁䅫兎穁䑁䅣李䅁䍁䝧䅁捁䅁䅁兓剂䙁䅑免㑁䑁䅧睎睁䑁䅍䅍㕁䑁䅣杍䅁䅁䕉䅁䝂䅁䅁睗乂䕁䅫睘䕂䕁䅍杒䉂䝁䄴兙獂䡁䅫督灂䡁䅍睘㉂䑁䅅杌㑂䝁䅷督瑂䙁䄰䅒䑂䕁䅙光歁䙁䅯䅊硁䑁䅑䅍䅁䅁䍑䅁兂䅁䅁睗乂䕁䅫睘䕂䕁䅍杒䉂䝁䄴兙獂䡁䅫督灂䡁䅍睘㉂䑁䅅杌㑂䝁䅷督瑂䙁䄰䅒䑂䕁䅙光歁䕁䅧䅊㕁䑁䅫杏歁䕁䄰䅊㕁䑁䅫䅁塄杁䅁䅅䅁䍁䅕睕兂䙁䅑李硁䑁䅧䅁牂兂䅁杒䅁䍁䅣睗䕂䕁䅍杒杁䕁䅍睢畂䡁䅙党祂䡁䅍兡療䝁䄴杌㑂䝁䅷督瑂䙁䄰睕潂䝁䅕党あ䑁䅅睊桁䍁䅑睓歁䑁䅉䅁䩂允䅁䅅䅁䍁䅕睕兂䙁䅑䅎ぁ䑁䅣䅁䉂兂䅁䅅䅁䍁䅕睕兂䙁䅑兎㉁䑁䅑䅁時兂䅁杇䅁䙁䅍䅕呂䑁䅉䅏㑁䑁䅣免㑁䑁䅫兏祁䅁䅁䄹䅙䉁䅁䅁汁䙁䅍䅕啂䑁䅑兎ㅁ䅁䅁杔䅕䉁䅯䅁呂䙁䅁睕祁䑁䅧䅏㍁䑁䅅䅏㕁䑁䅧杍䅁䵁䝉䅁敂䅁䅁睊扂䙁䅍䅕䡂䙁䄸䅒䑂䕁䅙兑畂䝁䅅䅢㕂䡁䅍兡穂䙁䄸杤硁䍁䅁䅋穁䍁䅫杌㑂䝁䅷督瑂䙁䄰䅒䑂䕁䅙睊桁䍁䅑䅓歁䑁䅫䅏㙁䍁䅑兔歁䑁䅫䅏䅁䙁䐸䅁允䅁䅁兊呂䙁䅁䅖ぁ䑁䅙睎䅁䕁䙙䅁䝂䅁䅁睊扂䕁䅑睑䝂䍁䅁睑療䝁䄴杤求䡁䅉督灂䝁䄸杢畁䡁䅧䅢穂䝁䄰兘呂䝁䅧党求䡁䅑免湁䍁䅅䅊䥂䍁䅑睍䅁䕁䉅䅁允䅁䅁兊呂䙁䅁䅖ㅁ䑁䅧睍䅁䝁䙫䅁䭁䅁䅁杒婂䍁䄰李䅁䝁䝧䅁允䅁䅁兊呂䙁䅁䅖ぁ䑁䅧杍䅁䙁䙑䅁敂䅁䅁睊扂䙁䅍䅕䡂䙁䄸䅒䑂䕁䅙兑畂䝁䅅䅢㕂䡁䅍兡穂䙁䄸杤硁䍁䅁䅎畁䡁䅧䅢穂䝁䄰兘䕂䕁䅍杒湁䍁䅅䅊䡂䍁䅑杍ぁ䑁䅧杏歁䕁䄰䅊祁䑁䅑䅏䅁䅁䙯䅁允䅁䅁兊呂䙁䅁䅖ぁ䑁䅫免䅁䙁䙕䅁允䅁䅁兊呂䙁䅁䅖ㅁ䑁䅁李䅁䕁䙫䅁捁䅁䅁杒ㅂ䝁䄴䅚灂䝁䄴睚杁䙁䅑入睂䝁䅕䅉䅁䍁䅫䅁慁䅁䅁睕兂䙁䅍杍㑁䑁䅧睎硁䑁䅧兏㑁䑁䅑䅁䕄杂䅁䅈䅁䕁䅫兕啂䑁䅅䅏ぁ䑁䅣兏㕁䑁䅕杍睁䑁䅧䅁睄睁䅁杖䅁䙁䅳兔䩂䙁䄸睖䉂䕁䅍睑䉂䝁䄴兙獂䡁䅫督灂䡁䅍睘㉂䑁䅅杌㑂䝁䅷督瑂䙁䄰睖䉂䕁䅍睑桁䍁䅑兕歁䑁䅍睍㙁䍁䅑兑䉂䍁䅑睍穁䅁䅁兄䅅䍁䅙䅁扂䕁䅉睢療䝁䅳免摂䙁䅍䅡求䝁䅕䅤硁䍁䅅䅊䉂䍁䅑免䅁䉁䅁䅁允䅁䅁兊呂䙁䅁䅖㍁䑁䅁䅎䅁䥁䙁䅁杁䅁䅁免瑂䍁䅁睕睂䝁䅅杢灂䡁䅍䅡杁䕁䅉兡獂䝁䅷䅁䱄杁䅁杇䅁䙁䅍䅕呂䑁䅉䅏㑁䑁䅣免㑁䑁䅫兏ぁ䅁䅁朹䅙䉁䅁䅁汁䙁䅍䅕啂䑁䅕免㉁䅁䅁睖䅕䉁䅯䅁䩂䙁䅅䅖祁䑁䅕䅎㕁䑁䅍兎睁䑁䅫䅏䅁䅁䕫䅁慁䅁䅁睕兂䙁䅍杍㑁䑁䅧睎硁䑁䅧兏㕁䑁䅕䅁㍄杂䅁䅅䅁䍁䅕睕兂䙁䅑兎硁䑁䅣䅁䅂兂䅁䅅䅁䍁䅕睕兂䙁䅑睎ぁ䑁䅣䅁煂兂䅁杔䅁䕁䅯兙牂䝁䅅杣あ䝁䅅䅉呂䡁䅑睢橂䝁䅳䅉䙂䡁䅧睙潂䝁䅅杢湂䝁䅕䅉䑂䝁䄸兢睂䝁䄸督灂䡁䅑党杁䕁䅫杢歂䝁䅕䅥䅁䙁䅅䅁䕂䅁䅁睗乂䕁䅫睘䕂䕁䅍杒䉂䝁䄴兙獂䡁䅫督灂䡁䅍睘㉂䑁䅅杌㑂䝁䅷督瑂䙁䄰䅒䑂䕁䅙光歁䙁䅙䅊ぁ䑁䅙䅁汄杁䅁䅅䅁䍁䅕睕兂䙁䅑兎ぁ䑁䅕䅁㥁兂䅁䅈䅁䕁䅫兕啂䑁䅅睎㕁䑁䅉李睁䑁䅙䅏ㅁ䑁䅉䅁硃䅂䅁䅅䅁䍁䅕睕兂䙁䅑兎ㅁ䑁䅕䅁㕁兂䅁䅈䅁䕁䅫兕啂䑁䅅睎㕁䑁䅉李睁䑁䅙䅏㉁䑁䅁䅁偃䅂䅁䅅䅁䍁䅕睕兂䙁䅑睎ㅁ䑁䅣䅁歂兂䅁䅅䅁䍁䅕睕兂䙁䅑兎ㅁ䑁䅙䅁潂兂䅁䅈䅁䕁䅫兕啂䑁䅅睎㕁䑁䅉李睁䑁䅙䅏㉁䑁䅍䅁呂䅂䅁杈䅁䕁䅫兕時䙁䅁杕䙂䕁䅙睘䙂䙁䅅兖䩂䙁䅑兗䅁䕁䕙䅁歂䅁䅁睔睂䡁䅑兡療䝁䄴督㙁䕁䅍兤祂䡁䅉児噂䙁䅍䅒獁䍁䅁兔桂䝁䅣児㉁䍁䅷䅉䑂䝁䄸杢㉂䕁䄰党あ䝁䅧睢歂䑁䄰兔䩂䡁䅉党橂䝁䄸兢瑂䝁䅕杢歂䝁䅕䅚䅁乁䅫䅁奁䅁䅁睕兂䙁䅍免ぁ䑁䅁睍㑁䑁䅣䅍ㅁ䅁䅁眳䅕䉁䅷䅁䩂䙁䅅䅖硁䑁䅧李ぁ䑁䅁䅎㉁䑁䅑兎㑁䅁䅁条䅑䙁䅑䅁扂䕁䄰兓時䕁䅑睑䝂䕁䅅杢桂䝁䅷入穂䝁䅫督時䡁䅙免畁䡁䅧䅢穂䝁䄰兘䕂䕁䅍杒桁䍁䅑䅗歁䑁䅅䅎穁䑁䅯䅊奂䍁䅑免ぁ䑁䅧䅁千杁䅁䅅䅁䍁䅕睕兂䙁䅑兎㉁䑁䅉䅁扂兂䅁杕䅁䍁䅣睗䕂䕁䅍杒杁䕁䅍睢畂䡁䅙党祂䡁䅍兡療䝁䄴杌㑂䝁䅷督瑂䙁䄰䅒䑂䕁䅙睊桁䍁䅑兑䥂䍁䅑兎祁䑁䅯䅊䉂䕁䅧䅊㉁䑁䅍䅁权允䅁䅅䅁䍁䅕睕兂䙁䅑兎㕁䑁䅣䅁㡂兂䅁䅅䅁䍁䅕睕兂䙁䅑李祁䑁䅉䅁穁兂䅁䅕䅁䍁䅣睗呂䙁䅁睒時䕁䅑睑䝂䕁䅅杢桂䝁䅷入穂䝁䅫督時䡁䅙免杁䑁䅑杌㑂䝁䅷督瑂䙁䄰䅒䑂䕁䅙睊桁䍁䅑睖歁䑁䅅䅎睁䅁䅁充䅕䉁䅯䅁呂䙁䅁睕祁䑁䅧䅏㍁䑁䅅䅏㕁䑁䅧免䅁䵁䝅䅁䵁䅁䅁兊呂䙁䅁䅖㉁䅁䅁兢䅕䉁䅁䅁汁䙁䅍䅕啂䑁䅙䅍ㅁ䅁䅁睓䅕䉁䅁䅁汁䙁䅍䅕啂䑁䅙免睁䅁䅁杙䅕䝁䄴䅁偂䡁䅁䅤灂䝁䄸杢穂䑁䅯睑ㅂ䡁䅉杣㥁䙁䅕睕䕂䍁䅷兔桂䝁䅣児乂䝁䅫䅢獂䝁䅫睢畂䡁䅍䅌䑂䝁䄸杢㉂䕁䄰党あ䝁䅧睢歂䑁䄰兔䩂䡁䅉党橂䝁䄸兢瑂䝁䅕杢歂䝁䅕䅚䅁佁䅍䅁䭂䅁䅁睗乂䕁䅫睘塂䕁䅅睑䑂䕁䅅杢桂䝁䅷入穂䝁䅫督時䡁䅙免畁䡁䅧䅢穂䝁䄰兘塂䕁䅅睑䑂䍁䅅䅊䑂䙁䅧䅊穁䑁䅣䅁剁允䅁䅕䅁䍁䅣睗䕂䕁䅍杒杁䕁䅍睢畂䡁䅙党祂䡁䅍兡療䝁䄴杌㑂䝁䅷督瑂䙁䄰睕潂䝁䅕党あ䑁䅅睊桁䍁䅑杔歁䑁䅑杏歁䙁䅕䅊ぁ䅁䅁杖䅅䉁䅉䅁佂䙁䅫睕䙂䑁䅯兓䍂䕁䄰䅁祄䅂䅁杇䅁䙁䅍䅕呂䑁䅑睍硁䑁䅅兎㑁䑁䅫兏㍁䅁䅁睌䅙䉁䅁䅁汁䙁䅍䅕啂䑁䅙杍穁䅁䅁兦䅕䉁䅯䅁呂䙁䅁睕祁䑁䅧䅏㍁䑁䅅䅏㕁䑁䅧䅍䅁䵁䝁䅁䵁䅁䅁兊呂䙁䅁䅖㍁䅁䅁杚䅕䝁䅉䅁湁䙁䅳睕兂䕁䅣睘䕂䕁䅍杒䉂䝁䄴兙獂䡁䅫督灂䡁䅍睘㉂䑁䅅䅉硁䍁䅁䅋硁䍁䅫杌㑂䝁䅷督瑂䙁䄰䅒䑂䕁䅙睊桁䍁䅑杖歁䑁䅕免㙁䍁䅑杖歁䑁䅕李䅁䵁䑍䅁慁䅁䅁兓剂䙁䅑杍ぁ䑁䅙睎ぁ䑁䅍李穁䑁䅣䅁牂䅂䅁䅈䅁䙁䅍䅕呂䑁䅅䅏硁䑁䅅兏祁䑁䅕睍祁䑁䅁䅁汁䅃䅁杙䅁䍁䅣睗乂䕁䅫睘䕂䕁䅍杒䉂䝁䄴兙獂䡁䅫督灂䡁䅍睘㉂䑁䅅䅉瑁䍁䅁睑療䡁䅁入畁䡁䅧䅢穂䝁䄰兘䕂䕁䅍杒湁䍁䅅䅊坂䍁䅑䅎㉁䑁䅯䅊坂䍁䅑兎硁䅁䅁睮䅉䉁䅁䅁汁䙁䅍䅕啂䑁䅙睍硁䅁䅁䅙䅕䝁䅁䅁湁䙁䅳睕兂䕁䅣睘䕂䕁䅍杒䉂䝁䄴兙獂䡁䅫督灂䡁䅍睘㉂䑁䅅䅉潁䑁䅅克畁䡁䅧䅢穂䝁䄰兘䕂䕁䅍杒湁䍁䅅䅊奂䍁䅑䅎㍁䑁䅯䅊䉂䕁䅕䅊ぁ䑁䅣䅁婃睁䅁䅅䅁䍁䅕睕兂䙁䅑李穁䑁䅍䅁⭂兂䅁䅅䅁䍁䅕睕兂䙁䅑李ぁ䑁䅉䅁⽁兂䅁䅅䅁䕁䄴兗呂䕁䅕杏䕂䕁䅕䅁慁䅂䅁杒䅁䙁䅳兔䩂䙁䄸䅒䑂䕁䅙兑畂䝁䅅䅢㕂䡁䅍兡穂䙁䄸杤硁䍁䄴䅥獂䡁䅍兢摂䕁䅑睑䝂䍁䅅䅊䑂䙁䅣䅊ぁ䑁䅕䅁䭁杁䅁杇䅁䕁䅫兕啂䑁䅉䅎㉁䑁䅣䅎穁䑁䅙䅍ㅁ䅁䅁䅱䅑䉁䅁䅁汁䙁䅍䅕啂䑁䅙䅎㍁䅁䅁睤䅕䅁䄴䅁䉂䕁䅍杔瑁䙁䅕睕䅁佁䅕䅁奁䅁䅁睕兂䙁䅍睎㕁䑁䅅䅎硁䑁䅉兏穁䅁䅁六䅕䉁䅯䅁呂䙁䅁睕祁䑁䅧䅏㍁䑁䅅䅏㕁䑁䅫李䅁偁䝧䅁䭂䅁䅁睑療䝁䄰睙桂䡁䅍䅤杁䕁䅍睢祂䡁䅁睢祂䝁䅅䅤灂䝁䄸杢杁䍁䅧杔䉂䙁䅍䅒䉂䙁䅅睒呂䑁䅯睑乂䕁䅍睕䉂䍁䅫䅁睃杂䅁䅕䅁䙁䅳兔䩂䙁䄸睖塂䙁䄸睖䉂䕁䅍睑䉂䝁䄴兙獂䡁䅫督灂䡁䅍睘㉂䑁䅅杌㑂䝁䅷督瑂䙁䄰睖䉂䕁䅍睑桁䍁䅑睑奂䍁䅑睍㍁䅁䅁术䅁䙁䅧䅁湁䙁䅳兔䩂䙁䄸䅒䑂䕁䅙兑畂䝁䅅䅢㕂䡁䅍兡穂䙁䄸杤硁䍁䅁兌杁䕁䅍睢睂䡁䅫杌㑂䝁䅷督瑂䙁䄰䅒䑂䕁䅙睊桁䍁䅑睖歁䑁䅅睍ㅁ䅁䅁䅳䅉䉁䅁䅁汁䙁䅍䅕啂䑁䅙兎穁䅁䅁兙䅕䉁䅁䅁汁䙁䅍䅕啂䑁䅙兎㕁䅁䅁李䅕䅁䅧䅁䵂䕁䅙杕䅁䕁䕣䅁杂䅁䅁睊扂䕁䄰兓時䕁䅑睑䝂䕁䅅杢桂䝁䅷入穂䝁䅫督時䡁䅙免杁䍁䅧杍灁䍁䄴䅥獂䡁䅍兢摂䕁䅑睑䝂䍁䅣光歁䙁䅧䅊硁䑁䅍䅎㙁䍁䅑䅗歁䑁䅅睍ㅁ䅁䅁杇䅍䕁䅑䅁扂䕁䄰兓時䕁䅑睑䝂䕁䅅杢桂䝁䅷入穂䝁䅫督時䡁䅙免畁䡁䅧䅢穂䝁䄰兘䕂䕁䅍杒桁䍁䅑杖歁䑁䅑杍䅁䥁䍅䅁捁䅁䅁睕兂䙁䅍免㍁䑁䅫杍㉁䑁䅁李㍁䑁䅧䅏䅁䩁䘸䅁捁䅁䅁兓剂䙁䅑免㍁䑁䅫杍㉁䑁䅁李㑁䑁䅕李䅁䉁䔰䅁捁䅁䅁睕兂䙁䅍免㉁䑁䅣免㍁䑁䅍䅎硁䑁䅍兏䅁䙁䝕䅁允䅁䅁兊呂䙁䅁䅖㉁䑁䅙䅍䅁䑁䙷䅁䕂䅁䅁睊扂䕁䅑睑䝂䍁䅁睑療䝁䄴杤求䡁䅉督灂䝁䄸杢畁䡁䅧䅢穂䝁䄰兘䕂䕁䅍杒湁䍁䅅䅊呂䍁䅑免硁䑁䅉䅁㑂允䅁䅅䅁䍁䅕睕兂䙁䅑李㉁䑁䅧䅁橂兂䅁杕䅁䍁䅣睗乂䕁䅫睘䕂䕁䅍杒䉂䝁䄴兙獂䡁䅫督灂䡁䅍睘㉂䑁䅅䅉潁䑁䅉克畁䡁䅧䅢穂䝁䄰兘䕂䕁䅍杒湁䍁䅅䅊婂䍁䅑免穁䑁䅅䅁婁睁䅁䅅䅁䍁䅕睕兂䙁䅑李㍁䑁䅁䅁⽂兂䅁杕䅁䍁䅣睗乂䕁䅫睘䕂䕁䅍杒䉂䝁䄴兙獂䡁䅫督灂䡁䅍睘㉂䑁䅅䅉潁䑁䅉克畁䡁䅧䅢穂䝁䄰兘䕂䕁䅍杒湁䍁䅅䅊塂䍁䅑免ぁ䑁䅁䅁捁睁䅁䅈䅁䕁䅫兕啂䑁䅅䅏ぁ䑁䅣兏㕁䑁䅕䅎睁䑁䅑䅁䭂䅂䅁杒䅁䕁䄴杖䩂䕁䅑兓䉂䍁䅁睑療䡁䅉䅣療䡁䅉兙あ䝁䅫睢畂䍁䅁䅋佂䕁䅅睕䕂䕁䅅兕䡂䙁䅍杏佂䙁䅙䅒䉂䍁䅫䅁⭃睂䅁䅅䅁䍁䅕睕兂䙁䅑李㑁䑁䅕䅁乂兂䅁杙䅁䕁䄸䅣あ䝁䅫睢畂䡁䅍杏䑂䡁䅕杣祂䑁䄰兖呂䕁䅑䅌乂䝁䅅睚㥁䑁䅙䅌䑂䝁䄸杢㉂䕁䄰党あ䝁䅧睢歂䑁䄰睕佂䕁䅷杣求䝁䅍睢瑂䝁䄰党畂䝁䅑党歂䅁䅁眱䅁䉁䅁䅁汁䙁䅍䅕啂䑁䅙䅏㕁䅁䅁杘䅕䉁䅁䅁䝂䙁䅅杍祁䑁䅁杍睁䅁䅁睎䅉䉁䅷䅁呂䙁䅁睕硁䑁䅧杍穁䑁䅧睎㑁䑁䅅睎祁䅁䅁睖䅙䉁䅁䅁汁䙁䅍䅕啂䑁䅙兏㉁䅁䅁党䅕䙁䅉䅁湁䙁䅳䅒䑂䕁䅙䅉䑂䝁䄸杢㉂䝁䅕杣穂䝁䅫睢畂䍁䄴䅥獂䡁䅍兢摂䕁䅑睑䝂䍁䅣光歁䕁䅑兑歁䑁䅍兏㙁䍁䅑䅒䑂䍁䅑睍㕁䅁䅁兌䅅䉁䅷䅁䩂䙁䅅䅖硁䑁䅧李ぁ䑁䅁䅎㉁䑁䅑兎㍁䅁䅁睷䅑䉁䅷䅁呂䙁䅁睕硁䑁䅧杍穁䑁䅧睎㑁䑁䅅睎穁䅁䅁睸䅕䉁䅁䅁汁䙁䅍䅕啂䑁䅙兏㍁䅁䅁䅕䅕䉁䅯䅁呂䙁䅁睕ぁ䑁䅁杍睁䑁䅣䅍㑁䑁䅣䅎䅁䡁䡁䅁兂䅁䅁睊扂䕁䄰兓時䕁䅑睑䝂䕁䅅杢桂䝁䅷入穂䝁䅫督時䡁䅙免杁䍁䅧杍灁䍁䄴䅥獂䡁䅍兢摂䕁䅑睑䝂䍁䅣光歁䕁䅉䅊㕁䑁䅧䅁啁睁䅁杒䅁䙁䅳兔䩂䙁䄸䅒䑂䕁䅙兑畂䝁䅅䅢㕂䡁䅍兡穂䙁䄸杤硁䍁䄴䅥獂䡁䅍兢摂䕁䅑睑䝂䍁䅅䅊塂䍁䅑免穁䑁䅕䅁乃杁䅁杔䅁䍁䅣睗䕂䕁䅍杒杁䕁䅍睢畂䡁䅙党祂䡁䅍兡療䝁䄴杌㑂䝁䅷督瑂䙁䄰䅒䑂䕁䅙睊桁䍁䅑杕歁䑁䅑睍㙁䍁䅑杕歁䑁䅑䅏䅁䭁䉍䅁允䅁䅁村䙂䕁䅷兒奂䑁䅅兎䅁䑁䅷䅁流䅁䅁免㕂䍁䅁兑ㅂ䡁䅍䅤祂䝁䅅䅢灂䝁䅅杢杁䕁䄴睢あ䝁䅕䅁䑄杁䅁杒䅁䍁䅣睗䕂䕁䅍杒杁䕁䅍睢畂䡁䅙党祂䡁䅍兡療䝁䄴杌㑂䝁䅷督瑂䙁䄰睕潂䝁䅕党あ䑁䅅睊桁䍁䅑䅓歁䑁䅉䅁⽁允䅁䅅䅁䍁䅕睕兂䙁䅑睎睁䑁䅍䅁坂兂䅁䅗䅁䍁䅣睗乂䕁䅫睘䕂䕁䅍杒䉂䝁䄴兙獂䡁䅫督灂䡁䅍睘㉂䑁䅅䅉瑁䍁䅁睑療䡁䅁入畁䡁䅧䅢穂䝁䄰兘䕂䕁䅍杒湁䍁䅅䅊塂䍁䅑免祁䑁䅙䅁獃杁䅁䅅䅁䍁䅕睕兂䙁䅑睎祁䑁䅣䅁獂兂䅁杉䅁䙁䅍党畂䝁䅫睢祂䍁䅁兖畂䡁䅍党橂䡁䅕杣求䝁䅑䅁癄睁䅁杇䅁䕁䅫兕時䙁䅉兖䉂䙁䄸睒卂䕁䄸睕呂䅁䅁䅨䅍䉁䅷䅁呂䙁䅁睕硁䑁䅧䅎㍁䑁䅫兏ㅁ䑁䅍䅏㑁䅁䅁儰䅕䉁䅧䅁呂䙁䅁睕穁䑁䅉杍硁䑁䅍睍睁䑁䅙䅁汁杂䅁䅅䅁䍁䅕睕兂䙁䅑睎穁䑁䅉䅁䥂兂䅁䅒䅁䙁䅳兔䩂䙁䄸䅒䑂䕁䅙兑畂䝁䅅䅢㕂䡁䅍兡穂䙁䄸杤硁䍁䄴䅥獂䡁䅍兢摂䕁䅑睑䝂䍁䅅䅊坂䍁䅑䅎睁䅁䅁睂䅉䉁䅷䅁䩂䙁䅅䅖硁䑁䅣兏祁䑁䅙䅍㉁䑁䅧兎ぁ䅁䅁兄䅑䉁䅁䅁汁䙁䅍䅕啂䑁䅣䅎硁䅁䅁杢䅕䉁䅧䅁偂䡁䅁䅤灂䝁䄸杢穂䑁䅯杔䉂䑁䄰䅁楃睂䅁䅓䅁䙁䅳兔䩂䙁䄸睖䉂䕁䅍睑䉂䝁䄴兙獂䡁䅫督灂䡁䅍睘㉂䑁䅅杌㑂䝁䅷督瑂䙁䄰睖䉂䕁䅍睑桁䍁䅑䅕歁䑁䅍杍䅁䅁䉳䅁䕂䅁䅁睊扂䙁䅣兑䑂䕁䅍䅉呂䕁䄴䅔畁䡁䅧䅢穂䡁䅧兘塂䕁䅅睑䑂䍁䅣光歁䕁䅷䅊穁䑁䅑杏歁䕁䅷䅊ぁ䑁䅕䅁㉁䅁䅁䅈䅁䕁䄴兑呂䕁䅑兑剂䕁䅣睕㙁䕁䅍䅓啂䙁䅉䅁煃杂䅁杇䅁䙁䅍䅕呂䑁䅉杍穁䑁䅫睍祁䑁䅙李睁䅁䅁眶䅣䉁䅷䅁䩂䙁䅅䅖硁䑁䅧䅎㍁䑁䅫兏ㅁ䑁䅑免ㅁ䅁䅁兘䅑䕁䅑䅁扂䕁䄰兓時䕁䅑睑䝂䕁䅅杢桂䝁䅷入穂䝁䅫督時䡁䅙免畁䡁䅧䅢穂䝁䄰兘䕂䕁䅍杒桁䍁䅑杖歁䑁䅑睍䅁䕁䍁䅁捁䅁䅁睕兂䙁䅍免㍁䑁䅫杍㉁䑁䅁李㍁䑁䅧兏䅁䑁䝑䅁捁䅁䅁兓剂䙁䅑免㍁䑁䅫杍㉁䑁䅁李㑁䑁䅕睎䅁佁䑧䅁佁䅁䅁䅖䑂䕁䄸兌噂䙁䅍䅁䙁允䅁䅈䅁䙁䅍䅕呂䑁䅅李㍁䑁䅅睎穁䑁䅑免穁䑁䅧䅁煃兂䅁䅅䅁䍁䅕睕兂䙁䅑睎ぁ䑁䅉䅁㙂兂䅁杒䅁䙁䅳兔䩂䙁䄸䅒䑂䕁䅙兑畂䝁䅅䅢㕂䡁䅍兡穂䙁䄸杤硁䍁䄴䅥獂䡁䅍兢摂䕁䅑睑䝂䍁䅅䅊塂䍁䅑免穁䑁䅣䅁卂杁䅁杕䅁䍁䅣睗䕂䕁䅍杒杁䕁䅍睢畂䡁䅙党祂䡁䅍兡療䝁䄴杌㑂䝁䅷督瑂䙁䄰䅒䑂䕁䅙睊桁䍁䅑䅖歁䑁䅅杍ぁ䑁䅯䅊啂䍁䅑免祁䑁䅕䅁祃允䅁䅈䅁䙁䅍䅕呂䑁䅅䅏祁䑁䅍䅏㍁䑁䅧免㍁䑁䅅䅁睃兂䅁䅅䅁䍁䅕睕兂䙁䅑睎ㅁ䑁䅧䅁湂兂䅁杇䅁䙁䅍䅕呂䑁䅕兏ぁ䑁䅕䅍穁䑁䅑免㕁䅁䅁杉䅣䉁䅁䅁汁䙁䅍䅕啂䑁䅣李硁䅁䅁䅣䅕䅁䅯䅁祁䑁䅁杍祁䅁䅁䅣䅙䍁䅉䅁呂䙁䅁睘䵂䕁䅅睕啂䙁䅍兑䵂䕁䅕䅕卂䕁䅫睑䙂䅁䅁睌䅕䉁䅯䅁䩂䙁䅅䅖祁䑁䅕䅎㕁䑁䅉䅏ㅁ䑁䅉睍䅁䅁䕑䅁慁䅁䅁睕兂䙁䅍兎㕁䑁䅑李祁䑁䅁杍㍁䑁䅫䅁睄杂䅁䅅䅁䍁䅕睕兂䙁䅑睎㉁䑁䅍䅁呂兂䅁权䅁䑁䅉䅍祁䑁䅁䅁獂杂䅁䅅䅁䕁䅫村䙂䙁䅧䅉穁䑁䅕䅁佂䅁䅁䅖䅁䙁䅳睕兂䕁䅣睘䕂䕁䅍杒時䕁䅅杢桂䝁䅷入穂䝁䅫督時䡁䅙免時䕁䅙兡畂䝁䅅䅢畁䡁䅧䅢穂䝁䄰兘䕂䕁䅍杒桁䍁䅑䅔歁䑁䅅睍䅁偁䡣䅁卂䅁䅁睊扂䕁䅑睑䝂䍁䅁睑療䝁䄴杤求䡁䅉督灂䝁䄸杢畁䡁䅧䅢穂䝁䄰兘䕂䕁䅍杒湁䍁䅅䅊啂䍁䅑免㕁䑁䅁杏歁䙁䅑䅊祁䑁䅁免䅁䩁䉷䅁慁䅁䅁睕兂䙁䅍兎㕁䑁䅑兎睁䑁䅍䅎硁䑁䅅䅁扁睂䅁杇䅁䙁䅍䅕呂䑁䅕兏ぁ䑁䅙杍睁䑁䅉睎穁䅁䅁䄷䅙䕁䅑䅁湁䙁䅳䅒䑂䕁䅙䅉䑂䝁䄸杢㉂䝁䅕杣穂䝁䅫睢畂䍁䄴䅥獂䡁䅍兢摂䕁䅑睑䝂䍁䅣光歁䕁䅍杗歁䑁䅑䅎䅁䭁䉣䅁允䅁䅁兊呂䙁䅁䅖㍁䑁䅙兏䅁䡁䙅䅁䕂䅁䅁睊扂䕁䅑睑䝂䍁䅁睑療䝁䄴杤求䡁䅉督灂䝁䄸杢畁䡁䅧䅢穂䝁䄰兘䕂䕁䅍杒湁䍁䅅䅊䉂䕁䅯䅊穁䑁䅫䅁橁允䅁䅅䅁䍁䅕睕兂䙁䅑睎㍁䑁䅁䅁㍁兂䅁䅈䅁䙁䅍䅕呂䑁䅅䅏祁䑁䅅䅎硁䑁䅁睍睁䑁䅅䅁䱃睂䅁杇䅁䙁䅍䅕呂䑁䅍睎㑁䑁䅕杍㕁䑁䅙免㑁䅁䅁䄱䅣䅁䅧䅁䵂䙁䅑兔䅁佁䑑䅁浂䅁䅁睗乂䕁䅫睘䡂䕁䅷睔䍂䕁䅅䅔時䙁䅣兑䑂䕁䅍兑畂䝁䅅䅢㕂䡁䅍兡穂䙁䄸杤祁䍁䄴䅥獂䡁䅍兢摂䙁䅣兑䑂䕁䅍光歁䕁䅅睒歁䑁䅑兎㙁䍁䅑兑䡂䍁䅑兎㉁䅁䅁儷䅁䉁䅁䅁汁䙁䅍䅕啂䑁䅣睎㍁䅁䅁杣䅕䅁䅯䅁䝂䙁䅫兌ㅁ䅁䅁兡䅙䉁䅁䅁汁䙁䅍䅕啂䑁䅣䅏祁䅁䅁杧䅕䉁䅷䅁呂䙁䅁睕硁䑁䅫䅏硁䑁䅑䅍㍁䑁䅫䅍㑁䅁䅁䅭䅣䝁䅉䅁湁䙁䅳睕兂䕁䅣睘䕂䕁䅍杒䉂䝁䄴兙獂䡁䅫督灂䡁䅍睘㉂䑁䅅䅉潁䑁䅍克畁䡁䅧䅢穂䝁䄰兘䕂䕁䅍杒湁䍁䅅䅊奂䍁䅑免穁䑁䅑杏歁䙁䅧䅊硁䑁䅍兎䅁䝁䑑䅁佂䅁䅁杖求䡁䅉兡穂䝁䅳䅉䉂䝁䄴兙獂䡁䅫䅤灂䝁䅍督獁䍁䅁兓畂䝁䅍杌杁䍁䅧杔䉂䙁䅍䅒䉂䙁䅅睒呂䑁䅯杖卂䙁䅍睓灁䅁䅁睘䅣䙁䅑䅁扂䕁䄰兓時䕁䅑睑䝂䕁䅅杢桂䝁䅷入穂䝁䅫督時䡁䅙免畁䡁䅧䅢穂䝁䄰兘䕂䕁䅍杒桁䍁䅑杒歁䑁䅉䅍穁䑁䅯䅊乂䍁䅑杍睁䑁䅍䅁呄允䅁䅆䅁䕁䅙兡㉂䝁䅕䅉婂䝁䅕兙祂䅁䅁元䅁䉁䅁䅁汁䙁䅍䅕啂䑁䅧䅍硁䅁䅁䅘䅕䉁䅁䅁汁䙁䅍䅕啂䑁䅧䅍穁䅁䅁睧䅕䙁䅯䅁湁䙁䅳䅒䑂䕁䅙䅉䑂䝁䄸杢㉂䝁䅕杣穂䝁䅫睢畂䍁䅁䅋㉂䝁䅕杣穂䝁䅫睢畂䍁䅁免灁䍁䄴䅥獂䡁䅍杙摂䕁䅑睑䝂䍁䅣光歁䙁䅁䅊㑁䑁䅧䅁敁允䅁䅈䅁䕁䅫兕啂䑁䅅睎㕁䑁䅉睎㍁䑁䅕䅎㉁䑁䅧䅁獄睁䅁䅓䅁䙁䅳睕兂䕁䅣睘䕂䕁䅍杒䉂䝁䄴兙獂䡁䅫督灂䡁䅍睘㉂䑁䅅杌㑂䝁䅷督瑂䙁䄰䅒䑂䕁䅙光歁䙁䅫䅊硁䑁䅑䅍䅁䕁䑉䅁䕂䅁䅁睊扂䕁䅑睑䝂䍁䅁睑療䝁䄴杤求䡁䅉督灂䝁䄸杢畁䡁䅧䅢穂䝁䄰兘䕂䕁䅍杒湁䍁䅅䅊卂䍁䅑免㑁䑁䅙䅁ㅁ允䅁䅓䅁䍁䅣睗塂䕁䅅睑䑂䍁䅁睕佂䕁䅷杌㑂䝁䅷督瑂䙁䄰睖䉂䕁䅍睑湁䍁䅅䅊䉂䙁䅧䅊穁䑁䅉杏歁䕁䅉兑歁䑁䅍杍䅁䩁䅣䅁潂䅁䅁睊扂䕁䅑睑䝂䍁䅁睑療䝁䄴杤求䡁䅉督灂䝁䄸杢杁䍁䅧杤求䡁䅉督灂䝁䄸杢杁䑁䅅克畁䡁䅧䅢穂䝁䅉兘䕂䕁䅍杒湁䍁䅅䅊剂䍁䅑兏硁䑁䅯䅊剂䍁䅑免睁䑁䅣䅁杁允䅁䅓䅁䕁䄸䅣あ䝁䅫睢畂䡁䅍杏偂䡁䅁䅤灂䝁䄸杢穂䑁䅯睑ㅂ䡁䅉杣㥁䙁䅕睕䕂䍁䅷兔桂䝁䅣児獁䕁䄴兑㥁䑁䅁児䅁䉁䥍䅁畂䅁䅁睗乂䕁䅫睘䩂䕁䄴睕時䕁䅣䅔偂䕁䅉兑䵂䙁䄸睖䉂䕁䅍睑畁䕁䅅杢桂䝁䅷入穂䝁䅫督時䡁䅙免畁䡁䅧䅢穂䝁䄰兘塂䕁䅅睑䑂䍁䅅䅊剂䍁䅑睍穁䑁䅯䅊䉂䕁䅅䅊穁䑁䅍䅁湃䅁䅁䅖䅁䍁䅣睗呂䙁䅁睒時䕁䅑睑䝂䕁䅅杢桂䝁䅷入穂䝁䅫督時䡁䅙免杁䍁䅧睍灁䍁䄴䅥獂䡁䅍兢摂䕁䅑睑䝂䍁䅣光歁䕁䅅睔歁䑁䅕睍䅁䙁䑅䅁畂䅁䅁兓畂䡁䅑党祂䝁䄴兙あ䝁䅫睢畂䝁䅅䅢杁䕁䅉兤穂䝁䅫杢求䡁䅍督杁䕁䄰兙橂䝁䅧兡畂䝁䅕督杁䕁䅍睢祂䡁䅁睢祂䝁䅅䅤灂䝁䄸杢杁䍁䅧杔婂䙁䅍兒㙁䕁䅫村乂䍁䅫䅁剃杂䅁杚䅁䍁䅣睗䕂䕁䅍杒杁䕁䅍睢畂䡁䅙党祂䡁䅍兡療䝁䄴䅉潁䡁䅙党祂䡁䅍兡療䝁䄴䅉硁䍁䅫杌㑂䝁䅷督楂䙁䄰䅒䑂䕁䅙睊桁䍁䅑杕歁䑁䅧䅏㙁䍁䅑杖歁䑁䅧䅏䅁䉁䈸䅁浂䅁䅁睊扂䙁䅍䅕䡂䙁䄸䅒䑂䕁䅙兑畂䝁䅅䅢㕂䡁䅍兡穂䙁䄸杤硁䍁䅁免杁䍁䅧免灁䍁䄴䅥獂䡁䅍兢摂䕁䅑睑䝂䍁䅣光歁䙁䅧䅊硁䑁䅑杍㙁䍁䅑䅗歁䑁䅅䅎穁䅁䅁朲䅍䕁䅑䅁湁䙁䅳䅒䑂䕁䅙䅉䑂䝁䄸杢㉂䝁䅕杣穂䝁䅫睢畂䍁䄴䅥獂䡁䅍兢摂䕁䅑睑䝂䍁䅣光歁䕁䅅杒歁䑁䅑䅍䅁䍁䉉䅁兂䅁䅁睊扂䕁䅑睑䝂䍁䅁睑療䝁䄴杤求䡁䅉督灂䝁䄸杢畁䡁䅧䅢穂䝁䄰兘䕂䕁䅍杒湁䍁䅅䅊呂䍁䅑睍穁䑁䅯䅊䉂䕁䅍䅊穁䑁䅍䅁楂允䅁杇䅁䙁䅍䅕呂䑁䅕兏ぁ䑁䅕䅍穁䑁䅍䅏ぁ䅁䅁儱䅙䙁䅁䅁湁䙁䅳䅒䑂䕁䅙䅉䑂䝁䄸杢㉂䝁䅕杣穂䝁䅫睢畂䍁䄴䅥獂䡁䅍兢摂䙁䅍䅡求䝁䅕䅤硁䍁䅣光歁䕁䅳䅊㉁䑁䅯䅊䱂䍁䅑兏䅁䕁䉷䅁捁䅁䅁兓剂䙁䅑免㑁䑁䅑睎㕁䑁䅫兎祁䑁䅅兏䅁偁䑕䅁䕂䅁䅁睊扂䕁䅑睑䝂䍁䅁睑療䝁䄴杤求䡁䅉督灂䝁䄸杢畁䡁䅧䅢穂䝁䄰兘䕂䕁䅍杒湁䍁䅅䅊䉂䕁䅣䅊ぁ䑁䅁䅁摂允䅁杇䅁䙁䅍䅕呂䑁䅕兏ぁ䑁䅕䅍穁䑁䅍䅏穁䅁䅁䄱䅙䙁䅷䅁湁䙁䅳兔䩂䙁䄸䅒䑂䕁䅙兑畂䝁䅅䅢㕂䡁䅍兡穂䙁䄸杤硁䍁䅁䅋祁䍁䅫杌㑂䝁䅷督瑂䙁䄰䅒䑂䕁䅙睊桁䍁䅑䅓歁䑁䅫兏㙁䍁䅑兔歁䑁䅫兏䅁䉁䑣䅁捁䅁䅁睕兂䙁䅍免㍁䑁䅫杍㉁䑁䅁李㑁䑁䅁睍䅁䍁䝳䅁䭁䅁䅁䅒䭂䕁䅫兑䅁䕁䅙䅁捁䅁䅁杔䉂䙁䅍䅒䉂䙁䅅睒呂䑁䅯䅕䉂䕁䄴睖䅁䝁䥣䅁䕂䅁䅁睊扂䕁䅑睑䝂䍁䅁睑療䝁䄴杤求䡁䅉督灂䝁䄸杢畁䡁䅧䅢穂䝁䄰兘䕂䕁䅍杒湁䍁䅅䅊䉂䕁䅣䅊ぁ䑁䅣䅁敃允䅁䅈䅁䕁䅫兕啂䑁䅅䅏ぁ䑁䅣兏㕁䑁䅕杍硁䑁䅅䅁㝃䅂䅁杇䅁䙁䅍䅕呂䑁䅅李ㅁ䑁䅕睎祁䑁䅑兎祁䅁䅁睒䅣䝁䅁䅁湁䙁䅳兔䩂䙁䄸䅒䑂䕁䅙兑畂䝁䅅䅢㕂䡁䅍兡穂䙁䄸杤硁䍁䅁䅋祁䍁䅫杌㑂䝁䅷督瑂䙁䄰䅒䑂䕁䅙睊桁䍁䅑兗歁䑁䅅䅎㑁䑁䅯䅊婂䍁䅑免ㅁ䑁䅍䅁楁睁䅁杖䅁䙁䅳睕兂䕁䅣睘䕂䕁䅍杒䉂䝁䄴兙獂䡁䅫督灂䡁䅍睘㉂䑁䅅杌㑂䝁䅷督瑂䙁䄰䅒䑂䕁䅙光歁䙁䅧䅊硁䑁䅕杍㙁䍁䅑䅗歁䑁䅅兎穁䅁䅁眴䅑䕁䅑䅁湁䙁䅳䅒䑂䕁䅙䅉䑂䝁䄸杢㉂䝁䅕杣穂䝁䅫睢畂䍁䄴䅥獂䡁䅍兢摂䕁䅑睑䝂䍁䅣光歁䕁䅅睒歁䑁䅑䅏䅁䱁䉍䅁坂䅁䅁睗呂䙁䅁睒時䕁䅑睑䝂䕁䅅杢桂䝁䅷入穂䝁䅫督時䡁䅙免畁䡁䅧䅢穂䝁䄰兘䕂䕁䅍杒桁䍁䅑睑剂䍁䅑兎睁䑁䅯䅊䑂䙁䅉䅊ㅁ䑁䅁䅁㉂睁䅁杕䅁䍁䅣睗䕂䕁䅍杒杁䕁䅍睢畂䡁䅙党祂䡁䅍兡療䝁䄴杌㑂䝁䅷督瑂䙁䄰䅒䑂䕁䅙睊桁䍁䅑兑䥂䍁䅑䅎ㅁ䑁䅯䅊䉂䕁䅧䅊ㅁ䑁䅙䅁汁允䅁杇䅁䑁䅷材睁䑁䅫睌祁䑁䅁睌祁䑁䅁免㕁䅁䅁䅣䅅䙁䄴䅁湁䙁䅳睕兂䕁䅣睘䕂䕁䅍杒䉂䝁䄴兙獂䡁䅫督灂䡁䅍睘㉂䑁䅅䅉ぁ䍁䄴䅥獂䡁䅍兢摂䕁䅑睑䝂䍁䅣光歁䙁䅧䅊硁䑁䅑杍㙁䍁䅑䅗歁䑁䅅䅎穁䅁䅁睅䅕䉁䅑䅁佂䙁䅫睕䙂䑁䅯兑佂䕁䅕䅖䅁䝁䥙䅁慁䅁䅁睕兂䙁䅍睍硁䑁䅕兎祁䑁䅑䅎穁䑁䅙䅁汄睂䅁杇䅁䙁䅍䅕呂䑁䅉䅏㑁䑁䅣免㑁䑁䅫䅏㑁䅁䅁䅹䅙䙁䅉䅁湁䙁䅳䅒䑂䕁䅙䅉䑂䝁䄸杢㉂䝁䅕杣穂䝁䅫睢畂䍁䄴䅥獂䡁䅍兢摂䕁䅑睑䝂䍁䅣光歁䕁䅅䅓歁䑁䅕睍㙁䍁䅑兑䥂䍁䅑李ぁ䅁䅁兴䅅䑁䅁䅁啂䡁䅉兙歂䝁䅕䅉䕂䝁䅅䅤求䍁䅁䅋瑂䝁䄰睌歂䝁䅑睌㕂䡁䅫入㕂䍁䅫䅁煁䅁䅁杕䅁䍁䅣睗䕂䕁䅍杒杁䕁䅍睢畂䡁䅙党祂䡁䅍兡療䝁䄴杌㑂䝁䅷督瑂䙁䄰䅒䑂䕁䅙睊桁䍁䅑䅖歁䑁䅅䅍㕁䑁䅯䅊啂䍁䅑免硁䑁䅉䅁佃允䅁杕䅁䍁䅣睗䕂䕁䅍杒杁䕁䅍睢畂䡁䅙党祂䡁䅍兡療䝁䄴杌㑂䝁䅷督瑂䙁䄰䅒䑂䕁䅙睊桁䍁䅑兑䩂䍁䅑䅎ㅁ䑁䅯䅊䉂䕁䅫䅊ㅁ䑁䅙䅁時允䅁杙䅁䍁䅣睗呂䙁䅁睒時䕁䅑睑䝂䕁䅅杢桂䝁䅷入穂䝁䅫督時䡁䅙免杁䍁䅧睍灁䍁䄴䅥獂䡁䅍兢摂䕁䅑睑䝂䍁䅣光歁䕁䅅䅔歁䑁䅕兏㙁䍁䅑兑䵂䍁䅑睎祁䅁䅁杕䅍䕁䅑䅁湁䙁䅳䅒䑂䕁䅙䅉䑂䝁䄸杢㉂䝁䅕杣穂䝁䅫睢畂䍁䄴䅥獂䡁䅍兢摂䕁䅑睑䝂䍁䅣光歁䕁䅍睕歁䑁䅑䅎䅁䭁䉕䅁卂䅁䅁睊扂䕁䅑睑䝂䍁䅁睑療䝁䄴杤求䡁䅉督灂䝁䄸杢畁䡁䅧䅢穂䝁䄰兘䕂䕁䅍杒湁䍁䅅䅊䉂䕁䅫䅊ㅁ䑁䅉杏歁䕁䅅兓歁䑁䅙睍䅁䭁䉅䅁卂䅁䅁睊扂䕁䅑睑䝂䍁䅁睑療䝁䄴杤求䡁䅉督灂䝁䄸杢畁䡁䅧䅢穂䝁䄰兘䕂䕁䅍杒湁䍁䅅䅊䉂䕁䅫䅊ㅁ䑁䅍杏歁䕁䅅兓歁䑁䅙䅎䅁䱁䉙䅁奁䅁䅁睕兂䙁䅍李祁䑁䅅䅎穁䑁䅕睍㍁䅁䅁睑䅣䕁䅑䅁湁䙁䅳䅒䑂䕁䅙䅉䑂䝁䄸杢㉂䝁䅕杣穂䝁䅫睢畂䍁䄴䅥獂䡁䅍兢摂䕁䅑睑䝂䍁䅣光歁䕁䅅睓歁䑁䅍兏䅁䙁䈴䅁捁䅁䅁兓剂䙁䅑免㑁䑁䅑睎㕁䑁䅫兎祁䑁䅅睍䅁䑁䕉䅁坂䅁䅁睗呂䙁䅁睒時䕁䅑睑䝂䕁䅅杢桂䝁䅷入穂䝁䅫督時䡁䅙免畁䡁䅧䅢穂䝁䄰兘䕂䕁䅍杒桁䍁䅑兒歁䑁䅉兎穁䑁䅯䅊䙂䍁䅑杍ㅁ䑁䅧䅁㑃睁䅁杗䅁䍁䅣睗呂䙁䅁睒時䕁䅑睑䝂䕁䅅杢桂䝁䅷入穂䝁䅫督時䡁䅙免杁䑁䅑杌㑂䝁䅷督瑂䙁䄰䅒䑂䕁䅙睊桁䍁䅑杖歁䑁䅕免㙁䍁䅑杖歁䑁䅕李䅁偁䔰䅁杁䅁䅁睍瑂䍁䅁睕睂䝁䅅杢灂䡁䅍䅡杁䕁䅉兡獂䝁䅷䅁䵄杁䅁䅒䅁䍁䅣睗䕂䕁䅍杒杁䕁䅍睢畂䡁䅙党祂䡁䅍兡療䝁䄴杌㑂䝁䅷督瑂䙁䄰䅒䑂䕁䅙睊桁䍁䅑兑䱂䍁䅑䅎㉁䅁䅁睮䅅䍁䅯䅁呂䕁䄴䅔杁䕁䅫杢穂䡁䅑兡あ䡁䅕䅤灂䝁䄸杢杁䕁䅳党㕂䍁䅁䅁楁䅁䅁䅖䅁䙁䅳兔䩂䙁䄸䅒䑂䕁䅙兑畂䝁䅅䅢㕂䡁䅍兡穂䙁䄸杤硁䍁䄴䅥獂䡁䅍兢摂䕁䅑睑䝂䍁䅅䅊䕂䕁䅑䅊ㅁ䑁䅁杏歁䕁䅑杒歁䑁䅕䅍䅁䕁䍫䅁䝂䅁䅁睊扂䕁䅑睑䝂䍁䅁睑療䝁䄴杤求䡁䅉督灂䝁䄸杢畁䡁䅧䅢穂䝁䄰兘塂䕁䅅睑䑂䍁䅣光歁䕁䅍兕歁䑁䅍睎䅁䉁䉯䅁捁䅁䅁兓剂䙁䅑免㑁䑁䅍睎ぁ䑁䅕杍睁䑁䅉杍䅁䝁䕁䅁䕂䅁䅁睊扂䕁䅑睑䝂䍁䅁睑療䝁䄴杤求䡁䅉督灂䝁䄸杢畁䡁䅧䅢穂䝁䄰兘䕂䕁䅍杒湁䍁䅅䅊䉂䕁䅳䅊ぁ䑁䅣䅁ぃ允䅁䅒䅁䍁䅣睗䕂䕁䅍杒杁䕁䅍睢畂䡁䅙党祂䡁䅍兡療䝁䄴杌㑂䝁䅷督瑂䙁䄰䅒䑂䕁䅙睊桁䍁䅑睑卂䍁䅑睍㍁䅁䅁杋䅅䉁䅷䅁呂䙁䅁睕硁䑁䅧䅎㍁䑁䅫兏ㅁ䑁䅍䅏穁䅁䅁睇䅙䕁䅑䅁湁䙁䅳䅒䑂䕁䅙䅉䑂䝁䄸杢㉂䝁䅕杣穂䝁䅫睢畂䍁䄴䅥獂䡁䅍兢摂䕁䅑睑䝂䍁䅣光歁䕁䅍睕歁䑁䅍睎䅁䝁䉍䅁卂䅁䅁睊扂䕁䅑睑䝂䍁䅁睑療䝁䄴杤求䡁䅉督灂䝁䄸杢畁䡁䅧䅢穂䝁䄰兘䕂䕁䅍杒湁䍁䅅䅊啂䍁䅑免祁䑁䅅杏歁䙁䅑䅊硁䑁䅉杍䅁䡁䉙䅁佁䅁䅁䅓偂䕁䄴兌噂䙁䅍䅁䥄䅁䅁䅒䅁䍁䅣睗䕂䕁䅍杒杁䕁䅍睢畂䡁䅙党祂䡁䅍兡療䝁䄴杌㑂䝁䅷督瑂䙁䄰䅒䑂䕁䅙睊桁䍁䅑睑呂䍁䅑䅎ㅁ䅁䅁杵䅅䙁䅉䅁湁䙁䅳䅒䑂䕁䅙䅉䑂䝁䄸杢㉂䝁䅕杣穂䝁䅫睢畂䍁䄴䅥獂䡁䅍兢摂䕁䅑睑䝂䍁䅣光歁䕁䅍䅖歁䑁䅍兏㙁䍁䅑睑塂䍁䅑睍㕁䅁䅁睋䅅䙁䅉䅁湁䙁䅳䅒䑂䕁䅙䅉䑂䝁䄸杢㉂䝁䅕杣穂䝁䅫睢畂䍁䄴䅥獂䡁䅍兢摂䕁䅑睑䝂䍁䅣光歁䕁䅍兖歁䑁䅍兏㙁䍁䅑睑奂䍁䅑睍㕁䅁䅁䅚䅅䙁䅁䅁湁䙁䅳䅒䑂䕁䅙䅉䑂䝁䄸杢㉂䝁䅕杣穂䝁䅫睢畂䍁䄴䅥獂䡁䅍兢摂䙁䅍䅡求䝁䅕䅤硁䍁䅣光歁䕁䅣䅊ㅁ䑁䅯䅊䡂䍁䅑睎䅁䕁䉙䅁捁䅁䅁杔䉂䙁䅍䅒䉂䙁䅅睒呂䑁䅯兑䕂䕁䅉兒䅁䍁䙫䅁捁䅁䅁睕兂䙁䅍免㍁䑁䅫杍㍁䑁䅣兎ぁ䑁䅍睍䅁䕁䝑䅁捁䅁䅁兓剂䙁䅑免㑁䑁䅑睎㕁䑁䅫兎祁䑁䅑免䅁䱁䕷䅁兂䅁䅁睔浂䝁䅙党祂䝁䅫杢湂䍁䅁兑畂䝁䄴睢ㅂ䝁䄴睙求䝁䄰党畂䡁䅑䅉䕂䝁䅅䅤求䍁䅁䅋瑂䝁䄰睌歂䝁䅑睌㕂䡁䅫入㕂䍁䅫䅁牁䅁䅁杕䅁䍁䅣睗䕂䕁䅍杒杁䕁䅍睢畂䡁䅙党祂䡁䅍兡療䝁䄴杌㑂䝁䅷督瑂䙁䄰䅒䑂䕁䅙睊桁䍁䅑睑噂䍁䅑䅎㉁䑁䅯䅊䑂䙁䅧䅊ぁ䑁䅙䅁浃允䅁杙䅁䍁䅣睗呂䙁䅁睒時䕁䅑睑䝂䕁䅅杢桂䝁䅷入穂䝁䅫督時䡁䅙免杁䑁䅅䅉潁䑁䅅克畁䡁䅧䅢穂䝁䄰兘䕂䕁䅍杒湁䍁䅅䅊䥂䍁䅑兏㑁䑁䅯䅊乂䍁䅑兏㑁䅁䅁兺䅍䙁䅉䅁湁䙁䅳䅒䑂䕁䅙䅉䑂䝁䄸杢㉂䝁䅕杣穂䝁䅫睢畂䍁䄴䅥獂䡁䅍兢摂䕁䅑睑䝂䍁䅣光歁䕁䅍兖歁䑁䅑睎㙁䍁䅑睑奂䍁䅑䅎㍁䅁䅁睵䅅䙁䅧䅁湁䙁䅳兔䩂䙁䄸䅒䑂䕁䅙兑畂䝁䅅䅢㕂䡁䅍兡穂䙁䄸杤硁䍁䅁兌杁䕁䅍睢睂䡁䅫杌㑂䝁䅷督瑂䙁䄰䅒䑂䕁䅙睊桁䍁䅑兗歁䑁䅅睍ㅁ䅁䅁关䅉䉁䅷䅁䩂䙁䅅䅖硁䑁䅧䅎㍁䑁䅫兏ㅁ䑁䅅䅏㉁䅁䅁朲䅑䉁䅯䅁呂䙁䅁睕穁䑁䅉兎㑁䑁䅅䅏ㅁ䑁䅕兏䅁偁䘸䅁杂䅁䅁睊扂䙁䅍䅕䡂䙁䄸䅒䑂䕁䅙兑畂䝁䅅䅢㕂䡁䅍兡穂䙁䄸杤硁䍁䅁䅋硁䍁䅫杌㑂䝁䅷督瑂䙁䄰䅒䑂䕁䅙睊桁䍁䅑䅗歁䑁䅑䅏㙁䍁䅑兑䙂䍁䅑䅎㑁䅁䅁杭䅍䉁䅷䅁佂䕁䅅睕䕂䕁䅅兕䡂䙁䅍杏兂䕁䅅杕䉂䅁䅁兰䅙䙁䅧䅁偂䡁䅁䅤灂䝁䄸杢穂䑁䅯睑ㅂ䡁䅉杣㥁䍁䅷睑療䝁䄴杤乂䝁䅕䅤潂䝁䄸䅚㥁䕁䄰兓祂䝁䅕睙療䝁䄰兢求䝁䄴䅚求䝁䅑䅌佂䕁䅅児睁䅁䅁䅭䅙䉁䅉䅁䑂䕁䄰睑呂䕁䅅兌噂䙁䅍䅁瑃杂䅁杄䅁䕁䄴睔塂䍁䄰兖呂䅁䅁兢䅉䕁䅑䅁湁䙁䅳䅒䑂䕁䅙䅉䑂䝁䄸杢㉂䝁䅕杣穂䝁䅫睢畂䍁䄴䅥獂䡁䅍兢摂䕁䅑睑䝂䍁䅣光歁䕁䅍兗歁䑁䅍睎䅁䍁䉷䅁捁䅁䅁兓剂䙁䅑免㑁䑁䅧睎睁䑁䅍䅍㕁䑁䅙睍䅁䕁䕍䅁䝂䅁䅁睗乂䕁䅫睘䕂䕁䅍杒䉂䝁䄴兙獂䡁䅫督灂䡁䅍睘㉂䑁䅅杌㑂䝁䅷督瑂䙁䄰䅒䑂䕁䅙光歁䕁䅅杔歁䑁䅑睎䅁乁䈴䅁卂䅁䅁睊扂䕁䅑睑䝂䍁䅁睑療䝁䄴杤求䡁䅉督灂䝁䄸杢畁䡁䅧䅢穂䝁䄰兘䕂䕁䅍杒湁䍁䅅䅊啂䍁䅑免硁䑁䅙杏歁䙁䅑䅊硁䑁䅅兏䅁䭁䈸䅁慁䅁䅁睕兂䙁䅍兎㕁䑁䅑李祁䑁䅁杍㉁䑁䅙䅁穁睂䅁䅒䅁䍁䅣睗䕂䕁䅍杒杁䕁䅍睢畂䡁䅙党祂䡁䅍兡療䝁䄴杌㑂䝁䅷督瑂䙁䄰䅒䑂䕁䅙睊桁䍁䅑睑慂䍁䅑睍㍁䅁䅁党䅅䉁䅯䅁呂䙁䅁睕ㅁ䑁䅫䅎㉁䑁䅉䅍祁䑁䅣杍䅁佁䝳䅁啂䅁䅁睊扂䕁䅑睑䝂䍁䅁睑療䝁䄴杤求䡁䅉督灂䝁䄸杢畁䡁䅧䅢穂䝁䄰兘塂䕁䅅睑䑂䍁䅣光歁䕁䅍睕歁䑁䅍兏㙁䍁䅑睑坂䍁䅑睍㕁䅁䅁睇䅅䕁䅑䅁湁䙁䅳䅒䑂䕁䅙䅉䑂䝁䄸杢㉂䝁䅕杣穂䝁䅫睢畂䍁䄴䅥獂䡁䅍兢摂䕁䅑睑䝂䍁䅣光歁䕁䅍杗歁䑁䅑兎䅁䱁䉷䅁卂䅁䅁睊扂䕁䅑睑䝂䍁䅁睑療䝁䄴杤求䡁䅉督灂䝁䄸杢畁䡁䅧䅢穂䝁䄰兘䕂䕁䅍杒湁䍁䅅䅊啂䍁䅑免㕁䑁䅁杏歁䙁䅑䅊祁䑁䅁䅍䅁䡁䉷䅁卂䅁䅁睊扂䕁䅑睑䝂䍁䅁睑療䝁䄴杤求䡁䅉督灂䝁䄸杢畁䡁䅧䅢穂䝁䄰兘䕂䕁䅍杒湁䍁䅅䅊䕂䕁䅉䅊穁䑁䅫杏歁䕁䅑䅒歁䑁䅍兏䅁䝁䉙䅁歂䅁䅁睊扂䕁䄰兓時䕁䅑睑䝂䕁䅅杢桂䝁䅷入穂䝁䅫督時䡁䅙免杁䍁䄰䅉䑂䝁䄸䅣㕂䍁䄴䅥獂䡁䅍兢摂䕁䅑睑䝂䍁䅣光歁䕁䅣䅊㕁䑁䅧杏歁䕁䅣䅊硁䑁䅉兎䅁䭁䍯䅁卂䅁䅁睊扂䕁䅑睑䝂䍁䅁睑療䝁䄴杤求䡁䅉督灂䝁䄸杢畁䡁䅧䅢穂䝁䄰兘䕂䕁䅍杒湁䍁䅅䅊䕂䕁䅉䅊ぁ䑁䅙杏歁䕁䅑䅒歁䑁䅑李䅁䭁䉧䅁卂䅁䅁睊扂䕁䅑睑䝂䍁䅁睑療䝁䄴杤求䡁䅉督灂䝁䄸杢畁䡁䅧䅢穂䝁䄰兘塂䕁䅅睑䑂䍁䅣光歁䙁䅅䅊穁䑁䅍杏歁䕁䅅兑歁䑁䅍睍䅁䉁䉫䅁卂䅁䅁睊扂䕁䅑睑䝂䍁䅁睑療䝁䄴杤求䡁䅉督灂䝁䄸杢畁䡁䅧䅢穂䝁䄰兘䕂䕁䅍杒湁䍁䅅䅊䕂䕁䅉䅊ぁ䑁䅣杏歁䕁䅑䅒歁䑁䅑睎䅁䱁䈰䅁ぁ䅁䅁睖桂䡁䅉督桂䡁䅣䅉呂䡁䅑睢橂䝁䅳䅉䙂䡁䅧睙潂䝁䅅杢湂䝁䅕䅉塂䕁䅫睒䅁䥁䅙䅁䍂䅁䅁睊扂䕁䅑睑䝂䍁䅁睑療䝁䄴杤求䡁䅉督灂䝁䄸杢畁䡁䅧䅢穂䝁䄰兘䕂䕁䅍杒湁䍁䅅䅊剂䍁䅑睍祁䅁䅁杊䅅䉁䅁䅁啂䕁䅍睕瑁䕁䄴睕䙂䅁䅁杺䅉䕁䄴䅁湁䙁䅳䅒䑂䕁䅙䅉䑂䝁䄸杢㉂䝁䅕杣穂䝁䅫睢畂䍁䄴䅥獂䡁䅍兢摂䕁䅑睑䝂䍁䅣光歁䙁䅅䅊穁䑁䅙杏歁䙁䅅䅊ぁ䑁䅅䅁湁允䅁䅒䅁䙁䅳兔䩂䙁䄸䅒䑂䕁䅙兑畂䝁䅅䅢㕂䡁䅍兡穂䙁䄸杤硁䍁䄴䅥獂䡁䅍兢摂䕁䅑睑䝂䍁䅅䅊坂䍁䅑䅎硁䅁䅁兦䅉䉁䅷䅁䩂䙁䅅䅖硁䑁䅣兏祁䑁䅙䅍㉁䑁䅧兎ㅁ䅁䅁杰䅑䙁䅙䅁扂䙁䅍䅕䡂䙁䄸䅒䑂䕁䅙兑畂䝁䅅䅢㕂䡁䅍兡穂䙁䄸杤硁䍁䄴䅥獂䡁䅍兢摂䕁䅑睑䝂䍁䅅䅊奂䍁䅑免穁䑁䅑杏歁䙁䅧䅊硁䑁䅍兎䅁䑁䐸䅁啂䅁䅁睗呂䙁䅁睒時䕁䅑睑䝂䕁䅅杢桂䝁䅷入穂䝁䅫督時䡁䅙免畁䡁䅧䅢穂䝁䄰兘䕂䕁䅍杒桁䍁䅑䅗歁䑁䅑睎㙁䍁䅑兑䥂䍁䅑䅎㍁䅁䅁朷䅑䕁䅙䅁扂䕁䄰兓時䕁䅑睑䝂䕁䅅杢桂䝁䅷入穂䝁䅫督時䡁䅙免畁䡁䅧䅢穂䝁䄰兘䕂䕁䅍杒桁䍁䅑兑䱂䍁䅑兎ぁ䅁䅁朸䅉䙁䅧䅁湁䙁䅳兔䩂䙁䄸䅒䑂䕁䅙兑畂䝁䅅䅢㕂䡁䅍兡穂䙁䄸杤硁䍁䅁兌杁䕁䅍睢睂䡁䅫杌㑂䝁䅷督瑂䙁䄰䅒䑂䕁䅙睊桁䍁䅑睖歁䑁䅅䅎硁䅁䅁睳䅉䙁䅉䅁湁䙁䅳兔䩂䙁䄸䅒䑂䕁䅙兑畂䝁䅅䅢㕂䡁䅍兡穂䙁䄸杤硁䍁䅁䅋祁䍁䅫杌㑂䝁䅷督瑂䙁䄰䅒䑂䕁䅙睊桁䍁䅑兑偂䍁䅑兎穁䅁䅁睁䅍䕁䅑䅁湁䙁䅳䅒䑂䕁䅙䅉䑂䝁䄸杢㉂䝁䅕杣穂䝁䅫睢畂䍁䄴䅥獂䡁䅍兢摂䕁䅑睑䝂䍁䅣光歁䙁䅍䅊硁䑁䅅兏䅁䡁䉑䅁捁䅁䅁兓剂䙁䅑免㑁䑁䅑睎㕁䑁䅫兎ぁ䑁䅅睎䅁䉁䕁䅁啁䅁䅁兖畂䡁䅍党橂䡁䅕杣求䝁䅑䅁灄睁䅁村䅁䍁䅣睗䕂䕁䅍杒杁䕁䅍睢畂䡁䅙党祂䡁䅍兡療䝁䄴杌㑂䝁䅷督瑂䙁䄰䅒䑂䕁䅙睊桁䍁䅑杕歁䑁䅍杍䅁䝁䉁䅁允䅁䅁睓卂䙁䅧䅉硁䑁䅁䅍䅁䙁䅍䅁捂䅁䅁䅓求䡁䅣䅢求䡁䅑䅤杁䙁䅁兙橂䝁䅳兙祂䝁䅑䅉䙂䝁䄴䅤求䡁䅉䅣祂䝁䅫督求䍁䅁睑療䝁䄰䅣桂䝁䄴入杁䍁䅧杔婂䙁䅍兒㙁䕁䅧䅕䙂䍁䅫䅁偃兂䅁杸䅁䕁䄸䅣あ䝁䅫睢畂䡁䅍杏䑂䡁䅕杣祂䑁䄰兖呂䕁䅑䅌乂䝁䅅睚㥁䕁䄰兡獂䝁䅷兡療䝁䄴督獁䕁䅍睢畂䡁䅙兔求䡁䅑䅡療䝁䅑児乂䕁䅫杣求䝁䅍睢瑂䝁䄰党畂䝁䅑党歂䍁䅷䅕桂䝁䅑児偂䝁䅙杚獁䕁䅙兡獂䝁䅷児乂䝁䄸杢あ䝁䅧䅢㕂䍁䅷䅒桂䡁䅑党穂䑁䄰村求䝁䅙睢祂䝁䅕䅌呂䝁䄸杣あ䑁䄰䅒求䡁䅍睙䅁佁䅙䅁楂䅁䅁睊扂䙁䅍䅕䡂䙁䄸䅒䑂䕁䅙兑畂䝁䅅䅢㕂䡁䅍兡穂䙁䄸杤硁䍁䅁䅋穁䍁䅫杌㑂䝁䅷督瑂䙁䄰䅒䑂䕁䅙睊桁䍁䅑兗歁䑁䅅䅎㑁䑁䅯䅊婂䍁䅑免ㅁ䑁䅍䅁獂睁䅁䅕䅁䍁䅣睗䕂䕁䅍杒杁䕁䅍睢畂䡁䅙党祂䡁䅍兡療䝁䄴杌㑂䝁䅷督瑂䙁䄰䅒䑂䕁䅙睊桁䍁䅑杕歁䑁䅍睍㙁䍁䅑兑䍂䍁䅑睍穁䅁䅁䅋䅅䕁䅙䅁扂䕁䄰兓時䕁䅑睑䝂䕁䅅杢桂䝁䅷入穂䝁䅫督時䡁䅙免畁䡁䅧䅢穂䝁䄰兘䕂䕁䅍杒桁䍁䅑睑噂䍁䅑䅎㑁䅁䅁杒䅉䝁䅁䅁湁䙁䅳兔䩂䙁䄸䅒䑂䕁䅙兑畂䝁䅅䅢㕂䡁䅍兡穂䙁䄸杤硁䍁䅁䅋祁䍁䅫杌㑂䝁䅷督瑂䙁䄰䅒䑂䕁䅙睊桁䍁䅑杒歁䑁䅉䅍㑁䑁䅯䅊乂䍁䅑杍睁䑁䅧䅁流睁䅁权䅁䑁䅉䅍祁䑁䅅䅁畂杂䅁杔䅁䍁䅣睗䕂䕁䅍杒杁䕁䅍睢畂䡁䅙党祂䡁䅍兡療䝁䄴杌㑂䝁䅷督瑂䙁䄰䅒䑂䕁䅙睊桁䍁䅑杕歁䑁䅍李㙁䍁䅑杕歁䑁䅑免䅁䝁䉅䅁啄䅁䅁睔睂䡁䅑兡療䝁䄴督㙁䕁䄴兑㥁䕁䄴兑獁䕁䅍兤祂䡁䅉児噂䙁䅍䅒獁䕁䄰兙湂䑁䄰䅖潂䝁䄸兤穂䝁䅅杢歂䡁䅍䅌䑂䝁䄸杢㉂䕁䄰党あ䝁䅧睢歂䑁䄰兔䩂䡁䅉党橂䝁䄸兢瑂䝁䅕杢歂䝁䅕䅚獁䙁䅁兙歂䑁䄰睔浂䝁䅙䅌䝂䝁䅫䅢獂䑁䄰兔療䝁䄴䅤潂䝁䅷入獁䕁䅑兙あ䝁䅕督㥁䕁䅉党浂䝁䄸杣求䍁䅷睕療䡁䅉䅤㥁䕁䅑党穂䝁䅍䅁佁睁䅁杙䅁䍁䅣睗呂䙁䅁睒時䕁䅑睑䝂䕁䅅杢桂䝁䅷入穂䝁䅫督時䡁䅙免杁䍁䅧睍灁䍁䄴䅥獂䡁䅍兢摂䕁䅑睑䝂䍁䅣光歁䕁䅅兔歁䑁䅕兏㙁䍁䅑兑乂䍁䅑睎祁䅁䅁睕䅍䉁䅁䅁兂䕁䅅杔塂䍁䄰兖呂䅁䅁睡䅧䕁䅉䅁湁䙁䅳䅒䑂䕁䅙䅉䑂䝁䄸杢㉂䝁䅕杣穂䝁䅫睢畂䍁䄴䅥獂䡁䅍兢摂䕁䅑睑䝂䍁䅣光歁䙁䅉䅊穁䑁䅫䅁楃允䅁䅈䅁䙁䅍䅕呂䑁䅅睎㕁䑁䅉李睁䑁䅙睎㕁䑁䅙䅁敁杂䅁杘䅁䍁䅣睗呂䙁䅁睒時䕁䅑睑䝂䕁䅅杢桂䝁䅷入穂䝁䅫督時䡁䅙免杁䍁䅧免灁䍁䄴䅥獂䡁䅍兢摂䕁䅑睑䝂䍁䅣光歁䕁䅧䅊㕁䑁䅧杏歁䕁䄰䅊㕁䑁䅧䅁䡃睁䅁村䅁䍁䅣睗䕂䕁䅍杒杁䕁䅍睢畂䡁䅙党祂䡁䅍兡療䝁䄴杌㑂䝁䅷督瑂䙁䄰䅒䑂䕁䅙睊桁䍁䅑杕歁䑁䅑䅍䅁䱁䉣䅁佂䅁䅁睊扂䕁䅑睑䝂䍁䅁睑療䝁䄴杤求䡁䅉督灂䝁䄸杢畁䡁䅧䅢穂䝁䄰兘䕂䕁䅍杒湁䍁䅅䅊卂䍁䅑䅎ぁ䑁䅯䅊卂䍁䅑䅎㕁䅁䅁䅵䅅䕁䅑䅁湁䙁䅳䅒䑂䕁䅙䅉䑂䝁䄸杢㉂䝁䅕杣穂䝁䅫睢畂䍁䄴䅥獂䡁䅍兢摂䕁䅑睑䝂䍁䅣光歁䙁䅍䅊硁䑁䅁李䅁䥁䉷䅁坂䅁䅁睑療䝁䅣杢灂䡁䅯兙畂䡁䅑䅉啂䝁䅕睙潂䝁䄴睢獂䝁䄸睚㕂䍁䅁睕療䝁䅷兤あ䝁䅫睢畂䡁䅍䅉䑂䝁䄸杣睂䝁䄸杣桂䡁䅑兡療䝁䄴䅁瑂䅂䅁䅒䅁䍁䅣睗䕂䕁䅍杒杁䕁䅍睢畂䡁䅙党祂䡁䅍兡療䝁䄴杌㑂䝁䅷督瑂䙁䄰䅒䑂䕁䅙睊桁䍁䅑睕歁䑁䅅免穁䅁䅁兲䅅䑁䅯䅁湁䙁䅳睖䉂䕁䅍睑杁䙁䅍杔䵂䍁䄴䅥獂䡁䅍兢摂䙁䅣兑䑂䕁䅍睊桁䍁䅑村䙂䍁䅑睍祁䅁䅁杫䅁䝁䅁䅁湁䙁䅳兔䩂䙁䄸睖䉂䕁䅍睑䉂䝁䄴兙獂䡁䅫督灂䡁䅍睘㉂䑁䅅䅉潁䑁䅕克畁䡁䅧䅢穂䝁䄰兘塂䕁䅅睑䑂䍁䅣光歁䙁䅁䅊穁䑁䅙杏歁䙁䅁䅊ぁ䑁䅅䅁䝃允䅁䅈䅁䕁䅫兕啂䑁䅅睎㕁䑁䅉李睁䑁䅙䅏ㅁ䑁䅧䅁㥄睁䅁䅒䅁䍁䅣睗䕂䕁䅍杒杁䕁䅍睢畂䡁䅙党祂䡁䅍兡療䝁䄴杌㑂䝁䅷督瑂䙁䄰䅒䑂䕁䅙睊桁䍁䅑睕歁䑁䅅免ぁ䅁䅁䅫䅅䙁䅉䅁湁䙁䅳䅒䑂䕁䅙䅉䑂䝁䄸杢㉂䝁䅕杣穂䝁䅫睢畂䍁䄴䅥獂䡁䅍兢摂䙁䅍䅡求䝁䅕䅤硁䍁䅣光歁䕁䄴䅊ぁ䑁䅯䅊䉂䕁䅍䅊ぁ䅁䅁䅘䅅䙁䅧䅁扂䕁䄰兓時䙁䅣兑䑂䕁䅍兑畂䝁䅅䅢㕂䡁䅍兡穂䙁䄸杤硁䍁䄴䅥獂䡁䅍兢摂䙁䅣兑䑂䕁䅍光歁䕁䅅睒歁䑁䅑兎㙁䍁䅑兑䡂䍁䅑兎㉁䅁䅁权䅅䕁䅑䅁湁䙁䅳䅒䑂䕁䅙䅉䑂䝁䄸杢㉂䝁䅕杣穂䝁䅫睢畂䍁䄴䅥獂䡁䅍兢摂䕁䅑睑䝂䍁䅣光歁䙁䅍䅊硁䑁䅉免䅁䩁䉙䅁慁䅁䅁睕兂䙁䅍兎㕁䑁䅑兎睁䑁䅍䅎祁䑁䅅䅁呁睂䅁杚䅁䍁䅣睗乂䕁䅫睘䕂䕁䅍杒䉂䝁䄴兙獂䡁䅫督灂䡁䅍睘㉂䑁䅅䅉瑁䍁䅁睑療䡁䅁入畁䡁䅧䅢穂䝁䄰兘䕂䕁䅍杒湁䍁䅅䅊䉂䕁䄰䅊ㅁ䑁䅑杏歁䕁䅅兔歁䑁䅙李䅁䩁䌰䅁䕂䅁䅁睊扂䕁䅑睑䝂䍁䅁睑療䝁䄴杤求䡁䅉督灂䝁䄸杢畁䡁䅧䅢穂䝁䄰兘䕂䕁䅍杒湁䍁䅅䅊呂䍁䅑免祁䑁䅉䅁䍄允䅁䅓䅁䙁䅳睕兂䕁䅣睘䕂䕁䅍杒䉂䝁䄴兙獂䡁䅫督灂䡁䅍睘㉂䑁䅅杌㑂䝁䅷督瑂䙁䄰䅒䑂䕁䅙光歁䕁䅉䅊祁䑁䅑睎䅁䱁䑉䅁啂䅁䅁睗乂䕁䅫睘䕂䕁䅍杒䉂䝁䄴兙獂䡁䅫督灂䡁䅍睘㉂䑁䅅杌㑂䝁䅷督瑂䙁䄰䅒䑂䕁䅙光歁䕁䅅兔歁䑁䅕兏㙁䍁䅑兑乂䍁䅑睎祁䅁䅁儹䅉䝁䅁䅁湁䙁䅳兔䩂䙁䄸䅒䑂䕁䅙兑畂䝁䅅䅢㕂䡁䅍兡穂䙁䄸杤硁䍁䅁䅋祁䍁䅫杌㑂䝁䅷督瑂䙁䄰䅒䑂䕁䅙睊桁䍁䅑䅒䕂䍁䅑兎穁䑁䅯䅊䕂䕁䅙䅊ㅁ䑁䅍䅁呁睁䅁杇䅁䙁䅍䅕呂䑁䅙李㍁䑁䅙兎穁䑁䅅䅎睁䅁䅁兇䅣䕁䅑䅁湁䙁䅳䅒䑂䕁䅙䅉䑂䝁䄸杢㉂䝁䅕杣穂䝁䅫睢畂䍁䄴䅥獂䡁䅍兢摂䕁䅑睑䝂䍁䅣光歁䙁䅍䅊硁䑁䅉兏䅁䵁䉕䅁奁䅁䅁兓剂䙁䅑睍祁䑁䅉兎硁䑁䅑兎㑁䅁䅁睲䅑䝁䅁䅁偂䡁䅁党祂䝁䅅䅤灂䝁䄴睚杁䕁䅷党桂䡁䅍党杁䙁䅉兡湂䝁䅧䅤瑁䝁䄸杚瑁䙁䅕督求䍁䅁兑穂䡁䅍党あ䡁䅍杏杁䕁䅣杣療䡁䅍督杁䍁䅧䅊乂䍁䅫䅁䉃睁䅁䅈䅁䕁䅫兕啂䑁䅅䅏㑁䑁䅣䅍穁䑁䅁兏㉁䑁䅑䅁坁䅂䅁䅈䅁䕁䄴兑呂䕁䅑兑剂䕁䅣睕㙁䕁䄴杒䵂䙁䅧䅁畃杂䅁杒䅁䙁䅳兔䩂䙁䄸䅒䑂䕁䅙兑畂䝁䅅䅢㕂䡁䅍兡穂䙁䄸杤硁䍁䄴䅥獂䡁䅍兢摂䕁䅑睑䝂䍁䅅䅊䉂䕁䅳䅊ぁ䑁䅧䅁㑄允䅁䅊䅁䙁䅍䅕時䙁䅁杕䙂䕁䅙兒卂䙁䅉兒䕂䙁䄸䅔䩂䙁䅍䅖䅁䝁䝑䅁奁䅁䅁兓剂䙁䅑䅎祁䑁䅉睍睁䑁䅧杍ㅁ䅁䅁杬䅑䍁䅁䅁乂䝁䅫睙祂䝁䄸督療䝁䅙䅤杁䕁䅍睢祂䡁䅁杌䅁䱁䡳䅁䥂䅁䅁睊扂䙁䅣兑䑂䕁䅍䅉呂䕁䄴䅔畁䡁䅧䅢穂䝁䄰兘塂䕁䅅睑䑂䍁䅣光歁䕁䅉䅒歁䑁䅍兎㙁䍁䅑村䕂䍁䅑睍㕁䅁䅁杯䅁䙁䅉䅁湁䙁䅳䅒䑂䕁䅙䅉䑂䝁䄸杢㉂䝁䅕杣穂䝁䅫睢畂䍁䄴䅥獂䡁䅍兢摂䕁䅑睑䝂䍁䅣光歁䙁䅍䅊硁䑁䅫䅍㙁䍁䅑睕歁䑁䅅兏ㅁ䅁䅁睎䅅䝁䅑䅁湁䙁䅳兔䩂䙁䄸䅒䑂䕁䅙兑畂䝁䅅䅢㕂䡁䅍兡穂䙁䄸杤硁䍁䅁兌杁䕁䅍睢睂䡁䅫杌㑂䝁䅷督瑂䙁䄰䅒䑂䕁䅙睊桁䍁䅑䅗歁䑁䅑睍㙁䍁䅑兑䙂䍁䅑䅎穁䅁䅁兯䅉䉁䅷䅁呂䙁䅁睕硁䑁䅧䅎㍁䑁䅫兏ㅁ䑁䅅睍硁䅁䅁末䅕䕁䅑䅁湁䙁䅳䅒䑂䕁䅙䅉䑂䝁䄸杢㉂䝁䅕杣穂䝁䅫睢畂䍁䄴䅥獂䡁䅍兢摂䕁䅑睑䝂䍁䅣光歁䙁䅍䅊硁䑁䅫䅎䅁䵁䉫䅁兂䅁䅁睊扂䕁䅑睑䝂䍁䅁睑療䝁䄴杤求䡁䅉督灂䝁䄸杢畁䡁䅧䅢穂䝁䄰兘䕂䕁䅍杒湁䍁䅅䅊呂䍁䅑䅎睁䑁䅯䅊䉂䕁䅍䅊ぁ䑁䅁䅁歃允䅁䅕䅁䍁䅣睗䕂䕁䅍杒杁䕁䅍睢畂䡁䅙党祂䡁䅍兡療䝁䄴杌㑂䝁䅷督瑂䙁䄰䅒䑂䕁䅙睊桁䍁䅑睕歁䑁䅑免㙁䍁䅑兑䑂䍁䅑䅎硁䅁䅁兵䅅䝁䅙䅁湁䙁䅳睕兂䕁䅣睘䕂䕁䅍杒䉂䝁䄴兙獂䡁䅫督灂䡁䅍睘㉂䑁䅅䅉硁䍁䅁䅋硁䍁䅫杌㑂䝁䅷督瑂䙁䄰䅒䑂䕁䅙睊桁䍁䅑兑䵂䍁䅑兎㕁䑁䅯䅊䉂䕁䅷䅊㍁䑁䅉䅁䅄睁䅁杒䅁䙁䅳兔䩂䙁䄸䅒䑂䕁䅙兑畂䝁䅅䅢㕂䡁䅍兡穂䙁䄸杤硁䍁䄴䅥獂䡁䅍兢摂䕁䅑睑䝂䍁䅅䅊婂䍁䅑免祁䑁䅧䅁偂杁䅁杒䅁䍁䅣睗䕂䕁䅍杒杁䕁䅍睢畂䡁䅙党祂䡁䅍兡療䝁䄴杌㑂䝁䅷督瑂䙁䄰睕潂䝁䅕党あ䑁䅅睊桁䍁䅑杒歁䑁䅉䅁⭁允䅁䅈䅁䙁䅍䅕呂䑁䅅䅏ぁ䑁䅣兏㕁䑁䅕睍㕁䑁䅧䅁卄兂䅁村䅁䍁䅣睗䕂䕁䅍杒杁䕁䅍睢畂䡁䅙党祂䡁䅍兡療䝁䄴杌㑂䝁䅷督瑂䙁䄰䅒䑂䕁䅙睊桁䍁䅑睕歁䑁䅧兎䅁䝁䉣䅁䕂䅁䅁睊扂䙁䅣兑䑂䕁䅍䅉呂䕁䄴䅔畁䡁䅧䅢穂䝁䄰兘塂䕁䅅睑䑂䍁䅣光歁䕁䅷䅊穁䑁䅕杏歁䕁䅷䅊ぁ䑁䅧䅁呃䅁䅁村䅁䍁䅣睗䕂䕁䅍杒杁䕁䅍睢畂䡁䅙党祂䡁䅍兡療䝁䄴杌㑂䝁䅷督瑂䙁䄰䅒䑂䕁䅙睊桁䍁䅑睕歁䑁䅫睍䅁䱁䈴䅁煁䅁䅁兓剂䙁䄸睑噂䙁䅉杕䙂䕁䄴䅖時䙁䅁睔卂䙁䅑睘䕂䕁䅕村啂䅁䅁睨䅙䅁䅑䅁睁䅁䅁䅁䅁䕁䅑䅁湁䙁䅳䅒䑂䕁䅙䅉䑂䝁䄸杢㉂䝁䅕杣穂䝁䅫睢畂䍁䄴䅥獂䡁䅍兢摂䕁䅑睑䝂䍁䅣光歁䙁䅑䅊硁䑁䅅睎䅁䡁䉫䅁卂䅁䅁睊扂䕁䅑睑䝂䍁䅁睑療䝁䄴杤求䡁䅉督灂䝁䄸杢畁䡁䅧䅢穂䝁䄰兘䕂䕁䅍杒湁䍁䅅䅊啂䍁䅑免硁䑁䅣杏歁䙁䅑䅊硁䑁䅅䅏䅁䩁䉉䅁卂䅁䅁睊扂䕁䅑睑䝂䍁䅁睑療䝁䄴杤求䡁䅉督灂䝁䄸杢畁䡁䅧䅢穂䝁䄰兘䕂䕁䅍杒湁䍁䅅䅊啂䍁䅑免硁䑁䅣杏歁䙁䅑䅊硁䑁䅉䅍䅁䵁䉅䅁卂䅁䅁睊扂䕁䅑睑䝂䍁䅁睑療䝁䄴杤求䡁䅉督灂䝁䄸杢畁䡁䅧䅢穂䝁䄰兘䕂䕁䅍杒湁䍁䅅䅊啂䍁䅑免祁䑁䅍杏歁䙁䅑䅊硁䑁䅉䅎䅁䩁䉧䅁允䅁䅁䅕卂䙁䅍䅕瑁䙁䅕睕䅁䍁䍍䅁卂䅁䅁睊扂䕁䅑睑䝂䍁䅁睑療䝁䄴杤求䡁䅉督灂䝁䄸杢畁䡁䅧䅢穂䝁䄰兘䕂䕁䅍杒湁䍁䅅䅊啂䍁䅑免祁䑁䅕杏歁䙁䅑䅊硁䑁䅉李䅁䵁䉑䅁啂䅁䅁睗乂䕁䅫睘䕂䕁䅍杒䉂䝁䄴兙獂䡁䅫督灂䡁䅍睘㉂䑁䅅杌㑂䝁䅷督瑂䙁䄰䅒䑂䕁䅙光歁䙁䅫䅊硁䑁䅑䅏㙁䍁䅑兗歁䑁䅅兎穁䅁䅁眷䅉䩁䄴䅁偂䡁䅁䅤灂䝁䄸杢穂䑁䅯睑ㅂ䡁䅉杣㥁䙁䅕睕䕂䍁䅷兔桂䝁䅣児㉁䍁䅷睑療䝁䄴杤乂䝁䅕䅤潂䝁䄸䅚㥁䕁䄰兓祂䝁䅕睙療䝁䄰兢求䝁䄴䅚求䝁䅑䅌兂䝁䅅䅚㥁䕁䄸杚浂䍁䅷䅒桂䡁䅑党穂䑁䄰村求䝁䅙睢祂䝁䅕䅌呂䝁䄸杣あ䑁䄰䅒求䡁䅍睙䅁乁䅷䅁卂䅁䅁睊扂䕁䅑睑䝂䍁䅁睑療䝁䄴杤求䡁䅉督灂䝁䄸杢畁䡁䅧䅢穂䝁䄰兘䕂䕁䅍杒湁䍁䅅䅊啂䍁䅑免穁䑁䅅杏歁䙁䅑䅊硁䑁䅍杍䅁䵁䉣䅁坂䅁䅁睗呂䙁䅁睒時䕁䅑睑䝂䕁䅅杢桂䝁䅷入穂䝁䅫督時䡁䅙免畁䡁䅧䅢穂䝁䄰兘䕂䕁䅍杒桁䍁䅑睒歁䑁䅅䅍祁䑁䅯䅊䡂䍁䅑免穁䑁䅁䅁湄䅂䅁杋䅁䕁䅫兕時䙁䅑睔啂䕁䅅䅔時䙁䅁杕䙂䕁䅙睘䙂䙁䅅兖䩂䙁䅑兗䅁䑁䍑䅁䥁䅁䅁睕佂䕁䅷䅁偁䅁䅁杖䅁䍁䅣睗乂䕁䅫睘䕂䕁䅍杒䉂䝁䄴兙獂䡁䅫督灂䡁䅍睘㉂䑁䅅䅉瑁䍁䅁睑療䡁䅁入畁䡁䅧䅢穂䝁䄰兘䕂䕁䅍杒湁䍁䅅䅊坂䍁䅑䅎硁䅁䅁杮䅉䉁䅷䅁呂䙁䅁睕硁䑁䅧䅏㍁䑁䅁睍睁䑁䅫兎㑁䅁䅁兑䅙䉁䅷䅁䩂䙁䅅䅖硁䑁䅧䅎㍁䑁䅫兏ㅁ䑁䅑䅍㉁䅁䅁睈䅑䕁䅑䅁湁䙁䅳䅒䑂䕁䅙䅉䑂䝁䄸杢㉂䝁䅕杣穂䝁䅫睢畂䍁䄴䅥獂䡁䅍兢摂䕁䅑睑䝂䍁䅣光歁䙁䅑䅊硁䑁䅧睎䅁䑁䉧䅁卂䅁䅁睊扂䕁䅑睑䝂䍁䅁睑療䝁䄴杤求䡁䅉督灂䝁䄸杢畁䡁䅧䅢穂䝁䄰兘䕂䕁䅍杒湁䍁䅅䅊啂䍁䅑免㕁䑁䅁杏歁䙁䅑䅊硁䑁䅫兎䅁䑁䉳䅁佁䅁䅁兔乂䕁䄰兌噂䙁䅍䅁佁允䅁䅖䅁䍁䅣睗呂䙁䅁睒時䕁䅑睑䝂䕁䅅杢桂䝁䅷入穂䝁䅫督時䡁䅙免杁䍁䅧免灁䍁䄴䅥獂䡁䅍兢摂䕁䅑睑䝂䍁䅣光歁䙁䅣䅊硁䑁䅑李䅁䭁䑧䅁卂䅁䅁睊扂䕁䅑睑䝂䍁䅁睑療䝁䄴杤求䡁䅉督灂䝁䄸杢畁䡁䅧䅢穂䝁䄰兘䕂䕁䅍杒湁䍁䅅䅊啂䍁䅑免㕁䑁䅁杏歁䙁䅑䅊硁䑁䅫睎䅁䑁䈰䅁卂䅁䅁睊扂䕁䅑睑䝂䍁䅁睑療䝁䄴杤求䡁䅉督灂䝁䄸杢畁䡁䅧䅢穂䝁䄰兘䕂䕁䅍杒湁䍁䅅䅊啂䍁䅑免㕁䑁䅁杏歁䙁䅑䅊硁䑁䅫兏䅁䡁䉳䅁卂䅁䅁睊扂䕁䅑睑䝂䍁䅁睑療䝁䄴杤求䡁䅉督灂䝁䄸杢畁䡁䅧䅢穂䝁䄰兘䕂䕁䅍杒湁䍁䅅䅊啂䍁䅑免㕁䑁䅧杏歁䙁䅑䅊祁䑁䅁兏䅁䵁䉳䅁啁䅁䅁杔婂䙁䅍兒㙁䕁䄸杕䑂䕁䅷䅁療䅂䅁䅗䅁䍁䅣睗呂䙁䅁睒時䕁䅑睑䝂䕁䅅杢桂䝁䅷入穂䝁䅫督時䡁䅙免杁䑁䅅䅉潁䑁䅅克畁䡁䅧䅢穂䝁䄰兘䕂䕁䅍杒湁䍁䅅䅊婂䍁䅑免穁䑁䅅䅁噄睁䅁䅕䅁䍁䅣睗䕂䕁䅍杒杁䕁䅍睢畂䡁䅙党祂䡁䅍兡療䝁䄴杌㑂䝁䅷督瑂䙁䄰䅒䑂䕁䅙睊桁䍁䅑䅖歁䑁䅧䅏㙁䍁䅑䅖歁䑁䅅䅍㕁䅁䅁兡䅅䍁䄴䅁佂䕁䅅睕䕂䕁䅅兕杁䕁䄸兔奂䍁䅁睒療䡁䅙䅤杁䙁䅉党獂䝁䅫党浂䅁䅁兘䅁䉁䅧䅁呂䙁䅁睕硁䑁䅑䅍祁䑁䅙䅎ぁ䑁䅁䅁啂杂䅁䅕䅁䍁䅣睗䕂䕁䅍杒杁䕁䅍睢畂䡁䅙党祂䡁䅍兡療䝁䄴杌㑂䝁䅷督瑂䙁䄰䅒䑂䕁䅙睊桁䍁䅑䅖歁䑁䅧䅏㙁䍁䅑䅖歁䑁䅅免睁䅁䅁睡䅅䙁䅁䅁湁䙁䅳䅒䑂䕁䅙䅉䑂䝁䄸杢㉂䝁䅕杣穂䝁䅫睢畂䍁䄴䅥獂䡁䅍兢摂䕁䅑睑䝂䍁䅣光歁䙁䅑䅊㑁䑁䅧杏歁䙁䅑䅊硁䑁䅅免䅁䝁䉷䅁楁䅁䅁兓呂䕁䅕䅉佂䝁䅅䅤灂䝁䄸杢桂䝁䅷䅉硁䑁䅁䅍䅁䕁䄸䅁奁䅁䅁睕兂䙁䅍免ぁ䑁䅁杍㉁䑁䅑䅎祁䅁䅁睄䅙䙁䅁䅁湁䙁䅳䅒䑂䕁䅙䅉䑂䝁䄸杢㉂䝁䅕杣穂䝁䅫睢畂䍁䄴䅥獂䡁䅍兢摂䕁䅑睑䝂䍁䅣光歁䙁䅑䅊㑁䑁䅧杏歁䙁䅑䅊硁䑁䅅杍䅁䩁䉕䅁啂䅁䅁睊扂䙁䅍䅕䡂䙁䄸䅒䑂䕁䅙兑畂䝁䅅䅢㕂䡁䅍兡穂䙁䄸杤硁䍁䅁䅋穁䍁䅫杌㑂䝁䅷督瑂䙁䄰䅒䑂䕁䅙睊桁䍁䅑兑䱂䍁䅑兎ぁ䅁䅁䅕䅍䉁䅯䅁呂䙁䅁睕ㅁ䑁䅫䅎ㅁ䑁䅁睍ぁ䑁䅉兎䅁䉁䡣䅁捁䅁䅁睕兂䙁䅍免㑁䑁䅕兏祁䑁䅣兏ぁ䑁䅧䅍䅁䵁䡯䅁捂䅁䅁睊扂䙁䅍䅕䡂䙁䄸䅒䑂䕁䅙兑畂䝁䅅䅢㕂䡁䅍兡穂䙁䄸杤硁䍁䅁䅎畁䡁䅧䅢穂䝁䄰兘䕂䕁䅍杒湁䍁䅅䅊奂䍁䅑䅎㍁䑁䅯䅊䉂䕁䅧䅊ぁ䑁䅣䅁⭄䅂䅁䅖䅁䙁䅳兔䩂䙁䄸䅒䑂䕁䅙兑畂䝁䅅䅢㕂䡁䅍兡穂䙁䄸杤硁䍁䄴䅥獂䡁䅍兢摂䕁䅑睑䝂䍁䅅䅊䉂䕁䄰䅊ㅁ䑁䅍杏歁䕁䅅兔歁䑁䅙兎䅁䅁䍉䅁㑁䅁䅁睊扂䙁䅣兑䑂䕁䅍䅉呂䕁䄴䅔畁䡁䅧䅢穂䡁䅧兘塂䕁䅅睑䑂䍁䅣光歁䕁䅯䅊穁䑁䅍䅁ぁ䅁䅁杇䅁䙁䅍䅕呂䑁䅕睍㉁䑁䅙睍祁䑁䅧李ぁ䅁䅁兒䅧䙁䅁䅁湁䙁䅳䅒䑂䕁䅙䅉䑂䝁䄸杢㉂䝁䅕杣穂䝁䅫睢畂䍁䄴䅥獂䡁䅍兢摂䕁䅑睑䝂䍁䅣光歁䙁䅑䅊㕁䑁䅕杏歁䙁䅑䅊硁䑁䅅䅍䅁䭁䉳䅁慁䅁䅁兓剂䙁䅑杍ぁ䑁䅙兏硁䑁䅣睍睁䑁䅣䅁㕁䅂䅁䅕䅁䍁䅣睗䕂䕁䅍杒杁䕁䅍睢畂䡁䅙党祂䡁䅍兡療䝁䄴杌㑂䝁䅷督瑂䙁䄰䅒䑂䕁䅙睊桁䍁䅑䅖歁䑁䅫李㙁䍁䅑䅖歁䑁䅅免硁䅁䅁睶䅅䕁䅑䅁湁䙁䅳䅒䑂䕁䅙䅉䑂䝁䄸杢㉂䝁䅕杣穂䝁䅫睢畂䍁䄴䅥獂䡁䅍兢摂䕁䅑睑䝂䍁䅣光歁䙁䅕䅊硁䑁䅁李䅁䥁䈰䅁䕂䅁䅁睊扂䕁䅑睑䝂䍁䅁睑療䝁䄴杤求䡁䅉督灂䝁䄸杢畁䡁䅧䅢穂䝁䄰兘䕂䕁䅍杒湁䍁䅅䅊噂䍁䅑免睁䑁䅣䅁偃允䅁杇䅁䙁䅍䅕呂䑁䅙䅎ぁ䑁䅫免ぁ䑁䅫兏㍁䅁䅁睧䅣乁䅙䅁偂䡁䅁䅤灂䝁䄸杢穂䑁䅯杔䉂䑁䄰杔噂䕁䅷䅔獁䕁䅍兤祂䡁䅉児噂䙁䅍䅒獁䕁䄰兙湂䑁䄰兔灂䝁䅷䅢灂䝁䄸杢穂䍁䅷睑療䝁䄴杤乂䝁䅕䅤潂䝁䄸䅚㥁䕁䄰兓祂䝁䅕睙療䝁䄰兢求䝁䄴䅚求䝁䅑䅌兂䝁䅅䅚㥁䕁䄸杚浂䍁䅷杒灂䝁䅷䅢㥁䕁䄰睢畂䡁䅑䅡獂䡁䅫䅌䕂䝁䅅䅤求䡁䅍児䍂䝁䅕杚療䡁䅉党獁䙁䅍睢祂䡁䅑児䕂䝁䅕督橂䅁䅁杆䅉䙁䅑䅁扂䕁䄰兓時䕁䅑睑䝂䕁䅅杢桂䝁䅷入穂䝁䅫督時䡁䅙免畁䡁䅧䅢穂䝁䄰兘䕂䕁䅍杒桁䍁䅑兑䵂䍁䅑兎㉁䑁䅯䅊䉂䕁䅷䅊㉁䑁䅧䅁⭁杁䅁杚䅁䍁䅣睗乂䕁䅫睘䕂䕁䅍杒䉂䝁䄴兙獂䡁䅫督灂䡁䅍睘㉂䑁䅅䅉瑁䍁䅁睑療䡁䅁入畁䡁䅧䅢穂䝁䄰兘䕂䕁䅍杒湁䍁䅅䅊䕂䕁䄴䅊ぁ䑁䅙杏歁䕁䅑杔歁䑁䅕杍䅁䩁䍣䅁啂䅁䅁睗乂䕁䅫睘䕂䕁䅍杒䉂䝁䄴兙獂䡁䅫督灂䡁䅍睘㉂䑁䅅杌㑂䝁䅷督瑂䙁䄰䅒䑂䕁䅙光歁䕁䅍睖歁䑁䅑䅏㙁䍁䅑睑慂䍁䅑䅎㑁䅁䅁䅨䅉䉁䅷䅁䩂䙁䅅䅖硁䑁䅧䅎㍁䑁䅫兏ㅁ䑁䅉兎㕁䅁䅁朹䅍䉁䅯䅁呂䙁䅁睕ㅁ䑁䅫䅎ㅁ䑁䅁睍穁䑁䅣睎䅁䉁䡁䅁䕂䅁䅁睊扂䕁䅑睑䝂䍁䅁睑療䝁䄴杤求䡁䅉督灂䝁䄸杢畁䡁䅧䅢穂䝁䄰兘䕂䕁䅍杒湁䍁䅅䅊噂䍁䅑免硁䑁䅍䅁畃允䅁䅒䅁䍁䅣睗䕂䕁䅍杒杁䕁䅍睢畂䡁䅙党祂䡁䅍兡療䝁䄴杌㑂䝁䅷督瑂䙁䄰䅒䑂䕁䅙睊桁䍁䅑兖歁䑁䅅免ぁ䅁䅁䅳䅅䉁䄴䅁呂䙁䅁䅖時䕁䅫睕呂䙁䅕兒時䕁䅑兑啂䕁䅕䅁敃兂䅁䅗䅁䙁䅳兔䩂䙁䄸睖䉂䕁䅍睑䉂䝁䄴兙獂䡁䅫督灂䡁䅍睘㉂䑁䅅杌㑂䝁䅷督瑂䙁䄰睖䉂䕁䅍睑桁䍁䅑兑䝂䍁䅑䅎ㅁ䑁䅯䅊䉂䕁䅙䅊ㅁ䑁䅙䅁䩁允䅁杕䅁䍁䅣睗䕂䕁䅍杒杁䕁䅍睢畂䡁䅙党祂䡁䅍兡療䝁䄴杌㑂䝁䅷督瑂䙁䄰䅒䑂䕁䅙睊桁䍁䅑兖歁䑁䅅免ぁ䑁䅯䅊坂䍁䅑免硁䑁䅑䅁㙂允䅁䅅䅁䕁䅑兒䵂䕁䅷兌噂䙁䅍䅁歂杁䅁䅈䅁䙁䅍䅕呂䑁䅅䅏㑁䑁䅣䅍穁䑁䅁兏ㅁ䑁䅍䅁䩁杂䅁杚䅁䍁䅣睗呂䙁䅁睒時䕁䅑睑䝂䕁䅅杢桂䝁䅷入穂䝁䅫督時䡁䅙免杁䑁䅅䅉潁䑁䅅克畁䡁䅧䅢穂䝁䄰兘䕂䕁䅍杒湁䍁䅅䅊䑂䕁䅕䅊ㅁ䑁䅍杏歁䕁䅍睒歁䑁䅕睍䅁䵁䑳䅁䕂䅁䅁睊扂䕁䅑睑䝂䍁䅁睑療䝁䄴杤求䡁䅉督灂䝁䄸杢畁䡁䅧䅢穂䝁䄰兘䕂䕁䅍杒湁䍁䅅䅊噂䍁䅑免硁䑁䅕䅁剃允䅁杚䅁䍁䅣睗呂䙁䅁睒時䕁䅑睑䝂䕁䅅杢桂䝁䅷入穂䝁䅫督時䡁䅙免杁䑁䅅䅉潁䑁䅅克畁䡁䅧䅢穂䝁䄰兘䕂䕁䅍杒湁䍁䅅䅊䡂䍁䅑杍ぁ䑁䅧杏歁䕁䄰䅊祁䑁䅑䅏䅁乁䑍䅁卂䅁䅁睊扂䕁䅑睑䝂䍁䅁睑療䝁䄴杤求䡁䅉督灂䝁䄸杢畁䡁䅧䅢穂䝁䄰兘䕂䕁䅍杒湁䍁䅅䅊噂䍁䅑免祁䑁䅅杏歁䙁䅕䅊硁䑁䅉杍䅁䡁䉣䅁歁䅁䅁兓剂䙁䄸睑䉂䙁䅍䅓時䙁䅍䅖時䕁䅫杔坂䕁䅕睕啂䅁䅁兪䅙䉁䅷䅁䩂䙁䅅䅖硁䑁䅧䅎㍁䑁䅫兏ㅁ䑁䅅䅏ㅁ䅁䅁睮䅑䉁䅑䅁佂䙁䅫睕䙂䑁䅯兔呂䕁䅍兓䅁䙁䡳䅁䕂䅁䅁睊扂䕁䅑睑䝂䍁䅁睑療䝁䄴杤求䡁䅉督灂䝁䄸杢畁䡁䅧䅢穂䝁䄰兘䕂䕁䅍杒湁䍁䅅䅊噂䍁䅑免祁䑁䅉䅁硃允䅁䅙䅁䍁䅣睗呂䙁䅁睒時䕁䅑睑䝂䕁䅅杢桂䝁䅷入穂䝁䅫督時䡁䅙免杁䍁䅧睍灁䍁䄴䅥獂䡁䅍兢摂䕁䅑睑䝂䍁䅣光歁䙁䅧䅊ぁ䑁䅧杏歁䕁䅅兒歁䑁䅑䅏䅁䙁䑣䅁捁䅁䅁兓剂䙁䅑免㑁䑁䅙䅎睁䑁䅑李ぁ䑁䅙兏䅁佁䕉䅁流䅁䅁睕求䝁䄴兡療䡁䅉䅉呂䡁䅕杙療䡁䅉䅚灂䝁䄴兙あ䝁䅕䅁湄睁䅁䅒䅁䍁䅣睗䕂䕁䅍杒杁䕁䅍睢畂䡁䅙党祂䡁䅍兡療䝁䄴杌㑂䝁䅷督瑂䙁䄰䅒䑂䕁䅙睊桁䍁䅑兖歁䑁䅅杍穁䅁䅁睷䅅䙁䅉䅁湁䙁䅳䅒䑂䕁䅙䅉䑂䝁䄸杢㉂䝁䅕杣穂䝁䅫睢畂䍁䄴䅥獂䡁䅍兢摂䕁䅑睑䝂䍁䅣光歁䙁䅕䅊硁䑁䅉睍㙁䍁䅑兖歁䑁䅅杍ぁ䅁䅁六䅅䕁䅙䅁扂䕁䄰兓時䕁䅑睑䝂䕁䅅杢桂䝁䅷入穂䝁䅫督時䡁䅙免畁䡁䅧䅢穂䝁䄰兘䕂䕁䅍杒桁䍁䅑睑噂䍁䅑䅎㉁䅁䅁睧䅉䙁䅉䅁湁䙁䅳䅒䑂䕁䅙䅉䑂䝁䄸杢㉂䝁䅕杣穂䝁䅫睢畂䍁䄴䅥獂䡁䅍兢摂䕁䅑睑䝂䍁䅣光歁䙁䅕䅊硁䑁䅫兎㙁䍁䅑杗歁䑁䅅兏ㅁ䅁䅁䅺䅅䝁䅉䅁湁䙁䅳睕兂䕁䅣睘䕂䕁䅍杒䉂䝁䄴兙獂䡁䅫督灂䡁䅍睘㉂䑁䅅䅉潁䑁䅅克畁䡁䅧䅢穂䝁䄰兘䕂䕁䅍杒湁䍁䅅䅊婂䍁䅑免ぁ䑁䅧杏歁䙁䅫䅊硁䑁䅕睍䅁䭁䑳䅁卂䅁䅁睊扂䕁䅑睑䝂䍁䅁睑療䝁䄴杤求䡁䅉督灂䝁䄸杢畁䡁䅧䅢穂䝁䄰兘䕂䕁䅍杒湁䍁䅅䅊噂䍁䅑免穁䑁䅅杏歁䙁䅕䅊硁䑁䅍杍䅁䵁䉧䅁楂䅁䅁睊扂䕁䄰兓時䙁䅣兑䑂䕁䅍兑畂䝁䅅䅢㕂䡁䅍兡穂䙁䄸杤硁䍁䅁䅋ㅁ䍁䅫杌㑂䝁䅷督瑂䙁䄰睖䉂䕁䅍睑湁䍁䅅䅊剂䍁䅑睍穁䑁䅯䅊䉂䕁䅅䅊穁䑁䅍䅁䡃允䅁杕䅁䍁䅣睗䕂䕁䅍杒杁䕁䅍睢畂䡁䅙党祂䡁䅍兡療䝁䄴杌㑂䝁䅷督瑂䙁䄰䅒䑂䕁䅙睊桁䍁䅑兖歁䑁䅅䅏㉁䑁䅯䅊婂䍁䅑免㑁䑁䅙䅁㙁允䅁杕䅁䍁䅣睗䕂䕁䅍杒杁䕁䅍睢畂䡁䅙党祂䡁䅍兡療䝁䄴杌㑂䝁䅷督瑂䙁䄰䅒䑂䕁䅙睊桁䍁䅑兖歁䑁䅅䅏㉁䑁䅯䅊慂䍁䅑免㑁䑁䅙䅁㥂允䅁杕䅁䍁䅣睗䕂䕁䅍杒杁䕁䅍睢畂䡁䅙党祂䡁䅍兡療䝁䄴杌㑂䝁䅷督瑂䙁䄰䅒䑂䕁䅙睊桁䍁䅑兖歁䑁䅅䅏㍁䑁䅯䅊婂䍁䅑免㑁䑁䅣䅁㡁允䅁杋䅁䕁䅫兕時䕁䄰兓佂䕁䄸杕䩂䙁䅑兗時䕁䅫杔啂䕁䅕杕䙂䙁䅍䅖䅁䡁䜴䅁啁䅁䅁村療䝁䄴䅚杁䕁䅷兡穂䡁䅑䅁奃兂䅁杙䅁䍁䅣睗呂䙁䅁睒時䕁䅑睑䝂䕁䅅杢桂䝁䅷入穂䝁䅫督時䡁䅙免杁䍁䅧免灁䍁䄴䅥獂䡁䅍兢摂䕁䅑睑䝂䍁䅣光歁䕁䅕䅊祁䑁䅑李㙁䍁䅑兒歁䑁䅉兎硁䅁䅁䅳䅍䉁䅷䅁䩂䙁䅅䅖硁䑁䅙睎硁䑁䅣睍ぁ䑁䅉䅍㕁䅁䅁儷䅍䙁䅉䅁湁䙁䅳䅒䑂䕁䅙䅉䑂䝁䄸杢㉂䝁䅕杣穂䝁䅫睢畂䍁䄴䅥獂䡁䅍兢摂䕁䅑睑䝂䍁䅣光歁䙁䅕䅊硁䑁䅧睎㙁䍁䅑杗歁䑁䅅䅏㍁䅁䅁杦䅅䉁䅷䅁呂䙁䅁睕硁䑁䅣兏祁䑁䅣睎ㅁ䑁䅑杍㑁䅁䅁睒䅙䕁䄴䅁湁䙁䅳䅒䑂䕁䅙䅉䑂䝁䄸杢㉂䝁䅕杣穂䝁䅫睢畂䍁䄴䅥獂䡁䅍兢摂䕁䅑睑䝂䍁䅣光歁䙁䅕䅊㕁䑁䅉杏歁䙁䅯䅊㕁䑁䅉䅁煃允䅁杔䅁䍁䅣睗䕂䕁䅍杒杁䕁䅍睢畂䡁䅙党祂䡁䅍兡療䝁䄴杌㑂䝁䅷督瑂䙁䄰䅒䑂䕁䅙睊桁䍁䅑兖歁䑁䅧兎㙁䍁䅑杗歁䑁䅧兎䅁䡁䈸䅁卂䅁䅁睊扂䕁䅑睑䝂䍁䅁睑療䝁䄴杤求䡁䅉督灂䝁䄸杢畁䡁䅧䅢穂䝁䄰兘䕂䕁䅍杒湁䍁䅅䅊噂䍁䅑免㕁䑁䅑杏歁䙁䅯䅊硁䑁䅫䅎䅁䵁䉯䅁敂䅁䅁睊扂䙁䅍䅕䡂䙁䄸䅒䑂䕁䅙兑畂䝁䅅䅢㕂䡁䅍兡穂䙁䄸杤硁䍁䅁䅋硁䍁䅫杌㑂䝁䅷督瑂䙁䄰䅒䑂䕁䅙睊桁䍁䅑䅓歁䑁䅫兏㙁䍁䅑兔歁䑁䅫兏䅁䥁䑫䅁佂䅁䅁睊扂䕁䅑睑䝂䍁䅁睑療䝁䄴杤求䡁䅉督灂䝁䄸杢畁䡁䅧䅢穂䝁䄰兘䕂䕁䅍杒湁䍁䅅䅊噂䍁䅑䅏ㅁ䑁䅯䅊婂䍁䅑䅏ㅁ䅁䅁䅡䅅䉁䅉䅁佂䙁䅫睕䙂䑁䅯䅒䩂䙁䅍䅁湃杂䅁䅙䅁䍁䅣睗乂䕁䅫睘䕂䕁䅍杒䉂䝁䄴兙獂䡁䅫督灂䡁䅍睘㉂䑁䅅䅉潁䑁䅉克畁䡁䅧䅢穂䝁䄰兘䕂䕁䅍杒湁䍁䅅䅊䕂䕁䄴䅊ㅁ䑁䅅杏歁䕁䅑杔歁䑁䅕睎䅁偁䌴䅁捁䅁䅁睕兂䙁䅍免㑁䑁䅑睎㕁䑁䅫兎硁䑁䅧睍䅁䭁䘸䅁捁䅁䅁兓剂䙁䅑免㍁䑁䅫杍㉁䑁䅁李㑁䑁䅑䅏䅁偁䑷䅁慁䅁䅁睕兂䙁䅍杍㑁䑁䅑睎㉁䑁䅍睎㉁䑁䅧䅁呂䅃䅁杔䅁䍁䅣睗䕂䕁䅍杒杁䕁䅍睢畂䡁䅙党祂䡁䅍兡療䝁䄴杌㑂䝁䅷督瑂䙁䄰䅒䑂䕁䅙睊桁䍁䅑兖歁䑁䅧李㙁䍁䅑兗歁䑁䅧李䅁䝁䉯䅁捁䅁䅁睕兂䙁䅍免㕁䑁䅑杍硁䑁䅁䅍㉁䑁䅑䅍䅁䙁䥷䅁佂䅁䅁睊扂䕁䅑睑䝂䍁䅁睑療䝁䄴杤求䡁䅉督灂䝁䄸杢畁䡁䅧䅢穂䝁䄰兘䕂䕁䅍杒湁䍁䅅䅊噂䍁䅑䅏㉁䑁䅯䅊慂䍁䅑䅏㉁䅁䅁䅧䅅䕁䄴䅁湁䙁䅳䅒䑂䕁䅙䅉䑂䝁䄸杢㉂䝁䅕杣穂䝁䅫睢畂䍁䄴䅥獂䡁䅍兢摂䕁䅑睑䝂䍁䅣光歁䙁䅕䅊㕁䑁䅍杏歁䙁䅯䅊㕁䑁䅍䅁獃允䅁䅈䅁䕁䅫兕啂䑁䅅䅏穁䑁䅣䅎ㅁ䑁䅉䅍硁䑁䅕䅁噃䅂䅁䅗䅁䍁䅣睗呂䙁䅁睒時䕁䅑睑䝂䕁䅅杢桂䝁䅷入穂䝁䅫督時䡁䅙免杁䑁䅅䅉潁䑁䅅克畁䡁䅧䅢穂䝁䄰兘䕂䕁䅍杒湁䍁䅅䅊䉂䕁䅣䅊ぁ䑁䅣䅁䡄睁䅁䅃䅁䕁䅫村乂䅁䅁杫䅣䙁䅧䅁湁䙁䅳兔䩂䙁䄸䅒䑂䕁䅙兑畂䝁䅅䅢㕂䡁䅍兡穂䙁䄸杤硁䍁䅁兌杁䕁䅍睢睂䡁䅫杌㑂䝁䅷督瑂䙁䄰䅒䑂䕁䅙睊桁䍁䅑兗歁䑁䅅杍㉁䅁䅁兲䅉䉁䅁䅁䉂䕁䅑睕䱂䍁䄰兖呂䅁䅁睢䅉䕁䄴䅁湁䙁䅳䅒䑂䕁䅙䅉䑂䝁䄸杢㉂䝁䅕杣穂䝁䅫睢畂䍁䄴䅥獂䡁䅍兢摂䕁䅑睑䝂䍁䅣光歁䙁䅕䅊㕁䑁䅑杏歁䙁䅯䅊㕁䑁䅑䅁䅄允䅁䅖䅁䍁䅣睗呂䙁䅁睒時䕁䅑睑䝂䕁䅅杢桂䝁䅷入穂䝁䅫督時䡁䅙免杁䍁䅧免灁䍁䄴䅥獂䡁䅍兢摂䕁䅑睑䝂䍁䅣光歁䕁䅅睒歁䑁䅑睎䅁䩁䑷䅁䕂䅁䅁睊扂䕁䅑睑䝂䍁䅁睑療䝁䄴杤求䡁䅉督灂䝁䄸杢畁䡁䅧䅢穂䝁䄰兘䕂䕁䅍杒湁䍁䅅䅊坂䍁䅑免祁䑁䅅䅁塃允䅁䅅䅁䕁䅫兕時䕁䅍睔䡂䙁䅍䅁祃睂䅁杪䅁䕁䄸䅣あ䝁䅫睢畂䡁䅍杏䑂䡁䅕杣祂䑁䄰杕求䡁䅁睢祂䡁䅑党歂䍁䅁睙ㅂ䡁䅉杣求䝁䄴睙㕂䍁䅷兔桂䝁䅣児乂䕁䅫睕あ䝁䅅杢歂䝁䅅杣歂䍁䅷睑療䝁䄴杤乂䝁䅕䅤潂䝁䄸䅚㥁䕁䄰兓祂䝁䅕睙療䝁䄰兢求䝁䄴䅚求䝁䅑䅁捄允䅁䅕䅁䙁䅳兔䩂䙁䄸䅒䑂䕁䅙兑畂䝁䅅䅢㕂䡁䅍兡穂䙁䄸杤硁䍁䄴䅥獂䡁䅍兢摂䕁䅑睑䝂䍁䅅䅊坂䍁䅑兎硁䑁䅯䅊坂䍁䅑兎㉁䅁䅁眴䅉䉁䅷䅁呂䙁䅁睕硁䑁䅧䅎㍁䑁䅫兏ㅁ䑁䅅李㍁䅁䅁䄷䅕䉁䅷䅁呂䙁䅁睕硁䑁䅣兏祁䑁䅙䅍㉁䑁䅧䅍祁䅁䅁眸䅕䕁䅑䅁湁䙁䅳䅒䑂䕁䅙䅉䑂䝁䄸杢㉂䝁䅕杣穂䝁䅫睢畂䍁䄴䅥獂䡁䅍兢摂䕁䅑睑䝂䍁䅣光歁䙁䅙䅊硁䑁䅉兏䅁䵁䉙䅁䝂䅁䅁睗乂䕁䅫睘䕂䕁䅍杒䉂䝁䄴兙獂䡁䅫督灂䡁䅍睘㉂䑁䅅杌㑂䝁䅷督瑂䙁䄰䅒䑂䕁䅙光歁䙁䅙䅊硁䑁䅉睎䅁佁䉷䅁䕂䅁䅁睊扂䕁䅑睑䝂䍁䅁睑療䝁䄴杤求䡁䅉督灂䝁䄸杢畁䡁䅧䅢穂䝁䄰兘䕂䕁䅍杒湁䍁䅅䅊慂䍁䅑免硁䑁䅫䅁穂允䅁杚䅁䍁䅣睗呂䙁䅁睒時䕁䅑睑䝂䕁䅅杢桂䝁䅷入穂䝁䅫督時䡁䅙免杁䑁䅅䅉潁䑁䅅克畁䡁䅧䅢穂䝁䄰兘䕂䕁䅍杒湁䍁䅅䅊䡂䍁䅑免睁䑁䅍杏歁䕁䅣䅊硁䑁䅍䅍䅁䵁䐴䅁啂䅁䅁睊扂䕁䅑睑䝂䍁䅁睑療䝁䄴杤求䡁䅉督灂䝁䄸杢畁䡁䅧䅢穂䝁䄰兘呂䝁䅧党求䡁䅑免湁䍁䅅䅊䝂䍁䅑兎㙁䍁䅑杒歁䑁䅉兎ㅁ䅁䅁睒䅅䙁䅁䅁扂䕁䄰兓時䕁䅑睑䝂䕁䅅杢桂䝁䅷入穂䝁䅫督時䡁䅙免畁䡁䅧䅢穂䝁䄰兘䕂䕁䅍杒桁䍁䅑䅓歁䑁䅫䅎㙁䍁䅑兔歁䑁䅫䅎䅁䥁䍫䅁慁䅁䅁睕兂䙁䅍睎睁䑁䅁兏睁䑁䅙兏穁䑁䅣䅁桂杂䅁杌䅁䕁䄰睕䑂䕁䅫䅉噂䙁䅍䅉䩂䕁䄰兓杁䕁䅙兡畂䝁䅅杢橂䝁䅫兙獂䡁䅍䅁婂䅁䅁权䅁䑁䅉䅍祁䑁䅕䅁桃睂䅁䅕䅁䍁䅣睗䕂䕁䅍杒杁䕁䅍睢畂䡁䅙党祂䡁䅍兡療䝁䄴杌㑂䝁䅷督瑂䙁䄰睕潂䝁䅕党あ䑁䅅睊桁䍁䅑杒歁䑁䅕杏歁䕁䅙䅊㉁䅁䅁睑䅅䙁䅑䅁扂䙁䅍䅕䡂䙁䄸䅒䑂䕁䅙兑畂䝁䅅䅢㕂䡁䅍兡穂䙁䄸杤硁䍁䄴䅥獂䡁䅍兢摂䕁䅑睑䝂䍁䅅䅊奂䍁䅑䅎㍁䑁䅯䅊䉂䕁䅕䅊ぁ䑁䅣䅁硁睁䅁䅕䅁䍁䅣睗䕂䕁䅍杒杁䕁䅍睢畂䡁䅙党祂䡁䅍兡療䝁䄴杌㑂䝁䅷督瑂䙁䄰睕潂䝁䅕党あ䑁䅅睊桁䍁䅑杒歁䑁䅕杏歁䕁䅙䅊㍁䅁䅁兒䅅䅁䅯䅁祁䑁䅁杍ぁ䅁䅁杪䅙䉁䅁䅁䙂䕁䅷兒瑁䕁䄰兑䕂䅁䅁杹䅉䑁䅁䅁偂䡁䅍䅢療䍁䅁睕あ䝁䄸睙牂䍁䅁兒㑂䝁䅍䅡桂䝁䄴睚求䍁䅁睔䍂䙁䅧䅁浂䅁䅁䅖䅁䍁䅣睗䕂䕁䅍杒杁䕁䅍睢畂䡁䅙党祂䡁䅍兡療䝁䄴杌㑂䝁䅷督瑂䙁䄰睕潂䝁䅕党あ䑁䅅睊桁䍁䅑睒歁䑁䅕杏歁䕁䅣䅊祁䑁䅕兎䅁䕁䉧䅁歂䅁䅁睗乂䕁䅫睘䡂䕁䅷睔䍂䕁䅅䅔時䙁䅣兑䑂䕁䅍兑畂䝁䅅䅢㕂䡁䅍兡穂䙁䄸杤硁䍁䄴䅥獂䡁䅍兢摂䙁䅣兑䑂䕁䅍光歁䙁䅅䅊穁䑁䅍杏歁䕁䅅兑歁䑁䅍睍䅁䵁䅅䅁歂䅁䅁睊扂䙁䅍䅕䡂䙁䄸䅒䑂䕁䅙兑畂䝁䅅䅢㕂䡁䅍兡穂䙁䄸杤硁䍁䅁免杁䍁䅧免灁䍁䄴䅥獂䡁䅍兢摂䕁䅑睑䝂䍁䅣光歁䙁䅧䅊ぁ䑁䅧杏歁䕁䅅兒歁䑁䅑䅏䅁䵁䑕䅁啂䅁䅁睗乂䕁䅫睘䕂䕁䅍杒䉂䝁䄴兙獂䡁䅫督灂䡁䅍睘㉂䑁䅅杌㑂䝁䅷督瑂䙁䄰䅒䑂䕁䅙光歁䕁䅣䅊硁䑁䅁䅍㙁䍁䅑睒歁䑁䅅杍㍁䅁䅁䅔䅉䙁䅁䅁湁䙁䅳䅒䑂䕁䅙䅉䑂䝁䄸杢㉂䝁䅕杣穂䝁䅫睢畂䍁䄴䅥獂䡁䅍兢摂䙁䅍䅡求䝁䅕䅤硁䍁䅣光歁䕁䅣䅊ㅁ䑁䅯䅊䡂䍁䅑李䅁䕁䉑䅁䝂䅁䅁睊扂䕁䅑睑䝂䍁䅁睑療䝁䄴杤求䡁䅉督灂䝁䄸杢畁䡁䅧䅢穂䝁䄰兘呂䝁䅧党求䡁䅑免湁䍁䅅䅊䩂䍁䅑杍䅁䕁䉉䅁慁䅁䅁睕兂䙁䅍兎ぁ䑁䅑兎㕁䑁䅧杍睁䑁䅍䅁畂睂䅁䅈䅁䙁䅍䅕呂䑁䅅䅏ぁ䑁䅣兏㕁䑁䅕免睁䑁䅙䅁㕃兂䅁杚䅁䍁䅣睗呂䙁䅁睒時䕁䅑睑䝂䕁䅅杢桂䝁䅷入穂䝁䅫督時䡁䅙免杁䑁䅅䅉潁䑁䅅克畁䡁䅧䅢穂䝁䄰兘䕂䕁䅍杒湁䍁䅅䅊奂䍁䅑免穁䑁䅑杏歁䙁䅧䅊硁䑁䅍兎䅁乁䑙䅁捁䅁䅁睕兂䙁䅍免㕁䑁䅍䅍睁䑁䅉免㉁䑁䅫睎䅁䩁䜴䅁卂䅁䅁睊扂䕁䅑睑䝂䍁䅁睑療䝁䄴杤求䡁䅉督灂䝁䄸杢畁䡁䅧䅢穂䝁䄰兘呂䝁䅧党求䡁䅑免湁䍁䅅䅊䵂䍁䅑李㙁䍁䅑䅔歁䑁䅅免䅁䙁䉉䅁啂䅁䅁睊扂䙁䅍䅕䡂䙁䄸䅒䑂䕁䅙兑畂䝁䅅䅢㕂䡁䅍兡穂䙁䄸杤硁䍁䅁䅋硁䍁䅫杌㑂䝁䅷督瑂䙁䄰䅒䑂䕁䅙睊桁䍁䅑睖歁䑁䅅䅎睁䅁䅁兰䅍䙁䅉䅁湁䙁䅳䅒䑂䕁䅙䅉䑂䝁䄸杢㉂䝁䅕杣穂䝁䅫睢畂䍁䄴䅥獂䡁䅍兢摂䙁䅍䅡求䝁䅕䅤硁䍁䅣光歁䕁䅷䅊㉁䑁䅯䅊䵂䍁䅑免祁䅁䅁睕䅅䉁䅷䅁呂䙁䅁睕硁䑁䅙睎硁䑁䅣睍ぁ䑁䅅䅎㕁䅁䅁杖䅙䙁䅉䅁湁䙁䅳䅒䑂䕁䅙䅉䑂䝁䄸杢㉂䝁䅕杣穂䝁䅫睢畂䍁䄴䅥獂䡁䅍兢摂䙁䅍䅡求䝁䅕䅤硁䍁䅣光歁䕁䅷䅊㉁䑁䅯䅊䵂䍁䅑免ぁ䅁䅁兖䅅䙁䅷䅁湁䙁䅳睕兂䕁䅣睘䕂䕁䅍杒䉂䝁䄴兙獂䡁䅫督灂䡁䅍睘㉂䑁䅅䅉ぁ䍁䄴䅥獂䡁䅍兢摂䕁䅑睑䝂䍁䅣光歁䙁䅧䅊ぁ䑁䅧杏歁䕁䅅䅓歁䑁䅑䅏䅁偁䔸䅁杂䅁䅁睊扂䕁䄰兓時䕁䅑睑䝂䕁䅅杢桂䝁䅷入穂䝁䅫督時䡁䅙免杁䍁䅧杍灁䍁䄴䅥獂䡁䅍兢摂䕁䅑睑䝂䍁䅣光歁䕁䅙䅊祁䑁䅁睎㙁䍁䅑兔歁䑁䅉䅍㍁䅁䅁䅊䅍䙁䅧䅁扂䕁䄰兓時䕁䅣䅔偂䕁䅉兑䵂䙁䄸睖䉂䕁䅍睑䉂䝁䄴兙獂䡁䅫督灂䡁䅍睘㉂䑁䅅杌㑂䝁䅷督瑂䙁䄰睖䉂䕁䅍睑桁䍁䅑兑䙂䍁䅑睍㕁䅁䅁杵䅁䝁䅙䅁湁䙁䅳兔䩂䙁䄸䅒䑂䕁䅙兑畂䝁䅅䅢㕂䡁䅍兡穂䙁䄸杤硁䍁䅁兌杁䕁䅍睢睂䡁䅫杌㑂䝁䅷督瑂䙁䄰䅒䑂䕁䅙睊桁䍁䅑䅗歁䑁䅅杍㕁䑁䅯䅊奂䍁䅑免穁䑁䅁䅁畃杁䅁䅕䅁䍁䅣睗䕂䕁䅍杒杁䕁䅍睢畂䡁䅙党祂䡁䅍兡療䝁䄴杌㑂䝁䅷督瑂䙁䄰睕潂䝁䅕党あ䑁䅅睊桁䍁䅑䅔歁䑁䅙杏歁䕁䅷䅊㑁䅁䅁兔䅅䉁䅯䅁呂䙁䅁睕穁䑁䅅兎ㅁ䑁䅉䅎ぁ䑁䅍睎䅁佁䡙䅁杁䅁䅁睕流䙁䅁䅉䡂䝁䅷睢楂䝁䅅䅢杁䕁䅫杢橂䍁䄴䅁楂睂䅁杇䅁䙁䅍䅕呂䑁䅉䅏㑁䑁䅣免㑁䑁䅫䅏㕁䅁䅁兹䅙䙁䅯䅁䑂䝁䅧兙祂䡁䅑党祂䍁䅁睑療䝁䄰兢ㅂ䝁䄴兡橂䝁䅅䅤灂䝁䄸杢穂䍁䅷䅉䩂䝁䄴睙畁䍁䅁䅋佂䕁䅅睕䕂䕁䅅兕䡂䙁䅍杏䑂䕁䅧䅖卂䍁䅫䅁牃杂䅁杄䅁䕁䅯䅕乂䍁䄰兖呂䅁䅁睫䅅䝁䅙䅁湁䙁䅳睕兂䕁䅣睘䕂䕁䅍杒䉂䝁䄴兙獂䡁䅫督灂䡁䅍睘㉂䑁䅅䅉硁䍁䅁䅋硁䍁䅫杌㑂䝁䅷督瑂䙁䄰䅒䑂䕁䅙睊桁䍁䅑兒歁䑁䅉兎睁䑁䅯䅊䙂䍁䅑杍ㅁ䑁䅕䅁卄睁䅁杕䅁䕁䅙兙橂䡁䅑睕求䡁䅑䅉卂䝁䅕督求䝁䅅杣橂䝁䅧䅉呂䡁䅫督あ䝁䅕兢穂䍁䅁兓畂䝁䅍杌杁䍁䅧杔婂䙁䅍兒㙁䕁䅙䅒呂䍁䅫䅁牂睂䅁䅕䅁䍁䅣睗䕂䕁䅍杒杁䕁䅍睢畂䡁䅙党祂䡁䅍兡療䝁䄴杌㑂䝁䅷督瑂䙁䄰睕潂䝁䅕党あ䑁䅅睊桁䍁䅑兔歁䑁䅍杏歁䕁䄸䅊穁䅁䅁杓䅅䝁䅑䅁湁䙁䅳睕兂䕁䅣睘䕂䕁䅍杒䉂䝁䄴兙獂䡁䅫督灂䡁䅍睘㉂䑁䅅䅉瑁䍁䅁睔䡂䍁䅁兌杁䕁䅍睢睂䡁䅫杌㑂䝁䅷督瑂䙁䄰䅒䑂䕁䅙睊桁䍁䅑兑坂䍁䅑兎㍁䅁䅁睔䅣䙁䅉䅁湁䙁䅳䅒䑂䕁䅙䅉䑂䝁䄸杢㉂䝁䅕杣穂䝁䅫睢畂䍁䄴䅥獂䡁䅍兢摂䙁䅍䅡求䝁䅕䅤硁䍁䅣光歁䕁䄴䅊穁䑁䅯䅊䉂䕁䅍䅊穁䅁䅁睗䅅䙁䅧䅁湁䙁䅳睕兂䕁䅣睘䕂䕁䅍杒䉂䝁䄴兙獂䡁䅫督灂䡁䅍睘㉂䑁䅅䅉硁䍁䅁䅋硁䍁䅫杌㑂䝁䅷督瑂䙁䄰䅒䑂䕁䅙睊桁䍁䅑兑偂䍁䅑兎穁䅁䅁睶䅍䙁䅁䅁湁䙁䅳䅒䑂䕁䅙䅉䑂䝁䄸杢㉂䝁䅕杣穂䝁䅫睢畂䍁䄴䅥獂䡁䅍兢摂䙁䅍䅡求䝁䅕䅤硁䍁䅣光歁䕁䄴䅊穁䑁䅯䅊呂䍁䅑睍䅁䙁䉁䅁啂䅁䅁睗乂䕁䅫睘䕂䕁䅍杒䉂䝁䄴兙獂䡁䅫督灂䡁䅍睘㉂䑁䅅杌㑂䝁䅷督瑂䙁䄰䅒䑂䕁䅙光歁䕁䅑睖歁䑁䅑兏㙁䍁䅑䅒塂䍁䅑兎ぁ䅁䅁䅌䅉䙁䅁䅁湁䙁䅳䅒䑂䕁䅙䅉䑂䝁䄸杢㉂䝁䅕杣穂䝁䅫睢畂䍁䄴䅥獂䡁䅍兢摂䙁䅍䅡求䝁䅕䅤硁䍁䅣光歁䕁䄴䅊穁䑁䅯䅊啂䍁䅑睍䅁䙁䉣䅁兂䅁䅁睊扂䕁䅑睑䝂䍁䅁睑療䝁䄴杤求䡁䅉督灂䝁䄸杢畁䡁䅧䅢穂䝁䄰兘呂䝁䅧党求䡁䅑免湁䍁䅅䅊佂䍁䅑睍㙁䍁䅑兖歁䑁䅍䅁啂允䅁杘䅁䍁䅣睗呂䙁䅁睒時䕁䅑睑䝂䕁䅅杢桂䝁䅷入穂䝁䅫督時䡁䅙免杁䑁䅑杌㑂䝁䅷督瑂䙁䄰䅒䑂䕁䅙睊桁䍁䅑睒歁䑁䅅䅍祁䑁䅯䅊䡂䍁䅑免穁䑁䅁䅁䡁兂䅁䅕䅁䍁䅣睗䕂䕁䅍杒杁䕁䅍睢畂䡁䅙党祂䡁䅍兡療䝁䄴杌㑂䝁䅷督瑂䙁䄰睕潂䝁䅕党あ䑁䅅睊桁䍁䅑杔歁䑁䅍杏歁䙁䅣䅊穁䅁䅁兗䅅䡁䄴䅁偂䡁䅁䅤灂䝁䄸杢穂䑁䅯睑ㅂ䡁䅉杣㥁䙁䅕睕䕂䍁䅷䅉乂䝁䅅睚㥁䙁䅑䅡療䡁䅕督桂䝁䄴䅚穂䍁䅷䅉䑂䝁䄸杢㉂䕁䄰党あ䝁䅧睢歂䑁䄰兔䩂䡁䅉党橂䝁䄸兢瑂䝁䅕杢歂䝁䅕䅚獁䕁䄴兑㥁䑁䅁䅁佃睁䅁䅕䅁䍁䅣睗䕂䕁䅍杒杁䕁䅍睢畂䡁䅙党祂䡁䅍兡療䝁䄴杌㑂䝁䅷督瑂䙁䄰睕潂䝁䅕党あ䑁䅅睊桁䍁䅑杔歁䑁䅑杏歁䙁䅅䅊ぁ䅁䅁睔䅅䡁䅧䅁偂䡁䅁䅤灂䝁䄸杢穂䑁䅯睑ㅂ䡁䅉杣㥁䕁䅣村兂䍁䅷兔桂䝁䅣児䉂䝁䅍䅤ㅂ䝁䅅䅢穂䍁䅷睑療䝁䄴杤乂䝁䅕䅤潂䝁䄸䅚㥁䕁䄰兓祂䝁䅕睙療䝁䄰兢求䝁䄴䅚求䝁䅑䅌佂䕁䅅児佂䕁䅅䅁䱁䅃䅁䅖䅁䙁䅳兔䩂䙁䄸䅒䑂䕁䅙兑畂䝁䅅䅢㕂䡁䅍兡穂䙁䄸杤硁䍁䄴䅥獂䡁䅍兢摂䕁䅑睑䝂䍁䅅䅊䝂䍁䅑杍睁䑁䅉杏歁䕁䄰䅊祁䑁䅁杍䅁䅁䍁䅁䭁䅁䅁杍睁䑁䅅䅏䅁䝁䜰䅁卂䅁䅁睊扂䕁䄰兓時䕁䅑睑䝂䕁䅅杢桂䝁䅷入穂䝁䅫督時䡁䅙免杁䍁䅧杍灁䍁䄴䅥獂䡁䅍兢摂䕁䅑睑䝂䍁䅣光歁䕁䅑村歁䑁䅕免䅁䉁䑉䅁䝂䅁䅁睗乂䕁䅫睘䕂䕁䅍杒䉂䝁䄴兙獂䡁䅫督灂䡁䅍睘㉂䑁䅅杌㑂䝁䅷督瑂䙁䄰䅒䑂䕁䅙光歁䙁䅙䅊硁䑁䅍兎䅁乁䉣䅁佁䅁䅁杒卂䙁䅑兌噂䙁䅍䅁䕁允䅁䅕䅁䍁䅣睗䕂䕁䅍杒杁䕁䅍睢畂䡁䅙党祂䡁䅍兡療䝁䄴杌㑂䝁䅷督瑂䙁䄰睕潂䝁䅕党あ䑁䅅睊桁䍁䅑杔歁䑁䅑杏歁䙁䅍䅊ぁ䅁䅁兕䅅䉁䅷䅁呂䙁䅁睕硁䑁䅧䅎㍁䑁䅫兏ㅁ䑁䅍睎㍁䅁䅁关䅕䙁䅁䅁湁䙁䅳䅒䑂䕁䅙䅉䑂䝁䄸杢㉂䝁䅕杣穂䝁䅫睢畂䍁䄴䅥獂䡁䅍兢摂䙁䅍䅡求䝁䅕䅤硁䍁䅣光歁䕁䄴䅊ぁ䑁䅯䅊啂䍁䅑䅎䅁䙁䉧䅁捁䅁䅁兓剂䙁䅑免㑁䑁䅧睎睁䑁䅍䅍㕁䑁䅣睍䅁䕁䕑䅁楁䅁䅁䅕桂䝁䅳兡穂䡁䅑兙畂䍁䅁睓呂䕁䅕䅉硁䑁䅁䅍䅁䝁䅣䅁兂䅁䅁睊扂䕁䅑睑䝂䍁䅁睑療䝁䄴杤求䡁䅉督灂䝁䄸杢畁䡁䅧䅢穂䝁䄰兘呂䝁䅧党求䡁䅑免湁䍁䅅䅊佂䍁䅑䅎㙁䍁䅑睖歁䑁䅑䅁慂允䅁䅖䅁䍁䅣睗䕂䕁䅍杒杁䕁䅍睢畂䡁䅙党祂䡁䅍兡療䝁䄴杌㑂䝁䅷督瑂䙁䄰睖䉂䕁䅍睑湁䍁䅅䅊䉂䕁䅙䅊ぁ䑁䅕杏歁䕁䅅杒歁䑁䅕李䅁䉁䉕䅁啂䅁䅁睊扂䕁䅑睑䝂䍁䅁睑療䝁䄴杤求䡁䅉督灂䝁䄸杢畁䡁䅧䅢穂䝁䄰兘塂䕁䅅睑䑂䍁䅣光歁䕁䅅睒歁䑁䅑兎㙁䍁䅑兑䡂䍁䅑兎㉁䅁䅁杆䅅䉁䅁䅁䑂䕁䅧䅖卂䍁䄰兖呂䅁䅁䅴䅙䉁䅷䅁呂䙁䅁睕硁䑁䅣兏祁䑁䅙䅍㉁䑁䅣兎㕁䅁䅁睍䅙䝁䅑䅁湁䙁䅳兔䩂䙁䄸睖䉂䕁䅍睑䉂䝁䄴兙獂䡁䅫督灂䡁䅍睘㉂䑁䅅䅉潁䑁䅕克畁䡁䅧䅢穂䝁䄰兘塂䕁䅅睑䑂䍁䅣光歁䕁䅅睒歁䑁䅑兎㙁䍁䅑兑䡂䍁䅑兎㉁䅁䅁䅨䅅䉁䅯䅁呂䙁䅁睕㉁䑁䅕兏ぁ䑁䅑睎硁䑁䅣兎䅁䱁䝳䅁䝂䅁䅁睊扂䕁䅑睑䝂䍁䅁睑療䝁䄴杤求䡁䅉督灂䝁䄸杢畁䡁䅧䅢穂䝁䄰兘塂䕁䅅睑䑂䍁䅣光歁䕁䅅兓歁䑁䅍兏䅁䉁䉑䅁捁䅁䅁兓剂䙁䅑免㍁䑁䅫李ぁ䑁䅅䅍ㅁ䑁䅑睎䅁佁䐴䅁允䅁䅁杒剂䑁䅍杍睁䑁䅅兏䅁䑁䍅䅁㉂䅁䅁睔睂䡁䅑兡療䝁䄴督㙁䕁䅍兤祂䡁䅉児䡂䕁䅉䅕獁䕁䄰兙湂䑁䄰兑橂䡁䅑兤桂䝁䅷督獁䕁䅍睢畂䡁䅙兔求䡁䅑䅡療䝁䅑児乂䕁䅫杣求䝁䅍睢瑂䝁䄰党畂䝁䅑党歂䍁䅷杔䉂䑁䄰䅍䅁䅁䥯䅁楁䅁䅁村求䡁䅑兙杁䙁䅑䅡祂䝁䅕党杁䙁䅫党桂䡁䅉䅉䅁䅁䅍䅁浂䅁䅁睊扂䙁䅍䅕䡂䙁䄸䅒䑂䕁䅙兑畂䝁䅅䅢㕂䡁䅍兡穂䙁䄸杤硁䍁䅁免杁䍁䅧免灁䍁䄴䅥獂䡁䅍兢摂䕁䅑睑䝂䍁䅣光歁䕁䅕䅊祁䑁䅅睍㙁䍁䅑兒歁䑁䅉睍穁䅁䅁儴䅍䙁䅑䅁扂䕁䄰兓時䕁䅑睑䝂䕁䅅杢桂䝁䅷入穂䝁䅫督時䡁䅙免畁䡁䅧䅢穂䝁䄰兘䕂䕁䅍杒桁䍁䅑睖歁䑁䅅睍睁䑁䅯䅊塂䍁䅑免穁䑁䅍䅁畄允䅁䅈䅁䕁䅫兕啂䑁䅅䅏穁䑁䅣䅎ㅁ䑁䅉䅍硁䑁䅧䅁元䅂䅁䅲䅁䕁䄸䅣あ䝁䅫睢畂䡁䅍杏䑂䡁䅕杣祂䑁䄰兖呂䕁䅑䅌乂䝁䅅睚㥁䕁䄰兡獂䝁䅷兡療䝁䄴督獁䕁䅍睢畂䡁䅙兔求䡁䅑䅡療䝁䅑児乂䕁䅫杣求䝁䅍睢瑂䝁䄰党畂䝁䅑党歂䍁䅷䅕桂䝁䅑児偂䝁䅙杚獁䕁䅑兙あ䝁䅕督㥁䕁䅉党浂䝁䄸杣求䍁䅷睕療䡁䅉䅤㥁䕁䅑党穂䝁䅍䅁杄䅁䅁杒䅁䍁䅣睗䕂䕁䅍杒杁䕁䅍睢畂䡁䅙党祂䡁䅍兡療䝁䄴杌㑂䝁䅷督瑂䙁䄰睖䉂䕁䅍睑湁䍁䅅䅊䑂䙁䅧䅊穁䑁䅣䅁捁允䅁杇䅁䕁䅫兕啂䑁䅉䅎㉁䑁䅣睎穁䑁䅧睎穁䅁䅁䅣䅑䙁䅑䅁湁䙁䅳䅒䑂䕁䅙䅉䑂䝁䄸杢㉂䝁䅕杣穂䝁䅫睢畂䍁䄴䅥獂䡁䅍兢摂䙁䅣兑䑂䕁䅍睊桁䍁䅑睑慂䍁䅑睍㕁䑁䅯䅊䕂䕁䅉䅊穁䑁䅫䅁摁允䅁䅈䅁䙁䅍䅕呂䑁䅅䅏祁䑁䅅䅎硁䑁䅁杍㕁䑁䅫䅁⭂睂䅁䅒䅁䍁䅣睗䕂䕁䅍杒杁䕁䅍睢畂䡁䅙党祂䡁䅍兡療䝁䄴杌㑂䝁䅷督瑂䙁䄰睖䉂䕁䅍睑湁䍁䅅䅊兂䍁䅑睍祁䅁䅁睆䅅䉁䅯䅁䩂䙁䅅睘䩂䕁䄴杖䙂䕁䄴䅖偂䙁䅉兗䅁䥁䝳䅁兂䅁䅁睊扂䕁䅑睑䝂䍁䅁睑療䝁䄴杤求䡁䅉督灂䝁䄸杢畁䡁䅧䅢穂䝁䄰兘塂䕁䅅睑䑂䍁䅣光歁䙁䅁䅊穁䑁䅙杏歁䙁䅁䅊ぁ䑁䅅䅁奁允䅁䅈䅁䕁䅫兕啂䑁䅅睎㕁䑁䅙䅎睁䑁䅣睎㉁䑁䅅䅁啂䅂䅁杔䅁䙁䅳兔䩂䙁䄸睖塂䙁䄸睖䉂䕁䅍睑䉂䝁䄴兙獂䡁䅫督灂䡁䅍睘㉂䑁䅅杌㑂䝁䅷督瑂䙁䄰睖䉂䕁䅍睑桁䍁䅑䅕歁䑁䅍杍䅁偁䅫䅁卂䅁䅁睊扂䕁䄰兓時䕁䅑睑䝂䕁䅅杢桂䝁䅷入穂䝁䅫督時䡁䅙免杁䍁䅧杍灁䍁䄴䅥獂䡁䅍兢摂䕁䅑睑䝂䍁䅣光歁䕁䅅睒歁䑁䅑睎䅁䅁䑳䅁慁䅁䅁兒畂䡁䅑兡あ䡁䅫䅉佂䝁䅅兢求䍁䅁䅁祁允䅁杘䅁䍁䅣睗呂䙁䅁睒時䕁䅑睑䝂䕁䅅杢桂䝁䅷入穂䝁䅫督時䡁䅙免杁䍁䅧免灁䍁䄴䅥獂䡁䅍兢摂䕁䅑睑䝂䍁䅣光歁䕁䅣䅊㕁䑁䅫杏歁䕁䄰䅊㕁䑁䅫䅁乃睁䅁杇䅁䙁䅍䅕呂䑁䅙䅍睁䑁䅁李㑁䑁䅑李㑁䅁䅁䅴䅕䙁䅉䅁湁䙁䅳兔䩂䙁䄸䅒䑂䕁䅙兑畂䝁䅅䅢㕂䡁䅍兡穂䙁䄸杤硁䍁䅁䅋祁䍁䅫杌㑂䝁䅷督瑂䙁䄰䅒䑂䕁䅙睊桁䍁䅑兑䱂䍁䅑兎ぁ䅁䅁杁䅍䉁䅉䅁䝂䙁䅑睕䙂䍁䅁兔䩂䕁䅉䅁䭂䅁䅁杇䅁䙁䅍䅕呂䑁䅕兏ぁ䑁䅕䅍穁䑁䅍兏㉁䅁䅁䄴䅙䝁䅁䅁湁䙁䅳兔䩂䙁䄸䅒䑂䕁䅙兑畂䝁䅅䅢㕂䡁䅍兡穂䙁䄸杤硁䍁䅁䅋祁䍁䅫杌㑂䝁䅷督瑂䙁䄰䅒䑂䕁䅙睊桁䍁䅑兑䵂䍁䅑兎㕁䑁䅯䅊䉂䕁䅷䅊㍁䑁䅉䅁䕁睁䅁䅈䅁䑁䅍䅍㕂䍁䅁兖呂䍁䅁䅖瑁䕁䅉睢畂䝁䅑䅁⽃杁䅁杕䅁䍁䅣睗乂䕁䅫睘䕂䕁䅍杒䉂䝁䄴兙獂䡁䅫督灂䡁䅍睘㉂䑁䅅䅉潁䑁䅉克畁䡁䅧䅢穂䝁䄰兘䕂䕁䅍杒湁䍁䅅䅊䍂䍁䅑杍睁䑁䅣䅁橁睁䅁䅙䅁䍁䅣睗乂䕁䅫睘䕂䕁䅍杒䉂䝁䄴兙獂䡁䅫督灂䡁䅍睘㉂䑁䅅䅉潁䑁䅉克畁䡁䅧䅢穂䝁䄰兘䕂䕁䅍杒湁䍁䅅䅊䑂䙁䅣䅊ㅁ䑁䅍杏歁䕁䅍杗歁䑁䅕睍䅁䉁䑁䅁流䅁䅁睕流䙁䅁䅉ㅁ䑁䅁䅍杁䕁䅙兡畂䝁䅅杢橂䝁䅫兙獂䡁䅍䅁祂䅁䅁䅙䅁䍁䅣睗乂䕁䅫睘䕂䕁䅍杒䉂䝁䄴兙獂䡁䅫督灂䡁䅍睘㉂䑁䅅䅉潁䑁䅉克畁䡁䅧䅢穂䝁䄰兘䕂䕁䅍杒湁䍁䅅䅊䕂䙁䅁䅊ㅁ䑁䅁杏歁䕁䅑兕歁䑁䅕䅍䅁䅁䑁䅁獃䅁䅁睔睂䡁䅑兡療䝁䄴督㙁䕁䅍兤祂䡁䅉児䭂䙁䅁兗獁䕁䄰兙湂䑁䄰兔灂䝁䅷䅢灂䝁䄸杢穂䍁䅷睑療䝁䄴杤乂䝁䅕䅤潂䝁䄸䅚㥁䕁䄰兓祂䝁䅕睙療䝁䄰兢求䝁䄴䅚求䝁䅑䅌兂䝁䅅䅚㥁䕁䄸杚浂䍁䅷䅒桂䡁䅑党穂䑁䄰村求䝁䅙睢祂䝁䅕䅌呂䝁䄸杣あ䑁䄰䅒求䡁䅍睙䅁䉁䌸䅁佁䅁䅁兖啂䙁䅧兌噂䙁䅍䅁煂杁䅁䅙䅁䍁䅣睗乂䕁䅫睘䕂䕁䅍杒䉂䝁䄴兙獂䡁䅫督灂䡁䅍睘㉂䑁䅅䅉潁䑁䅉克畁䡁䅧䅢穂䝁䄰兘䕂䕁䅍杒湁䍁䅅䅊䕂䙁䅁䅊ぁ䑁䅫杏歁䕁䅑兕歁䑁䅑兏䅁偁䌸䅁䥂䅁䅁睗呂䙁䅁睒時䕁䅑睑䝂䕁䅅杢桂䝁䅷入穂䝁䅫督時䡁䅙免畁䡁䅧䅢穂䝁䄰兘䕂䕁䅍杒桁䍁䅑兑䱂䍁䅑兎ぁ䅁䅁睋䅍䙁䅑䅁扂䕁䄰兓時䕁䅑睑䝂䕁䅅杢桂䝁䅷入穂䝁䅫督時䡁䅙免畁䡁䅧䅢穂䝁䄰兘䕂䕁䅍杒桁䍁䅑䅒兂䍁䅑䅎㍁䑁䅯䅊䕂䙁䅅䅊ぁ䑁䅣䅁㝁杁䅁䅙䅁䍁䅣睗乂䕁䅫睘䕂䕁䅍杒䉂䝁䄴兙獂䡁䅫督灂䡁䅍睘㉂䑁䅅䅉潁䑁䅉克畁䡁䅧䅢穂䝁䄰兘䕂䕁䅍杒湁䍁䅅䅊䙂䍁䅑杍硁䑁䅍杏歁䕁䅕䅊祁䑁䅍睍䅁䍁䑕䅁䕄䅁䅁睔睂䡁䅑兡療䝁䄴督㙁䕁䅍兤祂䡁䅉児噂䙁䅍䅒獁䕁䄰兙湂䑁䄰兔灂䝁䅷䅢灂䝁䄸杢穂䍁䅷睑療䝁䄴杤乂䝁䅕䅤潂䝁䄸䅚㥁䙁䅍杔䵂䡁䅉党橂䝁䄸兢瑂䝁䅕杢歂䝁䅕䅚獁䙁䅁兙歂䑁䄰睔浂䝁䅙䅌䝂䝁䅫䅢獂䑁䄰䅒桂䝁䅫䅢㕂䍁䅷䅒桂䡁䅑党穂䑁䄰村求䝁䅙睢祂䝁䅕䅌呂䝁䄸杣あ䑁䄰䅒求䡁䅍睙䅁䱁䅁䅁卂䅁䅁睊扂䙁䅍䅕䡂䙁䄸䅒䑂䕁䅙兑畂䝁䅅䅢㕂䡁䅍兡穂䙁䄸杤硁䍁䅁䅋硁䍁䅫杌㑂䝁䅷督瑂䙁䄰䅒䑂䕁䅙睊桁䍁䅑村歁䑁䅫䅏䅁䥁䑯䅁捂䅁䅁睊扂䕁䄰兓時䕁䅑睑䝂䕁䅅杢桂䝁䅷入穂䝁䅫督時䡁䅙免杁䍁䅧杍灁䍁䄴䅥獂䡁䅍兢摂䕁䅑睑䝂䍁䅣光歁䕁䅧䅊㕁䑁䅧杏歁䕁䄰䅊㕁䑁䅧䅁噁睁䅁䅇䅁䙁䅍䅕呂䑁䅙䅎穁䑁䅅兎睁䑁䅍䅏䅁偁䝅䅁楂䅁䅁睊扂䙁䅍䅕䡂䙁䄸䅒䑂䕁䅙兑畂䝁䅅䅢㕂䡁䅍兡穂䙁䄸杤硁䍁䅁䅋硁䍁䅫杌㑂䝁䅷督瑂䙁䄰䅒䑂䕁䅙睊桁䍁䅑睑偂䍁䅑兎硁䑁䅯䅊䑂䕁䄸䅊ㅁ䑁䅣䅁元睁䅁䅈䅁䙁䅍䅕呂䑁䅅䅏ぁ䑁䅣兏㕁䑁䅕睍㕁䑁䅍䅁捁杂䅁杖䅁䙁䅳睕兂䕁䅣睘䕂䕁䅍杒時䕁䅅杢桂䝁䅷入穂䝁䅫督時䡁䅙免時䕁䅙兡畂䝁䅅䅢畁䡁䅧䅢穂䝁䄰兘䕂䕁䅍杒桁䍁䅑兑奂䍁䅑兎㍁䅁䅁䄫䅣䙁䅁䅁湁䙁䅳兔䩂䙁䄸䅒䑂䕁䅙兑畂䝁䅅䅢㕂䡁䅍兡穂䙁䄸杤硁䍁䅁䅋祁䍁䅫杌㑂䝁䅷督瑂䙁䄰䅒䑂䕁䅙睊桁䍁䅑杖歁䑁䅑李䅁䅁䑙䅁捂䅁䅁睊扂䕁䄰兓時䕁䅑睑䝂䕁䅅杢桂䝁䅷入穂䝁䅫督時䡁䅙免杁䍁䅧杍灁䍁䄴䅥獂䡁䅍兢摂䕁䅑睑䝂䍁䅣光歁䙁䅙䅊ㅁ䑁䅅杏歁䙁䅙䅊ㅁ䑁䅙䅁䡁睁䅁䅕䅁䙁䅳兔䩂䙁䄸䅒䑂䕁䅙兑畂䝁䅅䅢㕂䡁䅍兡穂䙁䄸杤硁䍁䄴䅥獂䡁䅍兢摂䕁䅑睑䝂䍁䅅䅊噂䍁䅑䅎ぁ䑁䅯䅊噂䍁䅑䅎㕁䅁䅁朴䅅䙁䄴䅁湁䙁䅳睕兂䕁䅣睘䕂䕁䅍杒䉂䝁䄴兙獂䡁䅫督灂䡁䅍睘㉂䑁䅅䅉ぁ䍁䄴䅥獂䡁䅍兢摂䕁䅑睑䝂䍁䅣光歁䙁䅫䅊硁䑁䅑杍㙁䍁䅑兗歁䑁䅅䅎穁䅁䅁䅆䅕䙁䅉䅁湁䙁䅳兔䩂䙁䄸䅒䑂䕁䅙兑畂䝁䅅䅢㕂䡁䅍兡穂䙁䄸杤硁䍁䅁䅋祁䍁䅫杌㑂䝁䅷督瑂䙁䄰䅒䑂䕁䅙睊桁䍁䅑睖歁䑁䅅睍硁䅁䅁䅇䅍䉁䅯䅁呂䙁䅁睘䙂䕁䄴䅖䩂䙁䅑兗時䕁䅫䅒䅁䑁䉍䅁捁䅁䅁睕兂䙁䅍免㑁䑁䅑睎㕁䑁䅫兎穁䑁䅧兏䅁䅁䝉䅁楂䅁䅁睊扂䕁䄰兓時䕁䅑睑䝂䕁䅅杢桂䝁䅷入穂䝁䅫督時䡁䅙免杁䍁䄰䅉䑂䝁䄸䅣㕂䍁䄴䅥獂䡁䅍兢摂䕁䅑睑䝂䍁䅣光歁䕁䅧䅊㕁䑁䅑杏歁䕁䄰䅊㕁䑁䅑䅁牃杁䅁杕䅁䍁䅣睗乂䕁䅫睘䕂䕁䅍杒䉂䝁䄴兙獂䡁䅫督灂䡁䅍睘㉂䑁䅅䅉潁䑁䅉克畁䡁䅧䅢穂䝁䄰兘䕂䕁䅍杒湁䍁䅅䅊塂䍁䅑免ぁ䑁䅙䅁晁睁䅁杄䅁䙁䅣村䕂䍁䄰兖呂䅁䅁共䅙䝁䅁䅁湁䙁䅳兔䩂䙁䄸䅒䑂䕁䅙兑畂䝁䅅䅢㕂䡁䅍兡穂䙁䄸杤硁䍁䅁䅋祁䍁䅫杌㑂䝁䅷督瑂䙁䄰䅒䑂䕁䅙睊桁䍁䅑䅗歁䑁䅅䅎祁䑁䅯䅊奂䍁䅑免ぁ䑁䅍䅁敁睁䅁杙䅁䍁䅣睗呂䙁䅁睒時䕁䅑睑䝂䕁䅅杢桂䝁䅷入穂䝁䅫督時䡁䅙免杁䍁䅧睍灁䍁䄴䅥獂䡁䅍兢摂䕁䅑睑䝂䍁䅣光歁䕁䅙䅊祁䑁䅁睎㙁䍁䅑兔歁䑁䅉䅍㍁䅁䅁杢䅍䝁䅙䅁湁䙁䅳兔䩂䙁䄸䅒䑂䕁䅙兑畂䝁䅅䅢㕂䡁䅍兡穂䙁䄸杤硁䍁䅁兌杁䕁䅍睢睂䡁䅫杌㑂䝁䅷督瑂䙁䄰䅒䑂䕁䅙睊桁䍁䅑䅒兂䍁䅑䅎ぁ䑁䅯䅊䕂䙁䅅䅊ぁ䑁䅑䅁奃杁䅁杚䅁䕁䄸䅣あ䝁䅫睢畂䡁䅍杏䑂䡁䅕杣祂䑁䄰䅌乂䝁䅅睚㥁䑁䅁䅌䑂䝁䄸杢㉂䕁䄰党あ䝁䅧睢歂䑁䄰兔䩂䡁䅉党橂䝁䄸兢瑂䝁䅕杢歂䝁䅕䅚獁䕁䄴兑㥁䕁䄴兑䅁䩁䝣䅁杂䅁䅁睊扂䕁䄰兓時䕁䅑睑䝂䕁䅅杢桂䝁䅷入穂䝁䅫督時䡁䅙免杁䍁䅧杍灁䍁䄴䅥獂䡁䅍兢摂䕁䅑睑䝂䍁䅣光歁䙁䅧䅊硁䑁䅑䅏㙁䍁䅑䅗歁䑁䅅兎穁䅁䅁光䅍䙁䅧䅁湁䙁䅳睕兂䕁䅣睘䕂䕁䅍杒䉂䝁䄴兙獂䡁䅫督灂䡁䅍睘㉂䑁䅅䅉硁䍁䅁䅋硁䍁䅫杌㑂䝁䅷督瑂䙁䄰䅒䑂䕁䅙睊桁䍁䅑兗歁䑁䅅䅎睁䅁䅁儲䅍䙁䅑䅁扂䕁䄰兓時䕁䅑睑䝂䕁䅅杢桂䝁䅷入穂䝁䅫督時䡁䅙免畁䡁䅧䅢穂䝁䄰兘䕂䕁䅍杒桁䍁䅑兒歁䑁䅉免硁䑁䅯䅊䙂䍁䅑杍祁䑁䅕䅁啄允䅁杘䅁䍁䅣睗乂䕁䅫睘䕂䕁䅍杒䉂䝁䄴兙獂䡁䅫督灂䡁䅍睘㉂䑁䅅䅉潁䑁䅉克畁䡁䅧䅢穂䝁䄰兘䕂䕁䅍杒湁䍁䅅䅊奂䍁䅑䅎㍁䑁䅯䅊䉂䕁䅕䅊ぁ䑁䅣䅁䥁睁䅁杇䅁䙁䅍䅕啂䙁䅉睔硁䑁䅙䅏㕁䑁䅣兎㕁䅁䅁䅙䅉䙁䅉䅁湁䙁䅳睕兂䕁䅣睘䕂䕁䅍杒䉂䝁䄴兙獂䡁䅫督灂䡁䅍睘㉂䑁䅅䅉潁䑁䅅克畁䡁䅧䅢穂䝁䄰兘䕂䕁䅍杒湁䍁䅅䅊坂䍁䅑䅎㍁䅁䅁睭䅍䙁䄴䅁湁䙁䅳兔䩂䙁䄸䅒䑂䕁䅙兑畂䝁䅅䅢㕂䡁䅍兡穂䙁䄸杤硁䍁䅁䅋祁䍁䅫杌㑂䝁䅷督瑂䙁䄰䅒䑂䕁䅙睊桁䍁䅑䅗歁䑁䅑䅏㙁䍁䅑兑䙂䍁䅑䅎㑁䅁䅁元䅍䉁䅷䅁䩂䙁䅅䅖硁䑁䅧䅎㍁䑁䅫兏ㅁ䑁䅉䅎㑁䅁䅁朸䅍䍁䅁䅁䵂䡁䅕䅥求䝁䄰杙療䡁䅕杣湂䍁䅁䅔ㅂ䡁䅧䅗䅁䙁䅑䅁捁䅁䅁睕兂䙁䅍免㍁䑁䅙䅎睁䑁䅉免穁䑁䅁兏䅁䥁䡑䅁卂䅁䅁睊扂䕁䄰兓時䕁䅑睑䝂䕁䅅杢桂䝁䅷入穂䝁䅫督時䡁䅙免杁䍁䅧杍灁䍁䄴䅥獂䡁䅍兢摂䕁䅑睑䝂䍁䅣光歁䙁䅫䅊硁䑁䅑䅍䅁䉁䐰䅁敂䅁䅁睊扂䙁䅍䅕䡂䙁䄸䅒䑂䕁䅙兑畂䝁䅅䅢㕂䡁䅍兡穂䙁䄸杤硁䍁䅁䅎畁䡁䅧䅢穂䝁䄰兘䕂䕁䅍杒湁䍁䅅䅊䉂䕁䅷䅊ㅁ䑁䅫杏歁䕁䅅䅔歁䑁䅣杍䅁偁䕯䅁卂䅁䅁睊扂䕁䄰兓時䕁䅑睑䝂䕁䅅杢桂䝁䅷入穂䝁䅫督時䡁䅙免杁䍁䅧杍灁䍁䄴䅥獂䡁䅍兢摂䕁䅑睑䝂䍁䅣光歁䙁䅯䅊硁䑁䅑李䅁䍁䑁䅁奂䅁䅁睊扂䕁䄰兓時䕁䅑睑䝂䕁䅅杢桂䝁䅷入穂䝁䅫督時䡁䅙免杁䍁䄰䅉䑂䝁䄸䅣㕂䍁䄴䅥獂䡁䅍兢摂䕁䅑睑䝂䍁䅣光歁䕁䅅睒歁䑁䅑杍䅁䭁䍍䅁䝂䅁䅁睗乂䕁䅫睘䕂䕁䅍杒䉂䝁䄴兙獂䡁䅫督灂䡁䅍睘㉂䑁䅅杌㑂䝁䅷督瑂䙁䄰䅒䑂䕁䅙光歁䕁䅅杓歁䑁䅑䅏䅁乁䈰䅁兂䅁䅁睊扂䙁䅍䅕䡂䙁䄸䅒䑂䕁䅙兑畂䝁䅅䅢㕂䡁䅍兡穂䙁䄸杤硁䍁䅁䅎畁䡁䅧䅢穂䝁䄰兘䕂䕁䅍杒湁䍁䅅䅊䉂䕁䅳䅊ㅁ䑁䅑䅁㑄䅂䅁䅈䅁䕁䅫兕啂䑁䅅䅏穁䑁䅣䅎ㅁ䑁䅉䅍硁䑁䅙䅁⽄睁䅁杇䅁䙁䅍䅕呂䑁䅑䅍㕁䑁䅣兎硁䑁䅍免㕁䅁䅁䄰䅙䙁䅧䅁湁䙁䅳兔䩂䙁䄸䅒䑂䕁䅙兑畂䝁䅅䅢㕂䡁䅍兡穂䙁䄸杤硁䍁䅁兌杁䕁䅍睢睂䡁䅫杌㑂䝁䅷督瑂䙁䄰䅒䑂䕁䅙睊桁䍁䅑兑䱂䍁䅑䅎㕁䅁䅁杭䅉䝁䅉䅁湁䙁䅳睕兂䕁䅣睘䕂䕁䅍杒䉂䝁䄴兙獂䡁䅫督灂䡁䅍睘㉂䑁䅅䅉瑁䍁䅁睔䡂䍁䅁兌杁䕁䅍睢睂䡁䅫杌㑂䝁䅷督瑂䙁䄰䅒䑂䕁䅙睊桁䍁䅑䅔歁䑁䅅睍䅁䕁䠴䅁浂䅁䅁睊扂䕁䄰兓時䕁䅑睑䝂䕁䅅杢桂䝁䅷入穂䝁䅫督時䡁䅙免杁䍁䄰䅉䑂䝁䄸䅣㕂䍁䄴䅥獂䡁䅍兢摂䕁䅑睑䝂䍁䅣光歁䕁䅅䅔歁䑁䅕䅎㙁䍁䅑兑䵂䍁䅑李㉁䅁䅁䅮䅉䅁䅯䅁佂䙁䅫睕䙂䅁䅁睘䅁䝁䅙䅁湁䙁䅳兔䩂䙁䄸䅒䑂䕁䅙兑畂䝁䅅䅢㕂䡁䅍兡穂䙁䄸杤硁䍁䅁兌杁䕁䅍睢睂䡁䅫杌㑂䝁䅷督瑂䙁䄰䅒䑂䕁䅙睊桁䍁䅑兑䵂䍁䅑兎ぁ䑁䅯䅊䉂䕁䅷䅊㉁䑁䅣䅁㝃杁䅁杅䅁䕁䄴兗呂䕁䅕杏啂䙁䅉兖䅁䙁䡧䅁浂䅁䅁睊扂䕁䄰兓時䕁䅑睑䝂䕁䅅杢桂䝁䅷入穂䝁䅫督時䡁䅙免杁䍁䄰䅉䑂䝁䄸䅣㕂䍁䄴䅥獂䡁䅍兢摂䕁䅑睑䝂䍁䅣光歁䕁䅅兔歁䑁䅕䅎㙁䍁䅑兑乂䍁䅑李㍁䅁䅁䅶䅉䉁䅯䅁呂䙁䅁睕ㅁ䑁䅫䅎㉁䑁䅉䅍祁䑁䅙䅏䅁䑁䡕䅁奂䅁䅁睊扂䕁䄰兓時䕁䅑睑䝂䕁䅅杢桂䝁䅷入穂䝁䅫督時䡁䅙免杁䍁䄰䅉䑂䝁䄸䅣㕂䍁䄴䅥獂䡁䅍兢摂䕁䅑睑䝂䍁䅣光歁䕁䅅睔歁䑁䅑䅏䅁䩁䍳䅁㙁䅁䅁睊扂䙁䅣兑䑂䕁䅍䅉呂䕁䄴䅔畁䡁䅧䅢穂䝁䄰兘塂䕁䅅睑䑂䍁䅣光歁䕁䅉睑歁䑁䅍䅍䅁䩁䅁䅁坂䅁䅁睊扂䙁䅍䅕䡂䙁䄸䅒䑂䕁䅙兑畂䝁䅅䅢㕂䡁䅍兡穂䙁䄸杤硁䍁䅁免杁䍁䅧免灁䍁䄴䅥獂䡁䅍兢摂䕁䅑睑䝂䍁䅣光歁䕁䅉䅊㕁䑁䅧䅁䵄睁䅁杖䅁䙁䅳睕兂䕁䅣睘䕂䕁䅍杒䉂䝁䄴兙獂䡁䅫督灂䡁䅍睘㉂䑁䅅杌㑂䝁䅷督瑂䙁䄰䅒䑂䕁䅙光歁䕁䅣䅊祁䑁䅑睎㙁䍁䅑兔歁䑁䅉䅎㍁䅁䅁睴䅍䝁䅙䅁湁䙁䅳睕兂䕁䅣睘䕂䕁䅍杒䉂䝁䄴兙獂䡁䅫督灂䡁䅍睘㉂䑁䅅䅉硁䍁䅁䅋硁䍁䅫杌㑂䝁䅷督瑂䙁䄰䅒䑂䕁䅙睊桁䍁䅑杒歁䑁䅉䅍㍁䑁䅯䅊乂䍁䅑杍睁䑁䅣䅁杄睁䅁䅈䅁䕁䅫兕啂䑁䅅䅏ぁ䑁䅣兏㕁䑁䅕免㑁䑁䅧䅁乄䅂䅁䅃䅁䑁䅷材睁䅁䅁䅂䅁䍁䅧䅁䥂䝁䅅杢湂䍁䅁睕求䝁䄴睚杁䕁䅍睢瑂䡁䅁睢穂䝁䅫䅤求䅁䅁䅔䅁䉁䅷䅁呂䙁䅁睕硁䑁䅧兎㕁䑁䅧免㍁䑁䅍睍㕁䅁䅁杺䅣䙁䅙䅁湁䙁䅳兔䩂䙁䄸䅒䑂䕁䅙兑畂䝁䅅䅢㕂䡁䅍兡穂䙁䄸杤硁䍁䅁兌杁䕁䅍睢睂䡁䅫杌㑂䝁䅷督瑂䙁䄰䅒䑂䕁䅙睊桁䍁䅑村歁䑁䅫睍䅁䭁䍧䅁啂䅁䅁睗乂䕁䅫睘䕂䕁䅍杒䉂䝁䄴兙獂䡁䅫督灂䡁䅍睘㉂䑁䅅杌㑂䝁䅷督瑂䙁䄰䅒䑂䕁䅙光歁䕁䅑杔歁䑁䅕免㙁䍁䅑䅒佂䍁䅑兎㍁䅁䅁儶䅉䙁䅧䅁湁䙁䅳兔䩂䙁䄸䅒䑂䕁䅙兑畂䝁䅅䅢㕂䡁䅍兡穂䙁䄸杤硁䍁䅁兌杁䕁䅍睢睂䡁䅫杌㑂䝁䅷督瑂䙁䄰䅒䑂䕁䅙睊桁䍁䅑睑噂䍁䅑䅎㉁䅁䅁䅰䅉䝁䅙䅁湁䙁䅳兔䩂䙁䄸䅒䑂䕁䅙兑畂䝁䅅䅢㕂䡁䅍兡穂䙁䄸杤硁䍁䅁兌杁䕁䅍睢睂䡁䅫杌㑂䝁䅷督瑂䙁䄰䅒䑂䕁䅙睊桁䍁䅑睑塂䍁䅑䅎㑁䑁䅯䅊䑂䙁䅯䅊ぁ䑁䅧䅁汃杁䅁䅅䅁䕁䄰兒啂䕁䅅兌噂䙁䅍䅁㥃睂䅁䅗䅁䍁䅣睗乂䕁䅫睘䕂䕁䅍杒䉂䝁䄴兙獂䡁䅫督灂䡁䅍睘㉂䑁䅅䅉瑁䍁䅁睑療䡁䅁入畁䡁䅧䅢穂䝁䄰兘䕂䕁䅍杒湁䍁䅅䅊䕂䕁䅉䅊ぁ䑁䅙䅁浃杁䅁䅈䅁䙁䅍䅕呂䑁䅅睎㍁䑁䅍兎祁䑁䅫免ぁ䑁䅍䅁䭃睂䅁䅈䅁䙁䅍䅕呂䑁䅅兏硁䑁䅧免ぁ䑁䅁兏㉁䑁䅫䅁䉁睂䅁杚䅁䍁䅣睗乂䕁䅫睘䕂䕁䅍杒䉂䝁䄴兙獂䡁䅫督灂䡁䅍睘㉂䑁䅅䅉瑁䍁䅁睑療䡁䅁入畁䡁䅧䅢穂䝁䄰兘䕂䕁䅍杒湁䍁䅅䅊䕂䕁䅑䅊ぁ䑁䅧杏歁䕁䅑杒歁䑁䅑䅏䅁䭁䍣䅁奂䅁䅁睊扂䕁䄰兓時䕁䅑睑䝂䕁䅅杢桂䝁䅷入穂䝁䅫督時䡁䅙免杁䍁䄰䅉䑂䝁䄸䅣㕂䍁䄴䅥獂䡁䅍兢摂䕁䅑睑䝂䍁䅣光歁䕁䅑杔歁䑁䅑睍䅁䩁䍙䅁浂䅁䅁睊扂䕁䄰兓時䕁䅑睑䝂䕁䅅杢桂䝁䅷入穂䝁䅫督時䡁䅙免杁䍁䄰䅉䑂䝁䄸䅣㕂䍁䄴䅥獂䡁䅍兢摂䕁䅑睑䝂䍁䅣光歁䕁䅑䅕歁䑁䅑兎㙁䍁䅑䅒剂䍁䅑䅎ㅁ䅁䅁六䅉䉁䅷䅁䩂䙁䅅䅖硁䑁䅣兏祁䑁䅣睎ㅁ䑁䅑李㍁䅁䅁䅧䅑䉁䅯䅁䩂䙁䅅䅖㍁䑁䅁䅍㕁䑁䅁李㕁䑁䅕免䅁䝁䕧䅁敁䅁䅁村求䡁䅑兙杁䕁䄸杢求䍁䅁兗求䝁䅅杣杁䅁䅁杁䅁䕁䅧䅁扂䙁䅍䅕䡂䙁䄸䅒䑂䕁䅙兑畂䝁䅅䅢㕂䡁䅍兡穂䙁䄸杤硁䍁䄴䅥獂䡁䅍兢摂䕁䅑睑䝂䍁䅅䅊慂䍁䅑免ぁ䑁䅙䅁䙂睁䅁䅖䅁䍁䅣睗呂䙁䅁睒時䕁䅑睑䝂䕁䅅杢桂䝁䅷入穂䝁䅫督時䡁䅙免杁䍁䅧免灁䍁䄴䅥獂䡁䅍兢摂䕁䅑睑䝂䍁䅣光歁䙁䅫䅊硁䑁䅍杍䅁䭁䑑䅁浂䅁䅁睊扂䕁䄰兓時䕁䅑睑䝂䕁䅅杢桂䝁䅷入穂䝁䅫督時䡁䅙免杁䍁䄰䅉䑂䝁䄸䅣㕂䍁䄴䅥獂䡁䅍兢摂䕁䅑睑䝂䍁䅣光歁䕁䅙䅊祁䑁䅁杍㙁䍁䅑兔歁䑁䅉䅍祁䅁䅁䅵䅉䝁䅉䅁湁䙁䅳睕兂䕁䅣睘䕂䕁䅍杒䉂䝁䄴兙獂䡁䅫督灂䡁䅍睘㉂䑁䅅䅉潁䑁䅍克畁䡁䅧䅢穂䝁䄰兘䕂䕁䅍杒湁䍁䅅䅊奂䍁䅑免ぁ䑁䅉杏歁䙁䅧䅊硁䑁䅑睍䅁䝁䑧䅁浂䅁䅁睊扂䕁䄰兓時䕁䅑睑䝂䕁䅅杢桂䝁䅷入穂䝁䅫督時䡁䅙免杁䍁䄰䅉䑂䝁䄸䅣㕂䍁䄴䅥獂䡁䅍兢摂䕁䅑睑䝂䍁䅣光歁䕁䅙䅊祁䑁䅁睍㙁䍁䅑兔歁䑁䅉䅍穁䅁䅁杵䅉䍁䅑䅁䩂䙁䅅睘䑂䕁䅧兑佂䕁䅣兒時䕁䅑兒䝂䙁䄸䅖䉂䙁䅧䅁㝂杂䅁杖䅁䍁䅣睗乂䕁䅫睘䕂䕁䅍杒䉂䝁䄴兙獂䡁䅫督灂䡁䅍睘㉂䑁䅅䅉瑁䍁䅁睑療䡁䅁入畁䡁䅧䅢穂䝁䄰兘䕂䕁䅍杒湁䍁䅅䅊坂䍁䅑䅎祁䅁䅁杯䅉䕁䅧䅁扂䙁䅍䅕䡂䙁䄸䅒䑂䕁䅙睘䉂䝁䄴兙獂䡁䅫督灂䡁䅍睘㉂䑁䅅杌㑂䝁䅷督瑂䙁䄰䅒䑂䕁䅙光歁䕁䅷䅊祁䑁䅅䅁晁䅃䅁杈䅁䙁䅍䅕時䕁䅕杔啂䕁䅫䅖婂䙁䄸杔䉂䕁䄰兒䅁䑁䉅䅁浂䅁䅁睊扂䕁䄰兓時䕁䅑睑䝂䕁䅅杢桂䝁䅷入穂䝁䅫督時䡁䅙免杁䍁䄰䅉䑂䝁䄸䅣㕂䍁䄴䅥獂</t>
  </si>
  <si>
    <t>䡁䅍兢摂䕁䅑睑䝂䍁䅣光歁䙁䅧䅊硁䑁䅍睎㙁䍁䅑䅗歁䑁䅅睍㑁䅁䅁杳䅉䝁䅑䅁湁䙁䅳兔䩂䙁䄸䅒䑂䕁䅙兑畂䝁䅅䅢㕂䡁䅍兡穂䙁䄸杤硁䍁䅁兌杁䕁䅍睢睂䡁䅫杌㑂䝁䅷督瑂䙁䄰䅒䑂䕁䅙睊桁䍁䅑䅗歁䑁䅑杍㙁䍁䅑兑䙂䍁䅑䅎祁䅁䅁䅯䅉䉁䅷䅁呂䙁䅁睕硁䑁䅫䅏硁䑁䅑䅎睁䑁䅣䅎硁䅁䅁杭䅣䙁䅑䅁扂䕁䄰兓時䕁䅑睑䝂䕁䅅杢桂䝁䅷入穂䝁䅫督時䡁䅙免畁䡁䅧䅢穂䝁䄰兘䕂䕁䅍杒桁䍁䅑䅒婂䍁䅑䅎㍁䑁䅯䅊䕂䙁䅯䅊ぁ䑁䅣䅁畁杁䅁䅈䅁䕁䅫兕啂䑁䅅李㍁䑁䅅睎穁䑁䅑杍睁䑁䅑䅁剃䅂䅁䅓䅁䙁䅳睕兂䕁䅣睘䕂䕁䅍杒䉂䝁䄴兙獂䡁䅫督灂䡁䅍睘㉂䑁䅅杌㑂䝁䅷督瑂䙁䄰䅒䑂䕁䅙光歁䙁䅫䅊硁䑁䅍杍䅁䕁䑁䅁卂䅁䅁睊扂䙁䅍䅕䡂䙁䄸䅒䑂䕁䅙兑畂䝁䅅䅢㕂䡁䅍兡穂䙁䄸杤硁䍁䅁䅎畁䡁䅧䅢穂䝁䄰兘䕂䕁䅍杒湁䍁䅅䅊䉂䕁䅅䅊硁䑁䅑䅍䅁䉁䙉䅁捁䅁䅁睕兂䙁䅍免㍁䑁䅫杍㍁䑁䅣兎ぁ䑁䅉兎䅁䭁䙑䅁慁䅁䅁兎㕂䍁䅁兖呂䍁䅁䅖瑁䕁䄴睢あ䝁䅕䅁乁䅁䅁䅈䅁䕁䅫兕啂䑁䅅䅏ぁ䑁䅣兏㕁䑁䅕杍ㅁ䑁䅣䅁捃䅂䅁杇䅁䙁䅍䅕呂䑁䅕兏ぁ䑁䅕䅍穁䑁䅍睎㕁䅁䅁杅䅣䝁䅙䅁湁䙁䅳兔䩂䙁䄸䅒䑂䕁䅙兑畂䝁䅅䅢㕂䡁䅍兡穂䙁䄸杤硁䍁䅁兌杁䕁䅍睢睂䡁䅫杌㑂䝁䅷督瑂䙁䄰䅒䑂䕁䅙睊桁䍁䅑兗歁䑁䅅䅎穁䑁䅯䅊婂䍁䅑免ぁ䑁䅧䅁㉃杁䅁䅗䅁䍁䅣睗乂䕁䅫睘䕂䕁䅍杒䉂䝁䄴兙獂䡁䅫督灂䡁䅍睘㉂䑁䅅䅉瑁䍁䅁睑療䡁䅁入畁䡁䅧䅢穂䝁䄰兘䕂䕁䅍杒湁䍁䅅䅊慂䍁䅑免ぁ䑁䅅䅁ぃ杁䅁杇䅁䕁䅫兕啂䑁䅉兎穁䑁䅙兏硁䑁䅧睎ㅁ䅁䅁杊䅑䙁䅙䅁湁䙁䅳兔䩂䙁䄸睖䉂䕁䅍睑䉂䝁䄴兙獂䡁䅫督灂䡁䅍睘㉂䑁䅅䅉潁䑁䅕克畁䡁䅧䅢穂䝁䄰兘塂䕁䅅睑䑂䍁䅣光歁䕁䅅兒歁䑁䅑䅍䅁䥁䉅䅁⭁䅁䅁睕佂䕁䅷䅉䉂䝁䅷䅢杁䕁䅙兡畂䝁䅅杢橂䝁䅫兙獂䍁䅁兓畂䡁䅍䅤灂䡁䅑兤あ䝁䅫睢畂䡁䅍䅁㡂䅁䅁䅕䅁䍁䅣睗呂䙁䅁睒時䕁䅑睑䝂䕁䅅杢桂䝁䅷入穂䝁䅫督時䡁䅙免杁䑁䅑杌㑂䝁䅷督瑂䙁䄰䅒䑂䕁䅙睊桁䍁䅑兑偂䍁䅑兎穁䅁䅁儫䅑䉁䅯䅁呂䙁䅁睕硁䑁䅙兎ㅁ䑁䅣杍ぁ䑁䅑䅎䅁佁䝑䅁䵁䅁䅁兓剂䙁䄸兑兂䅁䅁杨䅙䝁䅉䅁湁䙁䅳睕兂䕁䅣睘䕂䕁䅍杒時䕁䅅杢桂䝁䅷入穂䝁䅫督時䡁䅙免時䕁䅙兡畂䝁䅅䅢杁䍁䅧杍灁䍁䄴䅥獂䡁䅍兢摂䕁䅑睑䝂䍁䅣光歁䕁䅅䅗歁䑁䅕睎䅁䅁䥍䅁䕂䅁䅁睗乂䕁䅫睘䕂䕁䅍杒䉂䝁䄴兙獂䡁䅫督灂䡁䅍睘㉂䑁䅅杌㑂䝁䅷督瑂䙁䄰䅒䑂䕁䅙光歁䙁䅙䅊祁䑁䅧䅁灁杁䅁䅈䅁䕁䅫兕啂䑁䅅䅏㉁䑁䅑䅍ぁ䑁䅕䅎硁䑁䅕䅁㝁䅂䅁䅚䅁䍁䅣睗乂䕁䅫睘塂䕁䅅睑䑂䕁䅅杢桂䝁䅷入穂䝁䅫督時䡁䅙免杁䍁䅧兎灁䍁䄴䅥獂䡁䅍兢摂䙁䅣兑䑂䕁䅍睊桁䍁䅑兑䝂䍁䅑䅎ㅁ䑁䅯䅊䉂䕁䅙䅊ㅁ䑁䅙䅁䑃允䅁杖䅁䍁䅣睗乂䕁䅫睘塂䕁䅅睑䑂䕁䅅杢桂䝁䅷入穂䝁䅫督時䡁䅙免杁䍁䅧兎灁䍁䄴䅥獂䡁䅍兢摂䙁䅣兑䑂䕁䅍睊桁䍁䅑兑䩂䍁䅑睍㕁䅁䅁杧䅅䙁䅙䅁湁䙁䅳兔䩂䙁䄸睖䉂䕁䅍睑䉂䝁䄴兙獂䡁䅫督灂䡁䅍睘㉂䑁䅅䅉潁䑁䅕克畁䡁䅧䅢穂䝁䄰兘塂䕁䅅睑䑂䍁䅣光歁䕁䅍兕歁䑁䅍睎䅁䥁䉧䅁捁䅁䅁兓剂䙁䅑免㑁䑁䅍睎ぁ䑁䅕杍睁䑁䅉䅍䅁乁䕧䅁慂䅁䅁睊扂䙁䅍䅕䡂䙁䄸䅒䑂䕁䅙兑畂䝁䅅䅢㕂䡁䅍兡穂䙁䄸杤硁䍁䅁䅎畁䡁䅧䅢穂䝁䄰兘䕂䕁䅍杒湁䍁䅅䅊䥂䍁䅑兏㑁䑁䅯䅊乂䍁䅑兏㑁䅁䅁杂䅕䝁䅑䅁湁䙁䅳兔䩂䙁䄸睖䉂䕁䅍睑䉂䝁䄴兙獂䡁䅫督灂䡁䅍睘㉂䑁䅅䅉潁䑁䅕克畁䡁䅧䅢穂䝁䄰兘塂䕁䅅睑䑂䍁䅣光歁䕁䅍睕歁䑁䅍兏㙁䍁䅑睑坂䍁䅑睍㕁䅁䅁兩䅅䕁䅉䅁兂䝁䅅杣桂䝁䄰睢ㅂ䝁䄴䅤杁䕁䅣䅢療䝁䅉兙獂䍁䅁䅋佂䕁䅅睕䕂䕁䅅兕䡂䙁䅍杏兂䕁䅅杕䉂䍁䅫䅁浃杂䅁杈䅁䕁䄴兑呂䕁䅑兑剂䕁䅣睕㙁䕁䅍兔䑂䙁䅍兑䅁䭁䝷䅁卂䅁䅁睗乂䕁䅫睘䕂䕁䅍杒䉂䝁䄴兙獂䡁䅫督灂䡁䅍睘㉂䑁䅅杌㑂䝁䅷督瑂䙁䄰䅒䑂䕁䅙光歁䙁䅣䅊ぁ䑁䅅杏歁䕁䅅睒歁䑁䅑免䅁䅁䍫䅁捁䅁䅁睕兂䙁䅍免㑁䑁䅧睎睁䑁䅍䅍㕁䑁䅑兏䅁偁䘰䅁坂䅁䅁睊扂䕁䄰兓時䙁䅣兑䑂䕁䅍兑畂䝁䅅䅢㕂䡁䅍兡穂䙁䄸杤硁䍁䅁䅋ㅁ䍁䅫杌㑂䝁䅷督瑂䙁䄰睖䉂䕁䅍睑湁䍁䅅䅊䑂䙁䅧䅊穁䑁䅣䅁䭃允䅁䅚䅁䍁䅣睗乂䕁䅫睘塂䕁䅅睑䑂䕁䅅杢桂䝁䅷入穂䝁䅫督時䡁䅙免杁䍁䅧兎灁䍁䄴䅥獂䡁䅍兢摂䙁䅣兑䑂䕁䅍睊桁䍁䅑睑慂䍁䅑睍㕁䑁䅯䅊䕂䕁䅉䅊穁䑁䅫䅁䱃允䅁䅖䅁䍁䅣睗乂䕁䅫睘塂䕁䅅睑䑂䕁䅅杢桂䝁䅷入穂䝁䅫督時䡁䅙免杁䍁䅧兎灁䍁䄴䅥獂䡁䅍兢摂䙁䅣兑䑂䕁䅍睊桁䍁䅑䅕歁䑁䅍杍䅁䥁䉕䅁潁䅁䅁兔呂䕁䅍兓杁䕁䅅睑杁䙁䅣睢祂䝁䅷䅚杁䍁䅧兖呂䕁䅑克䅁䙁䅙䅁䅂䅁䅁兓剂䙁䄸睑䥂䕁䅅杔䡂䕁䅕睘偂䙁䅑䅓䙂䙁䅉睘佂䕁䅕䅖時䕁䄸䅕䙂䙁䅉睘䉂䙁䅍睕䙂䙁䅑睕䅁䡁䜰䅁啂䅁䅁睊扂䙁䅍䅕䡂䙁䄸䅒䑂䕁䅙兑畂䝁䅅䅢㕂䡁䅍兡穂䙁䄸杤硁䍁䅁䅋硁䍁䅫杌㑂䝁䅷督瑂䙁䄰䅒䑂䕁䅙睊桁䍁䅑兑䱂䍁䅑兎ぁ䅁䅁睫䅍䉁䅷䅁呂䙁䅁睕硁䑁䅫睍睁䑁䅁杍硁䑁䅙兏㉁䅁䅁睮䅙䑁䅉䅁䉂䝁䄰督あ䝁䅕杣歂䝁䅅兢杁䕁䅕䅥橂䝁䅧兙畂䝁䅣党杁䕁䅫杢歂䝁䅕䅥䅁䑁䅣䅁捁䅁䅁睕兂䙁䅍免㍁䑁䅫李ぁ䑁䅣兎穁䑁䅫䅎䅁䵁䘸䅁浂䅁䅁睊扂䙁䅍䅕䡂䙁䄸䅒䑂䕁䅙兑畂䝁䅅䅢㕂䡁䅍兡穂䙁䄸杤硁䍁䅁免杁䍁䅧免灁䍁䄴䅥獂䡁䅍兢摂䕁䅑睑䝂䍁䅣光歁䕁䅉䅗歁䑁䅕睍㙁䍁䅑睑䉂䍁䅑兎穁䅁䅁兹䅍䝁䅉䅁湁䙁䅳睕兂䕁䅣睘䕂䕁䅍杒䉂䝁䄴兙獂䡁䅫督灂䡁䅍睘㉂䑁䅅䅉潁䑁䅅克畁䡁䅧䅢穂䝁䄰兘䕂䕁䅍杒湁䍁䅅䅊䉂䕁䅷䅊ㅁ䑁䅫杏歁䕁䅅䅔歁䑁䅣杍䅁䩁䑕䅁坂䅁䅁睗呂䙁䅁睒時䕁䅑睑䝂䕁䅅杢桂䝁䅷入穂䝁䅫督時䡁䅙免畁䡁䅧䅢穂䝁䄰兘䕂䕁䅍杒桁䍁䅑䅒兂䍁䅑兎睁䑁䅯䅊䕂䙁䅅䅊ㅁ䑁䅁䅁煁睁䅁杙䅁䍁䅣睗呂䙁䅁睒時䕁䅑睑䝂䕁䅅杢桂䝁䅷入穂䝁䅫督時䡁䅙免杁䍁䅧免灁䍁䄴䅥獂䡁䅍兢摂䕁䅑睑䝂䍁䅣光歁䕁䅅兔歁䑁䅕兏㙁䍁䅑兑乂䍁䅑睎祁䅁䅁杬䅍䙁䅑䅁湁䙁䅳睕兂䕁䅣睘䕂䕁䅍杒䉂䝁䄴兙獂䡁䅫督灂䡁䅍睘㉂䑁䅅䅉潁䑁䅅克畁䡁䅧䅢穂䝁䄰兘䕂䕁䅍杒湁䍁䅅䅊䉂䕁䄸䅊ㅁ䑁䅍䅁啃睁䅁䅖䅁䙁䅳兔䩂䙁䄸䅒䑂䕁䅙兑畂䝁䅅䅢㕂䡁䅍兡穂䙁䄸杤硁䍁䄴䅥獂䡁䅍兢摂䕁䅑睑䝂䍁䅅䅊䙂䍁䅑杍硁䑁䅅杏歁䕁䅕䅊祁䑁䅉䅏䅁乁䉙䅁慁䅁䅁睕兂䙁䅍杍㑁䑁䅧睎硁䑁䅧兏㑁䑁䅣䅁䡄杂䅁䅕䅁䍁䅣睗呂䙁䅁睒時䕁䅑睑䝂䕁䅅杢桂䝁䅷入穂䝁䅫督時䡁䅙免杁䑁䅑杌㑂䝁䅷督瑂䙁䄰䅒䑂䕁䅙睊桁䍁䅑睖歁䑁䅅䅎㉁䅁䅁兆䅕䑁䅙䅁䍂䡁䅕睙潂䝁䅅杣求䡁䅍䅤杁䕁䅕䅥橂䝁䅧兙畂䝁䅣党杁䙁䅑杣桂䝁䅑兡畂䝁䅣䅁⭁䅁䅁杌䅁䕁䅫兕時䕁䅍兖卂䙁䅉兒佂䕁䅍兗時䕁䅙兓佂䕁䅅杔䑂䕁䅫兑䵂䙁䅍䅁元杂䅁䅄䅁䙁䅫兓䙂䕁䅷䅒䅁䅁䅷䅁慁䅁䅁睕兂䙁䅍杍㑁䑁䅧睎硁䑁䅧兏㕁䑁䅅䅁穄杂䅁䅖䅁䍁䅣睗呂䙁䅁睒時䕁䅑睑䝂䕁䅅杢桂䝁䅷入穂䝁䅫督時䡁䅙免杁䍁䅧免灁䍁䄴䅥獂䡁䅍兢摂䕁䅑睑䝂䍁䅣光歁䕁䅉䅊祁䑁䅁睎䅁䭁䑷䅁捁䅁䅁睕兂䙁䅍杍睁䑁䅅免ぁ䑁䅣睎㉁䑁䅁兎䅁䝁䤸䅁啂䅁䅁睗乂䕁䅫睘䕂䕁䅍杒䉂䝁䄴兙獂䡁䅫督灂䡁䅍睘㉂䑁䅅杌㑂䝁䅷督瑂䙁䄰䅒䑂䕁䅙光歁䙁䅫䅊硁䑁䅑睍㙁䍁䅑兗歁䑁䅅䅎㑁䅁䅁睫䅉䙁䅑䅁湁䙁䅳睕兂䕁䅣睘䕂䕁䅍杒䉂䝁䄴兙獂䡁䅫督灂䡁䅍睘㉂䑁䅅䅉潁䑁䅅克畁䡁䅧䅢穂䝁䄰兘䕂䕁䅍杒湁䍁䅅䅊䍂䍁䅑杍ぁ䑁䅕䅁䝃睁䅁䅈䅁䙁䅍䅕呂䑁䅅䅏ぁ䑁䅣兏㕁䑁䅕睍㍁䑁䅧䅁兄兂䅁杙䅁䍁䅣睗呂䙁䅁睒時䕁䅑睑䝂䕁䅅杢桂䝁䅷入穂䝁䅫督時䡁䅙免杁䍁䅧免灁䍁䄴䅥獂䡁䅍兢摂䕁䅑睑䝂䍁䅣光歁䙁䅧䅊硁䑁䅑䅏㙁䍁䅑䅗歁䑁䅅兎穁䅁䅁東䅍䝁䅙䅁湁䙁䅳睕兂䕁䅣睘䕂䕁䅍杒䉂䝁䄴兙獂䡁䅫督灂䡁䅍睘㉂䑁䅅䅉硁䍁䅁䅋硁䍁䅫杌㑂䝁䅷督瑂䙁䄰䅒䑂䕁䅙睊桁䍁䅑杒歁䑁䅉䅍㑁䑁䅯䅊乂䍁䅑杍睁䑁䅧䅁楄睁䅁䅅䅁䙁䅍䅕啂䙁䄸兗啂䙁䅣䅁呂睂䅁杇䅁䙁䅍䅕呂䑁䅕兏ぁ䑁䅕䅍穁䑁䅑䅍睁䅁䅁杁䅣䙁䅑䅁湁䙁䅳睕兂䕁䅣睘䕂䕁䅍杒䉂䝁䄴兙獂䡁䅫督灂䡁䅍睘㉂䑁䅅䅉潁䑁䅅克畁䡁䅧䅢穂䝁䄰兘䕂䕁䅍杒湁䍁䅅䅊䍂䙁䅙䅊ㅁ䑁䅅䅁摃睁䅁䅖䅁䍁䅣睗呂䙁䅁睒時䕁䅑睑䝂䕁䅅杢桂䝁䅷入穂䝁䅫督時䡁䅙免杁䍁䅧免灁䍁䄴䅥獂䡁䅍兢摂䕁䅑睑䝂䍁䅣光歁䕁䅍睑歁䑁䅕免䅁䩁䐸䅁慁䅁䅁睕兂䙁䅍䅎穁䑁䅅䅏ㅁ䑁䅫免穁䑁䅉䅁杄睂䅁杔䅁䍁䅣睗呂䙁䅁睒時䕁䅑睑䝂䕁䅅杢桂䝁䅷入穂䝁䅫督時䡁䅙免杁䑁䅑杌㑂䝁䅷督瑂䙁䄰䅒䑂䕁䅙睊桁䍁䅑杖歁䑁䅑李䅁偁䕷䅁楂䅁䅁睊扂䙁䅍䅕䡂䙁䄸䅒䑂䕁䅙兑畂䝁䅅䅢㕂䡁䅍兡穂䙁䄸杤硁䍁䅁䅋硁䍁䅫杌㑂䝁䅷督瑂䙁䄰䅒䑂䕁䅙睊桁䍁䅑睑䙂䍁䅑兎穁䑁䅯䅊䑂䕁䅣䅊ㅁ䑁䅍䅁权睁䅁䅈䅁䙁䅍䅕呂䑁䅅䅏祁䑁䅅䅎硁䑁䅁杍㕁䑁䅙䅁䥃睂䅁杌䅁䕁䅫兕時䕁䅍兖卂䙁䅉兒佂䙁䅑睘兂䕁䄸杕啂䙁䄸䅔䙂䕁䅅睕䙂䙁䅍䅁䩃杂䅁䅖䅁䍁䅣睗呂䙁䅁睒時䕁䅑睑䝂䕁䅅杢桂䝁䅷入穂䝁䅫督時䡁䅙免杁䍁䅧免灁䍁䄴䅥獂䡁䅍兢摂䕁䅑睑䝂䍁䅣光歁䕁䅍睔歁䑁䅑䅏䅁䥁䐸䅁潁䅁䅁睗䍂䝁䄸睢牂䑁䅅兘呂䝁䅧党求䡁䅑免桁䍁䅑兓歁䑁䅅杍䅁䉁䄰䅁流䅁䅁睔乂䙁䅧䅉卂䝁䅫睚桂䍁䅁兑獂䝁䅷䅉呂䝁䅧兙祂䝁䅕䅁橂䅁䅁杚䅁䙁䅳兔䩂䙁䄸睒䵂䕁䄸村䉂䕁䅷睘塂䕁䅅睑䑂䕁䅅杢桂䝁䅷入穂䝁䅫督時䡁䅙免畁䡁䅧䅢穂䝁䄰兘塂䕁䅅睑䑂䍁䅅䅊䑂䙁䅯䅊穁䑁䅫杏歁䕁䅑村歁䑁䅍兏䅁䵁䄸䅁敂䅁䅁睊扂䙁䅍䅕䡂䙁䄸䅒䑂䕁䅙兑畂䝁䅅䅢㕂䡁䅍兡穂䙁䄸杤硁䍁䅁䅎畁䡁䅧䅢穂䝁䄰兘䕂䕁䅍杒湁䍁䅅䅊䙂䍁䅑杍ㅁ䑁䅅杏歁䕁䅕䅊祁䑁䅕李䅁䅁䙳䅁捁䅁䅁兓剂䙁䅑免㑁䑁䅑睎㕁䑁䅫兎ぁ䑁䅉李䅁䍁䕅䅁捁䅁䅁兓剂䙁䅑免㑁䑁䅣䅎穁䑁䅍李穁䑁䅫免䅁䱁䕫䅁慁䅁䅁兓剂䙁䄸䅖偂䙁䅑兑䵂䙁䄸杕䙂䙁䅙䅁祂杂䅁杇䅁䙁䅍䅕呂䑁䅉䅏㑁䑁䅣免㑁䑁䅫兏㍁䅁䅁儫䅙䝁䅉䅁湁䙁䅳睕兂䕁䅣睘䕂䕁䅍杒䉂䝁䄴兙獂䡁䅫督灂䡁䅍睘㉂䑁䅅䅉潁䑁䅅克畁䡁䅧䅢穂䝁䄰兘䕂䕁䅍杒湁䍁䅅䅊䑂䙁䅅䅊ぁ䑁䅫杏歁䕁䅍杕歁䑁䅑兏䅁䩁䑅䅁楂䅁䅁睊扂䙁䅍䅕䡂䙁䄸䅒䑂䕁䅙兑畂䝁䅅䅢㕂䡁䅍兡穂䙁䄸杤硁䍁䅁䅋硁䍁䅫杌㑂䝁䅷督瑂䙁䄰䅒䑂䕁䅙睊桁䍁䅑睑剂䍁䅑兎睁䑁䅯䅊䑂䙁䅉䅊ㅁ䑁䅁䅁千睁䅁杙䅁䍁䅣睗呂䙁䅁睒時䕁䅑睑䝂䕁䅅杢桂䝁䅷入穂䝁䅫督時䡁䅙免杁䍁䅧免灁䍁䄴䅥獂䡁䅍兢摂䕁䅑睑䝂䍁䅣光歁䕁䅕䅊祁䑁䅅睍㙁䍁䅑兒歁䑁䅉睍穁䅁䅁杲䅍䉁䅯䅁呂䙁䅁睕祁䑁䅧䅏㍁䑁䅅䅏㕁䑁䅧兎䅁䵁䝕䅁捁䅁䅁兓剂䙁䅑免㑁䑁䅑睎㕁䑁䅫兎祁䑁䅁兏䅁偁䑑䅁楂䅁䅁睊扂䙁䅍䅕䡂䙁䄸䅒䑂䕁䅙兑畂䝁䅅䅢㕂䡁䅍兡穂䙁䄸杤硁䍁䅁䅋硁䍁䅫杌㑂䝁䅷督瑂䙁䄰䅒䑂䕁䅙睊桁䍁䅑兒歁䑁䅉䅎㑁䑁䅯䅊䙂䍁䅑杍ㅁ䑁䅅䅁䥃睁䅁杙䅁䍁䅣睗呂䙁䅁睒時䕁䅑睑䝂䕁䅅杢桂䝁䅷入穂䝁䅫督時䡁䅙免杁䍁䅧免灁䍁䄴䅥獂䡁䅍兢摂䕁䅑睑䝂䍁䅣光歁䕁䅙䅊祁䑁䅁睎㙁䍁䅑兔歁䑁䅉䅍㍁䅁䅁兲䅍䡁䅧䅁偂䡁䅁䅤灂䝁䄸杢穂䑁䅯睑ㅂ䡁䅉杣㥁䕁䅕兖卂䍁䅷兔桂䝁䅣児乂䝁䅫䅢獂䝁䅫睢畂䡁䅍䅌䑂䝁䄸杢㉂䕁䄰党あ䝁䅧睢歂䑁䄰兔䩂䡁䅉党橂䝁䄸兢瑂䝁䅕杢歂䝁䅕䅚獁䕁䄴兑㥁䑁䅁䅁摁䅃䅁杚䅁䍁䅣睗呂䙁䅁睒時䕁䅑睑䝂䕁䅅杢桂䝁䅷入穂䝁䅫督時䡁䅙免杁䑁䅅䅉潁䑁䅅克畁䡁䅧䅢穂䝁䄰兘䕂䕁䅍杒湁䍁䅅䅊䡂䍁䅑杍ぁ䑁䅣杏歁䕁䄰䅊祁䑁䅑睎䅁乁䑅䅁捁䅁䅁兓剂䙁䅑免㑁䑁䅧睎睁䑁䅍䅍㕁䑁䅧睍䅁䕁䕕䅁奂䅁䅁睗乂䕁䅫睘䡂䕁䅷睔䍂䕁䅅䅔時䙁䅣兑䑂䕁䅍兑畂䝁䅅䅢㕂䡁䅍兡穂䙁䄸杤祁䍁䄴䅥獂䡁䅍兢摂䙁䅣兑䑂䕁䅍光歁䕁䅍兕歁䑁䅍睎䅁偁䅅䅁楂䅁䅁睊扂䙁䅍䅕䡂䙁䄸䅒䑂䕁䅙兑畂䝁䅅䅢㕂䡁䅍兡穂䙁䄸杤硁䍁䅁䅋硁䍁䅫杌㑂䝁䅷督瑂䙁䄰䅒䑂䕁䅙睊桁䍁䅑杒歁䑁䅉䅍㑁䑁䅯䅊乂䍁䅑杍睁䑁䅧䅁癃睁䅁䅇䅁䙁䅍䅕呂䑁䅍杍祁䑁䅅兏㕁䑁䅫睍䅁䑁䠴䅁歁䅁䅁兓剂䙁䄸睑䥂䕁䅅杔䡂䕁䅕睘䩂䕁䄴睑時䙁䅑兑奂䅁䅁睤䅙䝁䅉䅁湁䙁䅳睕兂䕁䅣睘䕂䕁䅍杒䉂䝁䄴兙獂䡁䅫督灂䡁䅍睘㉂䑁䅅䅉潁䑁䅅克畁䡁䅧䅢穂䝁䄰兘䕂䕁䅍杒湁䍁䅅䅊䡂䍁䅑免睁䑁䅍杏歁䕁䅣䅊硁䑁䅍䅍䅁䥁䑳䅁慁䅁䅁兓剂䙁䅑䅎硁䑁䅣兏㕁䑁䅅睍祁䑁䅙䅁楃䅂䅁杅䅁䙁䅍䅕䡂䙁䅑兙楂䝁䅷党䅁䭁䅙䅁敂䅁䅁睊扂䙁䅍䅕䡂䙁䄸䅒䑂䕁䅙兑畂䝁䅅䅢㕂䡁䅍兡穂䙁䄸杤硁䍁䅁䅋硁䍁䅫杌㑂䝁䅷督瑂䙁䄰䅒䑂䕁䅙睊桁䍁䅑睒歁䑁䅫䅏㙁䍁䅑兔歁䑁䅫䅏䅁䥁䑷䅁捁䅁䅁兓剂䙁䄸䅕䙂䙁䅉兓偂䕁䅑睘䙂䕁䄴䅒䅁䥁䝍䅁允䅁䅁䅖塂䙁䅑杕瑁䙁䅕睕䅁䵁䈰䅁卂䅁䅁睊扂䙁䅍䅕䡂䙁䄸䅒䑂䕁䅙兑畂䝁䅅䅢㕂䡁䅍兡穂䙁䄸杤硁䍁䅁䅋硁䍁䅫杌㑂䝁䅷督瑂䙁䄰䅒䑂䕁䅙睊桁䍁䅑杖歁䑁䅑李䅁䩁䑣䅁捁䅁䅁兓剂䙁䅑免㑁䑁䅑睎㕁䑁䅫兎ぁ䑁䅅兏䅁䵁䔴䅁慁䅁䅁睕兂䙁䅍李穁䑁䅕睎硁䑁䅉杍硁䑁䅁䅁噂䅃䅁杘䅁䍁䅣睗呂䙁䅁睒時䕁䅑睑䝂䕁䅅杢桂䝁䅷入穂䝁䅫督時䡁䅙免杁䍁䅧免灁䍁䄴䅥獂䡁䅍兢摂䕁䅑睑䝂䍁䅣光歁䙁䅙䅊ㅁ䑁䅅杏歁䙁䅙䅊ㅁ䑁䅙䅁奃睁䅁䅖䅁䍁䅣睗呂䙁䅁睒時䕁䅑睑䝂䕁䅅杢桂䝁䅷入穂䝁䅫督時䡁䅙免杁䍁䅧免灁䍁䄴䅥獂䡁䅍兢摂䕁䅑睑䝂䍁䅣光歁䙁䅣䅊硁䑁䅍免䅁䭁䑅䅁慂䅁䅁睊扂䙁䅍䅕䡂䙁䄸䅒䑂䕁䅙兑畂䝁䅅䅢㕂䡁䅍兡穂䙁䄸杤硁䍁䅁䅎畁䡁䅧䅢穂䝁䄰兘䕂䕁䅍杒湁䍁䅅䅊䥂䍁䅑兏㕁䑁䅯䅊乂䍁䅑兏㕁䅁䅁䅃䅕䅁䅯䅁䝂䙁䅫兌穁䅁䅁䅪䅕䝁䅉䅁湁䙁䅳睕兂䕁䅣睘䕂䕁䅍杒䉂䝁䄴兙獂䡁䅫督灂䡁䅍睘㉂䑁䅅䅉潁䑁䅅克畁䡁䅧䅢穂䝁䄰兘䕂䕁䅍杒湁䍁䅅䅊奂䍁䅑免穁䑁䅑杏歁䙁䅧䅊硁䑁䅍兎䅁䭁䑍䅁慁䅁䅁睕兂䙁䅍兎㕁䑁䅑兎睁䑁䅍䅎睁䑁䅍䅁䙁睂䅁杙䅁䍁䅣睗呂䙁䅁睒時䕁䅑睑䝂䕁䅅杢桂䝁䅷入穂䝁䅫督時䡁䅙免杁䍁䅧免灁䍁䄴䅥獂䡁䅍兢摂䕁䅑睑䝂䍁䅣光歁䙁䅧䅊硁䑁䅑杍㙁䍁䅑䅗歁䑁䅅䅎穁䅁䅁睰䅍䙁䅑䅁湁䙁䅳睕兂䕁䅣睘䕂䕁䅍杒䉂䝁䄴兙獂䡁䅫督灂䡁䅍睘㉂䑁䅅䅉潁䑁䅍克畁䡁䅧䅢穂䝁䄰兘䕂䕁䅍杒湁䍁䅅䅊慂䍁䅑免ぁ䑁䅙䅁煂睁䅁李䅁䕁䅫兕時䕁䅷兒䉂䙁䅍兒時䕁䅅䅒䭂䙁䅕睕啂䕁䄰兒佂䙁䅑睘䙂䕁䅉兓啂䕁䅑兑䅁䡁䐴䅁慁䅁䅁睕兂䙁䅍杍㑁䑁䅑李㕁䑁䅕免㕁䑁䅑䅁奄睂䅁䅈䅁䕁䅫兕啂䑁䅅䅏㑁䑁䅣䅍穁䑁䅁兏㉁䑁䅙䅁䉂䅂䅁䅗䅁䍁䅣睗呂䙁䅁睒時䕁䅑睑䝂䕁䅅杢桂䝁䅷入穂䝁䅫督時䡁䅙免杁䑁䅅䅉潁䑁䅅克畁䡁䅧䅢穂䝁䄰兘䕂䕁䅍杒湁䍁䅅䅊䉂䕁䅳䅊ㅁ䑁䅑䅁⭃睁䅁䅖䅁䍁䅣睗呂䙁䅁睒時䕁䅑睑䝂䕁䅅杢桂䝁䅷入穂䝁䅫督時䡁䅙免杁䍁䅧免灁䍁䄴䅥獂䡁䅍兢摂䕁䅑睑䝂䍁䅣光歁䙁䅫䅊硁䑁䅍免䅁䭁䑉䅁慁䅁䅁兓剂䙁䅑杍ㅁ䑁䅙杍祁䑁䅫䅎硁䑁䅣䅁奂䅂䅁䅖䅁䍁䅣睗呂䙁䅁睒時䕁䅑睑䝂䕁䅅杢桂䝁䅷入穂䝁䅫督時䡁䅙免杁䍁䅧免灁䍁䄴䅥獂䡁䅍兢摂䕁䅑睑䝂䍁䅣光歁䙁䅫䅊硁䑁䅑䅍䅁䭁䑙䅁啂䅁䅁睊扂䙁䅍䅕䡂䙁䄸䅒䑂䕁䅙兑畂䝁䅅䅢㕂䡁䅍兡穂䙁䄸杤硁䍁䅁䅋硁䍁䅫杌㑂䝁䅷督瑂䙁䄰䅒䑂䕁䅙睊桁䍁䅑杗歁䑁䅅䅎㉁䅁䅁共䅍䕁䄴䅁湁䙁䅳睕兂䕁䅣睘䕂䕁䅍杒䉂䝁䄴兙獂䡁䅫督灂䡁䅍睘㉂䑁䅅䅉ぁ䍁䄴䅥獂䡁䅍兢摂䕁䅑睑䝂䍁䅣光歁䕁䅉䅊㕁䑁䅧䅁䙁兂䅁䅖䅁䍁䅣睗呂䙁䅁睒時䕁䅑睑䝂䕁䅅杢桂䝁䅷入穂䝁䅫督時䡁䅙免杁䍁䅧睍灁䍁䄴䅥獂䡁䅍兢摂䕁䅑睑䝂䍁䅣光歁䕁䅅睒歁䑁䅑睎䅁䙁䑫䅁佁䅁䅁䅒䩂䙁䅍兌噂䙁䅍䅁㑃杂䅁杇䅁䕁䅫兕啂䑁䅉兎ㅁ䑁䅍睍㍁䑁䅧兏ㅁ䅁䅁兂䅑䕁䅑䅁湁䙁䅳睖䉂䕁䅍睑杁䙁䅍杔䵂䍁䄴䅥獂䡁䅍兢摂䙁䅣兑䑂䕁䅍睊桁䍁䅑䅔歁䑁䅍兎㙁䍁䅑䅔歁䑁䅑睎䅁䥁䅯䅁捁䅁䅁睕兂䙁䅍免㑁䑁䅧睎睁䑁䅍䅍㕁䑁䅑睎䅁佁䙁䅁浂䅁䅁睊扂䙁䅍䅕䡂䙁䄸䅒䑂䕁䅙兑畂䝁䅅䅢㕂䡁䅍兡穂䙁䄸杤硁䍁䅁免杁䍁䅧免灁䍁䄴䅥獂䡁䅍兢摂䕁䅑睑䝂䍁䅣光歁䕁䅍睔歁䑁䅕免㙁䍁䅑睑偂䍁䅑兎㍁䅁䅁睵䅍䙁䅑䅁湁䙁䅳睕兂䕁䅣睘䕂䕁䅍杒䉂䝁䄴兙獂䡁䅫督灂䡁䅍睘㉂䑁䅅䅉潁䑁䅍克畁䡁䅧䅢穂䝁䄰兘䕂䕁䅍杒湁䍁䅅䅊䍂䍁䅑杍睁䑁䅣䅁瑂睁䅁杇䅁䙁䅍䅕呂䑁䅕兎㑁䑁䅫䅎㉁䑁䅑睎㍁䅁䅁杋䅧䉁䅷䅁呂䙁䅁睕硁䑁䅧䅎㍁䑁䅫兏ㅁ䑁䅍兏㉁䅁䅁克䅙䅁䅷䅁䩂䙁䅅睘䉂䕁䅕䅁䵃杂䅁杚䅁䍁䅣睗呂䙁䅁睒時䕁䅑睑䝂䕁䅅杢桂䝁䅷入穂䝁䅫督時䡁䅙免杁䑁䅅䅉潁䑁䅅克畁䡁䅧䅢穂䝁䄰兘䕂䕁䅍杒湁䍁䅅䅊婂䍁䅑免ぁ䑁䅧杏歁䙁䅫䅊硁䑁䅕睍䅁乁䐴䅁佁䅁䅁村䉂䕁䅍兌噂䙁䅍䅁噄䅁䅁杕䅁䍁䅣睗呂䙁䅁睒時䕁䅑睑䝂䕁䅅杢桂䝁䅷入穂䝁䅫督時䡁䅙免杁䍁䅧睍灁䍁䄴䅥獂䡁䅍兢摂䕁䅑睑䝂䍁䅣光歁䕁䅉䅊㕁䑁䅧䅁敂睁䅁杘䅁䍁䅣睗呂䙁䅁睒時䕁䅑睑䝂䕁䅅杢桂䝁䅷入穂䝁䅫督時䡁䅙免杁䍁䄰䅉祂䝁䅕杤灂䡁䅍党歂䍁䄴䅥獂䡁䅍兢摂䕁䅑睑䝂䍁䅣光歁䕁䅷䅊祁䑁䅅䅁坂睂䅁䅖䅁䍁䅣睗呂䙁䅁睒時䕁䅑睑䝂䕁䅅杢桂䝁䅷入穂䝁䅫督時䡁䅙免杁䍁䅧睍灁䍁䄴䅥獂䡁䅍兢摂䕁䅑睑䝂䍁䅣光歁䕁䅍兖歁䑁䅕免䅁䙁䑯䅁啂䅁䅁睗乂䕁䅫睘䕂䕁䅍杒䉂䝁䄴兙獂䡁䅫督灂䡁䅍睘㉂䑁䅅杌㑂䝁䅷督瑂䙁䄰䅒䑂䕁䅙光歁䕁䅕䅊祁䑁䅁睎㙁䍁䅑兒歁䑁䅉杍㍁䅁䅁兆䅉䝁䅉䅁湁䙁䅳睕兂䕁䅣睘䕂䕁䅍杒䉂䝁䄴兙獂䡁䅫督灂䡁䅍睘㉂䑁䅅䅉潁䑁䅍克畁䡁䅧䅢穂䝁䄰兘䕂䕁䅍杒湁䍁䅅䅊䑂䙁䅣䅊ㅁ䑁䅍杏歁䕁䅍杗歁䑁䅕睍䅁䙁䑳䅁啂䅁䅁睗乂䕁䅫睘䕂䕁䅍杒䉂䝁䄴兙獂䡁䅫督灂䡁䅍睘㉂䑁䅅杌㑂䝁䅷督瑂䙁䄰䅒䑂䕁䅙光歁䕁䅕䅊祁䑁䅅睍㙁䍁䅑兒歁䑁䅉睍穁䅁䅁朳䅉䉁䅁䅁䝂䙁䅅免祁䑁䅁杍ぁ䅁䅁睤䅍䕁䅧䅁湁䙁䅳睖䉂䕁䅍睑杁䙁䅍杔䵂䍁䄴䅥獂䡁䅍兢摂䙁䅣兑䑂䕁䅍睊桁䍁䅑村䕂䍁䅑睍ㅁ䑁䅯䅊䍂䕁䅑䅊ぁ䑁䅁䅁婃䅁䅁䅖䅁䍁䅣睗呂䙁䅁睒時䕁䅑睑䝂䕁䅅杢桂䝁䅷入穂䝁䅫督時䡁䅙免杁䍁䅧睍灁䍁䄴䅥獂䡁䅍兢摂䕁䅑睑䝂䍁䅣光歁䕁䅑村歁䑁䅕免䅁䙁䑷䅁歁䅁䅁睔乂䙁䅧䅉䑂䝁䄸䅣求䝁䄴䅡桂䝁䅣党畂䍁䅁杍睁䅁䅁兙䅁䙁䅑䅁湁䙁䅳睕兂䕁䅣睘䕂䕁䅍杒䉂䝁䄴兙獂䡁䅫督灂䡁䅍睘㉂䑁䅅䅉潁䑁䅍克畁䡁䅧䅢穂䝁䄰兘䕂䕁䅍杒湁䍁䅅䅊䕂䕁䄴䅊ぁ䑁䅧䅁䵂睁䅁杇䅁䑁䅅兢杁䙁䅍兡畂䝁䅣兙睂䝁䄸杣求䅁䅁典䅉䉁䅷䅁呂䙁䅁睕硁䑁䅧䅎㍁䑁䅫兏ㅁ䑁䅅睍㕁䅁䅁䄸䅕䝁䅉䅁湁䙁䅳睕兂䕁䅣睘䕂䕁䅍杒䉂䝁䄴兙獂䡁䅫督灂䡁䅍睘㉂䑁䅅䅉潁䑁䅍克畁䡁䅧䅢穂䝁䄰兘䕂䕁䅍杒湁䍁䅅䅊䕂䕁䄴䅊ㅁ䑁䅅杏歁䕁䅑杔歁䑁䅕睎䅁䕁䐰䅁慁䅁䅁睕兂䙁䅍睍㍁䑁䅧兎㑁䑁䅑䅎穁䑁䅅䅁䝄睂䅁杙䅁䍁䅣睗呂䙁䅁睒時䕁䅑睑䝂䕁䅅杢桂䝁䅷入穂䝁䅫督時䡁䅙免杁䍁䅧睍灁䍁䄴䅥獂䡁䅍兢摂䕁䅑睑䝂䍁䅣光歁䕁䅑䅕歁䑁䅕䅍㙁䍁䅑䅒剂䍁䅑兎睁䅁䅁睔䅍䙁䅧䅁湁䙁䅳睕兂䕁䅣睘䕂䕁䅍杒䉂䝁䄴兙獂䡁䅫督灂䡁䅍睘㉂䑁䅅䅉硁䍁䅁䅋硁䍁䅫杌㑂䝁䅷督瑂䙁䄰䅒䑂䕁䅙睊桁䍁䅑睑偂䍁䅑䅎㑁䅁䅁杵䅍䙁䅑䅁扂䕁䄰兓時䕁䅑睑䝂䕁䅅杢桂䝁䅷入穂䝁䅫督時䡁䅙免畁䡁䅧䅢穂䝁䄰兘䕂䕁䅍杒桁䍁䅑䅒兂䍁䅑䅎ぁ䑁䅯䅊䕂䙁䅅䅊ぁ䑁䅑䅁㉂杁䅁杙䅁䍁䅣睗呂䙁䅁睒時䕁䅑睑䝂䕁䅅杢桂䝁䅷入穂䝁䅫督時䡁䅙免杁䍁䅧睍灁䍁䄴䅥獂䡁䅍兢摂䕁䅑睑䝂䍁䅣光歁䕁䅙䅊祁䑁䅁䅏㙁䍁䅑兔歁䑁䅉䅍㑁䅁䅁䅣䅍䉁䅷䅁佂䕁䅅睕䕂䕁䅅兕䡂䙁䅍杏䑂䙁䅑睕䥂䅁䅁䅲䅣䝁䅉䅁湁䙁䅳睕兂䕁䅣睘䕂䕁䅍杒䉂䝁䄴兙獂䡁䅫督灂䡁䅍睘㉂䑁䅅䅉潁䑁䅍克畁䡁䅧䅢穂䝁䄰兘䕂䕁䅍杒湁䍁䅅䅊䡂䍁䅑免睁䑁䅍杏歁䕁䅣䅊硁䑁䅍䅍䅁䝁䑁䅁坂䅁䅁睗呂䙁䅁睒時䕁䅑睑䝂䕁䅅杢桂䝁䅷入穂䝁䅫督時䡁䅙免畁䡁䅧䅢穂䝁䄰兘䕂䕁䅍杒桁䍁䅑䅗歁䑁䅅䅎㑁䑁䅯䅊奂䍁䅑免ㅁ䑁䅍䅁䝂睁䅁䅓䅁䙁䅳睕兂䕁䅣睘䕂䕁䅍杒䉂䝁䄴兙獂䡁䅫督灂䡁䅍睘㉂䑁䅅杌㑂䝁䅷督瑂䙁䄰䅒䑂䕁䅙光歁䕁䅍睔歁䑁䅑䅏䅁䡁䑍䅁䥂䅁䅁睊扂䙁䅣兑䑂䕁䅍䅉呂䕁䄴䅔畁䡁䅧䅢穂䝁䄰兘塂䕁䅅睑䑂䍁䅣光歁䕁䅉兒歁䑁䅍杍㙁䍁䅑村䡂䍁䅑睍祁䅁䅁杭䅁䙁䅧䅁湁䙁䅳睕兂䕁䅣睘䕂䕁䅍杒䉂䝁䄴兙獂䡁䅫督灂䡁䅍睘㉂䑁䅅䅉硁䍁䅁䅋硁䍁䅫杌㑂䝁䅷督瑂䙁䄰䅒䑂䕁䅙睊桁䍁䅑睖歁䑁䅅䅎㉁䅁䅁眲䅍䙁䄴䅁湁䙁䅳睕兂䕁䅣睘䕂䕁䅍杒䉂䝁䄴兙獂䡁䅫督灂䡁䅍睘㉂䑁䅅䅉潁䑁䅍克畁䡁䅧䅢穂䝁䄰兘䕂䕁䅍杒湁䍁䅅䅊䥂䍁䅑兏㕁䑁䅯䅊乂䍁䅑兏㕁䅁䅁兙䅍䍁䅑䅁乂䙁䅍睑䩂䍁䅁兒ㅂ䡁䅉睢睂䝁䅕䅉潁䙁䅕睕䕂䍁䅫䅁奂䅁䅁杕䅁䍁䅣睗呂䙁䅁睒時䕁䅑睑䝂䕁䅅杢桂䝁䅷入穂䝁䅫督時䡁䅙免杁䍁䅧睍灁䍁䄴䅥獂䡁䅍兢摂䕁䅑睑䝂䍁䅣光歁䙁䅙䅊ぁ䑁䅙䅁啂睁䅁䅉䅁䕁䅅䅤潂䝁䅕䅥杁䕁䅍睢瑂䡁䅁睢穂䝁䅫䅤求䅁䅁兏䅁䉁䅷䅁呂䍁䅙䅕杁䙁䅍兢桂䝁䅷䅢瑁䕁䅍兙睂䅁䅁兤䅁䑁䅉䅁䉂䝁䅍睙求䝁䄴䅤ㅂ䡁䅉党杁䡁䅁䅢橂䍁䅁䅋佂䙁䅫睕䙂䑁䅯兑䑂䕁䄴克䅁䥁䙑䅁卂䅁䅁睊扂䙁䅍䅕䡂䙁䄸䅒䑂䕁䅙兑畂䝁䅅䅢㕂䡁䅍兡穂䙁䄸杤硁䍁䅁䅋穁䍁䅫杌㑂䝁䅷督瑂䙁䄰䅒䑂䕁䅙睊桁䍁䅑杖歁䑁䅑睎䅁䙁䑧䅁敂䅁䅁睊扂䙁䅍䅕䡂䙁䄸䅒䑂䕁䅙兑畂䝁䅅䅢㕂䡁䅍兡穂䙁䄸杤硁䍁䅁䅋穁䍁䅫杌㑂䝁䅷督瑂䙁䄰䅒䑂䕁䅙睊桁䍁䅑杖歁䑁䅕免㙁䍁䅑杖歁䑁䅕李䅁䙁䑕䅁啂䅁䅁睊扂䙁䅍䅕䡂䙁䄸䅒䑂䕁䅙兑畂䝁䅅䅢㕂䡁䅍兡穂䙁䄸杤硁䍁䅁䅋穁䍁䅫杌㑂䝁䅷督瑂䙁䄰䅒䑂䕁䅙睊桁䍁䅑睖歁䑁䅅睍硁䅁䅁杙䅍䕁䅙䅁扂䕁䄰兓時䕁䅑睑䝂䕁䅅杢桂䝁䅷入穂䝁䅫督時䡁䅙免畁䡁䅧䅢穂䝁䄰兘䕂䕁䅍杒桁䍁䅑䅒䱂䍁䅑䅎ㅁ䅁䅁䅈䅉䙁䅑䅁湁䙁䅳睕兂䕁䅣睘䕂䕁䅍杒䉂䝁䄴兙獂䡁䅫督灂䡁䅍睘㉂䑁䅅䅉潁䑁䅍克畁䡁䅧䅢穂䝁䄰兘䕂䕁䅍杒湁䍁䅅䅊塂䍁䅑免ぁ䑁䅙䅁灂睁䅁杆䅁䑁䅅入杁䙁䅙兡求䡁䅑杢桂䝁䄰䅁䉄杁䅁杒䅁䙁䅳兔䩂䙁䄸䅒䑂䕁䅙兑畂䝁䅅䅢㕂䡁䅍兡穂䙁䄸杤硁䍁䄴䅥獂䡁䅍兢摂䕁䅑睑䝂䍁䅅䅊婂䍁䅑免穁䑁䅣䅁呂杁䅁䅙䅁䍁䅣睗呂䙁䅁睒時䕁䅑睑䝂䕁䅅杢桂䝁䅷入穂䝁䅫督時䡁䅙免杁䍁䅧睍灁䍁䄴䅥獂䡁䅍兢摂䕁䅑睑䝂䍁䅣光歁䙁䅧䅊ぁ䑁䅣杏歁䕁䅅兒歁䑁䅑睎䅁䙁䑙䅁捁䅁䅁兓剂䙁䅑免㍁䑁䅫杍㍁䑁䅣兎ぁ䑁䅣免䅁䡁䔴䅁敂䅁䅁睔睂䡁䅑兡療䝁䄴督㙁䕁䅍兤祂䡁䅉児噂䙁䅍䅒獁䕁䅍睢畂䡁䅙兔求䡁䅑䅡療䝁䅑児乂䕁䅫杣求䝁䅍睢瑂䝁䄰党畂䝁䅑党歂䍁䅷杔䉂䑁䄰䅍䅁䥁䝉䅁啂䅁䅁睊扂䙁䅍䅕䡂䙁䄸䅒䑂䕁䅙兑畂䝁䅅䅢㕂䡁䅍兡穂䙁䄸杤硁䍁䅁䅋穁䍁䅫杌㑂䝁䅷督瑂䙁䄰䅒䑂䕁䅙睊桁䍁䅑兗歁䑁䅅睍硁䅁䅁睙䅍䙁䅧䅁湁䙁䅳睕兂䕁䅣睘䕂䕁䅍杒䉂䝁䄴兙獂䡁䅫督灂䡁䅍睘㉂䑁䅅䅉硁䍁䅁䅋硁䍁䅫杌㑂䝁䅷督瑂䙁䄰䅒䑂䕁䅙睊桁䍁䅑杗歁䑁䅅䅎㉁䅁䅁䄳䅍䙁䅑䅁湁䙁䅳睕兂䕁䅣睘䕂䕁䅍杒䉂䝁䄴兙獂䡁䅫督灂䡁䅍睘㉂䑁䅅䅉潁䑁䅍克畁䡁䅧䅢穂䝁䄰兘䕂䕁䅍杒湁䍁䅅䅊婂䍁䅑免ぁ䑁䅁䅁湂睁䅁杚䅁䍁䅣睗呂䙁䅁睒時䕁䅑睑䝂䕁䅅杢桂䝁䅷入穂䝁䅫督時䡁䅙免杁䑁䅅䅉潁䑁䅅克畁䡁䅧䅢穂䝁䄰兘䕂䕁䅍杒湁䍁䅅䅊䉂䕁䄰䅊ㅁ䑁䅫杏歁䕁䅅兔歁䑁䅣杍䅁䵁䑅䅁奂䅁䅁睊扂䙁䅍䅕䡂䙁䄸䅒䑂䕁䅙兑畂䝁䅅䅢㕂䡁䅍兡穂䙁䄸杤硁䍁䅁免杁䍁䅧免灁䍁䄴䅥獂䡁䅍兢摂䕁䅑睑䝂䍁䅣光歁䕁䅉䅊祁䑁䅁睎䅁乁䐸䅁佁䅁䅁䅒奂䕁䅍兌噂䙁䅍䅁煃䅁䅁䅈䅁䙁䅍䅕呂䑁䅅䅏ぁ䑁䅣兏㕁䑁䅕免㉁䑁䅧䅁䝁杂䅁䅗䅁䍁䅣睗呂䙁䅁睒時䕁䅑睑䝂䕁䅅杢桂䝁䅷入穂䝁䅫督時䡁䅙免杁䑁䅅䅉潁䑁䅅克畁䡁䅧䅢穂䝁䄰兘䕂䕁䅍杒湁䍁䅅䅊䍂䍁䅑杍ぁ䑁䅣䅁兄睁䅁䅖䅁䙁䅳兔䩂䙁䄸䅒䑂䕁䅙兑畂䝁䅅䅢㕂䡁䅍兡穂䙁䄸杤硁䍁䄴䅥獂䡁䅍兢摂䕁䅑睑䝂䍁䅅䅊䕂䙁䅫䅊ぁ䑁䅙杏歁䕁䅑杗歁䑁䅑李䅁䍁䌰䅁奂䅁䅁睊扂䙁䅍䅕䡂䙁䄸䅒䑂䕁䅙兑畂䝁䅅䅢㕂䡁䅍兡穂䙁䄸杤硁䍁䅁免杁䍁䅧免灁䍁䄴䅥獂䡁䅍兢摂䕁䅑睑䝂䍁䅣光歁䕁䅉杖歁䑁䅕免䅁䵁䑧䅁奂䅁䅁睊扂䙁䅍䅕䡂䙁䄸䅒䑂䕁䅙兑畂䝁䅅䅢㕂䡁䅍兡穂䙁䄸杤硁䍁䅁免杁䍁䅧免灁䍁䄴䅥獂䡁䅍兢摂䕁䅑睑䝂䍁䅣光歁䕁䅍睑歁䑁䅕免䅁䵁䑯䅁歁䅁䅁䅒灂䡁䅙兡歂䝁䅕杢歂䍁䅁杕桂䡁䅑党杁䍁䅧兊灁䅁䅁䅍䅁䝁䅙䅁湁䙁䅳睕兂䕁䅣睘䕂䕁䅍杒䉂䝁䄴兙獂䡁䅫督灂䡁䅍睘㉂䑁䅅䅉硁䍁䅁䅋硁䍁䅫杌㑂䝁䅷督瑂䙁䄰䅒䑂䕁䅙睊桁䍁䅑睑剂䍁䅑䅎㕁䑁䅯䅊䑂䙁䅉䅊ぁ䑁䅫䅁㡃睁䅁杣䅁䕁䄸䅣あ䝁䅫睢畂䡁䅍杏䑂䡁䅕杣祂䑁䄰睒䍂䙁䅁䅌杁䕁䄰兙湂䑁䄰兔灂䝁䅷䅢灂䝁䄸杢穂䍁䅷䅉䑂䝁䄸杢㉂䕁䄰党あ䝁䅧睢歂䑁䄰兔䩂䡁䅉党橂䝁䄸兢瑂䝁䅕杢歂䝁䅕䅚䅁偁䍧䅁捁䅁䅁睕兂䙁䅍免㑁䑁䅑睎㕁䑁䅫兎硁䑁䅙杍䅁乁䙙䅁捁䅁䅁睕兂䙁䅍免㍁䑁䅫杍㉁䑁䅁李㑁䑁䅁睎䅁䩁䙳䅁兂䅁䅁睊扂䙁䅍䅕䡂䙁䄸䅒䑂䕁䅙兑畂䝁䅅䅢㕂䡁䅍兡穂䙁䄸杤硁䍁䅁䅎畁䡁䅧䅢穂䝁䄰兘䕂䕁䅍杒湁䍁䅅䅊䍂䍁䅑杍ぁ䑁䅧䅁䩁兂䅁杕䅁䙁䅳兔䩂䙁䄸䅒䑂䕁䅙兑畂䝁䅅䅢㕂䡁䅍兡穂䙁䄸杤硁䍁䄴䅥獂䡁䅍兢摂䕁䅑睑䝂䍁䅅䅊䡂䍁䅑兏㑁䑁䅯䅊䡂䍁䅑免祁䑁䅧䅁煄允䅁䅈䅁䕁䅫兕啂䑁䅅䅏穁䑁䅣䅎ㅁ䑁䅉䅍硁䑁䅅䅁㕂䅂䅁杏䅁䍁䅣睗塂䕁䅅睑䑂䍁䅁睕佂䕁䅷杌㑂䝁䅷督瑂䙁䄰睖䉂䕁䅍睑湁䍁䅅䅊䉂䙁䅧䅊穁䑁䅉䅁佃䅁䅁䅖䅁䙁䅳兔䩂䙁䄸䅒䑂䕁䅙兑畂䝁䅅䅢㕂䡁䅍兡穂䙁䄸杤硁䍁䄴䅥獂䡁䅍兢摂䕁䅑睑䝂䍁䅅䅊䕂䕁䅑䅊ぁ䑁䅧杏歁䕁䅑杒歁䑁䅑䅏䅁䥁䍙䅁煁䅁䅁䅕祂䝁䅙䅚偂䝁䅙杚求䡁䅉兡畂䝁䅣睘䍂䡁䅫睘䑂䝁䄸兢睂䅁䅁八䅁䝁䅙䅁湁䙁䅳睕兂䕁䅣睘䕂䕁䅍杒䉂䝁䄴兙獂䡁䅫督灂䡁䅍睘㉂䑁䅅䅉硁䍁䅁䅋硁䍁䅫杌㑂䝁䅷督瑂䙁䄰䅒䑂䕁䅙睊桁䍁䅑睑剂䍁䅑兎睁䑁䅯䅊䑂䙁䅉䅊ㅁ䑁䅁䅁㥃睁䅁杇䅁䙁䅍䅕呂䑁䅍免㕁䑁䅧䅎硁䑁䅍李㍁䅁䅁杺䅙䝁䅉䅁湁䙁䅳睕兂䕁䅣睘䕂䕁䅍杒䉂䝁䄴兙獂䡁䅫督灂䡁䅍睘㉂䑁䅅䅉硁䍁䅁䅋硁䍁䅫杌㑂䝁䅷督瑂䙁䄰䅒䑂䕁䅙睊桁䍁䅑䅓歁䑁䅫兏㙁䍁䅑兔歁䑁䅫兏䅁䵁䐸䅁捁䅁䅁睕兂䙁䅍免㕁䑁䅧免ぁ䑁䅑䅍㍁䑁䅑兎䅁䩁䠰䅁坂䅁䅁睊扂䙁䅍䅕䡂䙁䄸䅒䑂䕁䅙兑畂䝁䅅䅢㕂䡁䅍兡穂䙁䄸杤硁䍁䅁免杁䍁䅧免灁䍁䄴䅥獂䡁䅍兢摂䕁䅑睑䝂䍁䅣光歁䙁䅙䅊ぁ䑁䅙䅁䍄睁䅁䅈䅁䕁䅫兕啂䑁䅅李㍁䑁䅅睎穁䑁䅑杍睁䑁䅁䅁扄䅂䅁䅅䅁䕁䅙兕祁䑁䅉䅍硁䑁䅫䅁睁杁䅁䅈䅁䙁䅍䅕呂䑁䅅兏㑁䑁䅅䅎ぁ䑁䅁睎ぁ䑁䅑䅁坃睂䅁䅓䅁䍁䅣睗塂䕁䅅睑䑂䍁䅁睕佂䕁䅷杌㑂䝁䅷督瑂䙁䄰睖䉂䕁䅍睑湁䍁䅅䅊䉂䙁䅣䅊穁䑁䅕杏歁䕁䅅睖歁䑁䅑䅎䅁䩁䅙䅁坂䅁䅁睊扂䙁䅍䅕䡂䙁䄸䅒䑂䕁䅙兑畂䝁䅅䅢㕂䡁䅍兡穂䙁䄸杤硁䍁䅁免杁䍁䅧免灁䍁䄴䅥獂䡁䅍兢摂䕁䅑睑䝂䍁䅣光歁䙁䅙䅊ぁ䑁䅣䅁䝄睁䅁䅈䅁䕁䅫兕啂䑁䅅李㍁䑁䅅睎穁䑁䅑杍睁䑁䅅䅁卄䅂䅁杇䅁䙁䅍䅕呂䑁䅅睍㕁䑁䅑兏祁䑁䅫䅍穁䅁䅁杶䅙䉁䅁䅁㍁䑁䅁䅍瑁䕁䅧睓䡂䅁䅁杺䅅䉁䅷䅁呂䙁䅁睕硁䑁䅧兎㕁䑁䅧免㍁䑁䅍䅎穁䅁䅁朰䅣䙁䅧䅁湁䙁䅳睕兂䕁䅣睘䕂䕁䅍杒䉂䝁䄴兙獂䡁䅫督灂䡁䅍睘㉂䑁䅅䅉硁䍁䅁䅋硁䍁䅫杌㑂䝁䅷督瑂䙁䄰䅒䑂䕁䅙睊桁䍁䅑睖歁䑁䅅睍硁䅁䅁䄱䅍䉁䅯䅁呂䙁䅁睕祁䑁䅍睎㍁䑁䅧睍㉁䑁䅣䅎䅁䍁䥷䅁奂䅁䅁睊扂䙁䅍䅕䡂䙁䄸䅒䑂䕁䅙兑畂䝁䅅䅢㕂䡁䅍兡穂䙁䄸杤硁䍁䅁免杁䍁䅧免灁䍁䄴䅥獂䡁䅍兢摂䕁䅑睑䝂䍁䅣光歁䙁䅣䅊硁䑁䅑䅍䅁乁䑧䅁佁䅁䅁杔慂䙁䅧䅉ㅁ䑁䅁䅁杂䅁䅁杚䅁䍁䅣睗呂䙁䅁睒時䕁䅑睑䝂䕁䅅杢桂䝁䅷入穂䝁䅫督時䡁䅙免杁䑁䅅䅉潁䑁䅅克畁䡁䅧䅢穂䝁䄰兘䕂䕁䅍杒湁䍁䅅䅊奂䍁䅑免ぁ䑁䅧杏歁䙁䅧䅊硁䑁䅕睍䅁乁䐰䅁浂䅁䅁睗乂䕁䅫睘䡂䕁䅷睔䍂䕁䅅䅔時䙁䅣兑䑂䕁䅍兑畂䝁䅅䅢㕂䡁䅍兡穂䙁䄸杤祁䍁䄴䅥獂䡁䅍兢摂䙁䅣兑䑂䕁䅍光歁䕁䅅杒歁䑁䅑兎㙁䍁䅑兑䝂䍁䅑兎㉁䅁䅁䄷䅁䝁䅑䅁湁䙁䅳睕兂䕁䅣睘䕂䕁䅍杒䉂䝁䄴兙獂䡁䅫督灂䡁䅍睘㉂䑁䅅䅉硁䍁䅁䅋硁䍁䅫杌㑂䝁䅷督瑂䙁䄰䅒䑂䕁䅙睊桁䍁䅑䅗歁䑁䅑睎㙁䍁䅑兑䙂䍁䅑䅎㍁䅁䅁䅸䅍䱁䅑䅁偂䡁䅁䅤灂䝁䄸杢穂䑁䅯睑ㅂ䡁䅉杣㥁䙁䅕睕䕂䍁䅷兔桂䝁䅣児㉁䍁䅷睑療䝁䄴杤乂䝁䅕䅤潂䝁䄸䅚㥁䕁䄰兓祂䝁䅕睙療䝁䄰兢求䝁䄴䅚求䝁䅑䅌兂䝁䅅䅚㥁䕁䄸杚浂䍁䅷杒灂䝁䅷䅢㥁䕁䅑兙灂䝁䅷入獁䕁䅑兙あ䝁䅕督㥁䕁䅉党浂䝁䄸杣求䍁䅷睕療䡁䅉䅤㥁䕁䅑党穂䝁䅍䅁敄䅁䅁杄䅁䕁䅫村乂䍁䄰兖呂䅁䅁䄵䅁䙁䄴䅁湁䙁䅳睕兂䕁䅣睘䕂䕁䅍杒䉂䝁䄴兙獂䡁䅫督灂䡁䅍睘㉂䑁䅅䅉ぁ䍁䄴䅥獂䡁䅍兢摂䕁䅑睑䝂䍁䅣光歁䙁䅧䅊硁䑁䅕杍㙁䍁䅑䅗歁䑁䅅兎穁䅁䅁睆䅕䉁䅷䅁䩂䙁䅅䅖硁䑁䅣兏祁䑁䅙䅍㉁䑁䅧兎硁䅁䅁睊䅑䙁䄴䅁湁䙁䅳睕兂䕁䅣睘䕂䕁䅍杒䉂䝁䄴兙獂䡁䅫督灂䡁䅍睘㉂䑁䅅䅉ぁ䍁䄴䅥獂䡁䅍兢摂䕁䅑睑䝂䍁䅣光歁䙁䅧䅊硁䑁䅍䅎㙁䍁䅑䅗歁䑁䅅睍ㅁ䅁䅁睄䅕䅁䄴䅁䑂䕁䅅睑杁䑁䅑䅍䅁䕁䅁䅁奂䅁䅁睊扂䙁䅍䅕䡂䙁䄸䅒䑂䕁䅙兑畂䝁䅅䅢㕂䡁䅍兡穂䙁䄸杤硁䍁䅁免杁䍁䅧免灁䍁䄴䅥獂䡁䅍兢摂䕁䅑睑䝂䍁䅣光歁䙁䅫䅊硁䑁䅍杍䅁乁䑣䅁慁䅁䅁睕兂䙁䅍杍睁䑁䅣免ぁ䑁䅅睎㕁䑁䅕䅁呄兂䅁䅕䅁䍁䅣睗呂䙁䅁睒時䕁䅑睑䝂䕁䅅杢桂䝁䅷入穂䝁䅫督時䡁䅙免杁䑁䅑杌㑂䝁䅷督瑂䙁䄰䅒䑂䕁䅙睊桁䍁䅑睑䑂䍁䅑兎硁䅁䅁睁䅕䉁䅷䅁䩂䙁䅅䅖硁䑁䅙睎硁䑁䅣睍ぁ䑁䅉䅍祁䅁䅁東䅑䉁䅷䅁呂䙁䅁睕硁䑁䅧䅎㍁䑁䅫兏ㅁ䑁䅅杍㕁䅁䅁眷䅕䙁䅉䅁湁䙁䅳睕兂䕁䅣睘䕂䕁䅍杒䉂䝁䄴兙獂䡁䅫督灂䡁䅍睘㉂䑁䅅䅉ぁ䍁䄴䅥獂䡁䅍兢摂䕁䅑睑䝂䍁䅣光歁䕁䅅兑歁䑁䅅䅎㉁䅁䅁杆䅕䙁䄴䅁扂䕁䄰兓時䙁䅣睖時䙁䅣兑䑂䕁䅍兑畂䝁䅅䅢㕂䡁䅍兡穂䙁䄸杤硁䍁䄴䅥獂䡁䅍兢摂䙁䅣兑䑂䕁䅍光歁䕁䅅杒歁䑁䅑兎㙁䍁䅑兑䝂䍁䅑兎㉁䅁䅁眹䅁䙁䄴䅁湁䙁䅳睕兂䕁䅣睘䕂䕁䅍杒䉂䝁䄴兙獂䡁䅫督灂䡁䅍睘㉂䑁䅅䅉ぁ䍁䄴䅥獂䡁䅍兢摂䕁䅑睑䝂䍁䅣光歁䕁䅅兔歁䑁䅕兏㙁䍁䅑兑乂䍁䅑睎祁䅁䅁眫䅑䉁䅷䅁呂䙁䅁睕硁䑁䅫䅏硁䑁䅑䅎睁䑁䅣䅎穁䅁䅁䅮䅣䉁䅷䅁䩂䙁䅅䅖硁䑁䅙睎硁䑁䅣睍ぁ䑁䅉䅍㉁䅁䅁儴䅑䕁䅙䅁扂䕁䄰兓時䕁䅑睑䝂䕁䅅杢桂䝁䅷入穂䝁䅫督時䡁䅙免畁䡁䅧䅢穂䝁䄰兘䕂䕁䅍杒桁䍁䅑䅒佂䍁䅑䅎ㅁ䅁䅁䅏䅉䙁䅁䅁湁䙁䅳睕兂䕁䅣睘䕂䕁䅍杒䉂䝁䄴兙獂䡁䅫督灂䡁䅍睘㉂䑁䅅䅉ぁ䍁䄴䅥獂䡁䅍兢摂䕁䅑睑䝂䍁䅣光歁䕁䅉䅊祁䑁䅁睎䅁䉁䙫䅁允䅁䅁杔坂䕁䅑兑瑁䙁䅕睕䅁䱁䡣䅁兂䅁䅁睊扂䙁䅍䅕䡂䙁䄸䅒䑂䕁䅙兑畂䝁䅅䅢㕂䡁䅍兡穂䙁䄸杤硁䍁䅁䅎畁䡁䅧䅢穂䝁䄰兘䕂䕁䅍杒湁䍁䅅䅊䍂䙁䅙䅊ㅁ䑁䅅䅁䉁兂䅁䅇䅁䙁䅍䅕呂䑁䅅䅎硁䑁䅅杍㑁䑁䅍䅏䅁䍁䡷䅁敂䅁䅁睊扂䙁䅍䅕䡂䙁䄸䅒䑂䕁䅙兑畂䝁䅅䅢㕂䡁䅍兡穂䙁䄸杤硁䍁䅁䅎畁䡁䅧䅢穂䝁䄰兘䕂䕁䅍杒湁䍁䅅䅊䍂䙁䅧䅊ㅁ䑁䅍杏歁䕁䅍兑歁䑁䅕睍䅁䅁䙉䅁敂䅁䅁睊扂䙁䅍䅕䡂䙁䄸䅒䑂䕁䅙兑畂䝁䅅䅢㕂䡁䅍兡穂䙁䄸杤硁䍁䅁䅎畁䡁䅧䅢穂䝁䄰兘䕂䕁䅍杒湁䍁䅅䅊䑂䕁䅕䅊ㅁ䑁䅍杏歁䕁䅍睒歁䑁䅕睍䅁䅁䙑䅁慁䅁䅁睕兂䙁䅍睎睁䑁䅉兏祁䑁䅅李㍁䑁䅁䅁䩂䅃䅁杘䅁䍁䅣睗呂䙁䅁睒時䕁䅑睑䝂䕁䅅杢桂䝁䅷入穂䝁䅫督時䡁䅙免杁䑁䅑杌㑂䝁䅷督瑂䙁䄰䅒䑂䕁䅙睊桁䍁䅑兒歁䑁䅉免穁䑁䅯䅊䙂䍁䅑杍穁䑁䅑䅁扁兂䅁杘䅁䍁䅣睗呂䙁䅁睒時䕁䅑睑䝂䕁䅅杢桂䝁䅷入穂䝁䅫督時䡁䅙免杁䑁䅑杌㑂䝁䅷督瑂䙁䄰䅒䑂䕁䅙睊桁䍁䅑杒歁䑁䅉䅍㍁䑁䅯䅊乂䍁䅑杍睁䑁䅣䅁慁兂䅁䅅䅁䕁䅅兑兂䕁䅷兌噂䙁䅍䅁灁允䅁䅅䅁䕁䅍村䉂䍁䄰兑呂䙁䅧䅁䍄杁䅁杘䅁䍁䅣睗呂䙁䅁睒時䕁䅑睑䝂䕁䅅杢桂䝁䅷入穂䝁䅫督時䡁䅙免杁䑁䅑杌㑂䝁䅷督瑂䙁䄰䅒䑂䕁䅙睊桁䍁䅑杒歁䑁䅉䅍㑁䑁䅯䅊乂䍁䅑杍睁䑁䅧䅁捁兂䅁李䅁䕁䄸䅣あ䝁䅫睢畂䡁䅍杏䑂䡁䅕杣祂䑁䄰兖呂䕁䅑䅌乂䝁䅅睚㥁䍁䅷杔䉂䑁䄰䅍䅁䉁䥅䅁䥂䅁䅁睑灂䡁䅍睙療䍁䅁睕㕂䡁䅍䅤求䝁䄰督獁䍁䅁兓畂䝁䅍杌杁䍁䅧杔䉂䙁䅍䅒䉂䙁䅅睒呂䑁䅯睑呂䕁䅍睔灁䅁䅁䅫䅕䙁䄴䅁湁䙁䅳睕兂䕁䅣睘䕂䕁䅍杒䉂䝁䄴兙獂䡁䅫督灂䡁䅍睘㉂䑁䅅䅉ぁ䍁䄴䅥獂䡁䅍兢摂䕁䅑睑䝂䍁䅣光歁䕁䅣䅊祁䑁䅑兏㙁䍁䅑兔歁䑁䅉䅎㕁䅁䅁䅄䅕䝁䅁䅁湁䙁䅳睕兂䕁䅣睘䕂䕁䅍杒䉂䝁䄴兙獂䡁䅫督灂䡁䅍睘㉂䑁䅅䅉瑁䍁䅁杣求䡁䅙兡穂䝁䅕䅚畁䡁䅧䅢穂䝁䄰兘䕂䕁䅍杒湁䍁䅅䅊䉂䕁䅯䅊ㅁ䑁䅣䅁兂睂䅁䅖䅁䙁䅳兔䩂䙁䄸䅒䑂䕁䅙兑畂䝁䅅䅢㕂䡁䅍兡穂䙁䄸杤硁䍁䄴䅥獂䡁䅍兢摂䕁䅑睑䝂䍁䅅䅊䑂䙁䅫䅊ぁ䑁䅣杏歁䕁䅑村歁䑁䅑睎䅁䅁䍳䅁兂䅁䅁睊扂䙁䅍䅕䡂䙁䄸䅒䑂䕁䅙兑畂䝁䅅䅢㕂䡁䅍兡穂䙁䄸杤硁䍁䅁䅎畁䡁䅧䅢穂䝁䄰兘䕂䕁䅍杒湁䍁䅅䅊婂䍁䅑免穁䑁䅅䅁佁兂䅁䅈䅁䕁䅫兕啂䑁䅅䅏ぁ䑁䅣兏㕁䑁䅕䅎硁䑁䅉䅁牃䅂䅁䅕䅁䍁䅣睗呂䙁䅁睒時䕁䅑睑䝂䕁䅅杢桂䝁䅷入穂䝁䅫督時䡁䅙免杁䑁䅑杌㑂䝁䅷督瑂䙁䄰䅒䑂䕁䅙睊桁䍁䅑兗歁䑁䅅睍祁䅁䅁䅅䅕䉁䅷䅁䩂䙁䅅䅖硁䑁䅧䅎㍁䑁䅫兏ㅁ䑁䅑免硁䅁䅁䅰䅑䅁䅯䅁祁䑁䅁杍㉁䅁䅁儯䅣䑁䅯䅁湁䙁䅳睖䉂䕁䅍睑杁䙁䅍杔䵂䍁䄴䅥獂䡁䅍兢摂䙁䅣兑䑂䕁䅍睊桁䍁䅑兑坂䍁䅑睍睁䅁䅁䅪䅁䑁䅯䅁湁䙁䅳睖䉂䕁䅍睑杁䙁䅍杔䵂䍁䄴䅥獂䡁䅍兢摂䙁䅣兑䑂䕁䅍睊桁䍁䅑兑塂䍁䅑睍睁䅁䅁公䅁䑁䅯䅁湁䙁䅳睖䉂䕁䅍睑杁䙁䅍杔䵂䍁䄴䅥獂䡁䅍兢摂䙁䅣兑䑂䕁䅍睊桁䍁䅑村䕂䍁䅑睍睁䅁䅁䅭䅁䑁䅧䅁湁䙁䅳睖䉂䕁䅍睑杁䙁䅍杔䵂䍁䄴䅥獂䡁䅍兢摂䙁䅣兑䑂䕁䅍睊桁䍁䅑睓歁䑁䅍杍䅁䥁䅧䅁捁䅁䅁睕兂䙁䅍免㑁䑁䅕兏㑁䑁䅅睎穁䑁䅑䅍䅁乁䡅䅁㑁䅁䅁睊扂䙁䅣兑䑂䕁䅍䅉呂䕁䄴䅔畁䡁䅧䅢穂䝁䄰兘塂䕁䅅睑䑂䍁䅣光歁䕁䄸䅊穁䑁䅉䅁䩃䅁䅁䅖䅁䙁䅳兔䩂䙁䄸䅒䑂䕁䅙兑畂䝁䅅䅢㕂䡁䅍兡穂䙁䄸杤硁䍁䄴䅥獂䡁䅍兢摂䕁䅑睑䝂䍁䅅䅊䕂䕁䄴䅊ぁ䑁䅣杏歁䕁䅑杔歁䑁䅕杍䅁䡁䍕䅁捁䅁䅁兓剂䙁䅑免㑁䑁䅍睎ぁ䑁䅕杍睁䑁䅅睍䅁䵁䕑䅁慁䅁䅁睕兂䙁䅍李穁䑁䅕兎穁䑁䅫兏祁䑁䅑䅁瑁睂䅁䅏䅁䍁䅣睗塂䕁䅅睑䑂䍁䅁睕佂䕁䅷杌㑂䝁䅷督㑂䙁䄰睖䉂䕁䅍睑湁䍁䅅䅊偂䍁䅑睍穁䅁䅁兎䅁䕁䅙䅁䕂䝁䅕䅢獂䍁䅁䅖求䝁䅍䅡畂䝁䄸䅢療䝁䅣兡求䡁䅍䅉䩂䝁䄴睙畁䍁䅁䅋佂䙁䅫睕䙂䑁䅯䅒䙂䕁䅷䅔灁䅁䅁杫䅕䉁䅯䅁呂䙁䅁睕ㅁ䑁䅑䅎㍁䑁䅍睎ぁ䑁䅧杍䅁䡁䡅䅁慁䅁䅁睕兂䙁䅍李穁䑁䅕兎ぁ䑁䅁李ㅁ䑁䅉䅁奁睂䅁䅃䅁䍁䄰免婂䅁䅁儹䅑䉁䅷䅁呂䙁䅁睕硁䑁䅧䅎㍁䑁䅫兏ㅁ䑁䅅睎ぁ䅁䅁杹䅕䉁䅯䅁䩂䙁䅍兒剂䍁䅁睔㉂䝁䅕杣桂䝁䅷䅢䅁䙁䅁䅁坁䅁䅁䅍㕁䍁䄸杍睁䍁䄸杍睁䑁䅅兏䅁䝁䈴䅁捁䅁䅁兓剂䙁䄸睑䉂䙁䅍䅓時䕁䅕兕噂䕁䅫杖䅁䡁䜸䅁捁䅁䅁免睁䡁䅫䅉噂䙁䅍䅉啂䍁䄰杔療䡁䅑党䅁䅁䅳䅁奂䅁䅁睗乂䕁䅫睘塂䕁䅅睑䑂䕁䅅杢桂䝁䅷入穂䝁䅫督時䡁䅙免畁䡁䅧䅢穂䝁䄰兘塂䕁䅅睑䑂䍁䅅䅊䑂䙁䅯䅊穁䑁䅫杏歁䕁䅑村歁䑁䅍兏䅁䉁䉉䅁䝁䅁䅁免ㅁ䅁䅁杂䅁䉁䅷䅁呂䙁䅁睕硁䑁䅧杍硁䑁䅑免睁䑁䅍䅍睁䅁䅁䅤䅣䍁䅧䅁䩂䙁䅅睘䑂䕁䅧兑佂䕁䅣兒時䕁䅫杔坂䕁䅕杔啂䕁䄸杕婂䅁䅁来䅙䅁䅷䅁䡂䕁䅕兌噂䙁䅍䅁䩄䅁䅁䅈䅁䕁䅫兕啂䑁䅅䅏㑁䑁䅣䅍穁䑁䅁兏㑁䑁䅅䅁䕃䅂䅁杈䅁䑁䅅兢杁䙁䅁䅡灂䝁䅷兡睂䡁䅁兡畂䝁䅕督䅁䵁䍣䅁流䅁䅁免瑂䍁䅁兖呂䍁䅁䅖瑁䕁䅉兡獂䝁䅷䅉潁䕁䅉兒婂䍁䅫䅁㥃杁䅁䅈䅁䑁䅅入杁䕁䅫杣灂䡁䅍䅡杁䕁䄴睢あ䝁䅕䅁呄杁䅁杇䅁䑁䅅入杁䙁䅕睕杁䙁䅑兌䍂䝁䅫䅢獂䅁䅁杶䅉䉁䅯䅁呂䙁䅁睕ㅁ䑁䅫䅎ㅁ䑁䅁睍穁䑁䅣李䅁䅁䠸䅁奁䅁䅁兓剂䙁䅑睎㕁䑁䅅䅎硁䑁䅍李㍁䅁䅁䅕䅑䉁䅷䅁䩂䙁䅅䅖硁䑁䅧䅎㍁䑁䅫兏ㅁ䑁䅉兎㑁䅁䅁眸䅍䅁䅷䅁祁䑁䅁免祁䙁䅫䅁汁䅁䅁䅄䅁䑁䅉䅍硁䑁䅍兗䅁䍁䅧䅁䵁䅁䅁杍睁䑁䅅䅎婂䅁䅁睊䅁䕁䅧䅁扂䙁䅍䅕䡂䙁䄸䅒䑂䕁䅙兑畂䝁䅅䅢㕂䡁䅍兡穂䙁䄸杤硁䍁䄴䅥獂䡁䅍兢摂䕁䅑睑䝂䍁䅅䅊塂䍁䅑免ぁ䑁䅙䅁䕂睁䅁䅈䅁䕁䅫兕啂䑁䅅䅏㉁䑁䅑䅍ぁ䑁䅙䅎㉁䑁䅁䅁偄䅂䅁杊䅁䙁䅍䅢療䡁䅙兙牂䍁䅁睕潂䝁䅅杣求䍁䅁兓畂䝁䅑党㑂䅁䅁睥䅁䑁䅯䅁䩂䙁䅅睘卂䙁䅕兑時䕁䄸䅕䙂䙁䅉兑啂䕁䅫杔䡂䙁䄸䅔䙂䕁䅅睕䙂䙁䄸睒卂䕁䄸睕呂䅁䅁䅧䅍䅁䅷䅁祁䑁䅁免ㅁ䙁䅫䅁流䅁䅁杒䅁䙁䅳兔䩂䙁䄸䅒䑂䕁䅙兑畂䝁䅅䅢㕂䡁䅍兡穂䙁䄸杤硁䍁䄴䅥獂䡁䅍兢摂䕁䅑睑䝂䍁䅅䅊䕂䕁䅍䅊ぁ䑁䅕䅁浄允䅁䅇䅁䕁䅫兕時䕁䅉兒啂䕁䅅睘ㅁ䙁䅫杕䅁䡁䐰䅁䵁䅁䅁杍睁䑁䅅李婂䅁䅁䅇䅁䉁䅷䅁呂䙁䅁睕硁䑁䅙睎硁䑁䅣睍ぁ䑁䅁兏祁䅁䅁睘䅙䅁䅯䅁祁䑁䅁免㕁䅁䅁睢䅙䉁䅯䅁呂䙁䅁睕ㅁ䑁䅫䅎ㅁ䑁䅁睍ぁ䑁䅅䅏䅁䍁䡅䅁䭁䅁䅁杍睁䑁䅉睍䅁䡁䝅䅁捁䅁䅁睕兂䙁䅍免㑁䑁䅧睎睁䑁䅍䅍㕁䑁䅕杍䅁佁䙑䅁捁䅁䅁杍睁䡁䅫䅉噂䙁䅍䅉啂䍁䄰村療䝁䄴䅚䅁䵁䍁䅁慁䅁䅁睕兂䙁䅍兎ㅁ䑁䅉李㑁䑁䅅䅎㕁䑁䅑䅁歁䅃䅁䅈䅁䕁䅍睕䩂䍁䅁睍睁䑁䅁䅉䩂䝁䄴䅚求䡁䅧䅁䍂䅁䅁杇䅁䑁䅉入杁䙁䅕睕杁䙁䅑兌佂䝁䄸䅤求䅁䅁兺䅉䉁䅉䅁穁䝁䄰䅉䩂䝁䄴䅚灂䝁䅅䅁偄杁䅁䅈䅁䕁䄴兑呂䕁䅑兑剂䕁䅣睕㙁䕁䄰兒啂䕁䅅䅁㑃睂䅁杈䅁䑁䅍兢杁䙁䅁䅡灂䝁䅷兡睂䡁䅁兡畂䝁䅕督䅁乁䍉䅁䝂䅁䅁睗乂䕁䅫睘䕂䕁䅍杒䉂䝁䄴兙獂䡁䅫督灂䡁䅍睘㉂䑁䅅杌㑂䝁䅷督瑂䙁䄰䅒䑂䕁䅙光歁䙁䅣䅊硁䑁䅍䅎䅁䉁䍉䅁杁䅁䅁睔乂䙁䅧䅉䥂䝁䅕䅢穂䝁䅫杢牂䝁䅫䅉祁䑁䅕䅁楂䅁䅁䅈䅁䙁䅉睕䝂䍁䅁免睁䑁䅁䅉潁䙁䅉兖䍂䍁䅫䅁獂䅁䅁䅈䅁䙁䅍䅕呂䑁䅅䅏穁䑁䅣䅎ㅁ䑁䅅兏㍁䑁䅫䅁捂杂䅁杅䅁䑁䅙睎睁䑁䅉兌啂䕁䅳睕䅁佁䅣䅁十䅁䅁李瑂䍁䅁兓畂䝁䅑兡桂䅁䅁䄰䅉䙁䅙䅁扂䕁䄰兓時䕁䅑睑䝂䕁䅅杢桂䝁䅷入穂䝁䅫督時䡁䅙免桂䍁䄴䅥獂䡁䅍兢摂䕁䅑睑䝂䍁䅅䅊塂䍁䅑免穁䑁䅧杏歁䙁䅣䅊硁䑁䅍兏䅁偁䉙䅁流䅁䅁睔祂䝁䅅睙獂䝁䅕䅉䑂䝁䄸杣睂䝁䄸杣桂䡁䅑兡療䝁䄴䅁晄䅂䅁䅈䅁䕁䅫兕啂䑁䅅睎㕁䑁䅉李睁䑁䅙䅏㉁䑁䅣䅁煄睁䅁䅈䅁䙁䅍䅕呂䑁䅉䅍硁䑁䅑睍祁䑁䅅免硁䑁䅅䅁獂䅃䅁权䅁䑁䅷材硁䑁䅕䅁䥁䅁䅁杇䅁䙁䅍䅕呂䑁䅑免ㅁ䑁䅣睍ぁ䑁䅁䅍ぁ䅁䅁克䅣䉁䅯䅁呂䙁䅁睕祁䑁䅍睎㉁䑁䅍免祁䑁䅙杍䅁乁䡁䅁捁䅁䅁兓剂䙁䅑免㑁䑁䅑睎㕁䑁䅫兎祁䑁䅕䅍䅁䑁䕣䅁䭁䅁䅁兑䉂䙁䅁䅔䅁䅁䙁䅁允䅁䅁兑䕂䕁䅉兒瑁䙁䅕睕䅁䡁䍉䅁允䅁䅁兑乂䙁䅯杔瑁䙁䅕睕䅁䩁䉯䅁獁䅁䅁兑ㅂ䡁䅍䅤祂䝁䅫兙畂䍁䅁䅖祂䝁䅅䅚求䝁䅑䅉䩂䝁䄴䅚求䡁䅧䅁㙁䅁䅁䅈䅁䙁䅍䅕呂䑁䅅睎㍁䑁䅍兎祁䑁䅫免ぁ䑁䅉䅁⽂睂䅁杄䅁䕁䅅睕奂䑁䅅䅍睁䅁䅁䅏䅁䉁䅷䅁䉂䝁䅍睙求䝁䄴䅤ㅂ䡁䅉党杁䡁䅁䅢橂䅁䅁䅵䅑䑁䅙䅁䉂䝁䅑睢楂䝁䅕䅉䩂䝁䄴睙畁䍁䅁䅋佂䕁䅅睕䕂䕁䅅兕䡂䙁䅍杏䉂䕁䅑村䙂䍁䅫䅁呃兂䅁䅄䅁䕁䅉兒䵂䑁䅉䅍䅁䑁䅳䅁祂䅁䅁睔睂䡁䅑兡療䝁䄴督㙁䕁䅍兤祂䡁䅉児䭂䙁䅁兗獁䍁䅁兔桂䝁䅣児乂䝁䅫䅢獂䝁䅫睢畂䡁䅍䅌杁䕁䅍睢畂䡁䅙兔求䡁䅑䅡療䝁䅑児乂䕁䅫杣求䝁䅍睢瑂䝁䄰党畂䝁䅑党歂䅁䅁杈䅉䑁䅑䅁䍂䙁䅍兒杁䕁䅫杢歂䝁䅫兙杁䙁䅍党畂䡁䅍党㑂䍁䅁睍睁䍁䅁兓畂䝁䅑党㑂䅁䅁児䅁䑁䅷䅁䍂䡁䅕䅚桂䡁䅁党穂䡁䅑䅉呂䡁䅑睢橂䝁䅳䅉䙂䡁䅧睙潂䝁䅅杢湂䝁䅕䅉䩂䝁䄴䅚求䡁䅧䅁⽁䅁䅁䅪䅁䕁䄸䅣あ䝁䅫睢畂䡁䅍杏䑂䡁䅕杣祂䑁䄰杕求䡁䅁睢祂䡁䅑党歂䍁䅁睙ㅂ䡁䅉杣求䝁䄴睙㕂䍁䅷兔桂䝁䅣児啂䝁䅧睢ㅂ䡁䅍兙畂䝁䅑督獁䕁䅍睢畂䡁䅙兔求䡁䅑䅡療䝁䅑児乂䕁䅫杣求䝁䅍睢瑂䝁䄰党畂䝁䅑党歂䅁䅁朲䅅䅁䄴䅁䑂䕁䅅杔瑁䙁䅕睕䅁䉁䍯䅁佁䅁䅁睑䉂䙁䅑兌噂䙁䅍䅁獂杁䅁䅅䅁䕁䄰睕䝂䙁䅑兌噂䙁䅍䅁瑃䅁䅁杍䅁䕁䄸䅣あ䝁䅫睢畂䡁䅍杏佂䕁䅅児睁䍁䅷兔桂䝁䅣児䉂䝁䅍䅤ㅂ䝁䅅䅢穂䅁䅁䅧䅙䉁䅷䅁䩂䙁䅅䅖硁䑁䅙睎硁䑁䅣睍ぁ䑁䅉䅍㑁䅁䅁睬䅑䅁䄴䅁䑂䙁䅉兔瑁䙁䅕睕䅁䭁䅳䅁奂䅁䅁睗乂䕁䅫睘䡂䕁䅷睔䍂䕁䅅䅔時䙁䅣兑䑂䕁䅍兑畂䝁䅅䅢㕂䡁䅍兡穂䙁䄸杤硁䍁䄴䅥獂䡁䅍兢摂䙁䅣兑䑂䕁䅍光歁䕁䅍䅗歁䑁䅍睎䅁䵁䄴䅁捁䅁䅁兓剂䙁䅑免㑁䑁䅍睎ぁ䑁䅕杍睁䑁䅅杍䅁䙁䔸䅁佁䅁䅁睑卂䕁䄸村䙂䙁䅧䅁䉂䅁䅁䅅䅁䕁䅍睕䑂䕁䄸兌噂䙁䅍䅁剃兂䅁杊䅁䕁䅫兕時䕁䅕杒䝂䕁䅕睑啂䙁䄸䅖䉂䙁䅧睘卂䕁䅅䅖䙂䅁䅁睇䅑䡁䅑䅁偂䡁䅁䅤灂䝁䄸杢穂䑁䅯睑ㅂ䡁䅉杣㥁䙁䅕睕䕂䍁䅷䅉乂䝁䅅睚㥁䙁䅑䅡療䡁䅕督桂䝁䄴䅚穂䍁䅷䅉䑂䝁䄸杢㉂䕁䄰党あ䝁䅧睢歂䑁䄰兔䩂䡁䅉党橂䝁䄸兢瑂䝁䅕杢歂䝁䅕䅚䅁䅁䑅䅁佁䅁䅁睕兂䕁䅣兌噂䙁䅍䅁䅁允䅁䅅䅁䕁䅍䅖呂䕁䅧兌噂䙁䅍䅁灃䅁䅁杍䅁䕁䅍兙睂䝁䅫䅤桂䝁䅷䅉䙂䡁䅧䅣求䝁䄴䅚灂䡁䅑兤祂䝁䅕䅉潁䍁䅑兔灁䅁䅁睧䅍䉁䅷䅁呂䙁䅁睕硁䑁䅧䅏㍁䑁䅁睍睁䑁䅫䅎睁䅁䅁䅺䅕䑁䅁䅁䑂䝁䅅䅣灂䡁䅑兙獂䕁䄸杚浂䝁䅕杣灂䝁䄴睚時䕁䅉入時䕁䅍睢瑂䡁䅁䅁乃䅁䅁李䅁䕁䄰兙祂䝁䅳党あ䍁䅁睑桂䡁䅁兡あ䝁䅅䅢灂䡁䅯兙あ䝁䅫睢畂䍁䅁䅋歁䕁䄰克䅁䩁䄰䅁浂䅁䅁睗乂䕁䅫睘䡂䕁䅷睔䍂䕁䅅䅔時䙁䅣兑䑂䕁䅍兑畂䝁䅅䅢㕂䡁䅍兡穂䙁䄸杤祁䍁䄴䅥獂䡁䅍兢摂䙁䅣兑䑂䕁䅍光歁䕁䅍杗歁䑁䅍兏㙁䍁䅑䅒䍂䍁䅑睍㕁䅁䅁䄹䅁䉁䅧䅁呂䙁䅁睕硁䑁䅑䅍ㅁ䑁䅁睎㍁䑁䅁䅁⽁睂䅁䅅䅁䕁䅍睢ㅂ䝁䄴䅤祂䡁䅫䅁䙁䅁䅁䅕䅁䙁䅳兔䩂䙁䄸䅒䑂䕁䅙兑畂䝁䅅䅢㕂䡁䅍兡穂䙁䄸杤硁䍁䄴䅥獂䡁䅍兢摂䕁䅑睑䝂䍁䅅䅊坂䍁䅑䅎㑁䑁䅯䅊坂䍁䅑兎穁䅁䅁兑䅉䍁䅉䅁䑂䡁䅕杣祂䝁䅕杢あ䍁䄸杕求䡁䅍䅤桂䡁䅑党歂䅁䅁兇䅁䍁䅯䅁䑂䡁䅫䅣祂䡁䅕督杁䕁䅣党畂䝁䅕杣桂䝁䅷䅉䩂䝁䄴䅚求䡁䅧䅁䑂䅁䅁䅈䅁䙁䅍䅕呂䑁䅅䅏ぁ䑁䅣兏㕁䑁䅕免穁䑁䅧䅁䙁杂䅁䅃䅁䕁䅑兑奂䅁䅁䅒䅁䙁䅉䅁扂䕁䄰兓時䕁䅑睑䝂䕁䅅杢桂䝁䅷入穂䝁䅫督時䡁䅙免畁䡁䅧䅢穂䝁䄰兘䕂䕁䅍杒桁䍁䅑䅗歁䑁䅑䅎㙁䍁䅑兑䙂䍁䅑䅎ぁ䅁䅁村䅉䍁䅁䅁䕂䕁䅯䅉䉂䡁䅍兡桂䍁䄸䅕桂䝁䅍兡浂䝁䅫睙䅁䕁䅕䅁佁䅁䅁兒乂䙁䅉兌噂䙁䅍䅁灂杁䅁䅅䅁䕁䅕䅕䉂䕁䄰兌噂䙁䅍䅁畃䅁䅁杆䅁䕁䅕兖卂䕁䄸䅉呂䙁䅑睔奂䙁䅧䅁䡂䅁䅁杌䅁䕁䅕杚浂䝁䅕睙あ䝁䅫杤求䍁䅁䅖桂䡁䅧䅉卂䝁䅅䅤求䍁䅁䅋汁䍁䅫䅁歁䅁䅁杆䅁䕁䅕杢あ䝁䅫䅤㕂䍁䅁兓䕂䍁䅁䅁ぁ允䅁权䅁䕁䅙兌噂䙁䅍䅁㑂杁䅁䅄䅁䕁䅙村瑁䙁䅕睕䅁䩁䈰䅁捁䅁䅁兓剂䙁䅑免㑁䑁䅧睎睁䑁䅍䅍㕁䑁䅣䅏䅁䝁䕕䅁䝂䅁䅁䅓求䡁䅣䅢求䡁䅑䅤杁䙁䅁兙橂䝁䅳兙祂䝁䅑䅉䙂䝁䄴䅤求䡁䅉䅣祂䝁䅫督求䍁䅁睑療䝁䄰䅣桂䝁䄴入䅁偁䑯䅁䥁䅁䅁杒剂䑁䅁䅁䝃兂䅁䅅䅁䕁䅙兕硁䑁䅉䅍硁䑁䅫䅁穁杁䅁杄䅁䕁䅧䅕䙂䍁䄰兖呂䅁䅁䅲䅁䉁䅯䅁呂䙁䅁睕硁䑁䅁兏㉁䑁䅫睎硁䑁䅧睎䅁偁䡕䅁慁䅁䅁睕兂䙁䅍兎㕁䑁䅑李祁䑁䅁杍㕁䑁䅅䅁㕁睂䅁䅅䅁䕁䅙兕硁䑁䅉䅍祁䑁䅁䅁㉁杁䅁䅅䅁䕁䅙兕ぁ䑁䅉䅍硁䑁䅫䅁ㅁ杁䅁杈䅁䕁䅙䅖呂䕁䅕䅉硁䑁䅁䅍杁䍁䅧睒䍂䙁䅁克䅁䕁䅧䅁允䅁䅁兓佂䙁䅑兖瑁䙁䅕睕䅁䝁䌴䅁兂䅁䅁睗乂䕁䅫睘䕂䕁䅍杒䉂䝁䄴兙獂䡁䅫督灂䡁䅍睘㉂䑁䅅杌㑂䝁䅷督瑂䙁䄰䅒䑂䕁䅙光歁䕁䅧䅊㕁䑁䅍杏歁䕁䄰䅊㕁䑁䅍䅁牄允䅁杍䅁䕁䅙䅖呂䕁䅕䅉䍂䡁䅕杣穂䝁䅅䅉乂䝁䅅䅢桂䡁䅫督灂䝁䅅䅉䱂䕁䅷睑䩂䅁䅁兓䅁䅁䅯䅁䝂䙁䅫兌硁䅁䅁䅩䅕䅁䅯䅁䝂䙁䅫兌祁䅁䅁杩䅕䅁䅯䅁䝂䙁䅫兌ぁ䅁䅁兪䅕䉁䅯䅁呂䙁䅁睕㉁䑁䅍兎㍁䑁䅅杍祁䑁䅁兏䅁䕁䤸䅁啂䅁䅁睗乂䕁䅫睘䕂䕁䅍杒䉂䝁䄴兙獂䡁䅫督灂䡁䅍睘㉂䑁䅅杌㑂䝁䅷督瑂䙁䄰䅒䑂䕁䅙光歁䙁䅧䅊硁䑁䅍睎㙁䍁䅑䅗歁䑁䅅睍㑁䅁䅁睪䅉䕁䅙䅁䝂䝁䅫杢桂䝁䄴睙灂䝁䅅䅢穂䍁䅁杕求䡁䅁睢祂䡁䅑党歂䍁䅁睑ㅂ䡁䅉杣求䝁䄴睙㕂䍁䅁睑療䝁䅑党杁䅁䅁杮䅁䉁䅯䅁呂䙁䅁睕祁䑁䅧䅎㉁䑁䅫兎硁䑁䅫睍䅁乁䡣䅁䥁䅁䅁杒婂䑁䅁䅁䙃兂䅁䅈䅁䕁䅫兕啂䑁䅅䅏ぁ䑁䅣兏㕁䑁䅕䅎睁䑁䅁䅁祂䅂䅁杅䅁䕁䅣睔偂䕁䅣䅔瑁䙁䅕睕䅁䩁䉳䅁佁䅁䅁䅓兂䙁䅅兌噂䙁䅍䅁湂杁䅁杒䅁䙁䅳兔䩂䙁䄸䅒䑂䕁䅙兑畂䝁䅅䅢㕂䡁䅍兡穂䙁䄸杤硁䍁䄴䅥獂䡁䅍兢摂䕁䅑睑䝂䍁䅅䅊䑂䙁䅕䅊ㅁ䑁䅅䅁睄杁䅁杅䅁䕁䅧睕䍂䕁䅅兌䵂䕁䄸杔䅁䵁䅳䅁捁䅁䅁睕兂䙁䅍免㑁䑁䅕兏祁䑁䅣睎㍁䑁䅍免䅁偁䡉䅁䕂䅁䅁䅓桂䝁䄴睚杁䙁䅍党畂䝁䅣䅉䑂䝁䅧兡畂䝁䅅䅉䙂䝁䄴䅤求䡁䅉䅣祂䝁䅫督求䡁䅍䅉䩂䝁䄴䅚求䡁䅧䅁䱂䅁䅁䅉䅁䕁䅧兙畂䝁䅣䅉呂䝁䅕杢湂䍁䅁兓畂䝁䅑党㑂䅁䅁兔䅁䉁䅯䅁呂䙁䅁睕ㅁ䑁䅑䅎ㅁ䑁䅫䅏祁䑁䅁䅎䅁䝁䠸䅁兂䅁䅁睗乂䕁䅫睘塂䙁䅣睘塂䕁䅅睑䑂䕁䅅杢桂䝁䅷入穂䝁䅫督時䡁䅙免畁䡁䅧䅢穂䝁䄰兘塂䕁䅅睑䑂䍁䅅䅊䉂䕁䅫䅊穁䑁䅫䅁㉄䅁䅁杇䅁䕁䅫兕啂䑁䅅睍睁䑁䅑䅍祁䑁䅧睍ぁ䅁䅁兗䅑䉁䅷䅁䩂䙁䅅䅖硁䑁䅙睎硁䑁䅣睍ぁ䑁䅅兎穁䅁䅁䅩䅑䉁䅷䅁䩂䙁䅅䅖硁䑁䅙睎硁䑁䅣睍ぁ䑁䅅兏ㅁ䅁䅁克䅑䉁䅷䅁䩂䙁䅅䅖硁䑁䅙睎硁䑁䅣睍ぁ䑁䅅兏㉁䅁䅁儲䅑䡁䅷䅁偂䡁䅁䅤灂䝁䄸杢穂䑁䅯睑ㅂ䡁䅉杣㥁䙁䅕睕䕂䍁䅷䅉乂䝁䅅睚㥁䕁䄰兡獂䝁䅷兡療䝁䄴督獁䍁䅁睑療䝁䄴杤乂䝁䅕䅤潂䝁䄸䅚㥁䕁䄰兓祂䝁䅕睙療䝁䄰兢求䝁䄴䅚求䝁䅑䅌佂䕁䅅児睁䅁䅁杴䅍䉁䅷䅁䩂䙁䅅䅖硁䑁䅙睎硁䑁䅣睍ぁ䑁䅅兏㍁䅁䅁儳䅑䝁䄴䅁偂䡁䅁䅤灂䝁䄸杢穂䑁䅯睑ㅂ䡁䅉杣㥁䕁䅣村兂䍁䅷兔桂䝁䅣児乂䝁䅫䅢獂䝁䅫睢畂䡁䅍䅌䑂䝁䄸杢㉂䕁䄰党あ䝁䅧睢歂䑁䄰兔䩂䡁䅉党橂䝁䄸兢瑂䝁䅕杢歂䝁䅕䅚䅁偁䍷䅁捁䅁䅁兓剂䙁䅑免㉁䑁䅣免㍁䑁䅍䅎硁䑁䅫䅏䅁䍁䕳䅁捁䅁䅁兓剂䙁䅑免㉁䑁䅣免㍁䑁䅍䅎硁䑁䅫兏䅁䕁䔸䅁捁䅁䅁睕兂䙁䅍免㕁䑁䅧免ぁ䑁䅑䅍㍁䑁䅑李䅁䩁䡣䅁捁䅁䅁兓剂䙁䅑免㉁䑁䅣免㍁䑁䅍䅎祁䑁䅁睍䅁䱁䕁䅁䕂䅁䅁睓療䡁䅉党桂䍁䅁睑療䝁䄰䅣療䡁䅍兡あ䝁䅕䅉呂䡁䅑睢橂䝁䅳䅉兂䡁䅉兡橂䝁䅕䅉䩂䝁䄴䅚求䡁䅧䅁卂䅁䅁䅷䅁䕁䄸䅣あ䝁䅫睢畂䡁䅍杏䑂䡁䅕杣祂䑁䄰兖呂䕁䅑䅌乂䝁䅅睚㥁䕁䄰兡獂䝁䅷兡療䝁䄴督獁䕁䅍睢畂䡁䅙兔求䡁䅑䅡療䝁䅑児乂䕁䅫杣求䝁䅍睢瑂䝁䄰党畂䝁䅑党歂䍁䅷䅕桂䝁䅑児偂䕁䄴䅌䝂䝁䅫䅢獂䑁䄰䅒桂䝁䅫䅢㕂䍁䅷䅒桂䡁䅑党穂䑁䄰村求䝁䅙睢祂䝁䅕䅌呂䝁䄸杣あ䑁䄰䅒求䡁䅍睙䅁佁䅅䅁捁䅁䅁兓剂䙁䅑免㉁䑁䅣免㍁䑁䅍䅎祁䑁䅁兎䅁䵁䕧䅁捁䅁䅁睕兂䙁䅍免㕁䑁䅧免ぁ䑁䅑䅍㍁䑁䅑杍䅁䩁䡫䅁捁䅁䅁兓剂䙁䅑免㉁䑁䅣免㍁䑁䅍䅎祁䑁䅁睎䅁䡁䕧䅁允䅁䅁睕兂䕁䅣兓瑁䙁䅕睕䅁䝁䡁䅁捁䅁䅁兔桂䡁䅉睡求䡁䅑督畁䙁䅉兙畂䝁䅣党䅁䅁䅯䅁捁䅁䅁兓剂䙁䅑免㉁䑁䅣免㍁䑁䅍䅎祁䑁䅅䅍䅁乁䕷䅁捁䅁䅁兓剂䙁䅑免㉁䑁䅣免㍁䑁䅍䅎祁䑁䅅免䅁乁䕍䅁捁䅁䅁兓剂䙁䅑免㍁䑁䅫杍㉁䑁䅁李㑁䑁䅅睎䅁佁䑕䅁捁䅁䅁兓剂䙁䅑免㍁䑁䅫杍㉁䑁䅁李㑁䑁䅅䅏䅁偁䑳䅁捁䅁䅁兓剂䙁䅑免㍁䑁䅫杍㉁䑁䅁李㑁䑁䅅兏䅁䍁䕉䅁㑁䅁䅁睕流䙁䅁䅉䡂䝁䅷睢楂䝁䅅䅢杁䕁䅫杢橂䍁䄴䅉潁䕁䄴兗呂䕁䅕杏呂䙁䅁睒䩂䍁䅫䅁桂睂䅁䅈䅁䕁䅫兕啂䑁䅅睎㕁䑁䅉李睁䑁䅙䅏祁䑁䅁䅁乃䅂䅁䅈䅁䙁䅍䅕呂䑁䅅䅏ぁ䑁䅣兏㕁䑁䅕免㑁䑁䅉䅁奄兂䅁䅈䅁䕁䅫兕啂䑁䅅睎㕁䑁䅉李睁䑁䅙䅏ぁ䑁䅫䅁橁䅂䅁䅒䅁䙁䅳兔䩂䙁䄸䅒䑂䕁䅙兑畂䝁䅅䅢㕂䡁䅍兡穂䙁䄸杤硁䍁䄴䅥獂䡁䅍兢摂䕁䅑睑䝂䍁䅅䅊坂䍁䅑䅎ぁ䅁䅁䅒䅉䉁䅷䅁䩂䙁䅅䅖硁䑁䅣兏祁䑁䅙䅍㉁䑁䅧兎睁䅁䅁杪䅑䕁䅑䅁扂䕁䄰兓時䕁䅑睑䝂䕁䅅杢桂䝁䅷入穂䝁䅫督時䡁䅙免畁䡁䅧䅢穂䝁䄰兘䕂䕁䅍杒桁䍁䅑杖歁䑁䅑睎䅁佁䍉䅁捁䅁䅁睕兂䙁䄸兕噂䕁䅫睑䱂䙁䄸睑偂䕁䄰䅕䅁䍁䙍䅁捁䅁䅁兓剂䙁䅑免㍁䑁䅫杍㉁䑁䅁李㑁䑁䅕睍䅁䙁䕉䅁捁䅁䅁兓剂䙁䅑免㍁䑁䅫杍㉁䑁䅁李㑁䑁䅕兏䅁䍁䕑䅁慁䅁䅁兓剂䙁䅑杍ぁ䑁䅧杍ぁ䑁䅕䅍ㅁ䑁䅅䅁兄䅂䅁䅈䅁䕁䅫兕啂䑁䅅睎㕁䑁䅉李睁䑁䅙䅏㉁䑁䅅䅁潁䅂䅁杆䅁䕁䄴兡牂䝁䅳党灂䍁䅁杍祁䑁䅕䅁敂䅁䅁䅍䅁䙁䅙兡求䡁䅑杢桂䝁䄰䅉䥂䝁䅅杢療䝁䅫䅉䥂䕁䄴䅗杁䝁䅫杢歂䝁䅕䅥䅁䥁䅕䅁奁䅁䅁兓剂䙁䅑李㍁䑁䅍䅍硁䑁䅙䅎睁䅁䅁杶䅑䉁䅷䅁䩂䙁䅅䅖硁䑁䅣兏祁䑁䅙䅍㉁䑁䅧李祁䅁䅁杳䅑䉁䅷䅁䩂䙁䅅䅖硁䑁䅣兏祁䑁䅙䅍㉁䑁䅧李㉁䅁䅁杈䅑䉁䅧䅁䩂䙁䅅䅖ぁ䑁䅉杍穁䑁䅁䅏祁䑁䅙䅁㙃䅂䅁䅈䅁䕁䅫兕啂䑁䅅睎㕁䑁䅉李睁䑁䅙䅏㉁䑁䅧䅁⭄睁䅁䅈䅁䕁䅫兕啂䑁䅅睎㕁䑁䅉睎㍁䑁䅕䅎ㅁ䑁䅣䅁⽂䅂䅁杇䅁䙁䅍䅕呂䑁䅑杍穁䑁䅧兎硁䑁䅑李㉁䅁䅁睶䅙䙁䅁䅁扂䕁䄰兓時䕁䅑睑䝂䕁䅅杢桂䝁䅷入穂䝁䅫督時䡁䅙免畁䡁䅧䅢穂䝁䄰兘䕂䕁䅍杒桁䍁䅑䅓歁䑁䅫䅏㙁䍁䅑兔歁䑁䅫䅏䅁乁䍕䅁捁䅁䅁兓剂䙁䅑免㍁䑁䅫杍㍁䑁䅣兎ぁ䑁䅕䅏䅁佁䑳䅁捁䅁䅁兓剂䙁䅑免㍁䑁䅫杍㍁䑁䅣兎ぁ䑁䅕兏䅁䩁䔰䅁䝂䅁䅁睗乂䕁䅫睘䕂䕁䅍杒䉂䝁䄴兙獂䡁䅫督灂䡁䅍睘㉂䑁䅅杌㑂䝁䅷督瑂䙁䄰䅒䑂䕁䅙光歁䙁䅫䅊硁䑁䅉李䅁䉁䍅䅁慁䅁䅁兓剂䙁䅑杍ぁ䑁䅑睎祁䑁䅣免穁䑁䅧䅁ㅃ䅂䅁䅈䅁䕁䅫兕啂䑁䅅睎㕁䑁䅉睎㍁䑁䅕䅎㉁䑁䅁䅁䱁䅂䅁䅇䅁䕁䅫兕啂䑁䅍免㍁䑁䅧䅎硁䑁䅉䅍䅁䍁䕯䅁慁䅁䅁兓剂䙁䅑杍ぁ䑁䅙兏㕁䑁䅕兎祁䑁䅅䅁⭁䅂䅁杒䅁䙁䅳兔䩂䙁䄸䅒䑂䕁䅙兑畂䝁䅅䅢㕂䡁䅍兡穂䙁䄸杤硁䍁䄴䅥獂䡁䅍兢摂䕁䅑睑䝂䍁䅅䅊婂䍁䅑免祁䑁䅣䅁䵃杁䅁䅈䅁䕁䅫兕啂䑁䅅睎㕁䑁䅉睎㍁䑁䅕䅎㉁䑁䅅䅁㥂䅂䅁䅈䅁䕁䅫兕啂䑁䅅睎㕁䑁䅉睎㍁䑁䅕䅎㉁䑁䅉䅁啄䅂䅁杉䅁䕁䄰睕䑂䕁䅫䅉塂䝁䄸杣獂䝁䅑䅉潁䙁䅕睕䕂䍁䅫䅁慂䅁䅁杒䅁䙁䅳兔䩂䙁䄸䅒䑂䕁䅙兑畂䝁䅅䅢㕂䡁䅍兡穂䙁䄸杤硁䍁䄴䅥獂䡁䅍兢摂䕁䅑睑䝂䍁䅅䅊婂䍁䅑免祁䑁䅕䅁偁杁䅁䅈䅁䕁䅫兕啂䑁䅅睎㕁䑁䅉睎㍁䑁䅕䅎㉁䑁䅍䅁⽁䅂䅁䅈䅁䕁䅫兕啂䑁䅅睎㕁䑁䅉睎㍁䑁䅕䅎㉁䑁䅑䅁坄䅂䅁䅈䅁䕁䅫兕啂䑁䅅睎㕁䑁䅉睎㍁䑁䅕䅎㉁䑁䅕䅁䉃䅂䅁䅈䅁䕁䅫兕啂䑁䅅睎㕁䑁䅉睎㍁䑁䅕䅎㉁䑁䅙䅁浂䅂䅁杇䅁䕁䅫兕啂䑁䅣䅍睁䑁䅫䅍㉁䑁䅫兎睁䅁䅁睚䅑䥁䄴䅁偂䡁䅁䅤灂䝁䄸杢穂䑁䅯睑ㅂ䡁䅉杣㥁䙁䅉党睂䝁䄸杣あ䝁䅕䅚杁䝁䅍兤祂䡁䅉党畂䝁䅍入獁䕁䄰兙湂䑁䄰兔䩂䡁䅍䅤桂䝁䄴䅚桂䡁䅉䅚獁䕁䅍睢畂䡁䅙兔求䡁䅑䅡療䝁䅑児乂䕁䅫杣求䝁䅍睢瑂䝁䄰党畂䝁䅑党歂䅁䅁睌䅅䉁䅷䅁䩂䙁䅅䅖硁䑁䅣兏祁䑁䅣睎ㅁ䑁䅑睎睁䅁䅁䅄䅑䉁䅷䅁䩂䙁䅅䅖硁䑁䅣兏祁䑁䅣睎ㅁ䑁䅑睎祁䅁䅁儱䅑䙁䅉䅁扂䙁䅍䅕䡂䙁䄸䅒䑂䕁䅙兑畂䝁䅅䅢㕂䡁䅍兡穂䙁䄸杤硁䍁䄴䅥獂䡁䅍兢摂䕁䅑睑䝂䍁䅅䅊䥂䍁䅑兏㑁䑁䅯䅊乂䍁䅑兏㑁䅁䅁杏䅍䙁䅧䅁扂䕁䄰兓時䕁䅣䅔偂䕁䅉兑䵂䙁䄸睖䉂䕁䅍睑䉂䝁䄴兙獂䡁䅫督灂䡁䅍睘㉂䑁䅉杌㑂䝁䅷督瑂䙁䄰睖䉂䕁䅍睑桁䍁䅑兑䙂䍁䅑䅎睁䅁䅁朶䅁䕁䅙䅁扂䕁䄰兓時䕁䅑睑䝂䕁䅅杢桂䝁䅷入穂䝁䅫督時䡁䅙免畁䡁䅧䅢穂䝁䄰兘䕂䕁䅍杒桁䍁䅑兗歁䑁䅅睍ぁ䅁䅁睅䅉䉁䅯䅁䩂䙁䅅䅖祁䑁䅙䅎硁䑁䅁李㉁䑁䅧䅏䅁䵁䕉䅁䝂䅁䅁睗乂䕁䅫睘䕂䕁䅍杒䉂䝁䄴兙獂䡁䅫督灂䡁䅍睘㉂䑁䅅杌㑂䝁䅷督瑂䙁䄰䅒䑂䕁䅙光歁䙁䅫䅊硁䑁䅍兎䅁䥁䌴䅁捁䅁䅁兓剂䙁䅑免㍁䑁䅫杍㍁䑁䅣兎ぁ䑁䅣睍䅁䕁䕁䅁捁䅁䅁兓剂䙁䅑免㍁䑁䅫李ぁ䑁䅁睎㑁䑁䅅䅏䅁䥁䕷䅁捁䅁䅁兓剂䙁䅑免㍁䑁䅫李ぁ䑁䅁兏硁䑁䅉杍䅁䥁䕉䅁捁䅁䅁兓剂䙁䅑免㑁䑁䅍睎ぁ䑁䅕杍睁䑁䅅睎䅁䙁䕯䅁捁䅁䅁杔䉂䙁䅍䅒䉂䙁䅅睒呂䑁䅯兑䉂䙁䅁䅔䅁䱁䡷䅁坁䅁䅁兑睂䡁䅁䅢求䍁䅁兓畂䝁䅍杌䅁䍁䥅䅁捁䅁䅁兓剂䙁䅑免㑁䑁䅍睎ぁ䑁䅕杍睁䑁䅅兏䅁䭁䔴䅁捁䅁䅁睕兂䙁䅍免㕁䑁䅅睎睁䑁䅁䅏㕁䑁䅫睎䅁䑁䠰䅁捁䅁䅁兓剂䙁䅑免㑁䑁䅍睎ぁ䑁䅕杍睁䑁䅉免䅁䡁䕯䅁兄䅁䅁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䅌兂䝁䅅䅚㥁䕁䄸杚浂䍁䅷䅒桂䡁䅑党穂䑁䄰村求䝁䅙睢祂䝁䅕䅌呂䝁䄸杣あ䑁䄰䅒求䡁䅍睙䅁䉁䅙䅁捁䅁䅁兓剂䙁䅑免㑁䑁䅑睎㕁䑁䅫兎硁䑁䅧睎䅁䱁䕍䅁䝂䅁䅁睗乂䕁䅫睘䕂䕁䅍杒䉂䝁䄴兙獂䡁䅫督灂䡁䅍睘㉂䑁䅅杌㑂䝁䅷督瑂䙁䄰䅒䑂䕁䅙光歁䙁䅣䅊硁䑁䅉兎䅁䅁䌴䅁慁䅁䅁杕ㅂ䡁䅍督求䝁䅷䅢杁䑁䅅䅍睁䑁䅁䅁畂䅁䅁䅈䅁䕁䅫兕啂䑁䅅䅏ぁ䑁䅣兏㕁䑁䅕免㑁䑁䅫䅁剄䅂䅁䅈䅁䕁䅫兕啂䑁䅅䅏ぁ䑁䅣兏㕁䑁䅕免㕁䑁䅁䅁奃䅂䅁䅙䅁䙁䅳兔䩂䙁䄸兓佂䙁䅍睘䡂䕁䅷睔䍂䕁䅅䅔時䙁䅣兑䑂䕁䅍杌䉂䝁䄴兙獂䡁䅫督灂䡁䅍睘㉂䑁䅅杌㑂䝁䅷督瑂䙁䄰睖䉂䕁䅍睑桁䍁䅑䅕歁䑁䅍杍䅁䭁䅍䅁捁䅁䅁兓剂䙁䅑免㑁䑁䅑睎㕁䑁䅫兎硁䑁䅫免䅁䑁䕯䅁慁䅁䅁睕兂䙁䅍李㑁䑁䅍䅍ㅁ䑁䅍䅏㕁䑁䅑䅁㝂睂䅁䅈䅁䕁䅫兕啂䑁䅅䅏ぁ䑁䅣兏㕁䑁䅕杍睁䑁䅣䅁婃䅂䅁䅈䅁䕁䅫兕啂䑁䅅䅏ぁ䑁䅣兏㕁䑁䅕杍硁䑁䅁䅁㉁䅂䅁䅈䅁䕁䅫兕啂䑁䅅䅏ぁ䑁䅣兏㕁䑁䅕杍硁䑁䅉䅁䩄䅂䅁杇䅁䙁䅍䅕呂䑁䅕兏ぁ䑁䅕䅍穁䑁䅍䅏㑁䅁䅁儲䅙䉁䅷䅁䩂䙁䅅䅖硁䑁䅧䅎㍁䑁䅫兏ㅁ䑁䅉免ㅁ䅁䅁兩䅑䙁䅙䅁扂䙁䅍䅕䡂䙁䄸䅒䑂䕁䅙兑畂䝁䅅䅢㕂䡁䅍兡穂䙁䄸杤硁䍁䄴䅥獂䡁䅍兢摂䕁䅑睑䝂䍁䅅䅊䕂䕁䄴䅊ㅁ䑁䅅杏歁䕁䅑杔歁䑁䅕睎䅁䍁䑧䅁捁䅁䅁兓剂䙁䅑免㑁䑁䅑睎㕁䑁䅫兎祁䑁䅅李䅁䡁䕳䅁十䅁䅁杔婂䙁䅍兒㙁䕁䅅睑佂䅁䅁兆䅑䉁䅷䅁䩂䙁䅅䅖硁䑁䅧䅎㍁䑁䅫兏ㅁ䑁䅉免㍁䅁䅁杭䅑䉁䅯䅁呂䙁䅁睕ㅁ䑁䅫䅎ㅁ䑁䅁睍穁䑁䅧兎䅁乁䝙䅁䥂䅁䅁睗呂䙁䅁睒時䕁䅑睑䝂䕁䅅杢桂䝁䅷入穂䝁䅫督時䡁䅙免畁䡁䅧䅢穂䝁䄰兘䕂䕁䅍杒桁䍁䅑䅒䍂䍁䅑兎硁䅁䅁睎䅍䉁䅷䅁䩂䙁䅅䅖硁䑁䅧䅎㍁䑁䅫兏ㅁ䑁䅉免㑁䅁䅁儸䅍䉁䅷䅁呂䙁䅁睕硁䑁䅣兏祁䑁䅣睎ㅁ䑁䅑睍硁䅁䅁杌䅙䉁䅷䅁䩂䙁䅅䅖硁䑁䅧䅎㍁䑁䅫兏ㅁ䑁䅉䅎穁䅁䅁睍䅑䉁䅷䅁䩂䙁䅅䅖硁䑁䅧李ぁ䑁䅁䅎ㅁ䑁䅑睎穁䅁䅁䅁䅑䙁䅙䅁扂䙁䅍䅕䡂䙁䄸䅒䑂䕁䅙兑畂䝁䅅䅢㕂䡁䅍兡穂䙁䄸杤硁䍁䄴䅥獂䡁䅍兢摂䕁䅑睑䝂䍁䅅䅊婂䍁䅑免ㅁ䑁䅉杏歁䙁䅫䅊硁䑁䅕睍䅁佁䕑䅁佄䅁䅁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䅌兂䝁䅅䅚㥁䕁䄸杚浂䍁䅷䅒桂䡁䅑党穂䑁䄰村求䝁䅙睢祂䝁䅕䅌呂䝁䄸杣あ䑁䄰兑穂䝁䅍䅁佁䅁䅁䅈䅁䙁䅍䅕呂䑁䅅睎㕁䑁䅉睎㍁䑁䅕䅎穁䑁䅙䅁敄兂䅁䅈䅁䕁䅫兕啂䑁䅅䅏ぁ䑁䅣兏㕁䑁䅕杍ぁ䑁䅑䅁瑁䅂䅁䅈䅁䕁䅫兕啂䑁䅅䅏㉁䑁䅑䅍ぁ䑁䅕䅎㍁䑁䅑䅁啁䅂䅁䅈䅁䙁䅍䅕呂䑁䅅睎㕁䑁䅉睎㍁䑁䅕䅎穁䑁䅣䅁婁杂䅁䅈䅁䕁䅫兕啂䑁䅅䅏ぁ䑁䅣兏㕁䑁䅕杍ぁ䑁䅕䅁䭃䅂䅁䅈䅁䙁䅍䅕呂䑁䅅睎㕁䑁䅉睎㍁䑁䅕䅎穁䑁䅕䅁汃兂䅁䅈䅁䕁䅫兕啂䑁䅅䅏ぁ䑁䅣兏㕁䑁䅕杍ぁ䑁䅣䅁扃䅂䅁䅈䅁䕁䅫兕啂䑁䅅䅏ぁ䑁䅣兏㕁䑁䅕杍ㅁ䑁䅉䅁䱄䅂䅁杇䅁䕁䅫兕啂䑁䅉䅎㉁䑁䅣䅎穁䑁䅕兏㍁䅁䅁杔䅑䉁䅷䅁䩂䙁䅅䅖硁䑁䅧䅎㍁䑁䅫兏ㅁ䑁䅉兎穁䅁䅁䅎䅑䍁䅷䅁乂䙁䅍睑䩂䍁䅁兓畂䝁䅍杌杁䍁䅧杔婂䙁䅍兒㙁䕁䄰睕䑂䕁䅫克䅁䝁䡕䅁捁䅁䅁睕兂䙁䅍免㍁䑁䅫杍㍁䑁䅣兎ぁ䑁䅉李䅁乁䘰䅁捁䅁䅁兓剂䙁䅑免㑁䑁䅑睎㕁䑁䅫兎祁䑁䅕䅎䅁䍁䔴䅁㉁䅁䅁兔桂䝁䅷䅤桂䍁䅁睕あ䝁䄸睙牂䍁䅁兒㑂䝁䅍䅡桂䝁䄴睚求䍁䅁兓畂䝁䅑党㑂䅁䅁兖䅁䉁䅷䅁䩂䙁䅅睘啂䕁䅕杖時䕁䅕村䩂䙁䅑䅒䉂䅁䅁眴䅍䕁䅙䅁扂䙁䅍䅕䡂䙁䄸䅒䑂䕁䅙兑畂䝁䅅䅢㕂䡁䅍兡穂䙁䄸杤硁䍁䄴䅥獂䡁䅍兢摂䕁䅑睑䝂䍁䅅䅊䍂䍁䅑兏㑁䅁䅁兏䅍䉁䅧䅁呂䙁䅁睕㉁䑁䅑李硁䑁䅉李硁䑁䅅䅁䩂睂䅁䅈䅁䙁䅍䅕呂䑁䅅睎㕁䑁䅉睎㍁䑁䅕䅎祁䑁䅣䅁奁杂䅁䅈䅁䕁䅫兕啂䑁䅅䅏ぁ䑁䅣兏㕁䑁䅕杍ㅁ䑁䅕䅁䱃䅂䅁杘䅁䕁䄸䅣あ䝁䅫睢畂䡁䅍杏䑂䡁䅕杣祂䑁䄰睒䍂䙁䅁䅌䑂䝁䄸杢㉂䕁䄰党あ䝁䅧睢歂䑁䄰兔䩂䡁䅉党橂䝁䄸兢瑂䝁䅕杢歂䝁䅕䅚獁䕁䄴兑㥁䑁䅁䅁歃杂䅁杒䅁䙁䅳兔䩂䙁䄸䅒䑂䕁䅙兑畂䝁䅅䅢㕂䡁䅍兡穂䙁䄸杤硁䍁䄴䅥獂䡁䅍兢摂䕁䅑睑䝂䍁䅅䅊䉂䕁䄸䅊ㅁ䑁䅁䅁㥁杁䅁杇䅁䕁䅫兕啂䑁䅉䅎㉁䑁䅣䅎穁䑁䅕兏硁䅁䅁兔䅑䉁䅷䅁呂䙁䅁睕硁䑁䅣兏祁䑁䅣睎ㅁ䑁䅑杍ぁ䅁䅁䅌䅙䉁䅷䅁䩂䙁䅅䅖硁䑁䅧䅎㍁䑁䅫兏ㅁ䑁䅉兎㉁䅁䅁䅦䅑䉁䅧䅁䩂䙁䅅䅖㉁䑁䅣杍㑁䑁䅫睎㕁䑁䅉䅁䡁䅂䅁䅈䅁䕁䅫兕啂䑁䅅䅏ぁ䑁䅣兏㕁䑁䅕杍㉁䑁䅁䅁㑁䅂䅁杒䅁䙁䅳兔䩂䙁䄸䅒䑂䕁䅙兑畂䝁䅅䅢㕂䡁䅍兡穂䙁䄸杤硁䍁䄴䅥獂䡁䅍兢摂䕁䅑睑䝂䍁䅅䅊䍂䍁䅑杍睁䑁䅑䅁婂杁䅁䅈䅁䕁䅫兕啂䑁䅅䅏ぁ䑁䅣兏㕁䑁䅕杍㉁䑁䅅䅁㥃䅂䅁䅗䅁䙁䅳兔䩂䙁䄸睖䉂䕁䅍睑䉂䝁䄴兙獂䡁䅫督灂䡁䅍睘㉂䑁䅅杌㑂䝁䅷督瑂䙁䄰睖䉂䕁䅍睑桁䍁䅑睑呂䍁䅑睍㕁䑁䅯䅊䑂䙁䅙䅊穁䑁䅫䅁允允䅁杒䅁䙁䅳兔䩂䙁䄸䅒䑂䕁䅙兑畂䝁䅅䅢㕂䡁䅍兡穂䙁䄸杤硁䍁䄴䅥獂䡁䅍兢摂䕁䅑睑䝂䍁䅅䅊䍂䍁䅑杍睁䑁䅣䅁捄杁䅁䅈䅁䕁䅫兕啂䑁䅅䅏ぁ䑁䅣兏㕁䑁䅕杍㉁䑁䅉䅁䵄䅂䅁杒䅁䙁䅳兔䩂䙁䄸䅒䑂䕁䅙兑畂䝁䅅䅢㕂䡁䅍兡穂䙁䄸杤硁䍁䄴䅥獂䡁䅍兢摂䕁䅑睑䝂䍁䅅䅊䍂䍁䅑杍睁䑁䅅䅁㥄允䅁䅈䅁䕁䅫兕啂䑁䅅䅏ぁ䑁䅣兏㕁䑁䅕杍㉁䑁䅑䅁癁䅂䅁䅈䅁䕁䅫兕啂䑁䅅䅏ぁ䑁䅣兏㕁䑁䅕䅎睁䑁䅍䅁千䅂䅁䅈䅁䕁䄴兑呂䕁䅑兑剂䕁䅣睕㙁䕁䅍睕䑂䕁䄸䅁汁兂䅁杇䅁䙁䅍䅕呂䑁䅑睍ぁ䑁䅁䅎穁䑁䅅免㉁䅁䅁䅐䅧䉁䅷䅁䩂䙁䅅䅖硁䑁䅧䅎㍁䑁䅫兏ㅁ䑁䅑䅍ㅁ䅁䅁䅘䅑䉁䅷䅁呂䙁䅁睕硁䑁䅧䅏㍁䑁䅁睍睁䑁䅫兎㉁䅁䅁睆䅙䉁䅷䅁䩂䙁䅅䅖硁䑁䅧䅎㍁䑁䅫兏ㅁ䑁䅑䅍㑁䅁䅁杸䅑䉁䅷䅁䩂䙁䅅䅖硁䑁䅧䅎㍁䑁䅫兏ㅁ䑁䅑免睁䅁䅁督䅑䉁䅷䅁䩂䙁䅅䅖硁䑁䅧䅎㍁䑁䅫兏ㅁ䑁䅑免㉁䅁䅁䅉䅑䉁䅷䅁䩂䙁䅅䅖硁䑁䅧䅎㍁䑁䅫兏ㅁ䑁䅑免㑁䅁䅁睸䅑䉁䅷䅁佂䕁䅅睕䕂䕁䅅兕䡂䙁䅍杏䑂䕁䄸兓佂䅁䅁兗䅣䉁䅷䅁䩂䙁䅅䅖硁䑁䅧䅎㍁䑁䅫兏ㅁ䑁䅑杍睁䅁䅁䅤䅑䉁䅷䅁䩂䙁䅅䅖硁䑁䅧䅎㍁䑁䅫兏ㅁ䑁䅑杍硁䅁䅁兰䅑䉁䅷䅁䩂䙁䅅䅖硁䑁䅧睎ぁ䑁䅍睍㉁䑁䅍兏㉁䅁䅁児䅑䙁䅧䅁扂䕁䄰兓時䕁䅣䅔偂䕁䅉兑䵂䙁䄸睖䉂䕁䅍睑䉂䝁䄴兙獂䡁䅫督灂䡁䅍睘㉂䑁䅅杌㑂䝁䅷督瑂䙁䄰睖䉂䕁䅍睑桁䍁䅑睑佂䍁䅑睍㍁䅁䅁杷䅁䉁䅷䅁䩂䙁䅅䅖硁䑁䅧䅎㍁䑁䅫兏ㅁ䑁䅑杍祁䅁䅁䅲䅑䉁䅷䅁䩂䙁䅅䅖硁䑁䅧睎ぁ䑁䅍睍㉁䑁䅍兏ㅁ䅁䅁睨䅑䕁䅙䅁扂䕁䄰兓時䕁䅑睑䝂䕁䅅杢桂䝁䅷入穂䝁䅫督時䡁䅙免畁䡁䅧䅢穂䝁䄰兘䕂䕁䅍杒桁䍁䅑䅗歁䑁䅅睍㉁䅁䅁䄲䅅䉁䅷䅁䩂䙁䅅䅖硁䑁䅧䅎㍁䑁䅫兏ㅁ䑁䅑杍穁䅁䅁睫䅑䉁䅷䅁䩂䙁䅅䅖硁䑁䅧睎ぁ䑁䅍睍㉁䑁䅍兏ぁ䅁䅁睗䅑䉁䅷䅁䩂䙁䅅䅖硁䑁䅧䅎㍁䑁䅫兏ㅁ䑁䅑杍ぁ䅁䅁睓䅑䉁䅷䅁䩂䙁䅅䅖硁䑁䅧睎ぁ䑁䅍睍㉁䑁䅍兏穁䅁䅁具䅑䙁䅯䅁湁䙁䅳睕兂䕁䅣睘䕂䕁䅍杒時䕁䅅杢桂䝁䅷入穂䝁䅫督時䡁䅙免杁䕁䅙兡畂䝁䅅䅢畁䡁䅧䅢穂䝁䄰兘䕂䕁䅍杒湁䍁䅅䅊䉂䕁䅯䅊ㅁ䑁䅣䅁䉄睂䅁䅈䅁䕁䅫兕啂䑁䅅䅏ぁ䑁䅣兏㕁䑁䅕䅎祁䑁䅕䅁敂䅂䅁䅈䅁䕁䅫兕啂䑁䅅䅏㍁䑁䅑睍穁䑁䅙睍㕁䑁䅉䅁䵂䅂䅁䅆䅁䕁䅫兕時䕁䅕村䩂䙁䅑䅒䉂䅁䅁杚䅙䉁䅉䅁䩂䙁䅅睘䑂䕁䅅䅕䙂䙁䅧䅁䍃睁䅁䅈䅁䕁䅫兕啂䑁䅅䅏㍁䑁䅑䅎ㅁ䑁䅧䅏睁䑁䅅䅁䙄䅂䅁䅈䅁䕁䅫兕啂䑁䅅䅏㍁䑁䅑兏ぁ䑁䅑睎睁䑁䅍䅁⽃䅂䅁杖䅁䙁䅳睕兂䕁䅣睘䕂䕁䅍杒䉂䝁䄴兙獂䡁䅫督灂䡁䅍睘㉂䑁䅅杌㑂䝁䅷督瑂䙁䄰䅒䑂䕁䅙光歁䕁䅙䅊祁䑁䅁䅏㙁䍁䅑兔歁䑁䅉䅍㑁䅁䅁睓䅍䉁䅷䅁䩂䙁䅅䅖硁䑁䅧䅏㍁䑁䅁睍睁䑁䅫李ㅁ䅁䅁兙䅑䉁䅯䅁呂䙁䅁睕祁䑁䅧䅎㉁䑁䅫兎硁䑁䅫兎䅁乁䡫䅁捁䅁䅁兓剂䙁䅑免㑁䑁䅧睎睁䑁䅍䅍㕁䑁䅙睎䅁䑁䕁䅁㙂䅁䅁睔睂䡁䅑兡療䝁䄴督㙁䕁䅍兤祂䡁䅉児䡂䕁䅉䅕獁䕁䄰兙湂䑁䄰䅖潂䝁䄸兤穂䝁䅅杢歂䡁䅍䅌䑂䝁䄸杢㉂䕁䄰党あ䝁䅧睢歂䑁䄰兔䩂䡁䅉党橂䝁䄸兢瑂䝁䅕杢歂䝁䅕䅚獁䕁䄴兑㥁䑁䅁䅁橃杂䅁䅈䅁䕁䅫兕啂䑁䅅䅏㑁䑁䅣䅍穁䑁䅁兏㉁䑁䅧䅁歂䅂䅁䅈䅁䕁䅫兕啂䑁䅅䅏㑁䑁䅣䅍穁䑁䅁兏㉁䑁䅫䅁㉃䅂䅁䅈䅁䕁䅫兕啂䑁䅅䅏㑁䑁䅣䅍穁䑁䅁兏㍁䑁䅁䅁ㅂ䅂䅁䅈䅁䙁䅍䅕呂䑁䅅䅏ぁ䑁䅣兏㕁䑁䅕睍㍁䑁䅕䅁䙂杂䅁䅈䅁䕁䅫兕啂䑁䅅䅏㑁䑁䅣䅍穁䑁䅁兏㍁䑁䅅䅁䑃䅂䅁䅈䅁䕁䅫兕啂䑁䅅䅏㑁䑁䅣䅍穁䑁䅁兏㍁䑁䅑䅁塁䅂䅁䅖䅁䙁䅳兔䩂䙁䄸䅒䑂䕁䅙兑畂䝁䅅䅢㕂䡁䅍兡穂䙁䄸杤硁䍁䄴䅥獂䡁䅍兢摂䕁䅑睑䝂䍁䅅䅊奂䍁䅑免ぁ䑁䅧杏歁䙁䅧䅊硁䑁䅕睍䅁佁䌴䅁捁䅁䅁兓剂䙁䅑免㑁䑁䅧睎睁䑁䅍䅍㕁䑁䅣兎䅁䝁䕉䅁捁䅁䅁睕兂䙁䅍免㑁䑁䅑睎㕁䑁䅫兎穁䑁䅣杍䅁乁䙳䅁捁䅁䅁兓剂䙁䅑免㑁䑁䅧睎睁䑁䅍䅍㕁䑁䅣李䅁䕁䕉䅁捁䅁䅁兓剂䙁䅑免㑁䑁䅧睎睁䑁䅍䅍㕁䑁䅣睎䅁䑁䕅䅁捁䅁䅁兓剂䙁䅑免㑁䑁䅧睎睁䑁䅍䅍㕁䑁䅣兏䅁䱁䕣䅁捁䅁䅁兓剂䙁䅑免㑁䑁䅧睎睁䑁䅍䅍㕁䑁䅧䅍䅁䡁䕙䅁捁䅁䅁兓剂䙁䅑免㑁䑁䅧睎睁䑁䅍䅍㕁䑁䅧杍䅁䅁䕍䅁慁䅁䅁兓剂䙁䅑杍ぁ䑁䅉兏㍁䑁䅧䅍ぁ䑁䅙䅁橃䅂䅁䅈䅁䕁䄴兙穂䝁䅑兙硂䕁䅣睕㙁䙁䅑睕䵂䕁䅅䅁灂䅂䅁䅈䅁䙁䅍䅕呂䑁䅅䅏穁䑁䅣䅎ㅁ䑁䅅兏㍁䑁䅙䅁䭁杂䅁杇䅁䕁䅫兕啂䑁䅉䅎ぁ䑁䅣杍㍁䑁䅉免祁䅁䅁全䅑䉁䅷䅁呂䙁䅁睕硁䑁䅧睍㍁䑁䅑兎硁䑁䅫睎㍁䅁䅁杘䅙䉁䅯䅁䩂䙁䅅䅖祁䑁䅑䅎㍁䑁䅉睎祁䑁䅅睍䅁䥁䕙䅁慁䅁䅁兓剂䙁䅑杍ぁ䑁䅙睎㍁䑁䅍䅏㍁䑁䅙䅁硂䅂䅁杖䅁䙁䅳睕兂䕁䅣睘䕂䕁䅍杒䉂䝁䄴兙獂䡁䅫督灂䡁䅍睘㉂䑁䅅杌㑂䝁䅷督瑂䙁䄰䅒䑂䕁䅙光歁䙁䅫䅊硁䑁䅑杍㙁䍁䅑兗歁䑁䅅䅎穁䅁䅁䄷䅑䉁䅯䅁䩂䙁䅅䅖祁䑁䅑䅏硁䑁䅫免ぁ䑁䅑杍䅁偁䑣䅁䥂䅁䅁睔睂䡁䅑兡療䝁䄴督㙁䕁䄸䅣あ䝁䅫睢畂䡁䅍杏䑂䡁䅕杣祂䑁䄰睒䍂䙁䅁䅌乂䝁䅅睚㥁䍁䅷杔䉂䑁䄰䅍㥁䅁䅁睂䅧䉁䅯䅁䩂䙁䅅䅖祁䑁䅕睍穁䑁䅣兏㉁䑁䅫兎䅁䡁䕣䅁捁䅁䅁睕兂䙁䅍免㍁䑁䅫杍㉁䑁䅕兏㍁䑁䅫睎䅁䑁䜰䅁慁䅁䅁兓剂䙁䅑杍ㅁ䑁䅍李㑁䑁䅣免硁䑁䅣䅁剁䅂䅁杇䅁䕁䅫兕時䕁䄰兑卂䕁䅳兒啂䕁䅍兑兂䅁䅁睙䅑䉁䅷䅁呂䙁䅁睕硁䑁䅣兏祁䑁䅙兎㕁䑁䅣兏㑁䅁䅁光䅙䉁䅯䅁䩂䙁䅅䅖祁䑁䅕睍㉁䑁䅧睎硁䑁䅅䅏䅁䉁䕉䅁允䅁䅁睔畂䝁䅕䅉䕂䝁䅅入䅁乁䅅䅁慁䅁䅁睕兂䙁䅍免硁䑁䅍李㑁䑁䅁兎㕁䑁䅫䅁䡄睂䅁䅈䅁䙁䅍䅕呂䑁䅅睎㕁䑁䅉李ㅁ䑁䅫睎㕁䑁䅫䅁晁杂䅁杇䅁䕁䅫兕啂䑁䅉兎穁䑁䅙䅏㍁䑁䅅免㕁䅁䅁睅䅑䉁䅯䅁䩂䙁䅅䅖祁䑁䅕睍㉁䑁䅫免㑁䑁䅣䅎䅁䍁䕕䅁慁䅁䅁兓剂䙁䅑杍ㅁ䑁䅑睍穁䑁䅕䅎硁䑁䅉䅁桃䅂䅁杇䅁䕁䅫兕啂䑁䅉兎ぁ䑁䅍睍ㅁ䑁䅕䅎㕁䅁䅁䄴䅑䉁䅁䅁坂䙁䅉睕䱂䍁䄰兖呂䅁䅁条䅣䉁䅯䅁䩂䙁䅅䅖祁䑁䅕䅎㑁䑁䅙睎㍁䑁䅉䅎䅁䉁䕷䅁捁䅁䅁睕兂䙁䅍免㕁䑁䅍䅍祁䑁䅕李睁䑁䅧兏䅁䩁䜰䅁佁䅁䅁睖䕂䕁䅍兌噂䙁䅍䅁浂杁䅁杇䅁䕁䅫兕啂䑁䅉兎㉁䑁䅉杍㕁䑁䅑免祁䅁䅁兖䅑䙁䅑䅁扂䕁䄰兓時䕁䅑睑䝂䕁䅅杢桂䝁䅷入穂䝁䅫督時䡁䅙免畁䡁䅧䅢穂䝁䄰兘䕂䕁䅍杒桁䍁䅑䅗歁䑁䅅䅎祁䑁䅯䅊奂䍁䅑免ぁ䑁䅣䅁䙁杁䅁杇䅁䕁䅫兕啂䑁䅉兎㉁䑁䅉杍㕁䑁䅑免ぁ䅁䅁杖䅑䉁䅯䅁䩂䙁䅅䅖祁䑁䅕李祁䑁䅉兏ぁ䑁䅅李䅁䙁䕣䅁䕂䅁䅁䅖療䡁䅑兙獂䍁䅁䅕祂䝁䅕杚求䡁䅉杣求䝁䅑䅉䙂䡁䅅兤灂䡁䅑入杁䍁䅧杕求䡁䅁睢祂䡁䅑党歂䍁䅫䅁扁䅁䅁杇䅁䕁䅫兕啂䑁䅉李睁䑁䅣李ㅁ䑁䅁䅍睁䅁䅁兕䅑䉁䅯䅁䩂䙁䅅䅖祁䑁䅙䅎睁䑁䅙杍穁䑁䅑䅎䅁䉁䕧䅁慁䅁䅁兓剂䙁䅑杍㉁䑁䅑䅍㉁䑁䅉睍ぁ䑁䅕䅁婁䅂䅁杇䅁䙁䅍䅕呂䑁䅑免㑁䑁䅫杍硁䑁䅁免祁䅁䅁睙䅧䉁䅯䅁呂䙁䅁睕ㅁ䑁䅙兎祁䑁䅍杍祁䑁䅑睎䅁䍁䥣䅁慁䅁䅁兓剂䙁䅑杍㉁䑁䅫睍ㅁ䑁䅍杍㍁䑁䅕䅁畂䅂䅁䅇䅁䕁䅫兕啂䑁䅍杍硁䑁䅕兎祁䑁䅉杍䅁䩁䕑䅁奁䅁䅁兓剂䙁䅑睍祁䑁䅉睍硁䑁䅕睎硁䅁䅁䅯䅑䉁䅧䅁䩂䙁䅅䅖穁䑁䅙免㑁䑁䅍䅏硁䑁䅕䅁灄䅂䅁杒䅁䙁䅳兔䩂䙁䄸䅒䑂䕁䅙兑畂䝁䅅䅢㕂䡁䅍兡穂䙁䄸杤硁䍁䄴䅥獂䡁䅍兢摂䕁䅑睑䝂䍁䅅䅊䉂䕁䅳䅊ぁ䑁䅫䅁㕂杁䅁䅇䅁䕁䅫兕啂䑁䅑杍祁䑁䅍䅍㑁䑁䅉䅎䅁乁䔴䅁奁䅁䅁兓剂䙁䅑李㍁䑁䅍䅍硁䑁䅫兏硁䅁䅁䅷䅑䕁䅙䅁扂䕁䄰兓時䕁䅑睑䝂䕁䅅杢桂䝁䅷入穂䝁䅫督時䡁䅙免畁䡁䅧䅢穂䝁䄰兘䕂䕁䅍杒桁䍁䅑睖歁䑁䅅䅎睁䅁䅁睁䅉䉁䅧䅁䩂䙁䅅䅖㍁䑁䅁䅍ㅁ䑁䅍睎穁䑁䅫䅁䭁䅂䅁杄䅁䕁䅫兕時䙁䅑兒坂䅁䅁杌䅅䉁䅯䅁䩂䙁䅅䅖㍁䑁䅁䅍㕁䑁䅁李㕁䑁䅑兏䅁䭁䔰䅁慁䅁䅁兓剂䙁䄸睑䥂䕁䅅杔䡂䕁䅕睘䉂䙁䅁䅁㑂杂䅁䅇䅁䕁䄴兑呂䕁䅑兑剂䍁䅁杒灂䝁䄴䅢䅁䙁䅷䅁慁䅁䅁兓剂䙁䄸睑䥂䕁䅅杔䡂䕁䅕睘䉂䙁䅉䅁㕂杂䅁杍䅁䕁䅫兕時䕁䅍䅓䉂䕁䄴睒䙂䙁䄸䅖卂䕁䅅䅒䩂䕁䄴睒時䕁䅅睕呂䕁䅕䅖呂䅁䅁杤䅙䍁䅯䅁䩂䙁䅅睘䑂䕁䅧兑佂䕁䅣兒時䙁䅕杔䙂䕁䅅杕佂䙁䄸杕䙂䙁䅙䅁㡂杂䅁䅈䅁䙁䅍䅕呂䑁䅅睎㕁䑁䅉李睁䑁䅙睎㕁䑁䅍䅁佁杂䅁䅉䅁䕁䅫兕時䕁䅍睔乂䙁䅁兑佂䙁䅫睘佂䕁䅅兔䙂䅁䅁儫䅍䡁䅙䅁偂䡁䅁䅤灂䝁䄸杢穂䑁䅯睑ㅂ䡁䅉杣㥁䕁䅕兖卂䍁䅷兔桂䝁䅣児䉂䝁䅍䅤ㅂ䝁䅅䅢穂䍁䅷睑療䝁䄴杤乂䝁䅕䅤潂䝁䄸䅚㥁䕁䄰兓祂䝁䅕睙療䝁䄰兢求䝁䄴䅚求䝁䅑䅌佂䕁䅅児睁䅁䅁睮䅣乁䅉䅁偂䡁䅁䅤灂䝁䄸杢穂䑁䅯杔䉂䑁䄰杔䉂䍁䅷睑ㅂ䡁䅉杣㥁䙁䅕睕䕂䍁䅷兔桂䝁䅣児乂䝁䅫䅢獂䝁䅫睢畂䡁䅍䅌䑂䝁䄸杢㉂䕁䄰党あ䝁䅧睢歂䑁䄰兔䩂䡁䅉党橂䝁䄸兢瑂䝁䅕杢歂䝁䅕䅚獁䙁䅁兙歂䑁䄰睔浂䝁䅙䅌䝂䝁䅫䅢獂䑁䄰兔療䝁䄴䅤潂䝁䅷入獁䕁䅑兙あ䝁䅕督㥁䕁䅉党浂䝁䄸杣求䍁䅷睕療䡁䅉䅤㥁䕁䅑党穂䝁䅍䅁塁杁䅁杈䅁䕁䅫兕時䕁䅍兖呂䙁䅑睔乂䙁䄸村䙂䙁䅑兑䅁䡁䑅䅁允䅁䅁兓剂䙁䄸兒䍂䕁䅫䅖䅁䝁䝯䅁捁䅁䅁睕兂䙁䅍免㕁䑁䅍䅍睁䑁䅉免㉁䑁䅫兎䅁䭁䝉䅁祁䅁䅁兓剂䙁䄸兒䍂䕁䅫䅖䕂䕁䅅睘䵂䕁䅕兑呂䕁䅕睘䉂䕁䅑杓噂䙁䅍䅖䙂䕁䅑䅁あ杂䅁䅇䅁䕁䅫兕時䕁䅙兓呂䕁䅍兑䵂䙁䄸兗䅁䝁䝳䅁捁䅁䅁兓剂䙁䄸杕䉂䙁䅑兒時䕁䅷兒坂䕁䅕䅔䅁佁䕯䅁啁䅁䅁䅕祂䝁䅕杚求䡁䅉杣求䝁䅑䅁䥁䅂䅁杉䅁䕁䅫兕時䙁䅍兑䵂䕁䅕睘䩂䕁䄴䅖䉂䕁䄴睘䑂䕁䅙䅁ㅂ杂䅁杆䅁䕁䅫兕時䙁䅍䅖時䕁䅑兒䍂䙁䅑䅁䭃杂䅁䅇䅁䕁䅫兕時䙁䅑睔啂䕁䅅䅔時䕁䅍兑䅁䥁䝧䅁奁䅁䅁兓剂䙁䄸䅖偂䙁䅑兑䵂䙁䄸睑䵂䅁䅁䅨䅙䉁䅷䅁䩂䙁䅅睘啂䕁䄸䅖䉂䕁䅷睘䕂䕁䅕村啂䅁䅁睌䅉䍁䅑䅁䩂䝁䄴督あ䝁䅫䅤ㅂ䡁䅑兡療䝁䄴䅉佂䝁䅅兢求䍁䅁䅁桁䅁䅁杌䅁䕁䅫杢あ䝁䅷䅉䍂䡁䅕督杁䕁䄰兙橂䝁䅧兡畂䝁䅕督杁䕁䅍睢祂䡁䅁䅁呃杂䅁杄䅁䕁䅳兓乂䍁䄰兖呂䅁䅁允䅅䉁䅁䅁䵂䕁䅑睔呂䍁䄰兖呂䅁䅁䅊䅉䕁䅉䅁䵂䝁䅕兙穂䝁䅕䅉䉂䝁䅑条ㅂ䡁䅍䅤瑂䝁䅕杢あ䍁䅁杚療䡁䅉䅉䙂䕁䅉兓啂䕁䅑兑杁䍁䅧䅊乂䍁䅫䅁⽂睁䅁杇䅁䙁䅍䅕呂䑁䅉睍㍁䑁䅙睍祁䑁䅁䅎硁䅁䅁䄵䅣䅁䄴䅁乂䕁䅅睑瑁䙁䅕睕䅁䅁䉉䅁杁䅁䅁兔呂䕁䅍兓杁䕁䅕兑䝂䕁䅕䅉潁䙁䅕睕䕂䍁䅫䅁塂䅁䅁杇䅁䙁䅍䅕呂䑁䅙䅏穁䑁䅁兎穁䑁䅧兏穁䅁䅁来䅣䉁䅯䅁呂䙁䅁睕祁䑁䅑兏祁䑁䅫睍穁䑁䅙睍䅁䕁䝉䅁允䅁䅁兔啂䕁䅍䅓瑁䙁䅕睕䅁䵁䈸䅁䍂䅁䅁兔桂䡁䅉睡求䡁䅑䅉䑂䝁䅅䅣灂䡁䅑兙獂䝁䅫来桂䡁䅑兡療䝁䄴䅉潁䙁䅉党睂䝁䄸杣あ䝁䅕䅚灁䅁䅁䅈䅁䍁䅙䅁乂䝁䅅杣牂䝁䅕䅤穂䍁䄴䅕祂䝁䅫睙求䕁䅍䅢療䡁䅍党䅁佁䅫䅁䝁䅁䅁杔䉂䅁䅁䅬䅅䅁䄴䅁佂䕁䅅睕䕂䕁䅅兕䅁䙁䅳䅁允䅁䅁杔䝂䕁䅷䅗瑁䙁䅕睕䅁䱁䝣䅁䝁䅁䅁杔乂䅁䅁䅬䅕䉁䅁䅁佂䙁䅑兑兂䍁䄰兖呂䅁䅁党䅉䉁䅑䅁佂䙁䅫睕䙂䑁䅯䅒䙂䕁䅷䅔䅁䍁䙧䅁十䅁䅁杔婂䙁䅍兒㙁䕁䅧䅕䙂䅁䅁䄫䅍䉁䅷䅁佂䝁䅅督歂䝁䅅兣䡂䙁䅍杏䑂䙁䅑睕䥂䅁䅁䅢䅑䑁䅷䅁佂䝁䅕䅤浂䝁䅷兡㑂䍁䅷䅉䩂䝁䄴睙畁䍁䅁䅋佂䕁䅅睕䕂䕁䅅兕䡂䙁䅍杏佂䕁䅙䅔奂䍁䅫䅁癃杂䅁䅏䅁䕁䄸䅣あ䝁䅫睢畂䡁䅍杏杁䙁䅍䅤桂䡁䅑兡穂䡁䅑兡橂䑁䄰兑坂䕁䅣䅌佂䕁䅅児睁䅁䅁朹䅑䍁䅉䅁偂䕁䄰䅗杁䙁䅍䅤療䝁䅍睡潂䝁䄸䅢瑂䍁䅁睍睁䅁䅁䅚䅁䍁䅷䅁偂䕁䄰䅗杁䙁䅙兡獂䝁䄴兡ㅂ䡁䅍䅉䉂䝁䅷䅢杁䙁䅍䅡桂䡁䅉党䅁䝁䅕䅁允䅁䅁睔卂䕁䅍䅔瑁䙁䅕睕䅁䡁䍁䅁啂䅁䅁睗乂䕁䅫睘䕂䕁䅍杒䉂䝁䄴兙獂䡁䅫督灂䡁䅍睘㉂䑁䅅杌㑂䝁䅷督瑂䙁䄰䅒䑂䕁䅙光歁䙁䅧䅊硁䑁䅑杍㙁䍁䅑䅗歁䑁䅅䅎穁䅁䅁眹䅉䕁䅷䅁偂䝁䅙杚求䡁䅉兡畂䝁䅣䅉䑂䝁䄸兢睂䝁䅷党あ䝁䅫睢畂䍁䅁䅒桂䡁䅑党杁䍁䅧兢瑂䍁䄸䅚歂䍁䄸入㕂䡁䅫入灁䅁䅁睌䅁䝁䅑䅁偂䡁䅁䅤灂䝁䄸杢穂䑁䅯睑ㅂ䡁䅉杣㥁䍁䅷兔桂䝁䅣児睁䍁䅷睑療䝁䄴杤乂䝁䅕䅤潂䝁䄸䅚㥁䕁䄰兓祂䝁䅕睙療䝁䄰兢求䝁䄴䅚求䝁䅑䅌佂䕁䅅児睁䅁䅁杬䅙䭁䅷䅁偂䡁䅁䅤灂䝁䄸杢穂䑁䅯睑ㅂ䡁䅉杣㥁䕁䅣村兂䍁䅷兔桂䝁䅣児乂䝁䅫䅢獂䝁䅫睢畂䡁䅍䅌䑂䝁䄸杢㉂䕁䄰党あ䝁䅧睢歂䑁䄰兔䩂䡁䅉党橂䝁䄸兢瑂䝁䅕杢歂䝁䅕䅚獁䙁䅁兙歂䑁䄰睔浂䝁䅙䅌䕂䝁䅅䅤求䡁䅍児䍂䝁䅕杚療䡁䅉党獁䙁䅍睢祂䡁䅑児䕂䝁䅕督橂䅁䅁儫䅉䡁䅷䅁偂䡁䅁䅤灂䝁䄸杢穂䑁䅯睑ㅂ䡁䅉杣㥁䕁䅣村兂䍁䅷兔桂䝁䅣児啂䝁䅧睢ㅂ䡁䅍兙畂䝁䅑督獁䕁䅍睢畂䡁䅙兔求䡁䅑䅡療䝁䅑児乂䕁䅫杣求䝁䅍睢瑂䝁䄰党畂䝁䅑党歂䍁䅷杔䉂䑁䄰杔䉂䅁䅁六䅙䝁䄴䅁偂䡁䅁䅤灂䝁䄸杢穂䑁䅯睑ㅂ䡁䅉杣㥁䕁䅯䅕婂䍁䅷兔桂䝁䅣児乂䝁䅫䅢獂䝁䅫睢畂䡁䅍䅌䑂䝁䄸杢㉂䕁䄰党あ䝁䅧睢歂䑁䄰兔䩂䡁䅉党橂䝁䄸兢瑂䝁䅕杢歂䝁䅕䅚䅁䍁䍉䅁䭃䅁䅁睔睂䡁䅑兡療䝁䄴督㙁䕁䅍兤祂䡁䅉児卂䝁䅕䅣療䡁䅉䅤求䝁䅑䅉橂䡁䅕杣祂䝁䅕杢橂䡁䅫䅌乂䝁䅅睚㥁䕁䅉兡獂䝁䅷兡療䝁䄴督獁䕁䅍睢畂䡁䅙兔求䡁䅑䅡療䝁䅑児乂䕁䅫杣求䝁䅍睢瑂䝁䄰党畂䝁䅑党歂䅁䅁眲䅅䥁䅷䅁偂䡁䅁䅤灂䝁䄸杢穂䑁䅯睑ㅂ䡁䅉杣㥁䙁䅉党睂䝁䄸杣あ䝁䅕䅚杁䝁䅍兤祂䡁䅉党畂䝁䅍入獁䕁䄰兙湂䑁䄰兔灂䝁䅷䅢灂䝁䄸杢穂䍁䅷睑療䝁䄴杤乂䝁䅕䅤潂䝁䄸䅚㥁䙁䅍杔䵂䡁䅉党橂䝁䄸兢瑂䝁䅕杢歂䝁䅕䅚䅁䍁䅍䅁千䅁䅁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䅁䉁䅁䅁杣䅁䕁䄸䅣あ䝁䅫睢畂䡁䅍杏䑂䡁䅕杣祂䑁䄰兖呂䕁䅑䅌杁䕁䄰兙湂䑁䄰兔灂䝁䅷䅢灂䝁䄸杢穂䍁䅷䅉䑂䝁䄸杢㉂䕁䄰党あ䝁䅧睢歂䑁䄰兔䩂䡁䅉党橂䝁䄸兢瑂䝁䅕杢歂䝁䅕䅚䅁乁䄸䅁杂䅁䅁睔睂䡁䅑兡療䝁䄴督㙁䕁䅍兤祂䡁䅉児噂䙁䅍䅒獁䕁䄰兙湂䑁䄰李獁䕁䅍睢畂䡁䅙兔求䡁䅑䅡療䝁䅑児乂䕁䅫杣求䝁䅍睢瑂䝁䄰党畂䝁䅑党歂䅁䅁朲䅁䱁䅉䅁偂䡁䅁䅤灂䝁䄸杢穂䑁䅯睑ㅂ䡁䅉杣㥁䙁䅕睕䕂䍁䅷兔桂䝁䅣児㉁䍁䅷睑療䝁䄴杤乂䝁䅕䅤潂䝁䄸䅚㥁䕁䄰兓祂䝁䅕睙療䝁䄰兢求䝁䄴䅚求䝁䅑䅌兂䝁䅅䅚㥁䕁䄸杔獁䕁䅙兡獂䝁䅷児䕂䝁䅅兡獂䡁䅫䅌䕂䝁䅅䅤求䡁䅍児䍂䝁䅕杚療䡁䅉党獁䙁䅍睢祂䡁䅑児䕂䝁䅕督橂䅁䅁儳䅁䕁䅙䅁扂䕁䄰兓時䕁䅑睑䝂䕁䅅杢桂䝁䅷入穂䝁䅫督時䡁䅙免畁䡁䅧䅢穂䝁䄰兘䕂䕁䅍杒桁䍁䅑䅒䕂䍁䅑䅎ㅁ䅁䅁䅄䅉䡁䅧䅁偂䡁䅁䅤灂䝁䄸杢穂䑁䅯睑ㅂ䡁䅉杣㥁䙁䅕睕䕂䍁䅷兔桂䝁䅣児乂䝁䅫䅢獂䝁䅫睢畂䡁䅍䅌䑂䝁䄸杢㉂䕁䄰党あ䝁䅧睢歂䑁䄰兔䩂䡁䅉党橂䝁䄸兢瑂䝁䅕杢歂䝁䅕䅚獁䕁䄴兑㥁䑁䅁䅁湂杂䅁来䅁䕁䄸䅣あ䝁䅫睢畂䡁䅍杏䑂䡁䅕杣祂䑁䄰兖呂䕁䅑䅌乂䝁䅅睚㥁䕁䄰兡獂䝁䅷兡療䝁䄴督獁䕁䅍睢畂䡁䅙兔求䡁䅑䅡療䝁䅑児乂䕁䅫杣求䝁䅍睢瑂䝁䄰党畂䝁䅑党歂䍁䅷杔䉂䑁䄰杔䉂䅁䅁睨䅕䵁䅑䅁偂䡁䅁䅤灂䝁䄸杢穂䑁䅯睑ㅂ䡁䅉杣㥁䙁䅕睕䕂䍁䅷兔桂䝁䅣児乂䝁䅫䅢獂䝁䅫睢畂䡁䅍䅌䑂䝁䄸杢㉂䕁䄰党あ䝁䅧睢歂䑁䄰兔䩂䡁䅉党橂䝁䄸兢瑂䝁䅕杢歂䝁䅕䅚獁䙁䅁兙歂䑁䄰睔佂䍁䅷杒灂䝁䅷䅢㥁䕁䄰睢畂䡁䅑䅡獂䡁䅫䅌䕂䝁䅅䅤求䡁䅍児䍂䝁䅕杚療䡁䅉党獁䙁䅍睢祂䡁䅑児䕂䝁䅕督橂䅁䅁䄶䅁䉁䅑䅁呂䕁䅕䅖杁䕁䅫杢歂䝁䅕䅥䅁䡁䅧䅁䝂䅁䅁睗乂䕁䅫睘䕂䕁䅍杒䉂䝁䄴兙獂䡁䅫督灂䡁䅍睘㉂䑁䅅杌㑂䝁䅷督瑂䙁䄰䅒䑂䕁䅙光歁䕁䅅睓歁䑁䅕免䅁䑁䍷䅁䍄䅁䅁睔睂䡁䅑兡療䝁䄴督㙁䕁䅍兤祂䡁䅉児噂䙁䅍䅒獁䕁䄰兙湂䑁䄰兔灂䝁䅷䅢灂䝁䄸杢穂䍁䅷睑療䝁䄴杤乂䝁䅕䅤潂䝁䄸䅚㥁䕁䄰兓祂䝁䅕睙療䝁䄰兢求䝁䄴䅚求䝁䅑䅌兂䝁䅅䅚㥁䕁䄸杚浂䍁䅷杒灂䝁䅷䅢㥁䕁䅑兙灂䝁䅷入獁䕁䅑兙あ䝁䅕督㥁䕁䅉党浂䝁䄸杣求䍁䅷睕療䡁䅉䅤㥁䕁䅑党穂䝁䅍䅁楄䅁䅁杷䅁䕁䄸䅣あ䝁䅫睢畂䡁䅍杏䑂䡁䅕杣祂䑁䄰兖呂䕁䅑䅌乂䝁䅅睚㥁䕁䄰兡獂䝁䅷兡療䝁䄴督獁䕁䅍睢畂䡁䅙兔求䡁䅑䅡療䝁䅑児呂䕁䄴䅔祂䝁䅕睙療䝁䄰兢求䝁䄴䅚求䝁䅑䅌兂䝁䅅䅚㥁䕁䄸杔獁䕁䅙兡獂䝁䅷児䕂䝁䅅兡獂䡁䅫䅌䕂䝁䅅䅤求䡁䅍児䍂䝁䅕杚療䡁䅉党獁䙁䅍睢祂䡁䅑児䕂䝁䅕督橂䅁䅁睲䅁䙁䅑䅁扂䕁䄰兓時䕁䅑睑䝂䕁䅅杢桂䝁䅷入穂䝁䅫督時䡁䅙免畁䡁䅧䅢穂䝁䄰兘䕂䕁䅍杒桁䍁䅑䅗歁䑁䅅睍㕁䑁䅯䅊奂䍁䅑免ぁ䑁䅁䅁啂杁䅁杲䅁䕁䄸䅣あ䝁䅫睢畂䡁䅍杏䑂䡁䅕杣祂䑁䄰兖呂䕁䅑䅌乂䝁䅅睚㥁䕁䄰兡獂䝁䅷兡療䝁䄴督獁䕁䅍睢畂䡁䅙兔求䡁䅑䅡療䝁䅑児呂䕁䄴䅔祂䝁䅕睙療䝁䄰兢求䝁䄴䅚求䝁䅑䅌兂䝁䅅䅚㥁䕁䄸杚浂䍁䅷䅒桂䡁䅑党穂䑁䄰村求䝁䅙睢祂䝁䅕䅌呂䝁䄸杣あ䑁䄰䅒求䡁䅍睙䅁䭁䅁䅁㉂䅁䅁睔睂䡁䅑兡療䝁䄴督㙁䕁䅍兤祂䡁䅉児噂䙁䅍䅒獁䕁䄰兙湂䑁䄰睕佂䕁䅷睕あ䝁䅅杢歂䝁䅅杣歂䍁䅷睑療䝁䄴杤乂䝁䅕䅤潂䝁䄸䅚㥁䙁䅍杔䵂䡁䅉党橂䝁䄸兢瑂䝁䅕杢歂䝁䅕䅚䅁䥁䅳䅁ぃ䅁䅁睔睂䡁䅑兡療䝁䄴督㙁䕁䅍兤祂䡁䅉児噂䙁䅍䅒獁䕁䄰兙湂䑁䄰睕佂䕁䅷睕あ䝁䅅杢歂䝁䅅杣歂䍁䅷睑療䝁䄴杤乂䝁䅕䅤潂䝁䄸䅚㥁䙁䅍杔䵂䡁䅉党橂䝁䄸兢瑂䝁䅕杢歂䝁䅕䅚獁䙁䅁兙歂䑁䄰睔浂䝁䅙䅌䕂䝁䅅䅤求䡁䅍児䍂䝁䅕杚療䡁䅉党獁䙁䅍睢祂䡁䅑児䕂䝁䅕督橂䅁䅁䅬䅁䕁䅯䅁扂䙁䅍䅕䡂䙁䄸䅒䑂䕁䅙兑畂䝁䅅䅢㕂䡁䅍兡穂䙁䄸杤硁䍁䄴䅥獂䡁䅍兢摂䕁䅑睑䝂䍁䅅䅊䉂䕁䅅䅊硁䑁䅑免䅁䍁䙳䅁㡂䅁䅁睔睂䡁䅑兡療䝁䄴督㙁䕁䅍兤祂䡁䅉児噂䙁䅍䅒獁䕁䄰兙湂䑁䄰䅖潂䝁䄸兤穂䝁䅅杢歂䡁䅍䅌䑂䝁䄸杢㉂䕁䄰党あ䝁䅧睢歂䑁䄰兔䩂䡁䅉党橂䝁䄸兢瑂䝁䅕杢歂䝁䅕䅚獁䕁䄴兑㥁䕁䄴兑䅁䥁䜸䅁畃䅁䅁睔睂䡁䅑兡療䝁䄴督㙁䕁䅍兤祂䡁䅉児噂䙁䅍䅒獁䕁䄰兙湂䑁䄰䅖潂䝁䄸兤穂䝁䅅杢歂䡁䅍䅌䑂䝁䄸杢㉂䕁䄰党あ䝁䅧睢歂䑁䄰兔䩂䡁䅉党橂䝁䄸兢瑂䝁䅕杢歂䝁䅕䅚獁䙁䅁兙歂䑁䄰睔浂䝁䅙䅌䕂䝁䅅䅤求䡁䅍児䍂䝁䅕杚療䡁䅉党獁䙁䅍睢祂䡁䅑児䕂䝁䅕督橂䅁䅁䅄䅍䉁䅁䅁塂䕁䅑䅔䝂䍁䄰兖呂䅁䅁䄰䅅䉁䅷䅁呂䙁䅁睕硁䑁䅧杍穁䑁䅧兏㑁䑁䅁䅍穁䅁䅁杏䅙䡁䅉䅁偂䡁䅁䅤灂䝁䄸杢穂䑁䅯睑ㅂ䡁䅉杣㥁䙁䅕睕䕂䍁䅷兔桂䝁䅣児啂䝁䅧睢ㅂ䡁䅍兙畂䝁䅑督獁䕁䅍睢畂䡁䅙兔求䡁䅑䅡療䝁䅑児呂䕁䄴䅔祂䝁䅕睙療䝁䄰兢求䝁䄴䅚求䝁䅑䅁坄䅁䅁䅦䅁䕁䄸䅣あ䝁䅫睢畂䡁䅍杏佂䕁䅅児睁䍁䅷睑ㅂ䡁䅉杣㥁䙁䅕睕䕂䍁䅷䅉乂䝁䅅睚㥁䕁䄰兡獂䝁䅷兡療䝁䄴督獁䍁䅁睑療䝁䄴杤乂䝁䅕䅤潂䝁䄸䅚㥁䕁䄰兓祂䝁䅕睙療䝁䄰兢求䝁䄴䅚求䝁䅑䅁睄䅂䅁杨䅁䕁䄸䅣あ䝁䅫睢畂䡁䅍杏佂䕁䅅児睁䍁䅷睑ㅂ䡁䅉杣㥁䙁䅕睕䕂䍁䅷䅉乂䝁䅅睚㥁䕁䄰兡獂䝁䅷兡療䝁䄴督獁䍁䅁睑療䝁䄴杤乂䝁䅕䅤潂䝁䄸䅚㥁䕁䄰兓祂䝁䅕睙療䝁䄰兢求䝁䄴䅚求䝁䅑䅌佂䕁䅅児睁䅁䅁眸䅑䉁䅷䅁偂䡁䅁䅤灂䝁䄸杢穂䑁䅯杔䉂䑁䄰杔䉂䅁䅁杍䅕䕁䅧䅁扂䙁䅍䅕䡂䙁䄸䅒䑂䕁䅙兑畂䝁䅅䅢㕂䡁䅍兡穂䙁䄸杤硁䍁䄴䅥獂䡁䅍兢摂䕁䅑睑䝂䍁䅅䅊䑂䙁䅕䅊ㅁ䑁䅅䅁ㅁ睁䅁䄰䅁䕁䄸䅣あ䝁䅫睢畂䡁䅍杏佂䕁䅅児佂䕁䅅䅌䑂䡁䅕杣祂䑁䄰睒䍂䙁䅁䅌乂䝁䅅睚㥁䕁䄰兡獂䝁䅷兡療䝁䄴督獁䕁䅍睢畂䡁䅙兔求䡁䅑䅡療䝁䅑児乂䕁䅫杣求䝁䅍睢瑂䝁䄰党畂䝁䅑党歂䍁䅷䅕桂䝁䅑児偂䕁䄴䅌䝂䝁䅫䅢獂䑁䄰兔療䝁䄴䅤潂䝁䅷入獁䕁䅑兙あ䝁䅕督㥁䕁䅉党浂䝁䄸杣求䍁䅷睕療䡁䅉䅤㥁䕁䅑党穂䝁䅍䅁㙄杁䅁䅈䅁䙁䅍䅕呂䑁䅅睎㕁䑁䅉李睁䑁䅙睎㕁䑁䅕䅁啄兂䅁朰䅁䕁䄸䅣あ䝁䅫睢畂䡁䅍杏佂䕁䅅児佂䕁䅅䅌䑂䡁䅕杣祂䑁䄰睒䍂䙁䅁䅌乂䝁䅅睚㥁䕁䄰兡獂䝁䅷兡療䝁䄴督獁䕁䅍睢畂䡁䅙兔求䡁䅑䅡療䝁䅑児乂䕁䅫杣求䝁䅍睢瑂䝁䄰党畂䝁䅑党歂䍁䅷䅕桂䝁䅑児偂䝁䅙杚獁䕁䅙兡獂䝁䅷児乂䝁䄸杢あ䝁䅧䅢㕂䍁䅷䅒桂䡁䅑党穂䑁䄰村求䝁䅙睢祂䝁䅕䅌呂䝁䄸杣あ䑁䄰䅒求䡁䅍睙䅁偁䍳䅁兄䅁䅁睔睂䡁䅑兡療䝁䄴督㙁䕁䄴兑㥁䕁䄴兑獁䕁䅍兤祂䡁䅉児䭂䙁䅁兗獁䕁䄰兙湂䑁䄰兔灂䝁䅷䅢灂䝁䄸杢穂䍁䅷睑療䝁䄴杤乂䝁䅕䅤潂䝁䄸䅚㥁䕁䄰兓祂䝁䅕睙療䝁䄰兢求䝁䄴䅚求䝁䅑䅌兂䝁䅅䅚㥁䕁䄸杔獁䕁䅙兡獂䝁䅷児乂䝁䄸杢あ䝁䅧䅢㕂䍁䅷䅒桂䡁䅑党穂䑁䄰村求䝁䅙睢祂䝁䅕䅌呂䝁䄸杣あ䑁䄰䅒求䡁䅍睙䅁䍁䍁䅁䝂䅁䅁睗乂䕁䅫睘䕂䕁䅍杒䉂䝁䄴兙獂䡁䅫督灂䡁䅍睘㉂䑁䅅杌㑂䝁䅷督瑂䙁䄰䅒䑂䕁䅙光歁䕁䅑村歁䑁䅕免䅁佁䍁䅁卄䅁䅁睔睂䡁䅑兡療䝁䄴督㙁䕁䄴兑㥁䕁䄴兑獁䕁䅍兤祂䡁䅉児䭂䙁䅁兗獁䕁䄰兙湂䑁䄰兔灂䝁䅷䅢灂䝁䄸杢穂䍁䅷睑療䝁䄴杤乂䝁䅕䅤潂䝁䄸䅚㥁䕁䄰兓祂䝁䅕睙療䝁䄰兢求䝁䄴䅚求䝁䅑䅌兂䝁䅅䅚㥁䕁䄸杚浂䍁䅷杒灂䝁䅷䅢㥁䕁䄰睢畂䡁䅑䅡獂䡁䅫䅌䕂䝁䅅䅤求䡁䅍児䍂䝁䅕杚療䡁䅉党獁䙁䅍睢祂䡁䅑児䕂䝁䅕督橂䅁䅁光䅉䉁䅯䅁呂䙁䅁睕穁䑁䅅䅎硁䑁䅑杍㍁䑁䅑兎䅁䵁䝯䅁兄䅁䅁睔睂䡁䅑兡療䝁䄴督㙁䕁䄴兑㥁䕁䄴兑獁䕁䅍兤祂䡁䅉児噂䙁䅍䅒獁䕁䄰兙湂䑁䄰兔灂䝁䅷䅢灂䝁䄸杢穂䍁䅷睑療䝁䄴杤乂䝁䅕䅤潂䝁䄸䅚㥁䕁䄰兓祂䝁䅕睙療䝁䄰兢求䝁䄴䅚求䝁䅑䅌兂䝁䅅䅚㥁䕁䄸杔獁䕁䅙兡獂䝁䅷児乂䝁䄸杢あ䝁䅧䅢㕂䍁䅷䅒桂䡁䅑党穂䑁䄰村求䝁䅙睢祂䝁䅕䅌呂䝁䄸杣あ䑁䄰䅒求䡁䅍睙䅁䉁䍫䅁卄䅁䅁睔睂䡁䅑兡療䝁䄴督㙁䕁䄴兑㥁䕁䄴兑獁䕁䅍兤祂䡁䅉児噂䙁䅍䅒獁䕁䄰兙湂䑁䄰䅖潂䝁䄸兤穂䝁䅅杢歂䡁䅍䅌䑂䝁䄸杢㉂䕁䄰党あ䝁䅧睢歂䑁䄰兔䩂䡁䅉党橂䝁䄸兢瑂䝁䅕杢歂䝁䅕䅚獁䙁䅁兙歂䑁䄰睔佂䍁䅷杒灂䝁䅷䅢㥁䕁䄰睢畂䡁䅑䅡獂䡁䅫䅌䕂䝁䅅䅤求䡁䅍児䍂䝁䅕杚療䡁䅉党獁䙁䅍睢祂䡁䅑児䕂䝁䅕督橂䅁䅁兄䅍乁䅁䅁偂䡁䅁䅤灂䝁䄸杢穂䑁䅯杔䉂䑁䄰杔䉂䕁䅍兤祂䡁䅉児噂䙁䅍䅒獁䕁䄰兙湂䑁䄰兔灂䝁䅷䅢灂䝁䄸杢穂䍁䅷睑療䝁䄴杤乂䝁䅕䅤潂䝁䄸䅚㥁䕁䄰兓祂䝁䅕睙療䝁䄰兢求䝁䄴䅚求䝁䅑䅌兂䝁䅅䅚㥁䕁䄸杚浂䍁䅷杒灂䝁䅷䅢㥁䕁䄰睢畂䡁䅑䅡獂䡁䅫䅌䕂䝁䅅䅤求䡁䅍児䍂䝁䅕杚療䡁䅉党獁䙁䅍睢祂䡁䅑児䕂䝁䅕督橂䅁䅁䅇䅉䉁䅯䅁呂䙁䅁睕ㅁ䑁䅫䅎ㅁ䑁䅁睍穁䑁䅫免䅁乁䝳䅁煁䅁䅁睔睂䡁䅑兡療䝁䄴督㙁䝁䅙兡獂䝁䅷児乂䝁䄸杢あ䝁䅧䅢㕂䅁䅁杣䅍䑁䅑䅁偂䡁䅁䅤灂䝁䄸杢穂䑁䅯杚灂䝁䅷䅢㥁䕁䄰睢畂䡁䅑䅡獂䡁䅫䅌佂䕁䅅児睁䅁䅁䅦䅍䑁䅁䅁呂䡁䅉兡杁䕁䅷兙畂䝁䅳兙杁䕁䅍睕䙂䍁䅁兑獂䝁䅷䅉呂䝁䅧兙祂䝁䅕䅁⭂䅁䅁材䅁䕁䄸杣桂䝁䅍䅢求䍁䅁睑療䡁䅉䅣療䡁䅉兙あ䝁䅫睢畂䍁䅁䅋佂䙁䅫睕䙂䑁䅯睔卂䕁䅍䅔灁䅁䅁公䅕䙁䅑䅁扂䕁䄰兓時䕁䅑睑䝂䕁䅅杢桂䝁䅷入穂䝁䅫督時䡁䅙免畁䡁䅧䅢穂䝁䄰兘䕂䕁䅍杒桁䍁䅑睖歁䑁䅅䅎ぁ䑁䅯䅊塂䍁䅑免ぁ䑁䅕䅁祄允䅁䅅䅁䙁䅁兑卂䕁䅅兌噂䙁䅍䅁硃杂䅁杙䅁䙁䅳兔䩂䙁䄸睒䵂䕁䄸村䉂䕁䅷睘塂䕁䅅睑䑂䕁䅅杢桂䝁䅷入穂䝁䅫督時䡁䅙杍畁䡁䅧䅢穂䝁䄰兘塂䕁䅅睑䑂䍁䅅䅊兂䍁䅑睍㉁䑁䅯䅊兂䍁䅑䅎硁䅁䅁眷䅁䉁䅙䅁兂䕁䅙䅖呂䍁䅁兓畂䝁䅑党㑂䅁䅁䅡䅁䉁䅧䅁呂䙁䅁睕穁䑁䅅䅎㕁䑁䅙兏ㅁ䑁䅍䅁䍂睂䅁杅䅁䙁䅁䅗杁䕁䅫杢歂䝁䅕䅥䅁䝁䅳䅁䥂䅁䅁睗呂䙁䅁睒時䕁䅑睑䝂䕁䅅杢桂䝁䅷入穂䝁䅫督時䡁䅙免畁䡁䅧䅢穂䝁䄰兘䕂䕁䅍杒桁䍁䅑村歁䑁䅉䅍㍁䅁䅁䅓䅍䙁䅁䅁扂䕁䄰兓時䙁䅣睖時䙁䅣兑䑂䕁䅍兑畂䝁䅅䅢㕂䡁䅍兡穂䙁䄸杤硁䍁䄴䅥獂䡁䅍兢摂䙁䅣兑䑂䕁䅍光歁䕁䅅兒歁䑁䅑䅍䅁偁䅕䅁䭂䅁䅁䅕潂䝁䅫䅢灂䡁䅁䅣灂䝁䄴党穂䍁䅁兒㑂䝁䅍䅡桂䝁䄴睚求䍁䅁睑療䝁䄰䅣療䡁䅍兡あ䝁䅕䅉䩂䝁䄴䅚求䡁䅧䅁灂䅁䅁䅎䅁䙁䅁睢祂䡁䅑兤湂䡁䅕党穂䝁䅕䅉呂䡁䅑睢橂䝁䅳䅉䩂䝁䄴䅚求䡁䅧兌祁䑁䅁䅁煂䅁䅁䅅䅁䙁䅑睔䡂䕁䅷兌噂䙁䅍䅁剄允䅁杆䅁䙁䅁杣灂䝁䅍党䑂䝁䅷睢穂䝁䅕䅁潃䅁䅁杇䅁䙁䅍䅕呂䑁䅑睍硁䑁䅧兎㕁䑁䅅䅏睁䅁䅁眷䅣䉁䅁䅁剂䕁䅍睔乂䍁䄰兖呂䅁䅁䅡䅉䉁䅧䅁剂䡁䅕兡橂䝁䅳䅉䑂䝁䄸兢睂䡁䅍䅁歁兂䅁杄䅁䙁䅉兒䡂䍁䄰兖呂䅁䅁睁䅅䉁䅯䅁呂䙁䅁睕㉁䑁䅅杍㑁䑁䅑睎ぁ䑁䅉兎䅁䭁䙙䅁佁䅁䅁杕偂䕁䅳兌噂䙁䅍䅁牂杁䅁杄䅁䙁䅉睔兂䍁䄰兖呂䅁䅁杹䅁䉁䅑䅁卂䙁䅑睕杁䕁䅫杢歂䝁䅕䅥䅁䝁䄰䅁䅂䅁䅁杕灂䝁䅣䅡あ䍁䄰睢浂䍁䄰兖穂䝁䅕䅉䉂䡁䅍督求䡁䅑督㙁䍁䅁睒祂䝁䄸督穂䍁䅁䅋歁䕁䄰克䅁䥁䑕䅁捁䅁䅁睕兂䙁䅍免㑁䑁䅧睎睁䑁䅍䅍㕁䑁䅕免䅁䕁䜰䅁慁䅁䅁杕ㅂ䡁䅍督求䝁䅷䅢杁䑁䅉䅍睁䑁䅁䅁療䅁䅁䅖䅁䙁䅳兔䩂䙁䄸䅒䑂䕁䅙兑畂䝁䅅䅢㕂䡁䅍兡穂䙁䄸杤硁䍁䄴䅥獂䡁䅍兢摂䕁䅑睑䝂䍁䅅䅊䕂䙁䅁䅊ぁ䑁䅫杏歁䕁䅑兕歁䑁䅑兏䅁佁䍯䅁捁䅁䅁睕兂䙁䅍免㑁䑁䅧睎睁䑁䅍䅍㕁䑁䅑免䅁䕁䝷䅁慁䅁䅁杕ㅂ䡁䅍督求䝁䅷䅢杁䑁䅍䅍睁䑁䅁䅁睂䅁䅁䅈䅁䙁䅍䅕呂䑁䅅䅏ぁ䑁䅣兏㕁䑁䅕免㍁䑁䅫䅁硄兂䅁䅅䅁䙁䅍杊兂䍁䅁兎睁䑁䅁䅁啁䅁䅁杏䅁䙁䅍杊兂䍁䅁兎睁䑁䅁䅉䩂䝁䄴䅤求䝁䅣杣桂䡁䅑党歂䍁䅁睔灂䝁䅷䅉流䍁䅁睒桂䡁䅍䅁穂䅁䅁䅇䅁䙁䅍杊兂䍁䅁兑呂䙁䅧䅉祁䑁䅁䅍䅁䡁䅅䅁奁䅁䅁睕流䙁䅁䅉乂䝁䅫䅚瑁䕁䅍兙睂䅁䅁䅤䅁䉁䅯䅁呂䙁䅁睕ㅁ䑁䅫䅎㉁䑁䅉䅍祁䑁䅣李䅁佁䜴䅁歁䅁䅁睕流䙁䅁䅉啂䙁䅍䅗杁䕁䅍睢瑂䡁䅁睢穂䝁䅫䅤求䅁䅁杤䅁䅁䄴䅁呂䕁䅉兓瑁䑁䅉䅍䅁䡁䅣䅁慁䅁䅁睕兂䙁䅍䅎硁䑁䅧䅎㕁䑁䅕䅍㑁䑁䅙䅁捄睂䅁杄䅁䙁䅍兒啂䑁䅅䅍睁䅁䅁入䅁䉁䅧䅁呂䕁䅕䅖ㅁ䑁䅁䅉䩂䝁䄴䅚求䡁䅧䅁㙂䅁䅁䅈䅁䙁䅍䅕呂䑁䅅睎㉁䑁䅫兎㉁䑁䅑睎㍁䑁䅧䅁㉃兂䅁䅅䅁䙁䅍兓啂䕁䅍兌噂䙁䅍䅁䝁允䅁䅓䅁䙁䅳睕兂䕁䅣睘䕂䕁䅍杒䉂䝁䄴兙獂䡁䅫督灂䡁䅍睘㉂䑁䅅杌㑂䝁䅷督瑂䙁䄰䅒䑂䕁䅙光歁䙁䅣䅊硁䑁䅍免䅁䑁䐰䅁歁䅁䅁睕佂䕁䅷䅉偂䝁䅙杚求䡁䅉兡畂䝁䅣䅉䱂䝁䅕入杁䅁䅁杍䅁䉁䅷䅁呂䙁䅁睕硁䑁䅧䅎㍁䑁䅫兏ㅁ䑁䅅李穁䅁䅁兲䅕䉁䅷䅁呂䙁䅁睕硁䑁䅣兏祁䑁䅙䅍㉁䑁䅧䅍㉁䅁䅁兄䅙䉁䅉䅁呂䕁䄴䅔剂䡁䅕党祂䡁䅫䅁偃䅁䅁杅䅁䙁䅍杔䵂䙁䅑兙楂䝁䅷党䅁䉁䅍䅁奁䅁䅁睕偂䕁䅙兓奂䍁䅁兓畂䝁䅑党㑂䅁䅁兦䅁䉁䅙䅁呂䙁䅁䅖時䕁䅍睔噂䙁䅁睔佂䅁䅁杭䅕䉁䅑䅁呂䙁䅁睒呂䝁䅍杣求䝁䅕杢䅁䵁䅕䅁奁䅁䅁睕兂䙁䅍免ぁ䑁䅁䅎ㅁ䑁䅙李睁䅁䅁朸䅕䉁䅧䅁呂䙁䅁睕硁䑁䅑䅍㉁䑁䅧兎睁䑁䅅䅁煁睂䅁䅇䅁䙁䅍䅕呂䑁䅅䅎硁䑁䅉睎穁䑁䅫杍䅁佁䙙䅁奁䅁䅁睕兂䙁䅍免ぁ䑁䅅睎睁䑁䅑杍㑁䅁䅁睋䅣䉁䅯䅁呂䙁䅁睕㉁䑁䅧睍ㅁ䑁䅉䅍穁䑁䅫兎䅁䙁䥫䅁慁䅁䅁睕兂䙁䅍免ぁ䑁䅍䅏祁䑁䅑䅏祁䑁䅣䅁䥂睂䅁䅈䅁䙁䅍䅕呂䑁䅅睎㉁䑁䅑䅍祁䑁䅅睍硁䑁䅁䅁㡂睂䅁杇䅁䙁䅍䅕呂䑁䅅李ㅁ䑁䅕睎祁䑁䅑睍睁䅁䅁朵䅙䉁䅯䅁呂䙁䅁睕硁䑁䅙兎ㅁ䑁䅣杍ぁ䑁䅍䅎䅁佁䝣䅁慁䅁䅁睕兂䙁䅍免㉁䑁䅕兎㍁䑁䅉䅎穁䑁䅧䅁潄杂䅁䅢䅁䙁䅳兔䩂䙁䄸兓佂䙁䅍睘䡂䕁䅷睔䍂䕁䅅䅔時䙁䅣兑䑂䕁䅍杌䉂䝁䄴兙獂䡁䅫督灂䡁䅍睘㉂䑁䅅杌㑂䝁䅷督瑂䙁䄰睖䉂䕁䅍睑桁䍁䅑兕歁䑁䅍睍㙁䍁䅑䅗歁䑁䅍睍䅁䭁䅕䅁慁䅁䅁睕兂䙁䅍免㉁䑁䅕兎㍁䑁䅉䅎ぁ䑁䅉䅁橄杂䅁李䅁䕁䄸䅣あ䝁䅫睢畂䡁䅍杏䑂䡁䅕杣祂䑁䄰兒噂䙁䅉䅌乂䝁䅅睚㥁䍁䅷杔䉂䑁䄰䅍䅁䉁䥣䅁慁䅁䅁睕兂䙁䅍免㉁䑁䅕兎㍁䑁䅉䅎ぁ䑁䅕䅁汄杂䅁䅈䅁䙁䅍䅕呂䑁䅅李㍁䑁䅅睎穁䑁䅑免穁䑁䅣䅁䱁杂䅁䅈䅁䙁䅍䅕呂䑁䅅李㍁䑁䅅睎穁䑁䅑免ぁ䑁䅁䅁䩂杂䅁䅈䅁䙁䅍䅕呂䑁䅅李㍁䑁䅅睎穁䑁䅑免ぁ䑁䅅䅁䅄兂䅁䅈䅁䙁䅍䅕呂䑁䅅李㍁䑁䅅睎穁䑁䅑免ぁ䑁䅉䅁歁杂䅁䅈䅁䙁䅍䅕呂䑁䅅兏穁䑁䅁䅍祁䑁䅅李㕁䑁䅧䅁扃杂䅁䅈䅁䙁䅍䅕呂䑁䅅李㍁䑁䅅睎穁䑁䅑免ぁ䑁䅍䅁䱂杂䅁䅈䅁䙁䅍䅕呂䑁䅅李㍁䑁䅅睎穁䑁䅑免ぁ䑁䅑䅁流杂䅁䅈䅁䙁䅍䅕呂䑁䅅李㍁䑁䅅睎穁䑁䅑免ぁ䑁䅕䅁䕄兂䅁䅈䅁䙁䅍䅕呂䑁䅅李㍁䑁䅅睎穁䑁䅑免ぁ䑁䅙䅁慁杂䅁䅈䅁䙁䅍䅕呂䑁䅅李㍁䑁䅅睎穁䑁䅑免ぁ䑁䅣䅁䵁杂䅁杒䅁䙁䅳睕兂䕁䅣睘䕂䕁䅍杒䉂䝁䄴兙獂䡁䅫督灂䡁䅍睘㉂䑁䅅杌㑂䝁䅷督瑂䙁䄰䅒䑂䕁䅙光歁䕁䅷䅊硁䑁䅍䅁楁兂䅁䅈䅁䙁䅍䅕呂䑁䅅李㍁䑁䅅睎穁䑁䅑免ぁ䑁䅧䅁牃兂䅁䅈䅁䙁䅍䅕呂䑁䅅李㍁䑁䅅睎穁䑁䅑免ㅁ䑁䅁䅁䭂杂䅁䅈䅁䙁䅍䅕呂䑁䅅睎㉁䑁䅫兎㉁䑁䅑睎㍁䑁䅫䅁偂杂䅁䅏䅁䙁䅑兙灂䡁䅣兙畂䍁䅁睕あ䝁䄸睙牂䍁䅁兒㑂䝁䅍䅡桂䝁䄴睚求䍁䅁兓畂䝁䅑党㑂䅁䅁睧䅁䉁䅷䅁呂䙁䅁睕硁䑁䅣李㕁䑁䅕李ぁ䑁䅣䅏睁䅁䅁兏䅙䉁䅷䅁呂䙁䅁睕硁䑁䅣李㕁䑁䅙李㍁䑁䅉䅎硁䅁䅁杉䅙䉁䅷䅁呂䙁䅁睕硁䑁䅣李㕁䑁䅙李㍁䑁䅉䅎祁䅁䅁杔䅙䉁䅯䅁呂䙁䅁睕ぁ䑁䅅䅏ぁ䑁䅫兎睁䑁䅧䅎䅁乁䡯䅁捁䅁䅁睕兂䙁䅍免㍁䑁䅫杍㉁䑁䅁李㍁䑁䅕李䅁䉁䜰䅁捁䅁䅁睕兂䙁䅍免㉁䑁䅣兎㉁䑁䅁杍㍁䑁䅙䅍䅁䝁䥕䅁慁䅁䅁睕兂䙁䅍䅎硁䑁䅧䅎㕁䑁䅕䅍㑁䑁䅕䅁扄睂䅁䅈䅁䙁䅍䅕呂䑁䅅睎㕁䑁䅉李睁䑁䅙睎ㅁ䑁䅣䅁剂杂䅁䅈䅁䙁䅍䅕呂䑁䅅睎㕁䑁䅉李睁䑁䅙睎ㅁ䑁䅧䅁摃兂䅁䅈䅁䙁䅍䅕呂䑁䅅睎㕁䑁䅉李睁䑁䅙睎㕁䑁䅁䅁婄兂䅁䅈䅁䙁䅍䅕呂䑁䅅睎㕁䑁䅉李睁䑁䅙睎㕁䑁䅅䅁祁杂䅁䅐䅁䙁䅑党祂䝁䄰兡畂䝁䅅䅤灂䝁䄸杢杁䕁䅑兙あ䝁䅕䅉潁䝁䄰兢癁䝁䅑䅚癁䡁䅫入㕂䡁䅫克䅁䍁䄴䅁捁䅁䅁睕兂䙁䅍免㍁䑁䅫杍㉁䑁䅁李㍁䑁䅫杍䅁偁䙧䅁捁䅁䅁睕兂䙁䅍免㍁䑁䅫杍㉁䑁䅁李㍁䑁䅫䅎䅁䱁䙷䅁捁䅁䅁睕兂䙁䅍免㍁䑁䅫杍㉁䑁䅁李㍁䑁䅫睎䅁䙁䝉䅁捁䅁䅁杔䉂䙁䅍䅒䉂䙁䅅睒呂䑁䅯杔坂䕁䅑兑䅁䱁䡙䅁捁䅁䅁睕兂䙁䅍免㍁䑁䅫杍㉁䑁䅁李㍁䑁䅫䅏䅁䭁䙁䅁捁䅁䅁睕兂䙁䅍免㍁䑁䅫杍㉁䑁䅁李㍁䑁䅫兏䅁䑁䝕䅁捁䅁䅁睕兂䙁䅍免㑁䑁䅑睎㕁䑁䅫兎硁䑁䅙兎䅁偁䙙䅁捁䅁䅁睕兂䙁䅍免㍁䑁䅫杍㉁䑁䅁李㑁䑁䅁䅍䅁䙁䝍䅁捁䅁䅁睕兂䙁䅍免㑁䑁䅑睎㕁䑁䅫兎硁䑁䅙䅎䅁䵁䙫䅁捁䅁䅁睕兂䙁䅍免㍁䑁䅫杍㉁䑁䅁李㑁䑁䅁免䅁䑁䝧䅁捁䅁䅁睕兂䙁䅍免㑁䑁䅑睎㕁䑁䅫兎硁䑁䅙免䅁偁䙳䅁捁䅁䅁睕兂䙁䅍免㍁䑁䅫杍㉁䑁䅁李㑁䑁䅁䅎䅁䍁䝍䅁捁䅁䅁睕兂䙁䅍免㍁䑁䅫杍㉁䑁䅁李㑁䑁䅁兎䅁䉁䝑䅁捁䅁䅁睕兂䙁䅍免㍁䑁䅫杍㉁䑁䅕兏㍁䑁䅫李䅁䙁䜰䅁捁䅁䅁睕兂䙁䅍免㍁䑁䅫杍㍁䑁䅣兎ぁ䑁䅉睍䅁䕁䝍䅁捁䅁䅁睕兂䙁䅍免㍁䑁䅫杍㍁䑁䅣兎ぁ䑁䅉兏䅁乁䙯䅁啂䅁䅁睗乂䕁䅫睘䕂䕁䅍杒䉂䝁䄴兙獂䡁䅫督灂䡁䅍睘㉂䑁䅅杌㑂䝁䅷督瑂䙁䄰䅒䑂䕁䅙光歁䕁䅙䅊祁䑁䅁兎㙁䍁䅑兔歁䑁䅉䅍ㅁ䅁䅁睗䅉䉁䅷䅁呂䙁䅁睕硁䑁䅣兏祁䑁䅣睎ㅁ䑁䅑睍ぁ䅁䅁兌䅙䉁䅷䅁呂䙁䅁睕硁䑁䅣兏祁䑁䅣睎ㅁ䑁䅑睍㑁䅁䅁䅓䅙䑁䅯䅁呂䝁䅕䅤あ䝁䅷党瑂䝁䅕杢あ䍁䅁䅒桂䡁䅑党杁䍁䅧兢瑂䍁䄸䅚歂䍁䄸入㕂䡁䅫入灁䅁䅁免䅁䉁䅷䅁呂䙁䅁睕硁䑁䅣兏㉁䑁䅑睍㑁䑁䅙䅍睁䅁䅁䅐䅣䉁䅷䅁呂䙁䅁睕硁䑁䅧杍穁䑁䅧兏㑁䑁䅁䅍祁䅁䅁䅗䅙䉁䅷䅁呂䙁䅁睕硁䑁䅧杍穁䑁䅫杍睁䑁䅣杍硁䅁䅁杶䅕䉁䅯䅁呂䙁䅁睕ㅁ䑁䅫兏㑁䑁䅕兏祁䑁䅁䅏䅁䝁䝉䅁捁䅁䅁睕兂䙁䅍免㑁䑁䅉䅎睁䑁䅑兎ぁ䑁䅕䅎䅁䍁䝯䅁捁䅁䅁睕兂䙁䅍免㑁䑁䅍睎ぁ䑁䅕免㕁䑁䅣睍䅁䑁䝙䅁捁䅁䅁睕兂䙁䅍免㑁䑁䅍睎ぁ䑁䅕免㕁䑁䅣䅎䅁䩁䙷䅁捁䅁䅁睕兂䙁䅍免㑁䑁䅍睎ぁ䑁䅕免㕁䑁䅣兎䅁䑁䝅䅁捁䅁䅁睕兂䙁䅍免㑁䑁䅍睎ぁ䑁䅕免㕁䑁䅣䅏䅁䑁䜸䅁捁䅁䅁睕兂䙁䅍免㑁䑁䅍睎ぁ䑁䅕免㕁䑁䅧䅍䅁䵁䘴䅁捁䅁䅁睕兂䙁䅍免㑁䑁䅍睎ぁ䑁䅕免㕁䑁䅧免䅁䵁䙅䅁捁䅁䅁睕兂䙁䅍免㑁䑁䅍睎ぁ䑁䅕免㕁䑁䅧杍䅁䱁䘸䅁捁䅁䅁睕兂䙁䅍免㑁䑁䅍睎ぁ䑁䅕免㕁䑁䅧睍䅁䑁䝣䅁捁䅁䅁睕兂䙁䅍免㑁䑁䅑睎㕁䑁䅫兎硁䑁䅁兎䅁偁䙑䅁捁䅁䅁睕兂䙁䅍免㑁䑁䅑睎㕁䑁䅫兎硁䑁䅁睎䅁佁䙯䅁捁䅁䅁睕兂䙁䅍免㑁䑁䅑睎㕁䑁䅫兎硁䑁䅁䅏䅁䅁䝍䅁捁䅁䅁睕兂䙁䅍免㑁䑁䅑睎㕁䑁䅫兎硁䑁䅁兏䅁佁䘴䅁流䅁䅁睕㍂䝁䅫督穂䍁䅁兔桂䡁䅉睡求䡁䅑䅉䩂䝁䄴䅚求䡁䅧䅁䍃䅁䅁杒䅁䙁䅳兔䩂䙁䄸䅒䑂䕁䅙兑畂䝁䅅䅢㕂䡁䅍兡穂䙁䄸杤硁䍁䄴䅥獂䡁䅍兢摂䕁䅑睑䝂䍁䅅䅊䉂䕁䅣䅊ぁ䑁䅣䅁歄杁䅁䅈䅁䙁䅍䅕呂䑁䅅䅏ぁ䑁䅣兏㕁䑁䅕免硁䑁䅁䅁桃兂䅁杇䅁䙁䅍䅕呂䑁䅙李㉁䑁䅙睍ㅁ䑁䅣睍ぁ䅁䅁眳䅣䉁䅷䅁呂䙁䅁睕硁䑁䅧䅎㍁䑁䅫兏ㅁ䑁䅅免硁䅁䅁儫䅕䝁䅯䅁偂䡁䅁䅤灂䝁䄸杢穂䑁䅯睑ㅂ䡁䅉杣㥁䙁䅕睕䕂䍁䅷兔桂䝁䅣児睁䍁䅷睑療䝁䄴杤乂䝁䅕䅤潂䝁䄸䅚㥁䕁䄰兓祂䝁䅕睙療䝁䄰兢求䝁䄴䅚求䝁䅑䅌佂䕁䅅児睁䅁䅁杅䅧䉁䅷䅁呂䙁䅁睕硁䑁䅧䅎㍁䑁䅫兏ㅁ䑁䅅杍㑁䅁䅁䅂䅙䙁䅑䅁扂䕁䄰兓時䕁䅑睑䝂䕁䅅杢桂䝁䅷入穂䝁䅫督時䡁䅙免畁䡁䅧䅢穂䝁䄰兘䕂䕁䅍杒桁䍁䅑睑塂䍁䅑兎睁䑁䅯䅊䑂䙁䅯䅊ㅁ䑁䅁䅁䡂杁䅁䅈䅁䙁䅍䅕呂䑁䅅䅏ぁ䑁䅣兏㕁䑁䅕免穁䑁䅁䅁楃兂䅁杇䅁䙁䅍䅕呂䑁䅙李睁䑁䅙杍ㅁ䑁䅁免㍁䅁䅁杏䅣䉁䅷䅁呂䙁䅁睕硁䑁䅧䅎㍁䑁䅫兏ㅁ䑁䅅睍祁䅁䅁儱䅕䝁䅑䅁扂䕁䄰兓時䕁䅣䅔偂䕁䅉兑䵂䙁䄸睖䉂䕁䅍睑䉂䝁䄴兙獂䡁䅫督灂䡁䅍睘㉂䑁䅉杌㑂䝁䅷督瑂䙁䄰睖䉂䕁䅍睑桁䍁䅑兕歁䑁䅍睍㙁䍁䅑兑䉂䍁䅑睍穁䅁䅁䄸䅁䉁䅷䅁呂䙁䅁睕硁䑁䅧䅎㍁䑁䅫兏ㅁ䑁䅅睍穁䅁䅁䅲䅕䝁䅷䅁扂䕁䄰兓時䕁䅫杔呂䙁䄸睒䵂䕁䄸村䉂䕁䅷睘塂䕁䅅睑䑂䍁䄴兑畂䝁䅅䅢㕂䡁䅍兡穂䙁䄸杤硁䍁䄴䅥獂䡁䅍兢摂䙁䅣兑䑂䕁䅍光歁䙁䅁䅊穁䑁䅙杏歁䙁䅁䅊ぁ䑁䅅䅁歃䅁䅁䅒䅁䙁䅳兔䩂䙁䄸䅒䑂䕁䅙兑畂䝁䅅䅢㕂䡁䅍兡穂䙁䄸杤硁䍁䄴䅥獂䡁䅍兢摂䕁䅑睑䝂䍁䅅䅊奂䍁䅑杍㕁䅁䅁杋䅉䉁䅷䅁呂䙁䅁睕硁䑁䅧</t>
  </si>
  <si>
    <t>䅎㍁䑁䅫兏ㅁ䑁䅅睍ぁ䅁䅁䅹䅕䉁䅷䅁呂䙁䅁睕硁䑁䅧䅎㍁䑁䅫兏ㅁ䑁䅅睍ㅁ䅁䅁儹䅕䉁䅷䅁呂䙁䅁睕硁䑁䅧䅎㍁䑁䅫兏ㅁ䑁䅅睍㉁䅁䅁杵䅕䉁䅷䅁呂䙁䅁睕硁䑁䅧䅎㍁䑁䅫兏ㅁ䑁䅅睍㍁䅁䅁眶䅕䉁䅷䅁呂䙁䅁睕硁䑁䅧䅎㍁䑁䅫兏ㅁ䑁䅅睎祁䅁䅁眱䅕䉁䅷䅁佂䕁䅅睕䕂䕁䅅兕䡂䙁䅍杏坂䙁䅉睕䱂䅁䅁䅘䅣䉁䅷䅁呂䙁䅁睕硁䑁䅧䅎㍁䑁䅫兏ㅁ䑁䅅睎穁䅁䅁杲䅕䉁䅷䅁呂䙁䅁睕硁䑁䅧䅎㍁䑁䅫兏ㅁ䑁䅅睎ㅁ䅁䅁眹䅕䉁䅷䅁呂䙁䅁睕硁䑁䅧䅎㍁䑁䅫兏ㅁ䑁䅅睎㉁䅁䅁睵䅕䝁䅧䅁扂䕁䄰兓時䕁䅣䅔偂䕁䅉兑䵂䙁䄸睖䉂䕁䅍睑䉂䝁䄴兙獂䡁䅫督灂䡁䅍睘㉂䑁䅅杌㑂䝁䅷督瑂䙁䄰睖䉂䕁䅍睑桁䍁䅑睑偂䍁䅑䅎祁䑁䅯䅊䑂䕁䄸䅊㍁䑁䅁睍䅁䱁䅕䅁捁䅁䅁睕兂䙁䅍免㑁䑁䅑睎㕁䑁䅫兎硁䑁䅣睎䅁佁䘰䅁捁䅁䅁睕兂䙁䅍免㑁䑁䅑睎㕁䑁䅫兎硁䑁䅣䅏䅁䅁䝣䅁捁䅁䅁睕兂䙁䅍免㑁䑁䅑睎㕁䑁䅫兎硁䑁䅧䅍䅁䭁䙍䅁捁䅁䅁睕兂䙁䅍免㑁䑁䅑睎㕁䑁䅫兎硁䑁䅧免䅁偁䙷䅁捁䅁䅁睕兂䙁䅍免㑁䑁䅑睎㕁䑁䅫兎硁䑁䅧䅎䅁䵁䙳䅁卂䅁䅁睗乂䕁䅫睘䕂䕁䅍杒䉂䝁䄴兙獂䡁䅫督灂䡁䅍睘㉂䑁䅅杌㑂䝁䅷督瑂䙁䄰䅒䑂䕁䅙光歁䙁䅧䅊ぁ䑁䅧杏歁䕁䅅兒歁䑁䅑䅏䅁佁䍣䅁捁䅁䅁睕兂䙁䅍免㑁䑁䅑睎㕁䑁䅫兎穁䑁䅧䅍䅁䵁䙕䅁捁䅁䅁睕兂䙁䅍免㑁䑁䅑睎㕁䑁䅫兎穁䑁䅧䅎䅁䱁䙣䅁捁䅁䅁睕兂䙁䄸睕䥂䕁䅅杕䙂䙁䅍睘偂䙁䅕䅖䅁䝁䈰䅁捁䅁䅁睕兂䙁䅍免㑁䑁䅑睎㕁䑁䅫兎穁䑁䅧睎䅁䱁䙉䅁捁䅁䅁睕兂䙁䅍免㑁䑁䅑睎㕁䑁䅫兎穁䑁䅫䅍䅁䵁䙙䅁捁䅁䅁睕兂䙁䅍免㑁䑁䅑睎㕁䑁䅫兎穁䑁䅫免䅁䅁䝁䅁捁䅁䅁睕兂䙁䅍免㑁䑁䅑睎㕁䑁䅫兎穁䑁䅫杍䅁乁䙷䅁捁䅁䅁睕兂䙁䅍免㑁䑁䅑睎㕁䑁䅫兎穁䑁䅫䅎䅁䱁䙧䅁捁䅁䅁睕兂䙁䅍免㑁䑁䅑睎㕁䑁䅫兎穁䑁䅫兎䅁䕁䝙䅁捁䅁䅁睕兂䙁䅍免㑁䑁䅑睎㕁䑁䅫兎穁䑁䅫睎䅁䱁䙍䅁佁䅁䅁杒䕂䙁䅍兌噂䙁䅍䅁敂睂䅁䅈䅁䙁䅍䅕呂䑁䅅䅏㑁䑁䅣䅍穁䑁䅁兏ぁ䑁䅉䅁橄兂䅁䅈䅁䙁䅍䅕呂䑁䅅䅏㑁䑁䅣䅍穁䑁䅁兏ぁ䑁䅍䅁䥁杂䅁杇䅁䙁䅍䅕呂䑁䅕李㍁䑁䅍䅏祁䑁䅕䅎㑁䅁䅁杊䅧䉁䅷䅁呂䙁䅁睕硁䑁䅧䅏㍁䑁䅁睍睁䑁䅫䅎ぁ䅁䅁杗䅙䉁䅷䅁呂䙁䅁睕硁䑁䅧䅏㍁䑁䅁睍睁䑁䅫䅎ㅁ䅁䅁杷䅕䉁䅷䅁呂䙁䅁睕硁䑁䅧䅏㍁䑁䅁睍睁䑁䅫䅎㉁䅁䅁杆䅙䑁䅧䅁䩂䙁䅅睘啂䕁䄸䅖䉂䕁䅷睘卂䕁䅕杖時䑁䅅兗卂䙁䄸兑佂䕁䄴睘䡂䙁䅉睔塂䙁䅑䅓䅁䭁䡙䅁捁䅁䅁睕兂䙁䅍免㑁䑁䅧睎睁䑁䅍䅍㕁䑁䅑䅏䅁䕁䝁䅁捁䅁䅁睕兂䙁䅍免㑁䑁䅧睎睁䑁䅍䅍㕁䑁䅕䅍䅁䵁䘰䅁歂䅁䅁睗乂䕁䅫睘䡂䕁䅷睔䍂䕁䅅䅔時䙁䅣兑䑂䕁䅍兑畂䝁䅅䅢㕂䡁䅍兡穂䙁䄸杤硁䍁䄴䅥獂䡁䅍兢摂䙁䅣兑䑂䕁䅍光歁䙁䅅䅊穁䑁䅑杏歁䕁䅅兑歁䑁䅍䅎䅁乁䅳䅁捁䅁䅁睕兂䙁䅍免㑁䑁䅧睎睁䑁䅍䅍㕁䑁䅕䅎䅁䙁䝳䅁捁䅁䅁睕兂䙁䅍免㑁䑁䅧睎睁䑁䅍䅍㕁䑁䅕兎䅁䵁䙍䅁捁䅁䅁睕兂䙁䅍免㑁䑁䅧睎睁䑁䅍䅍㕁䑁䅕睎䅁佁䙅䅁捁䅁䅁睕兂䙁䅍免㕁䑁䅅睎睁䑁䅁䅏㕁䑁䅫䅏䅁䕁䡑䅁坂䅁䅁睗呂䙁䅁睒時䕁䅑睑䝂䕁䅅杢桂䝁䅷入穂䝁䅫督時䡁䅙免畁䡁䅧䅢穂䝁䄰兘䕂䕁䅍杒桁䍁䅑兑䵂䍁䅑兎㕁䑁䅯䅊䉂䕁䅷䅊㍁䑁䅉䅁瑁睁䅁䅈䅁䙁䅍䅕呂䑁䅅兏祁䑁䅧䅏㉁䑁䅁李硁䑁䅉䅁䝂睂䅁杇䅁䙁䅍䅕呂䑁䅉䅍㑁䑁䅣杍㕁䑁䅫杍睁䅁䅁睎䅣䉁䅷䅁呂䙁䅁睕硁䑁䅫睍睁䑁䅉兎㉁䑁䅁䅏㍁䅁䅁杭䅙䉁䅷䅁呂䙁䅁睕硁䑁䅫睍睁䑁䅉兎㉁䑁䅁䅏㑁䅁䅁兯䅙䉁䅯䅁呂䙁䅁睕祁䑁䅣杍睁䑁䅑睍㕁䑁䅉䅏䅁偁䝷䅁慁䅁䅁睕兂䙁䅍李㑁䑁䅉杍硁䑁䅉睍㍁䑁䅉䅁䙄睂䅁䅈䅁䙁䅍䅕呂䑁䅅兏穁䑁䅁杍ㅁ䑁䅙䅍㕁䑁䅁䅁权杂䅁杖䅁䙁䅳睕兂䕁䅣睘䕂䕁䅍杒䉂䝁䄴兙獂䡁䅫督灂䡁䅍睘㉂䑁䅅杌㑂䝁䅷督瑂䙁䄰䅒䑂䕁䅙光歁䕁䅍兒歁䑁䅕睍㙁䍁䅑睑䡂䍁䅑兎穁䅁䅁睥䅍䉁䅷䅁呂䙁䅁睕硁䑁䅫睍睁䑁䅉兎㉁䑁䅁兏硁䅁䅁䅮䅙䉁䅯䅁呂䙁䅁睕祁䑁䅕免㕁䑁䅅李硁䑁䅫兎䅁䑁䡅䅁坁䅁䅁睕兂䙁䅍杍㉁䑁䅁李祁䑁䅉䅏䅁䕁䡯䅁卂䅁䅁睗乂䕁䅫睘䕂䕁䅍杒䉂䝁䄴兙獂䡁䅫督灂䡁䅍睘㉂䑁䅅杌㑂䝁䅷督瑂䙁䄰䅒䑂䕁䅙光歁䙁䅧䅊ぁ䑁䅣杏歁䕁䅅兒歁䑁䅑睎䅁佁䍙䅁慁䅁䅁睕兂䙁䅍杍㍁䑁䅉䅍ぁ䑁䅍兏祁䑁䅣䅁㝄杂䅁杇䅁䙁䅍䅕呂䑁䅉睎祁䑁䅅免㍁䑁䅙免ㅁ䅁䅁睌䅣䉁䅯䅁呂䙁䅁睕祁䑁䅣杍硁䑁䅅睎㉁䑁䅅李䅁䑁䡁䅁流䅁䅁睕兂䙁䄸䅖䩂䕁䅍睓䙂䙁䅉睘䙂䙁䅧睑䥂䕁䅅杔䡂䕁䅕䅁䱃兂䅁杇䅁䙁䅍䅕呂䑁䅉䅏㑁䑁䅣免㑁䑁䅫睎㑁䅁䅁䅶䅙䉁䅯䅁呂䙁䅁睕祁䑁䅧䅏㍁䑁䅅䅏㕁䑁䅣兏䅁䱁䜰䅁慁䅁䅁睕兂䙁䅍杍㑁䑁䅧睎硁䑁䅧兏㑁䑁䅍䅁䑄杂䅁杇䅁䙁䅍䅕呂䑁䅉䅏㑁䑁䅣免㑁䑁䅫䅏㉁䅁䅁杸䅙䉁䅯䅁呂䙁䅁睕祁䑁䅧䅏㍁䑁䅅䅏㕁䑁䅫䅏䅁偁䝯䅁兂䅁䅁睗乂䕁䅫睘䕂䕁䅍杒䉂䝁䄴兙獂䡁䅫督灂䡁䅍睘㉂䑁䅅杌㑂䝁䅷督瑂䙁䄰䅒䑂䕁䅙光歁䕁䅧䅊㕁䑁䅙杏歁䕁䄰䅊㕁䑁䅙䅁乂杁䅁䅕䅁䙁䅳兔䩂䙁䄸䅒䑂䕁䅙兑畂䝁䅅䅢㕂䡁䅍兡穂䙁䄸杤硁䍁䄴䅥獂䡁䅍兢摂䕁䅑睑䝂䍁䅅䅊䥂䍁䅑兏ㅁ䑁䅯䅊乂䍁䅑兏ㅁ䅁䅁睓䅉䉁䅯䅁呂䙁䅁睕穁䑁䅅䅎硁䑁䅑杍㍁䑁䅑睎䅁䵁䝳䅁慁䅁䅁睕兂䙁䅍睍硁䑁䅫䅏ぁ䑁䅅睍㉁䑁䅕䅁䵄杂䅁杇䅁䙁䅍䅕呂䑁䅍免㕁䑁䅧䅎硁䑁䅍李㉁䅁䅁兺䅙䉁䅷䅁呂䙁䅁睕硁䑁䅧兎㕁䑁䅧免㍁䑁䅍䅎㉁䅁䅁䄷䅣䉁䅧䅁呂䙁䅁睕穁䑁䅉杍硁䑁䅫兏㑁䑁䅧䅁祁睂䅁䅇䅁䙁䅍䅕呂䑁䅍杍祁䑁䅅兏㕁䑁䅫杍䅁䍁䠴䅁䵂䅁䅁兔灂䝁䅍杣療䡁䅍睢浂䡁䅑䅉䑂䝁䄸杣睂䝁䄸杣桂䡁䅑兡療䝁䄴䅉潁䕁䄴兑呂䕁䅑兑剂䕁䅣睕㙁䕁䄰睕䝂䙁䅑克䅁䭁䠸䅁慁䅁䅁睕兂䙁䅍睍祁䑁䅕䅏硁䑁䅧兎㉁䑁䅁䅁楄兂䅁杇䅁䙁䅍䅕呂䑁䅍杍㍁䑁䅁免ㅁ䑁䅧䅎硁䅁䅁䅕䅙䉁䅧䅁呂䙁䅁睕ぁ䑁䅁兎㉁䑁䅁睍㍁䑁䅙䅁䱂睂䅁杖䅁䍁䅣睗呂䙁䅁睒時䕁䅑睑䝂䙁䄸兑畂䝁䅅䅢㕂䡁䅍兡穂䙁䄸杤硁䍁䅁䅋祁䍁䅫杌㑂䝁䅷督瑂䙁䄰䅒䑂䕁䅙睊桁䍁䅑兑奂䍁䅑兎㍁䅁䅁兰䅣䉁䅷䅁呂䙁䅁睕硁䑁䅫䅎祁䑁䅅䅍睁䑁䅧兎穁䅁䅁村䅧䉁䅯䅁呂䙁䅁睕ぁ䑁䅁睎ぁ䑁䅫杍㉁䑁䅣䅎䅁䑁䜴䅁奁䅁䅁睕兂䙁䅍䅎㕁䑁䅕免睁䑁䅅䅏祁䅁䅁䅉䅙䉁䅯䅁呂䙁䅁睕ぁ䑁䅁兏㍁䑁䅕免睁䑁䅅兎䅁䵁䜸䅁慁䅁䅁睕兂䙁䅍䅎睁䑁䅫睎ㅁ䑁䅅免睁䑁䅍䅁㥄杂䅁杇䅁䙁䅍䅕呂䑁䅙李㉁䑁䅅免ぁ䑁䅕兏ㅁ䅁䅁䅅䅙䉁䅯䅁呂䙁䅁睕ぁ䑁䅁兏㍁䑁䅕免硁䑁䅁䅎䅁偁䜴䅁慁䅁䅁睕兂䙁䅍䅎硁䑁䅣兏硁䑁䅧䅏㑁䑁䅉䅁湁杂䅁杇䅁䙁䅍䅕呂䑁䅑杍㉁䑁䅣睎ㅁ䑁䅁䅎㕁䅁䅁睏䅣䉁䅯䅁呂䙁䅁睕ぁ䑁䅍免硁䑁䅕䅏㕁䑁䅫䅏䅁䑁䝁䅁慁䅁䅁睕兂䙁䅍兎㕁䑁䅑兎睁䑁䅍睍㍁䑁䅑䅁乁睂䅁杇䅁䙁䅍䅕呂䑁䅕兏ぁ䑁䅕䅍穁䑁䅍睎ㅁ䅁䅁杄䅣䕁䅙䅁扂䕁䄰兓時䕁䅑睑䝂䕁䅅杢桂䝁䅷入穂䝁䅫督時䡁䅙免畁䡁䅧䅢穂䝁䄰兘䕂䕁䅍杒桁䍁䅑兑偂䍁䅑兎穁䅁䅁眸䅉䉁䄴䅁佂䕁䅅睕䕂䕁䅅兕䡂䙁䅍杏䡂䕁䄸睔䡂䕁䅷䅁㕃睂䅁杇䅁䙁䅍䅕呂䑁䅕兏ぁ䑁䅕䅍穁䑁䅍睎㑁䅁䅁充䅣䉁䅯䅁呂䙁䅁睕ㅁ䑁䅫䅎ㅁ䑁䅁睍穁䑁䅧䅍䅁乁䝅䅁慁䅁䅁睕兂䙁䅍兎㕁䑁䅑兎睁䑁䅍睍㑁䑁䅅䅁卄杂䅁杇䅁䙁䅍䅕呂䑁䅕兏ぁ䑁䅕䅍穁䑁䅍䅏祁䅁䅁眰䅙䉁䅯䅁呂䙁䅁睕ㅁ䑁䅫䅎ㅁ䑁䅁睍穁䑁䅧李䅁乁䝣䅁敂䅁䅁睗乂䕁䅫睘塂䙁䅣睘塂䕁䅅睑䑂䕁䅅杢桂䝁䅷入穂䝁䅫督時䡁䅙免畁䡁䅧䅢穂䝁䄰兘塂䕁䅅睑䑂䍁䅅䅊䑂䙁䅍䅊穁䑁䅫杏歁䕁䅍杖歁䑁䅍兏䅁偁䄰䅁慁䅁䅁睕兂䙁䅍兎㕁䑁䅑兎睁䑁䅍睍㑁䑁䅣䅁奄杂䅁杇䅁䙁䅍䅕呂䑁䅕兏ぁ䑁䅕䅍穁䑁䅍兏祁䅁䅁䄳䅙䕁䅷䅁䑂䝁䄸兡畂䝁䅉兙穂䝁䅕䅉䡂䝁䅷睢楂䝁䅅䅢獁䍁䅁兓畂䝁䅍杌杁䍁䅧杔䉂䙁䅍䅒䉂䙁䅅睒呂䑁䅯睑偂䕁䅫杔灁䅁䅁䅢䅣䉁䅯䅁呂䙁䅁睕ㅁ䑁䅫䅎ㅁ䑁䅁睍穁䑁䅫睍䅁乁䜰䅁慁䅁䅁睕兂䙁䅍兎㕁䑁䅑兎睁䑁䅍睍㕁䑁䅑䅁敄杂䅁杇䅁䙁䅍䅕呂䑁䅕兏ぁ䑁䅕䅍穁䑁䅍兏ㅁ䅁䅁眳䅙䉁䅯䅁呂䙁䅁睕ㅁ䑁䅫䅎ㅁ䑁䅁睍穁䑁䅫睎䅁佁䝅䅁慁䅁䅁睕兂䙁䅍兎㕁䑁䅑兎睁䑁䅍睍㕁䑁䅫䅁楄杂䅁杇䅁䙁䅍䅕呂䑁䅕兏ぁ䑁䅕䅍穁䑁䅑䅍硁䅁䅁睁䅣䉁䅯䅁呂䙁䅁睕ㅁ䑁䅫䅎ㅁ䑁䅁睍ぁ䑁䅁杍䅁䅁䡑䅁慁䅁䅁睕兂䙁䅍兎㕁䑁䅑李祁䑁䅁杍㉁䑁䅣䅁ぁ睂䅁䅗䅁䙁䅳兔䩂䙁䄸睒䵂䕁䄸村䉂䕁䅷睘塂䕁䅅睑䑂䕁䅅杢桂䝁䅷入穂䝁䅫督時䡁䅙免畁䡁䅧䅢穂䝁䄰兘塂䕁䅅睑䑂䍁䅅䅊䑂䙁䅙䅊穁䑁䅣䅁㍃䅁䅁杇䅁䙁䅍䅕呂䑁䅕兏ぁ䑁䅕䅍穁䑁䅑䅍ㅁ䅁䅁杂䅣䉁䅯䅁呂䙁䅁睕ㅁ䑁䅫䅎ㅁ䑁䅁睍ぁ䑁䅁睎䅁䅁䡣䅁捁䅁䅁睕兂䙁䅍免㍁䑁䅧䅍穁䑁䅫兎穁䑁䅁兏䅁䑁䥫䅁慁䅁䅁睕兂䙁䅍兎㕁䑁䅑兎睁䑁䅍䅎睁䑁䅫䅁䥁睂䅁杇䅁䙁䅍䅕呂䑁䅕兏ぁ䑁䅙杍睁䑁䅉睎睁䅁䅁儶䅙䉁䅯䅁呂䙁䅁睕ㅁ䑁䅫䅎ㅁ䑁䅁睍ぁ䑁䅅杍䅁䉁䡷䅁佁䅁䅁䅖卂䙁䅕兌噂䙁䅍䅁湂睂䅁杇䅁䙁䅍䅕呂䑁䅕兏ぁ䑁䅙杍睁䑁䅉睎硁䅁䅁朶䅙䉁䅯䅁呂䙁䅁睕ㅁ䑁䅫䅎ㅁ䑁䅁睍ぁ䑁䅅睍䅁䉁䠰䅁慁䅁䅁睕兂䙁䅍兎㕁䑁䅑李祁䑁䅁杍㍁䑁䅣䅁癄杂䅁杇䅁䙁䅍䅕呂䑁䅕兏ぁ䑁䅕䅍穁䑁䅑免ㅁ䅁䅁杈䅣䉁䅯䅁呂䙁䅁睕ㅁ䑁䅫䅎ㅁ䑁䅁睍ぁ䑁䅅李䅁䉁䠸䅁慁䅁䅁睕兂䙁䅍睍祁䑁䅕䅏硁䑁䅧䅍㕁䑁䅧䅁時䅃䅁杕䅁䙁䅳兔䩂䙁䄸䅒䑂䕁䅙兑畂䝁䅅䅢㕂䡁䅍兡穂䙁䄸杤硁䍁䄴䅥獂䡁䅍兢摂䕁䅑睑䝂䍁䅅䅊奂䍁䅑䅎ㅁ䑁䅯䅊䉂䕁䅕䅊ぁ䑁䅕䅁䑂杁䅁杇䅁䙁䅍䅕呂䑁䅕兏ぁ䑁䅙杍睁䑁䅉睎ㅁ䅁䅁儷䅙䉁䅷䅁灂䡁䅅睘療䝁䅙杚求䡁䅉睘歂䝁䅅䅤求䅁䅁允䅑䉁䅯䅁呂䙁䅁睕ㅁ䑁䅫䅎ㅁ䑁䅁睍ぁ䑁䅅睎䅁䍁䡁䅁慁䅁䅁睕兂䙁䅍兎㕁䑁䅑兎睁䑁䅍䅎祁䑁䅉䅁啁睂䅁杇䅁䙁䅍䅕呂䑁䅕兏ぁ䑁䅕䅍穁䑁䅑杍穁䅁䅁兆䅣䉁䅷䅁呂䙁䅁睕硁䑁䅧兎㕁䑁䅉睎㕁䑁䅑䅏硁䅁䅁眴䅣䉁䅯䅁呂䙁䅁睕ㅁ䑁䅫䅎ㅁ䑁䅁睍ぁ䑁䅉䅎䅁䉁䡙䅁慁䅁䅁睕兂䙁䅍兎㕁䑁䅑李祁䑁䅁杍㉁䑁䅫䅁㉁睂䅁杊䅁䙁䅳村療䝁䄸睡硁䙁䄰睕潂䝁䅕党あ䑁䅅光歁䕁䄴䅊硁䅁䅁睆䅁䉁䅯䅁呂䙁䅁睕ㅁ䑁䅫䅎㉁䑁䅉䅍祁䑁䅧䅍䅁䍁䡍䅁慁䅁䅁睕兂䙁䅍兎㕁䑁䅑李祁䑁䅁杍㑁䑁䅕䅁歁睂䅁杇䅁䙁䅍䅕呂䑁䅕兏ぁ䑁䅙杍睁䑁䅉䅏㍁䅁䅁兊䅣䉁䅯䅁呂䙁䅁睕ㅁ䑁䅫䅎㉁䑁䅉䅍祁䑁䅧䅏䅁䍁䡙䅁慁䅁䅁睕兂䙁䅍兎㕁䑁䅑李祁䑁䅁杍㕁䑁䅁䅁㑁睂䅁杇䅁䙁䅍䅕呂䑁䅙䅍睁䑁䅁李㑁䑁䅑李㕁䅁䅁兴䅕䉁䅯䅁呂䙁䅁睕㉁䑁䅅杍㑁䑁䅑睎ぁ䑁䅉李䅁䭁䙣䅁慁䅁䅁睕兂䙁䅍李硁䑁䅉䅏ぁ䑁䅣䅎祁䑁䅣䅁潃兂䅁䅎䅁䙁䅳村療䝁䄸睡硁䙁䄰睕潂䝁䅕党あ䑁䅅光歁䕁䅳䅊硁䑁䅍杏歁䕁䅳䅊硁䑁䅧䅁晁䅁䅁杇䅁䙁䅍䅕呂䑁䅙免祁䑁䅧䅎㍁䑁䅑杍㑁䅁䅁共䅕䉁䅧䅁呂䙁䅁睕㉁䑁䅑兎㉁䑁䅍䅎㑁䑁䅧䅁䙂睂䅁杇䅁䙁䅍䅕呂䑁䅙兎穁䑁䅑睎ㅁ䑁䅉䅏ぁ䅁䅁睏䅙䙁䅙䅁扂䙁䅍䅕䡂䙁䄸䅒䑂䕁䅙兑畂䝁䅅䅢㕂䡁䅍兡穂䙁䄸杤硁䍁䄴䅥獂䡁䅍兢摂䕁䅑睑䝂䍁䅅䅊奂䍁䅑免ぁ䑁䅉杏歁䙁䅧䅊硁䑁䅑睍䅁䕁䑍䅁䝂䅁䅁睗乂䕁䅫睘䕂䕁䅍杒䉂䝁䄴兙獂䡁䅫督灂䡁䅍睘㉂䑁䅅杌㑂䝁䅷督瑂䙁䄰䅒䑂䕁䅙光歁䙁䅧䅊硁䑁䅉䅏䅁佁䈸䅁慁䅁䅁睕兂䙁䅍李ㅁ䑁䅍䅎㍁䑁䅕杍㑁䑁䅕䅁㡁杂䅁杇䅁䙁䅍䅕呂䑁䅙兎穁䑁䅑睎ㅁ䑁䅣杍祁䅁䅁兗䅙䉁䅯䅁呂䙁䅁睕㉁䑁䅕兏ぁ䑁䅑李㍁䑁䅧睎䅁䍁䡣䅁慁䅁䅁睕兂䙁䅍李ㅁ䑁䅫䅎ぁ䑁䅙䅏㕁䑁䅍䅁⽄杂䅁杇䅁䙁䅍䅕呂䑁䅙兎㕁䑁䅑䅎㉁䑁䅧兏ぁ䅁䅁䅁䅣䉁䅯䅁呂䙁䅁睕㉁䑁䅕兏ぁ䑁䅑李㕁䑁䅧䅎䅁䍁䡧䅁奁䅁䅁睕兂䙁䅍李㉁䑁䅉兎睁䑁䅑䅏㍁䅁䅁兑䅣䉁䅯䅁呂䙁䅁睕㉁䑁䅙李硁䑁䅅䅎ㅁ䑁䅫李䅁䉁䝅䅁慁䅁䅁睕兂䙁䅍李㉁䑁䅙免硁䑁䅑兎㕁䑁䅣䅁十杂䅁杇䅁䙁䅍䅕呂䑁䅙李㉁䑁䅅免ぁ䑁䅕兏㑁䅁䅁睅䅙䉁䅯䅁呂䙁䅁睕㉁䑁䅙睎㉁䑁䅕睍硁䑁䅍李䅁䅁䡫䅁䝂䅁䅁睗乂䕁䅫睘䕂䕁䅍杒䉂䝁䄴兙獂䡁䅫督灂䡁䅍睘㉂䑁䅅杌㑂䝁䅷督瑂䙁䄰䅒䑂䕁䅙光歁䕁䅅睒歁䑁䅑杍䅁䥁䍉䅁慁䅁䅁睕兂䙁䅍李㉁䑁䅣李ㅁ䑁䅍免穁䑁䅣䅁䭁睂䅁杇䅁䙁䅍䅕呂䑁䅙李㍁䑁䅙兎穁䑁䅅睍㑁䅁䅁睃䅣䉁䅯䅁呂䙁䅁睕穁䑁䅣䅏ㅁ䑁䅉兏㉁䑁䅉杍䅁佁䠴䅁奁䅁䅁睕兂䙁䅍兎㕁䑁䅁䅎ぁ䑁䅉䅎㉁䅁䅁䄶䅣䉁䅯䅁呂䙁䅁睕㉁䑁䅙睎㉁䑁䅕睍硁䑁䅍兏䅁䅁䡷䅁䕂䅁䅁睗乂䕁䅫睘䕂䕁䅍杒䉂䝁䄴兙獂䡁䅫督灂䡁䅍睘㉂䑁䅅杌㑂䝁䅷督瑂䙁䄰䅒䑂䕁䅙光歁䙁䅕䅊ぁ䑁䅁䅁桄允䅁杇䅁䙁䅍䅕呂䑁䅙李㍁䑁䅙兎穁䑁䅅䅎硁䅁䅁杇䅣䉁䅯䅁呂䙁䅁睕㍁䑁䅁䅍㕁䑁䅁李㕁䑁䅍李䅁䝁䝁䅁奁䅁䅁睕兂䙁䅍䅏ぁ䑁䅑兏㍁䑁䅙杍ぁ䅁䅁儵䅕䉁䅙䅁呂䙁䅁䅖祁䑁䅙睍穁䑁䅙睎硁䅁䅁杌䅕䉁䅯䅁呂䙁䅁䅖卂䕁䄸免㉁䑁䅫䅍穁䑁䅙杍䅁䝁䍅䅁慁䅁䅁睕兂䙁䅑杕偂䑁䅅睎㍁䑁䅑杍祁䑁䅅䅁楂杁䅁杊䅁䙁䅳村療䝁䄸睡硁䙁䄰睕潂䝁䅕党あ䑁䅅光歁䕁䅉䅊硁䅁䅁充䅁䉁䅯䅁呂䙁䅁䅖卂䕁䄸免㍁䑁䅧兎祁䑁䅧兏䅁䝁䍍䅁ぁ䅁䅁睗䍂䝁䄸睢牂䑁䅅兘呂䝁䅧党求䡁䅑免桁䍁䅑睓歁䑁䅅睍㙁䍁䅑睓歁䑁䅉睍䅁䑁䅍䅁捁䅁䅁睕兂䙁䅑杕時䕁䅅杔佂䙁䄸䅒䉂䙁䅑兒䅁䙁䌸䅁捁䅁䅁睕兂䙁䅑杕時䕁䅑兓坂䙁䄸杕䉂䙁䅑兒䅁䙁䌰䅁䝂䅁䅁睗乂䕁䅫睘䕂䕁䅍杒䉂䝁䄴兙獂䡁䅫督灂䡁䅍睘㉂䑁䅅杌㑂䝁䅷督瑂䙁䄰䅒䑂䕁䅙光歁䙁䅫䅊硁䑁䅑䅍䅁偁䍙䅁慁䅁䅁睕兂䙁䄸村偂䕁䄴䅒時䕁䅷兓呂䙁䅑䅁塃兂䅁䅖䅁䙁䅳睕兂䕁䅣睘䕂䕁䅍杒䉂䝁䄴兙獂䡁䅫督灂䡁䅍睘㉂䑁䅅杌㑂䝁䅷督瑂䙁䄰䅒䑂䕁䅙光歁䙁䅧䅊ぁ䑁䅧杏歁䕁䅅兒歁䑁䅑䅏䅁䑁䑉䅁允䅁䅁睕兂䙁䄸睑偂䕁䅣睕䅁䡁䝍䅁捁䅁䅁睕兂䙁䄸睑偂䕁䄰䅕䉂䕁䄴兗時䕁䅫䅒䅁䥁䙫䅁煁䅁䅁睕兂䙁䄸睑偂䕁䄰䅕䉂䕁䄴兗時䕁䄴兑乂䕁䅕睘䉂䕁䅉村卂䅁䅁杫䅙䕁䅙䅁扂䕁䄰兓時䕁䅑睑䝂䕁䅅杢桂䝁䅷入穂䝁䅫督時䡁䅙免畁䡁䅧䅢穂䝁䄰兘䕂䕁䅍杒桁䍁䅑杗歁䑁䅅䅎硁䅁䅁八䅉䍁䅁䅁呂䙁䅁睘䑂䕁䄸兖佂䙁䅑杕婂䙁䄸杔䉂䕁䄰兒䅁䩁䝑䅁啂䅁䅁睗乂䕁䅫睘䕂䕁䅍杒䉂䝁䄴兙獂䡁䅫督灂䡁䅍睘㉂䑁䅅杌㑂䝁䅷督瑂䙁䄰䅒䑂䕁䅙光歁䕁䅕䅊祁䑁䅁䅏㙁䍁䅑兒歁䑁䅉杍㑁䅁䅁眹䅅䉁䅯䅁呂䙁䅁睘乂䕁䅅杕䱂䕁䅕䅖䑂䕁䅅䅕䅁䥁䘴䅁敁䅁䅁睕兂䙁䄸䅕卂䕁䅫睑䙂䙁䄸睑䵂䕁䄸睕䙂䅁䅁內䅙䉁䅯䅁呂䙁䅁睕ㅁ䑁䅙免㕁䑁䅧杍㑁䑁䅉兏䅁䩁䡁䅁捁䅁䅁睕兂䙁䄸杕䉂䙁䅑兒時䙁䅙兑䵂䙁䅕兒䅁䑁䙅䅁杁䅁䅁睕兂䙁䄸䅖偂䙁䅑兑䵂䙁䄸杕䙂䙁䅑兖卂䕁䄴䅁呄䅁䅁杍䅁䙁䅍䅖偂䙁䅧䅗杁䕁䅕兙穂䡁䅑党祂䝁䄴䅉䙂䡁䅕杣療䡁䅁党杁䑁䅍䅍睁䅁䅁睦䅁䍁䅉䅁呂䙁䅑睔奂䙁䅧䅉䙂䡁䅕杣療䡁䅁党杁䑁䅙䅍睁䅁䅁䅧䅁䍁䅷䅁呂䝁䅕睙ㅂ䡁䅉兡あ䡁䅫䅉䕂䝁䅕督橂䡁䅉兡睂䡁䅑兡療䝁䄴䅉䅁䍁䅷䅁㑁䅁䅁睕潂䝁䅅杣求䡁䅍䅉偂䡁䅕䅤穂䡁䅑兙畂䝁䅑兡畂䝁䅣䅉潁䝁䅅睙あ䡁䅕兙獂䍁䅫䅁療允䅁䅋䅁䙁䅍䅤祂䝁䅅兡あ䡁䅍䅉啂䝁䅫兢求䡁䅍䅉䩂䝁䄴䅚求䡁䅧䅁䉃䅁䅁䅃䅁䙁䅑睑呂䅁䅁先䅕䉁䅷䅁呂䙁䅁睕硁䑁䅣睎穁䑁䅑䅏硁䑁䅍杍睁䅁䅁兩䅣䉁䅑䅁啂䕁䅕䅔瑁䙁䅁䅓兂䙁䅍兒䅁乁䍅䅁啁䅁䅁䅖䵂䙁䅍睒瑁䕁䅷杓呂䕁䅕䅁䝄杁䅁䅖䅁䙁䅳兔䩂䙁䄸䅒䑂䕁䅙兑畂䝁䅅䅢㕂䡁䅍兡穂䙁䄸杤硁䍁䄴䅥獂䡁䅍兢摂䕁䅑睑䝂䍁䅅䅊䉂䕁䄰䅊ㅁ䑁䅑杏歁䕁䅅兔歁䑁䅙睎䅁䵁䍫䅁䝂䅁䅁睗乂䕁䅫睘䕂䕁䅍杒䉂䝁䄴兙獂䡁䅫督灂䡁䅍睘㉂䑁䅅杌㑂䝁䅷督瑂䙁䄰䅒䑂䕁䅙光歁䙁䅣䅊硁䑁䅉李䅁䥁䍯䅁杁䅁䅁䅖卂䑁䅯䅉呂䍁䅙䅕杁䑁䅕䅍睁䍁䅁䅋汁䍁䅫䅁䡁䅁䅁䅅䅁䙁䅑睕䵂䕁䅅兌噂䙁䅍䅁穂杁䅁䅇䅁䙁䅑党穂䝁䅷兙獁䍁䅁兓畂䝁䅍杌䅁䭁䕫䅁潁䅁䅁䅖潂䝁䅕䅉塂䝁䅅䅢あ䍁䅁䅒灂䡁䅍杢求䡁䅫䅉䑂䝁䄸杌䅁䱁䝯䅁䝂䅁䅁䅖潂䝁䅕䅉塂䝁䅅䅢あ䍁䅁䅒灂䡁䅍杢求䡁䅫䅉䑂䝁䄸兢睂䝁䅅杢㕂䍁䅁䅋佂䙁䅫睕䙂䑁䅯䅒䩂䙁䅍克䅁䱁䝫䅁歁䅁䅁䅖療䝁䅳入療䍁䅁䅕祂䝁䅫睙求䍁䅁兓畂䝁䅑党㑂䅁䅁䅨䅁䍁䅑䅁啂䝁䄸䅤桂䝁䅷䅉䕂䝁䅕杙あ䍁䅁䅋歁䑁䅁䅍睁䍁䅫䅁捃䅁䅁杇䅁䙁䅍䅕呂䑁䅍睎㑁䑁䅉䅎ぁ䑁䅁兎睁䅁䅁杏䅧䍁䅷䅁啂䝁䄸䅤桂䝁䅷䅉䕂䝁䅕杙あ䍁䅁䅋卂䝁䅕䅣療䡁䅉䅤求䝁䅑克䅁䉁䅯䅁兂䅁䅁䅖療䡁䅑兙獂䍁䅁兒畂䡁䅑党祂䡁䅁杣灂䡁䅍党杁䙁䅙兙獂䡁䅕党杁䍁䅧睑䩂䙁䅅克杁䍁䅧杕求䡁䅁睢祂䡁䅑党歂䍁䅫䅁睁允䅁䅐䅁䙁䅑睢あ䝁䅅䅢杁䙁䅁杣求䝁䅙党祂䡁䅉党歂䍁䅁兒硂䡁䅕兡あ䡁䅫䅉潁䍁䅑䅍睁䑁䅁克䅁䩁䅳䅁奁䅁䅁䅖療䡁䅑兙獂䙁䅉党あ䡁䅕杣畂䅁䅁䄰䅁䑁䅙䅁啂䡁䅉兙歂䝁䅫杢湂䍁䅁睕㕂䝁䄰杙療䝁䅷䅉流䍁䅁兒㑂䝁䅍䅡桂䝁䄴睚求䍁䅁䅁䡃䅁䅁䅅䅁䙁䅕免睁䍁䄰睕䡂䙁䅧䅁䕄杁䅁䅃䅁䙁䅕睕䉂䅁䅁公䅙䅁䅧䅁噂䙁䅍䅒䅁䕁䕧䅁䥂䅁䅁睗呂䙁䅁睒時䕁䅑睑䝂䕁䅅杢桂䝁䅷入穂䝁䅫督時䡁䅙免畁䡁䅧䅢穂䝁䄰兘䕂䕁䅍杒桁䍁䅑睑䑂䍁䅑兎硁䅁䅁来䅍䉁䅑䅁塂䕁䅅睑䑂䙁䄸䅒求䝁䅉䅤䅁䵁䅍䅁敁䅁䅁睖䉂䕁䅍睑時䙁䅁杣求䝁䅙党祂䡁䅉党歂䅁䅁睸䅁䉁䅁䅁塂䕁䅑兑婂䍁䄰兖呂䅁䅁兣䅉䅁䄴䅁塂䕁䄰睒瑁䙁䅕睕䅁䱁䝍䅁兂䅁䅁睖桂䡁䅉杢求䡁䅉䅉乂䡁䅕督灂䝁䅍䅉䡂䡁䅉睢ㅂ䡁䅁䅉䑂䝁䄸杣睂䍁䄴䅉潁䕁䄴兑呂䕁䅑兑剂䕁䅣睕㙁䙁䅣兔䡂䍁䅫䅁㉃杂䅁䅖䅁䙁䅳兔䩂䙁䄸䅒䑂䕁䅙兑畂䝁䅅䅢㕂䡁䅍兡穂䙁䄸杤硁䍁䄴䅥獂䡁䅍兢摂䕁䅑睑䝂䍁䅅䅊䉂䕁䅷䅊ㅁ䑁䅑杏歁䕁䅅䅔歁䑁䅙李䅁䡁䍳䅁獁䅁䅁兗灂䝁䅕䅢歂䍁䅁䅤療䍁䅁兔桂䡁䅑兤祂䝁䅫䅤㕂䍁䅁䅋汁䍁䅫䅁瑁䅁䅁䅍䅁䙁䅳村療䝁䄸睡硁䙁䄰睕潂䝁䅕党あ䑁䅅光歁䕁䅷䅊祁䑁䅯䅊䵂䍁䅑䅎䅁䉁䅉䅁潁䅁䅁睗䍂䝁䄸睢牂䑁䅅兘呂䝁䅧党求䡁䅑免桁䍁䅑杔歁䑁䅅杍䅁䉁䄴䅁䝂䅁䅁睗乂䕁䅫睘䕂䕁䅍杒䉂䝁䄴兙獂䡁䅫督灂䡁䅍睘㉂䑁䅅杌㑂䝁䅷督瑂䙁䄰䅒䑂䕁䅙光歁䕁䅅睒歁䑁䅑䅎䅁䕁䍕䅁啂䅁䅁睗乂䕁䅫睘䕂䕁䅍杒䉂䝁䄴兙獂䡁䅫督灂䡁䅍睘㉂䑁䅅杌㑂䝁䅷督瑂䙁䄰䅒䑂䕁䅙光歁䕁䅅睓歁䑁䅕睍㙁䍁䅑兑䱂䍁䅑李ぁ䅁䅁眳䅅䙁䅑䅁扂䕁䄰兓時䕁䅑睑䝂䕁䅅杢桂䝁䅷入穂䝁䅫督時䡁䅙免畁䡁䅧䅢穂䝁䄰兘䕂䕁䅍杒桁䍁䅑兑䵂䍁䅑兎穁䑁䅯䅊䉂䕁䅷䅊㉁䑁䅑䅁杄允䅁䅖䅁䙁䅳兔䩂䙁䄸䅒䑂䕁䅙兑畂䝁䅅䅢㕂䡁䅍兡穂䙁䄸杤硁䍁䄴䅥獂䡁䅍兢摂䕁䅑睑䝂䍁䅅䅊䉂䕁䅷䅊ㅁ䑁䅍杏歁䕁䅅䅔歁䑁䅙兎䅁䅁䍅䅁坂䅁䅁睗呂䙁䅁睒時䕁䅑睑䝂䕁䅅杢桂䝁䅷入穂䝁䅫督時䡁䅙免畁䡁䅧䅢穂䝁䄰兘䕂䕁䅍杒桁䍁䅑村奂䍁䅑兎穁䑁䅯䅊䑂䕁䅅䅊ㅁ䑁䅍䅁㕂睁䅁䅖䅁䙁䅳兔䩂䙁䄸䅒䑂䕁䅙兑畂䝁䅅䅢㕂䡁䅍兡穂䙁䄸杤硁䍁䄴䅥獂䡁䅍兢摂䕁䅑睑䝂䍁䅅䅊䉂䕁䅷䅊ㅁ䑁䅑杏歁䕁䅅䅔歁䑁䅙睎䅁䵁䍧䅁啂䅁䅁睗乂䕁䅫睘䕂䕁䅍杒䉂䝁䄴兙獂䡁䅫督灂䡁䅍睘㉂䑁䅅杌㑂䝁䅷督瑂䙁䄰䅒䑂䕁䅙光歁䕁䅅䅔歁䑁䅕兏㙁䍁䅑兑䵂䍁䅑睎祁䅁䅁䄹䅉䙁䅑䅁扂䕁䄰兓時䕁䅑睑䝂䕁䅅杢桂䝁䅷入穂䝁䅫督時䡁䅙免畁䡁䅧䅢穂䝁䄰兘䕂䕁䅍杒桁䍁䅑兑乂䍁䅑兎穁䑁䅯䅊䉂䕁䄰䅊㉁䑁䅑䅁㙄允䅁䅖䅁䙁䅳兔䩂䙁䄸䅒䑂䕁䅙兑畂䝁䅅䅢㕂䡁䅍兡穂䙁䄸杤硁䍁䄴䅥獂䡁䅍兢摂䕁䅑睑䝂䍁䅅䅊䉂䕁䄰䅊ㅁ䑁䅑杏歁䕁䅅兔歁䑁䅙李䅁䡁䍷䅁啂䅁䅁睗乂䕁䅫睘䕂䕁䅍杒䉂䝁䄴兙獂䡁䅫督灂䡁䅍睘㉂䑁䅅杌㑂䝁䅷督瑂䙁䄰䅒䑂䕁䅙光歁䕁䅅兔歁䑁䅕李㙁䍁䅑兑乂䍁䅑李㑁䅁䅁睐䅉䕁䅙䅁扂䕁䄰兓時䕁䅑睑䝂䕁䅅杢桂䝁䅷入穂䝁䅫督時䡁䅙免畁䡁䅧䅢穂䝁䄰兘䕂䕁䅍杒桁䍁䅑兑偂䍁䅑䅎㍁䅁䅁儫䅅䍁䅑䅁灂䡁䅅睘穂䝁䅕睙ㅂ䡁䅉兡あ䡁䅫睘獂䝁䅕杤求䝁䅷䅁浄睁䅁杒䅁䙁䅳兔䩂䙁䄸䅒䑂䕁䅙兑畂䝁䅅䅢㕂䡁䅍兡穂䙁䄸杤硁䍁䄴䅥獂䡁䅍兢摂䕁䅑睑䝂䍁䅅䅊䉂䕁䄸䅊ぁ䑁䅧䅁㙂杁䅁杇䅁䙁䅍䅕呂䑁䅍免ㅁ䑁䅕杍ぁ䑁䅑免硁䅁䅁眸䅣䕁䅙䅁扂䕁䄰兓時䕁䅑睑䝂䕁䅅杢桂䝁䅷入穂䝁䅫督時䡁䅙免畁䡁䅧䅢穂䝁䄰兘䕂䕁䅍杒桁䍁䅑村歁䑁䅉䅍祁䅁䅁䅬䅉䕁䅙䅁扂䕁䄰兓時䕁䅑睑䝂䕁䅅杢桂䝁䅷入穂䝁䅫督時䡁䅙免畁䡁䅧䅢穂䝁䄰兘䕂䕁䅍杒桁䍁䅑村歁䑁䅉䅍穁䅁䅁朰䅅䕁䅑䅁扂䕁䄰兓時䕁䅑睑䝂䕁䅅杢桂䝁䅷入穂䝁䅫督時䡁䅙免畁䡁䅧䅢穂䝁䄰兘䕂䕁䅍杒桁䍁䅑村歁䑁䅫杍䅁佁䉧䅁䕂䅁䅁睗乂䕁䅫睘䕂䕁䅍杒䉂䝁䄴兙獂䡁䅫督灂䡁䅍睘㉂䑁䅅杌㑂䝁䅷督瑂䙁䄰䅒䑂䕁䅙光歁䕁䅉䅊㕁䑁䅍䅁䡃杁䅁杓䅁䙁䅳兔䩂䙁䄸睖䉂䕁䅍睑䉂䝁䄴兙獂䡁䅫督灂䡁䅍睘㉂䑁䅅杌㑂䝁䅷督瑂䙁䄰睖䉂䕁䅍睑桁䍁䅑睑剂䍁䅑睍㍁䅁䅁睄䅅䕁䅑䅁扂䕁䄰兓時䕁䅑睑䝂䕁䅅杢桂䝁䅷入穂䝁䅫督時䡁䅙免畁䡁䅧䅢穂䝁䄰兘䕂䕁䅍杒桁䍁䅑村歁䑁䅫兎䅁䕁䍯䅁䕂䅁䅁睗乂䕁䅫睘䕂䕁䅍杒䉂䝁䄴兙獂䡁䅫督灂䡁䅍睘㉂䑁䅅杌㑂䝁䅷督瑂䙁䄰䅒䑂䕁䅙光歁䕁䅉䅊㕁䑁䅧䅁啄杁䅁杒䅁䙁䅳睕兂䕁䅣睘䕂䕁䅍杒䉂䝁䄴兙獂䡁䅫督灂䡁䅍睘㉂䑁䅅杌㑂䝁䅷督瑂䙁䄰䅒䑂䕁䅙光歁䙁䅙䅊ぁ䑁䅙䅁癁睁䅁杒䅁䙁䅳兔䩂䙁䄸䅒䑂䕁䅙兑畂䝁䅅䅢㕂䡁䅍兡穂䙁䄸杤硁䍁䄴䅥獂䡁䅍兢摂䕁䅑睑䝂䍁䅅䅊䑂䙁䅙䅊ぁ䑁䅕䅁歄允䅁䅖䅁䙁䅳兔䩂䙁䄸䅒䑂䕁䅙兑畂䝁䅅䅢㕂䡁䅍兡穂䙁䄸杤硁䍁䄴䅥獂䡁䅍兢摂䕁䅑睑䝂䍁䅅䅊䑂䙁䅣䅊ㅁ䑁䅍杏歁䕁䅍杗歁䑁䅕睍䅁偁䍅䅁啂䅁䅁睗乂䕁䅫睘䕂䕁䅍杒䉂䝁䄴兙獂䡁䅫督灂䡁䅍睘㉂䑁䅅杌㑂䝁䅷督瑂䙁䄰䅒䑂䕁䅙光歁䕁䅍䅗歁䑁䅑睎㙁䍁䅑䅒䉂䍁䅑䅎㍁䅁䅁儵䅅䕁䅙䅁扂䕁䄰兓時䕁䅑睑䝂䕁䅅杢桂䝁䅷入穂䝁䅫督時䡁䅙免畁䡁䅧䅢穂䝁䄰兘䕂䕁䅍杒桁䍁䅑䅒䍂䍁䅑䅎㉁䅁䅁全䅉䕁䅙䅁扂䕁䄰兓時䕁䅑睑䝂䕁䅅杢桂䝁䅷入穂䝁䅫督時䡁䅙免畁䡁䅧䅢穂䝁䄰兘䕂䕁䅍杒桁䍁䅑䅒䍂䍁䅑䅎㑁䅁䅁䅓䅉䉁䅯䅁呂䙁䅁睕ぁ䑁䅅䅏ぁ䑁䅫兎睁䑁䅧睎䅁乁䠰䅁啂䅁䅁睗乂䕁䅫睘䕂䕁䅍杒䉂䝁䄴兙獂䡁䅫督灂䡁䅍睘㉂䑁䅅杌㑂䝁䅷督瑂䙁䄰䅒䑂䕁䅙光歁䕁䅑䅒歁䑁䅕睍㙁䍁䅑䅒䝂䍁䅑兎穁䅁䅁儴䅉䙁䅑䅁扂䕁䄰兓時䕁䅑睑䝂䕁䅅杢桂䝁䅷入穂䝁䅫督時䡁䅙免畁䡁䅧䅢穂䝁䄰兘䕂䕁䅍杒桁䍁䅑䅒䙂䍁䅑䅎㍁䑁䅯䅊䕂䕁䅣䅊ぁ䑁䅣䅁湄允䅁䅖䅁䙁䅳兔䩂䙁䄸䅒䑂䕁䅙兑畂䝁䅅䅢㕂䡁䅍兡穂䙁䄸杤硁䍁䄴䅥獂䡁䅍兢摂䕁䅑睑䝂䍁䅅䅊䕂䕁䅙䅊ぁ䑁䅣杏歁䕁䅑䅓歁䑁䅑睎䅁䅁䌰䅁啂䅁䅁睗乂䕁䅫睘䕂䕁䅍杒䉂䝁䄴兙獂䡁䅫督灂䡁䅍睘㉂䑁䅅杌㑂䝁䅷督瑂䙁䄰䅒䑂䕁䅙光歁䕁䅑杒歁䑁䅑睎㙁䍁䅑䅒䩂䍁䅑䅎㍁䅁䅁睇䅉䙁䅑䅁扂䕁䄰兓時䕁䅑睑䝂䕁䅅杢桂䝁䅷入穂䝁䅫督時䡁䅙免畁䡁䅧䅢穂䝁䄰兘䕂䕁䅍杒桁䍁䅑兒歁䑁䅉免睁䑁䅯䅊䙂䍁䅑杍穁䑁䅁䅁慂杁䅁䅖䅁䙁䅳兔䩂䙁䄸䅒䑂䕁䅙兑畂䝁䅅䅢㕂䡁䅍兡穂䙁䄸杤硁䍁䄴䅥獂䡁䅍兢摂䕁䅑睑䝂䍁䅅䅊䕂䕁䄰䅊ぁ䑁䅣杏歁䕁䅑睔歁䑁䅑睎䅁䉁䌰䅁䝂䅁䅁睗乂䕁䅫睘䕂䕁䅍杒䉂䝁䄴兙獂䡁䅫督灂䡁䅍睘㉂䑁䅅杌㑂䝁䅷督瑂䙁䄰䅒䑂䕁䅙光歁䕁䅑杔歁䑁䅑睍䅁䡁䍑䅁啂䅁䅁睗乂䕁䅫睘䕂䕁䅍杒䉂䝁䄴兙獂䡁䅫督灂䡁䅍睘㉂䑁䅅杌㑂䝁䅷督瑂䙁䄰䅒䑂䕁䅙光歁䕁䅑杔歁䑁䅑李㙁䍁䅑䅒佂䍁䅑兎祁䅁䅁公䅉䕁䅙䅁扂䕁䄰兓時䕁䅑睑䝂䕁䅅杢桂䝁䅷入穂䝁䅫督時䡁䅙免畁䡁䅧䅢穂䝁䄰兘䕂䕁䅍杒桁䍁䅑䅒佂䍁䅑䅎㑁䅁䅁䄶䅉䙁䅑䅁扂䕁䄰兓時䕁䅑睑䝂䕁䅅杢桂䝁䅷入穂䝁䅫督時䡁䅙免畁䡁䅧䅢穂䝁䄰兘䕂䕁䅍杒桁䍁䅑䅒兂䍁䅑䅎ㅁ䑁䅯䅊䕂䙁䅅䅊ぁ䑁䅕䅁㍂杁䅁䅖䅁䙁䅳兔䩂䙁䄸䅒䑂䕁䅙兑畂䝁䅅䅢㕂䡁䅍兡穂䙁䄸杤硁䍁䄴䅥獂䡁䅍兢摂䕁䅑睑䝂䍁䅅䅊䕂䙁䅁䅊ぁ䑁䅙杏歁䕁䅑兕歁䑁䅑李䅁䑁䍯䅁啂䅁䅁睗乂䕁䅫睘䕂䕁䅍杒䉂䝁䄴兙獂䡁䅫督灂䡁䅍睘㉂䑁䅅杌㑂䝁䅷督瑂䙁䄰䅒䑂䕁䅙光歁䕁䅑䅕歁䑁䅕䅍㙁䍁䅑䅒剂䍁䅑兎睁䅁䅁眶䅉䕁䅙䅁扂䕁䄰兓時䕁䅑睑䝂䕁䅅杢桂䝁䅷入穂䝁䅫督時䡁䅙免畁䡁䅧䅢穂䝁䄰兘䕂䕁䅍杒桁䍁䅑䅒塂䍁䅑䅎ㅁ䅁䅁睋䅉䙁䅑䅁扂䙁䅍䅕䡂䙁䄸䅒䑂䕁䅙睘䉂䝁䄴兙獂䡁䅫督灂䡁䅍睘㉂䑁䅅睘䝂䝁䅫杢桂䝁䅷杌㑂䝁䅷督瑂䙁䄰䅒䑂䕁䅙光歁䕁䅷䅊祁䑁䅅䅁⽄睂䅁䅖䅁䙁䅳兔䩂䙁䄸䅒䑂䕁䅙兑畂䝁䅅䅢㕂䡁䅍兡穂䙁䄸杤硁䍁䄴䅥獂䡁䅍兢摂䕁䅑睑䝂䍁䅅䅊䙂䍁䅑杍睁䑁䅣杏歁䕁䅕䅊祁䑁䅑杍䅁偁䈸䅁啂䅁䅁睗乂䕁䅫睘䕂䕁䅍杒䉂䝁䄴兙獂䡁䅫督灂䡁䅍睘㉂䑁䅅杌㑂䝁䅷督瑂䙁䄰䅒䑂䕁䅙光歁䕁䅙䅊祁䑁䅁免㙁䍁䅑兔歁䑁䅉䅍硁䅁䅁术䅅䙁䅑䅁扂䕁䄰兓時䕁䅑睑䝂䕁䅅杢桂䝁䅷入穂䝁䅫督時䡁䅙免畁䡁䅧䅢穂䝁䄰兘䕂䕁䅍杒桁䍁䅑杒歁䑁䅉䅍ぁ䑁䅯䅊乂䍁䅑杍睁䑁䅑䅁噄允䅁䅖䅁䙁䅳兔䩂䙁䄸䅒䑂䕁䅙兑畂䝁䅅䅢㕂䡁䅍兡穂䙁䄸杤硁䍁䄴䅥獂䡁䅍兢摂䕁䅑睑䝂䍁䅅䅊䝂䍁䅑杍睁䑁䅣杏歁䕁䄰䅊祁䑁䅁睎䅁乁䌰䅁啂䅁䅁睗乂䕁䅫睘䕂䕁䅍杒䉂䝁䄴兙獂䡁䅫督灂䡁䅍睘㉂䑁䅅杌㑂䝁䅷督瑂䙁䄰䅒䑂䕁䅙光歁䕁䅙䅊祁䑁䅁䅏㙁䍁䅑兔歁䑁䅉䅍㑁䅁䅁眳䅉䙁䅑䅁扂䕁䄰兓時䕁䅑睑䝂䕁䅅杢桂䝁䅷入穂䝁䅫督時䡁䅙免畁䡁䅧䅢穂䝁䄰兘䕂䕁䅍杒桁䍁䅑睒歁䑁䅅䅍穁䑁䅯䅊䡂䍁䅑免穁䑁䅁䅁坄杁䅁杕䅁䙁䅳兔䩂䙁䄸䅒䑂䕁䅙兑畂䝁䅅䅢㕂䡁䅍兡穂䙁䄸杤硁䍁䄴䅥獂䡁䅍兢摂䕁䅑睑䝂䍁䅅䅊䡂䍁䅑兏㍁䑁䅯䅊䡂䍁䅑免祁䑁䅑䅁㡄允䅁䅥䅁䕁䄸䅣あ䝁䅫睢畂䡁䅍杏䑂䡁䅕杣祂䑁䄰兒噂䙁䅉䅌乂䝁䅅睚㥁䕁䅅睙あ䡁䅕兙獂䡁䅍䅌䑂䝁䄸杢㉂䕁䄰党あ䝁䅧睢歂䑁䄰兔䩂䡁䅉党橂䝁䄸兢瑂䝁䅕杢歂䝁䅕䅚獁䕁䄴兑㥁䕁䄴兑䅁䩁䡑䅁卂䅁䅁睗乂䕁䅫睘䕂䕁䅍杒䉂䝁䄴兙獂䡁䅫督灂䡁䅍睘㉂䑁䅅杌㑂䝁䅷督瑂䙁䄰䅒䑂䕁䅙光歁䕁䅣䅊㕁䑁䅧杏歁䕁䅣䅊硁䑁䅉䅎䅁偁䉳䅁卂䅁䅁睗乂䕁䅫睘䕂䕁䅍杒䉂䝁䄴兙獂䡁䅫督灂䡁䅍睘㉂䑁䅅杌㑂䝁䅷督瑂䙁䄰䅒䑂䕁䅙光歁䕁䅣䅊㕁䑁䅧杏歁䕁䅣䅊硁䑁䅉兎䅁䥁䍧䅁兂䅁䅁睗乂䕁䅫睘䕂䕁䅍杒䉂䝁䄴兙獂䡁䅫督灂䡁䅍睘㉂䑁䅅杌㑂䝁䅷督瑂䙁䄰䅒䑂䕁䅙光歁䕁䅧䅊㕁䑁䅉杏歁䕁䄰䅊㕁䑁䅉䅁灄允䅁䅈䅁䙁䅍䅕呂䑁䅅䅏ㅁ䑁䅫杍㍁䑁䅣睎穁䑁䅁䅁睄睂䅁杒䅁䙁䅳兔䩂䙁䄸䅒䑂䕁䅙兑畂䝁䅅䅢㕂䡁䅍兡穂䙁䄸杤硁䍁䄴䅥獂䡁䅍兢摂䕁䅑睑䝂䍁䅅䅊坂䍁䅑免ぁ䑁䅉䅁睄允䅁䅒䅁䙁䅳兔䩂䙁䄸䅒䑂䕁䅙兑畂䝁䅅䅢㕂䡁䅍兡穂䙁䄸杤硁䍁䄴䅥獂䡁䅍兢摂䕁䅑睑䝂䍁䅅䅊坂䍁䅑杍㕁䅁䅁兊䅉䙁䅁䅁扂䕁䄰兓時䕁䅑睑䝂䕁䅅杢桂䝁䅷入穂䝁䅫督時䡁䅙免畁䡁䅧䅢穂䝁䄰兘䕂䕁䅍杒桁䍁䅑杖歁䑁䅍免㙁䍁䅑杖歁䑁䅍李䅁䍁䍙䅁坂䅁䅁睊扂䙁䅍䅕䡂䙁䄸䅒䑂䕁䅙睘䉂䝁䄴兙獂䡁䅫督灂䡁䅍睘㉂䑁䅅䅉潁䑁䅉克畁䡁䅧䅢穂䝁䄰兘䕂䕁䅍杒湁䍁䅅䅊䉂䕁䅯䅊ㅁ䑁䅣䅁橃睂䅁杕䅁䙁䅳兔䩂䙁䄸䅒䑂䕁䅙兑畂䝁䅅䅢㕂䡁䅍兡穂䙁䄸杤硁䍁䄴䅥獂䡁䅍兢摂䕁䅑睑䝂䍁䅅䅊坂䍁䅑䅎硁䑁䅯䅊䉂䕁䅙䅊ぁ䑁䅅䅁橄允䅁䅕䅁䙁䅳兔䩂䙁䄸䅒䑂䕁䅙兑畂䝁䅅䅢㕂䡁䅍兡穂䙁䄸杤硁䍁䄴䅥獂䡁䅍兢摂䕁䅑睑䝂䍁䅅䅊坂䍁䅑䅎ぁ䑁䅯䅊坂䍁䅑䅎㕁䅁䅁䅃䅉䙁䅁䅁扂䕁䄰兓時䕁䅑睑䝂䕁䅅杢桂䝁䅷入穂䝁䅫督時䡁䅙免畁䡁䅧䅢穂䝁䄰兘䕂䕁䅍杒桁䍁䅑杖歁䑁䅑李㙁䍁䅑杖歁䑁䅕免䅁䡁䌴䅁䕂䅁䅁睗乂䕁䅫睘䕂䕁䅍杒䉂䝁䄴兙獂䡁䅫督灂䡁䅍睘㉂䑁䅅杌㑂䝁䅷督瑂䙁䄰䅒䑂䕁䅙光歁䙁䅣䅊祁䑁䅫䅁湁杁䅁杇䅁䙁䅍䅕呂䑁䅕䅎祁䑁䅣兏祁䑁䅙李硁䅁䅁䅍䅧䕁䅙䅁扂䕁䄰兓時䕁䅑睑䝂䕁䅅杢桂䝁䅷入穂䝁䅫督時䡁䅙免畁䡁䅧䅢穂䝁䄰兘䕂䕁䅍杒桁䍁䅑睖歁䑁䅅杍㑁䅁䅁杔䅉䕁䅙䅁扂䕁䄰兓時䕁䅑睑䝂䕁䅅杢桂䝁䅷入穂䝁䅫督時䡁䅙免畁䡁䅧䅢穂䝁䄰兘䕂䕁䅍杒桁䍁䅑睖歁䑁䅅睍硁䅁䅁䄲䅉䙁䅑䅁扂䕁䄰兓時䕁䅑睑䝂䕁䅅杢桂䝁䅷入穂䝁䅫督時䡁䅙免畁䡁䅧䅢穂䝁䄰兘䕂䕁䅍杒桁䍁䅑睖歁䑁䅅睍㑁䑁䅯䅊塂䍁䅑免穁䑁䅫䅁婄允䅁杒䅁䙁䅳兔䩂䙁䄸䅒䑂䕁䅙兑畂䝁䅅䅢㕂䡁䅍兡穂䙁䄸杤硁䍁䄴䅥獂䡁䅍兢摂䕁䅑睑䝂䍁䅅䅊塂䍁䅑免ぁ䑁䅅䅁元杁䅁杒䅁䙁䅳兔䩂䙁䄸䅒䑂䕁䅙兑畂䝁䅅䅢㕂䡁䅍兡穂䙁䄸杤硁䍁䄴䅥獂䡁䅍兢摂䕁䅑睑䝂䍁䅅䅊塂䍁䅑免ぁ䑁䅍䅁噂杁䅁杒䅁䙁䅳兔䩂䙁䄸䅒䑂䕁䅙兑畂䝁䅅䅢㕂䡁䅍兡穂䙁䄸杤硁䍁䄴䅥獂䡁䅍兢摂䕁䅑睑䝂䍁䅅䅊塂䍁䅑免ぁ䑁䅙䅁獄杁䅁䅕䅁䙁䅳兔䩂䙁䄸䅒䑂䕁䅙兑畂䝁䅅䅢㕂䡁䅍兡穂䙁䄸杤硁䍁䄴䅥獂䡁䅍兢摂䕁䅑睑䝂䍁䅅䅊塂䍁䅑杍㕁䑁䅯䅊奂䍁䅑杍㕁䅁䅁䅋䅉䕁䅙䅁扂䕁䄰兓時䕁䅑睑䝂䕁䅅杢桂䝁䅷入穂䝁䅫督時䡁䅙免畁䡁䅧䅢穂䝁䄰兘䕂䕁䅍杒桁䍁䅑䅗歁䑁䅅杍㍁䅁䅁儷䅅䙁䅑䅁扂䕁䄰兓時䕁䅑睑䝂䕁䅅杢桂䝁䅷入穂䝁䅫督時䡁䅙免畁䡁䅧䅢穂䝁䄰兘䕂䕁䅍杒桁䍁䅑䅗歁䑁䅅杍㑁䑁䅯䅊奂䍁䅑免祁䑁䅫䅁允杁䅁䅖䅁䙁䅳兔䩂䙁䄸䅒䑂䕁䅙兑畂䝁䅅䅢㕂䡁䅍兡穂䙁䄸杤硁䍁䄴䅥獂䡁䅍兢摂䕁䅑睑䝂䍁䅅䅊奂䍁䅑免祁䑁䅫杏歁䙁䅧䅊硁䑁䅍䅍䅁䥁䍳䅁啂䅁䅁睗乂䕁䅫睘䕂䕁䅍杒䉂䝁䄴兙獂䡁䅫督灂䡁䅍睘㉂䑁䅅杌㑂䝁䅷督瑂䙁䄰䅒䑂䕁䅙光歁䙁䅧䅊硁䑁䅍免㙁䍁䅑䅗歁䑁䅅睍祁䅁䅁䅕䅉䙁䅑䅁扂䕁䄰兓時䕁䅑睑䝂䕁䅅杢桂䝁䅷入穂䝁䅫督時䡁䅙免畁䡁䅧䅢穂䝁䄰兘䕂䕁䅍杒桁䍁䅑䅗歁䑁䅅睍ぁ䑁䅯䅊奂䍁䅑免穁䑁䅕䅁慄杁䅁䅖䅁䙁䅳兔䩂䙁䄸䅒䑂䕁䅙兑畂䝁䅅䅢㕂䡁䅍兡穂䙁䄸杤硁䍁䄴䅥獂䡁䅍兢摂䕁䅑睑䝂䍁䅅䅊奂䍁䅑免穁䑁䅙杏歁䙁䅧䅊硁䑁䅍睎䅁䉁䍑䅁啂䅁䅁睗乂䕁䅫睘䕂䕁䅍杒䉂䝁䄴兙獂䡁䅫督灂䡁䅍睘㉂䑁䅅杌㑂䝁䅷督瑂䙁䄰䅒䑂䕁䅙光歁䙁䅧䅊硁䑁䅑䅎㙁䍁䅑䅗歁䑁䅅䅎ㅁ䅁䅁眸䅅䙁䅑䅁扂䕁䄰兓時䕁䅑睑䝂䕁䅅杢桂䝁䅷入穂䝁䅫督時䡁䅙免畁䡁䅧䅢穂䝁䄰兘䕂䕁䅍杒桁䍁䅑䅗歁䑁䅅䅎ㅁ䑁䅯䅊奂䍁䅑免ㅁ䑁䅁䅁塂杁䅁杒䅁䙁䅳兔䩂䙁䄸䅒䑂䕁䅙兑畂䝁䅅䅢㕂䡁䅍兡穂䙁䄸杤硁䍁䄴䅥獂䡁䅍兢摂䕁䅑睑䝂䍁䅅䅊婂䍁䅑免ぁ䑁䅉䅁硄允䅁杕䅁䙁䅳兔䩂䙁䄸䅒䑂䕁䅙兑畂䝁䅅䅢㕂䡁䅍兡穂䙁䄸杤硁䍁䄴䅥獂䡁䅍兢摂䕁䅑睑䝂䍁䅅䅊奂䍁䅑䅎祁䑁䅯䅊䉂䕁䅕䅊ぁ䑁䅉䅁⽂杁䅁䅗䅁䙁䅳兔䩂䙁䄸睒䵂䕁䄸村䉂䕁䅷睘塂䕁䅅睑䑂䕁䅅杢桂䝁䅷入穂䝁䅫督時䡁䅙免畁䡁䅧䅢穂䝁䄰兘塂䕁䅅睑䑂䍁䅅䅊䉂䕁䅫䅊穁䑁䅫䅁㝃䅁䅁杕䅁䙁䅳兔䩂䙁䄸䅒䑂䕁䅙兑畂䝁䅅䅢㕂䡁䅍兡穂䙁䄸杤硁䍁䄴䅥獂䡁䅍兢摂䕁䅑睑䝂䍁䅅䅊奂䍁䅑䅎穁䑁䅯䅊䉂䕁䅕䅊ぁ䑁䅍䅁䅃杁䅁杒䅁䙁䅳兔䩂䙁䄸䅒䑂䕁䅙兑畂䝁䅅䅢㕂䡁䅍兡穂䙁䄸杤硁䍁䄴䅥獂䡁䅍兢摂䕁䅑睑䝂䍁䅅䅊婂䍁䅑免穁䑁䅉䅁扄杁䅁䅖䅁䙁䅳兔䩂䙁䄸䅒䑂䕁䅙兑畂䝁䅅䅢㕂䡁䅍兡穂䙁䄸杤硁䍁䄴䅥獂䡁䅍兢摂䕁䅑睑䝂䍁䅅䅊婂䍁䅑免ぁ䑁䅉杏歁䙁䅫䅊硁䑁䅑睎䅁䅁䍙䅁䝂䅁䅁睗乂䕁䅫睘䕂䕁䅍杒䉂䝁䄴兙獂䡁䅫督灂䡁䅍睘㉂䑁䅅杌㑂䝁䅷督瑂䙁䄰䅒䑂䕁䅙光歁䙁䅯䅊硁䑁䅑睍䅁䙁䍙䅁䝂䅁䅁睗乂䕁䅫睘䕂䕁䅍杒䉂䝁䄴兙獂䡁䅫督灂䡁䅍睘㉂䑁䅅杌㑂䝁䅷督瑂䙁䄰䅒䑂䕁䅙光歁䙁䅯䅊硁䑁䅑李䅁佁䌰䅁䥂䅁䅁睗乂䕁䅫睘䕂䕁䅍杒䉂䝁䄴兙獂䡁䅫督灂䡁䅍睘㉂䑁䅅兙畁䡁䅧䅢穂䝁䄰兘䕂䕁䅍杒桁䍁䅑杖歁䑁䅅睍ㅁ䅁䅁䄹䅅䕁䅧䅁扂䕁䄰兓時䕁䅑睑䝂䕁䅅杢桂䝁䅷入穂䝁䅫督時䡁䅙免桂䍁䄴䅥獂䡁䅍兢摂䕁䅑睑䝂䍁䅅䅊奂䍁䅑免穁䑁䅙䅁ㅄ允䅁䅗䅁䙁䅳兔䩂䙁䄸睒䵂䕁䄸村䉂䕁䅷睘塂䕁䅅睑䑂䕁䅅杢桂䝁䅷入穂䝁䅫督時䡁䅙免畁䡁䅧䅢穂䝁䄰兘塂䕁䅅睑䑂䍁䅅䅊䉂䕁䅕䅊ぁ䑁䅁䅁㥃䅁䅁杚䅁䙁䅳兔䩂䙁䄸睒䵂䕁䄸村䉂䕁䅷睘塂䕁䅅睑䑂䕁䅅杢桂䝁䅷入穂䝁䅫督時䡁䅙免畁䡁䅧䅢穂䝁䄰兘塂䕁䅅睑䑂䍁䅅䅊䉂䕁䅙䅊ぁ䑁䅉杏歁䕁䅅杒歁䑁䅑䅎䅁䱁䅷䅁浂䅁䅁睗乂䕁䅫睘䡂䕁䅷睔䍂䕁䅅䅔時䙁䅣兑䑂䕁䅍兑畂䝁䅅䅢㕂䡁䅍兡穂䙁䄸杤硁䍁䄴䅥獂䡁䅍兢摂䙁䅣兑䑂䕁䅍光歁䕁䅅杒歁䑁䅑兎㙁䍁䅑兑䝂䍁䅑兎㉁䅁䅁杶䅁䝁䅙䅁扂䕁䄰兓時䕁䅣䅔偂䕁䅉兑䵂䙁䄸睖䉂䕁䅍睑䉂䝁䄴兙獂䡁䅫督灂䡁䅍睘㉂䑁䅅杌㑂䝁䅷督瑂䙁䄰睖䉂䕁䅍睑桁䍁䅑兑䡂䍁䅑䅎ㅁ䑁䅯䅊䉂䕁䅣䅊ㅁ䑁䅙䅁奄䅁䅁䅗䅁䙁䅳兔䩂䙁䄸睒䵂䕁䄸村䉂䕁䅷睘塂䕁䅅睑䑂䕁䅅杢桂䝁䅷入穂䝁䅫督時䡁䅙免畁䡁䅧䅢穂䝁䄰兘塂䕁䅅睑䑂䍁䅅䅊䑂䕁䄸䅊穁䑁䅣䅁ぃ䅁䅁䅗䅁䙁䅳兔䩂䙁䄸睒䵂䕁䄸村䉂䕁䅷睘塂䕁䅅睑䑂䕁䅅杢桂䝁䅷入穂䝁䅫督時䡁䅙免畁䡁䅧䅢穂䝁䄰兘塂䕁䅅睑䑂䍁䅅䅊䑂䙁䅁䅊穁䑁䅫䅁䕄䅁䅁杒䅁䙁䅳睕兂䕁䅣睘䕂䕁䅍杒䉂䝁䄴兙獂䡁䅫督灂䡁䅍睘㉂䑁䅅杌㑂䝁䅷督瑂䙁䄰䅒䑂䕁䅙光歁䙁䅙䅊ぁ䑁䅣䅁穁睁䅁杚䅁䙁䅳兔䩂䙁䄸睒䵂䕁䄸村䉂䕁䅷睘塂䕁䅅睑䑂䕁䅅杢桂䝁䅷入穂䝁䅫督時䡁䅙免畁䡁䅧䅢穂䝁䄰兘塂䕁䅅睑䑂䍁䅅䅊䑂䙁䅁䅊穁䑁䅫杏歁䕁䅍睕歁䑁䅍兏䅁䱁䅙䅁奂䅁䅁睗乂䕁䅫睘䡂䕁䅷睔䍂䕁䅅䅔時䙁䅣兑䑂䕁䅍兑畂䝁䅅䅢㕂䡁䅍兡穂䙁䄸杤硁䍁䄴䅥獂䡁䅍兢摂䙁䅣兑䑂䕁䅍光歁䕁䅍兕歁䑁䅍睎䅁䵁䅷䅁浂䅁䅁睗乂䕁䅫睘䡂䕁䅷睔䍂䕁䅅䅔時䙁䅣兑䑂䕁䅍兑畂䝁䅅䅢㕂䡁䅍兡穂䙁䄸杤硁䍁䄴䅥獂䡁䅍兢摂䙁䅣兑䑂䕁䅍光歁䕁䅍睕歁䑁䅍兏㙁䍁䅑睑坂䍁䅑睍㕁䅁䅁兺䅁䙁䅧䅁扂䕁䄰兓時䕁䅣䅔偂䕁䅉兑䵂䙁䄸睖䉂䕁䅍睑䉂䝁䄴兙獂䡁䅫督灂䡁䅍睘㉂䑁䅅杌㑂䝁䅷督瑂䙁䄰睖䉂䕁䅍睑桁䍁䅑睑噂䍁䅑睍㍁䅁䅁杸䅁䝁䅙䅁扂䕁䄰兓時䕁䅣䅔偂䕁䅉兑䵂䙁䄸睖䉂䕁䅍睑䉂䝁䄴兙獂䡁䅫督灂䡁䅍睘㉂䑁䅅杌㑂䝁䅷督瑂䙁䄰睖䉂䕁䅍睑桁䍁䅑睑坂䍁䅑䅎祁䑁䅯䅊䑂䙁䅙䅊ぁ䑁䅕䅁㑃䅁䅁杚䅁䙁䅳兔䩂䙁䄸睒䵂䕁䄸村䉂䕁䅷睘塂䕁䅅睑䑂䕁䅅杢桂䝁䅷入穂䝁䅫督時䡁䅙免畁䡁䅧䅢穂䝁䄰兘塂䕁䅅睑䑂䍁䅅䅊䑂䙁䅣䅊穁䑁䅫杏歁䕁䅍兗歁䑁䅍兏䅁䱁䅫䅁楂䅁䅁睗乂䕁䅫睘䡂䕁䅷睔䍂䕁䅅䅔時䙁䅣兑䑂䕁䅍兑畂䝁䅅䅢㕂䡁䅍兡穂䙁䄸杤硁䍁䄴䅥獂䡁䅍兢摂䙁䅣兑䑂䕁䅍光歁䙁䅁䅊穁䑁䅙杏歁䙁䅁䅊ぁ䑁䅅䅁䅄䅁䅁杓䅁䙁䅳睕兂䕁䅣睘䕂䕁䅍杒䉂䝁䄴兙獂䡁䅫督灂䡁䅍睘㉂䑁䅅杌㑂䝁䅷督瑂䙁䄰䅒䑂䕁䅙光歁䕁䅅兑歁䑁䅅䅎睁䅁䅁儷䅑䙁䅧䅁扂䕁䄰兓時䕁䅣䅔偂䕁䅉兑䵂䙁䄸睖䉂䕁䅍睑䉂䝁䄴兙獂䡁䅫督灂䡁䅍睘㉂䑁䅉杌㑂䝁䅷督瑂䙁䄰睖䉂䕁䅍睑桁䍁䅑兑䩂䍁䅑睍㕁䅁䅁眶䅁䝁䅙䅁扂䕁䄰兓時䕁䅣䅔偂䕁䅉兑䵂䙁䄸睖䉂䕁䅍睑䉂䝁䄴兙獂䡁䅫督灂䡁䅍睘㉂䑁䅉杌㑂䝁䅷督瑂䙁䄰睖䉂䕁䅍睑桁䍁䅑睑呂䍁䅑睍㕁䑁䅯䅊䑂䙁䅙䅊穁䑁䅫䅁祄䅁䅁䅗䅁䙁䅳兔䩂䙁䄸睒䵂䕁䄸村䉂䕁䅷睘塂䕁䅅睑䑂䕁䅅杢桂䝁䅷入穂䝁䅫督時䡁䅙杍畁䡁䅧䅢穂䝁䄰兘塂䕁䅅睑䑂䍁䅅䅊䑂䙁䅧䅊穁䑁䅣䅁穄䅁䅁杖䅁䙁䅳兔䩂䙁䄸睒䵂䕁䄸村䉂䕁䅷睘塂䕁䅅睑䑂䕁䅅杢桂䝁䅷入穂䝁䅫督時䡁䅙杍畁䡁䅧䅢穂䝁䄰兘塂䕁䅅睑䑂䍁䅅䅊兂䍁䅑睍祁䅁䅁朷䅁䡁䅁䅁扂䕁䄰兓時䕁䅫杔呂䙁䄸睒䵂䕁䄸村䉂䕁䅷睘塂䕁䅅睑䑂䍁䄴兑畂䝁䅅䅢㕂䡁䅍兡穂䙁䄸杤硁䍁䄴䅥獂䡁䅍兢摂䙁䅣兑䑂䕁䅍光歁䕁䅅杒歁䑁䅑兎㙁䍁䅑兑䝂䍁䅑兎㉁䅁䅁睳䅁䝁䅉䅁扂䕁䄰兓時䕁䅫杔呂䙁䄸睒䵂䕁䄸村䉂䕁䅷睘塂䕁䅅睑䑂䍁䄴兑畂䝁䅅䅢㕂䡁䅍兡穂䙁䄸杤硁䍁䄴䅥獂䡁䅍兢摂䙁䅣兑䑂䕁䅍光歁䕁䅅兓歁䑁䅍兏䅁䱁䅉䅁坂䅁䅁睗呂䙁䅁睒時䕁䅑睑䝂䕁䅅杢桂䝁䅷入穂䝁䅫督時䡁䅙免畁䡁䅧䅢穂䝁䄰兘䕂䕁䅍杒桁䍁䅑睒歁䑁䅉䅎㕁䑁䅯䅊乂䍁䅑杍ぁ䑁䅫䅁杁兂䅁杓䅁䙁䅳兔䩂䙁䄸睖䉂䕁䅍睑䉂䝁䄴兙獂䡁䅫督灂䡁䅍睘㉂䑁䅅杌㑂䝁䅷督瑂䙁䄰睖䉂䕁䅍睑桁䍁䅑兑䙂䍁䅑䅎睁䅁䅁睂䅅䕁䅯䅁扂䕁䄰兓時䙁䅣兑䑂䕁䅍兑畂䝁䅅䅢㕂䡁䅍兡穂䙁䄸杤硁䍁䄴䅥獂䡁䅍兢摂䙁䅣兑䑂䕁䅍光歁䕁䅅兓歁䑁䅍兏䅁䅁䉧䅁啂䅁䅁睗乂䕁䅫睘塂䕁䅅睑䑂䕁䅅杢桂䝁䅷入穂䝁䅫督時䡁䅙免畁䡁䅧䅢穂䝁䄰兘塂䕁䅅睑䑂䍁䅅䅊兂䍁䅑睍㉁䑁䅯䅊兂䍁䅑䅎硁䅁䅁䅄䅅䙁䄴䅁扂䕁䄰兓時䙁䅣睖時䙁䅣兑䑂䕁䅍兑畂䝁䅅䅢㕂䡁䅍兡穂䙁䄸杤硁䍁䄴䅥獂䡁䅍兢摂䙁䅣兑䑂䕁䅍光歁䕁䅅睒歁䑁䅑兎㙁䍁䅑兑䡂䍁䅑兎㉁䅁䅁䄫䅁䙁䅁䅁扂䕁䄰兓時䙁䅣睖時䙁䅣兑䑂䕁䅍兑畂䝁䅅䅢㕂䡁䅍兡穂䙁䄸杤硁䍁䄴䅥獂䡁䅍兢摂䙁䅣兑䑂䕁䅍光歁䕁䅍兕歁䑁䅍睎䅁偁䅷䅁敂䅁䅁睗乂䕁䅫睘塂䙁䅣睘塂䕁䅅睑䑂䕁䅅杢桂䝁䅷入穂䝁䅫督時䡁䅙免畁䡁䅧䅢穂䝁䄰兘塂䕁䅅睑䑂䍁䅅䅊䑂䙁䅯䅊穁䑁䅫杏歁䕁䅑村歁䑁䅍兏䅁偁䄸䅁慂䅁䅁睗乂䕁䅫睘塂䙁䅣睘塂䕁䅅睑䑂䕁䅅杢桂䝁䅷入穂䝁䅫督時䡁䅙免畁䡁䅧䅢穂䝁䄰兘塂䕁䅅睑䑂䍁䅅䅊兂䍁䅑睍㉁䑁䅯䅊兂䍁䅑䅎硁䅁䅁末䅁䙁䅷䅁扂䕁䄰兓時䙁䅣睖時䙁䅣兑䑂䕁䅍兑畂䝁䅅䅢㕂䡁䅍兡穂䙁䄸杤硁䍁䄴䅥獂䡁䅍兢摂䙁䅣兑䑂䕁䅍光歁䙁䅅䅊穁䑁䅍杏歁䕁䅅兑歁䑁䅍睍䅁偁䅳䅁䭂䅁䅁睗呂䙁䅁睒時䕁䅑睑䝂䕁䅅杢桂䝁䅷入穂䝁䅫督時䡁䅙免畁䡁䅧䅢穂䝁䄰兘䕂䕁䅍杒桁䍁䅑兑䉂䍁䅑免ぁ䑁䅙䅁潄䅂䅁䅓䅁䙁䅳睕兂䕁䅣睘䕂䕁䅍杒䉂䝁䄴兙獂䡁䅫督灂䡁䅍睘㉂䑁䅅杌㑂䝁䅷督瑂䙁䄰䅒䑂䕁䅙光歁䕁䅅杓歁䑁䅕睎䅁䩁䙙䅁坂䅁䅁睗呂䙁䅁睒時䕁䅑睑䝂䕁䅅杢桂䝁䅷入穂䝁䅫督時䡁䅙免畁䡁䅧䅢穂䝁䄰兘䕂䕁䅍杒桁䍁䅑兑乂䍁䅑兎㕁䑁䅯䅊䉂䕁䄰䅊㍁䑁䅉䅁畁睁䅁䅓䅁䙁䅳睕兂䕁䅣睘䕂䕁䅍杒䉂䝁䄴兙獂䡁䅫督灂䡁䅍睘㉂䑁䅅杌㑂䝁䅷督瑂䙁䄰䅒䑂䕁䅙光歁䕁䅅睔歁䑁䅕睍䅁䍁䑷䅁卂䅁䅁睗呂䙁䅁睒時䕁䅑睑䝂䙁䄸兑畂䝁䅅䅢㕂䡁䅍兡穂䙁䄸杤硁䙁䄸睓灂䝁䅕䅢畁䡁䅧䅢穂䝁䄰兘䕂䕁䅍杒桁䍁䅑䅔歁䑁䅅睍䅁䡁䥍䅁慁䅁䅁睕兂䙁䅍睍㍁䑁䅧兎祁䑁䅫李祁䑁䅅䅁瑄睂䅁䅓䅁䙁䅳睕兂䕁䅣睘䕂䕁䅍杒䉂䝁䄴兙獂䡁䅫督灂䡁䅍睘㉂䑁䅅杌㑂䝁䅷督瑂䙁䄰䅒䑂䕁䅙光歁䕁䅅杖歁䑁䅕睎䅁䝁䝍䅁䥂䅁䅁睗呂䙁䅁睒時䕁䅑睑䝂䕁䅅杢桂䝁䅷入穂䝁䅫督時䡁䅙免畁䡁䅧䅢穂䝁䄰兘䕂䕁䅍杒桁䍁䅑村歁䑁䅉䅎㑁䅁䅁杈䅕䕁䅧䅁扂䙁䅍䅕䡂䙁䄸䅒䑂䕁䅙兑畂䝁䅅䅢㕂䡁䅍兡穂䙁䄸杤硁䍁䄴䅥獂䡁䅍兢摂䕁䅑睑䝂䍁䅅䅊䍂䙁䅙䅊ㅁ䑁䅅䅁㑂睁䅁杖䅁䙁䅳睕兂䕁䅣睘䕂䕁䅍杒䉂䝁䄴兙獂䡁䅫督灂䡁䅍睘㉂䑁䅅杌㑂䝁䅷督瑂䙁䄰䅒䑂䕁䅙光歁䕁䅍睔歁䑁䅕免㙁䍁䅑睑偂䍁䅑兎㍁䅁䅁䅤䅍䙁䅙䅁扂䙁䅍䅕䡂䙁䄸䅒䑂䕁䅙兑畂䝁䅅䅢㕂䡁䅍兡穂䙁䄸杤硁䍁䄴䅥獂䡁䅍兢摂䕁䅑睑䝂䍁䅅䅊䑂䙁䅅䅊ぁ䑁䅫杏歁䕁䅍杕歁䑁䅑兏䅁䡁䑕䅁坂䅁䅁睗呂䙁䅁睒時䕁䅑睑䝂䕁䅅杢桂䝁䅷入穂䝁䅫督時䡁䅙免畁䡁䅧䅢穂䝁䄰兘䕂䕁䅍杒桁䍁䅑睑塂䍁䅑兎穁䑁䅯䅊䑂䙁䅯䅊ㅁ䑁䅍䅁㉁睁䅁杖䅁䙁䅳睕兂䕁䅣睘䕂䕁䅍杒䉂䝁䄴兙獂䡁䅫督灂䡁䅍睘㉂䑁䅅杌㑂䝁䅷督瑂䙁䄰䅒䑂䕁䅙光歁䕁䅑䅒歁䑁䅕睍㙁䍁䅑䅒䝂䍁䅑兎穁䅁䅁䅏䅍䕁䅧䅁扂䙁䅍䅕䡂䙁䄸䅒䑂䕁䅙兑畂䝁䅅䅢㕂䡁䅍兡穂䙁䄸杤硁䍁䄴䅥獂䡁䅍兢摂䕁䅑睑䝂䍁䅅䅊䕂䕁䄴䅊ぁ䑁䅧䅁湁睁䅁杖䅁䙁䅳睕兂䕁䅣睘䕂䕁䅍杒䉂䝁䄴兙獂䡁䅫督灂䡁䅍睘㉂䑁䅅杌㑂䝁䅷督瑂䙁䄰䅒䑂䕁䅙光歁䕁䅕䅊祁䑁䅅睍㙁䍁䅑兒歁䑁䅉睍穁䅁䅁杓䅍䙁䅙䅁扂䙁䅍䅕䡂䙁䄸䅒䑂䕁䅙兑畂䝁䅅䅢㕂䡁䅍兡穂䙁䄸杤硁䍁䄴䅥獂䡁䅍兢摂䕁䅑睑䝂䍁䅅䅊䙂䍁䅑杍硁䑁䅍杏歁䕁䅕䅊祁䑁䅍䅎䅁偁䕣䅁䍂䅁䅁睔睂䡁䅑兡療䝁䄴督㙁䕁䄸䅣あ䝁䅫睢畂䡁䅍杏䑂䡁䅕杣祂䑁䄰䅌乂䝁䅅睚㥁䍁䅷杔䉂䑁䄰䅍㥁䅁䅁术䅣䙁䅙䅁扂䙁䅍䅕䡂䙁䄸䅒䑂䕁䅙兑畂䝁䅅䅢㕂䡁䅍兡穂䙁䄸杤硁䍁䄴䅥獂䡁䅍兢摂䕁䅑睑䝂䍁䅅䅊䙂䍁䅑杍ぁ䑁䅧杏歁䕁䅕䅊祁䑁䅕睍䅁䱁䑑䅁坂䅁䅁睗呂䙁䅁睒時䕁䅑睑䝂䕁䅅杢桂䝁䅷入穂䝁䅫督時䡁䅙免畁䡁䅧䅢穂䝁䄰兘䕂䕁䅍杒桁䍁䅑兒歁䑁䅉兎睁䑁䅯䅊䙂䍁䅑杍ㅁ䑁䅕䅁汄䅂䅁杖䅁䙁䅳睕兂䕁䅣睘䕂䕁䅍杒䉂䝁䄴兙獂䡁䅫督灂䡁䅍睘㉂䑁䅅杌㑂䝁䅷督瑂䙁䄰䅒䑂䕁䅙光歁䕁䅕䅊祁䑁䅕免㙁䍁䅑兒歁䑁䅉兎㉁䅁䅁睈䅕䙁䅙䅁扂䙁䅍䅕䡂䙁䄸䅒䑂䕁䅙兑畂䝁䅅䅢㕂䡁䅍兡穂䙁䄸杤硁䍁䄴䅥獂䡁䅍兢摂䕁䅑睑䝂䍁䅅䅊䝂䍁䅑杍睁䑁䅣杏歁䕁䄰䅊祁䑁䅁睎䅁䕁䑫䅁坂䅁䅁睗呂䙁䅁睒時䕁䅑睑䝂䕁䅅杢桂䝁䅷入穂䝁䅫督時䡁䅙免畁䡁䅧䅢穂䝁䄰兘䕂䕁䅍杒桁䍁䅑睒歁䑁䅅䅍穁䑁䅯䅊䡂䍁䅑免穁䑁䅁䅁㝁睁䅁杖䅁䙁䅳睕兂䕁䅣睘䕂䕁䅍杒䉂䝁䄴兙獂䡁䅫督灂䡁䅍睘㉂䑁䅅杌㑂䝁䅷督瑂䙁䄰䅒䑂䕁䅙光歁䕁䅣䅊祁䑁䅑䅏㙁䍁䅑兔歁䑁䅉䅎㑁䅁䅁兵䅍䙁䅉䅁扂䙁䅍䅕䡂䙁䄸䅒䑂䕁䅙兑畂䝁䅅䅢㕂䡁䅍兡穂䙁䄸杤硁䍁䄴䅥獂䡁䅍兢摂䕁䅑睑䝂䍁䅅䅊䡂䍁䅑兏㑁䑁䅯䅊乂䍁䅑兏㑁䅁䅁睳䅍䙁䅉䅁扂䙁䅍䅕䡂䙁䄸䅒䑂䕁䅙兑畂䝁䅅䅢㕂䡁䅍兡穂䙁䄸杤硁䍁䄴䅥獂䡁䅍兢摂䕁䅑睑䝂䍁䅅䅊䡂䍁䅑兏㕁䑁䅯䅊乂䍁䅑兏㕁䅁䅁兴䅍䙁䅉䅁扂䙁䅍䅕䡂䙁䄸䅒䑂䕁䅙兑畂䝁䅅䅢㕂䡁䅍兡穂䙁䄸杤硁䍁䄴䅥獂䡁䅍兢摂䕁䅑睑䝂䍁䅅䅊䥂䍁䅑兏㕁䑁䅯䅊乂䍁䅑兏㕁䅁䅁䅐䅍䍁䅷䅁偂䡁䅁䅤灂䝁䄸杢穂䑁䅯睑ㅂ䡁䅉杣㥁䙁䅕睕䕂䍁䅷杔䉂䑁䄰䅍䅁䱁䡑䅁䝂䅁䅁睗呂䙁䅁睒時䕁䅑睑䝂䕁䅅杢桂䝁䅷入穂䝁䅫督時䡁䅙免畁䡁䅧䅢穂䝁䄰兘䕂䕁䅍杒桁䍁䅑䅔歁䑁䅉免䅁䍁䙅䅁卂䅁䅁睗呂䙁䅁睒時䕁䅑睑䝂䕁䅅杢桂䝁䅷入穂䝁䅫督時䡁䅙免畁䡁䅧䅢穂䝁䄰兘䕂䕁䅍杒桁䍁䅑杖歁䑁䅕免㙁䍁䅑杖歁䑁䅕李䅁䑁䑁䅁捁䅁䅁睕兂䙁䅍免㍁䑁䅣睍ㅁ䑁䅉兏硁䑁䅑䅎䅁䥁䡷䅁捁䅁䅁睕兂䙁䅍免㍁䑁䅙睍㕁䑁䅧杍ㅁ䑁䅁䅏䅁䡁䠰䅁卂䅁䅁睗呂䙁䅁睒時䕁䅑睑䝂䕁䅅杢桂䝁䅷入穂䝁䅫督時䡁䅙免畁䡁䅧䅢穂䝁䄰兘䕂䕁䅍杒桁䍁䅑杖歁䑁䅕杍㙁䍁䅑杖歁䑁䅕睎䅁䍁䙙䅁䥂䅁䅁睗呂䙁䅁睒時䕁䅑睑䝂䕁䅅杢桂䝁䅷入穂䝁䅫督時䡁䅙免畁䡁䅧䅢穂䝁䄰兘䕂䕁䅍杒桁䍁䅑睖歁䑁䅅䅎睁䅁䅁兑䅍䕁䅧䅁扂䙁䅍䅕䡂䙁䄸䅒䑂䕁䅙兑畂䝁䅅䅢㕂䡁䅍兡穂䙁䄸杤硁䍁䄴䅥獂䡁䅍兢摂䕁䅑睑䝂䍁䅅䅊塂䍁䅑免ぁ䑁䅅䅁煁兂䅁杖䅁䙁䅳睕兂䕁䅣睘䕂䕁䅍杒䉂䝁䄴兙獂䡁䅫督灂䡁䅍睘㉂䑁䅅杌㑂䝁䅷督瑂䙁䄰䅒䑂䕁䅙光歁䙁䅧䅊硁䑁䅑睍㙁䍁䅑䅗歁䑁䅅䅎ぁ䅁䅁䅌䅕䙁䅑䅁扂䙁䅍䅕䡂䙁䄸䅒䑂䕁䅙兑畂䝁䅅䅢㕂䡁䅍兡穂䙁䄸杤硁䍁䄴䅥獂䡁䅍兢摂䕁䅑睑䝂䍁䅅䅊奂䍁䅑䅎㑁䑁䅯䅊䉂䕁䅧䅊ぁ䑁䅧䅁癄䅂䅁䅖䅁䙁䅳睕兂䕁䅣睘䕂䕁䅍杒䉂䝁䄴兙獂䡁䅫督灂䡁䅍睘㉂䑁䅅杌㑂䝁䅷督瑂䙁䄰䅒䑂䕁䅙光歁䙁䅧䅊ぁ䑁䅫杏歁䕁䅅䅓歁䑁䅑兏䅁䍁䙣䅁䥂䅁䅁睗呂䙁䅁睒時䕁䅑睑䝂䕁䅅杢桂䝁䅷入穂䝁䅫督時䡁䅙免畁䡁䅧䅢穂䝁䄰兘䕂䕁䅍杒桁䍁䅑兗歁䑁䅅睍硁䅁䅁材䅍䙁䅙䅁扂䙁䅍䅕䡂䙁䄸䅒䑂䕁䅙兑畂䝁䅅䅢㕂䡁䅍兡穂䙁䄸杤硁䍁䄴䅥獂䡁䅍兢摂䕁䅑睑䝂䍁䅅䅊婂䍁䅑免ぁ䑁䅍杏歁䙁䅫䅊硁䑁䅑䅎䅁䍁䘰䅁坂䅁䅁睗呂䙁䅁睒時䕁䅑睑䝂䕁䅅杢桂䝁䅷入穂䝁䅫督時䡁䅙免畁䡁䅧䅢穂䝁䄰兘䕂䕁䅍杒桁䍁䅑兗歁䑁䅅䅎㑁䑁䅯䅊婂䍁䅑免ㅁ䑁䅍䅁䡂睁䅁䅓䅁䙁䅳睕兂䕁䅣睘䕂䕁䅍杒䉂䝁䄴兙獂䡁䅫督灂䡁䅍睘㉂䑁䅅杌㑂䝁䅷督瑂䙁䄰䅒䑂䕁䅙光歁䙁䅯䅊硁䑁䅑䅍䅁佁䕳䅁敁䅁䅁兡硂䙁䄸杙療䝁䄴䅚時䝁䅍睢ㅂ䡁䅁睢畂䅁䅁朵䅑䝁䅑䅁湁䙁䅳睕兂䕁䅣睘䕂䕁䅍杒䉂䝁䄴兙獂䡁䅫督灂䡁䅍睘㉂䑁䅅䅉瑁䍁䅁睔䡂䍁䅁兌杁䕁䅍睢睂䡁䅫杌㑂䝁䅷督瑂䙁䄰䅒䑂䕁䅙睊桁䍁䅑兑䭂䍁䅑兎㍁䅁䅁兔䅣䙁䄴䅁湁䙁䅳睕兂䕁䅣睘䕂䕁䅍杒䉂䝁䄴兙獂䡁䅫督灂䡁䅍睘㉂䑁䅅䅉瑁䍁䅁杣求䡁䅙兡穂䝁䅕䅚畁䡁䅧䅢穂䝁䄰兘䕂䕁䅍杒湁䍁䅅䅊䵂䍁䅑免穁䅁䅁兕䅣䝁䅁䅁湁䙁䅳睕兂䕁䅣睘䕂䕁䅍杒䉂䝁䄴兙獂䡁䅫督灂䡁䅍睘㉂䑁䅅䅉瑁䍁䅁杣求䡁䅙兡穂䝁䅕䅚畁䡁䅧䅢穂䝁䄰兘䕂䕁䅍杒湁䍁䅅䅊䉂䙁䅙䅊ㅁ䑁䅣䅁卂睂䅁䅉䅁䙁䅍䅕啂䙁䄸兒偂䕁䅑睘婂䙁䅑兔時䕁䄰兓䕂䅁䅁䅖䅣䑁䅧䅁橁䕁䅫杔坂䕁䅅䅔䩂䕁䅑䅉䝂䙁䅕杔䑂䙁䅑兓偂䕁䄴䅉兂䕁䅅杕䉂䕁䄰兒啂䕁䅕杕䅁䙁䡕䅁十䅁䅁杔婂䙁䅍兒㙁䕁䅙䅒呂䅁䅁杗䅣䉁䅉䅁佂䙁䅫睕䙂䑁䅯兔䑂䕁䄸䅁摂睂䅁材䅁䕁䄰睢療䝁䅑入湁䡁䅍䅉䑂䝁䄸杣睂䝁䄸杣桂䡁䅑兡療䝁䄴䅉潁䕁䄴兗呂䕁䅕杏乂䕁䅍睔灁䅁䅁睙䅣䅁䄴䅁乂䕁䅍睔瑁䙁䅕睕䅁䝁䡑䅁獁䅁䅁䅖祂䝁䅅杢穂䙁䅕杢灂䝁䄸杢杁䍁䅧杔婂䙁䅍兒㙁䙁䅑杕噂䍁䅫䅁浂睂䅁䅅䅁䕁䄰睕䑂䕁䅫兌噂䙁䅍䅁潂睂䅁䅅䅁䕁䅍睔䩂䕁䄴兌噂䙁䅍䅁灂睂䅁䅈䅁䙁䅍䅕呂䑁䅉䅍硁䑁䅉兎ㅁ䑁䅑睎ㅁ䑁䅅䅁㝄睂䅁䅙䅁䍁䅣睗呂䙁䅁睒時䕁䅑睑䝂䕁䅅杢桂䝁䅷入穂䝁䅫督時䡁䅙免杁䍁䄰䅉祂䝁䅕杤灂䡁䅍党歂䍁䄴䅥獂䡁䅍兢摂䕁䅑睑䝂䍁䅣光歁䕁䅅䅗歁䑁䅕睎䅁䝁䠰䅁杁䅁䅁兒偂䕁䅑䅉䑂䝁䅷睢穂䝁䅕䅉兂䡁䅉兡橂䝁䅕䅁祂睂䅁䅈䅁䙁䅍䅕呂䑁䅅睎㉁䑁䅍兏㑁䑁䅉兎睁䑁䅫䅁穂睂䅁杇䅁䙁䅍䅕呂䑁䅕睎ぁ䑁䅙杍ㅁ䑁䅍䅏祁䅁䅁兤䅣䉁䅷䅁呂䙁䅁睕硁䑁䅧杍硁䑁䅑免睁䑁䅉兏㍁䅁䅁杤䅣䉁䅯䅁呂䙁䅁睕㉁䑁䅁䅏㍁䑁䅉睍睁䑁䅉䅎䅁䡁䡣䅁捁䅁䅁睕兂䙁䅍免㍁䑁䅣睍ぁ䑁䅧免穁䑁䅅䅏䅁䡁䡧䅁捁䅁䅁睕兂䙁䅍免㍁䑁䅣睍ぁ䑁䅧免穁䑁䅅兏䅁䡁䡫䅁捁䅁䅁睕兂䙁䅍免㍁䑁䅣睍ㅁ䑁䅉兏硁䑁䅑免䅁䥁䡅䅁慁䅁䅁睕兂䙁䅍李ぁ䑁䅑兏硁䑁䅑兏㕁䑁䅙䅁䍃睂䅁杇䅁䙁䅍䅕呂䑁䅍睍睁䑁䅉兏ぁ䑁䅙䅎祁䅁䅁全䅣䉁䅷䅁呂䙁䅁睕硁䑁䅧杍㉁䑁䅅睎ㅁ䑁䅕䅎㍁䅁䅁杨䅣䉁䅷䅁呂䙁䅁睕硁䑁䅧杍硁䑁䅑免睁䑁䅉兏㑁䅁䅁睨䅣䡁䅙䅁䑂䝁䄸睚畂䝁䅫来桂䝁䄴䅤杁䙁䅑党橂䝁䅧杢療䝁䅷睢湂䡁䅫䅉呂䝁䄸䅢ㅂ䡁䅑兡療䝁䄴督杁䕁䅍睢祂䡁䅁睢祂䝁䅅䅤灂䝁䄸杢杁䍁䅧杔䉂䙁䅍䅒䉂䙁䅅睒呂䑁䅯睑啂䙁䅍䅓灁䅁䅁兲䅣䉁䅷䅁呂䙁䅁睕硁䑁䅧兎ㅁ䑁䅍免㕁䑁䅧䅍祁䅁䅁兪䅣䉁䅷䅁呂䙁䅁睕硁䑁䅧兎ㅁ䑁䅍李㉁䑁䅑兏ぁ䅁䅁杪䅣䉁䅷䅁呂䙁䅁睕硁䑁䅧兎ㅁ䑁䅍李㉁䑁䅕睍㍁䅁䅁睪䅣䉁䅷䅁呂䙁䅁睕硁䑁䅣睎穁䑁䅑䅏硁䑁䅍杍硁䅁䅁八䅣䕁䅧䅁扂䙁䅍䅕䡂䙁䄸䅒䑂䕁䅙兑畂䝁䅅䅢㕂䡁䅍兡穂䙁䄸杤硁䍁䄴䅥獂䡁䅍兢摂䕁䅑睑䝂䍁䅅䅊䉂䙁䅧䅊ㅁ䑁䅣䅁呃睂䅁䅉䅁䍁䅍䅒偂䙁䅣杔䵂䕁䄸兑䕂䍁䅁䅔䩂䕁䄰兓啂䅁䅁公䅣䉁䅷䅁呂䙁䅁睕硁䑁䅫䅏硁䑁䅑䅍㍁䑁䅫䅍㕁䅁䅁睭䅣䉁䅷䅁呂䙁䅁睕硁䑁䅫䅏硁䑁䅑䅍㍁䑁䅫䅍㍁䅁䅁杮䅣䙁䄴䅁偂䡁䅁䅤灂䝁䄸杢穂䑁䅯睑ㅂ䡁䅉杣㥁䕁䅕兖卂䍁䅷睑療䝁䄴杤乂䝁䅕䅤潂䝁䄸䅚㥁䕁䄰兓祂䝁䅕睙療䝁䄰兢求䝁䄴䅚求䝁䅑䅌佂䕁䅅児睁䅁䅁䅯䅣䙁䅑䅁湁䙁䅳睕兂䕁䅣睘䕂䕁䅍杒時䕁䅅杢桂䝁䅷入穂䝁䅫督時䡁䅙免杁䍁䅧杍灁䍁䄴䅥獂䡁䅍兢摂䕁䅑睑䝂䍁䅣光歁䕁䅷䅊硁䑁䅍䅁歃睂䅁杒䅁䕁䄸䅣あ䝁䅫睢畂䡁䅍杏䑂䡁䅕杣祂䑁䄰兖呂䕁䅑䅌乂䝁䅅睚㥁䕁䄰兡獂䝁䅷兡療䝁䄴督獁䕁䄴兑㥁䑁䅁䅁湃睂䅁杈䅁䕁䅫兕時䕁䅕村䩂䙁䅑睘乂䕁䅅杕䡂䕁䅫杔䅁䭁䡧䅁坁䅁䅁兓剂䙁䄸兓佂䕁䅍睘啂䕁䅅䅗䅁䭁䡫䅁坁䅁䅁睕兂䕁䅣睔兂䙁䅑兓偂䕁䄴睕䅁䭁䡯䅁啂䅁䅁睊扂䙁䅍䅕䡂䙁䄸䅒䑂䕁䅙睘䉂䝁䄴兙獂䡁䅫督灂䡁䅍睘㉂䑁䅅䅉潁䑁䅉克畁䡁䅧䅢穂䝁䄰兘䕂䕁䅍杒湁䍁䅅䅊䵂䍁䅑杍硁䅁䅁睱䅣䉁䅷䅁佂䕁䅅睕䕂䕁䅅兕䡂䙁䅍杏乂䙁䅍杒啂䅁䅁杲䅣䕁䅁䅁偂䡁䅁䅤灂䝁䄸杢穂䑁䅯睑ㅂ䡁䅉杣㥁䍁䅷兔桂䝁䅣児乂䝁䅫䅢獂䝁䅫睢畂䡁䅍䅌佂䕁䅅児睁䅁䅁䅂䅧䍁䅉䅁䩂䙁䅅睘䑂䕁䅅䅕䙂䙁䅧睘兂䕁䅍䅖時䙁䅉兒坂䅁䅁䅳䅣䉁䅉䅁䩂䙁䅅睘䕂䕁䅅睘䑂䕁䅙䅁硃睂䅁䅇䅁䕁䅫兕時䕁䄴兒啂䙁䄸䅒䙂䕁䅉䅖䅁䱁䡍䅁䭁䅁䅁兔呂䕁䅙䅖䅁䱁䡕䅁⭁䅁䅁兑獂䡁䅁䅡桂䝁䅉党あ䍁䅁兓畂䝁䅍杌杁䍁䅧杔䉂䙁䅍䅒䉂䙁䅅睒呂䑁䅯睒偂䕁䄸睒䵂䍁䅫䅁㙃睂䅁杓䅁䕁䄰党あ䝁䅅䅉兂䝁䅷兙あ䝁䅙睢祂䝁䄰督獁䍁䅁兓畂䝁䅍杌杁䍁䅧杔䉂䙁䅍䅒䉂䙁䅅睒呂䑁䅯兔䙂䙁䅑兑灁䅁䅁睶䅣䑁䅙䅁䉂䡁䅁䅣獂䝁䅕䅉䩂䝁䄴睙畁䍁䅁䅋佂䕁䅅睕䕂䕁䅅兕䡂䙁䅍杏䉂䕁䅅䅕䵂䍁䅫䅁䅄睂䅁䅗䅁䍁䅣睗呂䙁䅁睒時䕁䅑睑䝂䙁䄸兑畂䝁䅅䅢㕂䡁䅍兡穂䙁䄸杤硁䍁䅁杒灂䝁䄴兙獂䍁䄴䅥獂䡁䅍兢摂䕁䅑睑䝂䍁䅣光歁䕁䅷䅊硁䑁䅍䅁䍄睂䅁杇䅁䙁䅍䅕呂䑁䅙䅏祁䑁䅉免祁䑁䅍睎硁䅁䅁䅸䅣䉁䅯䅁呂䙁䅁睕㍁䑁䅁䅎㍁䑁䅅杍㍁䑁䅕兎䅁䵁䡧䅁慁䅁䅁睕兂䙁䅍杍ㅁ䑁䅉䅎穁䑁䅕䅍㕁䑁䅍䅁䩄睂䅁䅈䅁䙁䅍䅕呂䑁䅅䅏ㅁ䑁䅫杍㍁䑁䅣睎祁䑁䅣䅁䱄睂䅁杇䅁䙁䅍䅕呂䑁䅍䅏ぁ䑁䅁兏穁䑁䅉兏㕁䅁䅁䅺䅣䉁䅷䅁呂䙁䅁睕硁䑁䅧兎㕁䑁䅉睎㍁䑁䅣杍㕁䅁䅁兺䅣䉁䅷䅁呂䙁䅁睕硁䑁䅧兎㕁䑁䅧免㍁䑁䅍䅎ぁ䅁䅁睺䅣䉁䅷䅁呂䙁䅁睕硁䑁䅧兎㕁䑁䅉睎㕁䑁䅑睎㑁䅁䅁眰䅣䉁䅯䅁呂䙁䅁睕祁䑁䅕杍ぁ䑁䅫䅎ぁ䑁䅉䅍䅁乁䡕䅁捁䅁䅁睕兂䙁䅍免㑁䑁䅕兏㑁䑁䅅睎穁䑁䅑杍䅁乁䡙䅁慁䅁䅁睕兂䙁䅍李㉁䑁䅙李穁䑁䅕睎穁䑁䅍䅁敄睂䅁䅈䅁䙁䅍䅕呂䑁䅅䅏ㅁ䑁䅫杍㍁䑁䅫䅎㍁䑁䅫䅁桄睂䅁䅈䅁䙁䅍䅕呂䑁䅅䅏ㅁ䑁䅫杍㍁䑁䅣睎祁䑁䅧䅁楄睂䅁䅈䅁䙁䅍䅕呂䑁䅅䅏ㅁ䑁䅫䅏硁䑁䅣睍ぁ䑁䅕䅁湄睂䅁䅈䅁䙁䅍䅕呂䑁䅅䅏ㅁ䑁䅫䅏硁䑁䅣睍ぁ䑁䅧䅁灄睂䅁杇䅁䙁䅍䅕呂䑁䅅免㕁䑁䅅睍穁䑁䅉杍祁䅁䅁朶䅣䉁䅷䅁呂䙁䅁睕硁䑁䅧兎㕁䑁䅉睎㕁䑁䅑䅏祁䅁䅁儸䅣䉁䅯䅁呂䙁䅁睕㍁䑁䅁䅎㍁䑁䅅杍㍁䑁䅑睎䅁偁䡑䅁坂䅁䅁睗呂䙁䅁睒時䕁䅑睑䝂䙁䄸兑畂䝁䅅䅢㕂䡁䅍兡穂䙁䄸杤硁䙁䄸杒灂䝁䄴兙獂䍁䄴䅥獂䡁䅍兢摂䕁䅑睑䝂䍁䅅䅊䉂䕁䅯䅊ㅁ䑁䅣䅁㉄睂䅁䅍䅁䕁䄸䅣あ䝁䅫睢畂䡁䅍杏䑂䡁䅕杣祂䑁䄰䅌乂䝁䅅睚㥁䍁䅷杔䉂䑁䄰䅍䅁偁䡫䅁奂䅁䅁睔睂䡁䅑兡療䝁䄴督㙁䕁䄸䅣あ䝁䅫睢畂䡁䅍杏䑂䡁䅕杣祂䑁䄰兖呂䕁䅑䅌乂䝁䅅睚㥁䕁䄰兡獂䝁䅷兡療䝁䄴督獁䕁䄴兑㥁䑁䅁児䅁偁䡯䅁捁䅁䅁睕兂䙁䅍杍睁䑁䅅杍祁䑁䅕兎祁䑁䅫李䅁偁䡷䅁杂䅁䅁睊扂䙁䅍䅕䡂䙁䄸䅒䑂䕁䅙睘䉂䝁䄴兙獂䡁䅫督灂䡁䅍睘㉂䑁䅅睘䝂䝁䅫杢桂䝁䅷䅉潁䑁䅉克畁䡁䅧䅢穂䝁䄰兘䕂䕁䅍杒湁䍁䅅䅊䵂䍁䅑杍硁䅁䅁䅁䅧䝁䅁䅁湁䙁䅳睕兂䕁䅣睘䕂䕁䅍杒時䕁䅅杢桂䝁䅷入穂䝁䅫督時䡁䅙免時䕁䅙兡畂䝁䅅䅢杁䍁䅧杍灁䍁䄴䅥獂䡁䅍兢摂䕁䅑睑䝂䍁䅣光歁䕁䅷䅊硁䑁䅍䅁䉁䅃䅁杙䅁䍁䅣睗呂䙁䅁睒時䕁䅑睑䝂䙁䄸兑畂䝁䅅䅢㕂䡁䅍兡穂䙁䄸杤硁䙁䄸杒灂䝁䄴兙獂䍁䅁䅋祁䍁䅫杌㑂䝁䅷督瑂䙁䄰䅒䑂䕁䅙睊桁䍁䅑兑䭂䍁䅑兎㍁䅁䅁杁䅧䝁䅯䅁偂䡁䅁䅤灂䝁䄸杢穂䑁䅯睑ㅂ䡁䅉杣㥁䕁䅣村兂䍁䅷兔桂䝁䅣児睁䍁䅷睑療䝁䄴杤乂䝁䅕䅤潂䝁䄸䅚㥁䕁䄰兓祂䝁䅕睙療䝁䄰兢求䝁䄴䅚求䝁䅑䅌佂䕁䅅児睁䅁䅁兂䅧䑁䅙䅁偂䡁䅁䅤灂䝁䄸杢穂䑁䅯睑ㅂ䡁䅉杣㥁䕁䅣村兂䍁䅷兔桂䝁䅣児獁䕁䄴兑㥁䑁䅁䅁䝁䅃䅁䅢䅁䕁䄸䅣あ䝁䅫睢畂䡁䅍杏䑂䡁䅕杣祂䑁䄰睒䍂䙁䅁䅌乂䝁䅅睚㥁䑁䅁䅌䑂䝁䄸杢㉂䕁䄰党あ䝁䅧睢歂䑁䄰兔䩂䡁䅉党橂䝁䄸兢瑂䝁䅕杢歂䝁䅕䅚獁䕁䄴兑㥁䕁䄴兑䅁䅁䥧䅁䕂䅁䅁睔睂䡁䅑兡療䝁䄴督㙁䕁䅍兤祂䡁䅉児䡂䕁䅉䅕獁䕁䄰兙湂䑁䄰兑橂䡁䅑兤桂䝁䅷督獁䕁䄴兑㥁䑁䅁䅁䩁䅃䅁杖䅁䕁䄸䅣あ䝁䅫睢畂䡁䅍杏偂䡁䅁䅤灂䝁䄸杢穂䑁䅯睑ㅂ䡁䅉杣㥁䕁䅣村兂䍁䅷兔桂䝁䅣児䉂䝁䅍䅤ㅂ䝁䅅䅢穂䍁䅷杔䉂䑁䄰䅍㥁䅁䅁䅄䅧䕁䅙䅁偂䡁䅁䅤灂䝁䄸杢穂䑁䅯睑ㅂ䡁䅉杣㥁䕁䅣村兂䍁䅷兔桂䝁䅣児乂䝁䅫䅢獂䝁䅫睢畂䡁䅍䅌佂䕁䅅児睁䅁䅁兄䅧䡁䅯䅁偂䡁䅁䅤灂䝁䄸杢穂䑁䅯睑ㅂ䡁䅉杣㥁䕁䅣村兂䍁䅷兔桂䝁䅣児乂䝁䅫䅢獂䝁䅫睢畂䡁䅍䅌䑂䝁䄸杢㉂䕁䄰党あ䝁䅧睢歂䑁䄰兔䩂䡁䅉党橂䝁䄸兢瑂䝁䅕杢歂䝁䅕䅚獁䕁䄴兑㥁䕁䄴兑䅁䅁䤴䅁㑂䅁䅁睔睂䡁䅑兡療䝁䄴督㙁䕁䅍兤祂䡁䅉児䡂䕁䅉䅕獁䕁䄰兙湂䑁䄰兔灂䝁䅷䅢灂䝁䄸杢穂䍁䅷睑療䝁䄴杤乂䝁䅕䅤潂䝁䄸䅚㥁䕁䄰兓祂䝁䅕睙療䝁䄰兢求䝁䄴䅚求䝁䅑䅌佂䕁䅅児睁䅁䅁睄䅧䙁䅧䅁偂䡁䅁䅤灂䝁䄸杢穂䑁䅯睔睂䡁䅑兡療䝁䄴督㙁䕁䅍兤祂䡁䅉児䡂䕁䅉䅕獁䕁䄰兙湂䑁䄰兔灂䝁䅷䅢灂䝁䄸杢穂䍁䅷杔䉂䑁䄰䅍㥁䅁䅁䅅䅧䝁䅷䅁偂䡁䅁䅤灂䝁䄸杢穂䑁䅯睑ㅂ䡁䅉杣㥁䙁䅕睕䕂䍁䅷兔桂䝁䅣児睁䍁䅷睑療䝁䄴杤乂䝁䅕䅤潂䝁䄸䅚㥁䕁䄰兓祂䝁䅕睙療䝁䄰兢求䝁䄴䅚求䝁䅑䅌佂䕁䅅児佂䕁䅅䅁啁䅃䅁䅤䅁䕁䄸䅣あ䝁䅫睢畂䡁䅍杏䑂䡁䅕杣祂䑁䄰䅌乂䝁䅅睚㥁䕁䄰兡獂䝁䅷兡療䝁䄴督獁䕁䅍睢畂䡁䅙兔求䡁䅑䅡療䝁䅑児乂䕁䅫杣求䝁䅍睢瑂䝁䄰党畂䝁䅑党歂䍁䅷杔䉂䑁䄰杔䉂䅁䅁兆䅧䡁䅉䅁偂䡁䅁䅤灂䝁䄸杢穂䑁䅯睑ㅂ䡁䅉杣㥁䍁䅷兔桂䝁䅣児乂䝁䅫䅢獂䝁䅫睢畂䡁䅍䅌䑂䝁䄸杢㉂䕁䄰党あ䝁䅧睢歂䑁䄰兔䩂䡁䅉党橂䝁䄸兢瑂䝁䅕杢歂䝁䅕䅚獁䕁䄴兑㥁䑁䅁䅁坁䅃䅁条䅁䕁䄸䅣あ䝁䅫睢畂䡁䅍杏䑂䡁䅕杣祂䑁䄰兒噂䙁䅉䅌乂䝁䅅睚㥁䑁䅁䅌䑂䝁䄸杢㉂䕁䄰党あ䝁䅧睢歂䑁䄰兔䩂䡁䅉党橂䝁䄸兢瑂䝁䅕杢歂䝁䅕䅚獁䕁䄴兑㥁䑁䅁䅁奁䅃䅁䅢䅁䕁䄸䅣あ䝁䅫睢畂䡁䅍杏䑂䡁䅕杣祂䑁䄰兒噂䙁䅉䅌乂䝁䅅睚㥁䑁䅁䅌䑂䝁䄸杢㉂䕁䄰党あ䝁䅧睢歂䑁䄰兔䩂䡁䅉党橂䝁䄸兢瑂䝁䅕杢歂䝁䅕䅚獁䕁䄴兑㥁䕁䄴兑䅁䉁䥫䅁䥂䅁䅁睔睂䡁䅑兡療䝁䄴督㙁䕁䄸䅣あ䝁䅫睢畂䡁䅍杏䑂䡁䅕杣祂䑁䄰兒噂䙁䅉䅌乂䝁䅅睚㥁䍁䅷杔䉂䑁䄰䅍㥁䅁䅁杇䅧䕁䅙䅁偂䡁䅁䅤灂䝁䄸杢穂䑁䅯睑ㅂ䡁䅉杣㥁䕁䅕兖卂䍁䅷兔桂䝁䅣児乂䝁䅫䅢獂䝁䅫睢畂䡁䅍䅌佂䕁䅅児睁䅁䅁睇䅧䡁䅯䅁偂䡁䅁䅤灂䝁䄸杢穂䑁䅯睑ㅂ䡁䅉杣㥁䕁䅕兖卂䍁䅷兔桂䝁䅣児乂䝁䅫䅢獂䝁䅫睢畂䡁䅍䅌䑂䝁䄸杢㉂䕁䄰党あ䝁䅧睢歂䑁䄰兔䩂䡁䅉党橂䝁䄸兢瑂䝁䅕杢歂䝁䅕䅚獁䕁䄴兑㥁䕁䄴兑䅁䉁䥷䅁奂䅁䅁睔睂䡁䅑兡療䝁䄴督㙁䕁䄸䅣あ䝁䅫睢畂䡁䅍杏䑂䡁䅕杣祂䑁䄰兒噂䙁䅉䅌乂䝁䅅睚㥁䕁䄰兡獂䝁䅷兡療䝁䄴督獁䕁䄴兑㥁䑁䅁児䅁䉁䤴䅁䥂䅁䅁睗呂䙁䅁睒時䕁䅑睑䝂䙁䄸兑畂䝁䅅䅢㕂䡁䅍兡穂䙁䄸杤硁䍁䄴䅥獂䡁䅍兢摂䕁䅑睑䝂䍁䅅䅊䵂䍁䅑免穁䅁䅁䅉䅧䕁䅯䅁扂䙁䅍䅕䡂䙁䄸䅒䑂䕁䅙睘䉂䝁䄴兙獂䡁䅫督灂䡁䅍睘㉂䑁䅅杌㑂䝁䅷督瑂䙁䄰䅒䑂䕁䅙光歁䕁䅅杓歁䑁䅕睎䅁䍁䥉䅁䭂䅁䅁睗呂䙁䅁睒時䕁䅑睑䝂䙁䄸兑畂䝁䅅䅢㕂䡁䅍兡穂䙁䄸杤硁䍁䄴䅥獂䡁䅍兢摂䕁䅑睑䝂䍁䅅䅊䉂䙁䅧䅊ㅁ䑁䅣䅁橁䅃䅁杇䅁䙁䅍䅕呂䑁䅑免㑁䑁䅫杍硁䑁䅉杍㕁䅁䅁䅋䅧䉁䅯䅁呂䙁䅁睕ㅁ䑁䅕李ㅁ䑁䅁免睁䑁䅅䅎䅁䍁䥫䅁慁䅁䅁睕兂䙁䅍兎ㅁ䑁䅑睎穁䑁䅑杍硁䑁䅉䅁牁䅃䅁䅈䅁䙁䅍䅕呂䑁䅅睎㕁䑁䅁兎㑁䑁䅫兎㉁䑁䅙䅁瑁䅃䅁杇䅁䙁䅍䅕呂䑁䅑杍㕁䑁䅣䅎ㅁ䑁䅍兎祁䅁䅁杌䅧䉁䅷䅁呂䙁䅁睕硁䑁䅧免硁䑁䅫杍ㅁ䑁䅉兏睁䅁䅁睌䅧䉁䅯䅁呂䙁䅁睕ㅁ䑁䅑杍㍁䑁䅫杍㉁䑁䅙䅎䅁䑁䥅䅁慁䅁䅁睕兂䙁䅍兎ㅁ䑁䅫䅍㍁䑁䅫杍硁䑁䅫䅁祁䅃䅁䅈䅁䙁䅍䅕呂䑁䅅䅏硁䑁䅅兏祁䑁䅕杍㍁䑁䅧䅁穁䅃䅁杇䅁䙁䅍䅕呂䑁䅍䅍㍁䑁䅙免㑁䑁䅧䅎ぁ䅁䅁䅎䅧䉁䅯䅁呂䙁䅁睕穁䑁䅁睎㉁䑁䅅䅏㑁䑁䅑兎䅁䑁䥕䅁捁䅁䅁睕兂䙁䅍免㍁䑁䅧免睁䑁䅍杍ㅁ䑁䅣兏䅁䑁䥙䅁慁䅁䅁睕兂䙁䅍李㉁䑁䅙兎㉁䑁䅧䅏ㅁ䑁䅍䅁㍁䅃䅁杇䅁䙁䅍䅕呂䑁䅙李㉁䑁䅕李㑁䑁䅧兎ぁ䅁䅁䅏䅧䉁䅯䅁呂䙁䅁睕ㅁ䑁䅕李㑁䑁䅕杍ㅁ䑁䅍䅎䅁䑁䥳䅁慁䅁䅁睕兂䙁䅍李穁䑁䅕睎硁䑁䅉免祁䑁䅅䅁㥁䅃䅁杇䅁䙁䅍䅕呂䑁䅉睎㉁䑁䅅杍祁䑁䅣䅎硁䅁䅁材䅧䉁䅯䅁呂䙁䅁睕㉁䑁䅑睍穁䑁䅉兏㍁䑁䅉䅏䅁䑁䤸䅁慁䅁䅁睕兂䙁䅍杍㕁䑁䅣免穁䑁䅅䅎㍁䑁䅣䅁䅂䅃䅁杇䅁䙁䅍䅕呂䑁䅕兎㑁䑁䅉兏ぁ䑁䅣睎睁䅁䅁兑䅧䉁䅷䅁呂䙁䅁睕硁䑁䅧睍㍁䑁䅉免㕁䑁䅫睎硁䅁䅁睑䅧䉁䅷䅁呂䙁䅁睕硁䑁䅧睍㍁䑁䅉杍睁䑁䅁睍ぁ䅁䅁䅒䅧䉁䅯䅁呂䙁䅁睕ㅁ䑁䅍李㉁䑁䅍杍㑁䑁䅙李䅁䕁䥙䅁慁䅁䅁睕兂䙁䅍睍硁䑁䅅杍祁䑁䅉睍㍁䑁䅉䅁䡂䅃䅁䅈䅁䙁䅍䅕呂䑁䅅睎㕁䑁䅑睍睁䑁䅙睎ㅁ䑁䅫䅁䥂䅃䅁杇䅁䙁䅍䅕呂䑁䅣䅍祁䑁䅫杍硁䑁䅙睎硁䅁䅁杓䅧䉁䅯䅁呂䙁䅁睕㍁䑁䅁杍㕁䑁䅉免㉁䑁䅣睍䅁䕁䥷䅁慁䅁䅁睕兂䙁䅍睎睁䑁䅉兏祁䑁䅅李㍁䑁䅑䅁乂䅃䅁䅈䅁䙁䅍䅕呂䑁䅅䅏穁䑁䅣杍硁䑁䅫兏㍁䑁䅑䅁佂䅃䅁䅈䅁䙁䅍䅕呂䑁䅅李㍁䑁䅕李睁䑁䅅兏硁䑁䅙䅁兂䅃䅁杇䅁䙁䅍䅕呂䑁䅑睍硁䑁䅉睍㉁䑁䅫兎穁䅁䅁兕䅧䉁䅷䅁呂䙁䅁睕硁䑁䅣兏ぁ䑁䅍䅍㉁䑁䅣兎㑁䅁䅁杕䅧䉁䅷䅁呂䙁䅁睕硁䑁䅧睍㍁䑁䅉免㕁䑁䅫睎穁䅁䅁䅖䅧䉁䅷䅁呂䙁䅁睕硁䑁䅫䅎祁䑁䅅䅍睁䑁䅧兎ぁ䅁䅁杖䅧䉁䅯䅁呂䙁䅁睕㉁䑁䅧睍ㅁ䑁䅉䅍穁䑁䅫睍䅁䙁䥣䅁慁䅁䅁睕兂䙁䅍李㑁䑁䅍兎祁䑁䅁睍㕁䑁䅑䅁奂䅃䅁䅈䅁䙁䅍䅕呂䑁䅅李㍁䑁䅕李睁䑁䅅兏㉁䑁䅧䅁慂䅃䅁䅈䅁䙁䅍䅕呂䑁䅅兏ぁ䑁䅉免睁䑁䅁兎穁䑁䅫䅁扂䅃䅁䅈䅁䙁䅍䅕呂䑁䅅睎㕁䑁䅑睍睁䑁䅙睎㉁䑁䅁䅁摂䅃䅁杇䅁䙁䅍䅕呂䑁䅉李祁䑁䅧兏睁䑁䅁睎硁䅁䅁杘䅧䉁䅯䅁呂䙁䅁睕穁䑁䅉兎㑁䑁䅅䅏睁䑁䅫兏䅁䝁䥁䅁捁䅁䅁睕兂䙁䅍免㍁䑁䅫䅎睁䑁䅣睎硁䑁䅅兏䅁䝁䥅䅁慁䅁䅁睕兂䙁䅍杍㑁䑁䅍兎睁䑁䅕李硁䑁䅫䅁楂䅃䅁䅈䅁䙁䅍䅕呂䑁䅅李㍁䑁䅕李睁䑁䅉睎ㅁ䑁䅫䅁歂䅃䅁䅅䅁䕁䅅杔䙂䙁䅑兌噂䙁䅍䅁潂䅃䅁杕䅁䙁䅁兙獂䝁䄸䅉䉂䝁䅷䅤療䍁䅁杔求䡁䅑睤療䡁䅉睡穂䍁䅷䅉䩂䝁䄴睙畁䍁䅁䅋佂䕁䅅睕䕂䕁䅅兕䡂䙁䅍杏兂䕁䅅杔塂䍁䅫䅁灂䅃䅁䅒䅁䕁䅅杣灂䡁䅍䅤桂䍁䅁杔求䡁䅑睤療䡁䅉睡穂䍁䅷䅉䩂䝁䄴睙畁䍁䅁䅋佂䙁䅫睕䙂䑁䅯兑佂䕁䅕䅖灁䅁䅁条䅧䉁䅷䅁呂䙁䅁睕祁䑁䅁免ぁ䑁䅍杍穁䑁䅕兏ㅁ䅁䅁兢䅧䉁䅷䅁呂䙁䅁睕祁䑁䅁免ぁ䑁䅍杍穁䑁䅉䅏睁䅁䅁杢䅧䉁䅷䅁呂䙁䅁睕祁䑁䅁免ぁ䑁䅑䅏㉁䑁䅍免穁䅁䅁䅣䅧䉁䅷䅁呂䙁䅁睕祁䑁䅁免硁䑁䅅䅏祁䑁䅉䅎㕁䅁䅁兣䅧䙁䅑䅁扂䙁䅍䅕䡂䙁䄸䅒䑂䕁䅙睘䉂䝁䄴兙獂䡁䅫督灂䡁䅍睘㉂䑁䅅睘䱂䝁䅫党獂䍁䄴䅥獂䡁䅍兢摂䕁䅑睑䝂䍁䅅䅊䉂䕁䅯䅊ㅁ䑁䅣䅁祂䅃䅁䅖䅁䍁䅣睗呂䙁䅁睒時䕁䅑睑䝂䙁䄸兑畂䝁䅅䅢㕂䡁䅍兡穂䙁䄸杤硁䍁䅁䅋穁䍁䅫杌㑂䝁䅷督瑂䙁䄰䅒䑂䕁䅙睊桁䍁䅑䅔歁䑁䅉免䅁䡁䥕䅁啂䅁䅁睊扂䙁䅍䅕䡂䙁䄸䅒䑂䕁䅙睘䉂䝁䄴兙獂䡁䅫督灂䡁䅍睘㉂䑁䅅䅉潁䑁䅍克畁䡁䅧䅢穂䝁䄰兘䕂䕁䅍杒湁䍁䅅䅊䵂䍁䅑免穁䅁䅁杤䅧䙁䅙䅁湁䙁䅳睕兂䕁䅣睘䕂䕁䅍杒時䕁䅅杢桂䝁䅷入穂䝁䅫督時䡁䅙免杁䍁䅧睍灁䍁䄴䅥獂䡁䅍兢摂䕁䅑睑䝂䍁䅣光歁䕁䅅杓歁䑁䅕睎䅁䡁䥣䅁坂䅁䅁睊扂䙁䅍䅕䡂䙁䄸䅒䑂䕁䅙睘䉂䝁䄴兙獂䡁䅫督灂䡁䅍睘㉂䑁䅅䅉潁䑁䅍克畁䡁䅧䅢穂䝁䄰兘䕂䕁䅍杒湁䍁䅅䅊䉂䙁䅧䅊ㅁ䑁䅣䅁㑂䅃䅁睶䅉䅁杷允䅁䅁䅕䅁䑁䅁䅷䅁䭁䕁䙳䅁䭁䑁䙅䅁䙁䅁䅁䅁杁敬䅚权祁兂䅁允䅁䅁䅅䅁䭁䩁䉑䅁䵁䅉䅅䅁䑁䅁䅁睁䵁䅁䅁权㑃睂䅁权䩃兂䅁允䅁䅁䅅䅁啁䉁㡷睐䅁䅁䅁䍄䉁䅁䅁杂䅁䅁䅍䅄䅁䅁䅯兴䅣䅁䅯䅧䅍䅁䅯全䅕䅁䅕䅁䅁䝁噃欵䭁䝁䝣䅁䉁䅁䅁允䅁䉁䅑噣䄴䅁䅁䅁䵁䅉䅅䅁䝁䅁䅁睁䵁䅁䅁权ㅃ睂䅁权煂杂䅁权䙃兂䅁兂䅁䅁䅁䩙浘䅑䅯睚䅙䅁䅅䅁䉁䅁䅁䅆求杘䅉䅁䅁䅁杷允䅁䅁䅙䅁䑁䅁䅷䅁䭁䱁䡕䅁䭁䡁䝷䅁䭁䥁䙯䅁䙁䅁䅁䅁杂敬䅚权湂杂䅁允䅁䅁䅅䅁啁佁啑䅁䅁䅁䅁䍄䉁䅁䅁兂䅁䅁䅍䅄䅁䅁䅯䅖䅕䅁䅯免䅕䅁䅕䅁䅁䕁噃欵䭁䑁䙉䅁䉁䅁䅁允䅁䅁䅯䅬䅅䅁杷允䅁䅁䅕䅁䑁䅁䅷䅁䭁偁䡑䅁䭁䙁䡍䅁䙁䅁䅁䅁杂敬䅚权祁兂䅁允䅁䅁䅅䅁䙁䱁䱺塒湷桨䅨䍄䉁䅁䅁兂䅁䅁䅍䅄䅁䅁䅯督䅕䅁䅯免䅕䅁䅕䅁䅁䍁噃欵䭁䑁䙉䅁䉁䅁䅁允䅁䅁䅯䅬䅅䅁杷允䅁䅁䅕䅁䑁䅁䅷䅁䭁䑁䙳䅁䭁䑁䙅䅁䙁䅁䅁䅁杂敬䅚权祁兂䅁允䅁䅁䅅䅁䙁䭁捷浗㝑砳䅊䍄䉁䅁䅁兂䅁䅁䅍䅄䅁䅁䅯䅡䅕䅁䅯免䅕䅁䅕䅁䅁䍁噃欵䭁䑁䙉䅁䉁䅁䅁允䅁䅁䅯䅬䅅䅁杷允䅁䅁䅕䅁䑁䅁䅷䅁䭁䑁䙣䅁䭁䑁䙅䅁䙁䅁䅁䅁䅂敬䅚权祁兂䅁允䅁䅁䅅䅁䭁䩁䉑䅁䵁䅉䅅䅁䙁䅁䅁睁䵁䅁䅁权䩂兂䅁权硁兂䅁兂䅁䅁䅁䩑浘䅑䅯杍䅕䅁䅅䅁䉁䅁䅁权啃允䅁䍄䉁䅁䅁兂䅁䅁䅍䅄䅁䅁䅯䅚䅕䅁䅯免䅕䅁䅕䅁䅁䝁噃欵䭁䑁䙉䅁䉁䅁䅁允䅁䅁䅕椹捨㡪ㅌ䐯䴸䅉䅅䅁䑁䅁䅁睁䵁䅁䅁权啄睂䅁权敃兂䅁允䅁䅁䅅䅁䡁䅁䅁䅁䅄⭹䅒䍄䉁䅁䅁兂䅁䅁䅍䅄䅁䅁䅯杔䅕䅁䅯免䅕䅁䅕䅁䅁䍁噃欵䭁䑁䙉䅁䉁䅁䅁允䅁䅁䅯䅬䅅䅁杷允䅁䅁䅕䅁䑁䅁䅷䅁䭁䵁䡧䅁䭁䙁䡍䅁䙁䅁䅁䅁杂敬䅚权祁兂䅁允䅁䅁䅅䅁䙁乁伶䙣睲桙䅨䍄䉁䅁䅁杂䅁䅁䅍䅄䅁䅁䅯䅵䅣䅁䅯䅎䅉䅁䅯杨䅕䅁䅕䅁䅁䝁噃欵䭁䥁䙣䅁䉁䅁䅁允䅁䅁䅯䅬䅅䅁杷允䅁䅁䅕䅁䑁䅁䅷䅁䭁䡁䙍䅁䭁䑁䙅䅁䙁䅁䅁䅁䅂敬䅚权祁兂䅁允䅁䅁䅅䅁䭁䩁䉑䅁䵁䅉䅅䅁䑁䅁䅁睁䵁䅁䅁权ㅃ睂䅁权啃杂䅁允䅁䅁䅅䅁䭁䩁䝕䅁䵁䅉䅅䅁䑁䅁䅁睁䵁䅁䅁权灁兂䅁权䱃兂䅁允䅁䅁䅅䅁䭁䡁䍉䅁䵁䅉䅅䅁䙁䅁䅁睁䵁䅁䅁权啂兂䅁权硁兂䅁兂䅁䅁䅁䩉浘䅑䅯杍䅕䅁䅅䅁䉁䅁䅁权啃允䅁䍄䉁䅁䅁兂䅁䅁䅍䅄䅁䅁䅯兗䅕䅁䅯免䅕䅁䅕䅁䅁䕁噃欵䭁䑁䙉䅁䉁䅁䅁允䅁䅁䅯䅬䅅䅁杷允䅁䅁䅍䅁䑁䅁䅷䅁䭁乁䡯䅁䭁䩁䘴䅁䉁䅁䅁允䅁䅁䅣䅁䅁䥁楄䔵䵁䅉䅅䅁䑁䅁䅁睁䵁䅁䅁权敄睂䅁权敃兂䅁允䅁䅁䅅䅁䡁䅁䅁䅁杄敥䅖䍄䉁䅁䅁睁䅁䅁䅍䅄䅁䅁䅯睢䅑䅁䅯睩䅕䅁䅅䅁䉁䅁䅁权睂杁䅁䍄䉁䅁䅁兂䅁䅁䅍䅄䅁䅁䅯杧䅕䅁䅯免䅕䅁䅕䅁䅁䝁噃欵䭁䑁䙉䅁䉁䅁䅁允䅁䅁䅕捺䵺䵺䵸商䵁䅉䅅䅁䙁䅁䅁睁䵁䅁䅁权㥁兂䅁权硁兂䅁兂䅁䅁䅁䩉浘䅑䅯杍䅕䅁䅅䅁䉁䅁䅁权啃允䅁䍄䉁䅁䅁睁䅁䅁䅍䅄䅁䅁䅯睢䅑䅁䅯免䅅䅁䅅䅁䉁䅁䅁权噃兂䅁䍄䉁䅁䅁杂䅁䅁䅍䅄䅁䅁䅯兴䅣䅁䅯兪䅙䅁䅯䅩䅕䅁䅕䅁䅁䝁噃欵䭁䭁䡣䅁䉁䅁䅁允䅁䉁䅑塚䉅䅁䅁䅁䵁䅉䅅䅁䙁䅁䅁睁䵁䅁䅁权坂兂䅁权硁兂䅁兂䅁䅁䅁䩉浘䅑䅯杍䅕䅁䅅䅁䉁䅁䅁权啃允䅁䍄䉁䅁䅁兂䅁䅁䅍䅄䅁䅁䅯兖䅕䅁䅯免䅕䅁䅕䅁䅁䍁噃欵䭁䑁䙉䅁䉁䅁䅁允䅁䅁䅯䅬䅅䅁杷允䅁䅁䅕䅁䑁䅁䅷䅁䭁䕁䘸䅁䭁䑁䙅䅁䙁䅁䅁䅁杁敬䅚权祁兂䅁允䅁䅁䅅䅁䭁䩁䉑䅁䵁䅉䅅䅁䑁䅁䅁睁䵁䅁䅁权㡃睂䅁权䩃兂䅁允䅁䅁䅅䅁啁䝁娰児䅁䅁䅁䍄䉁䅁䅁杂䅁䅁䅍䅄䅁䅁䅯兴䅣䅁䅯䅤䅙䅁䅯䅪䅕䅁䅕䅁䅁䝁噃欵䭁䝁䝣䅁䉁䅁䅁允䅁䉁䅑灷䉫䅁䅁䅁䵁䅉䅅䅁䝁䅁䅁睁䵁䅁䅁权ㅃ睂䅁权㙂杂䅁权乃兂䅁兂䅁䅁䅁䩙浘䅑䅯睚䅙䅁䅅䅁䉁䅁䅁䅆摃⼫⼯⼯⼯眯杷允䅁䅁䅙䅁䑁䅁䅷䅁䭁偁䡑䅁䭁䙁䡑䅁䭁䡁䡉䅁䙁䅁䅁䅁杂敬䅚权祁兂䅁允䅁䅁䅅䅁䙁䩁䉔晕煌䉦䅨䍄䉁䅁䅁兂䅁䅁䅍䅄䅁䅁䅯䅒䅕䅁䅯免䅕䅁䅕䅁䅁䝁噃欵䭁䑁䙉䅁䉁䅁䅁允䅁䅁䅕扰䈳祆呚歃䵁䅉䅅䅁䑁䅁䅁睁䵁䅁䅁权㑃睂䅁权硁允䅁允䅁䅁䅅䅁䭁䱁䠸䅁䵁䅉䅅䅁䝁䅁䅁睁䵁䅁䅁权㑃睂䅁权扁䅂䅁权䵃兂䅁兂䅁䅁䅁䩙浘䅑䅯杍䅕䅁䅅䅁䉁䅁䅁兂穂䩡瑈䡦稸䅑杷允䅁䅁䅙䅁䑁䅁䅷䅁䭁䱁䡕䅁䭁䡁䝕䅁䭁䥁䙧䅁䙁䅁䅁䅁杂敬䅚权湂杂䅁允䅁䅁䅅䅁啁䅁䅁䅁䅁䅁䅁䍄䉁䅁䅁杂䅁䅁䅍䅄䅁䅁䅯䅸䅣䅁䅯䅖䅣䅁䅯杣䅣䅁䅕䅁䅁䝁噃欵䭁䑁䙉䅁䉁䅁䅁允䅁䅁䅕歬䱏佢㝤歆䵁䅉䅅䅁䙁䅁䅁睁䵁䅁䅁权灂兂䅁权硁兂䅁兂䅁䅁䅁䩑浘䅑䅯杍䅕䅁䅅䅁䉁䅁䅁权啃允䅁䍄䉁䅁䅁睁䅁䅁䅍䅄䅁䅁䅯儲䅣䅁䅯杮䅕䅁䅅䅁䉁䅁䅁睂䅁䅁䅁䤴武䅑杷允䅁䅁䅙䅁䑁䅁䅷䅁䭁佁䠴䅁䭁䙁䡑䅁䭁䡁䡉䅁䙁䅁䅁䅁杂敬䅚权祁兂䅁允䅁䅁䅅䅁䙁䝁眯捨啬剧䅨䍄䉁䅁䅁兂䅁䅁䅍䅄䅁䅁䅯児䅕䅁䅯免䅕䅁䅕䅁䅁䕁噃欵䭁䑁䙉䅁䉁䅁䅁允䅁䅁䅯䅬䅅䅁杷允䅁䅁䅕䅁䑁䅁䅷䅁䭁偁䡅䅁䭁䙁䡍䅁䙁䅁䅁䅁杂敬䅚权祁兂䅁允䅁䅁䅅䅁䙁䩁卫晓祑桓䅨䍄䉁䅁䅁兂䅁䅁䅍䅄䅁䅁䅯儲䅣䅁䅯睕䅣䅁䅕䅁䅁䝁噃欵䭁䑁䙉䅁䉁䅁䅁允䅁䅁䅕剅琵䱈㉈う䵁䅉䅅䅁䝁䅁䅁睁䵁䅁䅁权ㅃ睂䅁权㕂杂䅁权䭃兂䅁兂䅁䅁䅁䩙浘䅑䅯睚䅙䅁䅅䅁䉁䅁䅁䅆灄⼴⼯⼯⼯眯杷允䅁䅁䅙䅁䑁䅁䅷䅁䭁䱁䡕䅁䭁䥁䑉䅁䭁䥁䙕䅁䙁䅁䅁䅁杂敬䅚权湂杂䅁允䅁䅁䅅䅁啁䉁㝑瘯⼯⼯⼯䍄䉁䅁䅁杂䅁䅁䅍䅄䅁䅁䅯兴䅣䅁䅯䅥䅙䅁䅯䅩䅕䅁䅕䅁䅁䝁噃欵䭁䝁䝣䅁䉁䅁䅁允䅁䉁䅑兏䅉䅁䅁䅁䵁䅉䅅䅁䝁䅁䅁睁䵁䅁䅁权ㅃ睂䅁权㥂杂䅁权灂杂䅁兂䅁䅁䅁䩙浘䅑䅯睚䅙䅁䅅䅁䉁䅁䅁䅆䥃䅂䅁䅁䅁䅁杷允䅁䅁䅕䅁䑁䅁䅷䅁䭁䙁䙳䅁䭁䑁䙅䅁䙁䅁䅁䅁杁敬䅚权祁兂䅁允䅁䅁䅅䅁䭁䩁䉑䅁䵁䅉䅅䅁䙁䅁䅁睁䵁䅁䅁权兂兂䅁权硁兂䅁兂䅁䅁䅁䩙浘䅑䅯杍䅕䅁䅅䅁䉁䅁䅁兂㑃潈牘呕畧䅑杷允䅁䅁䅙䅁䑁䅁䅷䅁䭁䱁䡕䅁䭁䥁䝧䅁䭁䥁䙧䅁䙁䅁䅁䅁杂敬䅚权湃睂䅁允䅁䅁䅅䅁啁䩁煶杁䅁䅁䅁䍄䉁䅁䅁兂䅁䅁䅍䅄䅁䅁䅯睏䅕䅁䅯免䅕䅁䅕䅁䅁䕁噃欵䭁䑁䙉䅁䉁䅁䅁允䅁䅁䅯䅬䅅䅁杷允䅁䅁䅕䅁䑁䅁䅷䅁䭁䡁䙅䅁䭁䑁䙅䅁䙁䅁䅁䅁杁敬䅚权祁兂䅁允䅁䅁䅅䅁䭁䩁䉑䅁䵁䅉䅅䅁䝁䅁䅁睁䵁䅁䅁权ㅃ睂䅁权扁䅂䅁权䙃兂䅁兂䅁䅁䅁䩙浘䅑䅯杍䅕䅁䅅䅁䉁䅁䅁兂䵂㑎䉬䝙穕䅑杷允䅁䅁䅙䅁䑁䅁䅷䅁䭁乁䡧䅁䭁䙁䡑䅁䭁䡁䡉䅁䙁䅁䅁䅁杂敬䅚权祁兂䅁允䅁䅁䅅䅁䙁䍁穐䉹䴸䉮䅤䍄䉁䅁䅁睁䅁䅁䅍䅄䅁䅁䅯儸䅣䅁䅯杮䅕䅁䅅䅁䉁䅁䅁睂䅁䅁䅁䉧浢䅑杷允䅁䅁䅕䅁䑁䅁䅷䅁䭁䑁䙧䅁䭁䑁䙅䅁䙁䅁䅁䅁杁敬䅚权祁兂䅁允䅁䅁䅅䅁䭁䩁䉑䅁䵁䅉䅅䅁䙁䅁䅁睁䵁䅁䅁权睁兂䅁权硁兂䅁兂䅁䅁䅁䩑浘䅑䅯杍䅕䅁䅅䅁䉁䅁䅁权啃允䅁䍄䉁䅁䅁杂䅁䅁䅍䅄䅁䅁䅯睢䅑䅁䅯睌䅉䅁䅯杨䅕䅁䅕䅁䅁䝁噃欵䭁䥁䙣䅁䉁䅁䅁允䅁䉁䅑䥃䌴䅁䅁䅁䵁䅉䅅䅁䑁䅁䅁睁䵁䅁䅁权噄睂䅁权敃兂䅁允䅁䅁䅅䅁䡁䅁䅁䅁䅄敕䅒䍄䉁䅁䅁睁䅁䅁䅍䅄䅁䅁䅯䄹䅣䅁䅯杮䅕䅁䅅䅁䉁䅁䅁睂䅁䅁䅁䩁氷䅑杷允䅁䅁䅕䅁䑁䅁䅷䅁䭁䙁䙷䅁䭁䑁䙅䅁䙁䅁䅁䅁杁敬䅚权祁兂䅁允䅁䅁䅅䅁䭁䩁䉑䅁䵁䅉䅅䅁䙁䅁䅁睁䵁䅁䅁权ㅁ兂䅁权硁兂䅁兂䅁䅁䅁䩉浘䅑䅯杍䅕䅁䅅䅁䉁䅁䅁权啃允䅁䍄䉁䅁䅁杂䅁䅁䅍䅄䅁䅁䅯兴䅣䅁䅯兩䅙䅁䅯䅪䅕䅁䅕䅁䅁䝁噃欵䭁䝁䝣䅁䉁䅁䅁允䅁䉁䅑杆䄴䅁䅁䅁䵁䅉䅅䅁䙁䅁䅁睁䵁䅁䅁权卂兂䅁权硁兂䅁兂䅁䅁䅁䩉浘䅑䅯杍䅕䅁䅅䅁䉁䅁䅁权啃允䅁䍄䉁䅁䅁杂䅁䅁䅍䅄䅁䅁䅯朲䅣䅁䅯䅖䅣䅁䅯杣䅣䅁䅕䅁䅁䝁噃欵䭁䑁䙉䅁䉁䅁䅁允䅁䅁䅕余兘瑉㕵う䵁䅉䅅䅁䙁䅁䅁睁䵁䅁䅁权䍂兂䅁权硁兂䅁兂䅁䅁䅁䩑浘䅑䅯杍䅕䅁䅅䅁䉁䅁䅁权啃允䅁䍄䉁䅁䅁杂䅁䅁䅍䅄䅁䅁䅯兴䅣䅁䅯杤䅙䅁䅯全䅕䅁䅕䅁䅁䝁噃欵䭁䝁䝣䅁䉁䅁䅁允䅁䉁䅑䅁䅁䅁䅁䅁䵁䅉䅅䅁䑁䅁䅁睁䵁䅁䅁权剄睂䅁权敃兂䅁允䅁䅁䅅䅁䡁䅁䅁䅁杄位䅚䍄䉁䅁䅁兂䅁䅁䅍䅄䅁䅁䅯兎䅕䅁䅯免䅕䅁䅕䅁䅁䝁噃欵䭁䑁䙉䅁䉁䅁䅁允䅁䅁䅕桙奂扏䥔啃䵁䅉䅅䅁䑁䅁䅁睁䵁䅁䅁权扄睂䅁权敃兂䅁允䅁䅁䅅䅁䡁䅁䅁䅁䅃甴䅒䍄䉁䅁䅁兂䅁䅁䅍䅄䅁䅁䅯朶䅣䅁䅯睕䅣䅁䅕䅁䅁䝁噃欵䭁䑁䙉䅁䉁䅁䅁允䅁䅁䅕㈳穸㍙楲商䵁䅉䅅䅁䑁䅁䅁睁䵁䅁䅁权歄睂䅁权敃兂䅁允䅁䅁䅅䅁䡁䅁䅁䅁䅃畎䅒䍄䉁䅁䅁杂䅁䅁䅍䅄䅁䅁䅯朶䅣䅁䅯䅖䅣䅁䅯杣䅣䅁䅕䅁䅁䝁噃欵䭁䑁䙉䅁䉁䅁䅁允䅁䅁䅕夸祃噋奦商䵁䅉䅅䅁䑁䅁䅁睁䵁䅁䅁权偄睂䅁权敃兂䅁允䅁䅁䅅䅁䡁䅁䅁䅁杄位䅚䍄䉁䅁䅁睁䅁䅁䅍䅄䅁䅁䅯朰䅣䅁䅯杮䅕䅁䅅䅁䉁䅁䅁睂䅁䅁䅁䉧浢䅑杷允䅁䅁䅙䅁䑁䅁䅷䅁䭁䱁䡕䅁䭁䡁䝙䅁䭁䥁䙯䅁䙁䅁䅁䅁杂敬䅚权湂杂䅁允䅁䅁䅅䅁啁䅁䅁䅁䅁䅁䅁䍄䉁䅁䅁睁䅁䅁䅍䅄䅁䅁䅯眴䅣䅁䅯杮䅕䅁䅅䅁䉁䅁䅁睂䅁䅁䅁䉧浢䅑杷允䅁䅁䅑䅁䑁䅁䅷䅁䭁偁䡕䅁䭁䩁䙯䅁䭁䑁䙉䅁䉁䅁䅁允䅁䉁䅑䅁䅁䅁䅁䅁䵁䅉䅅䅁䑁䅁䅁睁䵁䅁䅁权䱄睂䅁权敃兂䅁允䅁䅁䅅䅁䡁䅁䅁䅁䅃畆䅚䍄䉁䅁䅁兂䅁䅁䅍䅄䅁䅁䅯䅑䅕䅁䅯免䅕䅁䅕䅁䅁䍁噃欵䭁䑁䙉䅁䉁䅁䅁允䅁䅁䅯䅬䅅䅁杷允䅁䅁䅕䅁䑁䅁䅷䅁䭁䑁䘸䅁䭁䑁䙅䅁䙁䅁䅁䅁䅂敬䅚权祁兂䅁允䅁䅁䅅䅁䭁䩁䉑䅁䵁䅉䅅䅁䙁䅁䅁睁䵁䅁䅁权⽁兂䅁权硁兂䅁兂䅁䅁䅁䩉浘䅑䅯杍䅕䅁䅅䅁䉁䅁䅁权啃允䅁䍄䉁䅁䅁兂䅁䅁䅍䅄䅁䅁䅯䅐䅕䅁䅯免䅕䅁䅕䅁䅁䕁噃欵䭁䑁䙉䅁䉁䅁䅁允䅁䅁䅯䅬䅅䅁杷允䅁䅁䅙䅁䑁䅁䅷䅁䭁䱁䡕䅁䭁䡁䐴䅁䭁䥁䙯䅁䙁䅁䅁䅁杂敬䅚权湂杂䅁允䅁䅁䅅䅁啁佁乍䅁䅁䅁䅁䍄䉁䅁䅁兂䅁䅁䅍䅄䅁䅁䅯睕䅕䅁䅯免䅕䅁䅕䅁䅁䍁噃欵䭁䑁䙉䅁䉁䅁䅁允䅁䅁䅯䅬䅅䅁杷允䅁䅁䅙䅁䑁䅁䅷䅁䭁䱁䡕䅁䭁䡁䝍䅁䭁䥁䙕䅁䙁䅁䅁䅁杂敬䅚权湂杂䅁允䅁䅁䅅䅁啁䥁晡允䅁䅁䅁䍄䉁䅁䅁兂䅁䅁䅍䅄䅁䅁䅯杗䅕䅁䅯免䅕䅁䅕䅁䅁䕁噃欵䭁䑁䙉䅁䉁䅁䅁允䅁䅁䅯䅬䅅䅁杷允䅁䅁䅕䅁䑁䅁䅷䅁䭁䝁䙫䅁䭁䑁䙅䅁䙁䅁䅁䅁杁敬䅚权祁兂䅁允䅁䅁䅅䅁䭁䩁䉑䅁䵁䅉䅅䅁䙁䅁䅁睁䵁䅁䅁权㍂兂䅁权硁兂䅁兂䅁䅁䅁䩙浘䅑䅯杍䅕䅁䅅䅁䉁䅁䅁兂浃㡭村䡳䭉䅑杷允䅁䅁䅍䅁䑁䅁䅷䅁䭁䍁䙫䅁䭁䥁䙫䅁䉁䅁䅁允䅁䉁䅑㠵㥍䅁䅁䅁䵁䅉䅅䅁䙁䅁䅁睁䵁䅁䅁权㍂兂䅁权硁兂䅁兂䅁䅁䅁䩉浘䅑䅯杍䅕䅁䅅䅁䉁䅁䅁权啃允䅁䍄䉁䅁䅁睁䅁䅁䅍䅄䅁䅁䅯䄰䅣䅁䅯杮䅕䅁䅅䅁䉁䅁䅁睂䅁䅁䅁䑧止䅑杷允䅁䅁䅙䅁䑁䅁䅷䅁䭁䱁䡕䅁䭁䡁䝑䅁䭁䝁䝫䅁䙁䅁䅁䅁杂敬䅚权湂杂䅁允䅁䅁䅅䅁啁偁䐹允䅁䅁䅁䍄䉁䅁䅁睁䅁䅁䅍䅄䅁䅁䅯䄷䅣䅁䅯杮䅕䅁䅅䅁䉁䅁䅁睂䅁䅁䅁䐴浄䅑杷允䅁䅁䅕䅁䑁䅁䅷䅁䭁䝁䙧䅁䭁䑁䙅䅁䙁䅁䅁䅁䅂敬䅚权祁兂䅁允䅁䅁䅅䅁䭁䩁䉑䅁䵁䅉䅅䅁䝁䅁䅁睁䵁䅁䅁权ㅃ睂䅁权㕂杂䅁权䥃兂䅁兂䅁䅁䅁䩙浘䅑䅯睚䅙䅁䅅䅁䉁䅁䅁䅆牃瘱⼯⼯⼯眯杷允䅁䅁䅑䅁䑁䅁䅷䅁䭁䍁䘴䅁䭁䍁䘸䅁䙁䅁䅁䅁䅄⭚䅚允䅁䅁䅅䅁䙁䡁爱伶䱺才䅬䍄䉁䅁䅁睁䅁䅁䅍䅄䅁䅁䅯䄳䅣䅁䅯杮䅕䅁䅅䅁䉁䅁䅁睂䅁䅁䅁佧歌䅑杷允䅁䅁䅕䅁䑁䅁䅷䅁䭁䑁䙙䅁䭁䑁䙅䅁䙁䅁䅁䅁杂敬䅚权祁兂䅁允䅁䅁䅅䅁䙁䭁扡䍸睃档䅆䍄䉁䅁䅁兂䅁䅁䅍䅄䅁䅁䅯党䅕䅁䅯免䅕䅁䅕䅁䅁䍁噃欵䭁䑁䙉䅁䉁䅁䅁允䅁䅁䅯䅬䅅䅁杷允䅁䅁䅕䅁䑁䅁䅷䅁䭁乁䡯䅁䭁䙁䡍䅁䙁䅁䅁䅁杂敬䅚权祁兂䅁允䅁䅁䅅䅁䙁䕁䩹䡊婯剸䅤䍄䉁䅁䅁兂䅁䅁䅍䅄䅁䅁䅯兎䅕䅁䅯免䅕䅁䅕䅁䅁䕁噃欵䭁䑁䙉䅁䉁䅁䅁允䅁䅁䅯䅬䅅䅁杷允䅁䅁䅙䅁䑁䅁䅷䅁䭁䱁䡕䅁䭁䡁䝧䅁䭁䝁䝫䅁䙁䅁䅁䅁杂敬䅚权湂杂䅁允䅁䅁䅅䅁啁佁䬴䅁䅁䅁䅁䍄䉁䅁䅁兂䅁䅁䅍䅄䅁䅁䅯䅙䅕䅁䅯免䅕䅁䅕䅁䅁䕁噃欵䭁䑁䙉䅁䉁䅁䅁允䅁䅁䅯䅬䅅䅁杷允䅁䅁䅙䅁䑁䅁䅷䅁䭁䱁䡕䅁䭁䉁䕳䅁䭁䥁䙯䅁䙁䅁䅁䅁杂敬䅚权祁兂䅁允䅁䅁䅅䅁䙁䕁杊搵楁穏䅊䍄䉁䅁䅁兂䅁䅁䅍䅄䅁䅁䅯䅐䅕䅁䅯免䅕䅁䅕䅁䅁䍁噃欵䭁䑁䙉䅁䉁䅁䅁允䅁䅁䅯䅬䅅䅁杷允䅁䅁䅕䅁䑁䅁䅷䅁䭁䝁䙳䅁䭁䑁䙅䅁䙁䅁䅁䅁杁敬䅚权祁兂䅁允䅁䅁䅅䅁䭁䩁䉑䅁䵁䅉䅅䅁䙁䅁䅁睁䵁䅁䅁权塂兂䅁权硁兂䅁兂䅁䅁䅁䩙浘䅑䅯杍䅕䅁䅅䅁䉁䅁䅁权啃允䅁䍄䉁䅁䅁兂䅁䅁䅍䅄䅁䅁䅯睖䅕䅁䅯免䅕䅁䅕䅁䅁䍁噃欵䭁䑁䙉䅁䉁䅁䅁允䅁䅁䅯䅬䅅䅁杷允䅁䅁䅙䅁䑁䅁䅷䅁䭁䱁䡷䅁䭁䉁䕳䅁䭁䥁䙯䅁䙁䅁䅁䅁杂敬䅚权祁兂䅁允䅁䅁䅅䅁䙁佁汏㡭村䍣䄱䍄䉁䅁䅁杂䅁䅁䅍䅄䅁䅁䅯克䅕䅁䅯䅎䅉䅁䅯杨䅕䅁䅕䅁䅁䝁噃欵䭁䥁䙣䅁䉁䅁䅁允䅁䅁䅯䅬䅅䅁杷允䅁䅁䅕䅁䑁䅁䅷䅁䭁䙁䘸䅁䭁䑁䙅䅁䙁䅁䅁䅁杁敬䅚权祁兂䅁允䅁䅁䅅䅁䭁䩁䉑䅁䵁䅉䅅䅁䙁䅁䅁睁䵁䅁䅁权䕂兂䅁权硁兂䅁兂䅁䅁䅁䩉浘䅑䅯杍䅕䅁䅅䅁䉁䅁䅁权啃允䅁䍄䉁䅁䅁兂䅁䅁䅍䅄䅁䅁䅯兕䅕䅁䅯免䅕䅁䅕䅁䅁䍁噃欵䭁䑁䙉䅁䉁䅁䅁允䅁䅁䅯䅬䅅䅁杷允䅁䅁䅕䅁䑁䅁䅷䅁䭁䕁䙧䅁䭁䑁䙅䅁䙁䅁䅁䅁䅂敬䅚权祁兂䅁允䅁䅁䅅䅁䭁䩁䉑䅁䵁䅉䅅䅁䙁䅁䅁睁䵁䅁䅁权乂兂䅁权硁兂䅁兂䅁䅁䅁䩉浘䅑䅯杍䅕䅁䅅䅁䉁䅁䅁权啃允䅁䍄䉁䅁䅁兂䅁䅁䅍䅄䅁䅁䅯䅏䅕䅁䅯免䅕䅁䅕䅁䅁䝁噃欵䭁䑁䙉䅁䉁䅁䅁允䅁䅁䅕癱午坔兊啌䵁䅉䅅䅁䙁䅁䅁睁䵁䅁䅁权㙁兂䅁权硁兂䅁兂䅁䅁䅁䩑浘䅑䅯杍䅕䅁䅅䅁䉁䅁䅁权啃允䅁䍄䉁䅁䅁兂䅁䅁䅍䅄䅁䅁䅯䅑䅕䅁䅯免䅕䅁䅕䅁䅁䕁噃欵䭁䑁䙉䅁䉁䅁䅁允䅁䅁䅯䅬䅅䅁杷允䅁䅁䅕䅁䑁䅁䅷䅁䭁䑁䘰䅁䭁䑁䙅䅁䙁䅁䅁䅁杂敬䅚权祁兂䅁允䅁䅁䅅䅁䙁䍁扐堫焵䉶䅬䍄䉁䅁䅁兂䅁䅁䅍䅄䅁䅁䅯內䅕䅁䅯免䅕䅁䅕䅁䅁䍁噃欵䭁䑁䙉䅁䉁䅁䅁允䅁䅁䅯䅬䅅䅁杷允䅁䅁䅕䅁䑁䅁䅷䅁䭁䙁䘰䅁䭁䑁䙅䅁䙁䅁䅁䅁杂敬䅚权祁兂䅁允䅁䅁䅅䅁䙁䕁婴橨坪兒䅆䍄䉁䅁䅁兂䅁䅁䅍䅄䅁䅁䅯兴䅣䅁䅯兢䅅䅁䅕䅁䅁䅁噃欵䭁偁䕅䅁䉁䅁䅁允䅁䉁䅑㥅套杵䅅䅁䵁䅉䅅䅁䝁䅁䅁睁䵁䅁䅁权ㅃ睂䅁权䭃杂䅁权䥃兂䅁兂䅁䅁䅁䩙浘䅑䅯睚䅙䅁䅅䅁䉁䅁䅁䅆䅁䅁䅁䅁䅁䅁杷允䅁䅁䅕䅁䑁䅁䅷䅁䭁䝁䙁䅁䭁䑁䙅䅁䙁䅁䅁䅁杁敬䅚权祁兂䅁允䅁䅁䅅䅁䭁䩁䉑䅁䵁䅉䅅䅁䝁䅁䅁睁䵁䅁䅁权ㅃ睂䅁权㡂杂䅁权䵃兂䅁兂䅁䅁䅁䩙浘䅑䅯睚䅙䅁䅅䅁䉁䅁䅁䅆晃兆䅁䅁䅁䅁杷允䅁䅁䅕䅁䑁䅁䅷䅁䭁䑁䙧䅁䭁䑁䙅䅁䙁䅁䅁䅁䅂敬䅚权祁兂䅁允䅁䅁䅅䅁䭁䩁䉑䅁䵁䅉䅅䅁䙁䅁䅁睁䵁䅁䅁权䥂兂䅁权硁兂䅁兂䅁䅁䅁䩉浘䅑䅯杍䅕䅁䅅䅁䉁䅁䅁权啃允䅁䍄䉁䅁䅁兂䅁䅁䅍䅄䅁䅁䅯典䅣䅁䅯睕䅣䅁䅕䅁䅁䝁噃欵䭁䑁䙉䅁䉁䅁䅁允䅁䅁䅕搵楁⼲⭮ぇ䵁䅉䅅䅁䙁䅁䅁睁䵁䅁䅁权祂兂䅁权硁兂䅁兂䅁䅁䅁䩙浘䅑䅯杍䅕䅁䅅䅁䉁䅁䅁兂楃扒穢嘯卑䅑杷允䅁䅁䅙䅁䑁䅁䅷䅁䭁䱁䡕䅁䭁䡁䐴䅁䭁䥁䙷䅁䙁䅁䅁䅁杂敬䅚权湂杂䅁允䅁䅁䅅䅁啁䑁䱳䅁䅁䅁䅁䍄䉁䅁䅁兂䅁䅁䅍䅄䅁䅁䅯䄱䅣䅁䅯睕䅣䅁䅕䅁䅁䝁噃欵䭁䑁䙉䅁䉁䅁䅁允䅁䅁䅕䍦浤剶煩䕆䵁䅉䅅䅁䝁䅁䅁睁䵁䅁䅁权灁兂䅁权佃兂䅁兂䅁䅁䅁䩙浘䅑䅯䅉䅁䅁䅯睨䅕䅁䅅䅁䉁䅁䅁兂浂浚浚煔㑦䅑杷允䅁䅁䅕䅁䑁䅁䅷䅁䭁䝁䙙䅁䭁䑁䙅䅁䙁䅁䅁䅁杁敬䅚权祁兂䅁允䅁䅁䅅䅁䭁䩁䉑䅁䵁䅉䅅䅁䙁䅁䅁睁䵁䅁䅁权瑂兂䅁权硁兂䅁兂䅁䅁䅁䩉浘䅑䅯杍䅕䅁䅅䅁䉁䅁䅁权啃允䅁䍄䉁䅁䅁杂䅁䅁䅍䅄䅁䅁䅯兴䅣䅁䅯督䅙䅁䅯䅪䅕䅁䅕䅁䅁䝁噃欵䭁䝁䝣䅁䉁䅁䅁允䅁䉁䅑睒䉅䅁䅁䅁䵁䅉䅅䅁䑁䅁䅁睁䵁䅁䅁权ㅃ睂䅁权硁允䅁允䅁䅁䅅䅁䭁䭁䠸䅁䵁䅉䅅䅁䙁䅁䅁睁䵁䅁䅁权呂兂䅁权硁兂䅁兂䅁䅁䅁䩙浘䅑䅯杍䅕䅁䅅䅁䉁䅁䅁兂偃癷潕䥘䄸䅑杷允䅁䅁䅕䅁䑁䅁䅷䅁䭁䙁䙙䅁䭁䑁䙅䅁䙁䅁䅁䅁䅂敬䅚权祁兂䅁允䅁䅁䅅䅁䭁䩁䉑䅁䵁䅉䅅䅁䑁䅁䅁睁䵁䅁䅁权㉃睂䅁权硁允䅁允䅁䅁䅅䅁䭁䱁䠴䅁䵁䅉䅅䅁䑁䅁䅁睁䵁䅁䅁权ㅃ睂䅁权䱃兂䅁允䅁䅁䅅䅁䭁䭁䄰䅁䵁䅉䅅䅁䙁䅁䅁睁䵁䅁䅁权慂兂䅁权硁兂䅁兂䅁䅁䅁䩙浘䅑䅯杍䅕䅁䅅䅁䉁䅁䅁兂䩃坑汄䌰佉䅑杷允䅁䅁䅕䅁䑁䅁䅷䅁䭁䝁䙳䅁䭁䑁䙅䅁䙁䅁䅁䅁杂敬䅚权祁兂䅁允䅁䅁䅅䅁䙁䵁ㅐ䙋偹桑䅆䍄䉁䅁䅁睁䅁䅁䅍䅄䅁䅁䅯兵䅣䅁䅯免䅅䅁䅅䅁䉁䅁䅁权㙃睂䅁䍄䉁䅁䅁兂䅁䅁䅍䅄䅁䅁䅯兏䅕䅁䅯免䅕䅁䅕䅁䅁䕁噃欵䭁䑁䙉䅁䉁䅁䅁允䅁䅁䅯䅬䅅䅁杷允䅁䅁䅍䅁䑁䅁䅷䅁䭁䱁䡫䅁䭁䥁䙳䅁䉁䅁䅁允䅁䅁䅯睭䅅䅁杷允䅁䅁䅍䅁䑁䅁䅷䅁䭁䱁䡕䅁䭁䥁䙫䅁䉁䅁䅁允䅁䉁䅑桤㥫䅁䅁䅁䵁䅉䅅䅁䑁䅁䅁睁䵁䅁䅁权ㅃ睂䅁权千杂䅁允䅁䅁䅅䅁䭁䱁䡳䅁䵁䅉䅅䅁䑁䅁䅁睁䵁䅁䅁权療䅂䅁权䩃兂䅁允䅁䅁䅅䅁啁䩁煏児䅁䅁䅁䍄䉁䅁䅁杂䅁䅁䅍䅄䅁䅁䅯兴䅣䅁䅯兪䅙䅁䅯全䅕䅁䅕䅁䅁䝁噃欵䭁䝁䝣䅁䉁䅁䅁允䅁䉁䅑祋䉷䅁䅁䅁䵁䅉䅅䅁䑁䅁䅁睁䵁䅁䅁权㕃睂䅁权䩃兂䅁允䅁䅁䅅䅁啁䉁か杒䅁䅁䅁䍄䉁䅁䅁兂䅁䅁䅍䅄䅁䅁䅯杣䅕䅁䅯免䅕䅁䅕䅁䅁䍁噃欵䭁䑁䙉䅁䉁䅁䅁允䅁䅁䅯䅬䅅䅁杷允䅁䅁䅍䅁䑁䅁䅷䅁䭁䱁䡙䅁䭁䥁䙳䅁䉁䅁䅁允䅁䅁䅯睴䅣䅁杷允䅁䅁䅙䅁䑁䅁䅷䅁䭁䱁䡕䅁䭁䝁䝙䅁䭁䥁䙯䅁䙁䅁䅁䅁杂敬䅚权湂杂䅁允䅁䅁䅅䅁啁䩁㕮允䅁䅁䅁䍄䉁䅁䅁兂䅁䅁䅍䅄䅁䅁䅯兴䅣䅁䅯兦䅍䅁䅕䅁䅁䝁噃欵䭁偁䕅䅁䉁䅁䅁允䅁䅁䅕卑穄睇奓吸䴸䅉䅅䅁䙁䅁䅁睁䵁䅁䅁权晄睂䅁权呂睂䅁兂䅁䅁䅁䩙浘䅑䅯杍䅕䅁䅅䅁䉁䅁䅁兂睄㕶獘䤲奧䅑杷允䅁䅁䅙䅁䑁䅁䅷䅁䭁䱁䡕䅁䭁䥁䝙䅁䭁䥁䘰䅁䙁䅁䅁䅁杂敬䅚权湂杂䅁允䅁䅁䅅䅁啁䑁䭨䅁䅁䅁䅁䍄䉁䅁䅁杂䅁䅁䅍䅄䅁䅁䅯儸䅣䅁䅯䅖䅣䅁䅯杣䅣䅁䅕䅁䅁䝁噃欵䭁䑁䙉䅁䉁䅁䅁允䅁䅁䅕伯㥏浡䍖䕇䵁䅉䅅䅁䕁䅁䅁睁䵁䅁䅁权畁兂䅁权癁兂䅁兂䅁䅁䅁䍉汪䅑䅅䅁䉁䅁䅁兂穂灮楨け浓䅑杷允䅁䅁䅍䅁䑁䅁䅷䅁䭁佁䡁䅁䭁䩁䘴䅁䉁䅁䅁允䅁䅁䅣䅁䅁䍁睄䔵䵁䅉䅅䅁䑁䅁䅁睁䵁䅁䅁权㡃睂䅁权硁允䅁允䅁䅁䅅䅁䭁䵁䡁䅁䵁䅉䅅䅁䝁䅁䅁睁䵁䅁䅁权灁兂䅁权扁䅂䅁权䙃兂䅁兂䅁䅁䅁䩙浘䅑䅯杍䅕䅁䅅䅁䉁䅁䅁兂㥁瑃橥䙣礰䅑杷允䅁䅁䅕䅁䑁䅁䅷䅁䭁䑁䙑䅁䭁䑁䙅䅁䙁䅁䅁䅁杁敬䅚权祁兂䅁允䅁䅁䅅䅁䭁䩁䉑䅁䵁䅉䅅䅁䙁䅁䅁睁䵁䅁䅁权佂兂䅁权硁兂䅁兂䅁䅁䅁䩙浘䅑䅯杍䅕䅁䅅䅁䉁䅁䅁兂睄㡰䱚㑎䙫䅑杷允䅁䅁䅕䅁䑁䅁䅷䅁䭁乁䠰䅁䭁䙁䡍䅁䙁䅁䅁䅁杂敬䅚权祁兂䅁允䅁䅁䅅䅁䙁䭁㑡畱㝹桉䅨䍄䉁䅁䅁兂䅁䅁䅍䅄䅁䅁䅯䅕䅕䅁䅯免䅕䅁䅕䅁䅁䍁噃欵䭁䑁䙉䅁䉁䅁䅁允䅁䅁䅯䅬䅅䅁杷允䅁䅁䅍䅁䑁䅁䅷䅁䭁䱁䡷䅁䭁䥁䙳䅁䉁䅁䅁允䅁䅁䅯克䅅䅁杷允䅁䅁䅕䅁䑁䅁䅷䅁䭁䕁䙣䅁䭁䑁䙅䅁䙁䅁䅁䅁䅂敬䅚权祁兂䅁允䅁䅁䅅䅁䭁䩁䉑䅁䵁䅉䅅䅁䑁䅁䅁睁䵁䅁䅁权浄睂䅁权敃兂䅁允䅁䅁䅅䅁䡁䅁䅁䅁杄佱䅒䍄䉁䅁䅁睁䅁䅁䅍䅄䅁䅁䅯杴䅣䅁䅯兩䅕䅁䅅䅁䉁䅁䅁䅆佂呥䄴䅁䅁䅁杷允䅁䅁䅍䅁䑁䅁䅷䅁䭁䵁䡯䅁䭁䩁䘴䅁䉁䅁䅁允䅁䅁䅣䅁䅁䥁坁欵䵁䅉䅅䅁䝁䅁䅁睁䵁䅁䅁权浄睂䅁权啂睂䅁权祂睂䅁兂䅁䅁䅁䩙浘䅑䅯杍䅕䅁䅅䅁䉁䅁䅁兂煂渳䭇煪塑䅑杷允䅁䅁䅍䅁䑁䅁䅷䅁䭁䍁䙫䅁䭁䑁䉅䅁䉁䅁䅁允䅁䅁䅯睫䅕䅁杷允䅁䅁䅕䅁䑁䅁䅷䅁䭁䝁䙣䅁䭁䑁䙅䅁䙁䅁䅁䅁杁敬䅚权祁兂䅁允䅁䅁䅅䅁䭁䩁䉑䅁䵁䅉䅅䅁䝁䅁䅁睁䵁䅁䅁权䩄睂䅁权啂睂䅁权祂睂䅁兂䅁䅁䅁䩙浘䅑䅯杍䅕䅁䅅䅁䉁䅁䅁兂療㥵捂㥰䡅䅑杷允䅁䅁䅑䅁䑁䅁䅷䅁䭁䍁䘴䅁䭁䍁䘸䅁䙁䅁䅁䅁杂敬䅚允䅁䅁䅅䅁䙁䱁䥧䝹佣扑䄵䍄䉁䅁䅁睁䅁䅁䅍䅄䅁䅁䅯䅵䅣䅁䅯睩䅕䅁䅅䅁䉁䅁䅁权㥃睂䅁䍄䉁䅁䅁兂䅁䅁䅍䅄䅁䅁䅯睑䅕䅁䅯免䅕䅁䅕䅁䅁䝁噃欵䭁䑁䙉䅁䉁䅁䅁允䅁䅁䅕桄䵄攰㍍啃䵁䅉䅅䅁䝁䅁䅁睁䵁䅁䅁权療䅂䅁权佃兂䅁兂䅁䅁䅁䩙浘䅑䅯䅉䅁䅁䅯睨䅕䅁䅅䅁䉁䅁䅁兂䭃佳䩆䵖婧兑杷允䅁䅁䅕䅁䑁䅁䅷䅁䭁䕁䙣䅁䭁䑁䙅䅁䙁䅁䅁䅁杁敬䅚权祁兂䅁允䅁䅁䅅䅁䭁䩁䉑䅁䵁䅉䅅䅁䝁䅁䅁睁䵁䅁䅁权ㅃ睂䅁权㝂杂䅁权䵃兂䅁兂䅁䅁䅁䩙浘䅑䅯睚䅙䅁䅅䅁䉁䅁䅁䅆䅁䅁䅁䅁䅁䅁杷允䅁䅁䅕䅁䑁䅁䅷䅁䭁乁䡙䅁䭁䙁䡍䅁䙁䅁䅁䅁杂敬䅚权祁兂䅁允䅁䅁䅅䅁䙁䅁桑捗䕁桌䅆䍄䉁䅁䅁兂䅁䅁䅍䅄䅁䅁䅯䅗䅕䅁䅯免䅕䅁䅕䅁䅁䕁噃欵䭁䑁䙉䅁䉁䅁䅁允䅁䅁䅯䅬䅅䅁杷允䅁䅁䅍䅁䑁䅁䅷䅁䭁佁䠰䅁䭁䩁䘴䅁䉁䅁䅁允䅁䅁䅣䅁䅁䵁䱄䔵䵁䅉䅅䅁䙁䅁䅁睁䵁䅁䅁权婂兂䅁权硁兂䅁兂䅁䅁䅁䩙浘䅑䅯杍䅕䅁䅅䅁䉁䅁䅁兂剄瑉㕶浦䱯䅑杷允䅁䅁䅙䅁䑁䅁䅷䅁䭁䱁䡕䅁䭁䡁䜴䅁䭁䥁䙙䅁䙁䅁䅁䅁杂敬䅚权湂杂䅁允䅁䅁䅅䅁啁䅁䅁䅁䅁䅁䅁䍄䉁䅁䅁杂䅁䅁䅍䅄䅁䅁䅯兴䅣䅁䅯杧䅍䅁䅯䅡䅙䅁䅕䅁䅁䝁噃欵䭁䝁䝣䅁䉁䅁䅁允䅁䉁䅑㡲⽐⼯⼯⼯䴸䅉䅅䅁䝁䅁䅁睁䵁䅁䅁权㕃睂䅁权ぁ杁䅁权䝃兂䅁兂䅁䅁䅁䩙浘䅑䅯睨䅕䅁䅅䅁䉁䅁䅁䅆湂杒䅁䅁䅁䅁杷允䅁䅁䅕䅁䑁䅁䅷䅁䭁䝁䙉䅁䭁䑁䙅䅁䙁䅁䅁䅁䅂敬䅚权祁兂䅁允䅁䅁䅅䅁䭁䩁䉑䅁䵁䅉䅅䅁䝁䅁䅁睁䵁䅁䅁权ㅃ睂䅁权㙂杂䅁权䙃兂䅁兂䅁䅁䅁䩙浘䅑䅯睚䅙䅁䅅䅁䉁䅁䅁䅆穁瘯⼯⼯⼯眯杷允䅁䅁䅙䅁䑁䅁䅷䅁䭁䱁䡕䅁䭁䥁䜰䅁䭁䥁䙧䅁䙁䅁䅁䅁杂敬䅚权湂杂䅁允䅁䅁䅅䅁啁䝁硖允䅁䅁䅁䍄䉁䅁䅁兂䅁䅁䅍䅄䅁䅁䅯䅙䅕䅁䅯免䅕䅁䅕䅁䅁䝁噃欵䭁䑁䙉䅁䉁䅁䅁允䅁䅁䅕祇搯䅊䉢䕉䵁䅉䅅䅁䝁䅁䅁睁䵁䅁䅁权歄睂䅁权啂睂䅁权祂睂䅁兂䅁䅁䅁䩙浘䅑䅯杍䅕䅁䅅䅁䉁䅁䅁兂剂捍昷䵨䭉䅑杷允䅁䅁䅙䅁䑁䅁䅷䅁䭁䝁䔸䅁䭁䉁䕳䅁䭁䥁䘰䅁䙁䅁䅁䅁杂敬䅚权祁兂䅁允䅁䅁䅅䅁䙁䉁䘫ㄶ㑇楘䅨䍄䉁䅁䅁睁䅁䅁䅍䅄䅁䅁䅯杺䅣䅁䅯杮䅕䅁䅅䅁䉁䅁䅁睂䅁䅁䅁䉧浢䅑杷允䅁䅁䅕䅁䑁䅁䅷䅁䭁䡁䙷䅁䭁䑁䙅䅁䙁䅁䅁䅁䅂敬䅚权祁兂䅁允䅁䅁䅅䅁䭁䩁䉑䅁䵁䅉䅅䅁䙁䅁䅁睁䵁䅁䅁权あ兂䅁权硁兂䅁兂䅁䅁䅁䩙浘䅑䅯杍䅕䅁䅅䅁䉁䅁䅁兂橁⼲⭬牡䩷䅑杷允䅁䅁䅕䅁䑁䅁䅷䅁䭁䡁䙑䅁䭁䑁䙅䅁䙁䅁䅁䅁䅂敬䅚权祁兂䅁允䅁䅁䅅䅁䭁䩁䉑䅁䵁䅉䅅䅁䝁䅁䅁睁䵁䅁䅁权ㅃ睂䅁权䅃睁䅁权䭃兂䅁兂䅁䅁䅁䩙浘䅑䅯睚䅙䅁䅅䅁䉁䅁䅁䅆剁杓䅁䅁䅁䅁杷允䅁䅁䅍䅁䑁䅁䅷䅁䭁偁䡁䅁䭁䩁䘴䅁䉁䅁䅁允䅁䅁䅣䅁䅁䥁坁欵䵁䅉䅅䅁䙁䅁䅁睁䵁䅁䅁权摂兂䅁权硁兂䅁兂䅁䅁䅁䩉浘䅑䅯杍䅕䅁䅅䅁䉁䅁䅁权啃允䅁䍄䉁䅁䅁睁䅁䅁䅍䅄䅁䅁䅯典䅣䅁䅯杮䅕䅁䅅䅁䉁䅁䅁睂䅁䅁䅁䥯汌䅑杷允䅁䅁䅕䅁䑁䅁䅷䅁䭁䝁䙣䅁䭁䑁䙅䅁䙁䅁䅁䅁䅂敬䅚权祁兂䅁允䅁䅁䅅䅁䭁䩁䉑䅁䵁䅉䅅䅁䙁䅁䅁睁䵁䅁䅁权㍁兂䅁权硁兂䅁兂䅁䅁䅁䩉浘䅑䅯杍䅕䅁䅅䅁䉁䅁䅁权啃允䅁䍄䉁䅁䅁兂䅁䅁䅍䅄䅁䅁䅯睢䅕䅁䅯免䅕䅁䅕䅁䅁䍁噃欵䭁䑁䙉䅁䉁䅁䅁允䅁䅁䅯䅬䅅䅁杷允䅁䅁䅙䅁䑁䅁䅷䅁䭁䱁䡕䅁䭁䥁䝳䅁䭁䝁䝫䅁䙁䅁䅁䅁杂敬䅚权湂杂䅁允䅁䅁䅅䅁啁䕁䭷䅁䅁䅁䅁䍄䉁䅁䅁杂䅁䅁䅍䅄䅁䅁䅯兴䅣䅁䅯兩䅙䅁䅯兪䅕䅁䅕䅁䅁䝁噃欵䭁䝁䝣䅁䉁䅁䅁允䅁䉁䅑䄲䅷䅁䅁䅁䵁䅉䅅䅁䙁䅁䅁睁䵁䅁䅁权㑂兂䅁权硁兂䅁兂䅁䅁䅁䩙浘䅑䅯杍䅕䅁䅅䅁䉁䅁䅁兂硂児塲㍯佁䅑杷允䅁䅁䅙䅁䑁䅁䅷䅁䭁乁䡕䅁䭁䙁䡑䅁䭁䡁䡉䅁䙁䅁䅁䅁杂敬䅚权祁兂䅁允䅁䅁䅅䅁䙁䵁畺捹䍎割䅚䍄䉁䅁䅁杂䅁䅁䅍䅄䅁䅁䅯兴䅣䅁䅯䅧䅍䅁䅯兪䅕䅁䅕䅁䅁䝁噃欵䭁䝁䝣䅁䉁䅁䅁允䅁䉁䅑䑘䅍䅁䅁䅁䵁䅉䅅䅁䙁䅁䅁睁䵁䅁䅁权婂兂䅁权硁兂䅁兂䅁䅁䅁䩉浘䅑䅯杍䅕䅁䅅䅁䉁䅁䅁权啃允䅁䍄䉁䅁䅁杂䅁䅁䅍䅄䅁䅁䅯兴䅣䅁䅯杧䅍䅁䅯杩䅕䅁䅕䅁䅁䝁噃欵䭁䝁䝣䅁䉁䅁䅁允䅁䉁䅑ㅑ⽌⼯⼯⼯䴸䅉䅅䅁䙁䅁䅁睁䵁䅁䅁权煂兂䅁权硁兂䅁兂䅁䅁䅁䩉浘䅑䅯杍䅕䅁䅅䅁䉁䅁䅁权啃允䅁䍄䉁䅁䅁兂䅁䅁䅍䅄䅁䅁䅯杏䅕䅁䅯免䅕䅁䅕䅁䅁䍁噃欵䭁䑁䙉䅁䉁䅁䅁允䅁䅁䅯䅬䅅䅁杷允䅁䅁䅙䅁䑁䅁䅷䅁䭁䱁䡕䅁䭁䥁䝕䅁䭁䥁䙕䅁䙁䅁䅁䅁杂敬䅚权湂杂䅁允䅁䅁䅅䅁啁䥁潓允䅁䅁䅁䍄䉁䅁䅁兂䅁䅁䅍䅄䅁䅁䅯兦䅕䅁䅯免䅕䅁䅕䅁䅁䍁噃欵䭁䑁䙉䅁䉁䅁䅁允䅁䅁䅯䅬䅅䅁杷允䅁䅁䅕䅁䑁䅁䅷䅁䭁䕁䙣䅁䭁䑁䙅䅁䙁䅁䅁䅁杂敬䅚权祁兂䅁允䅁䅁䅅䅁䙁䥁牘払敧全䅸䍄䉁䅁䅁兂䅁䅁䅍䅄䅁䅁䅯入䅕䅁䅯免䅕䅁䅕䅁䅁䕁噃欵䭁䑁䙉䅁䉁䅁䅁允䅁䅁䅯䅬䅅䅁杷允䅁䅁䅍䅁䑁䅁䅷䅁䭁乁䠰䅁䭁䩁䘴䅁䉁䅁䅁允䅁䅁䅣䅁䅁䥁楄䔵䵁䅉䅅䅁䝁䅁䅁睁䵁䅁䅁权ㅃ睂䅁权䵃杂䅁权乃兂䅁兂䅁䅁䅁䩙浘䅑䅯睚䅙䅁䅅䅁䉁䅁䅁䅆汃克䅁䅁䅁䅁杷允䅁䅁䅕䅁䑁䅁䅷䅁䭁䝁䙅䅁䭁䑁䙅䅁䙁䅁䅁䅁䅂敬䅚权祁兂䅁允䅁䅁䅅䅁䭁䩁䉑䅁䵁䅉䅅䅁䙁䅁䅁睁䵁䅁䅁权䕂兂䅁权硁兂䅁兂䅁䅁䅁䩑浘䅑䅯杍䅕䅁䅅䅁䉁䅁䅁权啃允䅁䍄䉁䅁䅁杂䅁䅁䅍䅄䅁䅁䅯兴䅣䅁䅯共䅣䅁䅯全䅕䅁䅕䅁䅁䝁噃欵䭁䭁䡣䅁䉁䅁䅁允䅁䉁䅑塵䄰䅁䅁䅁䵁䅉䅅䅁䝁䅁䅁睁䵁䅁䅁权㡃睂䅁权扁䅂䅁权䙃兂䅁兂䅁䅁䅁䩙浘䅑䅯杍䅕䅁䅅䅁䉁䅁䅁兂㑃潈牘呕癧䅑杷允䅁䅁䅕䅁䑁䅁䅷䅁䭁䝁䙳䅁䭁䑁䙅䅁䙁䅁䅁䅁䅂敬䅚权祁兂䅁允䅁䅁䅅䅁䭁䩁䉑䅁䵁䅉䅅䅁䝁䅁䅁睁䵁䅁䅁权ㅃ睂䅁权浂杂䅁权䥃兂䅁兂䅁䅁䅁䩙浘䅑䅯睚䅙䅁䅅䅁䉁䅁䅁䅆睂睙䅉䅁䅁䅁杷允䅁䅁䅕䅁䑁䅁䅷䅁䭁䡁䙙䅁䭁䑁䙅䅁䙁䅁䅁䅁杂敬䅚权祁兂䅁允䅁䅁䅅䅁䙁䱁䵍慣䱹⼲⽯䍄䉁䅁䅁杂䅁䅁䅍䅄䅁䅁䅯兴䅣䅁䅯入䅙䅁䅯兡䅙䅁䅕䅁䅁䝁噃欵䭁䝁䝣䅁䉁䅁䅁允䅁䉁䅑⭲⽢⼯⼯⼯䴸䅉䅅䅁䑁䅁䅁睁䵁䅁䅁权汄睂䅁权敃兂䅁允䅁䅁䅅䅁䡁䅁䅁䅁杄佱䅒䍄䉁䅁䅁兂䅁䅁䅍䅄䅁䅁䅯儵䅣䅁䅯睕䅣䅁䅕䅁䅁䝁噃欵䭁䑁䙉䅁䉁䅁䅁允䅁䅁䅕牘䩰䅄牌ぅ䵁䅉䅅䅁䙁䅁䅁睁䵁䅁䅁权䅃兂䅁权硁兂䅁兂䅁䅁䅁䩑浘䅑䅯杍䅕䅁䅅䅁䉁䅁䅁权啃允䅁䍄䉁䅁䅁兂䅁䅁䅍䅄䅁䅁䅯兴䅣䅁䅯杪䅕䅁䅕䅁䅁䅁噃欵䭁䭁䡣䅁䉁䅁䅁允䅁䅁䅕祦㥧獮关䕔䵅䅉䅅䅁䝁䅁䅁睁䵁䅁䅁权㉃睂䅁权扁䅂䅁权䭃兂䅁兂䅁䅁䅁䩙浘䅑䅯杍䅕䅁䅅䅁䉁䅁䅁兂䅁䅁䅁䅁潁䅑杷允䅁䅁䅕䅁䑁䅁䅷䅁䭁䙁䙕䅁䭁䑁䙅䅁䙁䅁䅁䅁䅂敬䅚权祁兂䅁允䅁䅁䅅䅁䭁䩁䉑䅁䵁䅉䅅䅁䑁䅁䅁睁䵁䅁䅁权奄睂䅁权敃兂䅁允䅁䅁䅅䅁䡁䅁䅁䅁杄⭨䅒䍄䉁䅁䅁兂䅁䅁䅍䅄䅁䅁䅯兴䅣䅁䅯睡䅙䅁䅯兡䅙䅁䅕䅁䅁䝁噃欵䉁䅁䅁允䅁䅁䅯杢䅙䅁杷允䅁䅁䅙䅁䑁䅁䅷䅁䭁䱁䡕䅁䭁䥁䝫䅁䭁䥁䙕䅁䙁䅁䅁䅁杂敬䅚权湂杂䅁允䅁䅁䅅䅁啁乁汍䅁䅁䅁䅁䍄䉁䅁䅁杂䅁䅁䅍䅄䅁䅁䅯兴䅣䅁䅯䅥䅙䅁䅯䅪䅕䅁䅕䅁䅁䝁噃欵䭁䝁䝣䅁䉁䅁䅁允䅁䉁䅑⽘⽘⼯⼯⼯䴸䅉䅅䅁䝁䅁䅁睁䵁䅁䅁权ㅃ睂䅁权穂杂䅁权䭃兂䅁兂䅁䅁䅁䩙浘䅑䅯睚䅙䅁䅅䅁䉁䅁䅁䅆䍃光䅅䅁䅁䅁杷允䅁䅁䅕䅁䑁䅁䅷䅁䭁䡁䙳䅁䭁䑁䙅䅁䙁䅁䅁䅁杂敬䅚权祁兂䅁允䅁䅁䅅䅁䙁䝁汄䌰扌剏䅴䍄䉁䅁䅁杂䅁䅁䅍䅄䅁䅁䅯兴䅣䅁䅯睩䅙䅁䅯兪䅕䅁䅕䅁䅁䝁噃欵䭁䝁䝣䅁䉁䅁䅁允䅁䉁䅑杮䄴䅁䅁䅁䵁䅉䅅䅁䑁䅁䅁睁䵁䅁䅁权晄睂䅁权敃兂䅁允䅁䅁䅅䅁䡁䅁䅁䅁杄敥䅖䍄䉁䅁䅁兂䅁䅁䅍䅄䅁䅁䅯睢䅕䅁䅯免䅕䅁䅕䅁䅁䕁噃欵䭁䑁䙉䅁䉁䅁䅁允䅁䅁䅯䅬䅅䅁杷允䅁䅁䅍䅁䑁䅁䅷䅁䭁佁䡫䅁䭁䩁䘴䅁䉁䅁䅁允䅁䅁䅣䅁䅁佁睁欵䵁䅉䅅䅁䙁䅁䅁睁䵁䅁䅁权䱄睂䅁权呂睂䅁兂䅁䅁䅁䩙浘䅑䅯杍䅕䅁䅅䅁䉁䅁䅁兂䱂瑁啔湳剕䅑杷允䅁䅁䅕䅁䑁䅁䅷䅁䭁偁䡁䅁䭁䙁䡍䅁䙁䅁䅁䅁杂敬䅚权祁兂䅁允䅁䅁䅅䅁䙁䕁捪⭙䑬砱䅤䍄䉁䅁䅁睁䅁䅁䅍䅄䅁䅁䅯朶䅣䅁䅯杮䅕䅁䅅䅁䉁䅁䅁睂䅁䅁䅁乷橄䅑杷允䅁䅁䅑䅁䑁䅁䅷䅁䭁䍁䘴䅁䭁䍁䘸䅁䙁䅁䅁䅁杂佄䅚允䅁䅁䅅䅁䙁䭁汖䍌挱牅䅆䍄䉁䅁䅁杂䅁䅁䅍䅄䅁䅁䅯兴䅣䅁䅯睤䅙䅁䅯兡䅙䅁䅕䅁䅁䝁噃欵䭁䝁䝣䅁䉁䅁䅁允䅁䉁䅑⼫⽢⼯⼯⼯䴸䅉䅅䅁䝁䅁䅁睁䵁䅁䅁权灁兂䅁权癁杁䅁权䝃兂䅁兂䅁䅁䅁䩙浘䅑䅯睨䅕䅁䅅䅁䉁䅁䅁䅆汃睇䅁䅁䅁䅁杷允䅁䅁䅙䅁䑁䅁䅷䅁䭁䱁䡕䅁䭁䥁䝫䅁䭁䝁䝫䅁䙁䅁䅁䅁杂敬䅚权湂杂䅁允䅁䅁䅅䅁啁䵁䭅䅁䅁䅁䅁䍄䉁䅁䅁䅂䅁䅁䅍䅄䅁䅁䅯杌䅕䅁䅯睌䅕䅁䅕䅁䅁䥁㙄䔵䉁䅁䅁允䅁䅁䅕乍污䅃㡔歯䵁䅉䅅䅁䙁䅁䅁睁䵁䅁䅁权剄睂䅁权呂睂䅁兂䅁䅁䅁䩙浘䅑䅯杍䅕䅁䅅䅁䉁䅁䅁兂䱂瑁啔湳剕䅑杷允䅁䅁䅕䅁䑁䅁䅷䅁䭁䝁䙯䅁䭁䑁䙅䅁䙁䅁䅁䅁䅂敬䅚权祁兂䅁允䅁䅁䅅䅁䭁䩁䉑䅁䵁䅉䅅䅁䙁䅁䅁睁䵁䅁䅁权㡃睂䅁权㥂睁䅁兂䅁䅁䅁䩙浘䅑䅯儸䅑䅁䅅䅁䉁䅁䅁兂摂䕚橲圲硈睐杷允䅁䅁䅕䅁䑁䅁䅷䅁䭁䡁䙳䅁䭁䑁䙅䅁䙁䅁䅁䅁杁敬䅚权祁兂䅁允䅁䅁䅅䅁䭁䩁䉑䅁䵁䅉䅅䅁䙁䅁䅁睁䵁䅁䅁权硂兂䅁权硁兂䅁兂䅁䅁䅁䩑浘䅑䅯杍䅕䅁䅅䅁䉁䅁䅁权啃允䅁䍄䉁䅁䅁兂䅁䅁䅍䅄䅁䅁䅯来䅕䅁䅯免䅕䅁䅕䅁䅁䍁噃欵䭁䑁䙉䅁䉁䅁䅁允䅁䅁䅯䅬䅅䅁杷允䅁䅁䅑䅁䑁䅁䅷䅁䭁䍁䘴䅁䭁䍁䘸䅁䙁䅁䅁䅁䅄敖䅖允䅁䅁䅅䅁䙁䙁䩔卙扂慫䅚䍄䉁䅁䅁兂䅁䅁䅍䅄䅁䅁䅯村䅕䅁䅯免䅕䅁䅕䅁䅁䍁噃欵䭁䑁䙉䅁䉁䅁䅁允䅁䅁䅯䅬䅅䅁杷允䅁䅁䅕䅁䑁䅁䅷䅁䭁䑁䙙䅁䭁䑁䙅䅁䙁䅁䅁䅁䅂敬䅚权祁兂䅁允䅁䅁䅅䅁䭁䩁䉑䅁䵁䅉䅅䅁䙁䅁䅁睁䵁䅁䅁权獂兂䅁权硁兂䅁兂䅁䅁䅁䩉浘䅑䅯杍䅕䅁䅅䅁䉁䅁䅁权啃允䅁䍄䉁䅁䅁杂䅁䅁䅍䅄䅁䅁䅯兴䅣䅁䅯杤䅙䅁䅯䅩䅕䅁䅕䅁䅁䝁噃欵䭁䝁䝣䅁䉁䅁䅁允䅁䉁䅑䅁䅁䅁䅁䅁䵁䅉䅅䅁䝁䅁䅁睁䵁䅁䅁权ㅃ睂䅁权㥂杂䅁权䙃兂䅁兂䅁䅁䅁䩙浘䅑䅯睚䅙䅁䅅䅁䉁䅁䅁䅆摃瘷⼯⼯⼯眯杷允䅁䅁䅕䅁䑁䅁䅷䅁䭁䥁䙁䅁䭁䑁䙅䅁䙁䅁䅁䅁杁敬䅚权祁兂䅁允䅁䅁䅅䅁䭁䩁䉑䅁䵁䅉䅅䅁䙁䅁䅁睁䵁䅁䅁权灁兂䅁权㥂睁䅁兂䅁䅁䅁䩙浘䅑䅯儸䅑䅁䅅䅁䉁䅁䅁兂瑁卢䨱噡㉦睐杷允䅁䅁䅙䅁䑁䅁䅷䅁䭁䱁䡕䅁䭁䥁䝑䅁䭁䥁䙷䅁䙁䅁䅁䅁杂敬䅚权湂杂䅁允䅁䅁䅅䅁啁乁块允䅁䅁䅁䍄䉁䅁䅁兂䅁䅁䅍䅄䅁䅁䅯杒䅕䅁䅯免䅕䅁䅕䅁䅁䕁噃欵䭁䑁䙉䅁䉁䅁䅁允䅁䅁䅯䅬䅅䅁杷允䅁䅁䅕䅁䑁䅁䅷䅁䭁䡁䙫䅁䭁䑁䙅䅁䙁䅁䅁䅁杁敬䅚权祁兂䅁允䅁䅁䅅䅁䭁䩁䉑䅁䵁䅉䅅䅁䙁䅁䅁睁䵁䅁䅁权楄睂䅁权呂睂䅁兂䅁䅁䅁䩙浘䅑䅯杍䅕䅁䅅䅁䉁䅁䅁兂䕁噉䅮䍂刴䅑杷允䅁䅁䅕䅁䑁䅁䅷䅁䭁䑁䙍䅁䭁䑁䙅䅁䙁䅁䅁䅁杁敬䅚权祁兂䅁允䅁䅁䅅䅁䭁䩁䉑䅁䵁䅉䅅䅁䝁䅁䅁睁䵁䅁䅁权ㅃ睂䅁权扁䅂䅁权䥃兂䅁兂䅁䅁䅁䩙浘䅑䅯杍䅕䅁䅅䅁䉁䅁䅁兂桄桥畓㙒硅䅑杷允䅁䅁䅍䅁䑁䅁䅷䅁䭁乁䡣䅁䭁䩁䘴䅁䉁䅁䅁允䅁䅁䅣䅁䅁佁䡃䔵䵁䅉䅅䅁䑁䅁䅁睁䵁䅁䅁权楄睂䅁权敃兂䅁允䅁䅁䅅䅁䡁䅁䅁䅁䅃畆䅚䍄䉁䅁䅁睁䅁䅁䅍䅄䅁䅁䅯儴䅣䅁䅯杮䅕䅁䅅䅁䉁䅁䅁睂䅁䅁䅁䉧浢䅑杷允䅁䅁䅍䅁䑁䅁䅷䅁䭁䵁䡷䅁䭁䩁䘴䅁䉁䅁䅁允䅁䅁䅣䅁䅁䭁睄䔵䵁䅉䅅䅁䝁䅁䅁睁䵁䅁䅁权ㅃ睂䅁权㝂杂䅁权䥃兂䅁兂䅁䅁䅁䩙浘䅑䅯睚䅙䅁䅅䅁䉁䅁䅁䅆䅁䅁䅁䅁䅁䅁杷允䅁䅁䅍䅁䑁䅁䅷䅁䭁乁䡍䅁䭁䩁䘴䅁䉁䅁䅁允䅁䅁䅣䅁䅁䥁坁欵䵁䅉䅅䅁䙁䅁䅁睁䵁䅁䅁权佂兂䅁权硁兂䅁兂䅁䅁䅁䩑浘䅑䅯杍䅕䅁䅅䅁䉁䅁䅁权啃允䅁䍄䉁䅁䅁睁䅁䅁䅍䅄䅁䅁䅯兺䅣䅁䅯杮䅕䅁䅅䅁䉁䅁䅁睂䅁䅁䅁䉧浢䅑杷允䅁䅁䅕䅁䑁䅁䅷䅁䭁䕁䙅䅁䭁䑁䙅䅁䙁䅁䅁䅁䅂敬䅚权祁兂䅁允䅁䅁䅅䅁䭁䩁䉑䅁䵁䅉䅅䅁䙁䅁䅁睁䵁䅁䅁权卂兂䅁权硁兂䅁兂䅁䅁䅁䩑浘䅑䅯杍䅕䅁䅅䅁䉁䅁䅁权啃允䅁䍄䉁䅁䅁杂䅁䅁䅍䅄䅁䅁䅯兴䅣䅁䅯杦䅍䅁䅯兡䅙䅁䅕䅁䅁䝁噃欵䭁䝁䝣䅁䉁䅁䅁允䅁䉁䅑睔䅧䅁䅁䅁䵁䅉䅅䅁䙁䅁䅁睁䵁䅁䅁权⽂兂䅁权硁兂䅁兂䅁䅁䅁䩑浘䅑䅯杍䅕䅁䅅䅁䉁䅁䅁权啃允䅁䍄䉁䅁䅁杂䅁䅁䅍䅄䅁䅁䅯兴䅣䅁䅯杚䅙䅁䅯全䅕䅁䅕䅁䅁䝁噃欵䭁䝁䝣䅁䉁䅁䅁允䅁䉁䅑晶䍙䅁䅁䅁䵁䅉䅅䅁䝁䅁䅁睁䵁䅁䅁权卄睂䅁权啂睂䅁权祂睂䅁兂䅁䅁䅁䩙浘䅑䅯杍䅕䅁䅅䅁䉁䅁䅁兂权硎灗䩍剙䅑杷允䅁䅁䅕䅁䑁䅁䅷䅁䭁䑁䙫䅁䭁䑁䙅䅁䙁䅁䅁䅁杁敬䅚权祁兂䅁允䅁䅁䅅䅁䭁䩁䉑䅁䵁䅉䅅䅁䑁䅁䅁睁䵁䅁䅁权坄睂䅁权敃兂䅁允䅁䅁䅅䅁䡁䅁䅁䅁杄位䅚䍄䉁䅁䅁兂䅁䅁䅍䅄䅁䅁䅯兤䅕䅁䅯免䅕䅁䅕䅁䅁䕁噃欵䭁䑁䙉䅁䉁䅁䅁允䅁䅁䅯䅬䅅䅁杷允䅁䅁䅍䅁䑁䅁䅷䅁䭁䵁䡫䅁䭁䩁䘴䅁䉁䅁䅁允䅁䅁䅣䅁䅁䵁剂䔵䵁䅉䅅䅁䙁䅁䅁睁䵁䅁䅁权楂兂䅁权硁兂䅁兂䅁䅁䅁䩉浘䅑䅯杍䅕䅁䅅䅁䉁䅁䅁权啃允䅁䍄䉁䅁䅁睁䅁䅁䅍䅄䅁䅁䅯䄶䅣䅁䅯杮䅕䅁䅅䅁䉁䅁䅁睂䅁䅁䅁䤴橈䅑杷允䅁䅁䅍䅁䑁䅁䅷䅁䭁</t>
  </si>
  <si>
    <t>䵁䡧䅁䭁䩁䘴䅁䉁䅁䅁允䅁䅁䅣䅁䅁䅁敃唵䵁䅉䅅䅁䝁䅁䅁睁䵁䅁䅁权ㅃ睂䅁权㥂杂䅁权乃兂䅁兂䅁䅁䅁䩙浘䅑䅯睚䅙䅁䅅䅁䉁䅁䅁䅆湃瘯⼯⼯⼯眯杷允䅁䅁䅍䅁䑁䅁䅷䅁䭁䵁䡑䅁䭁䩁䘴䅁䉁䅁䅁允䅁䅁䅣䅁䅁䭁䍃唵䵁䅉䅅䅁䙁䅁䅁睁䵁䅁䅁权㉂兂䅁权硁兂䅁兂䅁䅁䅁䩉浘䅑䅯杍䅕䅁䅅䅁䉁䅁䅁权啃允䅁䍄䉁䅁䅁杂䅁䅁䅍䅄䅁䅁䅯䅵䅣䅁䅯睌䅉䅁䅯杨䅕䅁䅕䅁䅁䝁噃欵䭁䥁䙣䅁䉁䅁䅁允䅁䉁䅑牶䉙䅁䅁䅁䵁䅉䅅䅁䑁䅁䅁睁䵁䅁䅁权湄睂䅁权敃兂䅁允䅁䅁䅅䅁䡁䅁䅁䅁䅃畆䅚䍄䉁䅁䅁睁䅁䅁䅍䅄䅁䅁䅯睸䅣䅁䅯杮䅕䅁䅅䅁䉁䅁䅁睂䅁䅁䅁䵁橄䅑杷允䅁䅁䅍䅁䑁䅁䅷䅁䭁佁䡳䅁䭁䩁䘴䅁䉁䅁䅁允䅁䅁䅣䅁䅁䥁杁䔵䵁䅉䅅䅁䑁䅁䅁睁䵁䅁䅁权畄睂䅁权敃兂䅁允䅁䅁䅅䅁䡁䅁䅁䅁䅄⭹䅒䍄䉁䅁䅁睁䅁䅁䅍䅄䅁䅁䅯眷䅣䅁䅯杮䅕䅁䅅䅁䉁䅁䅁睂䅁䅁䅁偉歄䅑杷允䅁䅁䅕䅁䑁䅁䅷䅁䭁䑁䙙䅁䭁䑁䙅䅁䙁䅁䅁䅁杁敬䅚权祁兂䅁允䅁䅁䅅䅁䭁䩁䉑䅁䵁䅉䅅䅁䙁䅁䅁睁䵁䅁䅁权求兂䅁权硁兂䅁兂䅁䅁䅁䩙浘䅑䅯杍䅕䅁䅅䅁䉁䅁䅁兂卂䉵䘶㤶癅䅑杷允䅁䅁䅙䅁䑁䅁䅷䅁䭁䱁䡕䅁䭁䥁䑉䅁䭁䥁䙧䅁䙁䅁䅁䅁杂敬䅚权湂杂䅁允䅁䅁䅅䅁啁乁䑫⼯⼯⼯⼯䍄䉁䅁䅁兂䅁䅁䅍䅄䅁䅁䅯睖䅕䅁䅯免䅕䅁䅕䅁䅁䕁噃欵䭁䑁䙉䅁䉁䅁䅁允䅁䅁䅯䅬䅅䅁杷允䅁䅁䅕䅁䑁䅁䅷䅁䭁䑁䙍䅁䭁䑁䙅䅁䙁䅁䅁䅁杂敬䅚权祁兂䅁允䅁䅁䅅䅁䙁䙁㑋潈牘兕䅸䍄䉁䅁䅁睁䅁䅁䅍䅄䅁䅁䅯朸䅣䅁䅯杮䅕䅁䅅䅁䉁䅁䅁睂䅁䅁䅁䉧浢䅑杷允䅁䅁䅍䅁䑁䅁䅷䅁䭁偁䡍䅁䭁䩁䘴䅁䉁䅁䅁允䅁䅁䅣䅁䅁佁潃䔵䵁䅉䅅䅁䙁䅁䅁睁䵁䅁䅁权⭂兂䅁权硁兂䅁兂䅁䅁䅁䩉浘䅑䅯杍䅕䅁䅅䅁䉁䅁䅁权啃允䅁䍄䉁䅁䅁杂䅁䅁䅍䅄䅁䅁䅯兴䅣䅁䅯杦䅍䅁䅯兪䅕䅁䅕䅁䅁䝁噃欵䭁䝁䝣䅁䉁䅁䅁允䅁䉁䅑兮䅫䅁䅁䅁䵁䅉䅅䅁䡁䅁䅁睁䵁䅁䅁权ㅃ睂䅁权橄睁䅁权歄睁䅁权ㅄ䅂䅁权䕁䅁䅋权㉄䅂䅁允䅁䅁䅅䅁䙁䡁猫⽕発橸䅊䍄䉁䅁䅁兂䅁䅁䅍䅄䅁䅁䅯䅚䅕䅁䅯免䅕䅁䅕䅁䅁䍁噃欵䭁䑁䙉䅁䉁䅁䅁允䅁䅁䅯䅬䅅䅁杷允䅁䅁䅕䅁䑁䅁䅷䅁䭁䡁䙧䅁䭁䑁䙅䅁䙁䅁䅁䅁杁敬䅚权祁兂䅁允䅁䅁䅅䅁䭁䩁䉑䅁䵁䅉䅅䅁䙁䅁䅁睁䵁䅁䅁权䑃兂䅁权硁兂䅁兂䅁䅁䅁䩑浘䅑䅯杍䅕䅁䅅䅁䉁䅁䅁权啃允䅁䍄䉁䅁䅁兂䅁䅁䅍䅄䅁䅁䅯䅎䅕䅁䅯免䅕䅁䅕䅁䅁䝁噃欵䭁䑁䙉䅁䉁䅁䅁允䅁䅁䅕乪潴䝁䈸樹䴸䅉䅅䅁䙁䅁䅁睁䵁䅁䅁权㡄睂䅁权呂睂䅁兂䅁䅁䅁䩙浘䅑䅯杍䅕䅁䅅䅁䉁䅁䅁权啃允䅁䍄䉁䅁䅁杂䅁䅁䅍䅄䅁䅁䅯兴䅣䅁䅯督䅙䅁䅯兡䅙䅁䅕䅁䅁䝁噃欵䭁䝁䝣䅁䉁䅁䅁允䅁䉁䅑䵃䅷䅁䅁䅁䵁䅉䅅䅁䙁䅁䅁睁䵁䅁䅁权䍃兂䅁权硁兂䅁兂䅁䅁䅁䩉浘䅑䅯杍䅕䅁䅅䅁䉁䅁䅁权啃允䅁䍄䉁䅁䅁杂䅁䅁䅍䅄䅁䅁䅯兴䅣䅁䅯兤䅙䅁䅯䅪䅕䅁䅕䅁䅁䝁噃欵䭁䝁䝣䅁䉁䅁䅁允䅁䉁䅑䅁䅁䅁䅁䅁䵁䅉䅅䅁䝁䅁䅁睁䵁䅁䅁权ㅃ睂䅁权䙃杂䅁权䵃兂䅁兂䅁䅁䅁䩙浘䅑䅯睚䅙䅁䅅䅁䉁䅁䅁䅆杁朴䅁䅁䅁䅁杷允䅁䅁䅕䅁䑁䅁䅷䅁䭁䝁䔸䅁䭁䡁䐰䅁䙁䅁䅁䅁杂敬䅚权硄䅂䅁允䅁䅁䅅䅁䙁䭁汳噬扇晦⽳䍄䉁䅁䅁杂䅁䅁䅍䅄䅁䅁䅯兵䅣䅁䅯杪䅕䅁䅕䅁䅁䝁噃欵䭁䍁䅁䅁䭁䥁䙣䅁䉁䅁䅁允䅁䅁䅕積積㑅㥈ご䵅䅉䅅䅁䙁䅁䅁睁䵁䅁䅁权䑂兂䅁权硁兂䅁兂䅁䅁䅁䩉浘䅑䅯杍䅕䅁䅅䅁䉁䅁䅁权啃允䅁䍄䉁䅁䅁杂䅁䅁䅍䅄䅁䅁䅯兵䅣䅁䅯睇䅑䅁䅯全䅕䅁䅕䅁䅁䝁噃欵䭁䑁䙉䅁䉁䅁䅁允䅁䅁䅕䵮村䡳䥌䕍䵁䅉䅅䅁䙁䅁䅁睁䵁䅁䅁权睁兂䅁权硁兂䅁兂䅁䅁䅁䩉浘䅑䅯杍䅕䅁䅅䅁䉁䅁䅁权啃允䅁䍄䉁䅁䅁兂䅁䅁䅍䅄䅁䅁䅯杘䅕䅁䅯免䅕䅁䅕䅁䅁䕁噃欵䭁䑁䙉䅁䉁䅁䅁允䅁䅁䅯䅬䅅䅁杷允䅁䅁䅕䅁䑁䅁䅷䅁䭁䙁䙅䅁䭁䑁䙅䅁䙁䅁䅁䅁䅂敬䅚权祁兂䅁允䅁䅁䅅䅁䭁䩁䉑䅁䵁䅉䅅䅁䙁䅁䅁睁䵁䅁䅁权㍂兂䅁权硁兂䅁兂䅁䅁䅁䩑浘䅑䅯杍䅕䅁䅅䅁䉁䅁䅁权啃允䅁䍄䉁䅁䅁兂䅁䅁䅍䅄䅁䅁䅯杘䅕䅁䅯免䅕䅁䅕䅁䅁䝁噃欵䭁䑁䙉䅁䉁䅁䅁允䅁䅁䅕潂噇㑑獴䕄䵁䅉䅅䅁䙁䅁䅁睁䵁䅁䅁权䵂兂䅁权硁兂䅁兂䅁䅁䅁䩉浘䅑䅯杍䅕䅁䅅䅁䉁䅁䅁权啃允䅁䍄䉁䅁䅁兂䅁䅁䅍䅄䅁䅁䅯兺䅣䅁䅯睕䅣䅁䅕䅁䅁䝁噃欵䭁䑁䙉䅁䉁䅁䅁允䅁䅁䅕潸䑕噉杭啅䵁䅉䅅䅁䝁䅁䅁睁䵁䅁䅁权ㅃ睂䅁权䕃睁䅁权潂杂䅁兂䅁䅁䅁䩙浘䅑䅯睚䅙䅁䅅䅁䉁䅁䅁䅆䅁䅁䅁䅁䅁䅁杷允䅁䅁䅑䅁䑁䅁䅷䅁䭁䍁䘴䅁䭁䍁䘸䅁䙁䅁䅁䅁杁敳䅖允䅁䅁䅅䅁䙁䭁睑歷吰䱙䅆䍄䉁䅁䅁兂䅁䅁䅍䅄䅁䅁䅯䅗䅕䅁䅯免䅕䅁䅕䅁䅁䝁噃欵䭁䑁䙉䅁䉁䅁䅁允䅁䅁䅕䘯⽉祢卯䕄䵁䅉䅅䅁䙁䅁䅁睁䵁䅁䅁权敄睂䅁权呂睂䅁兂䅁䅁䅁䩙浘䅑䅯杍䅕䅁䅅䅁䉁䅁䅁兂㡃填歮㉄奙䅑杷允䅁䅁䅕䅁䑁䅁䅷䅁䭁䕁䙕䅁䭁䑁䙅䅁䙁䅁䅁䅁䅂敬䅚权祁兂䅁允䅁䅁䅅䅁䭁䩁䉑䅁䵁䅉䅅䅁䙁䅁䅁睁䵁䅁䅁权ㅃ睂䅁权牂杂䅁权乃兂䅁兂䅁䅁䅁䩙浘䅑䅅䅁䉁䅁䅁权睂杂䅁䍄䉁䅁䅁兂䅁䅁䅍䅄䅁䅁䅯兢䅕䅁䅯免䅕䅁䅕䅁䅁䕁噃欵䭁䑁䙉䅁䉁䅁䅁允䅁䅁䅯䅬䅅䅁杷允䅁䅁䅙䅁䑁䅁䅷䅁䭁䱁䡫䅁䭁䉁䕳䅁䭁䥁䘰䅁䙁䅁䅁䅁杂敬䅚权祁兂䅁允䅁䅁䅅䅁䙁䵁䭈啯㉗積䅂䍄䉁䅁䅁杂䅁䅁䅍䅄䅁䅁䅯杴䅣䅁䅯杪䅕䅁䅕䅁䅁䝁噃欵䭁䍁䅁䅁䭁䥁䙣䅁䉁䅁䅁允䅁䅁䅕唫杰䍇䭈䕖䵅䅉䅅䅁䙁䅁䅁睁䵁䅁䅁权扂兂䅁权硁兂䅁兂䅁䅁䅁䩑浘䅑䅯杍䅕䅁䅅䅁䉁䅁䅁权啃允䅁䍄䉁䅁䅁兂䅁䅁䅍䅄䅁䅁䅯睎䅕䅁䅯免䅕䅁䅕䅁䅁䝁噃欵䭁䑁䙉䅁䉁䅁䅁允䅁䅁䅕㑈牘払⭧䕑䵁䅉䅅䅁䙁䅁䅁睁䵁䅁䅁权桂兂䅁权硁兂䅁兂䅁䅁䅁䩉浘䅑䅯杍䅕䅁䅅䅁䉁䅁䅁权啃允䅁䍄䉁䅁䅁杂䅁䅁䅍䅄䅁䅁䅯䄴䅣䅁䅯䅖䅣䅁䅯杣䅣䅁䅕䅁䅁䝁噃欵䭁䑁䙉䅁䉁䅁䅁允䅁䅁䅕卩㙒捇卖商䵁䅉䅅䅁䙁䅁䅁睁䵁䅁䅁权橂兂䅁权硁兂䅁兂䅁䅁䅁䩑浘䅑䅯杍䅕䅁䅅䅁䉁䅁䅁权啃允䅁䍄䉁䅁䅁兂䅁䅁䅍䅄䅁䅁䅯杢䅕䅁䅯免䅕䅁䅕䅁䅁䍁噃欵䭁䑁䙉䅁䉁䅁䅁允䅁䅁䅯䅬䅅䅁杷允䅁䅁䅕䅁䑁䅁䅷䅁䭁䑁䙫䅁䭁䑁䙅䅁䙁䅁䅁䅁杂敬䅚权祁兂䅁允䅁䅁䅅䅁䙁䩁瑈䑦ㄸ桘䅴䍄䉁䅁䅁兂䅁䅁䅍䅄䅁䅁䅯䅣䅕䅁䅯免䅕䅁䅕䅁䅁䕁噃欵䭁䑁䙉䅁䉁䅁䅁允䅁䅁䅯䅬䅅䅁杷允䅁䅁䅕䅁䑁䅁䅷䅁䭁䑁䙑䅁䭁䑁䙅䅁䙁䅁䅁䅁䅂敬䅚权祁兂䅁允䅁䅁䅅䅁䭁䩁䉑䅁䵁䅉䅅䅁䙁䅁䅁睁䵁䅁䅁权煂兂䅁权硁兂䅁兂䅁䅁䅁䩙浘䅑䅯杍䅕䅁䅅䅁䉁䅁䅁兂瑄卭䉕浡割睐杷允䅁䅁䅕䅁䑁䅁䅷䅁䭁䕁䙯䅁䭁䑁䙅䅁䙁䅁䅁䅁䅂敬䅚权祁兂䅁允䅁䅁䅅䅁䭁䩁䉑䅁䵁䅉䅅䅁䝁䅁䅁睁䵁䅁䅁权ㅃ睂䅁权穂杂䅁权䥃兂䅁兂䅁䅁䅁䩙浘䅑䅯睚䅙䅁䅅䅁䉁䅁䅁䅆塁睖䅅䅁䅁䅁杷允䅁䅁䅕䅁䑁䅁䅷䅁䭁䑁䙍䅁䭁䑁䙅䅁䙁䅁䅁䅁䅂敬䅚权祁兂䅁允䅁䅁䅅䅁䭁䩁䉑䅁䵁䅉䅅䅁䝁䅁䅁睁䵁䅁䅁权ㅃ睂䅁权䍃睁䅁权乃兂䅁兂䅁䅁䅁䩙浘䅑䅯睚䅙䅁䅅䅁䉁䅁䅁䅆祃癯⼯⼯⼯眯杷允䅁䅁䅕䅁䑁䅁䅷䅁䭁䕁䙯䅁䭁䑁䙅䅁䙁䅁䅁䅁杁敬䅚权祁兂䅁允䅁䅁䅅䅁䭁䩁䉑䅁䵁䅉䅅䅁䙁䅁䅁睁䵁䅁䅁权䵂兂䅁权硁兂䅁兂䅁䅁䅁䩑浘䅑䅯杍䅕䅁䅅䅁䉁䅁䅁权啃允䅁䍄䉁䅁䅁兂䅁䅁䅍䅄䅁䅁䅯督䅕䅁䅯免䅕䅁䅕䅁䅁䝁噃欵䭁䑁䙉䅁䉁䅁䅁允䅁䅁䅕浗㝑〳丸䕆䵁䅉䅅䅁䙁䅁䅁睁䵁䅁䅁权䝂兂䅁权硁兂䅁兂䅁䅁䅁䩉浘䅑䅯杍䅕䅁䅅䅁䉁䅁䅁权啃允䅁䍄䉁䅁䅁杂䅁䅁䅍䅄䅁䅁䅯䅶䅣䅁䅯睇䅑䅁䅯䅩䅕䅁䅕䅁䅁䝁噃欵䭁䑁䙉䅁䉁䅁䅁允䅁䅁䅕畮渫歸塳䕏䵁䅉䅅䅁䝁䅁䅁睁䵁䅁䅁权ㅃ睂䅁权あ杂䅁权䭃兂䅁兂䅁䅁䅁䩙浘䅑䅯睚䅙䅁䅅䅁䉁䅁䅁䅆㡂睂䅉䅁䅁䅁杷允䅁䅁䅕䅁䑁䅁䅷䅁䭁䕁䙫䅁䭁䑁䙅䅁䙁䅁䅁䅁杁敬䅚权祁兂䅁允䅁䅁䅅䅁䭁䩁䉑䅁䵁䅉䅅䅁䙁䅁䅁睁䵁䅁䅁权䑂兂䅁权硁兂䅁兂䅁䅁䅁䩑浘䅑䅯杍䅕䅁䅅䅁䉁䅁䅁权啃允䅁䍄䉁䅁䅁兂䅁䅁䅍䅄䅁䅁䅯杚䅕䅁䅯免䅕䅁䅕䅁䅁䝁噃欵䭁䑁䙉䅁䉁䅁䅁允䅁䅁䅕場啯歲桦歅䵁䅉䅅䅁䝁䅁䅁睁䵁䅁䅁权ㅃ睂䅁权牂杂䅁权䙃兂䅁兂䅁䅁䅁䩙浘䅑䅯杯䅣䅁䅅䅁䉁䅁䅁权㥄睂䅁䍄䉁䅁䅁兂䅁䅁䅍䅄䅁䅁䅯䅑䅕䅁䅯免䅕䅁䅕䅁䅁䝁噃欵䭁䑁䙉䅁䉁䅁䅁允䅁䅁䅕匶硙䭃捷い䵁䅉䅅䅁䙁䅁䅁睁䵁䅁䅁权摂兂䅁权硁兂䅁兂䅁䅁䅁䩑浘䅑䅯杍䅕䅁䅅䅁䉁䅁䅁权啃允䅁䍄䉁䅁䅁兂䅁䅁䅍䅄䅁䅁䅯睓䅕䅁䅯免䅕䅁䅕䅁䅁䕁噃欵䭁䑁䙉䅁䉁䅁䅁允䅁䅁䅯䅬䅅䅁杷允䅁䅁䅕䅁䑁䅁䅷䅁䭁䡁䙳䅁䭁䑁䙅䅁䙁䅁䅁䅁䅂敬䅚权祁兂䅁允䅁䅁䅅䅁䭁䩁䉑䅁䵁䅉䅅䅁䝁䅁䅁睁䵁䅁䅁权ㅃ睂䅁权㍂杂䅁权䙃兂䅁兂䅁䅁䅁䩙浘䅑䅯睚䅙䅁䅅䅁䉁䅁䅁䅆瑃倫⼯⼯⼯眯杷允䅁䅁䅕䅁䑁䅁䅷䅁䭁䙁䙯䅁䭁䑁䙅䅁䙁䅁䅁䅁杁敬䅚权祁兂䅁允䅁䅁䅅䅁䭁䩁䉑䅁䵁䅉䅅䅁䙁䅁䅁睁䵁䅁䅁权橂兂䅁权硁兂䅁兂䅁䅁䅁䩉浘䅑䅯杍䅕䅁䅅䅁䉁䅁䅁权啃允䅁䍄䉁䅁䅁兂䅁䅁䅍䅄䅁䅁䅯兔䅕䅁䅯免䅕䅁䅕䅁䅁䕁噃欵䭁䑁䙉䅁䉁䅁䅁允䅁䅁䅯䅬䅅䅁杷允䅁䅁䅙䅁䑁䅁䅷䅁䭁䱁䡕䅁䭁䥁䝯䅁䭁䝁䝫䅁䙁䅁䅁䅁杂敬䅚权湂杂䅁允䅁䅁䅅䅁啁䅁䅁䅁䅁䅁䅁䍄䉁䅁䅁兂䅁䅁䅍䅄䅁䅁䅯党䅕䅁䅯免䅕䅁䅕䅁䅁䕁噃欵䭁䑁䙉䅁䉁䅁䅁允䅁䅁䅯䅬䅅䅁杷允䅁䅁䅕䅁䑁䅁䅷䅁䭁䝁䘰䅁䭁䑁䙅䅁䙁䅁䅁䅁杂敬䅚权祁兂䅁允䅁䅁䅅䅁䙁䥁牘払敧剨䅆䍄䉁䅁䅁兂䅁䅁䅍䅄䅁䅁䅯兒䅕䅁䅯免䅕䅁䅕䅁䅁䍁噃欵䭁䑁䙉䅁䉁䅁䅁允䅁䅁䅯䅬䅅䅁杷允䅁䅁䅕䅁䑁䅁䅷䅁䭁䝁䙷䅁䭁䑁䙅䅁䙁䅁䅁䅁䅂敬䅚权祁兂䅁允䅁䅁䅅䅁䭁䩁䉑䅁䵁䅉䅅䅁䙁䅁䅁睁䵁䅁䅁权畂兂䅁权硁兂䅁兂䅁䅁䅁䩑浘䅑䅯杍䅕䅁䅅䅁䉁䅁䅁权啃允䅁䍄䉁䅁䅁杂䅁䅁䅍䅄䅁䅁䅯兴䅣䅁䅯杣䅙䅁䅯兡䅙䅁䅕䅁䅁䝁噃欵䭁䝁䝣䅁䉁䅁䅁允䅁䉁䅑䩭䍁䅁䅁䅁䵁䅉䅅䅁䙁䅁䅁睁䵁䅁䅁权歂兂䅁权硁兂䅁兂䅁䅁䅁䩑浘䅑䅯杍䅕䅁䅅䅁䉁䅁䅁权啃允䅁䍄䉁䅁䅁杂䅁䅁䅍䅄䅁䅁䅯兴䅣䅁䅯杩䅙䅁䅯全䅕䅁䅕䅁䅁䝁噃欵䭁䝁䝣䅁䉁䅁䅁允䅁䉁䅑䅁䅁䅁䅁䅁䵁䅉䅅䅁䝁䅁䅁睁䵁䅁䅁权㑃睂䅁权佃兂䅁兂䅁䅁䅁䩙浘䅑䅯䅉䅁䅁䅯睨䅕䅁䅅䅁䉁䅁䅁兂偃佈摭样㈰兑杷允䅁䅁䅕䅁䑁䅁䅷䅁䭁䡁䙫䅁䭁䑁䙅䅁䙁䅁䅁䅁杂敬䅚权祁兂䅁允䅁䅁䅅䅁䙁䥁堲桢䑋䉑䅂䍄䉁䅁䅁兂䅁䅁䅍䅄䅁䅁䅯兴䅣䅁䅯內䅙䅁䅕䅁䅁䝁噃欵䭁䥁䝉䅁䉁䅁䅁允䅁䅁䅕灭婭婭䙫武䵁䅉䅅䅁䙁䅁䅁睁䵁䅁䅁权睁兂䅁权硁兂䅁兂䅁䅁䅁䩙浘䅑䅯杍䅕䅁䅅䅁䉁䅁䅁兂扄堫焵䡶卑䅑杷允䅁䅁䅕䅁䑁䅁䅷䅁䭁䡁䙁䅁䭁䑁䙅䅁䙁䅁䅁䅁杁敬䅚权祁兂䅁允䅁䅁䅅䅁䭁䩁䉑䅁䵁䅉䅅䅁䝁䅁䅁睁䵁䅁䅁权ㅃ睂䅁权浂杂䅁权乃兂䅁兂䅁䅁䅁䩙浘䅑䅯睚䅙䅁䅅䅁䉁䅁䅁䅆⽃杦䅅䅁䅁䅁杷允䅁䅁䅕䅁䑁䅁䅷䅁䭁䡁䙉䅁䭁䑁䙅䅁䙁䅁䅁䅁䅂敬䅚权祁兂䅁允䅁䅁䅅䅁䭁䩁䉑䅁䵁䅉䅅䅁䙁䅁䅁睁䵁䅁䅁权䉂兂䅁权硁兂䅁兂䅁䅁䅁䩉浘䅑䅯杍䅕䅁䅅䅁䉁䅁䅁权啃允䅁䍄䉁䅁䅁杂䅁䅁䅍䅄䅁䅁䅯兴䅣䅁䅯兤䅙䅁䅯兡䅙䅁䅕䅁䅁䝁噃欵䭁䝁䝣䅁䉁䅁䅁允䅁䉁䅑䅁䅁䅁䅁䅁䵁䅉䅅䅁䝁䅁䅁睁䵁䅁䅁权ㅃ睂䅁权ㅂ杂䅁权乃兂䅁兂䅁䅁䅁䩙浘䅑䅯睚䅙䅁䅅䅁䉁䅁䅁䅆䅁䅁䅁䅁䅁䅁杷允䅁䅁䅕䅁䑁䅁䅷䅁䭁䙁䙷䅁䭁䑁䙅䅁䙁䅁䅁䅁䅂敬䅚权祁兂䅁允䅁䅁䅅䅁䭁䩁䉑䅁䵁䅉䅅䅁䙁䅁䅁睁䵁䅁䅁权ㅂ兂䅁权硁兂䅁兂䅁䅁䅁䩉浘䅑䅯杍䅕䅁䅅䅁䉁䅁䅁权啃允䅁䍄䉁䅁䅁杂䅁䅁䅍䅄䅁䅁䅯兴䅣䅁䅯䅥䅙䅁䅯兪䅕䅁䅕䅁䅁䝁噃欵䭁䝁䝣䅁䉁䅁䅁允䅁䉁䅑睦䅳䅁䅁䅁䵁䅉䅅䅁䙁䅁䅁睁䵁䅁䅁权㉂兂䅁权硁兂䅁兂䅁䅁䅁䩑浘䅑䅯杍䅕䅁䅅䅁䉁䅁䅁权啃允䅁䍄䉁䅁䅁杂䅁䅁䅍䅄䅁䅁䅯兴䅣䅁䅯睥䅙䅁䅯兡䅙䅁䅕䅁䅁䝁噃欵䭁䝁䝣䅁䉁䅁䅁允䅁䉁䅑䅁䅁䅁䅁䅁䵁䅉䅅䅁䙁䅁䅁睁䵁䅁䅁权䝂兂䅁权硁兂䅁兂䅁䅁䅁䩙浘䅑䅯杍䅕䅁䅅䅁䉁䅁䅁兂穂䩡瑈䑦䠸䅑杷允䅁䅁䅙䅁䑁䅁䅷䅁䭁䱁䡕䅁䭁䉁䕳䅁䭁䥁䘰䅁䙁䅁䅁䅁杂敬䅚权祁兂䅁允䅁䅁䅅䅁䙁䝁汄䌰扌协䅰䍄䉁䅁䅁杂䅁䅁䅍䅄䅁䅁䅯兴䅣䅁䅯全䅙䅁䅯杩䅕䅁䅕䅁䅁䝁噃欵䭁䝁䝣䅁䉁䅁䅁允䅁䉁䅑䅙䉣䅁䅁䅁䵁䅉䅅䅁䙁䅁䅁睁䵁䅁䅁权ㅃ睂䅁权牂杂䅁权䥃兂䅁兂䅁䅁䅁䩙浘䅑䅅䅁䉁䅁䅁权桃睂䅁䍄䉁䅁䅁兂䅁䅁䅍䅄䅁䅁䅯䅤䅕䅁䅯免䅕䅁䅕䅁䅁䍁噃欵䭁䑁䙉䅁䉁䅁䅁允䅁䅁䅯䅬䅅䅁杷允䅁䅁䅙䅁䑁䅁䅷䅁䭁䱁䡕䅁䭁䝁䝙䅁䭁䥁䙷䅁䙁䅁䅁䅁杂敬䅚权湂杂䅁允䅁䅁䅅䅁啁䥁佥允䅁䅁䅁䍄䉁䅁䅁杂䅁䅁䅍䅄䅁䅁䅯兴䅣䅁䅯杩䅙䅁䅯兪䅕䅁䅕䅁䅁䝁噃欵䭁䝁䝣䅁䉁䅁䅁允䅁䉁䅑䅁䅁䅁䅁䅁䵁䅉䅅䅁䝁䅁䅁睁䵁䅁䅁权ㅃ睂䅁权䕃睁䅁权䥃兂䅁兂䅁䅁䅁䩙浘䅑䅯睚䅙䅁䅅䅁䉁䅁䅁䅆䅁䅁䅁䅁䅁䅁杷允䅁䅁䅙䅁䑁䅁䅷䅁䭁䱁䡕䅁䭁䥁䝷䅁䭁䥁䙷䅁䙁䅁䅁䅁杂敬䅚权湂杂䅁允䅁䅁䅅䅁啁䅁牅䅁䅁䅁䅁䍄䉁䅁䅁杂䅁䅁䅍䅄䅁䅁䅯兴䅣䅁䅯来䅙䅁䅯䅪䅕䅁䅕䅁䅁䝁噃欵䭁䝁䝣䅁䉁䅁䅁允䅁䉁䅑朲䅑䅁䅁䅁䵁䅉䅅䅁䙁䅁䅁睁䵁䅁䅁权⭁兂䅁权硁兂䅁兂䅁䅁䅁䩑浘䅑䅯杍䅕䅁䅅䅁䉁䅁䅁权啃允䅁䍄䉁䅁䅁兂䅁䅁䅍䅄䅁䅁䅯材䅕䅁䅯免䅕䅁䅕䅁䅁䍁噃欵䭁䑁䙉䅁䉁䅁䅁允䅁䅁䅯䅬䅅䅁杷允䅁䅁䅕䅁䑁䅁䅷䅁䭁䕁䘸䅁䭁䑁䙅䅁䙁䅁䅁䅁䅂敬䅚权祁兂䅁允䅁䅁䅅䅁䭁䩁䉑䅁䵁䅉䅅䅁䙁䅁䅁睁䵁䅁䅁权兂兂䅁权硁兂䅁兂䅁䅁䅁䩑浘䅑䅯杍䅕䅁䅅䅁䉁䅁䅁权啃允䅁䍄䉁䅁䅁杂䅁䅁䅍䅄䅁䅁䅯兴䅣䅁䅯䅦䅙䅁䅯兪䅕䅁䅕䅁䅁䝁噃欵䭁䝁䝣䅁䉁䅁䅁允䅁䉁䅑刹䅍䅁䅁䅁䵁䅉䅅䅁䙁䅁䅁睁䵁䅁䅁权奂兂䅁权硁兂䅁兂䅁䅁䅁䩉浘䅑䅯杍䅕䅁䅅䅁䉁䅁䅁权啃允䅁䍄䉁䅁䅁兂䅁䅁䅍䅄䅁䅁䅯睘䅕䅁䅯免䅕䅁䅕䅁䅁䕁噃欵䭁䑁䙉䅁䉁䅁䅁允䅁䅁䅯䅬䅅䅁杷允䅁䅁䅙䅁䑁䅁䅷䅁䭁䍁䙫䅁䭁䉁䕳䅁䭁䥁䙷䅁䙁䅁䅁䅁杂敬䅚权祁兂䅁允䅁䅁䅅䅁䙁䉁奂扏䥔樱䅒䍄䉁䅁䅁杂䅁䅁䅍䅄䅁䅁䅯兴䅣䅁䅯杦䅍䅁䅯䅡䅙䅁䅕䅁䅁䝁噃欵䭁䝁䝣䅁䉁䅁䅁允䅁䉁䅑眫䅣䅁䅁䅁䵁䅉䅅䅁䙁䅁䅁睁䵁䅁䅁权㑂兂䅁权硁兂䅁兂䅁䅁䅁䩑浘䅑䅯杍䅕䅁䅅䅁䉁䅁䅁权啃允䅁䍄䉁䅁䅁兂䅁䅁䅍䅄䅁䅁䅯䅦䅕䅁䅯免䅕䅁䅕䅁䅁䍁噃欵䭁䑁䙉䅁䉁䅁䅁允䅁䅁䅯䅬䅅䅁杷允䅁䅁䅕䅁䑁䅁䅷䅁䭁䡁䘰䅁䭁䑁䙅䅁䙁䅁䅁䅁䅂敬䅚权祁兂䅁允䅁䅁䅅䅁䭁䩁䉑䅁䵁䅉䅅䅁䙁䅁䅁睁䵁䅁䅁权⭂兂䅁权硁兂䅁兂䅁䅁䅁䩑浘䅑䅯杍䅕䅁䅅䅁䉁䅁䅁权啃允䅁䍄䉁䅁䅁兂䅁䅁䅍䅄䅁䅁䅯睏䅕䅁䅯免䅕䅁䅕䅁䅁䍁噃欵䭁䑁䙉䅁䉁䅁䅁允䅁䅁䅯䅬䅅䅁杷允䅁䅁䅕䅁䑁䅁䅷䅁䭁䡁䘸䅁䭁䑁䙅䅁䙁䅁䅁䅁杁敬䅚权祁兂䅁允䅁䅁䅅䅁䭁䩁䉑䅁䵁䅉䅅䅁䙁䅁䅁睁䵁䅁䅁权敂兂䅁权硁兂䅁兂䅁䅁䅁䩉浘䅑䅯杍䅕䅁䅅䅁䉁䅁䅁权啃允䅁䍄䉁䅁䅁兂䅁䅁䅍䅄䅁䅁䅯来䅕䅁䅯免䅕䅁䅕䅁䅁䕁噃欵䭁䑁䙉䅁䉁䅁䅁允䅁䅁䅯䅬䅅䅁杷允䅁䅁䅕䅁䑁䅁䅷䅁䭁䥁䙅䅁䭁䑁䙅䅁䙁䅁䅁䅁䅂敬䅚权祁兂䅁允䅁䅁䅅䅁䭁䩁䉑䅁䵁䅉䅅䅁䝁䅁䅁睁䵁䅁䅁权ㅃ睂䅁权㍂杂䅁权䭃兂䅁兂䅁䅁䅁䩙浘䅑䅯睚䅙䅁䅅䅁䉁䅁䅁䅆塃杂䅁䅁䅁䅁杷允䅁䅁䅕䅁䑁䅁䅷䅁䭁䕁䙕䅁䭁䑁䙅䅁䙁䅁䅁䅁杂敬䅚权祁兂䅁允䅁䅁䅅䅁䙁䑁積積積硍䅂䍄䉁䅁䅁兂䅁䅁䅍䅄䅁䅁䅯睕䅕䅁䅯免䅕䅁䅕䅁䅁䕁噃欵䭁䑁䙉䅁䉁䅁䅁允䅁䅁䅯䅬䅅䅁杷允䅁䅁䅙䅁䑁䅁䅷䅁䭁䱁䡕䅁䭁䥁䝑䅁䭁䥁䙕䅁䙁䅁䅁䅁杂敬䅚权湂杂䅁允䅁䅁䅅䅁啁䡁呭杁䅁䅁䅁䍄䉁䅁䅁兂䅁䅁䅍䅄䅁䅁䅯䅣䅕䅁䅯免䅕䅁䅕䅁䅁䝁噃欵䭁䑁䙉䅁䉁䅁䅁允䅁䅁䅕䡳潊敫㠱䐫䴸䅉䅅䅁䙁䅁䅁睁䵁䅁䅁权䍃兂䅁权硁兂䅁兂䅁䅁䅁䩑浘䅑䅯杍䅕䅁䅅䅁䉁䅁䅁权啃允䅁䍄䉁䅁䅁兂䅁䅁䅍䅄䅁䅁䅯杚䅕䅁䅯免䅕䅁䅕䅁䅁䕁噃欵䭁䑁䙉䅁䉁䅁䅁允䅁䅁䅯䅬䅅䅁杷允䅁䅁䅕䅁䑁䅁䅷䅁䭁䥁䙍䅁䭁䑁䙅䅁䙁䅁䅁䅁杁敬䅚权祁兂䅁允䅁䅁䅅䅁䭁䩁䉑䅁䵁䅉䅅䅁䝁䅁䅁睁䵁䅁䅁权ㅃ睂䅁权煂杂䅁权潂杂䅁兂䅁䅁䅁䩙浘䅑䅯睚䅙䅁䅅䅁䉁䅁䅁䅆晄杺䅁䅁䅁䅁杷允䅁䅁䅑䅁䑁䅁䅷䅁䭁䍁䘴䅁䭁䍁䘸䅁䙁䅁䅁䅁杄佺䅒允䅁䅁䅅䅁䙁䩁䍣硍睊䭄䅆䍄䉁䅁䅁兂䅁䅁䅍䅄䅁䅁䅯兖䅕䅁䅯免䅕䅁䅕䅁䅁䝁噃欵䭁䑁䙉䅁䉁䅁䅁允䅁䅁䅕䥒獴⼵灵ぃ䵁䅉䅅䅁䝁䅁䅁睁䵁䅁䅁权ㅃ睂䅁权牂杂䅁权䥃兂䅁兂䅁䅁䅁䩙浘䅑䅯杯䅣䅁䅅䅁䉁䅁䅁权桃睂䅁䍄䉁䅁䅁杂䅁䅁䅍䅄䅁䅁䅯兴䅣䅁䅯䅤䅙䅁䅯兪䅕䅁䅕䅁䅁䝁噃欵䭁䝁䝣䅁䉁䅁䅁允䅁䉁䅑䥘䉧䅁䅁䅁䵁䅉䅅䅁䙁䅁䅁睁䵁䅁䅁权湂兂䅁权硁兂䅁兂䅁䅁䅁䩙浘䅑䅯杍䅕䅁䅅䅁䉁䅁䅁兂䙃ㄶ㑇潈⽘睐杷允䅁䅁䅙䅁䑁䅁䅷䅁䭁䱁䡙䅁䭁䑁䍑䅁䭁䥁䙙䅁䙁䅁䅁䅁杂敬䅚权䡃兂䅁允䅁䅁䅅䅁䭁䩁䉑䅁䵁䅉䅅䅁䙁䅁䅁睁䵁䅁䅁权ㅃ睂䅁权瑂允䅁兂䅁䅁䅁䩙浘䅑䅯䅧䅙䅁䅅䅁䉁䅁䅁䅆呁娱㙩允䅁䅁杷允䅁䅁䅙䅁䑁䅁䅷䅁䭁䱁䡕䅁䭁䥁䝕䅁䭁䥁䙧䅁䙁䅁䅁䅁杂敬䅚权湂杂䅁允䅁䅁䅅䅁啁䉁硫允䅁䅁䅁䍄䉁䅁䅁兂䅁䅁䅍䅄䅁䅁䅯儷䅣䅁䅯睕䅣䅁䅕䅁䅁䝁噃欵䭁䑁䙉䅁䉁䅁䅁允䅁䅁䅕㙭剸㥄潈う䵁䅉䅅䅁䝁䅁䅁睁䵁䅁䅁权ㅃ睂䅁权㍂杂䅁权䵃兂䅁兂䅁䅁䅁䩙浘䅑䅯睚䅙䅁䅅䅁䉁䅁䅁䅆慃瘯⼯⼯⼯眯杷允䅁䅁䅙䅁䑁䅁䅷䅁䭁䱁䡕䅁䭁䡁䝯䅁䭁䝁䝫䅁䙁䅁䅁䅁杂敬䅚权湂杂䅁允䅁䅁䅅䅁啁䉁㤯⼯⼯⼯⼯䍄䉁䅁䅁杂䅁䅁䅍䅄䅁䅁䅯兴䅣䅁䅯䅧䅍䅁䅯䅡䅙䅁䅕䅁䅁䝁噃欵䭁䝁䝣䅁䉁䅁䅁允䅁䉁䅑卍䅉䅁䅁䅁䵁䅉䅅䅁䙁䅁䅁睁䵁䅁䅁权䡄睂䅁权呂睂䅁兂䅁䅁䅁䩙浘䅑䅯杍䅕䅁䅅䅁䉁䅁䅁兂䕁⽣㑔敶嘰䅑杷允䅁䅁䅙䅁䑁䅁䅷䅁䭁䱁䡕䅁䭁䡁䝫䅁䭁䥁䘰䅁䙁䅁䅁䅁杂敬䅚权湂杂䅁允䅁䅁䅅䅁啁䕁氷⼯⼯⼯⼯䍄䉁䅁䅁杂䅁䅁䅍䅄䅁䅁䅯兴䅣䅁䅯杤䅙䅁䅯兪䅕䅁䅕䅁䅁䝁噃欵䭁䝁䝣䅁䉁䅁䅁允䅁䉁䅑䅁䅁䅁䅁䅁䵁䅉䅅䅁䝁䅁䅁睁䵁䅁䅁权療䅂䅁权扁䅂䅁权䭃兂䅁兂䅁䅁䅁䩙浘䅑䅯杍䅕䅁䅅䅁䉁䅁䅁兂䉄煹䙆牴汍䅑杷允䅁䅁䅕䅁䑁䅁䅷䅁䭁䱁䡕䅁䭁䥁䝍䅁䭁䥁䙙䅁䙁䅁䅁䅁杂敬䅚允䅁䅁䅅䅁䡁䅁䅁䅁杂⭪䅚䍄䉁䅁䅁兂䅁䅁䅍䅄䅁䅁䅯兴䅣䅁䅯杰䅣䅁䅯全䅕䅁䅕䅁䅁䝁噃欵䉁䅁䅁允䅁䅁䅕䥒獴⼵䩶啍䵁䅉䅅䅁䝁䅁䅁睁䵁䅁䅁权晄睂䅁权啂睂䅁权祂睂䅁兂䅁䅁䅁䩙浘䅑䅯杍䅕䅁䅅䅁䉁䅁䅁兂杄杶挶㑍奉䅑杷允䅁䅁䅕䅁䑁䅁䅷䅁䭁䙁䙑䅁䭁䑁䙅䅁䙁䅁䅁䅁杂敬䅚权祁兂䅁允䅁䅁䅅䅁䙁䑁䥅䉲慸䅚䅸䍄䉁䅁䅁杂䅁䅁䅍䅄䅁䅁䅯杴䅣䅁䅯睇䅑䅁䅯兪䅕䅁䅕䅁䅁䝁噃欵䭁䑁䙉䅁䉁䅁䅁允䅁䅁䅕匰扌堫焵樯䴸䅉䅅䅁䝁䅁䅁睁䵁䅁䅁权捄睂䅁权啂睂䅁权祂睂䅁兂䅁䅁䅁䩙浘䅑䅯杍䅕䅁䅅䅁䉁䅁䅁兂⭄䠱灪灊啅䅑杷允䅁䅁䅙䅁䑁䅁䅷䅁䭁偁䡷䅁䭁䙁䡑䅁䭁䡁䡉䅁䙁䅁䅁䅁杂敬䅚权祁兂䅁允䅁䅁䅅䅁䭁䩁䉑䅁䵁䅉䅅䅁䝁䅁䅁睁䵁䅁䅁权灁兂䅁权扁䅂䅁权䭃兂䅁兂䅁䅁䅁䩙浘䅑䅯杍䅕䅁䅅䅁䉁䅁䅁兂䭁㘱睎卐は䅑杷允䅁䅁䅙䅁䑁䅁䅷䅁䭁䱁䡕䅁䭁䝁䝙䅁䭁䝁䝧䅁䙁䅁䅁䅁杂敬䅚权湂杂䅁允䅁䅁䅅䅁啁佁⭶䅁䅁䅁䅁䍄䉁䅁䅁杂䅁䅁䅍䅄䅁䅁䅯兴䅣䅁䅯䅥䅙䅁䅯杩䅕䅁䅕䅁䅁䝁噃欵䭁䝁䝣䅁䉁䅁䅁允䅁䉁䅑儲䄰䅁䅁䅁䵁䅉䅅䅁䝁䅁䅁䍄䉁䅁䅁兂䅁䅁䅯睈䅧䅁䅯䅉䅧䅁䅯睉䅕䅁䅕䅁䅁䅁䅁䐸䘸䅁䅁䅁䅁䉁䅨䅆潃坓末䡭噯剌䅑牺ㄫ㉏汊灡啁䅁煕杩⭙䙖⽨䅆㑃扈灯浍硭桱䅑奌啈穊潉煤䉧䅁䅁允䅁䅁䅯䅊䅕䅁杷允䅁䅁䅙䅁䑁䅁䅷䅁䭁䱁䡕䅁䭁䡁䝳䅁䭁䥁䘰䅁䙁䅁䅁䅁杂敬䅚权湂杂䅁允䅁䅁䅅䅁啁䅁䅁䅁䅁䅁䅁䍄䉁䅁䅁杂䅁䅁杷允䅁䅁䅕䅁䭁䍁䥉䅁䭁䍁䥁䅁䭁䩁䙣䅁䙁䅁䅁䅁䅁偁⽁兂䅁䅁䅁䕁偃䉑䅑䕱癬䩯㙨卆唰䵁⼶呴楴坚共䅆剃琯獐㡆塥桶䅑䉵㘲呋灊慳啯䥁乌佢眸癆⽤允䅁䅁䅅䅁䭁䩁䙧䅁䵁䅉䅅䅁䝁䅁䅁䍄䉁䅁䅁兂䅁䅁䅯睉䅧䅁䅯䅉䅧䅁䅯䅚䅙䅁䅕䅁䅁䅁䅁䐸䘸䅁䅁䅁䅁䥑䄹䅆潃坓末䡭噯剌䅑牺ㄫ㉏汊灡啁䍁䌵㙓扳卫汱䅆㑃扈灯浍硭桱䅑獧猱稷坁㌹䈸䅁䅁允䅁䅁䅯䅃䅑䅁杷允䅁䅁䅙䅁䑁䅁䅷䅁䭁䱁䡕䅁䭁䡁䝷䅁䭁䝁䝫䅁䙁䅁䅁䅁杂敬䅚权湂杂䅁允䅁䅁䅅䅁啁䉁卫䅁䅁䅁䅁䍄䉁䅁䅁杂䅁䅁䅍䅄䅁䅁䅯兵䅣䅁䅯睇䅑䅁䅯䅩䅕䅁䅕䅁䅁䝁噃欵䭁䑁䙉䅁䉁䅁䅁允䅁䅁䅕呣䬰㘱睎䕍䵁䅉䅅䅁䝁䅁䅁睁䵁䅁䅁权㡃睂䅁权扁䅂䅁权乃兂䅁兂䅁䅁䅁䩙浘䅑䅯杍䅕䅁䅅䅁䉁䅁䅁兂ぃ䡹⭡㕮煯䅑杷允䅁䅁䅙䅁䑁䅁䅷䅁䭁䱁䡫䅁䭁䉁䕳䅁䭁䥁䙯䅁䙁䅁䅁䅁杂敬䅚权祁兂䅁允䅁䅁䅅䅁䙁䵁杕䡳潊匰䅴䍄䉁䅁䅁兂䅁䅁䅍䅄䅁䅁䅯睗䅕䅁䅯免䅕䅁䅕䅁䅁䝁噃欵䭁䑁䙉䅁䉁䅁䅁允䅁䅁䅕䬯确欰椱あ䵁䅉䅅䅁䙁䅁䅁睁䵁䅁䅁权㕃睂䅁权㥂睁䅁兂䅁䅁䅁䩙浘䅑䅯儸䅑䅁䅅䅁䉁䅁䅁兂㝂佩䅰捫穦睐杷允䅁䅁䅙䅁䑁䅁䅷䅁䭁䱁䡕䅁䭁䡁䝷䅁䭁䥁䙕䅁䙁䅁䅁䅁杂敬䅚权湂杂䅁允䅁䅁䅅䅁啁䩁歅䅁䅁䅁䅁䍄䉁䅁䅁杂䅁䅁䅍䅄䅁䅁䅯杴䅣䅁䅯睇䅑䅁䅯䅪䅕䅁䅕䅁䅁䝁噃欵䭁䑁䙉䅁䉁䅁䅁允䅁䅁䅯䅬䅕䅁杷允䅁䅁䅙䅁䑁䅁䅷䅁䭁䵁䡳䅁䭁䙁䡑䅁䭁䡁䡉䅁䙁䅁䅁䅁杂敬䅚权祁兂䅁允䅁䅁䅅䅁䙁䩁匷晷⽯硚䅆䍄䉁䅁䅁兂䅁䅁䅍䅄䅁䅁䅯儴䅣䅁䅯睕䅣䅁䅕䅁䅁䝁噃欵䭁䑁䙉䅁䉁䅁䅁允䅁䅁䅕䍂婆䅷畑啅䵁䅉䅅䅁䝁䅁䅁睁䵁䅁䅁权㕃睂䅁权扁䅂䅁权䵃兂䅁兂䅁䅁䅁䩙浘䅑䅯杍䅕䅁䅅䅁䉁䅁䅁兂歂㥏倹摪癣䅑杷允䅁䅁䅙䅁䑁䅁䅷䅁䭁䱁䡷䅁䭁䍁䌸䅁䭁䥁䙙䅁䙁䅁䅁䅁杂敬䅚权䡃兂䅁允䅁䅁䅅䅁啁䡁䩨允䅁䅁䅁䍄䉁䅁䅁兂䅁䅁䅍䅄䅁䅁䅯来䅕䅁䅯免䅕䅁䅕䅁䅁䝁噃欵䭁䑁䙉䅁䉁䅁䅁允䅁䅁䅕〰椱䙅㕧䕃䵁䅉䅅䅁䝁䅁䅁睁䵁䅁䅁权ㅃ睂䅁权䕃杂䅁权乃兂䅁兂䅁䅁䅁䩙浘䅑䅯睚䅙䅁䅅䅁䉁䅁䅁䅆煂督䅅䅁䅁䅁杷允䅁䅁䅙䅁䑁䅁䅷䅁䭁䱁䡷䅁䭁䑁䍑䅁䭁䥁䙙䅁䙁䅁䅁䅁杂敬䅚权䡃兂䅁允䅁䅁䅅䅁䭁䩁䉑䅁䵁䅉䅅䅁䝁䅁䅁睁䵁䅁䅁权㑃睂䅁权扁䅂䅁权䥃兂䅁兂䅁䅁䅁䩙浘䅑䅯杍䅕䅁䅅䅁䉁䅁䅁兂䅁䅁䅁䥁湁䅑杷允䅁䅁䅙䅁䑁䅁䅷䅁䭁䱁䡷䅁䭁䥁䘴䅁䙁䅁䅁䅁杂敬䅚权杁䅁䅁权䡃兂䅁允䅁䅁䅅䅁䙁䥁㑙琱伱ㅁ䉆䍄䉁䅁䅁兂䅁䅁䅍䅄䅁䅁䅯內䅕䅁䅯免䅕䅁䅕䅁䅁䝁噃欵䭁䑁䙉䅁䉁䅁䅁允䅁䅁䅕㘲橦免噏吲䴸䅉䅅䅁䝁䅁䅁睁䵁䅁䅁权㕃睂䅁权癁杁䅁权䝃兂䅁兂䅁䅁䅁䩙浘䅑䅯睨䅕䅁䅅䅁䉁䅁䅁䅆塄眱䅅䅁䅁䅁杷允䅁䅁䅙䅁䑁䅁䅷䅁䭁䱁䡧䅁䭁䉁䕳䅁䭁䥁䘰䅁䙁䅁䅁䅁杂敬䅚权祁兂䅁允䅁䅁䅅䅁䙁佁浫免獩䑶䅂䍄䉁䅁䅁杂䅁䅁䅍䅄䅁䅁䅯兴䅣䅁䅯兤䅙䅁䅯全䅕䅁䅕䅁䅁䝁噃欵䭁䝁䝣䅁䉁䅁䅁允䅁䉁䅑䅁䅁䅁䅁䅁䵁䅉䅅䅁䝁䅁䅁睁䵁䅁䅁权㉃睂䅁权癁杁䅁权䝃兂䅁兂䅁䅁䅁䩙浘䅑䅯睨䅕䅁䅅䅁䉁䅁䅁䅆佁杍䅁䅁䅁䅁杷允䅁䅁䅕䅁䑁䅁䅷䅁䭁佁䡑䅁䭁䙁䡍䅁䙁䅁䅁䅁杂敬䅚权祁兂䅁允䅁䅁䅅䅁䙁䙁獹䵱ぅ䅄䅴䍄䉁䅁䅁杂䅁䅁䅍䅄䅁䅁䅯兴䅣䅁䅯杣䅙䅁䅯全䅕䅁䅕䅁䅁䝁噃欵䭁䝁䝣䅁䉁䅁䅁允䅁䉁䅑硐䙁䅁䅁䅁䵁䅉䅅䅁䝁䅁䅁睁䵁䅁䅁权ㅃ睂䅁权䕃杂䅁权䙃兂䅁兂䅁䅁䅁䩙浘䅑䅯睰䅣䅁䅅䅁䉁䅁䅁䅆㕂睫䅉䅁䅁䅁杷允䅁䅁䅙䅁䑁䅁䅷䅁䭁䝁䔸䅁䭁䉁䕳䅁䭁䥁䙕䅁䙁䅁䅁䅁杂敬䅚权祁兂䅁允䅁䅁䅅䅁䙁䅁獩䙈歰祏䅬䍄䉁䅁䅁杂䅁䅁䅍䅄䅁䅁䅯睢䅑䅁䅯睇䅑䅁䅯䅪䅕䅁䅕䅁䅁䝁噃欵䭁䑁䙉䅁䉁䅁䅁允䅁䅁䅕楁䡵瑆佬ぇ䵁䅉䅅䅁䝁䅁䅁睁䵁䅁䅁权ㅃ睂䅁权䱃杂䅁权䥃兂䅁兂䅁䅁䅁䩙浘䅑䅯睚䅙䅁䅅䅁䉁䅁䅁䅆煃睁䅁䅁䅁䅁杷允䅁䅁䅕䅁䑁䅁䅷䅁䭁䱁䡕䅁䭁䝁䝳䅁䭁䥁䙕䅁䙁䅁䅁䅁杂敬䅚允䅁䅁䅅䅁䭁偁䠰䅁䵁䅉䅅䅁䝁䅁䅁睁䵁䅁䅁权ㅃ睂䅁权䩃杂䅁权䥃兂䅁兂䅁䅁䅁䩙浘䅑䅯睚䅙䅁䅅䅁䉁䅁䅁䅆啃光䅁䅁䅁䅁杷允䅁䅁䅙䅁䑁䅁䅷䅁䭁䝁䔸䅁䭁䉁䕳䅁䭁䥁䙧䅁䙁䅁䅁䅁杂敬䅚权祁兂䅁允䅁䅁䅅䅁䙁䥁堲桢䑋䍑䅨䍄䉁䅁䅁杂䅁䅁䅍䅄䅁䅁䅯克䅕䅁䅯睇䅑䅁䅯兪䅕䅁䅕䅁䅁䝁噃欵䭁䑁䙉䅁䉁䅁䅁允䅁䅁䅕⼲⭬牡ぺ歌䵁䅉䅅䅁䝁䅁䅁睁䵁䅁䅁权ㅃ睂䅁权䱃杂䅁权䙃兂䅁兂䅁䅁䅁䩙浘䅑䅯睚䅙䅁䅅䅁䉁䅁䅁䅆ㅂ兂䅁䅁䅁䅁杷允䅁䅁䅙䅁䑁䅁䅷䅁䭁䱁䡧䅁䭁䉁䕳䅁䭁䥁䙯䅁䙁䅁䅁䅁杂敬䅚权祁兂䅁允䅁䅁䅅䅁䙁佁汏㡭村䑫䅆䍄䉁䅁䅁䅂䅁䅁䅍䅄䅁䅁䅯杌䅕䅁䅯睌䅕䅁䅕䅁䅁䍁㙁欵䉁䅁䅁允䅁䅁䅕奦湏啒祃啴䵁䅉䅅䅁䝁䅁䅁睁䵁䅁䅁权療䅂䅁权ぁ杁䅁权䝃兂䅁兂䅁䅁䅁䩙浘䅑䅯睨䅕䅁䅅䅁䉁䅁䅁䅆慂睅䅁䅁䅁䅁杷允䅁䅁䅙䅁䑁䅁䅷䅁䭁䱁䡷䅁䭁䉁䕳䅁䭁䥁䙷䅁䙁䅁䅁䅁杂敬䅚权祁兂䅁允䅁䅁䅅䅁䙁䕁椵䙅㕧䑎䅂䍄䉁䅁䅁兂䅁䅁䅍䅄䅁䅁䅯兴䅣䅁䅯睡䅙䅁䅯䅪䅕䅁䅕䅁䅁䝁噃欵䉁䅁䅁允䅁䅁䅯兣䅙䅁杷允䅁䅁䅕䅁䑁䅁䅷䅁䭁䱁䡙䅁䭁䡁䐰䅁䙁䅁䅁䅁杂敬䅚权硄䅂䅁允䅁䅁䅅䅁䙁偁剖煤睚睴䅆䍄䉁䅁䅁兂䅁䅁䅍䅄䅁䅁䅯䅵䅣䅁䅯兦䅍䅁䅕䅁䅁䝁噃欵䭁偁䕅䅁䉁䅁䅁允䅁䅁䅕奺䕦牰歮稸䴸䅉䅅䅁䝁䅁䅁睁䵁䅁䅁权㉃睂䅁权扁䅂䅁权䙃兂䅁兂䅁䅁䅁䩙浘䅑䅯杍䅕䅁䅅䅁䉁䅁䅁兂坃㑑獴稵畳䅑杷允䅁䅁䅕䅁䑁䅁䅷䅁䭁乁䡉䅁䭁䙁䡍䅁䙁䅁䅁䅁杂敬䅚权祁兂䅁允䅁䅁䅅䅁䙁䵁䙡祁婆䉯䅆䍄䉁䅁䅁杂䅁䅁䅍䅄䅁䅁䅯杴䅣䅁䅯睇䅑䅁䅯䅩䅕䅁䅕䅁䅁䝁噃欵䭁䑁䙉䅁䉁䅁䅁允䅁䅁䅕体㙆䭆䠶歋䵁䅉䅅䅁䝁䅁䅁睁䵁䅁䅁权ㅃ睂䅁权䡃杂䅁权䵃兂䅁兂䅁䅁䅁䩙浘䅑䅯睚䅙䅁䅅䅁䉁䅁䅁䅆⽂䅆䅁䅁䅁䅁杷允䅁䅁䅙䅁䑁䅁䅷䅁䭁䍁䙫䅁䭁䉁䕳䅁䭁䥁䙧䅁䙁䅁䅁䅁杂敬䅚权祁兂䅁允䅁䅁䅅䅁䙁䅁琴灳瘳穸䅎䍄䉁䅁䅁兂䅁䅁䅍䅄䅁䅁䅯兴䅣䅁䅯睧䅙䅁䅯全䅕䅁䅕䅁䅁䝁噃欵䉁䅁䅁允䅁䅁䅣䅁䅁䝁偃欵䵁䅉䅅䅁䝁䅁䅁睁䵁䅁䅁权ㅃ睂䅁权䕃杂䅁权䥃兂䅁兂䅁䅁䅁䩙浘䅑䅯睰䅣䅁䅅䅁䉁䅁䅁䅆楃睊䅉䅁䅁䅁杷允䅁䅁䅕䅁䑁䅁䅷䅁䭁䕁䙯䅁䭁䑁䙅䅁䙁䅁䅁䅁杂敬䅚权祁兂䅁允䅁䅁䅅䅁䭁䩁䉑䅁䵁䅉䅅䅁䝁䅁䅁睁䵁䅁䅁权㑃睂䅁权扁䅂䅁权䙃兂䅁兂䅁䅁䅁䩙浘䅑䅯杍䅕䅁䅅䅁䉁䅁䅁兂⭃确癯愳㥑䅑杷允䅁䅁䅙䅁䑁䅁䅷䅁䭁䱁䡕䅁䭁䍁䌸䅁䭁䥁䙙䅁䙁䅁䅁䅁杂敬䅚权䡃兂䅁允䅁䅁䅅䅁啁䍁㌳允䅁䅁䅁䍄䉁䅁䅁兂䅁䅁䅍䅄䅁䅁䅯兴䅣䅁䅯杪䅕䅁䅕䅁䅁䝁噃欵䭁䥁䙣䅁䉁䅁䅁允䅁䅁䅕牦湂㑙㉙こ䵅䅉䅅䅁䝁䅁䅁睁䵁䅁䅁权ㅃ睂䅁权扁䅂䅁权䵃兂䅁兂䅁䅁䅁䩙浘䅑䅯杍䅕䅁䅅䅁䉁䅁䅁兂ぃ䡹⭡⽮祯䅑杷允䅁䅁䅙䅁䑁䅁䅷䅁䭁䱁䡕䅁䭁䑁䍑䅁䭁䥁䙙䅁䙁䅁䅁䅁杂敬䅚权䡃兂䅁允䅁䅁䅅䅁䭁䩁䉑䅁䵁䅉䅅䅁䝁䅁䅁睁䵁䅁䅁权ㅃ睂䅁权煂杂䅁权䵃兂䅁兂䅁䅁䅁䩙浘䅑䅯睚䅙䅁䅅䅁䉁䅁䅁䅆䱄兗䅅䅁䅁䅁杷允䅁䅁䅙䅁䑁䅁䅷䅁䭁䱁䡕䅁䭁䥁䝫䅁䭁䥁䙯䅁䙁䅁䅁䅁杂敬䅚权湂杂䅁允䅁䅁䅅䅁啁䍁填䅁䅁䅁䅁䍄䉁䅁䅁䅂䅁䅁䅍䅄䅁䅁䅯杌䅕䅁䅯睌䅕䅁䅕䅁䅁䵁敄唵䉁䅁䅁允䅁䅁䅕㥌浙儵祭䕳䵁䅉䅅䅁䕁䅁䅁睁䵁䅁䅁权畁兂䅁权癁兂䅁兂䅁䅁䅁䥧汐䅑䅅䅁䉁䅁䅁兂流卹瑂圯煵䅑杷允䅁䅁䅙䅁䑁䅁䅷䅁䭁䱁䡕䅁䭁䩁䝁䅁䭁䥁䙕䅁䙁䅁䅁䅁杂敬䅚权祁兂䅁允䅁䅁䅅䅁䭁䕁䕧䅁䵁䅉䅅䅁䙁䅁䅁睁䵁䅁䅁权㙁兂䅁权硁兂䅁兂䅁䅁䅁䩙浘䅑䅯杍䅕䅁䅅䅁䉁䅁䅁兂㥂穐敖歵䥫䅑杷允䅁䅁䅙䅁䑁䅁䅷䅁䭁䱁䡕䅁䭁䡁䝳䅁䭁䥁䙯䅁䙁䅁䅁䅁杂敬䅚权湂杂䅁允䅁䅁䅅䅁啁䅁䅁䅁䅁䅁䅁䍄䉁䅁䅁兂䅁䅁䅍䅄䅁䅁䅯䅔䅕䅁䅯免䅕䅁䅕䅁䅁䝁噃欵䭁䑁䙉䅁䉁䅁䅁允䅁䅁䅕桙奂扏䥒啅䵁䅉䅅䅁䙁䅁䅁睁䵁䅁䅁权ㅂ兂䅁权硁兂䅁兂䅁䅁䅁䩙浘䅑䅯杍䅕䅁䅅䅁䉁䅁䅁兂晁敨剴䩵琴䅑杷允䅁䅁䅙䅁䑁䅁䅷䅁䭁䱁䡕䅁䭁䥁䜰䅁䭁䥁䙷䅁䙁䅁䅁䅁杂敬䅚权湂杂䅁允䅁䅁䅅䅁啁䩁祩允䅁䅁䅁䍄䉁䅁䅁杂䅁䅁䅍䅄䅁䅁䅯兴䅣䅁䅯兤䅙䅁䅯杩䅕䅁䅕䅁䅁䝁噃欵䭁䝁䝣䅁䉁䅁䅁允䅁䉁䅑䅁䅁䅁䅁䅁䵁䅉䅅䅁䙁䅁䅁睁䵁䅁䅁权卂兂䅁权硁兂䅁兂䅁䅁䅁䩙浘䅑䅯杍䅕䅁䅅䅁䉁䅁䅁兂塁挲㌷⭕䥍䅑杷允䅁䅁䅙䅁䑁䅁䅷䅁䭁䱁䡕䅁䭁䡁䝫䅁䭁䥁䙕䅁䙁䅁䅁䅁杂敬䅚权湂杂䅁允䅁䅁䅅䅁啁䑁伯⼯⼯⼯⼯䍄䉁䅁䅁兂䅁䅁䅍䅄䅁䅁䅯兓䅕䅁䅯免䅕䅁䅕䅁䅁䝁噃欵䭁䑁䙉䅁䉁䅁䅁允䅁䅁䅕䙅㕧䵴㉨あ䵁䅉䅅䅁䙁䅁䅁睁䵁䅁䅁权⽁兂䅁权硁兂䅁兂䅁䅁䅁䩙浘䅑䅯杍䅕䅁䅅䅁䉁䅁䅁兂橄婰䕶䱉䡁䅑杷允䅁䅁䅕䅁䑁䅁䅷䅁䭁䕁䙉䅁䭁䑁䙅䅁䙁䅁䅁䅁杂敬䅚权祁兂䅁允䅁䅁䅅䅁䙁䝁㡱䩤奍䅂䅴䍄䉁䅁䅁杂䅁䅁䅍䅄䅁䅁䅯眶䅣䅁䅯䅖䅣䅁䅯杣䅣䅁䅕䅁䅁䝁噃欵䭁䑁䙉䅁䉁䅁䅁允䅁䅁䅕穋㝖䉯奘歆䵁䅉䅅䅁䝁䅁䅁睁䵁䅁䅁权ㅃ睂䅁权䍃睁䅁权灂杂䅁兂䅁䅁䅁䩙浘䅑䅯睚䅙䅁䅅䅁䉁䅁䅁䅆祂⽲⼯⼯⼯眯杷允䅁䅁䅙䅁䑁䅁䅷䅁䭁䱁䡕䅁䭁䥁䑑䅁䭁䥁䙯䅁䙁䅁䅁䅁杂敬䅚权湂杂䅁允䅁䅁䅅䅁啁䅁䅁䅁䅁䅁䅁䍄䉁䅁䅁兂䅁䅁䅍䅄䅁䅁䅯睓䅕䅁䅯免䅕䅁䅕䅁䅁䝁噃欵䭁䑁䙉䅁䉁䅁䅁允䅁䅁䅕瑃橥䑣䬰ぉ䵁䅉䅅䅁䙁䅁䅁睁䵁䅁䅁权桂兂䅁权硁兂䅁兂䅁䅁䅁䩙浘䅑䅯杍䅕䅁䅅䅁䉁䅁䅁兂䙄䱉祂䩡充䅑杷允䅁䅁䅕䅁䑁䅁䅷䅁䭁䕁䙅䅁䭁䑁䙅䅁䙁䅁䅁䅁杂敬䅚权祁兂䅁允䅁䅁䅅䅁䙁乁倹婪畤桫䅎䍄䉁䅁䅁杂䅁䅁䅍䅄䅁䅁䅯兴䅣䅁䅯䅦䅙䅁䅯䅩䅕䅁䅕䅁䅁䝁噃欵䭁䝁䝣䅁䉁䅁䅁允䅁䉁䅑桐䅕䅁䅁䅁䵁䅉䅅䅁䝁䅁䅁睁䵁䅁䅁权ㅃ睂䅁权䥃杂䅁权䭃兂䅁兂䅁䅁䅁䩙浘䅑䅯睚䅙䅁䅅䅁䉁䅁䅁䅆㉄睢䅉䅁䅁䅁杷允䅁䅁䅕䅁䑁䅁䅷䅁䭁䱁䡕䅁䭁䝁䝳䅁䭁䥁䙯䅁䙁䅁䅁䅁杂敬䅚允䅁䅁䅅䅁䭁䥁䜴䅁䵁䅉䅅䅁䙁䅁䅁睁䵁䅁䅁权橂兂䅁权硁兂䅁兂䅁䅁䅁䩙浘䅑䅯杍䅕䅁䅅䅁䉁䅁䅁兂浂浚浚畚扙䅑杷允䅁䅁䅙䅁䑁䅁䅷䅁䭁䱁䡕䅁䭁䝁䝯䅁䭁䥁䙧䅁䙁䅁䅁䅁杂敬䅚权湂杂䅁允䅁䅁䅅䅁啁䉁㉄允䅁䅁䅁䍄䉁䅁䅁兂䅁䅁䅍䅄䅁䅁䅯兔䅕䅁䅯免䅕䅁䅕䅁䅁䝁噃欵䭁䑁䙉䅁䉁䅁䅁允䅁䅁䅕硥畓⭒㙆䕃䵁䅉䅅䅁䝁䅁䅁睁䵁䅁䅁权ㅃ睂䅁权祂杂䅁权乃兂䅁兂䅁䅁䅁䩙浘䅑䅯睚䅙䅁䅅䅁䉁䅁䅁䅆⭂杂䅍䅁䅁䅁杷允䅁䅁䅙䅁䑁䅁䅷䅁䭁䱁䡕䅁䭁䡁䝉䅁䭁䥁䙷䅁䙁䅁䅁䅁杂敬䅚权湂杂䅁允䅁䅁䅅䅁啁䵁㝳睁䅁䅁䅁䍄䉁䅁䅁兂䅁䅁䅍䅄䅁䅁䅯兕䅕䅁䅯免䅕䅁䅕䅁䅁䝁噃欵䭁䑁䙉䅁䉁䅁䅁允䅁䅁䅕䝌婕水塩啄䵁䅉䅅䅁䝁䅁䅁睁䵁䅁䅁权ㅃ睂䅁权祂杂䅁权䭃兂䅁兂䅁䅁䅁䩙浘䅑䅯睚䅙䅁䅅䅁䉁䅁䅁䅆䍃其䅍䅁䅁䅁杷允䅁䅁䅙䅁䑁䅁䅷䅁䭁䱁䡕䅁䭁䡁䝉䅁䭁䥁䙧䅁䙁䅁䅁䅁杂敬䅚权湂杂䅁允䅁䅁䅅䅁啁䡁䵸䅂䅁䅁䅁䍄䉁䅁䅁兂䅁䅁䅍䅄䅁䅁䅯杖䅕䅁䅯免䅕䅁䅕䅁䅁䝁噃欵䭁䑁䙉䅁䉁䅁䅁允䅁䅁䅕瑃橥䑣䬰稯䴸䅉䅅䅁䝁䅁䅁睁䵁䅁䅁权ㅃ睂䅁权穂杂䅁权乃兂䅁兂䅁䅁䅁䩙浘䅑䅯睚䅙䅁䅅䅁䉁䅁䅁䅆㙃䄹䅁䅁䅁䅁杷允䅁䅁䅕䅁䑁䅁䅷䅁䭁䝁䙉䅁䭁䑁䙅䅁䙁䅁䅁䅁杂敬䅚权祁兂䅁允䅁䅁䅅䅁䙁䡁啳歲桦椫䅨䍄䉁䅁䅁兂䅁䅁䅍䅄䅁䅁䅯䅢䅕䅁䅯免䅕䅁䅕䅁䅁䝁噃欵䭁䑁䙉䅁䉁䅁䅁允䅁䅁䅕敢㝦晱午䕃䵁䅉䅅䅁䝁䅁䅁睁䵁䅁䅁权ㅃ睂䅁权㉂杂䅁权䵃兂䅁兂䅁䅁䅁䩙浘䅑䅯睚䅙䅁䅅䅁䉁䅁䅁䅆䅁䅁䅁䅁䅁䅁杷允䅁䅁䅙䅁䑁䅁䅷䅁䭁䱁䡕䅁䭁䡁䝑䅁䭁䥁䙧䅁䙁䅁䅁䅁杂敬䅚权湂杂䅁允䅁䅁䅅䅁啁䅁㕒杁䅁䅁䅁䍄䉁䅁䅁兂䅁䅁䅍䅄䅁䅁䅯杢䅕䅁䅯免䅕䅁䅕䅁䅁䝁噃欵䭁䑁䙉䅁䉁䅁䅁允䅁䅁䅕積積積積啂䵁䅉䅅䅁䝁䅁䅁睁䵁䅁䅁权ㅃ睂䅁权あ杂䅁权䙃兂䅁兂䅁䅁䅁䩙浘䅑䅯睚䅙䅁䅅䅁䉁䅁䅁䅆ㅄ充䅍䅁䅁䅁杷允䅁䅁䅙䅁䑁䅁䅷䅁䭁䱁䡕䅁䭁䡁䜰䅁䭁䥁䙷䅁䙁䅁䅁䅁杂敬䅚权湂杂䅁允䅁䅁䅅䅁啁䑁㑈⼯⼯⼯⼯䍄䉁䅁䅁杂䅁䅁䅍䅄䅁䅁䅯兴䅣䅁䅯杚䅙䅁䅯兡䅙䅁䅕䅁䅁䝁噃欵䭁䝁䝣䅁䉁䅁䅁允䅁䉁䅑䑳䉳䅁䅁䅁䵁䅉䅅䅁䝁䅁䅁睁䵁䅁䅁权ㅃ睂䅁权㉂杂䅁权灂杂䅁兂䅁䅁䅁䩙浘䅑䅯睚䅙䅁䅅䅁䉁䅁䅁䅆䅁䅁䅁䅁䅁䅁杷允䅁䅁䅙䅁䑁䅁䅷䅁䭁䱁䡕䅁䭁䡁䝯䅁䭁䥁䙯䅁䙁䅁䅁䅁杂敬䅚权湂杂䅁允䅁䅁䅅䅁啁䅁䙑䅁䅁䅁䅁䍄䉁䅁䅁杂䅁䅁䅍䅄䅁䅁䅯兴䅣䅁䅯条䅙䅁䅯兡䅙䅁䅕䅁䅁䝁噃欵䭁䝁䝣䅁䉁䅁䅁允䅁䉁䅑䉈䉅䅁䅁䅁䵁䅉䅅䅁䝁䅁䅁睁䵁䅁䅁权ㅃ睂䅁权煂杂䅁权乃兂䅁兂䅁䅁䅁䩙浘䅑䅯睚䅙䅁䅅䅁䉁䅁䅁䅆㍃兒䅅䅁䅁䅁杷允䅁䅁䅙䅁䑁䅁䅷䅁䭁䱁䡕䅁䭁䡁䝣䅁䭁䥁䘰䅁䙁䅁䅁䅁杂敬䅚权湂杂䅁允䅁䅁䅅䅁啁䱁䍧䅁䅁䅁䅁䍄䉁䅁䅁杂䅁䅁䅍䅄䅁䅁䅯兴䅣䅁䅯条䅙䅁䅯杩䅕䅁䅕䅁䅁䝁噃欵䭁䝁䝣䅁䉁䅁䅁允䅁䉁䅑慥䉳䅁䅁䅁䵁䅉䅅䅁䝁䅁䅁睁䵁䅁䅁权ㅃ睂䅁权⭂睁䅁权䥃兂䅁兂䅁䅁䅁䩙浘䅑䅯睚䅙䅁䅅䅁䉁䅁䅁䅆啃兆䅁䅁䅁䅁杷允䅁䅁䅙䅁䑁䅁䅷䅁䭁䱁䡕䅁䭁䡁䐴䅁䭁䥁䙕䅁䙁䅁䅁䅁杂敬䅚权湂杂䅁允䅁䅁䅅䅁啁䑁执䅁䅁䅁䅁䍄䉁䅁䅁杂䅁䅁䅍䅄䅁䅁䅯兴䅣䅁䅯䅨䅍䅁䅯全䅕䅁䅕䅁䅁䝁噃欵䭁䝁䝣䅁䉁䅁䅁允䅁䉁䅑䅁䅁䅁䅁䅁䵁䅉䅅䅁䝁䅁䅁睁䵁䅁䅁权ㅃ睂䅁权䕃睁䅁权䵃兂䅁兂䅁䅁䅁䩙浘䅑䅯睚䅙䅁䅅䅁䉁䅁䅁䅆䅁䅁䅁䅁䅁䅁杷允䅁䅁䅙䅁䑁䅁䅷䅁䭁䱁䡕䅁䭁䥁䑑䅁䭁䝁䝫䅁䙁䅁䅁䅁杂敬䅚权湂杂䅁允䅁䅁䅅䅁啁䅁䅁䅁䅁䅁䅁䍄䉁䅁䅁兂䅁䅁䅍䅄䅁䅁䅯䅓䅕䅁䅯免䅕䅁䅕䅁䅁䝁噃欵䭁䑁䙉䅁䉁䅁䅁允䅁䅁䅕䵱䱚㑎䉬啄䵁䅉䅅䅁䝁䅁䅁睁䵁䅁䅁权ㅃ睂䅁权䕃睁䅁权乃兂䅁兂䅁䅁䅁䩙浘䅑䅯睚䅙䅁䅅䅁䉁䅁䅁䅆䅁䅁䅁䅁䅁䅁杷允䅁䅁䅙䅁䑁䅁䅷䅁䭁䱁䡕䅁䭁䥁䑉䅁䭁䥁䙷䅁䙁䅁䅁䅁杂敬䅚权湂杂䅁允䅁䅁䅅䅁啁䑁南⼯⼯⼯⼯䍄䉁䅁䅁兂䅁䅁䅍䅄䅁䅁䅯兣䅕䅁䅯免䅕䅁䅕䅁䅁䝁噃欵䭁䑁䙉䅁䉁䅁䅁允䅁䅁䅕硥畓⭒慈啑䵁䅉䅅䅁䙁䅁䅁睁䵁䅁䅁权捂兂䅁权硁兂䅁兂䅁䅁䅁䩙浘䅑䅯杍䅕䅁䅅䅁䉁䅁䅁兂硁䭃捷浗剑䅑杷允䅁䅁䅙䅁䑁䅁䅷䅁䭁䱁䡕䅁䭁䥁䑉䅁䭁䥁䙕䅁䙁䅁䅁䅁杂敬䅚权湃睂䅁允䅁䅁䅅䅁啁䉁㝑瘯⼯⼯⼯䍄䉁䅁䅁杂䅁䅁䅍䅄䅁䅁䅯兴䅣䅁䅯入䅙䅁䅯䅪䅕䅁䅕䅁䅁䝁噃欵䭁䝁䝣䅁䉁䅁䅁允䅁䉁䅑晃⽄⼯⼯⼯䴸䅉䅅䅁䙁䅁䅁睁䵁䅁䅁权杄睂䅁权呂睂䅁兂䅁䅁䅁䩙浘䅑䅯杍䅕䅁䅅䅁䉁䅁䅁兂㍁䥖空㉎噅䅑杷允䅁䅁䅙䅁䑁䅁䅷䅁䭁䱁䡕䅁䭁䡁䜰䅁䭁䥁䙯䅁䙁䅁䅁䅁杂敬䅚权湂杂䅁允䅁䅁䅅䅁啁乁〯⼯⼯⼯⼯䍄䉁䅁䅁兂䅁䅁䅍䅄䅁䅁䅯䅡䅕䅁䅯免䅕䅁䅕䅁䅁䝁噃欵䭁䑁䙉䅁䉁䅁䅁允䅁䅁䅕噋偹癷潕䕈䵁䅉䅅䅁䝁䅁䅁睁䵁䅁䅁权ㅃ睂䅁权㙂杂䅁权䥃兂䅁兂䅁䅁䅁䩙浘䅑䅯睚䅙䅁䅅䅁䉁䅁䅁䅆ㅁ允䅁䅁䅁䅁杷允䅁䅁䅙䅁䑁䅁䅷䅁䭁䱁䡕䅁䭁䡁䝣䅁䭁䥁䙧䅁䙁䅁䅁䅁杂敬䅚权湂杂䅁允䅁䅁䅅䅁啁乁⽲⼯⼯⼯⼯䍄䉁䅁䅁杂䅁䅁䅍䅄䅁䅁䅯兴䅣䅁䅯兦䅙䅁䅯䅩䅕䅁䅕䅁䅁䝁噃欵䭁䝁䝣䅁䉁䅁䅁允䅁䉁䅑昶⽶⼯⼯⼯䴸䅉䅅䅁䝁䅁䅁睁䵁䅁䅁权ㅃ睂䅁权㑂杂䅁权䙃兂䅁兂䅁䅁䅁䩙浘䅑䅯睚䅙䅁䅅䅁䉁䅁䅁䅆啃䅆䅁䅁䅁䅁杷允䅁䅁䅙䅁䑁䅁䅷䅁䭁䱁䡕䅁䭁䡁䝳䅁䭁䥁䙕䅁䙁䅁䅁䅁杂敬䅚权湂杂䅁允䅁䅁䅅䅁啁䅁䅁䅁䅁䅁䅁䍄䉁䅁䅁兂䅁䅁䅍䅄䅁䅁䅯材䅕䅁䅯免䅕䅁䅕䅁䅁䝁噃欵䭁䑁䙉䅁䉁䅁䅁允䅁䅁䅯䅬䅅䅁杷允䅁䅁䅕䅁䑁䅁䅷䅁䭁䕁䘸䅁䭁䑁䙅䅁䙁䅁䅁䅁杂敬䅚权祁兂䅁允䅁䅁䅅䅁䙁䕁䵯楁䡵杆䅨䍄䉁䅁䅁杂䅁䅁䅍䅄䅁䅁䅯䄷䅣䅁䅯䅖䅣䅁䅯杣䅣䅁䅕䅁䅁䝁噃欵䭁䑁䙉䅁䉁䅁䅁允䅁䅁䅕兒洲晙䥪う䵁䅉䅅䅁䙁䅁䅁睁䵁䅁䅁权療兂䅁权硁兂䅁兂䅁䅁䅁䩙浘䅑䅯杍䅕䅁䅅䅁䉁䅁䅁兂㑃潈牘払䩧䅑杷允䅁䅁䅕䅁䑁䅁䅷䅁䭁䙁䘸䅁䭁䑁䙅䅁䙁䅁䅁䅁杂敬䅚权祁兂䅁允䅁䅁䅅䅁䙁䉁婦発呤眴䅰䍄䉁䅁䅁杂䅁䅁䅍䅄䅁䅁䅯兴䅣䅁䅯睦䅙䅁䅯杨䅕䅁䅕䅁䅁䝁噃欵䭁䝁䝣䅁䉁䅁䅁允䅁䉁䅑ㅸ䅅䅁䅁䅁䵁䅉䅅䅁䙁䅁䅁睁䵁䅁䅁权灂兂䅁权硁兂䅁兂䅁䅁䅁䩙浘䅑䅯杍䅕䅁䅅䅁䉁䅁䅁兂㙃兓䍷睋兣䅑杷允䅁䅁䅕䅁䑁䅁䅷䅁䭁䡁䙷䅁䭁䑁䙅䅁䙁䅁䅁䅁杂敬䅚权祁兂䅁允䅁䅁䅅䅁䙁䭁唫奚橨兘䅤䍄䉁䅁䅁兂䅁䅁䅍䅄䅁䅁䅯兦䅕䅁䅯免䅕䅁䅕䅁䅁䝁噃欵䭁䑁䙉䅁䉁䅁䅁允䅁䅁䅕䘷㑇潈牘啄䵁䅉䅅䅁䙁䅁䅁睁䵁䅁䅁权⭂兂䅁权硁兂䅁兂䅁䅁䅁䩙浘䅑䅯杍䅕䅁䅅䅁䉁䅁䅁兂楃扒穢嘯楑䅑杷允䅁䅁䅕䅁䑁䅁䅷䅁䭁䑁䙷䅁䭁䑁䙅䅁䙁䅁䅁䅁杂敬䅚权祁兂䅁允䅁䅁䅅䅁䙁乁㑖匶硙䉩䅆䍄䉁䅁䅁兂䅁䅁䅍䅄䅁䅁䅯睦䅕䅁䅯免䅕䅁䅕䅁䅁䝁噃欵䭁䑁䙉䅁䉁䅁䅁允䅁䅁䅕䅁䅁䅁䅂啈䵁䅉䅅䅁䙁䅁䅁睁䵁䅁䅁权䅃兂䅁权硁兂䅁兂䅁䅁䅁䩙浘䅑䅯杍䅕䅁䅅䅁䉁䅁䅁兂㥁瑃橥䑣䌰䅑杷允䅁䅁䅕䅁䑁䅁䅷䅁䭁䥁䙍䅁䭁䑁䙅䅁䙁䅁䅁䅁杂敬䅚权祁兂䅁允䅁䅁䅅䅁䙁䍁礲敮渫桒䅊䍄䉁䅁䅁杂䅁䅁䅍䅄䅁䅁䅯兴䅣䅁䅯全䅙䅁䅯兡䅙䅁䅕䅁䅁䝁噃欵䭁䝁䝣䅁䉁䅁䅁允䅁䉁䅑㕭䅑䅁䅁䅁䵁䅉䅅䅁䝁䅁䅁睁䵁䅁䅁权ㅃ睂䅁权䱃杂䅁权䵃兂䅁兂䅁䅁䅁䩙浘䅑䅯睚䅙䅁䅅䅁䉁䅁䅁䅆䕄元䅁䅁䅁䅁杷允䅁䅁䅙䅁䑁䅁䅷䅁䭁䱁䡕䅁䭁䥁䝕䅁䭁䥁䘰䅁䙁䅁䅁䅁杂敬䅚权湂杂䅁允䅁䅁䅅䅁啁䱁䕮䅁䅁䅁䅁䍄䉁䅁䅁杂䅁䅁䅍䅄䅁䅁䅯兴䅣䅁䅯睩䅙䅁䅯杩䅕䅁䅕䅁䅁䝁噃欵䭁䝁䝣䅁䉁䅁䅁允䅁䉁䅑朳䅑䅁䅁䅁䵁䅉䅅䅁䝁䅁䅁睁䵁䅁䅁权ㅃ睂䅁权䵃杂䅁权灂杂䅁兂䅁䅁䅁䩙浘䅑䅯睚䅙䅁䅅䅁䉁䅁䅁䅆䩂睊䅁䅁䅁䅁杷允䅁䅁䅙䅁䑁䅁䅷䅁䭁䱁䡕䅁䭁䥁䝧䅁䭁䝁䝫䅁䙁䅁䅁䅁杂敬䅚权湂杂䅁允䅁䅁䅅䅁啁䙁兢杁䅁䅁䅁䍄䉁䅁䅁杂䅁䅁䅍䅄䅁䅁䅯兴䅣䅁䅯兪䅙䅁䅯兡䅙䅁䅕䅁䅁䝁噃欵䭁䝁䝣䅁䉁䅁䅁允䅁䉁䅑倰䉷䅁䅁䅁䵁䅉䅅䅁䝁䅁䅁睁䵁䅁䅁权ㅃ睂䅁权䥃杂䅁权乃兂䅁兂䅁䅁䅁䩙浘䅑䅯睚䅙䅁䅅䅁䉁䅁䅁䅆啄杬䅉䅁䅁䅁杷允䅁䅁䅙䅁䑁䅁䅷䅁䭁䱁䡕䅁䭁䥁䜰䅁䭁䥁䘰䅁䙁䅁䅁䅁杂敬䅚权湂杂䅁允䅁䅁䅅䅁啁䍁娲允䅁䅁䅁䍄䉁䅁䅁杂䅁䅁䅍䅄䅁䅁䅯兴䅣䅁䅯䅩䅙䅁䅯䅪䅕䅁䅕䅁䅁䝁噃欵䭁䝁䝣䅁䉁䅁䅁允䅁䉁䅑捷䌸䅁䅁䅁䵁䅉䅅䅁䝁䅁䅁睁䵁䅁䅁权ㅃ睂䅁权乃杂䅁权䭃兂䅁兂䅁䅁䅁䩙浘䅑䅯睚䅙䅁䅅䅁䉁䅁䅁䅆䱁睊䅅䅁䅁䅁杷允䅁䅁䅙䅁䑁䅁䅷䅁䭁䱁䡕䅁䭁䥁䝧䅁䭁䥁䙧䅁䙁䅁䅁䅁杂敬䅚权湂杂䅁允䅁䅁䅅䅁啁䩁煶杁䅁䅁䅁䍄䉁䅁䅁杂䅁䅁䅍䅄䅁䅁䅯兴䅣䅁䅯杨䅙䅁䅯兡䅙䅁䅕䅁䅁䝁噃欵䭁䝁䝣䅁䉁䅁䅁允䅁䉁䅑穏䅳䅁䅁䅁䵁䅉䅅䅁䝁䅁䅁睁䵁䅁䅁权ㅃ睂䅁权䥃杂䅁权䙃兂䅁兂䅁䅁䅁䩙浘䅑䅯睚䅙䅁䅅䅁䉁䅁䅁䅆敂睋䅍䅁䅁䅁杷允䅁䅁䅙䅁䑁䅁䅷䅁䭁䱁䡕䅁䭁䥁䝙䅁䭁䥁䙷䅁䙁䅁䅁䅁杂敬䅚权湂杂䅁允䅁䅁䅅䅁啁䭁䜹䅁䅁䅁䅁䍄䉁䅁䅁杂䅁䅁䅍䅄䅁䅁䅯兴䅣䅁䅯杨䅙䅁䅯杩䅕䅁䅕䅁䅁䝁噃欵䭁䝁䝣䅁䉁䅁䅁允䅁䉁䅑䘷䅕䅁䅁䅁䵁䅉䅅䅁䝁䅁䅁睁䵁䅁䅁权ㅃ睂䅁权䝃杂䅁权䥃兂䅁兂䅁䅁䅁䩙浘䅑䅯睚䅙䅁䅅䅁䉁䅁䅁䅆䵂䅢䅁䅁䅁䅁杷允䅁䅁䅙䅁䑁䅁䅷䅁䭁䱁䡕䅁䭁䥁䝙䅁䭁䥁䙕䅁䙁䅁䅁䅁杂敬䅚权湂杂䅁允䅁䅁䅅䅁啁䱁汃䅁䅁䅁䅁䍄䉁䅁䅁䅃䅁䅁䅍䅄䅁䅁䅯兴䅣䅁䅯䅳䅣䅁䅯全䅕䅁䅕䅁䅁䝁噃欵䭁䭁䡯䅁䭁䩁䉑䅁䙁䅁䅁䅁䅁䅁䅁允䅁䅁䅅䅁䙁䩁䕺䱉祂䕥䅆䍄䉁䅁䅁杂䅁䅁䅍䅄䅁䅁䅯兴䅣䅁䅯䅪䅙䅁䅯杩䅕䅁䅕䅁䅁䝁噃欵䭁䝁䝣䅁䉁䅁䅁允䅁䉁䅑䑆䅅䅁䅁䅁䵁䅉䅅䅁䝁䅁䅁睁䵁䅁䅁权ㅃ睂䅁权䵃杂䅁权䥃兂䅁兂䅁䅁䅁䩙浘䅑䅯睚䅙䅁䅅䅁䉁䅁䅁䅆乃兎䅁䅁䅁䅁杷允䅁䅁䅙䅁䑁䅁䅷䅁䭁䱁䡕䅁䭁䥁䝷䅁䭁䥁䙕䅁䙁䅁䅁䅁杂敬䅚权湂杂䅁允䅁䅁䅅䅁啁䝁㙅䅁䅁䅁䅁䍄䉁䅁䅁杂䅁䅁䅍䅄䅁䅁䅯兴䅣䅁䅯䅨䅙䅁䅯兡䅙䅁䅕䅁䅁䝁噃欵䭁䝁䝣䅁䉁䅁䅁允䅁䉁䅑噕䉯䅁䅁䅁䵁䅉䅅䅁䝁䅁䅁睁䵁䅁䅁权ㅃ睂䅁权䡃杂䅁权灂杂䅁兂䅁䅁䅁䩙浘䅑䅯睚䅙䅁䅅䅁䉁䅁䅁䅆䥃睈䅁䅁䅁䅁杷允䅁䅁䅙䅁䑁䅁䅷䅁䭁䱁䡕䅁䭁䥁䝣䅁䭁䥁䘰䅁䙁䅁䅁䅁杂敬䅚权湂杂䅁允䅁䅁䅅䅁啁䱁䬰䅁䅁䅁䅁䍄䉁䅁䅁杂䅁䅁䅍䅄䅁䅁䅯兴䅣䅁䅯䅨䅙䅁䅯杩䅕䅁䅕䅁䅁䝁噃欵䭁䝁䝣䅁䉁䅁䅁允䅁䉁䅑畚䉫䅁䅁䅁䵁䅉䅅䅁䝁䅁䅁睁䵁䅁䅁权ㅃ睂䅁权䭃杂䅁权䵃兂䅁兂䅁䅁䅁䩙浘䅑䅯睚䅙䅁䅅䅁䉁䅁䅁䅆䅁䅁䅁䅁䅁䅁杷允䅁䅁䅙䅁䑁䅁䅷䅁䭁䱁䡕䅁䭁䥁䝯䅁䭁䥁䙯䅁䙁䅁䅁䅁杂敬䅚权湂杂䅁允䅁䅁䅅䅁啁䍁慕䅁䅁䅁䅁䍄䉁䅁䅁杂䅁䅁䅍䅄䅁䅁䅯兴䅣䅁䅯睨䅙䅁䅯杩䅕䅁䅕䅁䅁䝁噃欵䭁䝁䝣䅁䉁䅁䅁允䅁䉁䅑兹䅧䅁䅁䅁䵁䅉䅅䅁䝁䅁䅁睁䵁䅁䅁权ㅃ睂䅁权䕃杂䅁权䥃兂䅁兂䅁䅁䅁䩙浘䅑䅯睚䅙䅁䅅䅁䉁䅁䅁䅆楃睊䅉䅁䅁䅁杷允䅁䅁䅙䅁䑁䅁䅷䅁䭁䱁䡕䅁䭁䥁䝣䅁䭁䥁䙧䅁䙁䅁䅁䅁杂敬䅚权湂杂䅁允䅁䅁䅅䅁啁䱁䱣䅁䅁䅁䅁䍄䉁䅁䅁杂䅁䅁䅍䅄䅁䅁䅯兴䅣䅁䅯睨䅙䅁䅯全䅕䅁䅕䅁䅁䝁噃欵䭁䝁䝣䅁䉁䅁䅁允䅁䉁䅑祃䅑䅁䅁䅁䵁䅉䅅䅁䝁䅁䅁睁䵁䅁䅁权ㅃ睂䅁权䅃睁䅁权灂杂䅁兂䅁䅁䅁䩙浘䅑䅯睚䅙䅁䅅䅁䉁䅁䅁䅆兂睋䅁䅁䅁䅁杷允䅁䅁䅙䅁䑁䅁䅷䅁䭁䱁䡕䅁䭁䥁䑁䅁䭁䥁䙷䅁䙁䅁䅁䅁杂敬䅚权湂杂䅁允䅁䅁䅅䅁啁䅁㑯䅁䅁䅁䅁䍄䉁䅁䅁杂䅁䅁䅍䅄䅁䅁䅯兴䅣䅁䅯䅧䅍䅁䅯䅩䅕䅁䅕䅁䅁䝁噃欵䭁䝁䝣䅁䉁䅁䅁允䅁䉁䅑㈹䅁䅁䅁䅁䵁䅉䅅䅁䝁䅁䅁睁䵁䅁䅁权ㅃ睂䅁权扁䅂䅁权䙃兂䅁兂䅁䅁䅁䩙浘䅑䅯儸䅑䅁䅅䅁䉁䅁䅁兂䵂㑎䉬䝙穕䅑杷允䅁䅁䅙䅁䑁䅁䅷䅁䭁䱁䡕䅁䭁䥁䝧䅁䭁䥁䙕䅁䙁䅁䅁䅁杂敬䅚权湃睂䅁允䅁䅁䅅䅁啁䙁爴睁䅁䅁䅁䍄䉁䅁䅁杂䅁䅁䅍䅄䅁䅁䅯兴䅣䅁䅯睳䅣䅁䅯全䅕䅁䅕䅁䅁䝁噃欵䭁䭁䡣䅁䉁䅁䅁允䅁䉁䅑獁䅳䅁䅁䅁䵁䅉䅅䅁䝁䅁䅁睁䵁䅁䅁权ㅃ睂䅁权癁杁䅁权䥃兂䅁兂䅁䅁䅁䩙浘䅑䅯末䅣䅁䅅䅁䉁䅁䅁䅆㑁杴䅅䅁䅁䅁杷允䅁䅁䅙䅁䑁䅁䅷䅁䭁䱁䡕䅁䭁䥁䜰䅁䭁䥁䙕䅁䙁䅁䅁䅁杂敬䅚权湃睂䅁允䅁䅁䅅䅁啁䍁獳允䅁䅁䅁䍄䉁䅁䅁杂䅁䅁䅍䅄䅁䅁䅯兴䅣䅁䅯睌䅉䅁䅯全䅕䅁䅕䅁䅁䝁噃欵䭁偁䡯䅁䉁䅁䅁允䅁䉁䅑晌䉣䅁䅁䅁䵁䅉䅅䅁䙁䅁䅁睁䵁䅁䅁权塄睂䅁权呂睂䅁兂䅁䅁䅁䩙浘䅑䅯杍䅕䅁䅅䅁䉁䅁䅁兂歃東業猷呍䅑杷允䅁䅁䅕䅁䑁䅁䅷䅁䭁乁䡧䅁䭁䙁䡍䅁䙁䅁䅁䅁杂敬䅚权祁兂䅁允䅁䅁䅅䅁䙁䡁丹焱䡩䉱䅤䍄䉁䅁䅁兂䅁䅁䅍䅄䅁䅁䅯䄰䅣䅁䅯睕䅣䅁䅕䅁䅁䝁噃欵䭁䑁䙉䅁䉁䅁䅁允䅁䅁䅕祸㙫獫晵う䵁䅉䅅䅁䙁䅁䅁睁䵁䅁䅁权浄睂䅁权呂睂䅁兂䅁䅁䅁䩙浘䅑䅯杍䅕䅁䅅䅁䉁䅁䅁兂灄剚䱔慌堰䅑杷允䅁䅁䅕䅁䑁䅁䅷䅁䭁佁䠴䅁䭁䙁䡍䅁䙁䅁䅁䅁杂敬䅚权祁兂䅁允䅁䅁䅅䅁䙁䱁普卯兪硨䅨䍄䉁䅁䅁兂䅁䅁䅍䅄䅁䅁䅯眷䅣䅁䅯睕䅣䅁䅕䅁䅁䝁噃欵䭁䑁䙉䅁䉁䅁䅁允䅁䅁䅕で祷档㉚䕈䵁䅉䅅䅁䝁䅁䅁睁䵁䅁䅁权瑄睂䅁权啂睂䅁权祂睂䅁兂䅁䅁䅁䩙浘䅑䅯杍䅕䅁䅅䅁䉁䅁䅁兂奂㑣杂瑪場䅑杷允䅁䅁䅕䅁䑁䅁䅷䅁䭁佁䡍䅁䭁䙁䡍䅁䙁䅁䅁䅁杂敬䅚权祁兂䅁允䅁䅁䅅䅁䙁䕁捪⭙䑬砱䅤䍄䉁䅁䅁杂䅁䅁䅍䅄䅁䅁䅯眲䅣䅁䅯䅖䅣䅁䅯杣䅣䅁䅕䅁䅁䝁噃欵䭁䑁䙉䅁䉁䅁䅁允䅁䅁䅕䡥㠫㙖猲䕅䵁䅉䅅䅁䝁䅁䅁睁䵁䅁䅁权摄睂䅁权啂睂䅁权祂睂䅁兂䅁䅁䅁䩙浘䅑䅯杍䅕䅁䅅䅁䉁䅁䅁兂ㅃ桇㍌䉗奯䅑杷允䅁䅁䅕䅁䑁䅁䅷䅁䭁乁䡳䅁䭁䙁䡍䅁䙁䅁䅁䅁杂敬䅚权祁兂䅁允䅁䅁䅅䅁䙁䱁硒䙸㡰桹䅂䍄䉁䅁䅁杂䅁䅁䅍䅄䅁䅁䅯朳䅣䅁䅯䅖䅣䅁䅯杣䅣䅁䅕䅁䅁䝁噃欵䭁䑁䙉䅁䉁䅁䅁允䅁䅁䅕灲吶樳敤䕇䵁䅉䅅䅁䙁䅁䅁睁䵁䅁䅁权捄睂䅁权呂睂䅁兂䅁䅁䅁䩙浘䅑䅯杍䅕䅁䅅䅁䉁䅁䅁兂杂㕈㘲瀸啫䅑杷允䅁䅁䅕䅁䑁䅁䅷䅁䭁偁䡍䅁䭁䙁䡍䅁䙁䅁䅁䅁杂敬䅚权祁兂䅁允䅁䅁䅅䅁䙁䵁硓浌樶剉䅨䍄䉁䅁䅁杂䅁䅁䅍䅄䅁䅁䅯眸䅣䅁䅯䅖䅣䅁䅯杣䅣䅁䅕䅁䅁䝁噃欵䭁䑁䙉䅁䉁䅁䅁允䅁䅁䅕浰㑈䩩卧䕇䵁䅉䅅䅁䝁䅁䅁睁䵁䅁䅁权塄睂䅁权啂睂䅁权祂睂䅁兂䅁䅁䅁䩙浘䅑䅯杍䅕䅁䅅䅁䉁䅁䅁兂䍂畐婪䱲呯䅑杷允䅁䅁䅙䅁䑁䅁䅷䅁䭁乁䡫䅁䭁䙁䡑䅁䭁䡁䡉䅁䙁䅁䅁䅁杂敬䅚权祁兂䅁允䅁䅁䅅䅁䙁䥁癍䭔䭙栵䅤䍄䉁䅁䅁杂䅁䅁䅍䅄䅁䅁䅯儶䅣䅁䅯䅖䅣䅁䅯杣䅣䅁䅕䅁䅁䝁噃欵䭁䑁䙉䅁䉁䅁䅁允䅁䅁䅕伯㥏浡䍖䕇䵁䅉䅅䅁䝁䅁䅁睁䵁䅁䅁权䵄睂䅁权啂睂䅁权祂睂䅁兂䅁䅁䅁䩙浘䅑䅯杍䅕䅁䅅䅁䉁䅁䅁兂㕁愰䌵杹堸䅑杷允䅁䅁䅙䅁䑁䅁䅷䅁䭁䵁䡧䅁䭁䙁䡑䅁䭁䡁䡉䅁䙁䅁䅁䅁杂敬䅚权祁兂䅁允䅁䅁䅅䅁䙁䡁䥵湒兣硗䅨䍄䉁䅁䅁兂䅁䅁䅍䅄䅁䅁䅯儶䅣䅁䅯睕䅣䅁䅕䅁䅁䝁噃欵䭁䑁䙉䅁䉁䅁䅁允䅁䅁䅕剭䩊䐹䭊䕇䵁䅉䅅䅁䝁䅁䅁睁䵁䅁䅁权湄睂䅁权啂睂䅁权祂睂䅁兂䅁䅁䅁䩙浘䅑䅯杍䅕䅁䅅䅁䉁䅁䅁兂䙂慄桚䴫塧䅑杷允䅁䅁䅙䅁䑁䅁䅷䅁䭁䵁䠰䅁䭁䙁䡑䅁䭁䡁䡉䅁䙁䅁䅁䅁杂敬䅚权祁兂䅁允䅁䅁䅅䅁䙁䭁㍁慆睫桬䅆䍄䉁䅁䅁杂䅁䅁䅍䅄䅁䅁䅯朸䅣䅁䅯䅖䅣䅁䅯杣䅣䅁䅕䅁䅁䝁噃欵䭁䑁䙉䅁䉁䅁䅁允䅁䅁䅕伯㥏浡䍖䕇䵁䅉䅅䅁䙁䅁䅁睁䵁䅁䅁权祄睂䅁权呂睂䅁兂䅁䅁䅁䩙浘䅑䅯杍䅕䅁䅅䅁䉁䅁䅁兂婃歅の歍奯䅑杷允䅁䅁䅕䅁䑁䅁䅷䅁䭁䵁䡑䅁䭁䙁䡍䅁䙁䅁䅁䅁杂敬䅚权祁兂䅁允䅁䅁䅅䅁䙁䡁䩈慣つ䉳䅚䍄䉁䅁䅁杂䅁䅁䅍䅄䅁䅁䅯典䅣䅁䅯䅖䅣䅁䅯杣䅣䅁䅕䅁䅁䝁噃欵䭁䑁䙉䅁䉁䅁䅁允䅁䅁䅕䅵㉡牓㑄ぇ䵁䅉䅅䅁䝁䅁䅁睁䵁䅁䅁权睄睂䅁权啂睂䅁权祂睂䅁兂䅁䅁䅁䩙浘䅑䅯杍䅕䅁䅅䅁䉁䅁䅁兂䙂慄桚䴫塧䅑杷允䅁䅁䅙䅁䑁䅁䅷䅁䭁佁䡍䅁䭁䙁䡑䅁䭁䡁䡉䅁䙁䅁䅁䅁杂敬䅚权祁兂䅁允䅁䅁䅅䅁䙁䕁乕浰㑈䉹䅤䍄䉁䅁䅁兂䅁䅁䅍䅄䅁䅁䅯眵䅣䅁䅯睕䅣䅁䅕䅁䅁䝁噃欵䭁䑁䙉䅁䉁䅁䅁允䅁䅁䅕乓橸唶塐う䵁䅉䅅䅁䙁䅁䅁睁䵁䅁䅁权獄睂䅁权呂睂䅁兂䅁䅁䅁䩙浘䅑䅯杍䅕䅁䅅䅁䉁䅁䅁兂䥂䜳灐㥑塣䅑杷允䅁䅁䅙䅁䑁䅁䅷䅁䭁佁䠸䅁䭁䙁䡑䅁䭁䡁䡉䅁䙁䅁䅁䅁杂敬䅚权祁兂䅁允䅁䅁䅅䅁䙁䍁啣畉允桡䅸䍄䉁䅁䅁杂䅁䅁䅍䅄䅁䅁䅯儵䅣䅁䅯䅖䅣䅁䅯杣䅣䅁䅕䅁䅁䝁噃欵䭁䑁䙉䅁䉁䅁䅁允䅁䅁䅕䵣䤶琰朷ぅ䵁䅉䅅䅁䙁䅁䅁睁䵁䅁䅁权噄睂䅁权呂睂䅁兂䅁䅁䅁䩙浘䅑䅯杍䅕䅁䅅䅁䉁䅁䅁兂扂㐶䕵牴坷䅑杷允䅁䅁䅙䅁䑁䅁䅷䅁䭁乁䡁䅁䭁䙁䡑䅁䭁䡁䡉䅁䙁䅁䅁䅁杂敬䅚权祁兂䅁允䅁䅁䅅䅁䙁䅁獩䙈歰硥䅤䍄䉁䅁䅁兂䅁䅁䅍䅄䅁䅁䅯眶䅣䅁䅯睕䅣䅁䅕䅁䅁䝁噃欵䭁䑁䙉䅁䉁䅁䅁允䅁䅁䅕㐶䕵灴牺歆䵁䅉䅅䅁䝁䅁䅁睁䵁䅁䅁权䡄睂䅁权啂睂䅁权祂睂䅁兂䅁䅁䅁䩙浘䅑䅯杍䅕䅁䅅䅁䉁䅁䅁兂㝄ㅖ慡佬噉䅑杷允䅁䅁䅙䅁䑁䅁䅷䅁䭁佁䡧䅁䭁䙁䡑䅁䭁䡁䡉䅁䙁䅁䅁䅁杂敬䅚权祁兂䅁允䅁䅁䅅䅁䙁佁㙆䭆䠵剁䅖䍄䉁䅁䅁兂䅁䅁䅍䅄䅁䅁䅯䄶䅣䅁䅯睕䅣䅁䅕䅁䅁䝁噃欵䭁䑁䙉䅁䉁䅁䅁允䅁䅁䅕慤湶偰乣商䵁䅉䅅䅁䝁䅁䅁睁䵁䅁䅁权啄睂䅁权啂睂䅁权祂睂䅁兂䅁䅁䅁䩙浘䅑䅯杍䅕䅁䅅䅁䉁䅁䅁兂䅁䝪兦䨰唸䅑杷允䅁䅁䅕䅁䑁䅁䅷䅁䭁乁䡍䅁䭁䙁䡍䅁䙁䅁䅁䅁杂敬䅚权祁兂䅁允䅁䅁䅅䅁䙁䕁䍳丱祓剤䅆䍄䉁䅁䅁杂䅁䅁䅍䅄䅁䅁䅯眫䅣䅁䅯䅖䅣䅁䅯杣䅣䅁䅕䅁䅁䝁噃欵䭁䑁䙉䅁䉁䅁䅁允䅁䅁䅯䅬䅅䅁杷允䅁䅁䅕䅁䑁䅁䅷䅁䭁偁䡳䅁䭁䙁䡍䅁䙁䅁䅁䅁杂敬䅚权祁兂䅁允䅁䅁䅅䅁䭁䩁䉑䅁䵁䅉䅅䅁䝁䅁䅁睁䵁䅁䅁权偄睂䅁权啂睂䅁权祂睂䅁兂䅁䅁䅁䩙浘䅑䅯杍䅕䅁䅅䅁䉁䅁䅁兂权硎灗䩍剙䅑杷允䅁䅁䅕䅁䑁䅁䅷䅁䭁䵁䠸䅁䭁䙁䡍䅁䙁䅁䅁䅁杂敬䅚权祁兂䅁允䅁䅁䅅䅁䙁䵁䙡祁婆䉯䅆䍄䉁䅁䅁杂䅁䅁䅍䅄䅁䅁䅯杹䅣䅁䅯䅖䅣䅁䅯杣䅣䅁䅕䅁䅁䝁噃欵䭁䑁䙉䅁䉁䅁䅁允䅁䅁䅕䑯噣呱坃啅䵁䅉䅅䅁䙁䅁䅁睁䵁䅁䅁权䭄睂䅁权呂睂䅁兂䅁䅁䅁䩙浘䅑䅯杍䅕䅁䅅䅁䉁䅁䅁兂䝄全桍慗剁䅑杷允䅁䅁䅕䅁䑁䅁䅷䅁䭁䵁䡫䅁䭁䙁䡍䅁䙁䅁䅁䅁杂敬䅚权祁兂䅁允䅁䅁䅅䅁䙁䉁扨䡃兊杁䅨䍄䉁䅁䅁杂䅁䅁䅍䅄䅁䅁䅯朱䅣䅁䅯䅖䅣䅁䅯杣䅣䅁䅕䅁䅁䝁噃欵䭁䑁䙉䅁䉁䅁䅁允䅁䅁䅕㤲她牮歁啅䵁䅉䅅䅁䝁䅁䅁睁䵁䅁䅁权楄睂䅁权啂睂䅁权祂睂䅁兂䅁䅁䅁䩙浘䅑䅯杍䅕䅁䅅䅁䉁䅁䅁兂扄䨳敩䍳剑䅑杷允䅁䅁䅙䅁䑁䅁䅷䅁䭁佁䡅䅁䭁䙁䡑䅁䭁䡁䡉䅁䙁䅁䅁䅁杂敬䅚权祁兂䅁允䅁䅁䅅䅁䙁乁捶䩭眶䉊䅆䍄䉁䅁䅁杂䅁䅁䅍䅄䅁䅁䅯眰䅣䅁䅯䅖䅣䅁䅯杣䅣䅁䅕䅁䅁䝁噃欵䭁䑁䙉䅁䉁䅁䅁允䅁䅁䅕瑮䉌樫渹啅䵁䅉䅅䅁䝁䅁䅁睁䵁䅁䅁权佄睂䅁权啂睂䅁权祂睂䅁兂䅁䅁䅁䩙浘䅑䅯杍䅕䅁䅅䅁䉁䅁䅁兂敃猰㙈㉐剣䅑杷允䅁䅁䅕䅁䑁䅁䅷䅁䭁䵁䠴䅁䭁䙁䡍䅁䙁䅁䅁䅁杂敬䅚权祁兂䅁允䅁䅁䅅䅁䙁䕁䍳丱祓剤䅆䍄䉁䅁䅁杂䅁䅁䅍䅄䅁䅁䅯儰䅣䅁䅯䅖䅣䅁䅯杣䅣䅁䅕䅁䅁䝁噃欵䭁䑁䙉䅁䉁䅁䅁允䅁䅁䅕瑮䉌樫渹啅䵁䅉䅅䅁䙁䅁䅁睁䵁䅁䅁权䵄睂䅁权呂睂䅁兂䅁䅁䅁䩙浘䅑䅯杍䅕䅁䅅䅁䉁䅁䅁兂煄灳奪偦塷䅑杷允䅁䅁䅍䅁䑁䅁䅷䅁䭁偁䡷䅁䭁䩁䘴䅁䉁䅁䅁允䅁䅁䅣䅁䅁䥁偃欵䵁䅉䅅䅁䑁䅁䅁睁䵁䅁䅁权㝄睂䅁权敃兂䅁允䅁䅁䅅䅁䡁䅁䅁䅁䅃⭪䅚</t>
  </si>
  <si>
    <t>Grupo Bimbo - independent DCF inputs (MXN millions; valuation date 16-Oct-2026)</t>
  </si>
  <si>
    <t>Forecast base = S&amp;P Capital IQ consensus (mean, 20-Sep-2026) for FY2026E-FY2028E, then a fade for FY2029-30 [assumption]. These are placeholders for the team's story assumptions, not the team's view. WACC inputs are the same as in SPG_WACC_independent.xlsm. Tags: [sourced] [calc] [assumption].</t>
  </si>
  <si>
    <t>Item</t>
  </si>
  <si>
    <t>Value</t>
  </si>
  <si>
    <t>Tag</t>
  </si>
  <si>
    <t>Source / rationale</t>
  </si>
  <si>
    <t>Risk-free (MXN, default-free)</t>
  </si>
  <si>
    <t>[sourced]/[calc]</t>
  </si>
  <si>
    <t>M-Bono 10Y 9.26% (CIQ 16-Oct-2026) less Damodaran Jul-2026 Mexico default spread 1.75%</t>
  </si>
  <si>
    <t>Mature equity risk premium</t>
  </si>
  <si>
    <t>[sourced]</t>
  </si>
  <si>
    <t>Damodaran implied ERP, July-2026 file</t>
  </si>
  <si>
    <t>Market return = rf + ERP</t>
  </si>
  <si>
    <t>[calc]</t>
  </si>
  <si>
    <t>Country risk premium (plant regions x Adj. EBITDA weights)</t>
  </si>
  <si>
    <t>See SPG_WACC_independent.xlsm &gt; Independent_Inputs rows 37-41 (RA25 plants, Damodaran Jul-2026, FY25 segment EBITDA)</t>
  </si>
  <si>
    <t>Pre-tax cost of debt</t>
  </si>
  <si>
    <t>M-Bono 10Y + 45 bp (BIMBO 26 issue spread, Feb-2026)</t>
  </si>
  <si>
    <t>Tax rate (Mexican statutory)</t>
  </si>
  <si>
    <t>EEFF25 p.56 via wiki</t>
  </si>
  <si>
    <t>Unlevered beta (Damodaran Food Processing, Global, cash-corrected)</t>
  </si>
  <si>
    <t>Damodaran Jan-2026</t>
  </si>
  <si>
    <t>Market capitalisation</t>
  </si>
  <si>
    <t>4,296.284215m shares (CIQ ECS 30-Jun-2026) x MXN 58.60 (BMV 16-Oct-2026)</t>
  </si>
  <si>
    <t>Total debt incl. leases</t>
  </si>
  <si>
    <t>CIQ US$10,855m at CIQ rate 0.05569 (30-Jun-2026)</t>
  </si>
  <si>
    <t>Cash (CIQ-consistent)</t>
  </si>
  <si>
    <t>CIQ total debt US$10,855m less net debt incl. leases US$9,907m</t>
  </si>
  <si>
    <t>Non-controlling interests (book, Dec-2025)</t>
  </si>
  <si>
    <t>data/financials.csv (filings)</t>
  </si>
  <si>
    <t>Shares outstanding (actual)</t>
  </si>
  <si>
    <t>CIQ ECS 30-Jun-2026</t>
  </si>
  <si>
    <t>Share price 16-Oct-2026 (MXN)</t>
  </si>
  <si>
    <t>BMV official close</t>
  </si>
  <si>
    <t>Terminal EV/EBITDA multiple (on FY2030 IFRS 16 EBITDA)</t>
  </si>
  <si>
    <t>[assumption]</t>
  </si>
  <si>
    <t>Core-peer median EV/EBITDA LTM 6.37x (Multiples_Summary); below Bimbo's own 7.05x today and its 2019-26 mean 7.36x; no re-rating assumed</t>
  </si>
  <si>
    <t>Terminal growth for the Reverse DCF (Gordon)</t>
  </si>
  <si>
    <t>Long-run nominal MXN: 2% real + ~3% inflation, blended with USD-linked 45% of sales (cap 5%)</t>
  </si>
  <si>
    <t>Lease principal paid / revenue (added to capex as 'additional lease')</t>
  </si>
  <si>
    <t>FY2025: MXN 5,923m / 426,952m. Leases are treated as debt (inside net debt), so new leases are reinvestment</t>
  </si>
  <si>
    <t>Forecast drivers</t>
  </si>
  <si>
    <t>Year</t>
  </si>
  <si>
    <t>2026E</t>
  </si>
  <si>
    <t>2027E</t>
  </si>
  <si>
    <t>2028E</t>
  </si>
  <si>
    <t>2029E</t>
  </si>
  <si>
    <t>2030E</t>
  </si>
  <si>
    <t>Tag / source</t>
  </si>
  <si>
    <t>Revenue growth</t>
  </si>
  <si>
    <t>[sourced] consensus FY26-28 (revenue 426,275 / 445,288 / 468,431); 2029-30 [assumption] fade 4.7% / 4.3%</t>
  </si>
  <si>
    <t>COGS % of revenue</t>
  </si>
  <si>
    <t>[sourced] 1 - consensus gross margin (52.3% / 52.0% / 52.05%); held after 2028. Only drives working capital</t>
  </si>
  <si>
    <t>EBITDA margin (IFRS 16)</t>
  </si>
  <si>
    <t>[sourced] consensus EBITDA / revenue; held at the FY2028 level in 2029-30 [assumption]</t>
  </si>
  <si>
    <t>Capex % of revenue (ex leases)</t>
  </si>
  <si>
    <t>[sourced] consensus capex 21,979 / 22,341 / 22,933; 2029-30 [assumption] -5 bp and -10 bp (management guided lower capex for 2026)</t>
  </si>
  <si>
    <t>Capex + additional lease % of revenue (row 121 of DCF)</t>
  </si>
  <si>
    <t>[calc] capex % + lease principal % (lease principal row above)</t>
  </si>
  <si>
    <t>History (MXN m, data/financials.csv; EBITDA = EBIT + D&amp;A [calc])</t>
  </si>
  <si>
    <t>Revenue</t>
  </si>
  <si>
    <t>D&amp;A</t>
  </si>
  <si>
    <t>EBITDA (IFRS 16)</t>
  </si>
  <si>
    <t>Capex + lease principal paid</t>
  </si>
  <si>
    <t>Receivables</t>
  </si>
  <si>
    <t>BMV:BIMBO A</t>
  </si>
  <si>
    <t>Quick Comps</t>
  </si>
  <si>
    <t>Copyright S&amp;P Global Market Intelligence LLC (template). Independent build for Grupo Bimbo; manual inputs replace the Capital IQ plug-in.</t>
  </si>
  <si>
    <t>NYSE:FLO</t>
  </si>
  <si>
    <t>BMV:GRUMA B</t>
  </si>
  <si>
    <t>SWX:ARYN</t>
  </si>
  <si>
    <t>BMV:AC</t>
  </si>
  <si>
    <t>NYSE:SJM</t>
  </si>
  <si>
    <t>NASDAQGS:MDLZ</t>
  </si>
  <si>
    <t>Flowers Foods</t>
  </si>
  <si>
    <t>n/a</t>
  </si>
  <si>
    <t>Gruma</t>
  </si>
  <si>
    <t>Aryzta</t>
  </si>
  <si>
    <t>Arca Continental</t>
  </si>
  <si>
    <t>J.M. Smucker</t>
  </si>
  <si>
    <t>Mondelez</t>
  </si>
  <si>
    <t>BIMBO A-MX</t>
  </si>
  <si>
    <t>Grupo Bimbo, S.A.B. de C.V.</t>
  </si>
  <si>
    <t>Grupo Bimbo</t>
  </si>
  <si>
    <t>NA</t>
  </si>
  <si>
    <t>Independent build: inputs F19 (operating margin 8.5% ~ DCF 2030), F21 (30%), F25 (capex+leases 6.3%), O16 (terminal growth 4.0%) are placeholders; F16 solved by Goal Seek so that the implied price = MXN 58.60. The template counts the FY0 free cash flow (E30) in the present value.</t>
  </si>
  <si>
    <t>TEMPLATE CORRECTIONS (originals): O22 =IFERROR(SUM(E30:J30),"NA") | O24 =IFERROR(J30*(1+O16),"NA") | O26 =IFERROR(O25/(1+O15)^O21,"NA") | O34 =IFERROR(O27/O31,"NA"). Why: the template discounted the terminal flow twice (PV of the last FCF, then a discount exponent equal to the discount factor), counted the FY0 flow already realised, and divided enterprise value (not equity value) by shares.</t>
  </si>
  <si>
    <t>Copyright S&amp;P Global Market Intelligence LLC (template). Independent build.</t>
  </si>
  <si>
    <t>NOTES AND LIMITS (independent DCF)</t>
  </si>
  <si>
    <t>1) The Capital IQ plug-in was not available: plug-in cells were replaced by inputs on this sheet. Helper tables DCF!AC76:AH157 (government-yield list) still show #NAME? and are not used (risk-free is a manual override in F52).</t>
  </si>
  <si>
    <t>2) Valuation date 16-Oct-2026; FY0 = FY2025; the first forecast year 2026E counts only the 76 days left in the year (template stub). Net debt, leases and cash are at 30-Jun-2026 (CIQ), so about 3.5 months of 2026 cash flow (~MXN 6-7bn, ~MXN 1.5 per share) is not captured; adding it would raise the value slightly.</t>
  </si>
  <si>
    <t>3) Leases are inside debt (CIQ total debt incl. leases MXN 194.9bn). Therefore EBITDA is IFRS 16, and 'Capital Expenditures and Additional Lease' = capex + lease principal paid (history and forecast).</t>
  </si>
  <si>
    <t>4) Mid-period discounting (L32 = 1). Tax = 30% statutory on EBIT. Working capital follows the schedule (L36 = 2) with FY2025 days held constant.</t>
  </si>
  <si>
    <t>5) Terminal value = FY2030 EBITDA x 6.4 (core-peer median). Implied perpetual growth of FCFF is shown in DCF!R146.</t>
  </si>
  <si>
    <t>6) Reverse_DCF: four template formulas were corrected (O22, O24, O26, O34) because the template discounted the terminal flow twice, counted the already-realised FY0 flow and divided enterprise value by shares; originals are written in Reverse_DCF!B85.</t>
  </si>
  <si>
    <t>7) Forecast = Capital IQ consensus (FY26-28) + fade. It is a neutral placeholder for the team's own story drivers (growth, margin, capex), which the team must choose.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</si>
</sst>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164" formatCode="_(* #,##0.00_);_(* \(#,##0.00\);_(* &quot;-&quot;??_);_(@_)"/>
    <numFmt numFmtId="165" formatCode="#,##0.0"/>
    <numFmt numFmtId="166" formatCode="#,##0.0000"/>
    <numFmt numFmtId="167" formatCode="0.0"/>
    <numFmt numFmtId="168" formatCode="0.0%_);\(0.0%\);0.0%_);@_)"/>
    <numFmt numFmtId="169" formatCode="0.000"/>
    <numFmt numFmtId="170" formatCode="#,##0.0_);\(#,##0.0\)"/>
    <numFmt numFmtId="171" formatCode="0.0%"/>
    <numFmt numFmtId="172" formatCode="_(* #,##0_);_(* \(#,##0\);_(* &quot;-&quot;??_);_(@_)"/>
    <numFmt numFmtId="173" formatCode="0.000%"/>
    <numFmt numFmtId="174" formatCode="0.0%;\(0.0%\)"/>
    <numFmt numFmtId="175" formatCode="0.0\x"/>
    <numFmt numFmtId="176" formatCode="####"/>
    <numFmt numFmtId="177" formatCode="#,##0;\(#,##0\)"/>
    <numFmt numFmtId="178" formatCode="0.0%_);\(0.0%\)"/>
    <numFmt numFmtId="179" formatCode="mm/dd/yyyy"/>
    <numFmt numFmtId="180" formatCode="####&quot;E&quot;"/>
    <numFmt numFmtId="181" formatCode="0.00\x"/>
    <numFmt numFmtId="182" formatCode="mm/dd/yy"/>
    <numFmt numFmtId="183" formatCode="#,##0.0;\(#,##0.0\)"/>
    <numFmt numFmtId="184" formatCode="#,##0.00;\(#,##0.00\)"/>
    <numFmt numFmtId="185" formatCode="0.0000"/>
    <numFmt numFmtId="186" formatCode="0%;\(0%\)"/>
    <numFmt numFmtId="187" formatCode="0.0%;\(0.0%"/>
    <numFmt numFmtId="188" formatCode="#,##0.000"/>
    <numFmt numFmtId="189" formatCode="0.00000"/>
    <numFmt numFmtId="190" formatCode="#,##0.00000"/>
    <numFmt numFmtId="191" formatCode="0.00%;\(0.00%\)"/>
  </numFmts>
  <fonts count="57" x14ac:knownFonts="1">
    <font>
      <sz val="8"/>
      <color theme="1"/>
      <name val="Arial"/>
      <family val="2"/>
    </font>
    <font>
      <sz val="11"/>
      <color theme="1"/>
      <name val="Calibri"/>
      <family val="2"/>
      <scheme val="minor"/>
    </font>
    <font>
      <sz val="8"/>
      <color theme="1"/>
      <name val="Arial"/>
      <family val="2"/>
    </font>
    <font>
      <sz val="8"/>
      <name val="Arial"/>
      <family val="2"/>
    </font>
    <font>
      <b/>
      <sz val="8"/>
      <name val="Arial"/>
      <family val="2"/>
    </font>
    <font>
      <sz val="8"/>
      <color rgb="FF000000"/>
      <name val="Arial"/>
      <family val="2"/>
    </font>
    <font>
      <b/>
      <sz val="18"/>
      <color theme="1"/>
      <name val="Arial"/>
      <family val="2"/>
    </font>
    <font>
      <sz val="8"/>
      <color indexed="56"/>
      <name val="Arial"/>
      <family val="2"/>
    </font>
    <font>
      <sz val="8"/>
      <color indexed="17"/>
      <name val="Arial"/>
      <family val="2"/>
    </font>
    <font>
      <i/>
      <sz val="8"/>
      <color rgb="FF525252"/>
      <name val="Arial"/>
      <family val="2"/>
    </font>
    <font>
      <sz val="8"/>
      <color indexed="12"/>
      <name val="Arial"/>
      <family val="2"/>
    </font>
    <font>
      <i/>
      <sz val="8"/>
      <name val="Arial"/>
      <family val="2"/>
    </font>
    <font>
      <u/>
      <sz val="8"/>
      <color indexed="12"/>
      <name val="Arial"/>
      <family val="2"/>
    </font>
    <font>
      <i/>
      <sz val="8"/>
      <color indexed="23"/>
      <name val="Arial"/>
      <family val="2"/>
    </font>
    <font>
      <b/>
      <sz val="8"/>
      <color rgb="FF525252"/>
      <name val="Arial"/>
      <family val="2"/>
    </font>
    <font>
      <b/>
      <sz val="8"/>
      <color rgb="FF223D92"/>
      <name val="Arial"/>
      <family val="2"/>
    </font>
    <font>
      <sz val="8"/>
      <color indexed="8"/>
      <name val="Arial"/>
      <family val="2"/>
    </font>
    <font>
      <b/>
      <sz val="8"/>
      <color indexed="8"/>
      <name val="Arial"/>
      <family val="2"/>
    </font>
    <font>
      <sz val="8"/>
      <color rgb="FF008000"/>
      <name val="Arial"/>
      <family val="2"/>
    </font>
    <font>
      <b/>
      <sz val="8"/>
      <color rgb="FF008000"/>
      <name val="Arial"/>
      <family val="2"/>
    </font>
    <font>
      <b/>
      <sz val="8"/>
      <color theme="0"/>
      <name val="Arial"/>
      <family val="2"/>
    </font>
    <font>
      <sz val="8"/>
      <color rgb="FF0000FF"/>
      <name val="Arial"/>
      <family val="2"/>
    </font>
    <font>
      <b/>
      <sz val="12"/>
      <color theme="1"/>
      <name val="Arial"/>
      <family val="2"/>
    </font>
    <font>
      <b/>
      <u/>
      <sz val="9"/>
      <color theme="1"/>
      <name val="Arial"/>
      <family val="2"/>
    </font>
    <font>
      <sz val="10"/>
      <name val="Times New Roman"/>
      <family val="1"/>
    </font>
    <font>
      <b/>
      <sz val="8"/>
      <color indexed="9"/>
      <name val="Arial"/>
      <family val="2"/>
    </font>
    <font>
      <sz val="8"/>
      <color indexed="9"/>
      <name val="Arial"/>
      <family val="2"/>
    </font>
    <font>
      <b/>
      <sz val="8"/>
      <color indexed="12"/>
      <name val="Arial"/>
      <family val="2"/>
    </font>
    <font>
      <vertAlign val="superscript"/>
      <sz val="8"/>
      <name val="Arial"/>
      <family val="2"/>
    </font>
    <font>
      <b/>
      <sz val="8"/>
      <color rgb="FF0000FF"/>
      <name val="Arial"/>
      <family val="2"/>
    </font>
    <font>
      <b/>
      <sz val="8"/>
      <color rgb="FF000000"/>
      <name val="Arial"/>
      <family val="2"/>
    </font>
    <font>
      <b/>
      <sz val="8"/>
      <color theme="1"/>
      <name val="Arial"/>
      <family val="2"/>
    </font>
    <font>
      <sz val="10"/>
      <name val="Arial"/>
      <family val="2"/>
    </font>
    <font>
      <b/>
      <i/>
      <sz val="8"/>
      <name val="Arial"/>
      <family val="2"/>
    </font>
    <font>
      <b/>
      <sz val="9"/>
      <color indexed="81"/>
      <name val="Tahoma"/>
      <family val="2"/>
    </font>
    <font>
      <sz val="9"/>
      <color indexed="81"/>
      <name val="Tahoma"/>
      <family val="2"/>
    </font>
    <font>
      <b/>
      <sz val="8"/>
      <color theme="4"/>
      <name val="Arial"/>
      <family val="2"/>
    </font>
    <font>
      <i/>
      <sz val="8"/>
      <color indexed="12"/>
      <name val="Arial"/>
      <family val="2"/>
    </font>
    <font>
      <i/>
      <sz val="8"/>
      <color rgb="FF0000FF"/>
      <name val="Arial"/>
      <family val="2"/>
    </font>
    <font>
      <b/>
      <sz val="10"/>
      <color indexed="81"/>
      <name val="Tahoma"/>
      <family val="2"/>
    </font>
    <font>
      <sz val="6"/>
      <color indexed="81"/>
      <name val="Tahoma"/>
      <family val="2"/>
    </font>
    <font>
      <b/>
      <u/>
      <sz val="9"/>
      <color indexed="81"/>
      <name val="Tahoma"/>
      <family val="2"/>
    </font>
    <font>
      <b/>
      <u/>
      <sz val="8"/>
      <name val="Arial"/>
      <family val="2"/>
    </font>
    <font>
      <i/>
      <sz val="8"/>
      <color indexed="8"/>
      <name val="Arial"/>
      <family val="2"/>
    </font>
    <font>
      <sz val="10"/>
      <color theme="1"/>
      <name val="Arial"/>
      <family val="2"/>
    </font>
    <font>
      <b/>
      <u/>
      <sz val="8"/>
      <color theme="1"/>
      <name val="Arial"/>
      <family val="2"/>
    </font>
    <font>
      <sz val="8"/>
      <color rgb="FF525252"/>
      <name val="Arial"/>
      <family val="2"/>
    </font>
    <font>
      <u/>
      <sz val="8"/>
      <color rgb="FF223D92"/>
      <name val="Arial"/>
      <family val="2"/>
    </font>
    <font>
      <b/>
      <sz val="18"/>
      <name val="Arial"/>
      <family val="2"/>
    </font>
    <font>
      <b/>
      <sz val="14"/>
      <name val="Arial"/>
      <family val="2"/>
    </font>
    <font>
      <sz val="11"/>
      <name val="Calibri"/>
      <family val="2"/>
    </font>
    <font>
      <b/>
      <sz val="8"/>
      <color rgb="FFFFFFFF"/>
      <name val="Arial"/>
      <family val="2"/>
    </font>
    <font>
      <i/>
      <sz val="8"/>
      <color theme="1"/>
      <name val="Arial"/>
      <family val="2"/>
    </font>
    <font>
      <b/>
      <sz val="14"/>
      <color theme="1"/>
      <name val="Arial"/>
      <family val="2"/>
    </font>
    <font>
      <sz val="10"/>
      <color theme="1"/>
      <name val="Calibri"/>
      <family val="2"/>
    </font>
    <font>
      <b/>
      <sz val="10"/>
      <color theme="1"/>
      <name val="Calibri"/>
      <family val="2"/>
    </font>
    <font>
      <b/>
      <sz val="13"/>
      <color theme="1"/>
      <name val="Calibri"/>
      <family val="2"/>
    </font>
  </fonts>
  <fills count="8">
    <fill>
      <patternFill patternType="none"/>
    </fill>
    <fill>
      <patternFill patternType="gray125"/>
    </fill>
    <fill>
      <patternFill patternType="solid">
        <fgColor rgb="FFFFFFCC"/>
        <bgColor indexed="64"/>
      </patternFill>
    </fill>
    <fill>
      <patternFill patternType="solid">
        <fgColor theme="0" tint="-0.14999847407452621"/>
        <bgColor indexed="64"/>
      </patternFill>
    </fill>
    <fill>
      <patternFill patternType="solid">
        <fgColor rgb="FF525252"/>
        <bgColor indexed="64"/>
      </patternFill>
    </fill>
    <fill>
      <patternFill patternType="solid">
        <fgColor theme="0"/>
        <bgColor indexed="64"/>
      </patternFill>
    </fill>
    <fill>
      <patternFill patternType="solid">
        <fgColor indexed="9"/>
        <bgColor indexed="64"/>
      </patternFill>
    </fill>
    <fill>
      <patternFill patternType="solid">
        <fgColor rgb="FFD9D9D9"/>
        <bgColor indexed="64"/>
      </patternFill>
    </fill>
  </fills>
  <borders count="35">
    <border>
      <left/>
      <right/>
      <top/>
      <bottom/>
      <diagonal/>
    </border>
    <border>
      <left/>
      <right/>
      <top style="thin">
        <color indexed="64"/>
      </top>
      <bottom/>
      <diagonal/>
    </border>
    <border>
      <left style="thin">
        <color rgb="FF525252"/>
      </left>
      <right style="thin">
        <color rgb="FF525252"/>
      </right>
      <top style="thin">
        <color rgb="FF525252"/>
      </top>
      <bottom style="thin">
        <color rgb="FF525252"/>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right style="thin">
        <color indexed="23"/>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medium">
        <color indexed="64"/>
      </bottom>
      <diagonal/>
    </border>
    <border>
      <left/>
      <right/>
      <top/>
      <bottom style="medium">
        <color rgb="FF525252"/>
      </bottom>
      <diagonal/>
    </border>
    <border>
      <left style="thin">
        <color rgb="FF525252"/>
      </left>
      <right/>
      <top style="thin">
        <color rgb="FF525252"/>
      </top>
      <bottom style="thin">
        <color rgb="FF525252"/>
      </bottom>
      <diagonal/>
    </border>
    <border>
      <left/>
      <right style="thin">
        <color rgb="FF525252"/>
      </right>
      <top style="thin">
        <color rgb="FF525252"/>
      </top>
      <bottom style="thin">
        <color rgb="FF525252"/>
      </bottom>
      <diagonal/>
    </border>
    <border>
      <left style="thin">
        <color rgb="FF525252"/>
      </left>
      <right style="thin">
        <color rgb="FF525252"/>
      </right>
      <top style="thin">
        <color indexed="64"/>
      </top>
      <bottom style="thin">
        <color rgb="FF525252"/>
      </bottom>
      <diagonal/>
    </border>
    <border>
      <left/>
      <right/>
      <top style="thin">
        <color rgb="FF525252"/>
      </top>
      <bottom style="thin">
        <color rgb="FF525252"/>
      </bottom>
      <diagonal/>
    </border>
    <border>
      <left style="thin">
        <color rgb="FF999999"/>
      </left>
      <right style="thin">
        <color rgb="FF999999"/>
      </right>
      <top style="thin">
        <color rgb="FF999999"/>
      </top>
      <bottom style="thin">
        <color rgb="FF999999"/>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right/>
      <top/>
      <bottom style="thin">
        <color rgb="FF525252"/>
      </bottom>
      <diagonal/>
    </border>
  </borders>
  <cellStyleXfs count="16">
    <xf numFmtId="0" fontId="0" fillId="0" borderId="0"/>
    <xf numFmtId="9" fontId="2" fillId="0" borderId="0" applyFont="0" applyFill="0" applyBorder="0" applyAlignment="0" applyProtection="0"/>
    <xf numFmtId="0" fontId="12" fillId="0" borderId="0" applyNumberFormat="0" applyFill="0" applyBorder="0" applyAlignment="0" applyProtection="0">
      <alignment vertical="top"/>
      <protection locked="0"/>
    </xf>
    <xf numFmtId="0" fontId="16" fillId="0" borderId="0"/>
    <xf numFmtId="164" fontId="2" fillId="0" borderId="0" applyFont="0" applyFill="0" applyBorder="0" applyAlignment="0" applyProtection="0"/>
    <xf numFmtId="0" fontId="24" fillId="0" borderId="0"/>
    <xf numFmtId="0" fontId="32" fillId="0" borderId="0"/>
    <xf numFmtId="0" fontId="24" fillId="0" borderId="0"/>
    <xf numFmtId="0" fontId="1" fillId="0" borderId="0"/>
    <xf numFmtId="0" fontId="3" fillId="0" borderId="0"/>
    <xf numFmtId="0" fontId="1" fillId="0" borderId="0"/>
    <xf numFmtId="0" fontId="2" fillId="0" borderId="0"/>
    <xf numFmtId="0" fontId="2" fillId="0" borderId="0"/>
    <xf numFmtId="0" fontId="44" fillId="0" borderId="24" applyNumberFormat="0" applyFont="0" applyFill="0" applyProtection="0">
      <alignment vertical="top" wrapText="1"/>
    </xf>
    <xf numFmtId="0" fontId="3" fillId="0" borderId="0"/>
    <xf numFmtId="0" fontId="50" fillId="0" borderId="0"/>
  </cellStyleXfs>
  <cellXfs count="505">
    <xf numFmtId="0" fontId="0" fillId="0" borderId="0" xfId="0"/>
    <xf numFmtId="0" fontId="0" fillId="0" borderId="0" xfId="0" applyAlignment="1">
      <alignment horizontal="left"/>
    </xf>
    <xf numFmtId="0" fontId="0" fillId="0" borderId="0" xfId="0" applyAlignment="1">
      <alignment horizontal="right"/>
    </xf>
    <xf numFmtId="14" fontId="0" fillId="0" borderId="0" xfId="0" applyNumberFormat="1" applyAlignment="1">
      <alignment horizontal="right"/>
    </xf>
    <xf numFmtId="4" fontId="0" fillId="0" borderId="0" xfId="0" applyNumberFormat="1" applyAlignment="1">
      <alignment horizontal="right"/>
    </xf>
    <xf numFmtId="14" fontId="0" fillId="0" borderId="0" xfId="0" applyNumberFormat="1"/>
    <xf numFmtId="3" fontId="0" fillId="0" borderId="0" xfId="0" applyNumberFormat="1" applyAlignment="1">
      <alignment horizontal="right"/>
    </xf>
    <xf numFmtId="0" fontId="3" fillId="0" borderId="0" xfId="0" applyFont="1"/>
    <xf numFmtId="0" fontId="4" fillId="0" borderId="0" xfId="0" applyFont="1"/>
    <xf numFmtId="0" fontId="6" fillId="0" borderId="0" xfId="0" applyFont="1" applyAlignment="1">
      <alignment horizontal="left" vertical="center" indent="24"/>
    </xf>
    <xf numFmtId="0" fontId="11" fillId="0" borderId="0" xfId="0" applyFont="1" applyAlignment="1">
      <alignment horizontal="right"/>
    </xf>
    <xf numFmtId="0" fontId="12" fillId="0" borderId="0" xfId="2" applyFill="1" applyBorder="1" applyAlignment="1" applyProtection="1">
      <alignment vertical="center" wrapText="1"/>
    </xf>
    <xf numFmtId="0" fontId="12" fillId="0" borderId="3" xfId="2" applyFill="1" applyBorder="1" applyAlignment="1" applyProtection="1">
      <alignment vertical="center" wrapText="1"/>
    </xf>
    <xf numFmtId="0" fontId="15" fillId="0" borderId="0" xfId="2" applyFont="1" applyFill="1" applyBorder="1" applyAlignment="1" applyProtection="1">
      <alignment vertical="center" wrapText="1"/>
    </xf>
    <xf numFmtId="0" fontId="0" fillId="0" borderId="6" xfId="0" applyBorder="1"/>
    <xf numFmtId="0" fontId="0" fillId="0" borderId="3" xfId="0" applyBorder="1"/>
    <xf numFmtId="0" fontId="0" fillId="0" borderId="15" xfId="0" applyBorder="1" applyAlignment="1">
      <alignment horizontal="left"/>
    </xf>
    <xf numFmtId="0" fontId="0" fillId="0" borderId="16" xfId="0" applyBorder="1" applyAlignment="1">
      <alignment horizontal="left"/>
    </xf>
    <xf numFmtId="0" fontId="0" fillId="0" borderId="17" xfId="0" applyBorder="1"/>
    <xf numFmtId="4" fontId="0" fillId="0" borderId="15" xfId="0" applyNumberFormat="1" applyBorder="1" applyAlignment="1">
      <alignment horizontal="right"/>
    </xf>
    <xf numFmtId="4" fontId="0" fillId="0" borderId="16" xfId="0" applyNumberFormat="1" applyBorder="1" applyAlignment="1">
      <alignment horizontal="right"/>
    </xf>
    <xf numFmtId="3" fontId="0" fillId="0" borderId="16" xfId="0" applyNumberFormat="1" applyBorder="1" applyAlignment="1">
      <alignment horizontal="right"/>
    </xf>
    <xf numFmtId="165" fontId="0" fillId="0" borderId="16" xfId="0" applyNumberFormat="1" applyBorder="1" applyAlignment="1">
      <alignment horizontal="right"/>
    </xf>
    <xf numFmtId="0" fontId="0" fillId="0" borderId="13" xfId="0" applyBorder="1"/>
    <xf numFmtId="0" fontId="0" fillId="0" borderId="1" xfId="0" applyBorder="1"/>
    <xf numFmtId="0" fontId="0" fillId="0" borderId="14" xfId="0" applyBorder="1"/>
    <xf numFmtId="0" fontId="0" fillId="0" borderId="10" xfId="0" applyBorder="1"/>
    <xf numFmtId="0" fontId="0" fillId="0" borderId="11" xfId="0" applyBorder="1"/>
    <xf numFmtId="0" fontId="0" fillId="0" borderId="7" xfId="0" applyBorder="1"/>
    <xf numFmtId="0" fontId="19" fillId="0" borderId="13" xfId="0" applyFont="1" applyBorder="1"/>
    <xf numFmtId="0" fontId="19" fillId="0" borderId="0" xfId="0" applyFont="1"/>
    <xf numFmtId="14" fontId="18" fillId="0" borderId="0" xfId="0" applyNumberFormat="1" applyFont="1"/>
    <xf numFmtId="0" fontId="18" fillId="0" borderId="14" xfId="0" applyFont="1" applyBorder="1" applyAlignment="1">
      <alignment horizontal="right"/>
    </xf>
    <xf numFmtId="0" fontId="18" fillId="0" borderId="1" xfId="0" applyFont="1" applyBorder="1" applyAlignment="1">
      <alignment horizontal="left"/>
    </xf>
    <xf numFmtId="0" fontId="18" fillId="0" borderId="0" xfId="0" applyFont="1" applyAlignment="1">
      <alignment horizontal="left"/>
    </xf>
    <xf numFmtId="0" fontId="18" fillId="0" borderId="13" xfId="0" applyFont="1" applyBorder="1" applyAlignment="1">
      <alignment horizontal="left"/>
    </xf>
    <xf numFmtId="4" fontId="18" fillId="0" borderId="14" xfId="0" applyNumberFormat="1" applyFont="1" applyBorder="1" applyAlignment="1">
      <alignment horizontal="left"/>
    </xf>
    <xf numFmtId="0" fontId="18" fillId="0" borderId="10" xfId="0" applyFont="1" applyBorder="1" applyAlignment="1">
      <alignment horizontal="left"/>
    </xf>
    <xf numFmtId="4" fontId="18" fillId="0" borderId="11" xfId="0" applyNumberFormat="1" applyFont="1" applyBorder="1" applyAlignment="1">
      <alignment horizontal="left"/>
    </xf>
    <xf numFmtId="0" fontId="18" fillId="0" borderId="11" xfId="0" applyFont="1" applyBorder="1" applyAlignment="1">
      <alignment horizontal="left"/>
    </xf>
    <xf numFmtId="0" fontId="20" fillId="4" borderId="0" xfId="0" applyFont="1" applyFill="1"/>
    <xf numFmtId="0" fontId="4" fillId="0" borderId="18" xfId="0" applyFont="1" applyBorder="1"/>
    <xf numFmtId="0" fontId="3" fillId="0" borderId="9" xfId="0" applyFont="1" applyBorder="1"/>
    <xf numFmtId="0" fontId="0" fillId="0" borderId="15" xfId="0" applyBorder="1"/>
    <xf numFmtId="0" fontId="0" fillId="0" borderId="16" xfId="0" applyBorder="1"/>
    <xf numFmtId="4" fontId="0" fillId="0" borderId="0" xfId="0" applyNumberFormat="1"/>
    <xf numFmtId="0" fontId="0" fillId="0" borderId="19" xfId="0" applyBorder="1"/>
    <xf numFmtId="0" fontId="0" fillId="0" borderId="0" xfId="0" applyAlignment="1">
      <alignment horizontal="left" indent="3"/>
    </xf>
    <xf numFmtId="0" fontId="7" fillId="0" borderId="3" xfId="0" applyFont="1" applyBorder="1" applyAlignment="1">
      <alignment vertical="center"/>
    </xf>
    <xf numFmtId="0" fontId="0" fillId="0" borderId="0" xfId="0" applyAlignment="1">
      <alignment horizontal="left" indent="4"/>
    </xf>
    <xf numFmtId="0" fontId="0" fillId="0" borderId="0" xfId="0" applyAlignment="1">
      <alignment horizontal="left" indent="5"/>
    </xf>
    <xf numFmtId="0" fontId="6" fillId="0" borderId="0" xfId="0" applyFont="1" applyAlignment="1">
      <alignment horizontal="left" vertical="center" indent="4"/>
    </xf>
    <xf numFmtId="0" fontId="4" fillId="0" borderId="0" xfId="0" applyFont="1" applyAlignment="1">
      <alignment horizontal="right"/>
    </xf>
    <xf numFmtId="0" fontId="4" fillId="0" borderId="3" xfId="0" applyFont="1" applyBorder="1"/>
    <xf numFmtId="0" fontId="4" fillId="0" borderId="3" xfId="0" applyFont="1" applyBorder="1" applyAlignment="1">
      <alignment horizontal="right"/>
    </xf>
    <xf numFmtId="171" fontId="3" fillId="0" borderId="0" xfId="1" applyNumberFormat="1" applyFont="1" applyAlignment="1">
      <alignment horizontal="right"/>
    </xf>
    <xf numFmtId="169" fontId="3" fillId="0" borderId="0" xfId="0" applyNumberFormat="1" applyFont="1" applyAlignment="1">
      <alignment horizontal="right"/>
    </xf>
    <xf numFmtId="172" fontId="27" fillId="0" borderId="0" xfId="4" applyNumberFormat="1" applyFont="1" applyFill="1" applyBorder="1"/>
    <xf numFmtId="0" fontId="8" fillId="0" borderId="0" xfId="0" applyFont="1"/>
    <xf numFmtId="169" fontId="8" fillId="0" borderId="0" xfId="0" applyNumberFormat="1" applyFont="1"/>
    <xf numFmtId="170" fontId="8" fillId="0" borderId="0" xfId="0" applyNumberFormat="1" applyFont="1"/>
    <xf numFmtId="171" fontId="3" fillId="0" borderId="0" xfId="1" applyNumberFormat="1" applyFont="1"/>
    <xf numFmtId="169" fontId="3" fillId="0" borderId="0" xfId="0" applyNumberFormat="1" applyFont="1"/>
    <xf numFmtId="0" fontId="4" fillId="0" borderId="4" xfId="0" applyFont="1" applyBorder="1"/>
    <xf numFmtId="0" fontId="4" fillId="0" borderId="9" xfId="0" applyFont="1" applyBorder="1"/>
    <xf numFmtId="171" fontId="4" fillId="0" borderId="9" xfId="1" applyNumberFormat="1" applyFont="1" applyBorder="1"/>
    <xf numFmtId="0" fontId="10" fillId="0" borderId="0" xfId="0" applyFont="1" applyAlignment="1">
      <alignment horizontal="center"/>
    </xf>
    <xf numFmtId="0" fontId="16" fillId="0" borderId="0" xfId="0" applyFont="1"/>
    <xf numFmtId="37" fontId="28" fillId="0" borderId="9" xfId="0" applyNumberFormat="1" applyFont="1" applyBorder="1" applyAlignment="1">
      <alignment horizontal="left"/>
    </xf>
    <xf numFmtId="0" fontId="3" fillId="0" borderId="3" xfId="0" applyFont="1" applyBorder="1"/>
    <xf numFmtId="0" fontId="3" fillId="0" borderId="10" xfId="0" applyFont="1" applyBorder="1"/>
    <xf numFmtId="0" fontId="3" fillId="0" borderId="11" xfId="0" applyFont="1" applyBorder="1"/>
    <xf numFmtId="0" fontId="4" fillId="0" borderId="10" xfId="0" applyFont="1" applyBorder="1" applyAlignment="1">
      <alignment horizontal="center"/>
    </xf>
    <xf numFmtId="0" fontId="4" fillId="0" borderId="3" xfId="0" applyFont="1" applyBorder="1" applyAlignment="1">
      <alignment horizontal="centerContinuous"/>
    </xf>
    <xf numFmtId="0" fontId="3" fillId="0" borderId="3" xfId="0" applyFont="1" applyBorder="1" applyAlignment="1">
      <alignment horizontal="centerContinuous"/>
    </xf>
    <xf numFmtId="0" fontId="3" fillId="0" borderId="7" xfId="0" applyFont="1" applyBorder="1" applyAlignment="1">
      <alignment horizontal="centerContinuous"/>
    </xf>
    <xf numFmtId="10" fontId="4" fillId="0" borderId="9" xfId="0" applyNumberFormat="1" applyFont="1" applyBorder="1" applyAlignment="1">
      <alignment horizontal="center"/>
    </xf>
    <xf numFmtId="10" fontId="4" fillId="0" borderId="5" xfId="0" applyNumberFormat="1" applyFont="1" applyBorder="1" applyAlignment="1">
      <alignment horizontal="center"/>
    </xf>
    <xf numFmtId="171" fontId="4" fillId="0" borderId="10" xfId="0" applyNumberFormat="1" applyFont="1" applyBorder="1" applyAlignment="1">
      <alignment horizontal="right"/>
    </xf>
    <xf numFmtId="171" fontId="3" fillId="0" borderId="0" xfId="0" applyNumberFormat="1" applyFont="1" applyAlignment="1">
      <alignment horizontal="center"/>
    </xf>
    <xf numFmtId="171" fontId="3" fillId="0" borderId="11" xfId="0" applyNumberFormat="1" applyFont="1" applyBorder="1" applyAlignment="1">
      <alignment horizontal="center"/>
    </xf>
    <xf numFmtId="0" fontId="3" fillId="0" borderId="6" xfId="0" applyFont="1" applyBorder="1"/>
    <xf numFmtId="164" fontId="3" fillId="0" borderId="3" xfId="4" applyFont="1" applyBorder="1"/>
    <xf numFmtId="0" fontId="3" fillId="0" borderId="7" xfId="0" applyFont="1" applyBorder="1"/>
    <xf numFmtId="10" fontId="30" fillId="0" borderId="9" xfId="0" applyNumberFormat="1" applyFont="1" applyBorder="1" applyAlignment="1">
      <alignment horizontal="centerContinuous"/>
    </xf>
    <xf numFmtId="10" fontId="4" fillId="0" borderId="9" xfId="0" applyNumberFormat="1" applyFont="1" applyBorder="1" applyAlignment="1">
      <alignment horizontal="centerContinuous"/>
    </xf>
    <xf numFmtId="10" fontId="4" fillId="0" borderId="5" xfId="0" applyNumberFormat="1" applyFont="1" applyBorder="1" applyAlignment="1">
      <alignment horizontal="centerContinuous"/>
    </xf>
    <xf numFmtId="171" fontId="3" fillId="0" borderId="0" xfId="0" applyNumberFormat="1" applyFont="1" applyAlignment="1">
      <alignment horizontal="centerContinuous"/>
    </xf>
    <xf numFmtId="171" fontId="3" fillId="0" borderId="11" xfId="0" applyNumberFormat="1" applyFont="1" applyBorder="1" applyAlignment="1">
      <alignment horizontal="centerContinuous"/>
    </xf>
    <xf numFmtId="0" fontId="25" fillId="4" borderId="0" xfId="0" applyFont="1" applyFill="1" applyAlignment="1">
      <alignment vertical="center"/>
    </xf>
    <xf numFmtId="0" fontId="25" fillId="4" borderId="0" xfId="0" applyFont="1" applyFill="1"/>
    <xf numFmtId="0" fontId="26" fillId="4" borderId="0" xfId="0" applyFont="1" applyFill="1"/>
    <xf numFmtId="0" fontId="25" fillId="4" borderId="4" xfId="0" applyFont="1" applyFill="1" applyBorder="1" applyAlignment="1">
      <alignment vertical="center"/>
    </xf>
    <xf numFmtId="0" fontId="25" fillId="4" borderId="9" xfId="0" applyFont="1" applyFill="1" applyBorder="1"/>
    <xf numFmtId="0" fontId="26" fillId="4" borderId="9" xfId="0" applyFont="1" applyFill="1" applyBorder="1"/>
    <xf numFmtId="0" fontId="26" fillId="4" borderId="5" xfId="0" applyFont="1" applyFill="1" applyBorder="1"/>
    <xf numFmtId="0" fontId="3" fillId="0" borderId="0" xfId="0" applyFont="1" applyAlignment="1">
      <alignment horizontal="left"/>
    </xf>
    <xf numFmtId="168" fontId="3" fillId="0" borderId="0" xfId="0" applyNumberFormat="1" applyFont="1" applyAlignment="1">
      <alignment horizontal="right"/>
    </xf>
    <xf numFmtId="170" fontId="3" fillId="0" borderId="0" xfId="0" applyNumberFormat="1" applyFont="1" applyAlignment="1">
      <alignment horizontal="right"/>
    </xf>
    <xf numFmtId="0" fontId="19" fillId="0" borderId="10" xfId="0" applyFont="1" applyBorder="1"/>
    <xf numFmtId="0" fontId="9" fillId="0" borderId="0" xfId="0" applyFont="1" applyAlignment="1">
      <alignment horizontal="left" indent="6"/>
    </xf>
    <xf numFmtId="10" fontId="29" fillId="2" borderId="9" xfId="0" applyNumberFormat="1" applyFont="1" applyFill="1" applyBorder="1" applyAlignment="1">
      <alignment horizontal="centerContinuous"/>
    </xf>
    <xf numFmtId="171" fontId="29" fillId="2" borderId="10" xfId="0" applyNumberFormat="1" applyFont="1" applyFill="1" applyBorder="1" applyAlignment="1">
      <alignment horizontal="right"/>
    </xf>
    <xf numFmtId="10" fontId="27" fillId="2" borderId="9" xfId="0" applyNumberFormat="1" applyFont="1" applyFill="1" applyBorder="1" applyAlignment="1">
      <alignment horizontal="center"/>
    </xf>
    <xf numFmtId="173" fontId="10" fillId="2" borderId="15" xfId="0" applyNumberFormat="1" applyFont="1" applyFill="1" applyBorder="1" applyAlignment="1">
      <alignment horizontal="center"/>
    </xf>
    <xf numFmtId="173" fontId="10" fillId="2" borderId="8" xfId="0" applyNumberFormat="1" applyFont="1" applyFill="1" applyBorder="1" applyAlignment="1">
      <alignment horizontal="center"/>
    </xf>
    <xf numFmtId="173" fontId="10" fillId="2" borderId="17" xfId="0" applyNumberFormat="1" applyFont="1" applyFill="1" applyBorder="1" applyAlignment="1">
      <alignment horizontal="center"/>
    </xf>
    <xf numFmtId="171" fontId="0" fillId="0" borderId="0" xfId="1" applyNumberFormat="1" applyFont="1" applyAlignment="1">
      <alignment horizontal="right"/>
    </xf>
    <xf numFmtId="171" fontId="0" fillId="0" borderId="0" xfId="0" applyNumberFormat="1" applyAlignment="1">
      <alignment horizontal="right"/>
    </xf>
    <xf numFmtId="171" fontId="21" fillId="2" borderId="2" xfId="0" applyNumberFormat="1" applyFont="1" applyFill="1" applyBorder="1" applyAlignment="1">
      <alignment horizontal="right"/>
    </xf>
    <xf numFmtId="171" fontId="0" fillId="0" borderId="9" xfId="0" applyNumberFormat="1" applyBorder="1" applyAlignment="1">
      <alignment horizontal="right"/>
    </xf>
    <xf numFmtId="171" fontId="4" fillId="0" borderId="18" xfId="0" applyNumberFormat="1" applyFont="1" applyBorder="1" applyAlignment="1">
      <alignment horizontal="right"/>
    </xf>
    <xf numFmtId="37" fontId="3" fillId="0" borderId="0" xfId="0" applyNumberFormat="1" applyFont="1" applyAlignment="1">
      <alignment horizontal="right"/>
    </xf>
    <xf numFmtId="169" fontId="4" fillId="0" borderId="9" xfId="5" applyNumberFormat="1" applyFont="1" applyBorder="1" applyAlignment="1">
      <alignment horizontal="right"/>
    </xf>
    <xf numFmtId="0" fontId="19" fillId="3" borderId="13" xfId="0" applyFont="1" applyFill="1" applyBorder="1"/>
    <xf numFmtId="0" fontId="18" fillId="3" borderId="10" xfId="0" applyFont="1" applyFill="1" applyBorder="1"/>
    <xf numFmtId="0" fontId="18" fillId="3" borderId="0" xfId="0" applyFont="1" applyFill="1"/>
    <xf numFmtId="0" fontId="18" fillId="3" borderId="11" xfId="0" applyFont="1" applyFill="1" applyBorder="1"/>
    <xf numFmtId="165" fontId="0" fillId="0" borderId="0" xfId="0" applyNumberFormat="1" applyAlignment="1">
      <alignment horizontal="right"/>
    </xf>
    <xf numFmtId="3" fontId="0" fillId="0" borderId="11" xfId="0" applyNumberFormat="1" applyBorder="1" applyAlignment="1">
      <alignment horizontal="right"/>
    </xf>
    <xf numFmtId="4" fontId="0" fillId="0" borderId="3" xfId="0" applyNumberFormat="1" applyBorder="1" applyAlignment="1">
      <alignment horizontal="right"/>
    </xf>
    <xf numFmtId="3" fontId="0" fillId="0" borderId="3" xfId="0" applyNumberFormat="1" applyBorder="1" applyAlignment="1">
      <alignment horizontal="right"/>
    </xf>
    <xf numFmtId="165" fontId="0" fillId="0" borderId="3" xfId="0" applyNumberFormat="1" applyBorder="1" applyAlignment="1">
      <alignment horizontal="right"/>
    </xf>
    <xf numFmtId="3" fontId="0" fillId="0" borderId="7" xfId="0" applyNumberFormat="1" applyBorder="1" applyAlignment="1">
      <alignment horizontal="right"/>
    </xf>
    <xf numFmtId="0" fontId="18" fillId="3" borderId="7" xfId="0" applyFont="1" applyFill="1" applyBorder="1"/>
    <xf numFmtId="171" fontId="4" fillId="3" borderId="10" xfId="0" applyNumberFormat="1" applyFont="1" applyFill="1" applyBorder="1" applyAlignment="1">
      <alignment horizontal="right"/>
    </xf>
    <xf numFmtId="0" fontId="3" fillId="0" borderId="0" xfId="0" applyFont="1" applyAlignment="1">
      <alignment horizontal="left" indent="6"/>
    </xf>
    <xf numFmtId="0" fontId="3" fillId="0" borderId="0" xfId="0" applyFont="1" applyAlignment="1">
      <alignment horizontal="left" indent="1"/>
    </xf>
    <xf numFmtId="0" fontId="10" fillId="0" borderId="0" xfId="0" applyFont="1" applyAlignment="1">
      <alignment horizontal="left"/>
    </xf>
    <xf numFmtId="0" fontId="4" fillId="0" borderId="0" xfId="0" applyFont="1" applyAlignment="1">
      <alignment horizontal="left" indent="1"/>
    </xf>
    <xf numFmtId="0" fontId="13" fillId="0" borderId="0" xfId="0" applyFont="1" applyAlignment="1">
      <alignment horizontal="left" indent="2"/>
    </xf>
    <xf numFmtId="0" fontId="8" fillId="0" borderId="3" xfId="0" applyFont="1" applyBorder="1"/>
    <xf numFmtId="0" fontId="9" fillId="0" borderId="0" xfId="0" applyFont="1" applyAlignment="1">
      <alignment horizontal="right" indent="2"/>
    </xf>
    <xf numFmtId="171" fontId="3" fillId="0" borderId="0" xfId="0" applyNumberFormat="1" applyFont="1" applyAlignment="1">
      <alignment horizontal="right"/>
    </xf>
    <xf numFmtId="169" fontId="4" fillId="0" borderId="5" xfId="0" applyNumberFormat="1" applyFont="1" applyBorder="1" applyAlignment="1">
      <alignment horizontal="right"/>
    </xf>
    <xf numFmtId="0" fontId="10" fillId="0" borderId="8" xfId="0" applyFont="1" applyBorder="1" applyAlignment="1">
      <alignment horizontal="right"/>
    </xf>
    <xf numFmtId="2" fontId="3" fillId="0" borderId="0" xfId="0" applyNumberFormat="1" applyFont="1" applyAlignment="1">
      <alignment horizontal="right"/>
    </xf>
    <xf numFmtId="2" fontId="8" fillId="0" borderId="0" xfId="0" applyNumberFormat="1" applyFont="1" applyAlignment="1">
      <alignment horizontal="right"/>
    </xf>
    <xf numFmtId="0" fontId="4" fillId="0" borderId="0" xfId="6" applyFont="1"/>
    <xf numFmtId="0" fontId="23" fillId="0" borderId="0" xfId="0" applyFont="1" applyAlignment="1">
      <alignment horizontal="left"/>
    </xf>
    <xf numFmtId="0" fontId="32" fillId="0" borderId="0" xfId="0" applyFont="1"/>
    <xf numFmtId="0" fontId="0" fillId="0" borderId="3" xfId="0" applyBorder="1" applyAlignment="1">
      <alignment horizontal="centerContinuous"/>
    </xf>
    <xf numFmtId="0" fontId="33" fillId="0" borderId="0" xfId="0" applyFont="1"/>
    <xf numFmtId="0" fontId="11" fillId="0" borderId="0" xfId="0" applyFont="1" applyAlignment="1">
      <alignment horizontal="left" indent="2"/>
    </xf>
    <xf numFmtId="0" fontId="11" fillId="0" borderId="0" xfId="0" applyFont="1"/>
    <xf numFmtId="0" fontId="26" fillId="0" borderId="3" xfId="0" applyFont="1" applyBorder="1"/>
    <xf numFmtId="0" fontId="31" fillId="0" borderId="3" xfId="0" applyFont="1" applyBorder="1" applyAlignment="1">
      <alignment horizontal="centerContinuous"/>
    </xf>
    <xf numFmtId="0" fontId="31" fillId="0" borderId="0" xfId="0" applyFont="1" applyAlignment="1">
      <alignment horizontal="right"/>
    </xf>
    <xf numFmtId="0" fontId="31" fillId="0" borderId="3" xfId="0" applyFont="1" applyBorder="1" applyAlignment="1">
      <alignment horizontal="right"/>
    </xf>
    <xf numFmtId="0" fontId="26" fillId="4" borderId="9" xfId="0" applyFont="1" applyFill="1" applyBorder="1" applyAlignment="1">
      <alignment vertical="center"/>
    </xf>
    <xf numFmtId="0" fontId="26" fillId="4" borderId="5" xfId="0" applyFont="1" applyFill="1" applyBorder="1" applyAlignment="1">
      <alignment vertical="center"/>
    </xf>
    <xf numFmtId="0" fontId="25" fillId="4" borderId="9" xfId="0" applyFont="1" applyFill="1" applyBorder="1" applyAlignment="1">
      <alignment vertical="center"/>
    </xf>
    <xf numFmtId="0" fontId="25" fillId="4" borderId="5" xfId="0" applyFont="1" applyFill="1" applyBorder="1" applyAlignment="1">
      <alignment vertical="center"/>
    </xf>
    <xf numFmtId="10" fontId="3" fillId="0" borderId="0" xfId="0" applyNumberFormat="1" applyFont="1"/>
    <xf numFmtId="175" fontId="36" fillId="0" borderId="0" xfId="0" applyNumberFormat="1" applyFont="1"/>
    <xf numFmtId="171" fontId="3" fillId="0" borderId="0" xfId="0" applyNumberFormat="1" applyFont="1"/>
    <xf numFmtId="0" fontId="11" fillId="0" borderId="3" xfId="0" applyFont="1" applyBorder="1"/>
    <xf numFmtId="174" fontId="11" fillId="0" borderId="0" xfId="0" applyNumberFormat="1" applyFont="1" applyAlignment="1">
      <alignment horizontal="right"/>
    </xf>
    <xf numFmtId="0" fontId="3" fillId="0" borderId="0" xfId="0" applyFont="1" applyAlignment="1">
      <alignment horizontal="left" indent="2"/>
    </xf>
    <xf numFmtId="0" fontId="0" fillId="0" borderId="0" xfId="0" applyAlignment="1">
      <alignment horizontal="left" indent="2"/>
    </xf>
    <xf numFmtId="3" fontId="3" fillId="0" borderId="0" xfId="0" applyNumberFormat="1" applyFont="1" applyAlignment="1">
      <alignment horizontal="right"/>
    </xf>
    <xf numFmtId="171" fontId="3" fillId="0" borderId="8" xfId="0" applyNumberFormat="1" applyFont="1" applyBorder="1"/>
    <xf numFmtId="37" fontId="3" fillId="0" borderId="3" xfId="0" applyNumberFormat="1" applyFont="1" applyBorder="1" applyAlignment="1">
      <alignment horizontal="right"/>
    </xf>
    <xf numFmtId="0" fontId="6" fillId="0" borderId="3" xfId="0" applyFont="1" applyBorder="1" applyAlignment="1">
      <alignment horizontal="left" vertical="center" indent="4"/>
    </xf>
    <xf numFmtId="0" fontId="42" fillId="0" borderId="0" xfId="0" applyFont="1" applyAlignment="1">
      <alignment horizontal="center"/>
    </xf>
    <xf numFmtId="178" fontId="10" fillId="0" borderId="0" xfId="0" applyNumberFormat="1" applyFont="1" applyAlignment="1">
      <alignment horizontal="center"/>
    </xf>
    <xf numFmtId="174" fontId="11" fillId="0" borderId="3" xfId="0" applyNumberFormat="1" applyFont="1" applyBorder="1" applyAlignment="1">
      <alignment horizontal="right"/>
    </xf>
    <xf numFmtId="0" fontId="3" fillId="0" borderId="0" xfId="0" quotePrefix="1" applyFont="1"/>
    <xf numFmtId="0" fontId="3" fillId="4" borderId="0" xfId="0" applyFont="1" applyFill="1"/>
    <xf numFmtId="0" fontId="3" fillId="0" borderId="0" xfId="0" applyFont="1" applyAlignment="1">
      <alignment horizontal="centerContinuous"/>
    </xf>
    <xf numFmtId="0" fontId="4" fillId="0" borderId="0" xfId="0" applyFont="1" applyAlignment="1">
      <alignment horizontal="center"/>
    </xf>
    <xf numFmtId="0" fontId="4" fillId="0" borderId="4" xfId="0" applyFont="1" applyBorder="1" applyAlignment="1">
      <alignment horizontal="centerContinuous"/>
    </xf>
    <xf numFmtId="0" fontId="4" fillId="0" borderId="9" xfId="0" applyFont="1" applyBorder="1" applyAlignment="1">
      <alignment horizontal="centerContinuous"/>
    </xf>
    <xf numFmtId="0" fontId="3" fillId="0" borderId="5" xfId="0" applyFont="1" applyBorder="1" applyAlignment="1">
      <alignment horizontal="centerContinuous"/>
    </xf>
    <xf numFmtId="173" fontId="10" fillId="0" borderId="8" xfId="0" applyNumberFormat="1" applyFont="1" applyBorder="1" applyAlignment="1">
      <alignment horizontal="center"/>
    </xf>
    <xf numFmtId="0" fontId="4" fillId="0" borderId="6" xfId="0" applyFont="1" applyBorder="1" applyAlignment="1">
      <alignment horizontal="centerContinuous"/>
    </xf>
    <xf numFmtId="181" fontId="10" fillId="0" borderId="8" xfId="0" applyNumberFormat="1" applyFont="1" applyBorder="1" applyAlignment="1">
      <alignment horizontal="center"/>
    </xf>
    <xf numFmtId="0" fontId="4" fillId="0" borderId="3" xfId="0" applyFont="1" applyBorder="1" applyAlignment="1">
      <alignment horizontal="center"/>
    </xf>
    <xf numFmtId="175" fontId="4" fillId="0" borderId="4" xfId="0" applyNumberFormat="1" applyFont="1" applyBorder="1" applyAlignment="1">
      <alignment horizontal="center"/>
    </xf>
    <xf numFmtId="175" fontId="4" fillId="0" borderId="9" xfId="0" applyNumberFormat="1" applyFont="1" applyBorder="1" applyAlignment="1">
      <alignment horizontal="center"/>
    </xf>
    <xf numFmtId="175" fontId="4" fillId="0" borderId="5" xfId="0" applyNumberFormat="1" applyFont="1" applyBorder="1" applyAlignment="1">
      <alignment horizontal="center"/>
    </xf>
    <xf numFmtId="10" fontId="4" fillId="0" borderId="0" xfId="0" applyNumberFormat="1" applyFont="1" applyAlignment="1">
      <alignment horizontal="center"/>
    </xf>
    <xf numFmtId="165" fontId="3" fillId="0" borderId="0" xfId="0" applyNumberFormat="1" applyFont="1"/>
    <xf numFmtId="165" fontId="3" fillId="0" borderId="10" xfId="0" applyNumberFormat="1" applyFont="1" applyBorder="1" applyAlignment="1">
      <alignment horizontal="center"/>
    </xf>
    <xf numFmtId="165" fontId="3" fillId="0" borderId="0" xfId="0" applyNumberFormat="1" applyFont="1" applyAlignment="1">
      <alignment horizontal="center"/>
    </xf>
    <xf numFmtId="165" fontId="3" fillId="0" borderId="11" xfId="0" applyNumberFormat="1" applyFont="1" applyBorder="1" applyAlignment="1">
      <alignment horizontal="center"/>
    </xf>
    <xf numFmtId="165" fontId="4" fillId="0" borderId="0" xfId="0" applyNumberFormat="1" applyFont="1" applyAlignment="1">
      <alignment horizontal="center"/>
    </xf>
    <xf numFmtId="10" fontId="4" fillId="0" borderId="3" xfId="0" applyNumberFormat="1" applyFont="1" applyBorder="1" applyAlignment="1">
      <alignment horizontal="center"/>
    </xf>
    <xf numFmtId="171" fontId="3" fillId="0" borderId="3" xfId="0" applyNumberFormat="1" applyFont="1" applyBorder="1"/>
    <xf numFmtId="171" fontId="3" fillId="0" borderId="6" xfId="0" applyNumberFormat="1" applyFont="1" applyBorder="1"/>
    <xf numFmtId="171" fontId="3" fillId="0" borderId="7" xfId="0" applyNumberFormat="1" applyFont="1" applyBorder="1"/>
    <xf numFmtId="182" fontId="4" fillId="0" borderId="3" xfId="0" applyNumberFormat="1" applyFont="1" applyBorder="1" applyAlignment="1">
      <alignment horizontal="center"/>
    </xf>
    <xf numFmtId="170" fontId="3" fillId="0" borderId="0" xfId="0" applyNumberFormat="1" applyFont="1"/>
    <xf numFmtId="4" fontId="3" fillId="0" borderId="10" xfId="0" applyNumberFormat="1" applyFont="1" applyBorder="1" applyAlignment="1">
      <alignment horizontal="center"/>
    </xf>
    <xf numFmtId="4" fontId="3" fillId="0" borderId="0" xfId="0" applyNumberFormat="1" applyFont="1" applyAlignment="1">
      <alignment horizontal="center"/>
    </xf>
    <xf numFmtId="4" fontId="3" fillId="0" borderId="11" xfId="0" applyNumberFormat="1" applyFont="1" applyBorder="1" applyAlignment="1">
      <alignment horizontal="center"/>
    </xf>
    <xf numFmtId="0" fontId="4" fillId="0" borderId="0" xfId="0" quotePrefix="1" applyFont="1" applyAlignment="1">
      <alignment horizontal="center"/>
    </xf>
    <xf numFmtId="174" fontId="3" fillId="0" borderId="10" xfId="0" applyNumberFormat="1" applyFont="1" applyBorder="1" applyAlignment="1">
      <alignment horizontal="center"/>
    </xf>
    <xf numFmtId="174" fontId="3" fillId="0" borderId="0" xfId="0" applyNumberFormat="1" applyFont="1" applyAlignment="1">
      <alignment horizontal="center"/>
    </xf>
    <xf numFmtId="174" fontId="3" fillId="0" borderId="11" xfId="0" applyNumberFormat="1" applyFont="1" applyBorder="1" applyAlignment="1">
      <alignment horizontal="center"/>
    </xf>
    <xf numFmtId="165" fontId="4" fillId="0" borderId="0" xfId="0" quotePrefix="1" applyNumberFormat="1" applyFont="1" applyAlignment="1">
      <alignment horizontal="center"/>
    </xf>
    <xf numFmtId="0" fontId="26" fillId="0" borderId="0" xfId="0" applyFont="1" applyAlignment="1">
      <alignment horizontal="center"/>
    </xf>
    <xf numFmtId="0" fontId="26" fillId="0" borderId="0" xfId="0" applyFont="1"/>
    <xf numFmtId="180" fontId="4" fillId="0" borderId="9" xfId="0" applyNumberFormat="1" applyFont="1" applyBorder="1" applyAlignment="1">
      <alignment horizontal="right"/>
    </xf>
    <xf numFmtId="0" fontId="3" fillId="0" borderId="0" xfId="6" applyFont="1"/>
    <xf numFmtId="0" fontId="11" fillId="0" borderId="0" xfId="6" applyFont="1"/>
    <xf numFmtId="0" fontId="0" fillId="0" borderId="18" xfId="0" applyBorder="1"/>
    <xf numFmtId="0" fontId="0" fillId="0" borderId="9" xfId="0" applyBorder="1"/>
    <xf numFmtId="10" fontId="0" fillId="0" borderId="0" xfId="0" applyNumberFormat="1" applyAlignment="1">
      <alignment horizontal="right"/>
    </xf>
    <xf numFmtId="173" fontId="0" fillId="0" borderId="0" xfId="0" applyNumberFormat="1"/>
    <xf numFmtId="174" fontId="3" fillId="0" borderId="0" xfId="0" applyNumberFormat="1" applyFont="1" applyAlignment="1">
      <alignment horizontal="right"/>
    </xf>
    <xf numFmtId="174" fontId="3" fillId="0" borderId="3" xfId="0" applyNumberFormat="1" applyFont="1" applyBorder="1" applyAlignment="1">
      <alignment horizontal="right"/>
    </xf>
    <xf numFmtId="0" fontId="3" fillId="0" borderId="0" xfId="0" applyFont="1" applyAlignment="1">
      <alignment horizontal="right"/>
    </xf>
    <xf numFmtId="174" fontId="3" fillId="0" borderId="18" xfId="0" applyNumberFormat="1" applyFont="1" applyBorder="1" applyAlignment="1">
      <alignment horizontal="right"/>
    </xf>
    <xf numFmtId="39" fontId="16" fillId="0" borderId="0" xfId="0" applyNumberFormat="1" applyFont="1" applyAlignment="1">
      <alignment horizontal="right"/>
    </xf>
    <xf numFmtId="0" fontId="18" fillId="0" borderId="0" xfId="0" applyFont="1" applyAlignment="1">
      <alignment horizontal="right"/>
    </xf>
    <xf numFmtId="176" fontId="18" fillId="0" borderId="0" xfId="0" applyNumberFormat="1" applyFont="1" applyAlignment="1">
      <alignment horizontal="right"/>
    </xf>
    <xf numFmtId="185" fontId="4" fillId="0" borderId="5" xfId="0" applyNumberFormat="1" applyFont="1" applyBorder="1" applyAlignment="1">
      <alignment horizontal="right"/>
    </xf>
    <xf numFmtId="177" fontId="3" fillId="0" borderId="0" xfId="0" applyNumberFormat="1" applyFont="1" applyAlignment="1">
      <alignment horizontal="right"/>
    </xf>
    <xf numFmtId="174" fontId="0" fillId="0" borderId="0" xfId="0" applyNumberFormat="1" applyAlignment="1">
      <alignment horizontal="right"/>
    </xf>
    <xf numFmtId="177" fontId="16" fillId="0" borderId="0" xfId="0" applyNumberFormat="1" applyFont="1" applyAlignment="1">
      <alignment horizontal="right"/>
    </xf>
    <xf numFmtId="177" fontId="0" fillId="0" borderId="0" xfId="0" applyNumberFormat="1" applyAlignment="1">
      <alignment horizontal="right"/>
    </xf>
    <xf numFmtId="174" fontId="0" fillId="0" borderId="3" xfId="0" applyNumberFormat="1" applyBorder="1" applyAlignment="1">
      <alignment horizontal="right"/>
    </xf>
    <xf numFmtId="165" fontId="3" fillId="0" borderId="0" xfId="0" applyNumberFormat="1" applyFont="1" applyAlignment="1">
      <alignment horizontal="right"/>
    </xf>
    <xf numFmtId="0" fontId="18" fillId="0" borderId="0" xfId="0" applyFont="1"/>
    <xf numFmtId="39" fontId="3" fillId="0" borderId="0" xfId="0" applyNumberFormat="1" applyFont="1" applyAlignment="1">
      <alignment horizontal="right"/>
    </xf>
    <xf numFmtId="0" fontId="11" fillId="0" borderId="0" xfId="6" applyFont="1" applyAlignment="1">
      <alignment vertical="top" wrapText="1"/>
    </xf>
    <xf numFmtId="37" fontId="3" fillId="0" borderId="18" xfId="0" applyNumberFormat="1" applyFont="1" applyBorder="1" applyAlignment="1">
      <alignment horizontal="right"/>
    </xf>
    <xf numFmtId="37" fontId="3" fillId="0" borderId="0" xfId="0" applyNumberFormat="1" applyFont="1"/>
    <xf numFmtId="186" fontId="3" fillId="0" borderId="0" xfId="0" applyNumberFormat="1" applyFont="1" applyAlignment="1">
      <alignment horizontal="right"/>
    </xf>
    <xf numFmtId="165" fontId="5" fillId="0" borderId="0" xfId="0" applyNumberFormat="1" applyFont="1" applyAlignment="1">
      <alignment horizontal="center"/>
    </xf>
    <xf numFmtId="165" fontId="5" fillId="0" borderId="11" xfId="0" applyNumberFormat="1" applyFont="1" applyBorder="1" applyAlignment="1">
      <alignment horizontal="center"/>
    </xf>
    <xf numFmtId="184" fontId="43" fillId="0" borderId="0" xfId="0" applyNumberFormat="1" applyFont="1" applyAlignment="1">
      <alignment horizontal="right"/>
    </xf>
    <xf numFmtId="184" fontId="11" fillId="0" borderId="0" xfId="0" applyNumberFormat="1" applyFont="1" applyAlignment="1">
      <alignment horizontal="right"/>
    </xf>
    <xf numFmtId="184" fontId="11" fillId="0" borderId="3" xfId="0" applyNumberFormat="1" applyFont="1" applyBorder="1" applyAlignment="1">
      <alignment horizontal="right"/>
    </xf>
    <xf numFmtId="183" fontId="43" fillId="0" borderId="0" xfId="0" applyNumberFormat="1" applyFont="1" applyAlignment="1">
      <alignment horizontal="right"/>
    </xf>
    <xf numFmtId="183" fontId="11" fillId="0" borderId="0" xfId="0" applyNumberFormat="1" applyFont="1" applyAlignment="1">
      <alignment horizontal="right"/>
    </xf>
    <xf numFmtId="180" fontId="31" fillId="0" borderId="3" xfId="0" applyNumberFormat="1" applyFont="1" applyBorder="1" applyAlignment="1">
      <alignment horizontal="right"/>
    </xf>
    <xf numFmtId="3" fontId="4" fillId="0" borderId="0" xfId="0" applyNumberFormat="1" applyFont="1" applyAlignment="1">
      <alignment horizontal="right"/>
    </xf>
    <xf numFmtId="174" fontId="37" fillId="2" borderId="0" xfId="0" applyNumberFormat="1" applyFont="1" applyFill="1" applyAlignment="1">
      <alignment horizontal="right"/>
    </xf>
    <xf numFmtId="174" fontId="21" fillId="2" borderId="0" xfId="0" applyNumberFormat="1" applyFont="1" applyFill="1" applyAlignment="1">
      <alignment horizontal="right"/>
    </xf>
    <xf numFmtId="174" fontId="38" fillId="2" borderId="0" xfId="0" applyNumberFormat="1" applyFont="1" applyFill="1" applyAlignment="1">
      <alignment horizontal="right"/>
    </xf>
    <xf numFmtId="175" fontId="21" fillId="2" borderId="0" xfId="0" applyNumberFormat="1" applyFont="1" applyFill="1" applyAlignment="1">
      <alignment horizontal="right"/>
    </xf>
    <xf numFmtId="0" fontId="4" fillId="0" borderId="9" xfId="0" applyFont="1" applyBorder="1" applyAlignment="1">
      <alignment horizontal="right"/>
    </xf>
    <xf numFmtId="176" fontId="4" fillId="0" borderId="9" xfId="0" applyNumberFormat="1" applyFont="1" applyBorder="1" applyAlignment="1">
      <alignment horizontal="right"/>
    </xf>
    <xf numFmtId="176" fontId="4" fillId="0" borderId="3" xfId="0" applyNumberFormat="1" applyFont="1" applyBorder="1" applyAlignment="1">
      <alignment horizontal="right"/>
    </xf>
    <xf numFmtId="174" fontId="38" fillId="2" borderId="3" xfId="0" applyNumberFormat="1" applyFont="1" applyFill="1" applyBorder="1" applyAlignment="1">
      <alignment horizontal="right"/>
    </xf>
    <xf numFmtId="171" fontId="4" fillId="0" borderId="0" xfId="0" applyNumberFormat="1" applyFont="1" applyAlignment="1">
      <alignment horizontal="right"/>
    </xf>
    <xf numFmtId="3" fontId="0" fillId="0" borderId="0" xfId="0" applyNumberFormat="1"/>
    <xf numFmtId="0" fontId="20" fillId="0" borderId="0" xfId="0" applyFont="1"/>
    <xf numFmtId="171" fontId="21" fillId="0" borderId="0" xfId="0" applyNumberFormat="1" applyFont="1" applyAlignment="1">
      <alignment horizontal="right"/>
    </xf>
    <xf numFmtId="171" fontId="0" fillId="0" borderId="0" xfId="1" applyNumberFormat="1" applyFont="1" applyFill="1" applyAlignment="1">
      <alignment horizontal="right"/>
    </xf>
    <xf numFmtId="173" fontId="10" fillId="0" borderId="0" xfId="0" applyNumberFormat="1" applyFont="1" applyAlignment="1">
      <alignment horizontal="center"/>
    </xf>
    <xf numFmtId="182" fontId="4" fillId="0" borderId="0" xfId="0" applyNumberFormat="1" applyFont="1" applyAlignment="1">
      <alignment horizontal="center"/>
    </xf>
    <xf numFmtId="167" fontId="21" fillId="0" borderId="0" xfId="0" applyNumberFormat="1" applyFont="1" applyAlignment="1">
      <alignment horizontal="left"/>
    </xf>
    <xf numFmtId="176" fontId="3" fillId="0" borderId="0" xfId="0" applyNumberFormat="1" applyFont="1"/>
    <xf numFmtId="37" fontId="0" fillId="0" borderId="0" xfId="0" applyNumberFormat="1" applyAlignment="1">
      <alignment horizontal="right"/>
    </xf>
    <xf numFmtId="37" fontId="4" fillId="0" borderId="0" xfId="0" applyNumberFormat="1" applyFont="1" applyAlignment="1">
      <alignment horizontal="right"/>
    </xf>
    <xf numFmtId="176" fontId="3" fillId="0" borderId="0" xfId="0" applyNumberFormat="1" applyFont="1" applyAlignment="1">
      <alignment horizontal="right"/>
    </xf>
    <xf numFmtId="187" fontId="11" fillId="0" borderId="3" xfId="0" applyNumberFormat="1" applyFont="1" applyBorder="1" applyAlignment="1">
      <alignment horizontal="right"/>
    </xf>
    <xf numFmtId="1" fontId="4" fillId="0" borderId="0" xfId="0" applyNumberFormat="1" applyFont="1" applyAlignment="1">
      <alignment horizontal="center" wrapText="1"/>
    </xf>
    <xf numFmtId="0" fontId="4" fillId="0" borderId="0" xfId="0" applyFont="1" applyAlignment="1">
      <alignment horizontal="centerContinuous"/>
    </xf>
    <xf numFmtId="0" fontId="4" fillId="0" borderId="0" xfId="0" applyFont="1" applyAlignment="1">
      <alignment horizontal="left"/>
    </xf>
    <xf numFmtId="171" fontId="3" fillId="0" borderId="3" xfId="0" applyNumberFormat="1" applyFont="1" applyBorder="1" applyAlignment="1">
      <alignment horizontal="left"/>
    </xf>
    <xf numFmtId="176" fontId="4" fillId="0" borderId="0" xfId="0" applyNumberFormat="1" applyFont="1" applyAlignment="1">
      <alignment horizontal="right"/>
    </xf>
    <xf numFmtId="180" fontId="4" fillId="0" borderId="0" xfId="0" applyNumberFormat="1" applyFont="1" applyAlignment="1">
      <alignment horizontal="right"/>
    </xf>
    <xf numFmtId="0" fontId="0" fillId="0" borderId="16" xfId="0" applyBorder="1" applyAlignment="1">
      <alignment horizontal="right"/>
    </xf>
    <xf numFmtId="0" fontId="18" fillId="0" borderId="6" xfId="0" applyFont="1" applyBorder="1" applyAlignment="1">
      <alignment horizontal="left"/>
    </xf>
    <xf numFmtId="0" fontId="0" fillId="3" borderId="1" xfId="0" applyFill="1" applyBorder="1"/>
    <xf numFmtId="176" fontId="18" fillId="3" borderId="14" xfId="0" applyNumberFormat="1" applyFont="1" applyFill="1" applyBorder="1" applyAlignment="1">
      <alignment horizontal="right"/>
    </xf>
    <xf numFmtId="0" fontId="0" fillId="3" borderId="6" xfId="0" applyFill="1" applyBorder="1"/>
    <xf numFmtId="0" fontId="0" fillId="3" borderId="3" xfId="0" applyFill="1" applyBorder="1"/>
    <xf numFmtId="176" fontId="18" fillId="3" borderId="7" xfId="0" applyNumberFormat="1" applyFont="1" applyFill="1" applyBorder="1" applyAlignment="1">
      <alignment horizontal="right"/>
    </xf>
    <xf numFmtId="0" fontId="19" fillId="3" borderId="4" xfId="0" applyFont="1" applyFill="1" applyBorder="1"/>
    <xf numFmtId="0" fontId="0" fillId="3" borderId="9" xfId="0" applyFill="1" applyBorder="1"/>
    <xf numFmtId="1" fontId="18" fillId="3" borderId="5" xfId="0" applyNumberFormat="1" applyFont="1" applyFill="1" applyBorder="1" applyAlignment="1">
      <alignment horizontal="right"/>
    </xf>
    <xf numFmtId="0" fontId="0" fillId="3" borderId="13" xfId="0" applyFill="1" applyBorder="1"/>
    <xf numFmtId="0" fontId="0" fillId="3" borderId="14" xfId="0" applyFill="1" applyBorder="1"/>
    <xf numFmtId="0" fontId="0" fillId="3" borderId="10" xfId="0" applyFill="1" applyBorder="1"/>
    <xf numFmtId="1" fontId="0" fillId="3" borderId="13" xfId="0" applyNumberFormat="1" applyFill="1" applyBorder="1"/>
    <xf numFmtId="1" fontId="0" fillId="3" borderId="14" xfId="0" applyNumberFormat="1" applyFill="1" applyBorder="1"/>
    <xf numFmtId="0" fontId="0" fillId="3" borderId="10" xfId="0" applyFill="1" applyBorder="1" applyAlignment="1">
      <alignment horizontal="left"/>
    </xf>
    <xf numFmtId="1" fontId="18" fillId="3" borderId="11" xfId="0" applyNumberFormat="1" applyFont="1" applyFill="1" applyBorder="1"/>
    <xf numFmtId="4" fontId="0" fillId="0" borderId="7" xfId="0" applyNumberFormat="1" applyBorder="1" applyAlignment="1">
      <alignment horizontal="right"/>
    </xf>
    <xf numFmtId="0" fontId="0" fillId="3" borderId="5" xfId="0" applyFill="1" applyBorder="1"/>
    <xf numFmtId="0" fontId="0" fillId="3" borderId="0" xfId="0" applyFill="1"/>
    <xf numFmtId="0" fontId="18" fillId="3" borderId="14" xfId="0" applyFont="1" applyFill="1" applyBorder="1" applyAlignment="1">
      <alignment horizontal="right"/>
    </xf>
    <xf numFmtId="179" fontId="18" fillId="3" borderId="0" xfId="0" applyNumberFormat="1" applyFont="1" applyFill="1"/>
    <xf numFmtId="4" fontId="0" fillId="0" borderId="16" xfId="0" applyNumberFormat="1" applyBorder="1"/>
    <xf numFmtId="179" fontId="0" fillId="0" borderId="16" xfId="0" applyNumberFormat="1" applyBorder="1"/>
    <xf numFmtId="177" fontId="3" fillId="0" borderId="17" xfId="0" applyNumberFormat="1" applyFont="1" applyBorder="1"/>
    <xf numFmtId="0" fontId="3" fillId="0" borderId="13" xfId="0" applyFont="1" applyBorder="1" applyAlignment="1">
      <alignment horizontal="left"/>
    </xf>
    <xf numFmtId="0" fontId="3" fillId="0" borderId="14" xfId="0" applyFont="1" applyBorder="1"/>
    <xf numFmtId="0" fontId="3" fillId="0" borderId="10" xfId="0" applyFont="1" applyBorder="1" applyAlignment="1">
      <alignment horizontal="left"/>
    </xf>
    <xf numFmtId="0" fontId="3" fillId="0" borderId="6" xfId="0" applyFont="1" applyBorder="1" applyAlignment="1">
      <alignment horizontal="left"/>
    </xf>
    <xf numFmtId="0" fontId="23" fillId="0" borderId="0" xfId="0" applyFont="1"/>
    <xf numFmtId="0" fontId="10" fillId="2" borderId="2" xfId="0" applyFont="1" applyFill="1" applyBorder="1" applyAlignment="1">
      <alignment horizontal="center"/>
    </xf>
    <xf numFmtId="0" fontId="21" fillId="2" borderId="22" xfId="4" applyNumberFormat="1" applyFont="1" applyFill="1" applyBorder="1" applyAlignment="1">
      <alignment horizontal="center"/>
    </xf>
    <xf numFmtId="0" fontId="21" fillId="2" borderId="2" xfId="4" quotePrefix="1" applyNumberFormat="1" applyFont="1" applyFill="1" applyBorder="1" applyAlignment="1">
      <alignment horizontal="center"/>
    </xf>
    <xf numFmtId="0" fontId="21" fillId="2" borderId="2" xfId="4" applyNumberFormat="1" applyFont="1" applyFill="1" applyBorder="1" applyAlignment="1">
      <alignment horizontal="center"/>
    </xf>
    <xf numFmtId="0" fontId="14" fillId="0" borderId="0" xfId="0" applyFont="1" applyAlignment="1">
      <alignment horizontal="center"/>
    </xf>
    <xf numFmtId="0" fontId="14" fillId="0" borderId="0" xfId="0" applyFont="1" applyAlignment="1">
      <alignment horizontal="centerContinuous"/>
    </xf>
    <xf numFmtId="0" fontId="0" fillId="0" borderId="5" xfId="0" applyBorder="1"/>
    <xf numFmtId="185" fontId="3" fillId="0" borderId="0" xfId="0" applyNumberFormat="1" applyFont="1" applyAlignment="1">
      <alignment horizontal="right"/>
    </xf>
    <xf numFmtId="14" fontId="10" fillId="2" borderId="2" xfId="0" applyNumberFormat="1" applyFont="1" applyFill="1" applyBorder="1" applyAlignment="1">
      <alignment horizontal="center"/>
    </xf>
    <xf numFmtId="14" fontId="0" fillId="0" borderId="0" xfId="0" applyNumberFormat="1" applyAlignment="1">
      <alignment horizontal="left"/>
    </xf>
    <xf numFmtId="0" fontId="18" fillId="3" borderId="0" xfId="0" applyFont="1" applyFill="1" applyAlignment="1">
      <alignment horizontal="right"/>
    </xf>
    <xf numFmtId="0" fontId="18" fillId="3" borderId="11" xfId="0" applyFont="1" applyFill="1" applyBorder="1" applyAlignment="1">
      <alignment horizontal="right"/>
    </xf>
    <xf numFmtId="0" fontId="19" fillId="3" borderId="10" xfId="0" applyFont="1" applyFill="1" applyBorder="1"/>
    <xf numFmtId="0" fontId="0" fillId="0" borderId="17" xfId="0" applyBorder="1" applyAlignment="1">
      <alignment horizontal="left"/>
    </xf>
    <xf numFmtId="0" fontId="0" fillId="5" borderId="13" xfId="0" applyFill="1" applyBorder="1" applyAlignment="1">
      <alignment horizontal="left"/>
    </xf>
    <xf numFmtId="0" fontId="0" fillId="5" borderId="1" xfId="0" applyFill="1" applyBorder="1" applyAlignment="1">
      <alignment horizontal="left"/>
    </xf>
    <xf numFmtId="0" fontId="0" fillId="5" borderId="14" xfId="0" applyFill="1" applyBorder="1" applyAlignment="1">
      <alignment horizontal="left"/>
    </xf>
    <xf numFmtId="0" fontId="4" fillId="0" borderId="13" xfId="0" applyFont="1" applyBorder="1"/>
    <xf numFmtId="49" fontId="4" fillId="0" borderId="1" xfId="0" applyNumberFormat="1" applyFont="1" applyBorder="1" applyAlignment="1">
      <alignment horizontal="left"/>
    </xf>
    <xf numFmtId="49" fontId="31" fillId="0" borderId="1" xfId="0" applyNumberFormat="1" applyFont="1" applyBorder="1" applyAlignment="1">
      <alignment horizontal="left"/>
    </xf>
    <xf numFmtId="0" fontId="31" fillId="0" borderId="1" xfId="0" applyFont="1" applyBorder="1" applyAlignment="1">
      <alignment horizontal="left"/>
    </xf>
    <xf numFmtId="0" fontId="31" fillId="0" borderId="1" xfId="0" applyFont="1" applyBorder="1"/>
    <xf numFmtId="49" fontId="31" fillId="0" borderId="1" xfId="0" applyNumberFormat="1" applyFont="1" applyBorder="1"/>
    <xf numFmtId="49" fontId="31" fillId="0" borderId="14" xfId="0" quotePrefix="1" applyNumberFormat="1" applyFont="1" applyBorder="1"/>
    <xf numFmtId="0" fontId="0" fillId="5" borderId="8" xfId="0" applyFill="1" applyBorder="1" applyAlignment="1">
      <alignment horizontal="left"/>
    </xf>
    <xf numFmtId="0" fontId="7" fillId="0" borderId="0" xfId="0" applyFont="1" applyAlignment="1">
      <alignment vertical="center"/>
    </xf>
    <xf numFmtId="0" fontId="6" fillId="0" borderId="3" xfId="0" applyFont="1" applyBorder="1" applyAlignment="1">
      <alignment horizontal="left" vertical="center" indent="24"/>
    </xf>
    <xf numFmtId="0" fontId="3" fillId="5" borderId="0" xfId="0" applyFont="1" applyFill="1" applyAlignment="1">
      <alignment vertical="top" wrapText="1"/>
    </xf>
    <xf numFmtId="0" fontId="3" fillId="5" borderId="0" xfId="0" applyFont="1" applyFill="1" applyAlignment="1">
      <alignment vertical="top"/>
    </xf>
    <xf numFmtId="0" fontId="4" fillId="0" borderId="10" xfId="0" applyFont="1" applyBorder="1" applyAlignment="1">
      <alignment horizontal="left"/>
    </xf>
    <xf numFmtId="0" fontId="11" fillId="0" borderId="0" xfId="6" applyFont="1" applyAlignment="1">
      <alignment vertical="top"/>
    </xf>
    <xf numFmtId="49" fontId="0" fillId="0" borderId="11" xfId="0" applyNumberFormat="1" applyBorder="1"/>
    <xf numFmtId="49" fontId="0" fillId="0" borderId="0" xfId="0" applyNumberFormat="1"/>
    <xf numFmtId="0" fontId="0" fillId="0" borderId="4" xfId="0" applyBorder="1" applyAlignment="1">
      <alignment horizontal="left"/>
    </xf>
    <xf numFmtId="14" fontId="18" fillId="3" borderId="7" xfId="0" applyNumberFormat="1" applyFont="1" applyFill="1" applyBorder="1" applyAlignment="1">
      <alignment horizontal="right"/>
    </xf>
    <xf numFmtId="14" fontId="18" fillId="3" borderId="17" xfId="0" applyNumberFormat="1" applyFont="1" applyFill="1" applyBorder="1" applyAlignment="1">
      <alignment horizontal="right"/>
    </xf>
    <xf numFmtId="14" fontId="18" fillId="3" borderId="16" xfId="0" applyNumberFormat="1" applyFont="1" applyFill="1" applyBorder="1" applyAlignment="1">
      <alignment horizontal="right"/>
    </xf>
    <xf numFmtId="0" fontId="0" fillId="3" borderId="15" xfId="0" applyFill="1" applyBorder="1"/>
    <xf numFmtId="14" fontId="18" fillId="0" borderId="11" xfId="0" applyNumberFormat="1" applyFont="1" applyBorder="1" applyAlignment="1">
      <alignment horizontal="left"/>
    </xf>
    <xf numFmtId="14" fontId="18" fillId="3" borderId="3" xfId="0" applyNumberFormat="1" applyFont="1" applyFill="1" applyBorder="1" applyAlignment="1">
      <alignment horizontal="right"/>
    </xf>
    <xf numFmtId="0" fontId="0" fillId="3" borderId="3" xfId="0" applyFill="1" applyBorder="1" applyAlignment="1">
      <alignment horizontal="right"/>
    </xf>
    <xf numFmtId="0" fontId="0" fillId="0" borderId="11" xfId="0" applyBorder="1" applyAlignment="1">
      <alignment horizontal="right"/>
    </xf>
    <xf numFmtId="14" fontId="18" fillId="3" borderId="0" xfId="0" applyNumberFormat="1" applyFont="1" applyFill="1" applyAlignment="1">
      <alignment horizontal="right"/>
    </xf>
    <xf numFmtId="1" fontId="0" fillId="5" borderId="10" xfId="0" quotePrefix="1" applyNumberFormat="1" applyFill="1" applyBorder="1" applyAlignment="1">
      <alignment horizontal="left"/>
    </xf>
    <xf numFmtId="4" fontId="22" fillId="0" borderId="19" xfId="0" applyNumberFormat="1" applyFont="1" applyBorder="1"/>
    <xf numFmtId="4" fontId="3" fillId="0" borderId="0" xfId="0" applyNumberFormat="1" applyFont="1" applyAlignment="1">
      <alignment horizontal="right"/>
    </xf>
    <xf numFmtId="0" fontId="18" fillId="3" borderId="0" xfId="0" applyFont="1" applyFill="1" applyAlignment="1">
      <alignment horizontal="left"/>
    </xf>
    <xf numFmtId="0" fontId="0" fillId="3" borderId="3" xfId="0" applyFill="1" applyBorder="1" applyAlignment="1">
      <alignment horizontal="left"/>
    </xf>
    <xf numFmtId="171" fontId="21" fillId="2" borderId="2" xfId="0" applyNumberFormat="1" applyFont="1" applyFill="1" applyBorder="1" applyAlignment="1">
      <alignment horizontal="center"/>
    </xf>
    <xf numFmtId="0" fontId="9" fillId="0" borderId="0" xfId="0" applyFont="1" applyAlignment="1">
      <alignment horizontal="right"/>
    </xf>
    <xf numFmtId="0" fontId="31" fillId="0" borderId="0" xfId="0" applyFont="1" applyAlignment="1">
      <alignment horizontal="center"/>
    </xf>
    <xf numFmtId="0" fontId="19" fillId="0" borderId="0" xfId="0" applyFont="1" applyAlignment="1">
      <alignment horizontal="center"/>
    </xf>
    <xf numFmtId="0" fontId="3" fillId="3" borderId="22" xfId="4" applyNumberFormat="1" applyFont="1" applyFill="1" applyBorder="1" applyAlignment="1">
      <alignment horizontal="center" vertical="center"/>
    </xf>
    <xf numFmtId="0" fontId="45" fillId="0" borderId="0" xfId="0" applyFont="1"/>
    <xf numFmtId="0" fontId="0" fillId="0" borderId="0" xfId="0" applyAlignment="1">
      <alignment vertical="center"/>
    </xf>
    <xf numFmtId="0" fontId="3" fillId="0" borderId="22" xfId="4" applyNumberFormat="1" applyFont="1" applyFill="1" applyBorder="1" applyAlignment="1">
      <alignment horizontal="left" vertical="center"/>
    </xf>
    <xf numFmtId="0" fontId="3" fillId="3" borderId="22" xfId="4" applyNumberFormat="1" applyFont="1" applyFill="1" applyBorder="1" applyAlignment="1">
      <alignment horizontal="left" vertical="center"/>
    </xf>
    <xf numFmtId="0" fontId="46" fillId="0" borderId="0" xfId="0" applyFont="1" applyAlignment="1">
      <alignment horizontal="left" vertical="center" indent="4"/>
    </xf>
    <xf numFmtId="0" fontId="3" fillId="3" borderId="1" xfId="0" applyFont="1" applyFill="1" applyBorder="1" applyAlignment="1">
      <alignment horizontal="left"/>
    </xf>
    <xf numFmtId="0" fontId="3" fillId="3" borderId="1" xfId="0" applyFont="1" applyFill="1" applyBorder="1" applyAlignment="1">
      <alignment horizontal="right"/>
    </xf>
    <xf numFmtId="0" fontId="3" fillId="3" borderId="14" xfId="0" applyFont="1" applyFill="1" applyBorder="1" applyAlignment="1">
      <alignment horizontal="right"/>
    </xf>
    <xf numFmtId="0" fontId="3" fillId="0" borderId="3" xfId="0" applyFont="1" applyBorder="1" applyAlignment="1">
      <alignment horizontal="left"/>
    </xf>
    <xf numFmtId="0" fontId="18" fillId="3" borderId="16" xfId="0" applyFont="1" applyFill="1" applyBorder="1"/>
    <xf numFmtId="0" fontId="18" fillId="3" borderId="17" xfId="0" applyFont="1" applyFill="1" applyBorder="1"/>
    <xf numFmtId="0" fontId="0" fillId="0" borderId="8" xfId="0" applyBorder="1" applyAlignment="1">
      <alignment horizontal="right"/>
    </xf>
    <xf numFmtId="0" fontId="0" fillId="0" borderId="13" xfId="0" applyBorder="1" applyAlignment="1">
      <alignment horizontal="center"/>
    </xf>
    <xf numFmtId="0" fontId="0" fillId="0" borderId="1" xfId="0" applyBorder="1" applyAlignment="1">
      <alignment horizontal="center"/>
    </xf>
    <xf numFmtId="0" fontId="0" fillId="0" borderId="14" xfId="0" applyBorder="1" applyAlignment="1">
      <alignment horizontal="right"/>
    </xf>
    <xf numFmtId="0" fontId="0" fillId="0" borderId="3" xfId="0" applyBorder="1" applyAlignment="1">
      <alignment horizontal="right"/>
    </xf>
    <xf numFmtId="14" fontId="0" fillId="3" borderId="25" xfId="0" applyNumberFormat="1" applyFill="1" applyBorder="1" applyAlignment="1">
      <alignment horizontal="center"/>
    </xf>
    <xf numFmtId="14" fontId="0" fillId="3" borderId="26" xfId="0" applyNumberFormat="1" applyFill="1" applyBorder="1" applyAlignment="1">
      <alignment horizontal="center"/>
    </xf>
    <xf numFmtId="4" fontId="0" fillId="0" borderId="26" xfId="0" applyNumberFormat="1" applyBorder="1" applyAlignment="1">
      <alignment horizontal="right"/>
    </xf>
    <xf numFmtId="14" fontId="0" fillId="3" borderId="28" xfId="0" applyNumberFormat="1" applyFill="1" applyBorder="1" applyAlignment="1">
      <alignment horizontal="center"/>
    </xf>
    <xf numFmtId="14" fontId="0" fillId="3" borderId="29" xfId="0" applyNumberFormat="1" applyFill="1" applyBorder="1" applyAlignment="1">
      <alignment horizontal="center"/>
    </xf>
    <xf numFmtId="4" fontId="0" fillId="0" borderId="29" xfId="0" applyNumberFormat="1" applyBorder="1" applyAlignment="1">
      <alignment horizontal="right"/>
    </xf>
    <xf numFmtId="14" fontId="0" fillId="3" borderId="31" xfId="0" applyNumberFormat="1" applyFill="1" applyBorder="1" applyAlignment="1">
      <alignment horizontal="center"/>
    </xf>
    <xf numFmtId="14" fontId="0" fillId="3" borderId="32" xfId="0" applyNumberFormat="1" applyFill="1" applyBorder="1" applyAlignment="1">
      <alignment horizontal="center"/>
    </xf>
    <xf numFmtId="4" fontId="0" fillId="0" borderId="32" xfId="0" applyNumberFormat="1" applyBorder="1" applyAlignment="1">
      <alignment horizontal="right"/>
    </xf>
    <xf numFmtId="10" fontId="0" fillId="0" borderId="27" xfId="1" applyNumberFormat="1" applyFont="1" applyBorder="1" applyAlignment="1">
      <alignment horizontal="right"/>
    </xf>
    <xf numFmtId="10" fontId="0" fillId="0" borderId="30" xfId="1" applyNumberFormat="1" applyFont="1" applyBorder="1" applyAlignment="1">
      <alignment horizontal="right"/>
    </xf>
    <xf numFmtId="10" fontId="0" fillId="0" borderId="33" xfId="1" applyNumberFormat="1" applyFont="1" applyBorder="1" applyAlignment="1">
      <alignment horizontal="right"/>
    </xf>
    <xf numFmtId="188" fontId="3" fillId="0" borderId="14" xfId="0" applyNumberFormat="1" applyFont="1" applyBorder="1" applyAlignment="1">
      <alignment horizontal="right"/>
    </xf>
    <xf numFmtId="188" fontId="18" fillId="0" borderId="1" xfId="0" applyNumberFormat="1" applyFont="1" applyBorder="1" applyAlignment="1">
      <alignment horizontal="right"/>
    </xf>
    <xf numFmtId="188" fontId="18" fillId="0" borderId="14" xfId="0" applyNumberFormat="1" applyFont="1" applyBorder="1" applyAlignment="1">
      <alignment horizontal="right"/>
    </xf>
    <xf numFmtId="188" fontId="3" fillId="0" borderId="11" xfId="0" applyNumberFormat="1" applyFont="1" applyBorder="1" applyAlignment="1">
      <alignment horizontal="right"/>
    </xf>
    <xf numFmtId="0" fontId="0" fillId="0" borderId="10" xfId="0" applyBorder="1" applyAlignment="1">
      <alignment horizontal="center"/>
    </xf>
    <xf numFmtId="188" fontId="18" fillId="0" borderId="0" xfId="0" applyNumberFormat="1" applyFont="1" applyAlignment="1">
      <alignment horizontal="right"/>
    </xf>
    <xf numFmtId="188" fontId="18" fillId="0" borderId="11" xfId="0" applyNumberFormat="1" applyFont="1" applyBorder="1" applyAlignment="1">
      <alignment horizontal="right"/>
    </xf>
    <xf numFmtId="188" fontId="3" fillId="0" borderId="7" xfId="0" applyNumberFormat="1" applyFont="1" applyBorder="1" applyAlignment="1">
      <alignment horizontal="right"/>
    </xf>
    <xf numFmtId="0" fontId="0" fillId="0" borderId="6" xfId="0" applyBorder="1" applyAlignment="1">
      <alignment horizontal="center"/>
    </xf>
    <xf numFmtId="188" fontId="18" fillId="0" borderId="3" xfId="0" applyNumberFormat="1" applyFont="1" applyBorder="1" applyAlignment="1">
      <alignment horizontal="right"/>
    </xf>
    <xf numFmtId="188" fontId="18" fillId="0" borderId="7" xfId="0" applyNumberFormat="1" applyFont="1" applyBorder="1" applyAlignment="1">
      <alignment horizontal="right"/>
    </xf>
    <xf numFmtId="14" fontId="3" fillId="0" borderId="0" xfId="0" applyNumberFormat="1" applyFont="1" applyAlignment="1">
      <alignment horizontal="right"/>
    </xf>
    <xf numFmtId="166" fontId="3" fillId="0" borderId="0" xfId="0" applyNumberFormat="1" applyFont="1" applyAlignment="1">
      <alignment horizontal="right"/>
    </xf>
    <xf numFmtId="0" fontId="31" fillId="0" borderId="3" xfId="0" applyFont="1" applyBorder="1"/>
    <xf numFmtId="189" fontId="0" fillId="0" borderId="8" xfId="0" applyNumberFormat="1" applyBorder="1" applyAlignment="1">
      <alignment horizontal="right"/>
    </xf>
    <xf numFmtId="190" fontId="0" fillId="0" borderId="0" xfId="0" applyNumberFormat="1" applyAlignment="1">
      <alignment horizontal="right"/>
    </xf>
    <xf numFmtId="0" fontId="31" fillId="0" borderId="1" xfId="0" applyFont="1" applyBorder="1" applyAlignment="1">
      <alignment horizontal="right"/>
    </xf>
    <xf numFmtId="0" fontId="31" fillId="0" borderId="14" xfId="0" applyFont="1" applyBorder="1" applyAlignment="1">
      <alignment horizontal="right"/>
    </xf>
    <xf numFmtId="190" fontId="0" fillId="0" borderId="11" xfId="0" applyNumberFormat="1" applyBorder="1" applyAlignment="1">
      <alignment horizontal="right"/>
    </xf>
    <xf numFmtId="14" fontId="0" fillId="0" borderId="3" xfId="0" applyNumberFormat="1" applyBorder="1" applyAlignment="1">
      <alignment horizontal="right"/>
    </xf>
    <xf numFmtId="190" fontId="0" fillId="0" borderId="7" xfId="0" applyNumberFormat="1" applyBorder="1" applyAlignment="1">
      <alignment horizontal="right"/>
    </xf>
    <xf numFmtId="0" fontId="31" fillId="0" borderId="8" xfId="0" applyFont="1" applyBorder="1"/>
    <xf numFmtId="0" fontId="31" fillId="0" borderId="0" xfId="0" applyFont="1"/>
    <xf numFmtId="14" fontId="18" fillId="0" borderId="0" xfId="0" applyNumberFormat="1" applyFont="1" applyAlignment="1">
      <alignment horizontal="left"/>
    </xf>
    <xf numFmtId="4" fontId="3" fillId="0" borderId="8" xfId="0" applyNumberFormat="1" applyFont="1" applyBorder="1" applyAlignment="1">
      <alignment horizontal="left"/>
    </xf>
    <xf numFmtId="0" fontId="4" fillId="0" borderId="5" xfId="0" applyFont="1" applyBorder="1"/>
    <xf numFmtId="4" fontId="3" fillId="0" borderId="10" xfId="0" applyNumberFormat="1" applyFont="1" applyBorder="1" applyAlignment="1">
      <alignment horizontal="left"/>
    </xf>
    <xf numFmtId="4" fontId="3" fillId="0" borderId="0" xfId="0" applyNumberFormat="1" applyFont="1" applyAlignment="1">
      <alignment horizontal="left"/>
    </xf>
    <xf numFmtId="4" fontId="3" fillId="0" borderId="11" xfId="0" quotePrefix="1" applyNumberFormat="1" applyFont="1" applyBorder="1" applyAlignment="1">
      <alignment horizontal="left"/>
    </xf>
    <xf numFmtId="4" fontId="3" fillId="0" borderId="0" xfId="0" quotePrefix="1" applyNumberFormat="1" applyFont="1" applyAlignment="1">
      <alignment horizontal="left"/>
    </xf>
    <xf numFmtId="4" fontId="3" fillId="0" borderId="6" xfId="0" applyNumberFormat="1" applyFont="1" applyBorder="1" applyAlignment="1">
      <alignment horizontal="left"/>
    </xf>
    <xf numFmtId="4" fontId="3" fillId="0" borderId="3" xfId="0" applyNumberFormat="1" applyFont="1" applyBorder="1" applyAlignment="1">
      <alignment horizontal="left"/>
    </xf>
    <xf numFmtId="4" fontId="3" fillId="0" borderId="7" xfId="0" quotePrefix="1" applyNumberFormat="1" applyFont="1" applyBorder="1" applyAlignment="1">
      <alignment horizontal="left"/>
    </xf>
    <xf numFmtId="0" fontId="3" fillId="0" borderId="12" xfId="0" applyFont="1" applyBorder="1"/>
    <xf numFmtId="4" fontId="3" fillId="0" borderId="7" xfId="0" applyNumberFormat="1" applyFont="1" applyBorder="1" applyAlignment="1">
      <alignment horizontal="left"/>
    </xf>
    <xf numFmtId="4" fontId="3" fillId="0" borderId="11" xfId="0" applyNumberFormat="1" applyFont="1" applyBorder="1" applyAlignment="1">
      <alignment horizontal="left"/>
    </xf>
    <xf numFmtId="0" fontId="3" fillId="0" borderId="11" xfId="0" quotePrefix="1" applyFont="1" applyBorder="1" applyAlignment="1">
      <alignment horizontal="left"/>
    </xf>
    <xf numFmtId="0" fontId="3" fillId="0" borderId="11" xfId="0" applyFont="1" applyBorder="1" applyAlignment="1">
      <alignment horizontal="left"/>
    </xf>
    <xf numFmtId="0" fontId="3" fillId="0" borderId="7" xfId="0" applyFont="1" applyBorder="1" applyAlignment="1">
      <alignment horizontal="left"/>
    </xf>
    <xf numFmtId="4" fontId="4" fillId="0" borderId="9" xfId="0" applyNumberFormat="1" applyFont="1" applyBorder="1"/>
    <xf numFmtId="0" fontId="0" fillId="5" borderId="0" xfId="0" applyFill="1" applyAlignment="1">
      <alignment horizontal="left"/>
    </xf>
    <xf numFmtId="0" fontId="0" fillId="0" borderId="4" xfId="0" applyBorder="1"/>
    <xf numFmtId="0" fontId="2" fillId="6" borderId="0" xfId="0" applyFont="1" applyFill="1"/>
    <xf numFmtId="0" fontId="47" fillId="0" borderId="0" xfId="14" applyFont="1" applyAlignment="1">
      <alignment horizontal="left"/>
    </xf>
    <xf numFmtId="0" fontId="48" fillId="5" borderId="34" xfId="8" applyFont="1" applyFill="1" applyBorder="1" applyAlignment="1">
      <alignment horizontal="centerContinuous" vertical="center"/>
    </xf>
    <xf numFmtId="0" fontId="49" fillId="5" borderId="34" xfId="8" applyFont="1" applyFill="1" applyBorder="1" applyAlignment="1">
      <alignment horizontal="left" vertical="center"/>
    </xf>
    <xf numFmtId="0" fontId="2" fillId="0" borderId="0" xfId="0" applyFont="1"/>
    <xf numFmtId="0" fontId="9" fillId="5" borderId="0" xfId="0" applyFont="1" applyFill="1" applyAlignment="1">
      <alignment horizontal="right" vertical="center"/>
    </xf>
    <xf numFmtId="0" fontId="31" fillId="0" borderId="34" xfId="0" applyFont="1" applyBorder="1"/>
    <xf numFmtId="0" fontId="31" fillId="0" borderId="34" xfId="0" applyFont="1" applyBorder="1" applyAlignment="1">
      <alignment horizontal="left" indent="1"/>
    </xf>
    <xf numFmtId="172" fontId="51" fillId="4" borderId="0" xfId="15" applyNumberFormat="1" applyFont="1" applyFill="1" applyAlignment="1">
      <alignment horizontal="left" vertical="center"/>
    </xf>
    <xf numFmtId="3" fontId="51" fillId="4" borderId="0" xfId="15" applyNumberFormat="1" applyFont="1" applyFill="1" applyAlignment="1">
      <alignment horizontal="right" vertical="center"/>
    </xf>
    <xf numFmtId="0" fontId="51" fillId="4" borderId="0" xfId="15" applyFont="1" applyFill="1" applyAlignment="1">
      <alignment horizontal="right" vertical="center"/>
    </xf>
    <xf numFmtId="171" fontId="18" fillId="0" borderId="0" xfId="1" applyNumberFormat="1" applyFont="1" applyAlignment="1">
      <alignment horizontal="right"/>
    </xf>
    <xf numFmtId="171" fontId="21" fillId="2" borderId="2" xfId="1" applyNumberFormat="1" applyFont="1" applyFill="1" applyBorder="1" applyAlignment="1">
      <alignment horizontal="right" vertical="center"/>
    </xf>
    <xf numFmtId="1" fontId="0" fillId="0" borderId="0" xfId="0" applyNumberFormat="1"/>
    <xf numFmtId="0" fontId="2" fillId="0" borderId="15" xfId="0" applyFont="1" applyBorder="1"/>
    <xf numFmtId="0" fontId="2" fillId="0" borderId="16" xfId="0" applyFont="1" applyBorder="1"/>
    <xf numFmtId="0" fontId="2" fillId="0" borderId="17" xfId="0" applyFont="1" applyBorder="1"/>
    <xf numFmtId="3" fontId="18" fillId="0" borderId="0" xfId="0" applyNumberFormat="1" applyFont="1" applyAlignment="1">
      <alignment horizontal="right"/>
    </xf>
    <xf numFmtId="172" fontId="18" fillId="0" borderId="0" xfId="4" applyNumberFormat="1" applyFont="1" applyAlignment="1">
      <alignment horizontal="right"/>
    </xf>
    <xf numFmtId="172" fontId="51" fillId="4" borderId="0" xfId="15" applyNumberFormat="1" applyFont="1" applyFill="1" applyAlignment="1">
      <alignment horizontal="right" vertical="center"/>
    </xf>
    <xf numFmtId="1" fontId="0" fillId="0" borderId="0" xfId="0" applyNumberFormat="1" applyAlignment="1">
      <alignment horizontal="right"/>
    </xf>
    <xf numFmtId="172" fontId="0" fillId="0" borderId="0" xfId="4" applyNumberFormat="1" applyFont="1" applyAlignment="1">
      <alignment horizontal="right"/>
    </xf>
    <xf numFmtId="9" fontId="0" fillId="0" borderId="0" xfId="0" applyNumberFormat="1" applyAlignment="1">
      <alignment horizontal="right"/>
    </xf>
    <xf numFmtId="0" fontId="52" fillId="0" borderId="0" xfId="0" applyFont="1"/>
    <xf numFmtId="1" fontId="21" fillId="2" borderId="2" xfId="1" applyNumberFormat="1" applyFont="1" applyFill="1" applyBorder="1" applyAlignment="1">
      <alignment horizontal="right" vertical="center"/>
    </xf>
    <xf numFmtId="10" fontId="0" fillId="0" borderId="0" xfId="1" applyNumberFormat="1" applyFont="1"/>
    <xf numFmtId="10" fontId="0" fillId="0" borderId="0" xfId="0" applyNumberFormat="1"/>
    <xf numFmtId="10" fontId="21" fillId="2" borderId="2" xfId="1" applyNumberFormat="1" applyFont="1" applyFill="1" applyBorder="1" applyAlignment="1">
      <alignment horizontal="right" vertical="center"/>
    </xf>
    <xf numFmtId="171" fontId="0" fillId="0" borderId="0" xfId="0" applyNumberFormat="1"/>
    <xf numFmtId="1" fontId="31" fillId="0" borderId="0" xfId="0" applyNumberFormat="1" applyFont="1"/>
    <xf numFmtId="3" fontId="2" fillId="0" borderId="0" xfId="0" applyNumberFormat="1" applyFont="1" applyAlignment="1">
      <alignment horizontal="left"/>
    </xf>
    <xf numFmtId="172" fontId="51" fillId="0" borderId="0" xfId="15" applyNumberFormat="1" applyFont="1" applyAlignment="1">
      <alignment vertical="center"/>
    </xf>
    <xf numFmtId="172" fontId="51" fillId="0" borderId="0" xfId="15" applyNumberFormat="1" applyFont="1" applyAlignment="1">
      <alignment horizontal="left" vertical="center"/>
    </xf>
    <xf numFmtId="9" fontId="31" fillId="0" borderId="0" xfId="1" applyFont="1"/>
    <xf numFmtId="172" fontId="0" fillId="0" borderId="0" xfId="4" applyNumberFormat="1" applyFont="1" applyAlignment="1"/>
    <xf numFmtId="10" fontId="0" fillId="0" borderId="0" xfId="1" applyNumberFormat="1" applyFont="1" applyAlignment="1">
      <alignment horizontal="right"/>
    </xf>
    <xf numFmtId="2" fontId="0" fillId="0" borderId="0" xfId="0" applyNumberFormat="1" applyAlignment="1">
      <alignment horizontal="right"/>
    </xf>
    <xf numFmtId="191" fontId="0" fillId="0" borderId="0" xfId="1" applyNumberFormat="1" applyFont="1"/>
    <xf numFmtId="191" fontId="21" fillId="2" borderId="2" xfId="1" applyNumberFormat="1" applyFont="1" applyFill="1" applyBorder="1" applyAlignment="1">
      <alignment horizontal="right" vertical="center"/>
    </xf>
    <xf numFmtId="191" fontId="0" fillId="0" borderId="0" xfId="0" applyNumberFormat="1"/>
    <xf numFmtId="172" fontId="31" fillId="0" borderId="0" xfId="4" applyNumberFormat="1" applyFont="1" applyAlignment="1">
      <alignment horizontal="right"/>
    </xf>
    <xf numFmtId="0" fontId="53" fillId="0" borderId="3" xfId="0" applyFont="1" applyBorder="1" applyAlignment="1">
      <alignment vertical="center"/>
    </xf>
    <xf numFmtId="0" fontId="0" fillId="0" borderId="0" xfId="0" applyAlignment="1">
      <alignment horizontal="left" vertical="top" wrapText="1"/>
    </xf>
    <xf numFmtId="0" fontId="0" fillId="0" borderId="0" xfId="0" applyAlignment="1">
      <alignment vertical="top" wrapText="1"/>
    </xf>
    <xf numFmtId="164" fontId="0" fillId="0" borderId="0" xfId="0" applyNumberFormat="1"/>
    <xf numFmtId="10" fontId="18" fillId="0" borderId="0" xfId="0" applyNumberFormat="1" applyFont="1" applyAlignment="1">
      <alignment horizontal="right"/>
    </xf>
    <xf numFmtId="0" fontId="31" fillId="0" borderId="13" xfId="0" applyFont="1" applyBorder="1"/>
    <xf numFmtId="0" fontId="53" fillId="0" borderId="0" xfId="0" applyFont="1" applyAlignment="1">
      <alignment vertical="center"/>
    </xf>
    <xf numFmtId="0" fontId="0" fillId="0" borderId="0" xfId="0" quotePrefix="1"/>
    <xf numFmtId="10" fontId="21" fillId="2" borderId="2" xfId="8" applyNumberFormat="1" applyFont="1" applyFill="1" applyBorder="1" applyAlignment="1">
      <alignment horizontal="center" vertical="center"/>
    </xf>
    <xf numFmtId="172" fontId="51" fillId="4" borderId="0" xfId="15" applyNumberFormat="1" applyFont="1" applyFill="1" applyAlignment="1">
      <alignment vertical="center"/>
    </xf>
    <xf numFmtId="3" fontId="31" fillId="0" borderId="0" xfId="0" applyNumberFormat="1" applyFont="1" applyAlignment="1">
      <alignment horizontal="right"/>
    </xf>
    <xf numFmtId="0" fontId="3" fillId="0" borderId="8" xfId="0" applyFont="1" applyBorder="1"/>
    <xf numFmtId="0" fontId="2" fillId="0" borderId="0" xfId="0" quotePrefix="1" applyFont="1"/>
    <xf numFmtId="0" fontId="48" fillId="5" borderId="0" xfId="8" applyFont="1" applyFill="1" applyAlignment="1">
      <alignment horizontal="centerContinuous" vertical="center"/>
    </xf>
    <xf numFmtId="37" fontId="18" fillId="0" borderId="0" xfId="0" applyNumberFormat="1" applyFont="1" applyAlignment="1">
      <alignment horizontal="right"/>
    </xf>
    <xf numFmtId="0" fontId="54" fillId="0" borderId="0" xfId="0" applyFont="1"/>
    <xf numFmtId="0" fontId="55" fillId="0" borderId="0" xfId="0" applyFont="1"/>
    <xf numFmtId="0" fontId="56" fillId="0" borderId="0" xfId="0" applyFont="1"/>
    <xf numFmtId="0" fontId="55" fillId="7" borderId="0" xfId="0" applyFont="1" applyFill="1"/>
    <xf numFmtId="10" fontId="54" fillId="0" borderId="0" xfId="0" applyNumberFormat="1" applyFont="1"/>
    <xf numFmtId="2" fontId="54" fillId="0" borderId="0" xfId="0" applyNumberFormat="1" applyFont="1"/>
    <xf numFmtId="3" fontId="54" fillId="0" borderId="0" xfId="0" applyNumberFormat="1" applyFont="1"/>
    <xf numFmtId="167" fontId="54" fillId="0" borderId="0" xfId="0" applyNumberFormat="1" applyFont="1"/>
    <xf numFmtId="0" fontId="21" fillId="2" borderId="2" xfId="8" applyFont="1" applyFill="1" applyBorder="1" applyAlignment="1">
      <alignment horizontal="center" vertical="center"/>
    </xf>
    <xf numFmtId="172" fontId="51" fillId="4" borderId="0" xfId="15" applyNumberFormat="1" applyFont="1" applyFill="1" applyAlignment="1">
      <alignment horizontal="left" vertical="center"/>
    </xf>
    <xf numFmtId="0" fontId="5" fillId="0" borderId="0" xfId="0" applyFont="1" applyAlignment="1">
      <alignment horizontal="left" vertical="top" wrapText="1" indent="2"/>
    </xf>
    <xf numFmtId="167" fontId="21" fillId="2" borderId="4" xfId="0" applyNumberFormat="1" applyFont="1" applyFill="1" applyBorder="1" applyAlignment="1">
      <alignment horizontal="left"/>
    </xf>
    <xf numFmtId="167" fontId="21" fillId="2" borderId="9" xfId="0" applyNumberFormat="1" applyFont="1" applyFill="1" applyBorder="1" applyAlignment="1">
      <alignment horizontal="left"/>
    </xf>
    <xf numFmtId="167" fontId="21" fillId="2" borderId="5" xfId="0" applyNumberFormat="1" applyFont="1" applyFill="1" applyBorder="1" applyAlignment="1">
      <alignment horizontal="left"/>
    </xf>
    <xf numFmtId="0" fontId="17" fillId="0" borderId="4" xfId="3" applyFont="1" applyBorder="1" applyAlignment="1">
      <alignment horizontal="center"/>
    </xf>
    <xf numFmtId="0" fontId="17" fillId="0" borderId="5" xfId="3" applyFont="1" applyBorder="1" applyAlignment="1">
      <alignment horizontal="center"/>
    </xf>
    <xf numFmtId="0" fontId="10" fillId="0" borderId="4" xfId="3" applyFont="1" applyBorder="1" applyAlignment="1">
      <alignment horizontal="center"/>
    </xf>
    <xf numFmtId="0" fontId="10" fillId="0" borderId="5" xfId="3" applyFont="1" applyBorder="1" applyAlignment="1">
      <alignment horizontal="center"/>
    </xf>
    <xf numFmtId="0" fontId="0" fillId="0" borderId="0" xfId="0" applyAlignment="1">
      <alignment horizontal="left" wrapText="1"/>
    </xf>
    <xf numFmtId="0" fontId="46" fillId="0" borderId="0" xfId="0" applyFont="1" applyAlignment="1">
      <alignment horizontal="left" vertical="center" wrapText="1" indent="4"/>
    </xf>
    <xf numFmtId="0" fontId="31" fillId="0" borderId="4" xfId="0" applyFont="1" applyBorder="1" applyAlignment="1">
      <alignment horizontal="center"/>
    </xf>
    <xf numFmtId="0" fontId="31" fillId="0" borderId="5" xfId="0" applyFont="1" applyBorder="1" applyAlignment="1">
      <alignment horizontal="center"/>
    </xf>
    <xf numFmtId="0" fontId="10" fillId="2" borderId="20" xfId="7" applyFont="1" applyFill="1" applyBorder="1" applyAlignment="1">
      <alignment horizontal="center"/>
    </xf>
    <xf numFmtId="0" fontId="10" fillId="2" borderId="21" xfId="7" applyFont="1" applyFill="1" applyBorder="1" applyAlignment="1">
      <alignment horizontal="center"/>
    </xf>
    <xf numFmtId="0" fontId="10" fillId="2" borderId="20" xfId="0" applyFont="1" applyFill="1" applyBorder="1" applyAlignment="1">
      <alignment horizontal="center"/>
    </xf>
    <xf numFmtId="0" fontId="10" fillId="2" borderId="23" xfId="0" applyFont="1" applyFill="1" applyBorder="1" applyAlignment="1">
      <alignment horizontal="center"/>
    </xf>
    <xf numFmtId="0" fontId="10" fillId="2" borderId="21" xfId="0" applyFont="1" applyFill="1" applyBorder="1" applyAlignment="1">
      <alignment horizontal="center"/>
    </xf>
    <xf numFmtId="0" fontId="0" fillId="0" borderId="6" xfId="0" applyBorder="1" applyAlignment="1">
      <alignment horizontal="left" vertical="top" wrapText="1"/>
    </xf>
    <xf numFmtId="0" fontId="0" fillId="0" borderId="3" xfId="0" applyBorder="1" applyAlignment="1">
      <alignment horizontal="left" vertical="top" wrapText="1"/>
    </xf>
    <xf numFmtId="0" fontId="0" fillId="0" borderId="7" xfId="0" applyBorder="1" applyAlignment="1">
      <alignment horizontal="left" vertical="top" wrapText="1"/>
    </xf>
  </cellXfs>
  <cellStyles count="16">
    <cellStyle name="Hipervínculo" xfId="2" builtinId="8"/>
    <cellStyle name="Millares" xfId="4" builtinId="3"/>
    <cellStyle name="Normal" xfId="0" builtinId="0"/>
    <cellStyle name="Normal 2" xfId="7" xr:uid="{00000000-0005-0000-0000-000003000000}"/>
    <cellStyle name="Normal 2 7" xfId="9" xr:uid="{D5B06E35-3865-4336-AFB8-EEEE4797056B}"/>
    <cellStyle name="Normal 3" xfId="8" xr:uid="{FB3FD683-815E-47DC-949C-4C3727B4CF16}"/>
    <cellStyle name="Normal 30" xfId="11" xr:uid="{68133925-2370-4729-8CC1-68BC49FB7738}"/>
    <cellStyle name="Normal 31" xfId="12" xr:uid="{69632A68-F2DC-45A8-874E-6F275E9956D6}"/>
    <cellStyle name="Normal 4 2" xfId="15" xr:uid="{B0E3B13C-60B7-4731-A240-6D54A3399E67}"/>
    <cellStyle name="Normal 5" xfId="10" xr:uid="{C12FA828-5A8B-4283-BC30-844CF78BBEB0}"/>
    <cellStyle name="Normal_eps-stock_9zdq01_" xfId="6" xr:uid="{00000000-0005-0000-0000-000004000000}"/>
    <cellStyle name="Normal_Intermediate" xfId="3" xr:uid="{00000000-0005-0000-0000-000005000000}"/>
    <cellStyle name="Normal_SNL_REIT_M&amp;A-Template_v1" xfId="14" xr:uid="{AC46ED0A-2C97-41FA-A4C2-7A6ACD5E93A3}"/>
    <cellStyle name="Normal_WACC Analysis" xfId="5" xr:uid="{00000000-0005-0000-0000-000006000000}"/>
    <cellStyle name="Porcentaje" xfId="1" builtinId="5"/>
    <cellStyle name="table" xfId="13" xr:uid="{F3A31B3F-81B4-4C96-A314-1CEB86B39919}"/>
  </cellStyles>
  <dxfs count="0"/>
  <tableStyles count="0" defaultTableStyle="TableStyleMedium2" defaultPivotStyle="PivotStyleLight16"/>
  <colors>
    <mruColors>
      <color rgb="FF008000"/>
      <color rgb="FF525252"/>
      <color rgb="FF0000FF"/>
      <color rgb="FFFFFFCC"/>
      <color rgb="FF223D9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180975</xdr:colOff>
          <xdr:row>39</xdr:row>
          <xdr:rowOff>0</xdr:rowOff>
        </xdr:from>
        <xdr:to>
          <xdr:col>12</xdr:col>
          <xdr:colOff>28575</xdr:colOff>
          <xdr:row>40</xdr:row>
          <xdr:rowOff>66675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3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800" b="0" i="0" u="none" strike="noStrike" baseline="0">
                  <a:solidFill>
                    <a:srgbClr val="000000"/>
                  </a:solidFill>
                  <a:latin typeface="Arial"/>
                  <a:cs typeface="Arial"/>
                </a:rPr>
                <a:t>REFRESH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152400</xdr:colOff>
          <xdr:row>4</xdr:row>
          <xdr:rowOff>142875</xdr:rowOff>
        </xdr:from>
        <xdr:to>
          <xdr:col>12</xdr:col>
          <xdr:colOff>0</xdr:colOff>
          <xdr:row>6</xdr:row>
          <xdr:rowOff>66675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300-000009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800" b="0" i="0" u="none" strike="noStrike" baseline="0">
                  <a:solidFill>
                    <a:srgbClr val="000000"/>
                  </a:solidFill>
                  <a:latin typeface="Arial"/>
                  <a:cs typeface="Arial"/>
                </a:rPr>
                <a:t>UPDATE TERMINOLOGY</a:t>
              </a:r>
            </a:p>
          </xdr:txBody>
        </xdr:sp>
        <xdr:clientData fPrintsWithSheet="0"/>
      </xdr:twoCellAnchor>
    </mc:Choice>
    <mc:Fallback/>
  </mc:AlternateContent>
  <xdr:twoCellAnchor editAs="oneCell">
    <xdr:from>
      <xdr:col>1</xdr:col>
      <xdr:colOff>0</xdr:colOff>
      <xdr:row>1</xdr:row>
      <xdr:rowOff>57667</xdr:rowOff>
    </xdr:from>
    <xdr:to>
      <xdr:col>3</xdr:col>
      <xdr:colOff>761667</xdr:colOff>
      <xdr:row>1</xdr:row>
      <xdr:rowOff>562429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99786" y="184667"/>
          <a:ext cx="2666667" cy="5047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xdr:colOff>
          <xdr:row>8</xdr:row>
          <xdr:rowOff>28575</xdr:rowOff>
        </xdr:from>
        <xdr:to>
          <xdr:col>7</xdr:col>
          <xdr:colOff>9525</xdr:colOff>
          <xdr:row>9</xdr:row>
          <xdr:rowOff>66675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500-000001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800" b="0" i="0" u="none" strike="noStrike" baseline="0">
                  <a:solidFill>
                    <a:srgbClr val="000000"/>
                  </a:solidFill>
                  <a:latin typeface="Arial"/>
                  <a:cs typeface="Arial"/>
                </a:rPr>
                <a:t>IMPUTE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3.bin"/><Relationship Id="rId1" Type="http://schemas.openxmlformats.org/officeDocument/2006/relationships/hyperlink" Target="mailto:support.CapIQPro@spglobal.com"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4"/>
  <sheetViews>
    <sheetView workbookViewId="0"/>
  </sheetViews>
  <sheetFormatPr baseColWidth="10" defaultColWidth="9.33203125" defaultRowHeight="11.25" x14ac:dyDescent="0.2"/>
  <sheetData>
    <row r="1" spans="1:1" x14ac:dyDescent="0.2">
      <c r="A1" t="s">
        <v>5526</v>
      </c>
    </row>
    <row r="2" spans="1:1" x14ac:dyDescent="0.2">
      <c r="A2" t="s">
        <v>5527</v>
      </c>
    </row>
    <row r="3" spans="1:1" x14ac:dyDescent="0.2">
      <c r="A3" t="s">
        <v>5528</v>
      </c>
    </row>
    <row r="4" spans="1:1" x14ac:dyDescent="0.2">
      <c r="A4" t="s">
        <v>5529</v>
      </c>
    </row>
  </sheetData>
  <pageMargins left="0.7" right="0.7" top="0.75" bottom="0.75" header="0.3" footer="0.3"/>
  <pageSetup orientation="portrait" horizontalDpi="90" verticalDpi="9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
  <sheetViews>
    <sheetView workbookViewId="0"/>
  </sheetViews>
  <sheetFormatPr baseColWidth="10" defaultColWidth="9.33203125" defaultRowHeight="11.25" x14ac:dyDescent="0.2"/>
  <sheetData/>
  <pageMargins left="0.7" right="0.7" top="0.75" bottom="0.75" header="0.3" footer="0.3"/>
  <pageSetup orientation="portrait" horizontalDpi="90" verticalDpi="9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6077BB-3EAB-4433-A4E9-BC41038741D3}">
  <dimension ref="A1:G47"/>
  <sheetViews>
    <sheetView workbookViewId="0"/>
  </sheetViews>
  <sheetFormatPr baseColWidth="10" defaultRowHeight="12.75" x14ac:dyDescent="0.2"/>
  <cols>
    <col min="1" max="1" width="62.83203125" style="475" customWidth="1"/>
    <col min="2" max="2" width="14.83203125" style="475" customWidth="1"/>
    <col min="3" max="3" width="16.83203125" style="475" customWidth="1"/>
    <col min="4" max="4" width="120.83203125" style="475" customWidth="1"/>
    <col min="5" max="6" width="14.83203125" style="475" customWidth="1"/>
    <col min="7" max="7" width="110.83203125" style="475" customWidth="1"/>
    <col min="8" max="16384" width="12" style="475"/>
  </cols>
  <sheetData>
    <row r="1" spans="1:4" ht="17.25" x14ac:dyDescent="0.3">
      <c r="A1" s="477" t="s">
        <v>5530</v>
      </c>
    </row>
    <row r="2" spans="1:4" x14ac:dyDescent="0.2">
      <c r="A2" s="475" t="s">
        <v>5531</v>
      </c>
    </row>
    <row r="4" spans="1:4" x14ac:dyDescent="0.2">
      <c r="A4" s="478" t="s">
        <v>5532</v>
      </c>
      <c r="B4" s="478" t="s">
        <v>5533</v>
      </c>
      <c r="C4" s="478" t="s">
        <v>5534</v>
      </c>
      <c r="D4" s="478" t="s">
        <v>5535</v>
      </c>
    </row>
    <row r="5" spans="1:4" x14ac:dyDescent="0.2">
      <c r="A5" s="475" t="s">
        <v>5536</v>
      </c>
      <c r="B5" s="479">
        <f>0.0926-0.0174988122383058</f>
        <v>7.5101187761694194E-2</v>
      </c>
      <c r="C5" s="475" t="s">
        <v>5537</v>
      </c>
      <c r="D5" s="475" t="s">
        <v>5538</v>
      </c>
    </row>
    <row r="6" spans="1:4" x14ac:dyDescent="0.2">
      <c r="A6" s="475" t="s">
        <v>5539</v>
      </c>
      <c r="B6" s="479">
        <v>4.2000000000000003E-2</v>
      </c>
      <c r="C6" s="475" t="s">
        <v>5540</v>
      </c>
      <c r="D6" s="475" t="s">
        <v>5541</v>
      </c>
    </row>
    <row r="7" spans="1:4" x14ac:dyDescent="0.2">
      <c r="A7" s="475" t="s">
        <v>5542</v>
      </c>
      <c r="B7" s="479">
        <f>B5+B6</f>
        <v>0.1171011877616942</v>
      </c>
      <c r="C7" s="475" t="s">
        <v>5543</v>
      </c>
    </row>
    <row r="8" spans="1:4" x14ac:dyDescent="0.2">
      <c r="A8" s="475" t="s">
        <v>5544</v>
      </c>
      <c r="B8" s="479">
        <v>2.0496777991541402E-2</v>
      </c>
      <c r="C8" s="475" t="s">
        <v>5543</v>
      </c>
      <c r="D8" s="475" t="s">
        <v>5545</v>
      </c>
    </row>
    <row r="9" spans="1:4" x14ac:dyDescent="0.2">
      <c r="A9" s="475" t="s">
        <v>5546</v>
      </c>
      <c r="B9" s="479">
        <f>0.0926+0.0045</f>
        <v>9.7100000000000006E-2</v>
      </c>
      <c r="C9" s="475" t="s">
        <v>5537</v>
      </c>
      <c r="D9" s="475" t="s">
        <v>5547</v>
      </c>
    </row>
    <row r="10" spans="1:4" x14ac:dyDescent="0.2">
      <c r="A10" s="475" t="s">
        <v>5548</v>
      </c>
      <c r="B10" s="479">
        <v>0.3</v>
      </c>
      <c r="C10" s="475" t="s">
        <v>5540</v>
      </c>
      <c r="D10" s="475" t="s">
        <v>5549</v>
      </c>
    </row>
    <row r="11" spans="1:4" x14ac:dyDescent="0.2">
      <c r="A11" s="475" t="s">
        <v>5550</v>
      </c>
      <c r="B11" s="480">
        <v>0.56000000000000005</v>
      </c>
      <c r="C11" s="475" t="s">
        <v>5540</v>
      </c>
      <c r="D11" s="475" t="s">
        <v>5551</v>
      </c>
    </row>
    <row r="12" spans="1:4" x14ac:dyDescent="0.2">
      <c r="A12" s="475" t="s">
        <v>5552</v>
      </c>
      <c r="B12" s="481">
        <f>4296.284215*58.6</f>
        <v>251762.254999</v>
      </c>
      <c r="C12" s="475" t="s">
        <v>5543</v>
      </c>
      <c r="D12" s="475" t="s">
        <v>5553</v>
      </c>
    </row>
    <row r="13" spans="1:4" x14ac:dyDescent="0.2">
      <c r="A13" s="475" t="s">
        <v>5554</v>
      </c>
      <c r="B13" s="481">
        <f>10855/0.05569</f>
        <v>194918.29771951874</v>
      </c>
      <c r="C13" s="475" t="s">
        <v>5540</v>
      </c>
      <c r="D13" s="475" t="s">
        <v>5555</v>
      </c>
    </row>
    <row r="14" spans="1:4" x14ac:dyDescent="0.2">
      <c r="A14" s="475" t="s">
        <v>5556</v>
      </c>
      <c r="B14" s="481">
        <f>(10855-9907)/0.05569</f>
        <v>17022.804812354101</v>
      </c>
      <c r="C14" s="475" t="s">
        <v>5537</v>
      </c>
      <c r="D14" s="475" t="s">
        <v>5557</v>
      </c>
    </row>
    <row r="15" spans="1:4" x14ac:dyDescent="0.2">
      <c r="A15" s="475" t="s">
        <v>5558</v>
      </c>
      <c r="B15" s="481">
        <v>743</v>
      </c>
      <c r="C15" s="475" t="s">
        <v>5540</v>
      </c>
      <c r="D15" s="475" t="s">
        <v>5559</v>
      </c>
    </row>
    <row r="16" spans="1:4" x14ac:dyDescent="0.2">
      <c r="A16" s="475" t="s">
        <v>5560</v>
      </c>
      <c r="B16" s="481">
        <v>4296284215</v>
      </c>
      <c r="C16" s="475" t="s">
        <v>5540</v>
      </c>
      <c r="D16" s="475" t="s">
        <v>5561</v>
      </c>
    </row>
    <row r="17" spans="1:7" x14ac:dyDescent="0.2">
      <c r="A17" s="475" t="s">
        <v>5562</v>
      </c>
      <c r="B17" s="480">
        <v>58.6</v>
      </c>
      <c r="C17" s="475" t="s">
        <v>5540</v>
      </c>
      <c r="D17" s="475" t="s">
        <v>5563</v>
      </c>
    </row>
    <row r="18" spans="1:7" x14ac:dyDescent="0.2">
      <c r="A18" s="475" t="s">
        <v>5564</v>
      </c>
      <c r="B18" s="482">
        <v>6.4</v>
      </c>
      <c r="C18" s="475" t="s">
        <v>5565</v>
      </c>
      <c r="D18" s="475" t="s">
        <v>5566</v>
      </c>
    </row>
    <row r="19" spans="1:7" x14ac:dyDescent="0.2">
      <c r="A19" s="475" t="s">
        <v>5567</v>
      </c>
      <c r="B19" s="479">
        <v>0.04</v>
      </c>
      <c r="C19" s="475" t="s">
        <v>5565</v>
      </c>
      <c r="D19" s="475" t="s">
        <v>5568</v>
      </c>
    </row>
    <row r="20" spans="1:7" x14ac:dyDescent="0.2">
      <c r="A20" s="475" t="s">
        <v>5569</v>
      </c>
      <c r="B20" s="479">
        <f>5923/426952</f>
        <v>1.3872753845865577E-2</v>
      </c>
      <c r="C20" s="475" t="s">
        <v>5543</v>
      </c>
      <c r="D20" s="475" t="s">
        <v>5570</v>
      </c>
    </row>
    <row r="22" spans="1:7" x14ac:dyDescent="0.2">
      <c r="A22" s="476" t="s">
        <v>5571</v>
      </c>
    </row>
    <row r="23" spans="1:7" x14ac:dyDescent="0.2">
      <c r="A23" s="478" t="s">
        <v>5572</v>
      </c>
      <c r="B23" s="478" t="s">
        <v>5573</v>
      </c>
      <c r="C23" s="478" t="s">
        <v>5574</v>
      </c>
      <c r="D23" s="478" t="s">
        <v>5575</v>
      </c>
      <c r="E23" s="478" t="s">
        <v>5576</v>
      </c>
      <c r="F23" s="478" t="s">
        <v>5577</v>
      </c>
      <c r="G23" s="478" t="s">
        <v>5578</v>
      </c>
    </row>
    <row r="24" spans="1:7" x14ac:dyDescent="0.2">
      <c r="A24" s="475" t="s">
        <v>5579</v>
      </c>
      <c r="B24" s="479">
        <v>-1.5862847814274161E-3</v>
      </c>
      <c r="C24" s="479">
        <v>4.4603219024284879E-2</v>
      </c>
      <c r="D24" s="479">
        <v>5.1972993261125922E-2</v>
      </c>
      <c r="E24" s="479">
        <v>4.7E-2</v>
      </c>
      <c r="F24" s="479">
        <v>4.2999999999999997E-2</v>
      </c>
      <c r="G24" s="475" t="s">
        <v>5580</v>
      </c>
    </row>
    <row r="25" spans="1:7" x14ac:dyDescent="0.2">
      <c r="A25" s="475" t="s">
        <v>5581</v>
      </c>
      <c r="B25" s="479">
        <v>0.47699999999999998</v>
      </c>
      <c r="C25" s="479">
        <v>0.48</v>
      </c>
      <c r="D25" s="479">
        <v>0.47950000000000004</v>
      </c>
      <c r="E25" s="479">
        <v>0.47950000000000004</v>
      </c>
      <c r="F25" s="479">
        <v>0.47950000000000004</v>
      </c>
      <c r="G25" s="475" t="s">
        <v>5582</v>
      </c>
    </row>
    <row r="26" spans="1:7" x14ac:dyDescent="0.2">
      <c r="A26" s="475" t="s">
        <v>5583</v>
      </c>
      <c r="B26" s="479">
        <v>0.14572030896570015</v>
      </c>
      <c r="C26" s="479">
        <v>0.14572766016534749</v>
      </c>
      <c r="D26" s="479">
        <v>0.14729733196775993</v>
      </c>
      <c r="E26" s="479">
        <v>0.14729733196775993</v>
      </c>
      <c r="F26" s="479">
        <v>0.14729733196775993</v>
      </c>
      <c r="G26" s="475" t="s">
        <v>5584</v>
      </c>
    </row>
    <row r="27" spans="1:7" x14ac:dyDescent="0.2">
      <c r="A27" s="475" t="s">
        <v>5585</v>
      </c>
      <c r="B27" s="479">
        <v>5.1560094657821631E-2</v>
      </c>
      <c r="C27" s="479">
        <v>5.0172716146153991E-2</v>
      </c>
      <c r="D27" s="479">
        <v>4.8958119894682781E-2</v>
      </c>
      <c r="E27" s="479">
        <v>4.845811989468278E-2</v>
      </c>
      <c r="F27" s="479">
        <v>4.795811989468278E-2</v>
      </c>
      <c r="G27" s="475" t="s">
        <v>5586</v>
      </c>
    </row>
    <row r="28" spans="1:7" x14ac:dyDescent="0.2">
      <c r="A28" s="475" t="s">
        <v>5587</v>
      </c>
      <c r="B28" s="479">
        <f>B27+Independent_DCF_Inputs!$B$20</f>
        <v>6.5432848503687205E-2</v>
      </c>
      <c r="C28" s="479">
        <f>C27+Independent_DCF_Inputs!$B$20</f>
        <v>6.4045469992019571E-2</v>
      </c>
      <c r="D28" s="479">
        <f>D27+Independent_DCF_Inputs!$B$20</f>
        <v>6.2830873740548354E-2</v>
      </c>
      <c r="E28" s="479">
        <f>E27+Independent_DCF_Inputs!$B$20</f>
        <v>6.2330873740548354E-2</v>
      </c>
      <c r="F28" s="479">
        <f>F27+Independent_DCF_Inputs!$B$20</f>
        <v>6.1830873740548353E-2</v>
      </c>
      <c r="G28" s="475" t="s">
        <v>5588</v>
      </c>
    </row>
    <row r="31" spans="1:7" x14ac:dyDescent="0.2">
      <c r="A31" s="476" t="s">
        <v>5589</v>
      </c>
    </row>
    <row r="32" spans="1:7" x14ac:dyDescent="0.2">
      <c r="B32" s="475">
        <v>2021</v>
      </c>
      <c r="C32" s="475">
        <v>2022</v>
      </c>
      <c r="D32" s="475">
        <v>2023</v>
      </c>
      <c r="E32" s="475">
        <v>2024</v>
      </c>
      <c r="F32" s="475">
        <v>2025</v>
      </c>
    </row>
    <row r="33" spans="1:6" x14ac:dyDescent="0.2">
      <c r="A33" s="475" t="s">
        <v>5590</v>
      </c>
      <c r="B33" s="481">
        <v>338792</v>
      </c>
      <c r="C33" s="481">
        <v>398706</v>
      </c>
      <c r="D33" s="481">
        <v>399879</v>
      </c>
      <c r="E33" s="481">
        <v>408335</v>
      </c>
      <c r="F33" s="481">
        <v>426952</v>
      </c>
    </row>
    <row r="34" spans="1:6" x14ac:dyDescent="0.2">
      <c r="A34" s="475" t="s">
        <v>4846</v>
      </c>
      <c r="B34" s="481">
        <v>157703</v>
      </c>
      <c r="C34" s="481">
        <v>193325</v>
      </c>
      <c r="D34" s="481">
        <v>194369</v>
      </c>
      <c r="E34" s="481">
        <v>193407</v>
      </c>
      <c r="F34" s="481">
        <v>203465</v>
      </c>
    </row>
    <row r="35" spans="1:6" x14ac:dyDescent="0.2">
      <c r="A35" s="475" t="s">
        <v>403</v>
      </c>
      <c r="B35" s="481">
        <v>32580</v>
      </c>
      <c r="C35" s="481">
        <v>53696</v>
      </c>
      <c r="D35" s="481">
        <v>35455</v>
      </c>
      <c r="E35" s="481">
        <v>33149</v>
      </c>
      <c r="F35" s="481">
        <v>34146</v>
      </c>
    </row>
    <row r="36" spans="1:6" x14ac:dyDescent="0.2">
      <c r="A36" s="475" t="s">
        <v>5591</v>
      </c>
      <c r="B36" s="481">
        <v>16126</v>
      </c>
      <c r="C36" s="481">
        <v>18038</v>
      </c>
      <c r="D36" s="481">
        <v>18929</v>
      </c>
      <c r="E36" s="481">
        <v>23051</v>
      </c>
      <c r="F36" s="481">
        <v>24838</v>
      </c>
    </row>
    <row r="37" spans="1:6" x14ac:dyDescent="0.2">
      <c r="A37" s="475" t="s">
        <v>5592</v>
      </c>
      <c r="B37" s="481">
        <v>48706</v>
      </c>
      <c r="C37" s="481">
        <v>71734</v>
      </c>
      <c r="D37" s="481">
        <v>54384</v>
      </c>
      <c r="E37" s="481">
        <v>56200</v>
      </c>
      <c r="F37" s="481">
        <v>58984</v>
      </c>
    </row>
    <row r="38" spans="1:6" x14ac:dyDescent="0.2">
      <c r="A38" s="475" t="s">
        <v>5593</v>
      </c>
      <c r="B38" s="481">
        <v>25410</v>
      </c>
      <c r="C38" s="481">
        <v>34523</v>
      </c>
      <c r="D38" s="481">
        <v>40474</v>
      </c>
      <c r="E38" s="481">
        <v>35495</v>
      </c>
      <c r="F38" s="481">
        <v>28764</v>
      </c>
    </row>
    <row r="39" spans="1:6" x14ac:dyDescent="0.2">
      <c r="A39" s="475" t="s">
        <v>5594</v>
      </c>
      <c r="B39" s="481">
        <v>19184</v>
      </c>
      <c r="C39" s="481">
        <v>21600</v>
      </c>
      <c r="D39" s="481">
        <v>21268</v>
      </c>
      <c r="E39" s="481">
        <v>23555</v>
      </c>
      <c r="F39" s="481">
        <v>23784</v>
      </c>
    </row>
    <row r="40" spans="1:6" x14ac:dyDescent="0.2">
      <c r="A40" s="476" t="s">
        <v>5618</v>
      </c>
      <c r="B40" s="481">
        <v>13710</v>
      </c>
      <c r="C40" s="481">
        <v>16989</v>
      </c>
      <c r="D40" s="481">
        <v>16120</v>
      </c>
      <c r="E40" s="481">
        <v>18832</v>
      </c>
      <c r="F40" s="481">
        <v>17151</v>
      </c>
    </row>
    <row r="41" spans="1:6" x14ac:dyDescent="0.2">
      <c r="A41" s="475" t="s">
        <v>5619</v>
      </c>
      <c r="B41" s="481">
        <v>11769</v>
      </c>
      <c r="C41" s="481">
        <v>12568</v>
      </c>
      <c r="D41" s="481">
        <v>15173</v>
      </c>
      <c r="E41" s="481">
        <v>16736</v>
      </c>
      <c r="F41" s="481">
        <v>15201</v>
      </c>
    </row>
    <row r="42" spans="1:6" x14ac:dyDescent="0.2">
      <c r="A42" s="475" t="s">
        <v>5620</v>
      </c>
      <c r="B42" s="481">
        <v>8748</v>
      </c>
      <c r="C42" s="481">
        <v>12313</v>
      </c>
      <c r="D42" s="481">
        <v>6353</v>
      </c>
      <c r="E42" s="481">
        <v>8057</v>
      </c>
      <c r="F42" s="481">
        <v>8535</v>
      </c>
    </row>
    <row r="43" spans="1:6" x14ac:dyDescent="0.2">
      <c r="A43" s="475" t="s">
        <v>5621</v>
      </c>
      <c r="B43" s="481">
        <v>35752</v>
      </c>
      <c r="C43" s="481">
        <v>44058</v>
      </c>
      <c r="D43" s="481">
        <v>40409</v>
      </c>
      <c r="E43" s="481">
        <v>40815</v>
      </c>
      <c r="F43" s="481">
        <v>39074</v>
      </c>
    </row>
    <row r="44" spans="1:6" x14ac:dyDescent="0.2">
      <c r="A44" s="475" t="s">
        <v>5622</v>
      </c>
      <c r="B44" s="481">
        <v>28590</v>
      </c>
      <c r="C44" s="481">
        <v>33311</v>
      </c>
      <c r="D44" s="481">
        <v>28100</v>
      </c>
      <c r="E44" s="481">
        <v>32338</v>
      </c>
      <c r="F44" s="481">
        <v>31788</v>
      </c>
    </row>
    <row r="45" spans="1:6" x14ac:dyDescent="0.2">
      <c r="A45" s="475" t="s">
        <v>5623</v>
      </c>
      <c r="B45" s="481">
        <v>10625</v>
      </c>
      <c r="C45" s="481">
        <v>6435</v>
      </c>
      <c r="D45" s="481">
        <v>12932</v>
      </c>
      <c r="E45" s="481">
        <v>4862</v>
      </c>
      <c r="F45" s="481">
        <v>12635</v>
      </c>
    </row>
    <row r="46" spans="1:6" x14ac:dyDescent="0.2">
      <c r="A46" s="475" t="s">
        <v>5624</v>
      </c>
    </row>
    <row r="47" spans="1:6" x14ac:dyDescent="0.2">
      <c r="A47" s="475" t="s">
        <v>5625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BT1666"/>
  <sheetViews>
    <sheetView showGridLines="0" tabSelected="1" topLeftCell="A61" zoomScaleNormal="100" zoomScaleSheetLayoutView="100" workbookViewId="0"/>
  </sheetViews>
  <sheetFormatPr baseColWidth="10" defaultColWidth="9.33203125" defaultRowHeight="11.25" outlineLevelRow="1" outlineLevelCol="1" x14ac:dyDescent="0.2"/>
  <cols>
    <col min="1" max="1" width="1.6640625" customWidth="1"/>
    <col min="2" max="4" width="16.6640625" customWidth="1"/>
    <col min="5" max="5" width="26.33203125" hidden="1" customWidth="1" outlineLevel="1"/>
    <col min="6" max="6" width="16.6640625" customWidth="1" collapsed="1"/>
    <col min="7" max="8" width="16.6640625" hidden="1" customWidth="1" outlineLevel="1"/>
    <col min="9" max="9" width="16.6640625" customWidth="1" collapsed="1"/>
    <col min="10" max="11" width="16.6640625" customWidth="1"/>
    <col min="12" max="12" width="18.6640625" customWidth="1"/>
    <col min="13" max="20" width="16.6640625" customWidth="1"/>
    <col min="21" max="21" width="14.6640625" customWidth="1"/>
    <col min="22" max="22" width="17.6640625" hidden="1" customWidth="1" outlineLevel="1"/>
    <col min="23" max="23" width="26.5" hidden="1" customWidth="1" outlineLevel="1"/>
    <col min="24" max="24" width="27.1640625" hidden="1" customWidth="1" outlineLevel="1"/>
    <col min="25" max="25" width="24.6640625" hidden="1" customWidth="1" outlineLevel="1"/>
    <col min="26" max="29" width="20.33203125" hidden="1" customWidth="1" outlineLevel="1"/>
    <col min="30" max="30" width="24.33203125" hidden="1" customWidth="1" outlineLevel="1"/>
    <col min="31" max="31" width="20.33203125" hidden="1" customWidth="1" outlineLevel="1"/>
    <col min="32" max="32" width="33.5" hidden="1" customWidth="1" outlineLevel="1"/>
    <col min="33" max="33" width="23.1640625" hidden="1" customWidth="1" outlineLevel="1"/>
    <col min="34" max="34" width="26.1640625" hidden="1" customWidth="1" outlineLevel="1"/>
    <col min="35" max="35" width="9.83203125" hidden="1" customWidth="1" outlineLevel="1"/>
    <col min="36" max="36" width="15" hidden="1" customWidth="1" outlineLevel="1"/>
    <col min="37" max="39" width="9.5" hidden="1" customWidth="1" outlineLevel="1"/>
    <col min="40" max="40" width="10.33203125" hidden="1" customWidth="1" outlineLevel="1"/>
    <col min="41" max="41" width="8.6640625" hidden="1" customWidth="1" outlineLevel="1"/>
    <col min="42" max="42" width="10.33203125" hidden="1" customWidth="1" outlineLevel="1"/>
    <col min="43" max="43" width="8.6640625" hidden="1" customWidth="1" outlineLevel="1"/>
    <col min="44" max="44" width="5.5" hidden="1" customWidth="1" outlineLevel="1"/>
    <col min="45" max="45" width="2" hidden="1" customWidth="1" outlineLevel="1"/>
    <col min="46" max="46" width="15" hidden="1" customWidth="1" outlineLevel="1"/>
    <col min="47" max="48" width="10.33203125" style="7" hidden="1" customWidth="1" outlineLevel="1"/>
    <col min="49" max="49" width="9.5" style="7" hidden="1" customWidth="1" outlineLevel="1"/>
    <col min="50" max="50" width="21.6640625" style="7" hidden="1" customWidth="1" outlineLevel="1"/>
    <col min="51" max="51" width="9.5" style="7" hidden="1" customWidth="1" outlineLevel="1"/>
    <col min="52" max="52" width="10.33203125" style="7" hidden="1" customWidth="1" outlineLevel="1"/>
    <col min="53" max="53" width="8.6640625" style="7" hidden="1" customWidth="1" outlineLevel="1"/>
    <col min="54" max="54" width="10.33203125" style="7" hidden="1" customWidth="1" outlineLevel="1"/>
    <col min="55" max="55" width="8.6640625" style="7" hidden="1" customWidth="1" outlineLevel="1"/>
    <col min="56" max="56" width="5.5" style="7" hidden="1" customWidth="1" outlineLevel="1"/>
    <col min="57" max="57" width="2" style="7" hidden="1" customWidth="1" outlineLevel="1"/>
    <col min="58" max="58" width="15" style="7" hidden="1" customWidth="1" outlineLevel="1"/>
    <col min="59" max="59" width="10.33203125" style="7" hidden="1" customWidth="1" outlineLevel="1"/>
    <col min="60" max="60" width="9.33203125" style="7" hidden="1" customWidth="1" outlineLevel="1"/>
    <col min="61" max="61" width="9.33203125" hidden="1" customWidth="1" outlineLevel="1"/>
    <col min="62" max="62" width="23.5" hidden="1" customWidth="1" outlineLevel="1"/>
    <col min="63" max="63" width="37" hidden="1" customWidth="1" outlineLevel="1"/>
    <col min="64" max="64" width="18.6640625" hidden="1" customWidth="1" outlineLevel="1"/>
    <col min="65" max="68" width="9.33203125" hidden="1" customWidth="1" outlineLevel="1"/>
    <col min="69" max="69" width="36" hidden="1" customWidth="1" outlineLevel="1"/>
    <col min="70" max="70" width="13.6640625" hidden="1" customWidth="1" outlineLevel="1"/>
    <col min="71" max="71" width="9.33203125" hidden="1" customWidth="1" outlineLevel="1"/>
    <col min="72" max="72" width="9.1640625" collapsed="1"/>
  </cols>
  <sheetData>
    <row r="1" spans="1:60" x14ac:dyDescent="0.2">
      <c r="A1" t="s">
        <v>304</v>
      </c>
      <c r="I1" s="7"/>
      <c r="AU1"/>
      <c r="AV1"/>
      <c r="AW1"/>
      <c r="AX1"/>
      <c r="AY1"/>
      <c r="AZ1"/>
      <c r="BA1"/>
      <c r="BB1"/>
      <c r="BC1"/>
      <c r="BD1"/>
      <c r="BE1"/>
      <c r="BF1"/>
      <c r="BG1"/>
      <c r="BH1"/>
    </row>
    <row r="2" spans="1:60" ht="45" customHeight="1" x14ac:dyDescent="0.2">
      <c r="B2" s="322"/>
      <c r="C2" s="163"/>
      <c r="D2" s="163"/>
      <c r="E2" s="163"/>
      <c r="F2" s="163"/>
      <c r="G2" s="163"/>
      <c r="H2" s="163"/>
      <c r="I2" s="163" t="str">
        <f>VLOOKUP("Discounted Cash Flow Analysis",Language_Data,Lookup_Column,FALSE)</f>
        <v>Discounted Cash Flow Analysis</v>
      </c>
      <c r="J2" s="48"/>
      <c r="K2" s="48"/>
      <c r="L2" s="48"/>
      <c r="M2" s="15"/>
      <c r="N2" s="15"/>
      <c r="O2" s="15"/>
      <c r="P2" s="15"/>
      <c r="Q2" s="15"/>
      <c r="R2" s="15"/>
      <c r="S2" s="15"/>
      <c r="T2" s="15"/>
      <c r="AU2"/>
      <c r="AV2"/>
      <c r="AW2"/>
      <c r="AX2"/>
      <c r="AY2"/>
      <c r="AZ2"/>
      <c r="BA2"/>
      <c r="BB2"/>
      <c r="BC2"/>
      <c r="BD2"/>
      <c r="BE2"/>
      <c r="BF2"/>
      <c r="BG2"/>
      <c r="BH2"/>
    </row>
    <row r="3" spans="1:60" ht="11.85" customHeight="1" x14ac:dyDescent="0.2">
      <c r="B3" s="9"/>
      <c r="C3" s="51"/>
      <c r="D3" s="51"/>
      <c r="E3" s="51"/>
      <c r="F3" s="51"/>
      <c r="G3" s="51"/>
      <c r="H3" s="51"/>
      <c r="I3" s="51"/>
      <c r="J3" s="321"/>
      <c r="K3" s="321"/>
      <c r="L3" s="321"/>
      <c r="AU3"/>
      <c r="AV3"/>
      <c r="AW3"/>
      <c r="AX3"/>
      <c r="AY3"/>
      <c r="AZ3"/>
      <c r="BA3"/>
      <c r="BB3"/>
      <c r="BC3"/>
      <c r="BD3"/>
      <c r="BE3"/>
      <c r="BF3"/>
      <c r="BG3"/>
      <c r="BH3"/>
    </row>
    <row r="4" spans="1:60" ht="11.85" customHeight="1" x14ac:dyDescent="0.2">
      <c r="B4" s="324" t="str">
        <f>VLOOKUP("Step 1: Select terminology from dropdown to be used in template.",Language_Data,Lookup_Column,FALSE)</f>
        <v>Step 1: Select terminology from dropdown to be used in template.</v>
      </c>
      <c r="C4" s="323"/>
      <c r="D4" s="323"/>
      <c r="E4" s="323"/>
      <c r="F4" s="323"/>
      <c r="G4" s="323"/>
      <c r="H4" s="51"/>
      <c r="K4" s="497" t="s">
        <v>2961</v>
      </c>
      <c r="L4" s="498"/>
      <c r="N4" s="139" t="str">
        <f>VLOOKUP("Contact:",Language_Data,Lookup_Column,FALSE)</f>
        <v>Contact:</v>
      </c>
      <c r="O4" s="126"/>
      <c r="AU4"/>
      <c r="AV4"/>
      <c r="AW4"/>
      <c r="AX4"/>
      <c r="AY4"/>
      <c r="AZ4"/>
      <c r="BA4"/>
      <c r="BB4"/>
      <c r="BC4"/>
      <c r="BD4"/>
      <c r="BE4"/>
      <c r="BF4"/>
      <c r="BG4"/>
      <c r="BH4"/>
    </row>
    <row r="5" spans="1:60" ht="11.85" customHeight="1" x14ac:dyDescent="0.2">
      <c r="B5" s="324"/>
      <c r="C5" s="323"/>
      <c r="D5" s="323"/>
      <c r="E5" s="323"/>
      <c r="F5" s="323"/>
      <c r="G5" s="323"/>
      <c r="H5" s="51"/>
      <c r="I5" s="51"/>
      <c r="J5" s="321"/>
      <c r="K5" s="321"/>
      <c r="L5" s="321"/>
      <c r="N5" s="96" t="str">
        <f>VLOOKUP("Please contact S&amp;P Capital IQ Pro Support with any questions or comments:",Language_Data,Lookup_Column,FALSE)</f>
        <v>Please contact S&amp;P Capital IQ Pro Support with any questions or comments:</v>
      </c>
      <c r="O5" s="126"/>
      <c r="AU5"/>
      <c r="AV5"/>
      <c r="AW5"/>
      <c r="AX5"/>
      <c r="AY5"/>
      <c r="AZ5"/>
      <c r="BA5"/>
      <c r="BB5"/>
      <c r="BC5"/>
      <c r="BD5"/>
      <c r="BE5"/>
      <c r="BF5"/>
      <c r="BG5"/>
      <c r="BH5"/>
    </row>
    <row r="6" spans="1:60" ht="11.85" customHeight="1" x14ac:dyDescent="0.2">
      <c r="B6" s="324" t="str">
        <f>VLOOKUP("Step 2: Hit ""UPDATE TERMINOLOGY"" button to update terminology in template.",Language_Data,Lookup_Column,FALSE)</f>
        <v>Step 2: Hit "UPDATE TERMINOLOGY" button to update terminology in template.</v>
      </c>
      <c r="C6" s="323"/>
      <c r="D6" s="323"/>
      <c r="E6" s="323"/>
      <c r="F6" s="323"/>
      <c r="G6" s="323"/>
      <c r="H6" s="51"/>
      <c r="I6" s="51"/>
      <c r="J6" s="321"/>
      <c r="K6" s="321"/>
      <c r="L6" s="321"/>
      <c r="N6" s="10" t="str">
        <f>VLOOKUP("Email:",Language_Data,Lookup_Column,FALSE)</f>
        <v>Email:</v>
      </c>
      <c r="O6" s="420" t="s">
        <v>4165</v>
      </c>
      <c r="AU6"/>
      <c r="AV6"/>
      <c r="AW6"/>
      <c r="AX6"/>
      <c r="AY6"/>
      <c r="AZ6"/>
      <c r="BA6"/>
      <c r="BB6"/>
      <c r="BC6"/>
      <c r="BD6"/>
      <c r="BE6"/>
      <c r="BF6"/>
      <c r="BG6"/>
      <c r="BH6"/>
    </row>
    <row r="7" spans="1:60" ht="11.85" customHeight="1" x14ac:dyDescent="0.2">
      <c r="B7" s="323"/>
      <c r="C7" s="323"/>
      <c r="D7" s="323"/>
      <c r="E7" s="323"/>
      <c r="F7" s="323"/>
      <c r="G7" s="323"/>
      <c r="H7" s="51"/>
      <c r="I7" s="51"/>
      <c r="J7" s="321"/>
      <c r="K7" s="321"/>
      <c r="L7" s="321"/>
      <c r="AU7"/>
      <c r="AV7"/>
      <c r="AW7"/>
      <c r="AX7"/>
      <c r="AY7"/>
      <c r="AZ7"/>
      <c r="BA7"/>
      <c r="BB7"/>
      <c r="BC7"/>
      <c r="BD7"/>
      <c r="BE7"/>
      <c r="BF7"/>
      <c r="BG7"/>
      <c r="BH7"/>
    </row>
    <row r="8" spans="1:60" ht="12" x14ac:dyDescent="0.2">
      <c r="B8" s="295" t="str">
        <f>VLOOKUP("Instructions:",Language_Data,Lookup_Column,FALSE)</f>
        <v>Instructions:</v>
      </c>
      <c r="C8" s="58"/>
      <c r="D8" s="58"/>
      <c r="E8" s="58"/>
      <c r="F8" s="58"/>
      <c r="G8" s="58"/>
      <c r="H8" s="58"/>
      <c r="N8" s="139" t="str">
        <f>VLOOKUP("Notes:",Language_Data,Lookup_Column,FALSE)</f>
        <v>Notes:</v>
      </c>
      <c r="AU8"/>
      <c r="AV8"/>
      <c r="AW8"/>
      <c r="AX8"/>
      <c r="AY8"/>
      <c r="AZ8"/>
      <c r="BA8"/>
      <c r="BB8"/>
      <c r="BC8"/>
      <c r="BD8"/>
      <c r="BE8"/>
      <c r="BF8"/>
      <c r="BG8"/>
      <c r="BH8"/>
    </row>
    <row r="9" spans="1:60" x14ac:dyDescent="0.2">
      <c r="B9" s="127" t="str">
        <f>VLOOKUP("1) Select S&amp;P Capital IQ Pro Add-In manual refresh option.",Language_Data,Lookup_Column,FALSE)</f>
        <v>1) Select S&amp;P Capital IQ Pro Add-In manual refresh option.</v>
      </c>
      <c r="C9" s="58"/>
      <c r="D9" s="58"/>
      <c r="E9" s="58"/>
      <c r="F9" s="58"/>
      <c r="G9" s="58"/>
      <c r="H9" s="58"/>
      <c r="N9" s="47" t="str">
        <f>VLOOKUP("1) S&amp;P Capital IQ Pro calculates WACC based on the most recent annual/quarterly reporting period,",Language_Data,Lookup_Column,FALSE)</f>
        <v>1) S&amp;P Capital IQ Pro calculates WACC based on the most recent annual/quarterly reporting period,</v>
      </c>
      <c r="AU9"/>
      <c r="AV9"/>
      <c r="AW9"/>
      <c r="AX9"/>
      <c r="AY9"/>
      <c r="AZ9"/>
      <c r="BA9"/>
      <c r="BB9"/>
      <c r="BC9"/>
      <c r="BD9"/>
      <c r="BE9"/>
      <c r="BF9"/>
      <c r="BG9"/>
      <c r="BH9"/>
    </row>
    <row r="10" spans="1:60" x14ac:dyDescent="0.2">
      <c r="B10" s="127" t="str">
        <f>"2) "&amp;VLOOKUP("This model contains VBA macros, which require specific settings to be enabled to function.",Language_Data,Lookup_Column,FALSE)</f>
        <v>2) This model contains VBA macros, which require specific settings to be enabled to function.</v>
      </c>
      <c r="C10" s="419"/>
      <c r="D10" s="58"/>
      <c r="E10" s="58"/>
      <c r="F10" s="58"/>
      <c r="G10" s="58"/>
      <c r="H10" s="58"/>
      <c r="N10" s="49" t="str">
        <f>VLOOKUP("except the following parameters:",Language_Data,Lookup_Column,FALSE)</f>
        <v>except the following parameters:</v>
      </c>
      <c r="AU10"/>
      <c r="AV10"/>
      <c r="AW10"/>
      <c r="AX10"/>
      <c r="AY10"/>
      <c r="AZ10"/>
      <c r="BA10"/>
      <c r="BB10"/>
      <c r="BC10"/>
      <c r="BD10"/>
      <c r="BE10"/>
      <c r="BF10"/>
      <c r="BG10"/>
      <c r="BH10"/>
    </row>
    <row r="11" spans="1:60" ht="20.45" customHeight="1" x14ac:dyDescent="0.2">
      <c r="B11" s="485" t="s">
        <v>4828</v>
      </c>
      <c r="C11" s="485"/>
      <c r="D11" s="485"/>
      <c r="E11" s="485"/>
      <c r="F11" s="485"/>
      <c r="G11" s="485"/>
      <c r="H11" s="485"/>
      <c r="I11" s="485"/>
      <c r="N11" s="50" t="str">
        <f>VLOOKUP("A) Risk-Free Rate of Return (Rf) – Pulls in 10y/5y US T-Note yield for most recent traded day.",Language_Data,Lookup_Column,FALSE)</f>
        <v>A) Risk-Free Rate of Return (Rf) – Pulls in 10y/5y US T-Note yield for most recent traded day.</v>
      </c>
      <c r="AU11"/>
      <c r="AV11"/>
      <c r="AW11"/>
      <c r="AX11"/>
      <c r="AY11"/>
      <c r="AZ11"/>
      <c r="BA11"/>
      <c r="BB11"/>
      <c r="BC11"/>
      <c r="BD11"/>
      <c r="BE11"/>
      <c r="BF11"/>
      <c r="BG11"/>
      <c r="BH11"/>
    </row>
    <row r="12" spans="1:60" x14ac:dyDescent="0.2">
      <c r="B12" s="128"/>
      <c r="C12" s="58"/>
      <c r="D12" s="58"/>
      <c r="E12" s="58"/>
      <c r="F12" s="58"/>
      <c r="G12" s="58"/>
      <c r="H12" s="58"/>
      <c r="N12" s="50" t="str">
        <f>VLOOKUP("B) Average of last 5 issued bonds is based on most recent issuance.",Language_Data,Lookup_Column,FALSE)</f>
        <v>B) Average of last 5 issued bonds is based on most recent issuance.</v>
      </c>
      <c r="AU12"/>
      <c r="AV12"/>
      <c r="AW12"/>
      <c r="AX12"/>
      <c r="AY12"/>
      <c r="AZ12"/>
      <c r="BA12"/>
      <c r="BB12"/>
      <c r="BC12"/>
      <c r="BD12"/>
      <c r="BE12"/>
      <c r="BF12"/>
      <c r="BG12"/>
      <c r="BH12"/>
    </row>
    <row r="13" spans="1:60" x14ac:dyDescent="0.2">
      <c r="B13" s="127" t="str">
        <f>VLOOKUP("Step 1: Enter Trading Symbol-Exchange / Entity ID / CIQ ID in Cell L13.",Language_Data,Lookup_Column,FALSE)</f>
        <v>Step 1: Enter Trading Symbol-Exchange / Entity ID / CIQ ID in Cell L13.</v>
      </c>
      <c r="J13" s="7"/>
      <c r="K13" s="7"/>
      <c r="L13" s="296" t="s">
        <v>5595</v>
      </c>
      <c r="N13" s="47" t="str">
        <f>VLOOKUP("2) Current market capitalization data is used in the calculation of equity.",Language_Data,Lookup_Column,FALSE)</f>
        <v>2) Current market capitalization data is used in the calculation of equity.</v>
      </c>
      <c r="AU13"/>
      <c r="AV13"/>
      <c r="AW13"/>
      <c r="AX13"/>
      <c r="AY13"/>
      <c r="AZ13"/>
      <c r="BA13"/>
      <c r="BB13"/>
      <c r="BC13"/>
      <c r="BD13"/>
      <c r="BE13"/>
      <c r="BF13"/>
      <c r="BG13"/>
      <c r="BH13"/>
    </row>
    <row r="14" spans="1:60" x14ac:dyDescent="0.2">
      <c r="B14" s="7"/>
      <c r="J14" s="7"/>
      <c r="K14" s="7"/>
      <c r="L14" s="7"/>
      <c r="N14" s="47" t="str">
        <f>VLOOKUP("3) The model includes only the securities issued by the Focus company.",Language_Data,Lookup_Column,FALSE)</f>
        <v>3) The model includes only the securities issued by the Focus company.</v>
      </c>
      <c r="AU14"/>
      <c r="AV14"/>
      <c r="AW14"/>
      <c r="AX14"/>
      <c r="AY14"/>
      <c r="AZ14"/>
      <c r="BA14"/>
      <c r="BB14"/>
      <c r="BC14"/>
      <c r="BD14"/>
      <c r="BE14"/>
      <c r="BF14"/>
      <c r="BG14"/>
      <c r="BH14"/>
    </row>
    <row r="15" spans="1:60" x14ac:dyDescent="0.2">
      <c r="B15" s="127" t="str">
        <f>VLOOKUP("Step 2: Enter date for analysis.",Language_Data,Lookup_Column,FALSE)</f>
        <v>Step 2: Enter date for analysis.</v>
      </c>
      <c r="J15" s="7"/>
      <c r="K15" s="7"/>
      <c r="L15" s="304">
        <v>46311.25</v>
      </c>
      <c r="N15" s="7"/>
      <c r="AU15"/>
      <c r="AV15"/>
      <c r="AW15"/>
      <c r="AX15"/>
      <c r="AY15"/>
      <c r="AZ15"/>
      <c r="BA15"/>
      <c r="BB15"/>
      <c r="BC15"/>
      <c r="BD15"/>
      <c r="BE15"/>
      <c r="BF15"/>
      <c r="BG15"/>
      <c r="BH15"/>
    </row>
    <row r="16" spans="1:60" x14ac:dyDescent="0.2">
      <c r="AU16"/>
      <c r="AV16"/>
      <c r="AW16"/>
      <c r="AX16"/>
      <c r="AY16"/>
      <c r="AZ16"/>
      <c r="BA16"/>
      <c r="BB16"/>
      <c r="BC16"/>
      <c r="BD16"/>
      <c r="BE16"/>
      <c r="BF16"/>
      <c r="BG16"/>
      <c r="BH16"/>
    </row>
    <row r="17" spans="2:60" x14ac:dyDescent="0.2">
      <c r="B17" s="100"/>
      <c r="J17" s="7"/>
      <c r="K17" s="7"/>
      <c r="AU17"/>
      <c r="AV17"/>
      <c r="AW17"/>
      <c r="AX17"/>
      <c r="AY17"/>
      <c r="AZ17"/>
      <c r="BA17"/>
      <c r="BB17"/>
      <c r="BC17"/>
      <c r="BD17"/>
      <c r="BE17"/>
      <c r="BF17"/>
      <c r="BG17"/>
      <c r="BH17"/>
    </row>
    <row r="18" spans="2:60" x14ac:dyDescent="0.2">
      <c r="B18" s="127" t="str">
        <f>VLOOKUP("Step 3: Select an index for market return.",Language_Data,Lookup_Column,FALSE)</f>
        <v>Step 3: Select an Index for Market Return.</v>
      </c>
      <c r="J18" s="499" t="s">
        <v>13</v>
      </c>
      <c r="K18" s="500"/>
      <c r="L18" s="501"/>
      <c r="AU18"/>
      <c r="AV18"/>
      <c r="AW18"/>
      <c r="AX18"/>
      <c r="AY18"/>
      <c r="AZ18"/>
      <c r="BA18"/>
      <c r="BB18"/>
      <c r="BC18"/>
      <c r="BD18"/>
      <c r="BE18"/>
      <c r="BF18"/>
      <c r="BG18"/>
      <c r="BH18"/>
    </row>
    <row r="19" spans="2:60" x14ac:dyDescent="0.2">
      <c r="Y19" s="349" t="str">
        <f>VLOOKUP("Initial Check:",Language_Data,Lookup_Column,FALSE)</f>
        <v>Initial check:</v>
      </c>
      <c r="AA19" s="349" t="str">
        <f>VLOOKUP("Final Peer List:",Language_Data,Lookup_Column,FALSE)</f>
        <v>Final Peer List:</v>
      </c>
      <c r="AU19"/>
      <c r="AV19"/>
      <c r="AW19"/>
      <c r="AX19"/>
      <c r="AY19"/>
      <c r="AZ19"/>
      <c r="BA19"/>
      <c r="BB19"/>
      <c r="BC19"/>
      <c r="BD19"/>
      <c r="BE19"/>
      <c r="BF19"/>
      <c r="BG19"/>
      <c r="BH19"/>
    </row>
    <row r="20" spans="2:60" x14ac:dyDescent="0.2">
      <c r="B20" s="127" t="str">
        <f>VLOOKUP("Step 4: Enter peers for beta generation.",Language_Data,Lookup_Column,FALSE)</f>
        <v>Step 4: Enter peers for beta generation.</v>
      </c>
      <c r="J20" s="7"/>
      <c r="K20" s="7"/>
      <c r="L20" s="346" t="str">
        <f>VLOOKUP("Auto-generated Peers",Language_Data,Lookup_Column,FALSE)</f>
        <v>Auto-generated Peers</v>
      </c>
      <c r="N20" s="346" t="str">
        <f>VLOOKUP("Exclude or Override Peers",Language_Data,Lookup_Column,FALSE)</f>
        <v>Exclude or Override Peers</v>
      </c>
      <c r="AU20"/>
      <c r="AV20"/>
      <c r="AW20"/>
      <c r="AX20"/>
      <c r="AY20"/>
      <c r="AZ20"/>
      <c r="BA20"/>
      <c r="BB20"/>
      <c r="BC20"/>
      <c r="BD20"/>
      <c r="BE20"/>
      <c r="BF20"/>
      <c r="BG20"/>
      <c r="BH20"/>
    </row>
    <row r="21" spans="2:60" hidden="1" x14ac:dyDescent="0.2">
      <c r="B21" s="127"/>
      <c r="J21" s="7"/>
      <c r="K21" s="7"/>
      <c r="L21" s="347" t="s">
        <v>5596</v>
      </c>
      <c r="N21" s="346"/>
      <c r="AU21"/>
      <c r="AV21"/>
      <c r="AW21"/>
      <c r="AX21"/>
      <c r="AY21"/>
      <c r="AZ21"/>
      <c r="BA21"/>
      <c r="BB21"/>
      <c r="BC21"/>
      <c r="BD21"/>
      <c r="BE21"/>
      <c r="BF21"/>
      <c r="BG21"/>
      <c r="BH21"/>
    </row>
    <row r="22" spans="2:60" x14ac:dyDescent="0.2">
      <c r="B22" s="353" t="str">
        <f>VLOOKUP("&gt;Automatic peers are generated in Cells L22:L27.",Language_Data,Lookup_Column,FALSE)</f>
        <v>&gt;Automatic peers are generated in Cells L22:L27.</v>
      </c>
      <c r="J22" s="132"/>
      <c r="K22" s="345" t="str">
        <f>VLOOKUP("Peer 1",Language_Data,Lookup_Column,FALSE)&amp;" ►"</f>
        <v>Peer 1 ►</v>
      </c>
      <c r="L22" s="348" t="s">
        <v>5598</v>
      </c>
      <c r="N22" s="297"/>
      <c r="X22" s="350">
        <v>1</v>
      </c>
      <c r="Y22" s="351" t="str">
        <f t="shared" ref="Y22:Y27" si="0">IF(N22="*","",IF(N22&lt;&gt;"",N22,IF(L22="","",L22)))</f>
        <v>NYSE:FLO</v>
      </c>
      <c r="Z22" s="350">
        <f>IF(Y22="","",X22)</f>
        <v>1</v>
      </c>
      <c r="AA22" s="352" t="str">
        <f>IFERROR(INDEX($Y$22:$Y$27,MATCH(SMALL($Z$22:$Z$27,X22),$X$22:$X$27,0)),"")</f>
        <v>NYSE:FLO</v>
      </c>
      <c r="AU22"/>
      <c r="AV22"/>
      <c r="AW22"/>
      <c r="AX22"/>
      <c r="AY22"/>
      <c r="AZ22"/>
      <c r="BA22"/>
      <c r="BB22"/>
      <c r="BC22"/>
      <c r="BD22"/>
      <c r="BE22"/>
      <c r="BF22"/>
      <c r="BG22"/>
      <c r="BH22"/>
    </row>
    <row r="23" spans="2:60" x14ac:dyDescent="0.2">
      <c r="B23" s="353" t="str">
        <f>VLOOKUP("&gt;To exclude, put an asterisk (*) in their corresponding adjacent yellow cells.",Language_Data,Lookup_Column,FALSE)</f>
        <v>&gt;To exclude, put an asterisk (*) in their corresponding adjacent yellow cells.</v>
      </c>
      <c r="J23" s="132"/>
      <c r="K23" s="345" t="str">
        <f>VLOOKUP("Peer 2",Language_Data,Lookup_Column,FALSE)&amp;" ►"</f>
        <v>Peer 2 ►</v>
      </c>
      <c r="L23" s="348" t="s">
        <v>5599</v>
      </c>
      <c r="N23" s="298"/>
      <c r="X23" s="350">
        <v>2</v>
      </c>
      <c r="Y23" s="351" t="str">
        <f t="shared" si="0"/>
        <v>BMV:GRUMA B</v>
      </c>
      <c r="Z23" s="350">
        <f t="shared" ref="Z23:Z27" si="1">IF(Y23="","",X23)</f>
        <v>2</v>
      </c>
      <c r="AA23" s="352" t="str">
        <f t="shared" ref="AA23:AA27" si="2">IFERROR(INDEX($Y$22:$Y$27,MATCH(SMALL($Z$22:$Z$27,X23),$X$22:$X$27,0)),"")</f>
        <v>BMV:GRUMA B</v>
      </c>
      <c r="AU23"/>
      <c r="AV23"/>
      <c r="AW23"/>
      <c r="AX23"/>
      <c r="AY23"/>
      <c r="AZ23"/>
      <c r="BA23"/>
      <c r="BB23"/>
      <c r="BC23"/>
      <c r="BD23"/>
      <c r="BE23"/>
      <c r="BF23"/>
      <c r="BG23"/>
      <c r="BH23"/>
    </row>
    <row r="24" spans="2:60" x14ac:dyDescent="0.2">
      <c r="B24" s="494" t="str">
        <f>VLOOKUP("&gt;To override, enter Trading Symbol &amp; Exchange of desired peers in their corresponding adjacent yellow cells.",Language_Data,Lookup_Column,FALSE)</f>
        <v>&gt;To override, enter Trading Symbol &amp; Exchange of desired peers in their corresponding adjacent yellow cells.</v>
      </c>
      <c r="C24" s="494"/>
      <c r="D24" s="494"/>
      <c r="E24" s="494"/>
      <c r="F24" s="494"/>
      <c r="G24" s="494"/>
      <c r="H24" s="494"/>
      <c r="I24" s="494"/>
      <c r="J24" s="132"/>
      <c r="K24" s="345" t="str">
        <f>VLOOKUP("Peer 3",Language_Data,Lookup_Column,FALSE)&amp;" ►"</f>
        <v>Peer 3 ►</v>
      </c>
      <c r="L24" s="348" t="s">
        <v>5600</v>
      </c>
      <c r="N24" s="299"/>
      <c r="X24" s="350">
        <v>3</v>
      </c>
      <c r="Y24" s="351" t="str">
        <f t="shared" si="0"/>
        <v>SWX:ARYN</v>
      </c>
      <c r="Z24" s="350">
        <f t="shared" si="1"/>
        <v>3</v>
      </c>
      <c r="AA24" s="352" t="str">
        <f t="shared" si="2"/>
        <v>SWX:ARYN</v>
      </c>
      <c r="AU24"/>
      <c r="AV24"/>
      <c r="AW24"/>
      <c r="AX24"/>
      <c r="AY24"/>
      <c r="AZ24"/>
      <c r="BA24"/>
      <c r="BB24"/>
      <c r="BC24"/>
      <c r="BD24"/>
      <c r="BE24"/>
      <c r="BF24"/>
      <c r="BG24"/>
      <c r="BH24"/>
    </row>
    <row r="25" spans="2:60" x14ac:dyDescent="0.2">
      <c r="B25" s="494"/>
      <c r="C25" s="494"/>
      <c r="D25" s="494"/>
      <c r="E25" s="494"/>
      <c r="F25" s="494"/>
      <c r="G25" s="494"/>
      <c r="H25" s="494"/>
      <c r="I25" s="494"/>
      <c r="J25" s="132"/>
      <c r="K25" s="345" t="str">
        <f>VLOOKUP("Peer 4",Language_Data,Lookup_Column,FALSE)&amp;" ►"</f>
        <v>Peer 4 ►</v>
      </c>
      <c r="L25" s="348" t="s">
        <v>5601</v>
      </c>
      <c r="N25" s="299"/>
      <c r="X25" s="350">
        <v>4</v>
      </c>
      <c r="Y25" s="351" t="str">
        <f t="shared" si="0"/>
        <v>BMV:AC</v>
      </c>
      <c r="Z25" s="350">
        <f t="shared" si="1"/>
        <v>4</v>
      </c>
      <c r="AA25" s="352" t="str">
        <f t="shared" si="2"/>
        <v>BMV:AC</v>
      </c>
      <c r="AU25"/>
      <c r="AV25"/>
      <c r="AW25"/>
      <c r="AX25"/>
      <c r="AY25"/>
      <c r="AZ25"/>
      <c r="BA25"/>
      <c r="BB25"/>
      <c r="BC25"/>
      <c r="BD25"/>
      <c r="BE25"/>
      <c r="BF25"/>
      <c r="BG25"/>
      <c r="BH25"/>
    </row>
    <row r="26" spans="2:60" x14ac:dyDescent="0.2">
      <c r="B26" s="353" t="str">
        <f>VLOOKUP("(Sample format: NYSE:ORCL or BARC-LSE)",Language_Data,Lookup_Column,FALSE)</f>
        <v>(Sample format: NYSE:ORCL or BARC-LSE)</v>
      </c>
      <c r="J26" s="132"/>
      <c r="K26" s="345" t="str">
        <f>VLOOKUP("Peer 5",Language_Data,Lookup_Column,FALSE)&amp;" ►"</f>
        <v>Peer 5 ►</v>
      </c>
      <c r="L26" s="348" t="s">
        <v>5602</v>
      </c>
      <c r="N26" s="299"/>
      <c r="X26" s="350">
        <v>5</v>
      </c>
      <c r="Y26" s="351" t="str">
        <f t="shared" si="0"/>
        <v>NYSE:SJM</v>
      </c>
      <c r="Z26" s="350">
        <f t="shared" si="1"/>
        <v>5</v>
      </c>
      <c r="AA26" s="352" t="str">
        <f t="shared" si="2"/>
        <v>NYSE:SJM</v>
      </c>
      <c r="AU26"/>
      <c r="AV26"/>
      <c r="AW26"/>
      <c r="AX26"/>
      <c r="AY26"/>
      <c r="AZ26"/>
      <c r="BA26"/>
      <c r="BB26"/>
      <c r="BC26"/>
      <c r="BD26"/>
      <c r="BE26"/>
      <c r="BF26"/>
      <c r="BG26"/>
      <c r="BH26"/>
    </row>
    <row r="27" spans="2:60" x14ac:dyDescent="0.2">
      <c r="B27" s="129"/>
      <c r="J27" s="132"/>
      <c r="K27" s="345" t="str">
        <f>VLOOKUP("Peer 6",Language_Data,Lookup_Column,FALSE)&amp;" ►"</f>
        <v>Peer 6 ►</v>
      </c>
      <c r="L27" s="348" t="s">
        <v>5603</v>
      </c>
      <c r="N27" s="299"/>
      <c r="X27" s="350">
        <v>6</v>
      </c>
      <c r="Y27" s="351" t="str">
        <f t="shared" si="0"/>
        <v>NASDAQGS:MDLZ</v>
      </c>
      <c r="Z27" s="350">
        <f t="shared" si="1"/>
        <v>6</v>
      </c>
      <c r="AA27" s="352" t="str">
        <f t="shared" si="2"/>
        <v>NASDAQGS:MDLZ</v>
      </c>
      <c r="AU27"/>
      <c r="AV27"/>
      <c r="AW27"/>
      <c r="AX27"/>
      <c r="AY27"/>
      <c r="AZ27"/>
      <c r="BA27"/>
      <c r="BB27"/>
      <c r="BC27"/>
      <c r="BD27"/>
      <c r="BE27"/>
      <c r="BF27"/>
      <c r="BG27"/>
      <c r="BH27"/>
    </row>
    <row r="28" spans="2:60" x14ac:dyDescent="0.2">
      <c r="B28" s="129"/>
      <c r="J28" s="7"/>
      <c r="K28" s="7"/>
      <c r="AU28"/>
      <c r="AV28"/>
      <c r="AW28"/>
      <c r="AX28"/>
      <c r="AY28"/>
      <c r="AZ28"/>
      <c r="BA28"/>
      <c r="BB28"/>
      <c r="BC28"/>
      <c r="BD28"/>
      <c r="BE28"/>
      <c r="BF28"/>
      <c r="BG28"/>
      <c r="BH28"/>
    </row>
    <row r="29" spans="2:60" x14ac:dyDescent="0.2">
      <c r="B29" s="130"/>
      <c r="J29" s="301" t="str">
        <f>VLOOKUP("Currency",Language_Data,Lookup_Column,FALSE)</f>
        <v>Currency</v>
      </c>
      <c r="K29" s="301"/>
      <c r="L29" s="300" t="str">
        <f>VLOOKUP("Magnitude",Language_Data,Lookup_Column,FALSE)</f>
        <v>Magnitude</v>
      </c>
      <c r="AU29"/>
      <c r="AV29"/>
      <c r="AW29"/>
      <c r="AX29"/>
      <c r="AY29"/>
      <c r="AZ29"/>
      <c r="BA29"/>
      <c r="BB29"/>
      <c r="BC29"/>
      <c r="BD29"/>
      <c r="BE29"/>
      <c r="BF29"/>
      <c r="BG29"/>
      <c r="BH29"/>
    </row>
    <row r="30" spans="2:60" x14ac:dyDescent="0.2">
      <c r="B30" s="127" t="str">
        <f>VLOOKUP("Step 5: Select currency and magnitude.",Language_Data,Lookup_Column,FALSE)</f>
        <v>Step 5: Select currency and magnitude.</v>
      </c>
      <c r="J30" s="499" t="s">
        <v>154</v>
      </c>
      <c r="K30" s="501"/>
      <c r="L30" s="296" t="s">
        <v>252</v>
      </c>
      <c r="AU30"/>
      <c r="AV30"/>
      <c r="AW30"/>
      <c r="AX30"/>
      <c r="AY30"/>
      <c r="AZ30"/>
      <c r="BA30"/>
      <c r="BB30"/>
      <c r="BC30"/>
      <c r="BD30"/>
      <c r="BE30"/>
      <c r="BF30"/>
      <c r="BG30"/>
      <c r="BH30"/>
    </row>
    <row r="31" spans="2:60" x14ac:dyDescent="0.2">
      <c r="B31" s="130"/>
      <c r="C31" s="7"/>
      <c r="D31" s="7"/>
      <c r="E31" s="7"/>
      <c r="F31" s="7"/>
      <c r="G31" s="7"/>
      <c r="H31" s="7"/>
      <c r="J31" s="11"/>
      <c r="AU31"/>
      <c r="AV31"/>
      <c r="AW31"/>
      <c r="AX31"/>
      <c r="AY31"/>
      <c r="AZ31"/>
      <c r="BA31"/>
      <c r="BB31"/>
      <c r="BC31"/>
      <c r="BD31"/>
      <c r="BE31"/>
      <c r="BF31"/>
      <c r="BG31"/>
      <c r="BH31"/>
    </row>
    <row r="32" spans="2:60" x14ac:dyDescent="0.2">
      <c r="B32" s="127" t="str">
        <f>VLOOKUP("Step 6: Select discount factor.",Language_Data,Lookup_Column,FALSE)</f>
        <v>Step 6: Select discount factor.</v>
      </c>
      <c r="C32" s="7"/>
      <c r="D32" s="7"/>
      <c r="E32" s="7"/>
      <c r="F32" s="7"/>
      <c r="G32" s="7"/>
      <c r="H32" s="7"/>
      <c r="J32" s="7" t="str">
        <f>VLOOKUP("Discount Factor:",Language_Data,Lookup_Column,FALSE)</f>
        <v>Discount Factor:</v>
      </c>
      <c r="L32" s="299">
        <v>1</v>
      </c>
      <c r="V32" s="7"/>
      <c r="AU32"/>
      <c r="AV32"/>
      <c r="AW32"/>
      <c r="AX32"/>
      <c r="AY32"/>
      <c r="AZ32"/>
      <c r="BA32"/>
      <c r="BB32"/>
      <c r="BC32"/>
      <c r="BD32"/>
      <c r="BE32"/>
      <c r="BF32"/>
      <c r="BG32"/>
      <c r="BH32"/>
    </row>
    <row r="33" spans="2:60" x14ac:dyDescent="0.2">
      <c r="B33" s="130"/>
      <c r="C33" s="7"/>
      <c r="D33" s="7"/>
      <c r="E33" s="7"/>
      <c r="F33" s="7"/>
      <c r="G33" s="7"/>
      <c r="H33" s="7"/>
      <c r="J33" s="167" t="str">
        <f>"1 = "&amp;VLOOKUP("Mid-Period Convention",Language_Data,Lookup_Column,FALSE)</f>
        <v>1 = Mid-Period Convention</v>
      </c>
      <c r="K33" s="1"/>
      <c r="L33" s="7"/>
      <c r="V33" s="7"/>
      <c r="AU33"/>
      <c r="AV33"/>
      <c r="AW33"/>
      <c r="AX33"/>
      <c r="AY33"/>
      <c r="AZ33"/>
      <c r="BA33"/>
      <c r="BB33"/>
      <c r="BC33"/>
      <c r="BD33"/>
      <c r="BE33"/>
      <c r="BF33"/>
      <c r="BG33"/>
      <c r="BH33"/>
    </row>
    <row r="34" spans="2:60" ht="12" x14ac:dyDescent="0.2">
      <c r="B34" s="130"/>
      <c r="C34" s="7"/>
      <c r="D34" s="7"/>
      <c r="E34" s="7"/>
      <c r="F34" s="7"/>
      <c r="G34" s="7"/>
      <c r="H34" s="7"/>
      <c r="J34" s="167" t="str">
        <f>"2 = "&amp;VLOOKUP("End-of-Period Convention",Language_Data,Lookup_Column,FALSE)</f>
        <v>2 = End-of-Period Convention</v>
      </c>
      <c r="K34" s="1"/>
      <c r="L34" s="7"/>
      <c r="N34" s="295" t="str">
        <f>VLOOKUP("Disclaimer:",Language_Data,Lookup_Column,FALSE)</f>
        <v>Disclaimer:</v>
      </c>
      <c r="Y34" s="7" t="s">
        <v>305</v>
      </c>
      <c r="Z34" s="135">
        <f>IF(F72=Y35,1,2)</f>
        <v>2</v>
      </c>
      <c r="AU34"/>
      <c r="AV34"/>
      <c r="AW34"/>
      <c r="AX34"/>
      <c r="AY34"/>
      <c r="AZ34"/>
      <c r="BA34"/>
      <c r="BB34"/>
      <c r="BC34"/>
      <c r="BD34"/>
      <c r="BE34"/>
      <c r="BF34"/>
      <c r="BG34"/>
      <c r="BH34"/>
    </row>
    <row r="35" spans="2:60" x14ac:dyDescent="0.2">
      <c r="B35" s="130"/>
      <c r="C35" s="7"/>
      <c r="D35" s="7"/>
      <c r="E35" s="7"/>
      <c r="F35" s="7"/>
      <c r="G35" s="7"/>
      <c r="H35" s="7"/>
      <c r="J35" s="11"/>
      <c r="N35" t="s">
        <v>5597</v>
      </c>
      <c r="X35" s="3"/>
      <c r="Y35" s="7" t="str">
        <f>VLOOKUP("Bottom-Up Beta",Language_Data,Lookup_Column,FALSE)</f>
        <v>Bottom-Up Beta</v>
      </c>
      <c r="Z35" s="136">
        <f>S64</f>
        <v>0.43472560678714162</v>
      </c>
      <c r="AU35"/>
      <c r="AV35"/>
      <c r="AW35"/>
      <c r="AX35"/>
      <c r="AY35"/>
      <c r="AZ35"/>
      <c r="BA35"/>
      <c r="BB35"/>
      <c r="BC35"/>
      <c r="BD35"/>
      <c r="BE35"/>
      <c r="BF35"/>
      <c r="BG35"/>
      <c r="BH35"/>
    </row>
    <row r="36" spans="2:60" x14ac:dyDescent="0.2">
      <c r="B36" s="127" t="str">
        <f>VLOOKUP("Step 7: Select calculation method for Δ working cap.",Language_Data,Lookup_Column,FALSE)</f>
        <v>Step 7: Select calculation method for Δ working cap.</v>
      </c>
      <c r="C36" s="7"/>
      <c r="D36" s="7"/>
      <c r="E36" s="7"/>
      <c r="F36" s="7"/>
      <c r="G36" s="7"/>
      <c r="H36" s="7"/>
      <c r="J36" s="7" t="str">
        <f>VLOOKUP("Δ Working Cap. Reference:",Language_Data,Lookup_Column,FALSE)</f>
        <v>Δ Working Cap. Reference:</v>
      </c>
      <c r="L36" s="299">
        <v>2</v>
      </c>
      <c r="N36" s="493" t="str">
        <f>VLOOKUP("This model and/or any data in it are provided subject to the written agreement of S&amp;P Global Market Intelligence LLC governing the subscription service to which this model is applied.",Language_Data,Lookup_Column,FALSE)</f>
        <v>This model and/or any data in it are provided subject to the written agreement of S&amp;P Global Market Intelligence LLC governing the subscription service to which this model is applied.</v>
      </c>
      <c r="O36" s="493"/>
      <c r="P36" s="493"/>
      <c r="Q36" s="493"/>
      <c r="R36" s="493"/>
      <c r="S36" s="493"/>
      <c r="X36" s="3"/>
      <c r="Y36" s="7" t="str">
        <f>VLOOKUP("Regression Beta",Language_Data,Lookup_Column,FALSE)</f>
        <v>Regression Beta</v>
      </c>
      <c r="Z36" s="137">
        <f>Independent_DCF_Inputs!$B$11*(1+(1-F50)*F56)</f>
        <v>0.86349256566022914</v>
      </c>
      <c r="AU36"/>
      <c r="AV36"/>
      <c r="AW36"/>
      <c r="AX36"/>
      <c r="AY36"/>
      <c r="AZ36"/>
      <c r="BA36"/>
      <c r="BB36"/>
      <c r="BC36"/>
      <c r="BD36"/>
      <c r="BE36"/>
      <c r="BF36"/>
      <c r="BG36"/>
      <c r="BH36"/>
    </row>
    <row r="37" spans="2:60" x14ac:dyDescent="0.2">
      <c r="B37" s="130"/>
      <c r="C37" s="7"/>
      <c r="D37" s="7"/>
      <c r="E37" s="7"/>
      <c r="F37" s="7"/>
      <c r="G37" s="7"/>
      <c r="H37" s="7"/>
      <c r="J37" s="7" t="str">
        <f>VLOOKUP("1 = As Reported on the Cash Flow",Language_Data,Lookup_Column,FALSE)</f>
        <v>1 = As Reported on the Cash Flow</v>
      </c>
      <c r="K37" s="7"/>
      <c r="L37" s="7"/>
      <c r="N37" s="493"/>
      <c r="O37" s="493"/>
      <c r="P37" s="493"/>
      <c r="Q37" s="493"/>
      <c r="R37" s="493"/>
      <c r="S37" s="493"/>
      <c r="X37" s="3"/>
      <c r="AU37"/>
      <c r="AV37"/>
      <c r="AW37"/>
      <c r="AX37"/>
      <c r="AY37"/>
      <c r="AZ37"/>
      <c r="BA37"/>
      <c r="BB37"/>
      <c r="BC37"/>
      <c r="BD37"/>
      <c r="BE37"/>
      <c r="BF37"/>
      <c r="BG37"/>
      <c r="BH37"/>
    </row>
    <row r="38" spans="2:60" x14ac:dyDescent="0.2">
      <c r="B38" s="130"/>
      <c r="C38" s="7"/>
      <c r="D38" s="7"/>
      <c r="E38" s="7"/>
      <c r="F38" s="7"/>
      <c r="G38" s="7"/>
      <c r="H38" s="7"/>
      <c r="J38" s="7" t="str">
        <f>VLOOKUP("2 = Calculated via WC Schedule",Language_Data,Lookup_Column,FALSE)</f>
        <v>2 = Calculated via WC Schedule</v>
      </c>
      <c r="K38" s="7"/>
      <c r="L38" s="7"/>
      <c r="X38" s="3"/>
      <c r="AU38"/>
      <c r="AV38"/>
      <c r="AW38"/>
      <c r="AX38"/>
      <c r="AY38"/>
      <c r="AZ38"/>
      <c r="BA38"/>
      <c r="BB38"/>
      <c r="BC38"/>
      <c r="BD38"/>
      <c r="BE38"/>
      <c r="BF38"/>
      <c r="BG38"/>
      <c r="BH38"/>
    </row>
    <row r="39" spans="2:60" x14ac:dyDescent="0.2">
      <c r="B39" s="130"/>
      <c r="C39" s="7"/>
      <c r="D39" s="7"/>
      <c r="E39" s="7"/>
      <c r="F39" s="7"/>
      <c r="G39" s="7"/>
      <c r="H39" s="7"/>
      <c r="J39" s="7"/>
      <c r="K39" s="7"/>
      <c r="L39" s="7"/>
      <c r="X39" s="3"/>
      <c r="AU39"/>
      <c r="AV39"/>
      <c r="AW39"/>
      <c r="AX39"/>
      <c r="AY39"/>
      <c r="AZ39"/>
      <c r="BA39"/>
      <c r="BB39"/>
      <c r="BC39"/>
      <c r="BD39"/>
      <c r="BE39"/>
      <c r="BF39"/>
      <c r="BG39"/>
      <c r="BH39"/>
    </row>
    <row r="40" spans="2:60" ht="12" customHeight="1" x14ac:dyDescent="0.2">
      <c r="B40" s="127" t="str">
        <f>VLOOKUP("Step 8: Click on ""REFRESH SHEET"" button.",Language_Data,Lookup_Column,FALSE)</f>
        <v>Step 8: Click on "REFRESH SHEET" button.</v>
      </c>
      <c r="C40" s="7"/>
      <c r="D40" s="7"/>
      <c r="E40" s="7"/>
      <c r="F40" s="7"/>
      <c r="G40" s="7"/>
      <c r="H40" s="7"/>
      <c r="J40" s="13"/>
      <c r="K40" s="13"/>
      <c r="X40" s="3"/>
      <c r="AU40"/>
      <c r="AV40"/>
      <c r="AW40"/>
      <c r="AX40"/>
      <c r="AY40"/>
      <c r="AZ40"/>
      <c r="BA40"/>
      <c r="BB40"/>
      <c r="BC40"/>
      <c r="BD40"/>
      <c r="BE40"/>
      <c r="BF40"/>
      <c r="BG40"/>
      <c r="BH40"/>
    </row>
    <row r="41" spans="2:60" x14ac:dyDescent="0.2">
      <c r="J41" s="13"/>
      <c r="K41" s="13"/>
      <c r="AU41"/>
      <c r="AV41"/>
      <c r="AW41"/>
      <c r="AX41"/>
      <c r="AY41"/>
      <c r="AZ41"/>
      <c r="BA41"/>
      <c r="BB41"/>
      <c r="BC41"/>
      <c r="BD41"/>
      <c r="BE41"/>
      <c r="BF41"/>
      <c r="BG41"/>
      <c r="BH41"/>
    </row>
    <row r="42" spans="2:60" ht="3" customHeight="1" x14ac:dyDescent="0.2">
      <c r="B42" s="69"/>
      <c r="C42" s="131"/>
      <c r="D42" s="131"/>
      <c r="E42" s="131"/>
      <c r="F42" s="131"/>
      <c r="G42" s="131"/>
      <c r="H42" s="131"/>
      <c r="I42" s="69"/>
      <c r="J42" s="12"/>
      <c r="K42" s="12"/>
      <c r="L42" s="15"/>
      <c r="M42" s="15"/>
      <c r="N42" s="15"/>
      <c r="O42" s="15"/>
      <c r="P42" s="15"/>
      <c r="Q42" s="15"/>
      <c r="R42" s="15"/>
      <c r="S42" s="15"/>
      <c r="AU42"/>
      <c r="AV42"/>
      <c r="AW42"/>
      <c r="AX42"/>
      <c r="AY42"/>
      <c r="AZ42"/>
      <c r="BA42"/>
      <c r="BB42"/>
      <c r="BC42"/>
      <c r="BD42"/>
      <c r="BE42"/>
      <c r="BF42"/>
      <c r="BG42"/>
      <c r="BH42"/>
    </row>
    <row r="43" spans="2:60" x14ac:dyDescent="0.2">
      <c r="AU43"/>
      <c r="AV43"/>
      <c r="AW43"/>
      <c r="AX43"/>
      <c r="AY43"/>
      <c r="AZ43"/>
      <c r="BA43"/>
      <c r="BB43"/>
      <c r="BC43"/>
      <c r="BD43"/>
      <c r="BE43"/>
      <c r="BF43"/>
      <c r="BG43"/>
      <c r="BH43"/>
    </row>
    <row r="44" spans="2:60" x14ac:dyDescent="0.2">
      <c r="AU44"/>
      <c r="AV44"/>
      <c r="AW44"/>
      <c r="AX44"/>
      <c r="AY44"/>
      <c r="AZ44"/>
      <c r="BA44"/>
      <c r="BB44"/>
      <c r="BC44"/>
      <c r="BD44"/>
      <c r="BE44"/>
      <c r="BF44"/>
      <c r="BG44"/>
      <c r="BH44"/>
    </row>
    <row r="46" spans="2:60" ht="16.5" thickBot="1" x14ac:dyDescent="0.3">
      <c r="B46" s="340" t="str">
        <f>AA76</f>
        <v>Grupo Bimbo, S.A.B. de C.V.</v>
      </c>
      <c r="C46" s="46"/>
      <c r="D46" s="46"/>
      <c r="E46" s="46"/>
      <c r="F46" s="46"/>
      <c r="G46" s="46"/>
      <c r="H46" s="46"/>
      <c r="I46" s="46"/>
      <c r="J46" s="46"/>
      <c r="K46" s="46"/>
      <c r="L46" s="46"/>
      <c r="M46" s="46"/>
      <c r="N46" s="46"/>
      <c r="O46" s="46"/>
      <c r="P46" s="46"/>
      <c r="Q46" s="46"/>
      <c r="R46" s="46"/>
      <c r="S46" s="46"/>
    </row>
    <row r="47" spans="2:60" x14ac:dyDescent="0.2">
      <c r="W47" s="114"/>
      <c r="X47" s="354" t="s">
        <v>274</v>
      </c>
      <c r="Y47" s="355" t="s">
        <v>275</v>
      </c>
      <c r="Z47" s="355" t="s">
        <v>272</v>
      </c>
      <c r="AA47" s="355" t="s">
        <v>260</v>
      </c>
      <c r="AB47" s="355" t="s">
        <v>260</v>
      </c>
      <c r="AC47" s="355" t="s">
        <v>260</v>
      </c>
      <c r="AD47" s="355" t="s">
        <v>260</v>
      </c>
      <c r="AE47" s="355" t="s">
        <v>260</v>
      </c>
      <c r="AF47" s="355" t="str">
        <f>"Total Debt ("&amp;CAP_ID&amp;")"</f>
        <v>Total Debt (Mex$M)</v>
      </c>
      <c r="AG47" s="355" t="s">
        <v>261</v>
      </c>
      <c r="AH47" s="356" t="str">
        <f>"Total Preferred Equity ("&amp;CAP_ID&amp;")"</f>
        <v>Total Preferred Equity (Mex$M)</v>
      </c>
    </row>
    <row r="48" spans="2:60" x14ac:dyDescent="0.2">
      <c r="B48" s="40" t="str">
        <f>VLOOKUP("ASSUMPTIONS",Language_Data,Lookup_Column,FALSE)</f>
        <v>ASSUMPTIONS</v>
      </c>
      <c r="C48" s="40"/>
      <c r="D48" s="40"/>
      <c r="E48" s="40"/>
      <c r="F48" s="40"/>
      <c r="G48" s="249"/>
      <c r="H48" s="249"/>
      <c r="J48" s="89" t="str">
        <f>VLOOKUP("BETA CALCULATION",Language_Data,Lookup_Column,FALSE)</f>
        <v>BETA CALCULATION</v>
      </c>
      <c r="K48" s="90"/>
      <c r="L48" s="90"/>
      <c r="M48" s="90"/>
      <c r="N48" s="91"/>
      <c r="O48" s="91"/>
      <c r="P48" s="91"/>
      <c r="Q48" s="91"/>
      <c r="R48" s="91"/>
      <c r="S48" s="91"/>
      <c r="W48" s="308"/>
      <c r="X48" s="342" t="s">
        <v>294</v>
      </c>
      <c r="Y48" s="306" t="s">
        <v>295</v>
      </c>
      <c r="Z48" s="306" t="s">
        <v>293</v>
      </c>
      <c r="AA48" s="306" t="s">
        <v>292</v>
      </c>
      <c r="AB48" s="306" t="s">
        <v>292</v>
      </c>
      <c r="AC48" s="306" t="s">
        <v>292</v>
      </c>
      <c r="AD48" s="306" t="s">
        <v>292</v>
      </c>
      <c r="AE48" s="306" t="s">
        <v>292</v>
      </c>
      <c r="AF48" s="306" t="s">
        <v>298</v>
      </c>
      <c r="AG48" s="306" t="s">
        <v>291</v>
      </c>
      <c r="AH48" s="307" t="s">
        <v>290</v>
      </c>
      <c r="AO48" s="2"/>
      <c r="AP48" s="2"/>
      <c r="AQ48" s="4"/>
      <c r="AR48" s="4"/>
    </row>
    <row r="49" spans="2:71" x14ac:dyDescent="0.2">
      <c r="J49" s="7"/>
      <c r="K49" s="7"/>
      <c r="L49" s="52" t="str">
        <f>VLOOKUP("5Yr Avg",Language_Data,Lookup_Column,FALSE)</f>
        <v>5Yr Avg</v>
      </c>
      <c r="M49" s="52" t="str">
        <f>VLOOKUP("Levered Beta",Language_Data,Lookup_Column,FALSE)</f>
        <v>Levered Beta</v>
      </c>
      <c r="N49" s="52" t="str">
        <f>VLOOKUP("Total Debt",Language_Data,Lookup_Column,FALSE)</f>
        <v>Total Debt</v>
      </c>
      <c r="O49" s="52" t="str">
        <f>VLOOKUP("Mkt. Val.",Language_Data,Lookup_Column,FALSE)</f>
        <v>Mkt. Val.</v>
      </c>
      <c r="P49" s="52" t="str">
        <f>VLOOKUP("Preferred",Language_Data,Lookup_Column,FALSE)&amp;" "&amp;VLOOKUP("Equity",Language_Data,Lookup_Column,FALSE)</f>
        <v>Preferred Equity</v>
      </c>
      <c r="Q49" s="52" t="str">
        <f>VLOOKUP("Debt/",Language_Data,Lookup_Column,FALSE)&amp;VLOOKUP("Equity",Language_Data,Lookup_Column,FALSE)</f>
        <v>Debt/Equity</v>
      </c>
      <c r="R49" s="52" t="str">
        <f>VLOOKUP("Pref/",Language_Data,Lookup_Column,FALSE)&amp;VLOOKUP("Equity",Language_Data,Lookup_Column,FALSE)</f>
        <v>Pref/Equity</v>
      </c>
      <c r="S49" s="52" t="str">
        <f>VLOOKUP("Unlevered",Language_Data,Lookup_Column,FALSE)&amp;" "&amp;VLOOKUP("Beta",Language_Data,Lookup_Column,FALSE)</f>
        <v>Unlevered Beta</v>
      </c>
      <c r="W49" s="115"/>
      <c r="X49" s="342"/>
      <c r="Y49" s="116"/>
      <c r="Z49" s="116"/>
      <c r="AA49" s="306" t="str">
        <f>Y69</f>
        <v>FY0</v>
      </c>
      <c r="AB49" s="306" t="s">
        <v>4242</v>
      </c>
      <c r="AC49" s="306" t="s">
        <v>4243</v>
      </c>
      <c r="AD49" s="306" t="s">
        <v>4244</v>
      </c>
      <c r="AE49" s="306" t="s">
        <v>4245</v>
      </c>
      <c r="AF49" s="306" t="s">
        <v>4248</v>
      </c>
      <c r="AG49" s="338">
        <f>$L$15</f>
        <v>46311.25</v>
      </c>
      <c r="AH49" s="307" t="s">
        <v>4248</v>
      </c>
      <c r="AO49" s="2"/>
      <c r="AP49" s="2"/>
      <c r="AQ49" s="4"/>
      <c r="AR49" s="4"/>
      <c r="BK49" s="489" t="s">
        <v>22</v>
      </c>
      <c r="BL49" s="490"/>
      <c r="BP49" s="30"/>
    </row>
    <row r="50" spans="2:71" x14ac:dyDescent="0.2">
      <c r="B50" t="str">
        <f>VLOOKUP("Tax Rate (5 Year Average)",Language_Data,Lookup_Column,FALSE)</f>
        <v>Tax Rate (5 Year Average)</v>
      </c>
      <c r="F50" s="108">
        <f>IFERROR(AVERAGE(AA69:AA73)/100,0)</f>
        <v>0.3</v>
      </c>
      <c r="G50" s="108"/>
      <c r="H50" s="108"/>
      <c r="J50" s="53" t="str">
        <f>VLOOKUP("Name",Language_Data,Lookup_Column,FALSE)</f>
        <v>Name</v>
      </c>
      <c r="K50" s="15"/>
      <c r="L50" s="54" t="str">
        <f>VLOOKUP("Tax Rate",Language_Data,Lookup_Column,FALSE)</f>
        <v>Tax Rate</v>
      </c>
      <c r="M50" s="54"/>
      <c r="N50" s="54"/>
      <c r="O50" s="54" t="str">
        <f>VLOOKUP("Equity",Language_Data,Lookup_Column,FALSE)</f>
        <v>Equity</v>
      </c>
      <c r="P50" s="54"/>
      <c r="Q50" s="54"/>
      <c r="R50" s="54"/>
      <c r="S50" s="54"/>
      <c r="W50" s="270"/>
      <c r="X50" s="343"/>
      <c r="Y50" s="271"/>
      <c r="Z50" s="271"/>
      <c r="AA50" s="335">
        <f t="shared" ref="AA50:AF50" si="3">$L$15</f>
        <v>46311.25</v>
      </c>
      <c r="AB50" s="335">
        <f t="shared" si="3"/>
        <v>46311.25</v>
      </c>
      <c r="AC50" s="335">
        <f t="shared" si="3"/>
        <v>46311.25</v>
      </c>
      <c r="AD50" s="335">
        <f t="shared" si="3"/>
        <v>46311.25</v>
      </c>
      <c r="AE50" s="335">
        <f t="shared" si="3"/>
        <v>46311.25</v>
      </c>
      <c r="AF50" s="335">
        <f t="shared" si="3"/>
        <v>46311.25</v>
      </c>
      <c r="AG50" s="336"/>
      <c r="AH50" s="330">
        <f>$L$15</f>
        <v>46311.25</v>
      </c>
      <c r="AN50" s="1"/>
      <c r="AO50" s="2"/>
      <c r="AP50" s="2"/>
      <c r="AQ50" s="4"/>
      <c r="AR50" s="4"/>
      <c r="BK50" s="491" t="s">
        <v>312</v>
      </c>
      <c r="BL50" s="492"/>
      <c r="BR50" s="34"/>
      <c r="BS50" s="34"/>
    </row>
    <row r="51" spans="2:71" x14ac:dyDescent="0.2">
      <c r="B51" s="486" t="s">
        <v>4522</v>
      </c>
      <c r="C51" s="487"/>
      <c r="D51" s="488"/>
      <c r="E51" s="254"/>
      <c r="F51" s="208">
        <f>IF(F52&lt;&gt;"",F52,IFERROR(VLOOKUP(B51,AC76:AD157,2,0)/100,"NA"))</f>
        <v>7.5101187761694194E-2</v>
      </c>
      <c r="G51" s="208"/>
      <c r="H51" s="208"/>
      <c r="J51" s="96" t="str">
        <f t="shared" ref="J51:J56" si="4">IF(X52="","",X52)</f>
        <v>Flowers Foods</v>
      </c>
      <c r="L51" s="97">
        <f t="shared" ref="L51:L56" si="5">IF($J51="","",IFERROR(AVERAGE(AA52:AE52)/100,0))</f>
        <v>0.25</v>
      </c>
      <c r="M51" s="56">
        <v>0.40229999999999999</v>
      </c>
      <c r="N51" s="112">
        <f t="shared" ref="N51:P56" si="6">IF($J51="","",IF(OR(AF52="",AF52="NA"),0,AF52))</f>
        <v>37102.1</v>
      </c>
      <c r="O51" s="112">
        <f t="shared" si="6"/>
        <v>23943.200000000001</v>
      </c>
      <c r="P51" s="112">
        <f t="shared" si="6"/>
        <v>0</v>
      </c>
      <c r="Q51" s="55">
        <f t="shared" ref="Q51:Q56" si="7">IF($O51="","",IF(ISERROR(N51/O51),0,N51/O51))</f>
        <v>1.5495881920545289</v>
      </c>
      <c r="R51" s="55">
        <f t="shared" ref="R51:R56" si="8">IF($O51="","",IF(ISERROR(P51/O51),0,P51/O51))</f>
        <v>0</v>
      </c>
      <c r="S51" s="303">
        <f t="shared" ref="S51:S56" si="9">IF($J51="","",IF(M51=0,"NA",IF(ISERROR(M51/(1+Q51*(1-$L51)+R51)),0,M51/(1+Q51*(1-$L51)+R51))))</f>
        <v>0.18606125601279899</v>
      </c>
      <c r="W51" s="333"/>
      <c r="X51" s="1"/>
      <c r="AA51" s="2"/>
      <c r="AB51" s="2"/>
      <c r="AC51" s="2"/>
      <c r="AD51" s="2"/>
      <c r="AE51" s="2"/>
      <c r="AF51" s="2"/>
      <c r="AG51" s="2"/>
      <c r="AH51" s="337"/>
      <c r="AN51" s="2"/>
      <c r="AO51" s="2"/>
      <c r="AW51" s="8"/>
      <c r="BM51" s="45" t="str">
        <f>BM52&amp;BN52</f>
        <v>Mex$M</v>
      </c>
      <c r="BR51" s="34"/>
      <c r="BS51" s="34"/>
    </row>
    <row r="52" spans="2:71" x14ac:dyDescent="0.2">
      <c r="D52" s="2" t="str">
        <f>VLOOKUP("Risk-free Rate Manual Overide ►",Language_Data,Lookup_Column,FALSE)</f>
        <v>Risk-free Rate Manual Overide ►</v>
      </c>
      <c r="F52" s="109">
        <f>Independent_DCF_Inputs!$B$5</f>
        <v>7.5101187761694194E-2</v>
      </c>
      <c r="G52" s="108"/>
      <c r="H52" s="108"/>
      <c r="J52" s="96" t="str">
        <f t="shared" si="4"/>
        <v>Gruma</v>
      </c>
      <c r="L52" s="97">
        <f t="shared" si="5"/>
        <v>0.3</v>
      </c>
      <c r="M52" s="56">
        <v>0.4647</v>
      </c>
      <c r="N52" s="112">
        <f t="shared" si="6"/>
        <v>39024</v>
      </c>
      <c r="O52" s="112">
        <f t="shared" si="6"/>
        <v>80477.899999999994</v>
      </c>
      <c r="P52" s="112">
        <f t="shared" si="6"/>
        <v>0</v>
      </c>
      <c r="Q52" s="55">
        <f t="shared" si="7"/>
        <v>0.48490330885870536</v>
      </c>
      <c r="R52" s="55">
        <f t="shared" si="8"/>
        <v>0</v>
      </c>
      <c r="S52" s="303">
        <f t="shared" si="9"/>
        <v>0.34693802320522255</v>
      </c>
      <c r="W52" s="358" t="str">
        <f t="shared" ref="W52:W57" si="10">IF(AA22="","",AA22)</f>
        <v>NYSE:FLO</v>
      </c>
      <c r="X52" s="96" t="s">
        <v>5604</v>
      </c>
      <c r="Y52" s="7" t="s">
        <v>5605</v>
      </c>
      <c r="Z52" s="7" t="s">
        <v>5598</v>
      </c>
      <c r="AA52" s="4">
        <v>25</v>
      </c>
      <c r="AB52" s="4">
        <v>25</v>
      </c>
      <c r="AC52" s="4">
        <v>25</v>
      </c>
      <c r="AD52" s="4">
        <v>25</v>
      </c>
      <c r="AE52" s="4">
        <v>25</v>
      </c>
      <c r="AF52" s="6">
        <v>37102.1</v>
      </c>
      <c r="AG52" s="118">
        <v>23943.200000000001</v>
      </c>
      <c r="AH52" s="119">
        <v>0</v>
      </c>
      <c r="AN52" s="2"/>
      <c r="AO52" s="2"/>
      <c r="AS52" s="5"/>
      <c r="AU52" s="8"/>
      <c r="AV52" s="8"/>
      <c r="AW52" s="8"/>
      <c r="BB52" s="8"/>
      <c r="BC52" s="8"/>
      <c r="BD52" s="8"/>
      <c r="BE52" s="8"/>
      <c r="BF52" s="8"/>
      <c r="BK52" s="401" t="str">
        <f>IF(J30="","",J30)</f>
        <v>Mexican Peso</v>
      </c>
      <c r="BL52" s="401" t="str">
        <f>IFERROR(VLOOKUP(BK52,$BJ$55:$BN$1138,3,FALSE),"")</f>
        <v>MXN</v>
      </c>
      <c r="BM52" s="401" t="str">
        <f>IFERROR(VLOOKUP(BK52,$BJ$55:$BN$133,4,FALSE),"")</f>
        <v>Mex$</v>
      </c>
      <c r="BN52" s="401" t="str">
        <f>IFERROR(BL135,"")</f>
        <v>M</v>
      </c>
      <c r="BP52" s="224"/>
    </row>
    <row r="53" spans="2:71" x14ac:dyDescent="0.2">
      <c r="B53" t="str">
        <f>Index_Sel&amp;" "&amp;VLOOKUP("Market Return (Rm) - Yearly for Last 10 Years",Language_Data,Lookup_Column,FALSE)</f>
        <v>S&amp;P 500 Market Return (Rm) - Yearly for Last 10 Years</v>
      </c>
      <c r="F53" s="108">
        <f>IF(F54&lt;&gt;"",F54,IFERROR(AVERAGE(AG63:AG72),0))</f>
        <v>0.1171011877616942</v>
      </c>
      <c r="G53" s="250"/>
      <c r="H53" s="250"/>
      <c r="J53" s="96" t="str">
        <f t="shared" si="4"/>
        <v>Aryzta</v>
      </c>
      <c r="L53" s="97">
        <f t="shared" si="5"/>
        <v>0.2</v>
      </c>
      <c r="M53" s="56">
        <v>0.28749999999999998</v>
      </c>
      <c r="N53" s="112">
        <f t="shared" si="6"/>
        <v>18236.900000000001</v>
      </c>
      <c r="O53" s="112">
        <f t="shared" si="6"/>
        <v>22522.2</v>
      </c>
      <c r="P53" s="112">
        <f t="shared" si="6"/>
        <v>0</v>
      </c>
      <c r="Q53" s="55">
        <f t="shared" si="7"/>
        <v>0.80972995533296044</v>
      </c>
      <c r="R53" s="55">
        <f t="shared" si="8"/>
        <v>0</v>
      </c>
      <c r="S53" s="303">
        <f t="shared" si="9"/>
        <v>0.17447675559095613</v>
      </c>
      <c r="W53" s="358" t="str">
        <f t="shared" si="10"/>
        <v>BMV:GRUMA B</v>
      </c>
      <c r="X53" s="96" t="s">
        <v>5606</v>
      </c>
      <c r="Y53" s="7" t="s">
        <v>5605</v>
      </c>
      <c r="Z53" s="7" t="s">
        <v>5599</v>
      </c>
      <c r="AA53" s="4">
        <v>30</v>
      </c>
      <c r="AB53" s="4">
        <v>30</v>
      </c>
      <c r="AC53" s="4">
        <v>30</v>
      </c>
      <c r="AD53" s="4">
        <v>30</v>
      </c>
      <c r="AE53" s="4">
        <v>30</v>
      </c>
      <c r="AF53" s="6">
        <v>39024</v>
      </c>
      <c r="AG53" s="118">
        <v>80477.899999999994</v>
      </c>
      <c r="AH53" s="119">
        <v>0</v>
      </c>
      <c r="AS53" s="5"/>
      <c r="AU53" s="96"/>
      <c r="AV53" s="212"/>
      <c r="AW53" s="96"/>
      <c r="AX53" s="96"/>
      <c r="AY53" s="212"/>
      <c r="AZ53" s="212"/>
      <c r="BB53" s="96"/>
      <c r="BC53" s="96"/>
      <c r="BD53" s="96"/>
      <c r="BE53" s="212"/>
      <c r="BF53" s="96"/>
      <c r="BG53" s="212"/>
      <c r="BH53" s="212"/>
      <c r="BK53" s="7"/>
      <c r="BL53" s="7"/>
      <c r="BM53" s="7"/>
      <c r="BN53" s="7"/>
      <c r="BP53" s="224"/>
      <c r="BR53" s="1"/>
      <c r="BS53" s="305"/>
    </row>
    <row r="54" spans="2:71" x14ac:dyDescent="0.2">
      <c r="D54" s="2" t="str">
        <f>VLOOKUP("Market Return Manual Overide ►",Language_Data,Lookup_Column,FALSE)</f>
        <v>Market Return Manual Overide ►</v>
      </c>
      <c r="F54" s="109">
        <f>Independent_DCF_Inputs!$B$7</f>
        <v>0.1171011877616942</v>
      </c>
      <c r="G54" s="251"/>
      <c r="H54" s="251"/>
      <c r="J54" s="96" t="str">
        <f t="shared" si="4"/>
        <v>Arca Continental</v>
      </c>
      <c r="L54" s="97">
        <f t="shared" si="5"/>
        <v>0.3</v>
      </c>
      <c r="M54" s="56">
        <v>0.55200000000000005</v>
      </c>
      <c r="N54" s="112">
        <f t="shared" si="6"/>
        <v>67337.5</v>
      </c>
      <c r="O54" s="112">
        <f t="shared" si="6"/>
        <v>355441.7</v>
      </c>
      <c r="P54" s="112">
        <f t="shared" si="6"/>
        <v>0</v>
      </c>
      <c r="Q54" s="55">
        <f t="shared" si="7"/>
        <v>0.18944738335428848</v>
      </c>
      <c r="R54" s="55">
        <f t="shared" si="8"/>
        <v>0</v>
      </c>
      <c r="S54" s="303">
        <f t="shared" si="9"/>
        <v>0.48736851683009474</v>
      </c>
      <c r="W54" s="358" t="str">
        <f t="shared" si="10"/>
        <v>SWX:ARYN</v>
      </c>
      <c r="X54" s="96" t="s">
        <v>5607</v>
      </c>
      <c r="Y54" s="7" t="s">
        <v>5605</v>
      </c>
      <c r="Z54" s="7" t="s">
        <v>5600</v>
      </c>
      <c r="AA54" s="4">
        <v>20</v>
      </c>
      <c r="AB54" s="4">
        <v>20</v>
      </c>
      <c r="AC54" s="4">
        <v>20</v>
      </c>
      <c r="AD54" s="4">
        <v>20</v>
      </c>
      <c r="AE54" s="4">
        <v>20</v>
      </c>
      <c r="AF54" s="6">
        <v>18236.900000000001</v>
      </c>
      <c r="AG54" s="118">
        <v>22522.2</v>
      </c>
      <c r="AH54" s="119">
        <v>0</v>
      </c>
      <c r="AJ54" s="390" t="s">
        <v>4604</v>
      </c>
      <c r="AK54" s="15">
        <f>IF(COUNTA(AJ58:AJ1048576)&lt;2,2,COUNTA(AJ58:AJ1048576))</f>
        <v>50</v>
      </c>
      <c r="AL54" s="15"/>
      <c r="AM54" s="15"/>
      <c r="AN54" s="15"/>
      <c r="AO54" s="364"/>
      <c r="AP54" s="15"/>
      <c r="AQ54" s="364"/>
      <c r="AR54" s="15"/>
      <c r="AS54" s="15"/>
      <c r="AT54" s="15"/>
      <c r="AU54" s="15"/>
      <c r="AV54" s="15"/>
      <c r="AW54"/>
      <c r="AX54" s="390" t="s">
        <v>4605</v>
      </c>
      <c r="AY54" s="15">
        <f>IF(COUNTA(AX58:AX1048576)&lt;2,2,COUNTA(AX58:AX1048576))</f>
        <v>2</v>
      </c>
      <c r="AZ54" s="15"/>
      <c r="BA54" s="364"/>
      <c r="BB54" s="15"/>
      <c r="BC54" s="364"/>
      <c r="BD54" s="15"/>
      <c r="BE54" s="15"/>
      <c r="BF54" s="15"/>
      <c r="BG54" s="15"/>
      <c r="BH54" s="15"/>
      <c r="BK54" s="63" t="s">
        <v>23</v>
      </c>
      <c r="BL54" s="64" t="s">
        <v>24</v>
      </c>
      <c r="BM54" s="64" t="s">
        <v>25</v>
      </c>
      <c r="BN54" s="402" t="s">
        <v>26</v>
      </c>
      <c r="BP54" s="224"/>
      <c r="BQ54" s="398" t="s">
        <v>318</v>
      </c>
      <c r="BR54" s="302"/>
      <c r="BS54" s="305"/>
    </row>
    <row r="55" spans="2:71" x14ac:dyDescent="0.2">
      <c r="B55" t="str">
        <f>AA75&amp;" - "&amp;VLOOKUP("D/(D+P+E)",Language_Data,Lookup_Column,FALSE)</f>
        <v>BIMBO A-MX - D/(D+P+E)</v>
      </c>
      <c r="F55" s="107">
        <f>IFERROR((AA66/SUM(AA66,AA67,AA68)),0)</f>
        <v>0.43637068265729695</v>
      </c>
      <c r="G55" s="251"/>
      <c r="H55" s="251"/>
      <c r="J55" s="96" t="str">
        <f t="shared" si="4"/>
        <v>J.M. Smucker</v>
      </c>
      <c r="L55" s="97">
        <f t="shared" si="5"/>
        <v>0.25</v>
      </c>
      <c r="M55" s="56">
        <v>0.25790000000000002</v>
      </c>
      <c r="N55" s="112">
        <f t="shared" si="6"/>
        <v>128248</v>
      </c>
      <c r="O55" s="112">
        <f t="shared" si="6"/>
        <v>251545.4</v>
      </c>
      <c r="P55" s="112">
        <f t="shared" si="6"/>
        <v>0</v>
      </c>
      <c r="Q55" s="55">
        <f t="shared" si="7"/>
        <v>0.50984037076408473</v>
      </c>
      <c r="R55" s="55">
        <f t="shared" si="8"/>
        <v>0</v>
      </c>
      <c r="S55" s="303">
        <f t="shared" si="9"/>
        <v>0.18656226806092288</v>
      </c>
      <c r="W55" s="358" t="str">
        <f t="shared" si="10"/>
        <v>BMV:AC</v>
      </c>
      <c r="X55" s="96" t="s">
        <v>5608</v>
      </c>
      <c r="Y55" s="7" t="s">
        <v>5605</v>
      </c>
      <c r="Z55" s="7" t="s">
        <v>5601</v>
      </c>
      <c r="AA55" s="4">
        <v>30</v>
      </c>
      <c r="AB55" s="4">
        <v>30</v>
      </c>
      <c r="AC55" s="4">
        <v>30</v>
      </c>
      <c r="AD55" s="4">
        <v>30</v>
      </c>
      <c r="AE55" s="4">
        <v>30</v>
      </c>
      <c r="AF55" s="6">
        <v>67337.5</v>
      </c>
      <c r="AG55" s="118">
        <v>355441.7</v>
      </c>
      <c r="AH55" s="119">
        <v>0</v>
      </c>
      <c r="AU55" s="96"/>
      <c r="AV55" s="212"/>
      <c r="AW55" s="96"/>
      <c r="AX55" s="96"/>
      <c r="AY55" s="212"/>
      <c r="AZ55" s="212"/>
      <c r="BB55" s="96"/>
      <c r="BC55" s="96"/>
      <c r="BD55" s="96"/>
      <c r="BE55" s="212"/>
      <c r="BF55" s="96"/>
      <c r="BG55" s="212"/>
      <c r="BH55" s="212"/>
      <c r="BJ55" t="str">
        <f t="shared" ref="BJ55:BJ86" si="11">VLOOKUP(BK55,Language_Data,Lookup_Column,FALSE)</f>
        <v>Euro</v>
      </c>
      <c r="BK55" s="403" t="s">
        <v>31</v>
      </c>
      <c r="BL55" s="404" t="s">
        <v>32</v>
      </c>
      <c r="BM55" s="404" t="s">
        <v>33</v>
      </c>
      <c r="BN55" s="405" t="s">
        <v>30</v>
      </c>
      <c r="BP55" s="224"/>
      <c r="BQ55" s="43" t="s">
        <v>326</v>
      </c>
      <c r="BR55" s="43" t="s">
        <v>4612</v>
      </c>
      <c r="BS55" s="305"/>
    </row>
    <row r="56" spans="2:71" x14ac:dyDescent="0.2">
      <c r="B56" t="str">
        <f>AA75&amp;" - "&amp;VLOOKUP("D/E",Language_Data,Lookup_Column,FALSE)</f>
        <v>BIMBO A-MX - D/E</v>
      </c>
      <c r="F56" s="107">
        <f>IFERROR(AA66/AA68,0)</f>
        <v>0.77421572872507427</v>
      </c>
      <c r="G56" s="251"/>
      <c r="H56" s="251"/>
      <c r="J56" s="96" t="str">
        <f t="shared" si="4"/>
        <v>Mondelez</v>
      </c>
      <c r="L56" s="97">
        <f t="shared" si="5"/>
        <v>0.25</v>
      </c>
      <c r="M56" s="56">
        <v>0.37309999999999999</v>
      </c>
      <c r="N56" s="112">
        <f t="shared" si="6"/>
        <v>407628.3</v>
      </c>
      <c r="O56" s="112">
        <f t="shared" si="6"/>
        <v>1507309.9</v>
      </c>
      <c r="P56" s="112">
        <f t="shared" si="6"/>
        <v>0</v>
      </c>
      <c r="Q56" s="55">
        <f t="shared" si="7"/>
        <v>0.27043430153281683</v>
      </c>
      <c r="R56" s="55">
        <f t="shared" si="8"/>
        <v>0</v>
      </c>
      <c r="S56" s="303">
        <f t="shared" si="9"/>
        <v>0.31018624883784052</v>
      </c>
      <c r="W56" s="358" t="str">
        <f t="shared" si="10"/>
        <v>NYSE:SJM</v>
      </c>
      <c r="X56" s="96" t="s">
        <v>5609</v>
      </c>
      <c r="Y56" s="7" t="s">
        <v>5605</v>
      </c>
      <c r="Z56" s="7" t="s">
        <v>5602</v>
      </c>
      <c r="AA56" s="4">
        <v>25</v>
      </c>
      <c r="AB56" s="4">
        <v>25</v>
      </c>
      <c r="AC56" s="4">
        <v>25</v>
      </c>
      <c r="AD56" s="4">
        <v>25</v>
      </c>
      <c r="AE56" s="4">
        <v>25</v>
      </c>
      <c r="AF56" s="6">
        <v>128248</v>
      </c>
      <c r="AG56" s="118">
        <v>251545.4</v>
      </c>
      <c r="AH56" s="119">
        <v>0</v>
      </c>
      <c r="AN56" s="495" t="s">
        <v>4606</v>
      </c>
      <c r="AO56" s="496"/>
      <c r="AP56" s="495" t="s">
        <v>4607</v>
      </c>
      <c r="AQ56" s="496"/>
      <c r="AU56" s="2" t="s">
        <v>4608</v>
      </c>
      <c r="AV56" s="391" t="str">
        <f ca="1">IF(AV59="NA",AV68,AV59)</f>
        <v>NA</v>
      </c>
      <c r="AW56"/>
      <c r="AX56"/>
      <c r="AY56"/>
      <c r="AZ56" s="495" t="s">
        <v>4606</v>
      </c>
      <c r="BA56" s="496"/>
      <c r="BB56" s="495" t="s">
        <v>4607</v>
      </c>
      <c r="BC56" s="496"/>
      <c r="BD56"/>
      <c r="BE56"/>
      <c r="BF56"/>
      <c r="BG56" s="2" t="s">
        <v>4609</v>
      </c>
      <c r="BH56" s="391" t="str">
        <f ca="1">IF(BH59="NA",BH68,BH59)</f>
        <v>NA</v>
      </c>
      <c r="BJ56" t="str">
        <f t="shared" si="11"/>
        <v>British Pound Sterling</v>
      </c>
      <c r="BK56" s="403" t="s">
        <v>34</v>
      </c>
      <c r="BL56" s="404" t="s">
        <v>35</v>
      </c>
      <c r="BM56" s="404" t="s">
        <v>36</v>
      </c>
      <c r="BN56" s="405" t="s">
        <v>30</v>
      </c>
      <c r="BP56" s="224"/>
      <c r="BQ56" s="44" t="s">
        <v>344</v>
      </c>
      <c r="BR56" s="44" t="s">
        <v>4613</v>
      </c>
      <c r="BS56" s="305"/>
    </row>
    <row r="57" spans="2:71" x14ac:dyDescent="0.2">
      <c r="B57" t="str">
        <f>AA75&amp;" - "&amp;VLOOKUP("P/E",Language_Data,Lookup_Column,FALSE)</f>
        <v>BIMBO A-MX - P/E</v>
      </c>
      <c r="F57" s="107">
        <f>IFERROR(AA67/AA68,0)</f>
        <v>0</v>
      </c>
      <c r="G57" s="108"/>
      <c r="H57" s="108"/>
      <c r="J57" s="57"/>
      <c r="K57" s="58"/>
      <c r="L57" s="7"/>
      <c r="M57" s="59"/>
      <c r="N57" s="60"/>
      <c r="O57" s="60"/>
      <c r="P57" s="61"/>
      <c r="Q57" s="61"/>
      <c r="R57" s="61"/>
      <c r="S57" s="62"/>
      <c r="W57" s="359" t="str">
        <f t="shared" si="10"/>
        <v>NASDAQGS:MDLZ</v>
      </c>
      <c r="X57" s="357" t="s">
        <v>5610</v>
      </c>
      <c r="Y57" s="69" t="s">
        <v>5605</v>
      </c>
      <c r="Z57" s="69" t="s">
        <v>5603</v>
      </c>
      <c r="AA57" s="120">
        <v>25</v>
      </c>
      <c r="AB57" s="120">
        <v>25</v>
      </c>
      <c r="AC57" s="120">
        <v>25</v>
      </c>
      <c r="AD57" s="120">
        <v>25</v>
      </c>
      <c r="AE57" s="120">
        <v>25</v>
      </c>
      <c r="AF57" s="121">
        <v>407628.3</v>
      </c>
      <c r="AG57" s="122">
        <v>1507309.9</v>
      </c>
      <c r="AH57" s="123">
        <v>0</v>
      </c>
      <c r="AJ57" s="30" t="e" cm="1">
        <f t="array" aca="1" ref="AJ57" ca="1">_xll.SNL.Clients.Office.Excel.Functions.SPGRANGEV($L$13,"SP_BOND_LIST",1,1000)</f>
        <v>#NAME?</v>
      </c>
      <c r="AK57" s="147" t="s">
        <v>4751</v>
      </c>
      <c r="AL57" s="147" t="s">
        <v>4752</v>
      </c>
      <c r="AM57" s="147" t="s">
        <v>4753</v>
      </c>
      <c r="AN57" s="147" t="s">
        <v>4610</v>
      </c>
      <c r="AO57" s="147" t="s">
        <v>4611</v>
      </c>
      <c r="AP57" s="147" t="s">
        <v>4610</v>
      </c>
      <c r="AQ57" s="147" t="s">
        <v>4611</v>
      </c>
      <c r="AU57"/>
      <c r="AV57"/>
      <c r="AW57"/>
      <c r="AX57" s="30" t="e" cm="1">
        <f t="array" aca="1" ref="AX57" ca="1">_xll.SNL.Clients.Office.Excel.Functions.SPGRANGEV($L$13,"SP_PREFERRED_LIST",1,1000)</f>
        <v>#NAME?</v>
      </c>
      <c r="AY57" s="147" t="s">
        <v>4754</v>
      </c>
      <c r="AZ57" s="147" t="s">
        <v>4610</v>
      </c>
      <c r="BA57" s="147" t="s">
        <v>4611</v>
      </c>
      <c r="BB57" s="147" t="s">
        <v>4610</v>
      </c>
      <c r="BC57" s="147" t="s">
        <v>4611</v>
      </c>
      <c r="BD57"/>
      <c r="BE57"/>
      <c r="BF57"/>
      <c r="BG57"/>
      <c r="BH57"/>
      <c r="BJ57" t="str">
        <f t="shared" si="11"/>
        <v>Japanese Yen</v>
      </c>
      <c r="BK57" s="403" t="s">
        <v>37</v>
      </c>
      <c r="BL57" s="404" t="s">
        <v>38</v>
      </c>
      <c r="BM57" s="404" t="s">
        <v>39</v>
      </c>
      <c r="BN57" s="405" t="s">
        <v>40</v>
      </c>
      <c r="BP57" s="224"/>
      <c r="BQ57" s="44" t="s">
        <v>327</v>
      </c>
      <c r="BR57" s="44" t="s">
        <v>4614</v>
      </c>
      <c r="BS57" s="305"/>
    </row>
    <row r="58" spans="2:71" x14ac:dyDescent="0.2">
      <c r="B58" t="str">
        <f>VLOOKUP("Size Premium",Language_Data,Lookup_Column,FALSE)</f>
        <v>Size Premium</v>
      </c>
      <c r="F58" s="109">
        <f>Independent_DCF_Inputs!$B$8</f>
        <v>2.0496777991541402E-2</v>
      </c>
      <c r="G58" s="108"/>
      <c r="H58" s="108"/>
      <c r="J58" s="63" t="str">
        <f>VLOOKUP("Average",Language_Data,Lookup_Column,FALSE)</f>
        <v>Average</v>
      </c>
      <c r="K58" s="42"/>
      <c r="L58" s="64"/>
      <c r="M58" s="113">
        <f>IFERROR(AVERAGEIFS(M51:M57,M51:M57,"&lt;&gt;0"),0)</f>
        <v>0.38958333333333339</v>
      </c>
      <c r="N58" s="64"/>
      <c r="O58" s="64"/>
      <c r="P58" s="65"/>
      <c r="Q58" s="65"/>
      <c r="R58" s="65"/>
      <c r="S58" s="217">
        <f>IFERROR(AVERAGEIFS(S51:S57,S51:S57,"&lt;&gt;0"),0)</f>
        <v>0.28193217808963933</v>
      </c>
      <c r="AJ58" t="s">
        <v>4862</v>
      </c>
      <c r="AK58" s="392" t="e">
        <f ca="1">IF(AL58&lt;&gt;"NA",AL58,AM58)</f>
        <v>#NAME?</v>
      </c>
      <c r="AL58" s="392" t="e" cm="1">
        <f t="array" aca="1" ref="AL58" ca="1">IF(AJ58="","",_xll.SNL.Clients.Office.Excel.Functions.SPG(AJ58,"SPT_YTW",$L$15,"Options:NA=NA"))</f>
        <v>#NAME?</v>
      </c>
      <c r="AM58" s="392" t="e" cm="1">
        <f t="array" aca="1" ref="AM58" ca="1">IF(AJ58="","",_xll.SNL.Clients.Office.Excel.Functions.SPG(AJ58,"SPT_EOD_YTM_MID","EOD Close Price",$L$15,"Options:NA=NA"))</f>
        <v>#NAME?</v>
      </c>
      <c r="AN58" s="3" t="e" cm="1">
        <f t="array" aca="1" ref="AN58" ca="1">IF(OR(AJ58="",AK58="NA"),"",_xll.SNL.Clients.Office.Excel.Functions.SPG(AJ58,"SPT_ISSUE_DATE"))</f>
        <v>#NAME?</v>
      </c>
      <c r="AO58" s="2" t="e">
        <f ca="1">IF(OR($AJ58="",$AK58="NA",$AN58=""),"",RANK(AN58,$AN$58:$AN$1057)+COUNTIF($AN$58:AN58,AN58)-1)</f>
        <v>#NAME?</v>
      </c>
      <c r="AP58" s="3" t="e">
        <f ca="1">IF(AN58&gt;$L$15,"",AN58)</f>
        <v>#NAME?</v>
      </c>
      <c r="AQ58" s="2" t="e">
        <f ca="1">IF(OR($AJ58="",$AK58="NA",$AP58=""),"",RANK(AP58,$AP$58:$AP$1057)+COUNTIF($AP$58:AP58,AP58)-1)</f>
        <v>#NAME?</v>
      </c>
      <c r="AT58" t="s">
        <v>4607</v>
      </c>
      <c r="AU58"/>
      <c r="AV58"/>
      <c r="AW58"/>
      <c r="AX58" t="s">
        <v>4910</v>
      </c>
      <c r="AY58" s="392" t="e" cm="1">
        <f t="array" aca="1" ref="AY58" ca="1">IF(AX58="","",IF(_xll.SNL.Clients.Office.Excel.Functions.SPG(AX58,"SPT_COUPON","Options:NA=NA")=0,"NA",_xll.SNL.Clients.Office.Excel.Functions.SPG(AX58,"SPT_COUPON","Options:NA=NA")))</f>
        <v>#NAME?</v>
      </c>
      <c r="AZ58" s="3" t="e" cm="1">
        <f t="array" aca="1" ref="AZ58" ca="1">IF(OR(AX58="",AY58="NA"),"",_xll.SNL.Clients.Office.Excel.Functions.SPG(AX58,"SPT_ISSUE_DATE"))</f>
        <v>#NAME?</v>
      </c>
      <c r="BA58" s="2" t="e">
        <f ca="1">IF(OR($AX58="",$AY58="NA",$AZ58=""),"",RANK(AZ58,$AZ$58:$AZ$1057)+COUNTIF($AZ$58:AZ58,AZ58)-1)</f>
        <v>#NAME?</v>
      </c>
      <c r="BB58" s="3" t="e">
        <f ca="1">IF(AZ58&gt;$L$15,"",AZ58)</f>
        <v>#NAME?</v>
      </c>
      <c r="BC58" s="2" t="e">
        <f ca="1">IF(OR($AX58="",$AY58="NA",$BB58=""),"",RANK(BB58,$BB$58:$BB$1057)+COUNTIF($BB$58:BB58,BB58)-1)</f>
        <v>#NAME?</v>
      </c>
      <c r="BD58"/>
      <c r="BE58"/>
      <c r="BF58" t="s">
        <v>4607</v>
      </c>
      <c r="BG58"/>
      <c r="BH58"/>
      <c r="BJ58" t="str">
        <f t="shared" si="11"/>
        <v>U.S. Dollar</v>
      </c>
      <c r="BK58" s="403" t="s">
        <v>27</v>
      </c>
      <c r="BL58" s="404" t="s">
        <v>28</v>
      </c>
      <c r="BM58" s="404" t="s">
        <v>29</v>
      </c>
      <c r="BN58" s="405" t="s">
        <v>30</v>
      </c>
      <c r="BP58" s="224"/>
      <c r="BQ58" s="44" t="s">
        <v>328</v>
      </c>
      <c r="BR58" s="44" t="s">
        <v>4615</v>
      </c>
      <c r="BS58" s="305"/>
    </row>
    <row r="59" spans="2:71" x14ac:dyDescent="0.2">
      <c r="B59" t="str">
        <f>AA75&amp;" - "&amp;VLOOKUP("Cost of Debt (Rd) - Average of Last 5 Issued Bonds",Language_Data,Lookup_Column,FALSE)</f>
        <v>BIMBO A-MX - Cost of Debt (Rd) - Average of Last 5 Issued Bonds</v>
      </c>
      <c r="F59" s="108">
        <f>IF(F60&lt;&gt;"",F60,IFERROR(AV56/100,0))</f>
        <v>9.7100000000000006E-2</v>
      </c>
      <c r="J59" s="66"/>
      <c r="K59" s="7"/>
      <c r="L59" s="7"/>
      <c r="M59" s="7"/>
      <c r="N59" s="7"/>
      <c r="O59" s="7"/>
      <c r="P59" s="7"/>
      <c r="Q59" s="7"/>
      <c r="R59" s="7"/>
      <c r="S59" s="7"/>
      <c r="AJ59" t="s">
        <v>4863</v>
      </c>
      <c r="AK59" s="392" t="e">
        <f t="shared" ref="AK59:AK107" ca="1" si="12">IF(AL59&lt;&gt;"NA",AL59,AM59)</f>
        <v>#NAME?</v>
      </c>
      <c r="AL59" s="392" t="e" cm="1">
        <f t="array" aca="1" ref="AL59" ca="1">IF(AJ59="","",_xll.SNL.Clients.Office.Excel.Functions.SPG(AJ59,"SPT_YTW",$L$15,"Options:NA=NA"))</f>
        <v>#NAME?</v>
      </c>
      <c r="AM59" s="392" t="e" cm="1">
        <f t="array" aca="1" ref="AM59" ca="1">IF(AJ59="","",_xll.SNL.Clients.Office.Excel.Functions.SPG(AJ59,"SPT_EOD_YTM_MID","EOD Close Price",$L$15,"Options:NA=NA"))</f>
        <v>#NAME?</v>
      </c>
      <c r="AN59" s="3" t="e" cm="1">
        <f t="array" aca="1" ref="AN59" ca="1">IF(OR(AJ59="",AK59="NA"),"",_xll.SNL.Clients.Office.Excel.Functions.SPG(AJ59,"SPT_ISSUE_DATE"))</f>
        <v>#NAME?</v>
      </c>
      <c r="AO59" s="2" t="e">
        <f ca="1">IF(OR($AJ59="",$AK59="NA",$AN59=""),"",RANK(AN59,$AN$58:$AN$1057)+COUNTIF($AN$58:AN59,AN59)-1)</f>
        <v>#NAME?</v>
      </c>
      <c r="AP59" s="3" t="e">
        <f t="shared" ref="AP59:AP107" ca="1" si="13">IF(AN59&gt;$L$15,"",AN59)</f>
        <v>#NAME?</v>
      </c>
      <c r="AQ59" s="2" t="e">
        <f ca="1">IF(OR($AJ59="",$AK59="NA",$AP59=""),"",RANK(AP59,$AP$58:$AP$1057)+COUNTIF($AP$58:AP59,AP59)-1)</f>
        <v>#NAME?</v>
      </c>
      <c r="AT59" s="305">
        <f>L15</f>
        <v>46311.25</v>
      </c>
      <c r="AU59"/>
      <c r="AV59" s="392" t="str">
        <f ca="1">IFERROR(AVERAGE(AV60:AV65),"NA")</f>
        <v>NA</v>
      </c>
      <c r="AW59"/>
      <c r="AX59"/>
      <c r="AY59" s="392" t="str" cm="1">
        <f t="array" ref="AY59">IF(AX59="","",IF(_xll.SNL.Clients.Office.Excel.Functions.SPG(AX59,"SPT_COUPON","Options:NA=NA")=0,"NA",_xll.SNL.Clients.Office.Excel.Functions.SPG(AX59,"SPT_COUPON","Options:NA=NA")))</f>
        <v/>
      </c>
      <c r="AZ59" s="3" t="str" cm="1">
        <f t="array" ref="AZ59">IF(OR(AX59="",AY59="NA"),"",_xll.SNL.Clients.Office.Excel.Functions.SPG(AX59,"SPT_ISSUE_DATE"))</f>
        <v/>
      </c>
      <c r="BA59" s="2" t="str">
        <f>IF(OR($AX59="",$AY59="NA",$AZ59=""),"",RANK(AZ59,$AZ$58:$AZ$1057)+COUNTIF($AZ$58:AZ59,AZ59)-1)</f>
        <v/>
      </c>
      <c r="BB59" s="3" t="str">
        <f>IF(AZ59&gt;$L$15,"",AZ59)</f>
        <v/>
      </c>
      <c r="BC59" s="2" t="str">
        <f>IF(OR($AX59="",$AY59="NA",$BB59=""),"",RANK(BB59,$BB$58:$BB$1057)+COUNTIF($BB$58:BB59,BB59)-1)</f>
        <v/>
      </c>
      <c r="BD59"/>
      <c r="BE59"/>
      <c r="BF59" s="305">
        <f>L15</f>
        <v>46311.25</v>
      </c>
      <c r="BG59"/>
      <c r="BH59" s="392" t="str">
        <f ca="1">IFERROR(AVERAGE(BH60:BH65),"NA")</f>
        <v>NA</v>
      </c>
      <c r="BJ59" t="str">
        <f t="shared" si="11"/>
        <v>Afghan Afghani</v>
      </c>
      <c r="BK59" s="403" t="s">
        <v>43</v>
      </c>
      <c r="BL59" s="404" t="s">
        <v>44</v>
      </c>
      <c r="BM59" s="404" t="s">
        <v>44</v>
      </c>
      <c r="BN59" s="405" t="s">
        <v>30</v>
      </c>
      <c r="BQ59" s="44" t="s">
        <v>375</v>
      </c>
      <c r="BR59" s="44" t="s">
        <v>4616</v>
      </c>
    </row>
    <row r="60" spans="2:71" x14ac:dyDescent="0.2">
      <c r="D60" s="2" t="str">
        <f>VLOOKUP("Cost of Debt Manual Overide ►",Language_Data,Lookup_Column,FALSE)</f>
        <v>Cost of Debt Manual Overide ►</v>
      </c>
      <c r="F60" s="109">
        <f>Independent_DCF_Inputs!$B$9</f>
        <v>9.7100000000000006E-2</v>
      </c>
      <c r="J60" s="7" t="str">
        <f>VLOOKUP("Average Unlevered Beta for Comps",Language_Data,Lookup_Column,FALSE)</f>
        <v>Average Unlevered Beta for Comps</v>
      </c>
      <c r="K60" s="7"/>
      <c r="L60" s="7"/>
      <c r="M60" s="7"/>
      <c r="N60" s="7"/>
      <c r="O60" s="7"/>
      <c r="P60" s="7"/>
      <c r="Q60" s="7"/>
      <c r="R60" s="7"/>
      <c r="S60" s="56">
        <f>+S58</f>
        <v>0.28193217808963933</v>
      </c>
      <c r="W60" s="29"/>
      <c r="X60" s="23"/>
      <c r="Y60" s="24"/>
      <c r="Z60" s="25"/>
      <c r="AA60" s="32" t="str">
        <f>L13</f>
        <v>BMV:BIMBO A</v>
      </c>
      <c r="AC60" s="361" t="str">
        <f>J18</f>
        <v>S&amp;P 500</v>
      </c>
      <c r="AD60" s="362" t="str">
        <f>VLOOKUP(AC60,BQ55:BR152,2,0)</f>
        <v>SPT2633671</v>
      </c>
      <c r="AE60" s="24"/>
      <c r="AF60" s="24"/>
      <c r="AG60" s="363" t="s">
        <v>4443</v>
      </c>
      <c r="AJ60" t="s">
        <v>4864</v>
      </c>
      <c r="AK60" s="392" t="e">
        <f t="shared" ca="1" si="12"/>
        <v>#NAME?</v>
      </c>
      <c r="AL60" s="392" t="e" cm="1">
        <f t="array" aca="1" ref="AL60" ca="1">IF(AJ60="","",_xll.SNL.Clients.Office.Excel.Functions.SPG(AJ60,"SPT_YTW",$L$15,"Options:NA=NA"))</f>
        <v>#NAME?</v>
      </c>
      <c r="AM60" s="392" t="e" cm="1">
        <f t="array" aca="1" ref="AM60" ca="1">IF(AJ60="","",_xll.SNL.Clients.Office.Excel.Functions.SPG(AJ60,"SPT_EOD_YTM_MID","EOD Close Price",$L$15,"Options:NA=NA"))</f>
        <v>#NAME?</v>
      </c>
      <c r="AN60" s="3" t="e" cm="1">
        <f t="array" aca="1" ref="AN60" ca="1">IF(OR(AJ60="",AK60="NA"),"",_xll.SNL.Clients.Office.Excel.Functions.SPG(AJ60,"SPT_ISSUE_DATE"))</f>
        <v>#NAME?</v>
      </c>
      <c r="AO60" s="2" t="e">
        <f ca="1">IF(OR($AJ60="",$AK60="NA",$AN60=""),"",RANK(AN60,$AN$58:$AN$1057)+COUNTIF($AN$58:AN60,AN60)-1)</f>
        <v>#NAME?</v>
      </c>
      <c r="AP60" s="3" t="e">
        <f t="shared" ca="1" si="13"/>
        <v>#NAME?</v>
      </c>
      <c r="AQ60" s="2" t="e">
        <f ca="1">IF(OR($AJ60="",$AK60="NA",$AP60=""),"",RANK(AP60,$AP$58:$AP$1057)+COUNTIF($AP$58:AP60,AP60)-1)</f>
        <v>#NAME?</v>
      </c>
      <c r="AS60" s="23"/>
      <c r="AT60" s="24"/>
      <c r="AU60" s="393" t="s">
        <v>4610</v>
      </c>
      <c r="AV60" s="394" t="s">
        <v>4751</v>
      </c>
      <c r="AW60"/>
      <c r="AX60"/>
      <c r="AY60" s="392"/>
      <c r="AZ60" s="3"/>
      <c r="BA60" s="2"/>
      <c r="BB60" s="3"/>
      <c r="BC60" s="2"/>
      <c r="BD60"/>
      <c r="BE60" s="23"/>
      <c r="BF60" s="24"/>
      <c r="BG60" s="393" t="s">
        <v>4610</v>
      </c>
      <c r="BH60" s="394" t="s">
        <v>4754</v>
      </c>
      <c r="BJ60" t="str">
        <f t="shared" si="11"/>
        <v>Albanian Lek</v>
      </c>
      <c r="BK60" s="403" t="s">
        <v>45</v>
      </c>
      <c r="BL60" s="404" t="s">
        <v>12</v>
      </c>
      <c r="BM60" s="404" t="s">
        <v>12</v>
      </c>
      <c r="BN60" s="405" t="s">
        <v>30</v>
      </c>
      <c r="BQ60" s="44" t="s">
        <v>329</v>
      </c>
      <c r="BR60" s="44" t="s">
        <v>4617</v>
      </c>
    </row>
    <row r="61" spans="2:71" x14ac:dyDescent="0.2">
      <c r="B61" t="str">
        <f>AA75&amp;" - "&amp;VLOOKUP("Cost of Preferred (Rp)",Language_Data,Lookup_Column,FALSE)</f>
        <v>BIMBO A-MX - Cost of Preferred (Rp)</v>
      </c>
      <c r="F61" s="108">
        <f>IF(F62&lt;&gt;"",F62,IFERROR(BH56/100,0))</f>
        <v>0</v>
      </c>
      <c r="J61" s="7" t="str">
        <f>B56</f>
        <v>BIMBO A-MX - D/E</v>
      </c>
      <c r="K61" s="7"/>
      <c r="L61" s="7"/>
      <c r="M61" s="7"/>
      <c r="N61" s="7"/>
      <c r="O61" s="7"/>
      <c r="P61" s="7"/>
      <c r="Q61" s="7"/>
      <c r="R61" s="7"/>
      <c r="S61" s="133">
        <f>+F56</f>
        <v>0.77421572872507427</v>
      </c>
      <c r="W61" s="99"/>
      <c r="X61" s="26"/>
      <c r="Z61" s="27"/>
      <c r="AA61" s="27"/>
      <c r="AC61" s="26"/>
      <c r="AE61" s="2"/>
      <c r="AG61" s="27"/>
      <c r="AJ61" t="s">
        <v>4865</v>
      </c>
      <c r="AK61" s="392" t="e">
        <f t="shared" ca="1" si="12"/>
        <v>#NAME?</v>
      </c>
      <c r="AL61" s="392" t="e" cm="1">
        <f t="array" aca="1" ref="AL61" ca="1">IF(AJ61="","",_xll.SNL.Clients.Office.Excel.Functions.SPG(AJ61,"SPT_YTW",$L$15,"Options:NA=NA"))</f>
        <v>#NAME?</v>
      </c>
      <c r="AM61" s="392" t="e" cm="1">
        <f t="array" aca="1" ref="AM61" ca="1">IF(AJ61="","",_xll.SNL.Clients.Office.Excel.Functions.SPG(AJ61,"SPT_EOD_YTM_MID","EOD Close Price",$L$15,"Options:NA=NA"))</f>
        <v>#NAME?</v>
      </c>
      <c r="AN61" s="3" t="e" cm="1">
        <f t="array" aca="1" ref="AN61" ca="1">IF(OR(AJ61="",AK61="NA"),"",_xll.SNL.Clients.Office.Excel.Functions.SPG(AJ61,"SPT_ISSUE_DATE"))</f>
        <v>#NAME?</v>
      </c>
      <c r="AO61" s="2" t="e">
        <f ca="1">IF(OR($AJ61="",$AK61="NA",$AN61=""),"",RANK(AN61,$AN$58:$AN$1057)+COUNTIF($AN$58:AN61,AN61)-1)</f>
        <v>#NAME?</v>
      </c>
      <c r="AP61" s="3" t="e">
        <f t="shared" ca="1" si="13"/>
        <v>#NAME?</v>
      </c>
      <c r="AQ61" s="2" t="e">
        <f ca="1">IF(OR($AJ61="",$AK61="NA",$AP61=""),"",RANK(AP61,$AP$58:$AP$1057)+COUNTIF($AP$58:AP61,AP61)-1)</f>
        <v>#NAME?</v>
      </c>
      <c r="AS61" s="26">
        <v>1</v>
      </c>
      <c r="AT61" t="str">
        <f t="shared" ref="AT61:AT65" ca="1" si="14">IFERROR(IF(INDEX($AJ$58:$AJ$1057,MATCH(AS61,$AQ$58:$AQ$1057,0))=0,"NA",INDEX($AJ$58:$AJ$1057,MATCH(AS61,$AQ$58:$AQ$1057,0))),"NA")</f>
        <v>NA</v>
      </c>
      <c r="AU61" s="3" t="str">
        <f t="shared" ref="AU61:AU65" ca="1" si="15">IF(AT61="NA","NA",VLOOKUP(AT61,$AJ$58:$AP$1057,7,0))</f>
        <v>NA</v>
      </c>
      <c r="AV61" s="395" t="str">
        <f t="shared" ref="AV61:AV65" ca="1" si="16">IF(AT61="NA","NA",VLOOKUP(AT61,$AJ$58:$AK$1057,2,0))</f>
        <v>NA</v>
      </c>
      <c r="AW61"/>
      <c r="AX61"/>
      <c r="AY61" s="392"/>
      <c r="AZ61" s="3"/>
      <c r="BA61" s="2"/>
      <c r="BB61" s="3"/>
      <c r="BC61" s="2"/>
      <c r="BD61"/>
      <c r="BE61" s="26">
        <v>1</v>
      </c>
      <c r="BF61" t="str">
        <f ca="1">IFERROR(IF(INDEX($AX$58:$AX$1057,MATCH(BE61,$BC$58:$BC$1057,0))=0,"NA",INDEX($AX$58:$AX$1057,MATCH(BE61,$BC$58:$BC$1057,0))),"NA")</f>
        <v>NA</v>
      </c>
      <c r="BG61" s="3" t="str">
        <f t="shared" ref="BG61:BG65" ca="1" si="17">IF(BF61="NA","NA",VLOOKUP(BF61,$AX$58:$BB$1057,5,0))</f>
        <v>NA</v>
      </c>
      <c r="BH61" s="395" t="str">
        <f t="shared" ref="BH61:BH65" ca="1" si="18">IF(BF61="NA","NA",VLOOKUP(BF61,$AX$58:$AY$1057,2,0))</f>
        <v>NA</v>
      </c>
      <c r="BJ61" t="str">
        <f t="shared" si="11"/>
        <v>Argentine Peso</v>
      </c>
      <c r="BK61" s="403" t="s">
        <v>46</v>
      </c>
      <c r="BL61" s="404" t="s">
        <v>47</v>
      </c>
      <c r="BM61" s="404" t="s">
        <v>48</v>
      </c>
      <c r="BN61" s="405" t="s">
        <v>30</v>
      </c>
      <c r="BQ61" s="44" t="s">
        <v>332</v>
      </c>
      <c r="BR61" s="44" t="s">
        <v>4618</v>
      </c>
    </row>
    <row r="62" spans="2:71" x14ac:dyDescent="0.2">
      <c r="D62" s="2" t="str">
        <f>VLOOKUP("Cost of Preferred Equity Manual Overide ►",Language_Data,Lookup_Column,FALSE)</f>
        <v>Cost of Preferred Equity Manual Overide ►</v>
      </c>
      <c r="F62" s="109">
        <v>0</v>
      </c>
      <c r="J62" s="7" t="str">
        <f>B57</f>
        <v>BIMBO A-MX - P/E</v>
      </c>
      <c r="K62" s="67"/>
      <c r="L62" s="67"/>
      <c r="M62" s="67"/>
      <c r="N62" s="67"/>
      <c r="O62" s="67"/>
      <c r="P62" s="67"/>
      <c r="Q62" s="67"/>
      <c r="R62" s="67"/>
      <c r="S62" s="133">
        <f>F57</f>
        <v>0</v>
      </c>
      <c r="W62" s="14"/>
      <c r="X62" s="14"/>
      <c r="Y62" s="15"/>
      <c r="Z62" s="28"/>
      <c r="AA62" s="28"/>
      <c r="AC62" s="14"/>
      <c r="AD62" s="15"/>
      <c r="AE62" s="364"/>
      <c r="AF62" s="15"/>
      <c r="AG62" s="28"/>
      <c r="AJ62" t="s">
        <v>4866</v>
      </c>
      <c r="AK62" s="392" t="e">
        <f t="shared" ca="1" si="12"/>
        <v>#NAME?</v>
      </c>
      <c r="AL62" s="392" t="e" cm="1">
        <f t="array" aca="1" ref="AL62" ca="1">IF(AJ62="","",_xll.SNL.Clients.Office.Excel.Functions.SPG(AJ62,"SPT_YTW",$L$15,"Options:NA=NA"))</f>
        <v>#NAME?</v>
      </c>
      <c r="AM62" s="392" t="e" cm="1">
        <f t="array" aca="1" ref="AM62" ca="1">IF(AJ62="","",_xll.SNL.Clients.Office.Excel.Functions.SPG(AJ62,"SPT_EOD_YTM_MID","EOD Close Price",$L$15,"Options:NA=NA"))</f>
        <v>#NAME?</v>
      </c>
      <c r="AN62" s="3" t="e" cm="1">
        <f t="array" aca="1" ref="AN62" ca="1">IF(OR(AJ62="",AK62="NA"),"",_xll.SNL.Clients.Office.Excel.Functions.SPG(AJ62,"SPT_ISSUE_DATE"))</f>
        <v>#NAME?</v>
      </c>
      <c r="AO62" s="2" t="e">
        <f ca="1">IF(OR($AJ62="",$AK62="NA",$AN62=""),"",RANK(AN62,$AN$58:$AN$1057)+COUNTIF($AN$58:AN62,AN62)-1)</f>
        <v>#NAME?</v>
      </c>
      <c r="AP62" s="3" t="e">
        <f t="shared" ca="1" si="13"/>
        <v>#NAME?</v>
      </c>
      <c r="AQ62" s="2" t="e">
        <f ca="1">IF(OR($AJ62="",$AK62="NA",$AP62=""),"",RANK(AP62,$AP$58:$AP$1057)+COUNTIF($AP$58:AP62,AP62)-1)</f>
        <v>#NAME?</v>
      </c>
      <c r="AS62" s="26">
        <v>2</v>
      </c>
      <c r="AT62" t="str">
        <f t="shared" ca="1" si="14"/>
        <v>NA</v>
      </c>
      <c r="AU62" s="3" t="str">
        <f t="shared" ca="1" si="15"/>
        <v>NA</v>
      </c>
      <c r="AV62" s="395" t="str">
        <f t="shared" ca="1" si="16"/>
        <v>NA</v>
      </c>
      <c r="AW62"/>
      <c r="AX62"/>
      <c r="AY62" s="392"/>
      <c r="AZ62" s="3"/>
      <c r="BA62" s="2"/>
      <c r="BB62" s="3"/>
      <c r="BC62" s="2"/>
      <c r="BD62"/>
      <c r="BE62" s="26">
        <v>2</v>
      </c>
      <c r="BF62" t="str">
        <f ca="1">IFERROR(IF(INDEX($AX$58:$AX$1057,MATCH(BE62,$BC$58:$BC$1057,0))=0,"NA",INDEX($AX$58:$AX$1057,MATCH(BE62,$BC$58:$BC$1057,0))),"NA")</f>
        <v>NA</v>
      </c>
      <c r="BG62" s="3" t="str">
        <f t="shared" ca="1" si="17"/>
        <v>NA</v>
      </c>
      <c r="BH62" s="395" t="str">
        <f t="shared" ca="1" si="18"/>
        <v>NA</v>
      </c>
      <c r="BJ62" t="str">
        <f t="shared" si="11"/>
        <v>Armenian Dram</v>
      </c>
      <c r="BK62" s="403" t="s">
        <v>49</v>
      </c>
      <c r="BL62" s="404" t="s">
        <v>50</v>
      </c>
      <c r="BM62" s="404" t="s">
        <v>51</v>
      </c>
      <c r="BN62" s="405" t="s">
        <v>30</v>
      </c>
      <c r="BQ62" s="44" t="s">
        <v>378</v>
      </c>
      <c r="BR62" s="44" t="s">
        <v>4619</v>
      </c>
    </row>
    <row r="63" spans="2:71" x14ac:dyDescent="0.2">
      <c r="B63" s="15"/>
      <c r="C63" s="15"/>
      <c r="D63" s="15"/>
      <c r="E63" s="15"/>
      <c r="F63" s="15"/>
      <c r="G63" s="252"/>
      <c r="H63" s="252"/>
      <c r="J63" s="7" t="str">
        <f>B50</f>
        <v>Tax Rate (5 Year Average)</v>
      </c>
      <c r="K63" s="7"/>
      <c r="L63" s="7"/>
      <c r="M63" s="7"/>
      <c r="N63" s="7"/>
      <c r="O63" s="7"/>
      <c r="P63" s="7"/>
      <c r="Q63" s="7"/>
      <c r="R63" s="7"/>
      <c r="S63" s="133">
        <f>+F50</f>
        <v>0.3</v>
      </c>
      <c r="W63" s="16"/>
      <c r="X63" s="35"/>
      <c r="Y63" s="33"/>
      <c r="Z63" s="36"/>
      <c r="AA63" s="19"/>
      <c r="AC63" s="365">
        <f t="shared" ref="AC63:AC72" si="19">DATE(YEAR(AD63)-1,MONTH(AD63),DAY(AD63))</f>
        <v>45946</v>
      </c>
      <c r="AD63" s="366">
        <f>$L$15</f>
        <v>46311.25</v>
      </c>
      <c r="AE63" s="367" t="e" cm="1">
        <f t="array" aca="1" ref="AE63" ca="1">_xll.SNL.Clients.Office.Excel.Functions.SPG($AD$60,"SP_LASTSALEPRICE",AC63)</f>
        <v>#NAME?</v>
      </c>
      <c r="AF63" s="367" t="e" cm="1">
        <f t="array" aca="1" ref="AF63" ca="1">_xll.SNL.Clients.Office.Excel.Functions.SPG($AD$60,"SP_LASTSALEPRICE",AD63)</f>
        <v>#NAME?</v>
      </c>
      <c r="AG63" s="374" t="str">
        <f ca="1">IFERROR(AF63/AE63-1,"NA")</f>
        <v>NA</v>
      </c>
      <c r="AJ63" t="s">
        <v>4867</v>
      </c>
      <c r="AK63" s="392" t="e">
        <f t="shared" ca="1" si="12"/>
        <v>#NAME?</v>
      </c>
      <c r="AL63" s="392" t="e" cm="1">
        <f t="array" aca="1" ref="AL63" ca="1">IF(AJ63="","",_xll.SNL.Clients.Office.Excel.Functions.SPG(AJ63,"SPT_YTW",$L$15,"Options:NA=NA"))</f>
        <v>#NAME?</v>
      </c>
      <c r="AM63" s="392" t="e" cm="1">
        <f t="array" aca="1" ref="AM63" ca="1">IF(AJ63="","",_xll.SNL.Clients.Office.Excel.Functions.SPG(AJ63,"SPT_EOD_YTM_MID","EOD Close Price",$L$15,"Options:NA=NA"))</f>
        <v>#NAME?</v>
      </c>
      <c r="AN63" s="3" t="e" cm="1">
        <f t="array" aca="1" ref="AN63" ca="1">IF(OR(AJ63="",AK63="NA"),"",_xll.SNL.Clients.Office.Excel.Functions.SPG(AJ63,"SPT_ISSUE_DATE"))</f>
        <v>#NAME?</v>
      </c>
      <c r="AO63" s="2" t="e">
        <f ca="1">IF(OR($AJ63="",$AK63="NA",$AN63=""),"",RANK(AN63,$AN$58:$AN$1057)+COUNTIF($AN$58:AN63,AN63)-1)</f>
        <v>#NAME?</v>
      </c>
      <c r="AP63" s="3" t="e">
        <f t="shared" ca="1" si="13"/>
        <v>#NAME?</v>
      </c>
      <c r="AQ63" s="2" t="e">
        <f ca="1">IF(OR($AJ63="",$AK63="NA",$AP63=""),"",RANK(AP63,$AP$58:$AP$1057)+COUNTIF($AP$58:AP63,AP63)-1)</f>
        <v>#NAME?</v>
      </c>
      <c r="AS63" s="26">
        <v>3</v>
      </c>
      <c r="AT63" t="str">
        <f t="shared" ca="1" si="14"/>
        <v>NA</v>
      </c>
      <c r="AU63" s="3" t="str">
        <f t="shared" ca="1" si="15"/>
        <v>NA</v>
      </c>
      <c r="AV63" s="395" t="str">
        <f t="shared" ca="1" si="16"/>
        <v>NA</v>
      </c>
      <c r="AW63"/>
      <c r="AX63"/>
      <c r="AY63" s="392"/>
      <c r="AZ63" s="3"/>
      <c r="BA63" s="2"/>
      <c r="BB63" s="3"/>
      <c r="BC63" s="2"/>
      <c r="BD63"/>
      <c r="BE63" s="26">
        <v>3</v>
      </c>
      <c r="BF63" t="str">
        <f ca="1">IFERROR(IF(INDEX($AX$58:$AX$1057,MATCH(BE63,$BC$58:$BC$1057,0))=0,"NA",INDEX($AX$58:$AX$1057,MATCH(BE63,$BC$58:$BC$1057,0))),"NA")</f>
        <v>NA</v>
      </c>
      <c r="BG63" s="3" t="str">
        <f t="shared" ca="1" si="17"/>
        <v>NA</v>
      </c>
      <c r="BH63" s="395" t="str">
        <f t="shared" ca="1" si="18"/>
        <v>NA</v>
      </c>
      <c r="BJ63" t="str">
        <f t="shared" si="11"/>
        <v>Australian Dollar</v>
      </c>
      <c r="BK63" s="403" t="s">
        <v>52</v>
      </c>
      <c r="BL63" s="404" t="s">
        <v>53</v>
      </c>
      <c r="BM63" s="404" t="s">
        <v>54</v>
      </c>
      <c r="BN63" s="405" t="s">
        <v>30</v>
      </c>
      <c r="BQ63" s="44" t="s">
        <v>345</v>
      </c>
      <c r="BR63" s="44" t="s">
        <v>4620</v>
      </c>
    </row>
    <row r="64" spans="2:71" x14ac:dyDescent="0.2">
      <c r="B64" s="349" t="str">
        <f>VLOOKUP("Sensitivity Analysis Steps",Language_Data,Lookup_Column,FALSE)</f>
        <v>Sensitivity Analysis Steps</v>
      </c>
      <c r="G64" s="252"/>
      <c r="H64" s="252"/>
      <c r="J64" s="63" t="str">
        <f>AA81&amp;" "&amp;VLOOKUP("Levered Beta",Language_Data,Lookup_Column,FALSE)</f>
        <v>BIMBO A-MX Levered Beta</v>
      </c>
      <c r="K64" s="42"/>
      <c r="L64" s="68"/>
      <c r="M64" s="42"/>
      <c r="N64" s="42"/>
      <c r="O64" s="42"/>
      <c r="P64" s="42"/>
      <c r="Q64" s="42"/>
      <c r="R64" s="42"/>
      <c r="S64" s="134">
        <f>IFERROR(S60*(1+S61*(1-S63)+S62),0)</f>
        <v>0.43472560678714162</v>
      </c>
      <c r="W64" s="17"/>
      <c r="X64" s="37"/>
      <c r="Y64" s="34"/>
      <c r="Z64" s="38"/>
      <c r="AA64" s="20"/>
      <c r="AC64" s="368">
        <f t="shared" si="19"/>
        <v>45581</v>
      </c>
      <c r="AD64" s="369">
        <f t="shared" ref="AD64:AD72" si="20">DATE(YEAR(AD63)-1,MONTH(AD63),DAY(AD63))</f>
        <v>45946</v>
      </c>
      <c r="AE64" s="370" t="e" cm="1">
        <f t="array" aca="1" ref="AE64" ca="1">_xll.SNL.Clients.Office.Excel.Functions.SPG($AD$60,"SP_LASTSALEPRICE",AC64)</f>
        <v>#NAME?</v>
      </c>
      <c r="AF64" s="370" t="e" cm="1">
        <f t="array" aca="1" ref="AF64" ca="1">_xll.SNL.Clients.Office.Excel.Functions.SPG($AD$60,"SP_LASTSALEPRICE",AD64)</f>
        <v>#NAME?</v>
      </c>
      <c r="AG64" s="375" t="str">
        <f t="shared" ref="AG64:AG72" ca="1" si="21">IFERROR(AF64/AE64-1,"NA")</f>
        <v>NA</v>
      </c>
      <c r="AJ64" t="s">
        <v>4871</v>
      </c>
      <c r="AK64" s="392" t="e">
        <f t="shared" ca="1" si="12"/>
        <v>#NAME?</v>
      </c>
      <c r="AL64" s="392" t="e" cm="1">
        <f t="array" aca="1" ref="AL64" ca="1">IF(AJ64="","",_xll.SNL.Clients.Office.Excel.Functions.SPG(AJ64,"SPT_YTW",$L$15,"Options:NA=NA"))</f>
        <v>#NAME?</v>
      </c>
      <c r="AM64" s="392" t="e" cm="1">
        <f t="array" aca="1" ref="AM64" ca="1">IF(AJ64="","",_xll.SNL.Clients.Office.Excel.Functions.SPG(AJ64,"SPT_EOD_YTM_MID","EOD Close Price",$L$15,"Options:NA=NA"))</f>
        <v>#NAME?</v>
      </c>
      <c r="AN64" s="3" t="e" cm="1">
        <f t="array" aca="1" ref="AN64" ca="1">IF(OR(AJ64="",AK64="NA"),"",_xll.SNL.Clients.Office.Excel.Functions.SPG(AJ64,"SPT_ISSUE_DATE"))</f>
        <v>#NAME?</v>
      </c>
      <c r="AO64" s="2" t="e">
        <f ca="1">IF(OR($AJ64="",$AK64="NA",$AN64=""),"",RANK(AN64,$AN$58:$AN$1057)+COUNTIF($AN$58:AN64,AN64)-1)</f>
        <v>#NAME?</v>
      </c>
      <c r="AP64" s="3" t="e">
        <f t="shared" ca="1" si="13"/>
        <v>#NAME?</v>
      </c>
      <c r="AQ64" s="2" t="e">
        <f ca="1">IF(OR($AJ64="",$AK64="NA",$AP64=""),"",RANK(AP64,$AP$58:$AP$1057)+COUNTIF($AP$58:AP64,AP64)-1)</f>
        <v>#NAME?</v>
      </c>
      <c r="AS64" s="26">
        <v>4</v>
      </c>
      <c r="AT64" t="str">
        <f t="shared" ca="1" si="14"/>
        <v>NA</v>
      </c>
      <c r="AU64" s="3" t="str">
        <f t="shared" ca="1" si="15"/>
        <v>NA</v>
      </c>
      <c r="AV64" s="395" t="str">
        <f t="shared" ca="1" si="16"/>
        <v>NA</v>
      </c>
      <c r="AW64"/>
      <c r="AX64"/>
      <c r="AY64" s="392"/>
      <c r="AZ64" s="3"/>
      <c r="BA64" s="2"/>
      <c r="BB64" s="3"/>
      <c r="BC64" s="2"/>
      <c r="BD64"/>
      <c r="BE64" s="26">
        <v>4</v>
      </c>
      <c r="BF64" t="str">
        <f ca="1">IFERROR(IF(INDEX($AX$58:$AX$1057,MATCH(BE64,$BC$58:$BC$1057,0))=0,"NA",INDEX($AX$58:$AX$1057,MATCH(BE64,$BC$58:$BC$1057,0))),"NA")</f>
        <v>NA</v>
      </c>
      <c r="BG64" s="3" t="str">
        <f t="shared" ca="1" si="17"/>
        <v>NA</v>
      </c>
      <c r="BH64" s="395" t="str">
        <f t="shared" ca="1" si="18"/>
        <v>NA</v>
      </c>
      <c r="BJ64" t="str">
        <f t="shared" si="11"/>
        <v>Azerbaijani Manat</v>
      </c>
      <c r="BK64" s="403" t="s">
        <v>55</v>
      </c>
      <c r="BL64" s="404" t="s">
        <v>56</v>
      </c>
      <c r="BM64" s="404" t="s">
        <v>57</v>
      </c>
      <c r="BN64" s="405" t="s">
        <v>30</v>
      </c>
      <c r="BQ64" s="44" t="s">
        <v>338</v>
      </c>
      <c r="BR64" s="44" t="s">
        <v>4621</v>
      </c>
    </row>
    <row r="65" spans="2:70" x14ac:dyDescent="0.2">
      <c r="B65" t="str">
        <f>VLOOKUP("Pre-Tax Cost of Debt",Language_Data,Lookup_Column,FALSE)</f>
        <v>Pre-Tax Cost of Debt</v>
      </c>
      <c r="F65" s="104">
        <v>5.0000000000000001E-3</v>
      </c>
      <c r="G65" s="252"/>
      <c r="H65" s="252"/>
      <c r="J65" s="69"/>
      <c r="K65" s="69"/>
      <c r="L65" s="69"/>
      <c r="M65" s="69"/>
      <c r="N65" s="69"/>
      <c r="O65" s="69"/>
      <c r="P65" s="69"/>
      <c r="Q65" s="69"/>
      <c r="R65" s="69"/>
      <c r="S65" s="69"/>
      <c r="W65" s="17"/>
      <c r="X65" s="37"/>
      <c r="Y65" s="34"/>
      <c r="Z65" s="38"/>
      <c r="AA65" s="20"/>
      <c r="AC65" s="368">
        <f t="shared" si="19"/>
        <v>45215</v>
      </c>
      <c r="AD65" s="369">
        <f t="shared" si="20"/>
        <v>45581</v>
      </c>
      <c r="AE65" s="370" t="e" cm="1">
        <f t="array" aca="1" ref="AE65" ca="1">_xll.SNL.Clients.Office.Excel.Functions.SPG($AD$60,"SP_LASTSALEPRICE",AC65)</f>
        <v>#NAME?</v>
      </c>
      <c r="AF65" s="370" t="e" cm="1">
        <f t="array" aca="1" ref="AF65" ca="1">_xll.SNL.Clients.Office.Excel.Functions.SPG($AD$60,"SP_LASTSALEPRICE",AD65)</f>
        <v>#NAME?</v>
      </c>
      <c r="AG65" s="375" t="str">
        <f t="shared" ca="1" si="21"/>
        <v>NA</v>
      </c>
      <c r="AJ65" t="s">
        <v>4869</v>
      </c>
      <c r="AK65" s="392" t="e">
        <f t="shared" ca="1" si="12"/>
        <v>#NAME?</v>
      </c>
      <c r="AL65" s="392" t="e" cm="1">
        <f t="array" aca="1" ref="AL65" ca="1">IF(AJ65="","",_xll.SNL.Clients.Office.Excel.Functions.SPG(AJ65,"SPT_YTW",$L$15,"Options:NA=NA"))</f>
        <v>#NAME?</v>
      </c>
      <c r="AM65" s="392" t="e" cm="1">
        <f t="array" aca="1" ref="AM65" ca="1">IF(AJ65="","",_xll.SNL.Clients.Office.Excel.Functions.SPG(AJ65,"SPT_EOD_YTM_MID","EOD Close Price",$L$15,"Options:NA=NA"))</f>
        <v>#NAME?</v>
      </c>
      <c r="AN65" s="3" t="e" cm="1">
        <f t="array" aca="1" ref="AN65" ca="1">IF(OR(AJ65="",AK65="NA"),"",_xll.SNL.Clients.Office.Excel.Functions.SPG(AJ65,"SPT_ISSUE_DATE"))</f>
        <v>#NAME?</v>
      </c>
      <c r="AO65" s="2" t="e">
        <f ca="1">IF(OR($AJ65="",$AK65="NA",$AN65=""),"",RANK(AN65,$AN$58:$AN$1057)+COUNTIF($AN$58:AN65,AN65)-1)</f>
        <v>#NAME?</v>
      </c>
      <c r="AP65" s="3" t="e">
        <f t="shared" ca="1" si="13"/>
        <v>#NAME?</v>
      </c>
      <c r="AQ65" s="2" t="e">
        <f ca="1">IF(OR($AJ65="",$AK65="NA",$AP65=""),"",RANK(AP65,$AP$58:$AP$1057)+COUNTIF($AP$58:AP65,AP65)-1)</f>
        <v>#NAME?</v>
      </c>
      <c r="AS65" s="14">
        <v>5</v>
      </c>
      <c r="AT65" s="15" t="str">
        <f t="shared" ca="1" si="14"/>
        <v>NA</v>
      </c>
      <c r="AU65" s="396" t="str">
        <f t="shared" ca="1" si="15"/>
        <v>NA</v>
      </c>
      <c r="AV65" s="397" t="str">
        <f t="shared" ca="1" si="16"/>
        <v>NA</v>
      </c>
      <c r="AW65"/>
      <c r="AX65"/>
      <c r="AY65" s="392"/>
      <c r="AZ65" s="3"/>
      <c r="BA65" s="2"/>
      <c r="BB65" s="3"/>
      <c r="BC65" s="2"/>
      <c r="BD65"/>
      <c r="BE65" s="14">
        <v>5</v>
      </c>
      <c r="BF65" s="15" t="str">
        <f ca="1">IFERROR(IF(INDEX($AX$58:$AX$1057,MATCH(BE65,$BC$58:$BC$1057,0))=0,"NA",INDEX($AX$58:$AX$1057,MATCH(BE65,$BC$58:$BC$1057,0))),"NA")</f>
        <v>NA</v>
      </c>
      <c r="BG65" s="396" t="str">
        <f t="shared" ca="1" si="17"/>
        <v>NA</v>
      </c>
      <c r="BH65" s="397" t="str">
        <f t="shared" ca="1" si="18"/>
        <v>NA</v>
      </c>
      <c r="BJ65" t="str">
        <f t="shared" si="11"/>
        <v>Bahamian Dollar</v>
      </c>
      <c r="BK65" s="403" t="s">
        <v>58</v>
      </c>
      <c r="BL65" s="404" t="s">
        <v>59</v>
      </c>
      <c r="BM65" s="404" t="s">
        <v>60</v>
      </c>
      <c r="BN65" s="405" t="s">
        <v>30</v>
      </c>
      <c r="BQ65" s="44" t="s">
        <v>369</v>
      </c>
      <c r="BR65" s="44" t="s">
        <v>4622</v>
      </c>
    </row>
    <row r="66" spans="2:70" x14ac:dyDescent="0.2">
      <c r="B66" t="str">
        <f>VLOOKUP("D/(D+P+E)",Language_Data,Lookup_Column,FALSE)</f>
        <v>D/(D+P+E)</v>
      </c>
      <c r="F66" s="105">
        <v>0.05</v>
      </c>
      <c r="G66" s="252"/>
      <c r="H66" s="252"/>
      <c r="J66" s="7"/>
      <c r="K66" s="7"/>
      <c r="L66" s="7"/>
      <c r="M66" s="7"/>
      <c r="N66" s="7"/>
      <c r="O66" s="7"/>
      <c r="P66" s="7"/>
      <c r="Q66" s="7"/>
      <c r="R66" s="7"/>
      <c r="S66" s="7"/>
      <c r="W66" s="17" t="str">
        <f>"Total Debt ("&amp;CAP_ID&amp;")"</f>
        <v>Total Debt (Mex$M)</v>
      </c>
      <c r="X66" s="37" t="s">
        <v>298</v>
      </c>
      <c r="Y66" s="34" t="s">
        <v>4248</v>
      </c>
      <c r="Z66" s="334">
        <f>$L$15</f>
        <v>46311.25</v>
      </c>
      <c r="AA66" s="21">
        <f>Independent_DCF_Inputs!$B$13</f>
        <v>194918.29771951874</v>
      </c>
      <c r="AC66" s="368">
        <f t="shared" si="19"/>
        <v>44850</v>
      </c>
      <c r="AD66" s="369">
        <f t="shared" si="20"/>
        <v>45215</v>
      </c>
      <c r="AE66" s="370" t="e" cm="1">
        <f t="array" aca="1" ref="AE66" ca="1">_xll.SNL.Clients.Office.Excel.Functions.SPG($AD$60,"SP_LASTSALEPRICE",AC66)</f>
        <v>#NAME?</v>
      </c>
      <c r="AF66" s="370" t="e" cm="1">
        <f t="array" aca="1" ref="AF66" ca="1">_xll.SNL.Clients.Office.Excel.Functions.SPG($AD$60,"SP_LASTSALEPRICE",AD66)</f>
        <v>#NAME?</v>
      </c>
      <c r="AG66" s="375" t="str">
        <f t="shared" ca="1" si="21"/>
        <v>NA</v>
      </c>
      <c r="AJ66" t="s">
        <v>4868</v>
      </c>
      <c r="AK66" s="392" t="e">
        <f t="shared" ca="1" si="12"/>
        <v>#NAME?</v>
      </c>
      <c r="AL66" s="392" t="e" cm="1">
        <f t="array" aca="1" ref="AL66" ca="1">IF(AJ66="","",_xll.SNL.Clients.Office.Excel.Functions.SPG(AJ66,"SPT_YTW",$L$15,"Options:NA=NA"))</f>
        <v>#NAME?</v>
      </c>
      <c r="AM66" s="392" t="e" cm="1">
        <f t="array" aca="1" ref="AM66" ca="1">IF(AJ66="","",_xll.SNL.Clients.Office.Excel.Functions.SPG(AJ66,"SPT_EOD_YTM_MID","EOD Close Price",$L$15,"Options:NA=NA"))</f>
        <v>#NAME?</v>
      </c>
      <c r="AN66" s="3" t="e" cm="1">
        <f t="array" aca="1" ref="AN66" ca="1">IF(OR(AJ66="",AK66="NA"),"",_xll.SNL.Clients.Office.Excel.Functions.SPG(AJ66,"SPT_ISSUE_DATE"))</f>
        <v>#NAME?</v>
      </c>
      <c r="AO66" s="2" t="e">
        <f ca="1">IF(OR($AJ66="",$AK66="NA",$AN66=""),"",RANK(AN66,$AN$58:$AN$1057)+COUNTIF($AN$58:AN66,AN66)-1)</f>
        <v>#NAME?</v>
      </c>
      <c r="AP66" s="3" t="e">
        <f t="shared" ca="1" si="13"/>
        <v>#NAME?</v>
      </c>
      <c r="AQ66" s="2" t="e">
        <f ca="1">IF(OR($AJ66="",$AK66="NA",$AP66=""),"",RANK(AP66,$AP$58:$AP$1057)+COUNTIF($AP$58:AP66,AP66)-1)</f>
        <v>#NAME?</v>
      </c>
      <c r="AU66"/>
      <c r="AV66" s="2"/>
      <c r="AW66"/>
      <c r="AX66"/>
      <c r="AY66" s="392"/>
      <c r="AZ66" s="3"/>
      <c r="BA66" s="2"/>
      <c r="BB66" s="3"/>
      <c r="BC66" s="2"/>
      <c r="BD66"/>
      <c r="BE66"/>
      <c r="BF66"/>
      <c r="BG66"/>
      <c r="BH66" s="2"/>
      <c r="BJ66" t="str">
        <f t="shared" si="11"/>
        <v>Bahraini Dinar</v>
      </c>
      <c r="BK66" s="403" t="s">
        <v>61</v>
      </c>
      <c r="BL66" s="404" t="s">
        <v>62</v>
      </c>
      <c r="BM66" s="404" t="s">
        <v>63</v>
      </c>
      <c r="BN66" s="405" t="s">
        <v>30</v>
      </c>
      <c r="BQ66" s="44" t="s">
        <v>4174</v>
      </c>
      <c r="BR66" s="44" t="s">
        <v>4623</v>
      </c>
    </row>
    <row r="67" spans="2:70" x14ac:dyDescent="0.2">
      <c r="B67" t="str">
        <f>VLOOKUP("Cost of Equity",Language_Data,Lookup_Column,FALSE)</f>
        <v>Cost of Equity</v>
      </c>
      <c r="F67" s="106">
        <v>7.4999999999999997E-3</v>
      </c>
      <c r="J67" s="92" t="str">
        <f>VLOOKUP("WACC SENSITIVITY ANALYSIS",Language_Data,Lookup_Column,FALSE)</f>
        <v>WACC SENSITIVITY ANALYSIS</v>
      </c>
      <c r="K67" s="93"/>
      <c r="L67" s="93"/>
      <c r="M67" s="93"/>
      <c r="N67" s="94"/>
      <c r="O67" s="94"/>
      <c r="P67" s="94"/>
      <c r="Q67" s="94"/>
      <c r="R67" s="94"/>
      <c r="S67" s="95"/>
      <c r="W67" s="17" t="str">
        <f>"Total Preferred Equity ("&amp;CAP_ID&amp;")"</f>
        <v>Total Preferred Equity (Mex$M)</v>
      </c>
      <c r="X67" s="37" t="s">
        <v>290</v>
      </c>
      <c r="Y67" s="34" t="s">
        <v>4248</v>
      </c>
      <c r="Z67" s="334">
        <f>$L$15</f>
        <v>46311.25</v>
      </c>
      <c r="AA67" s="21">
        <v>0</v>
      </c>
      <c r="AC67" s="368">
        <f t="shared" si="19"/>
        <v>44485</v>
      </c>
      <c r="AD67" s="369">
        <f t="shared" si="20"/>
        <v>44850</v>
      </c>
      <c r="AE67" s="370" t="e" cm="1">
        <f t="array" aca="1" ref="AE67" ca="1">_xll.SNL.Clients.Office.Excel.Functions.SPG($AD$60,"SP_LASTSALEPRICE",AC67)</f>
        <v>#NAME?</v>
      </c>
      <c r="AF67" s="370" t="e" cm="1">
        <f t="array" aca="1" ref="AF67" ca="1">_xll.SNL.Clients.Office.Excel.Functions.SPG($AD$60,"SP_LASTSALEPRICE",AD67)</f>
        <v>#NAME?</v>
      </c>
      <c r="AG67" s="375" t="str">
        <f t="shared" ca="1" si="21"/>
        <v>NA</v>
      </c>
      <c r="AJ67" t="s">
        <v>4870</v>
      </c>
      <c r="AK67" s="392" t="e">
        <f t="shared" ca="1" si="12"/>
        <v>#NAME?</v>
      </c>
      <c r="AL67" s="392" t="e" cm="1">
        <f t="array" aca="1" ref="AL67" ca="1">IF(AJ67="","",_xll.SNL.Clients.Office.Excel.Functions.SPG(AJ67,"SPT_YTW",$L$15,"Options:NA=NA"))</f>
        <v>#NAME?</v>
      </c>
      <c r="AM67" s="392" t="e" cm="1">
        <f t="array" aca="1" ref="AM67" ca="1">IF(AJ67="","",_xll.SNL.Clients.Office.Excel.Functions.SPG(AJ67,"SPT_EOD_YTM_MID","EOD Close Price",$L$15,"Options:NA=NA"))</f>
        <v>#NAME?</v>
      </c>
      <c r="AN67" s="3" t="e" cm="1">
        <f t="array" aca="1" ref="AN67" ca="1">IF(OR(AJ67="",AK67="NA"),"",_xll.SNL.Clients.Office.Excel.Functions.SPG(AJ67,"SPT_ISSUE_DATE"))</f>
        <v>#NAME?</v>
      </c>
      <c r="AO67" s="2" t="e">
        <f ca="1">IF(OR($AJ67="",$AK67="NA",$AN67=""),"",RANK(AN67,$AN$58:$AN$1057)+COUNTIF($AN$58:AN67,AN67)-1)</f>
        <v>#NAME?</v>
      </c>
      <c r="AP67" s="3" t="e">
        <f t="shared" ca="1" si="13"/>
        <v>#NAME?</v>
      </c>
      <c r="AQ67" s="2" t="e">
        <f ca="1">IF(OR($AJ67="",$AK67="NA",$AP67=""),"",RANK(AP67,$AP$58:$AP$1057)+COUNTIF($AP$58:AP67,AP67)-1)</f>
        <v>#NAME?</v>
      </c>
      <c r="AT67" t="s">
        <v>440</v>
      </c>
      <c r="AU67"/>
      <c r="AV67"/>
      <c r="AW67"/>
      <c r="AX67"/>
      <c r="AY67" s="392"/>
      <c r="AZ67" s="3"/>
      <c r="BA67" s="2"/>
      <c r="BB67" s="3"/>
      <c r="BC67" s="2"/>
      <c r="BD67"/>
      <c r="BE67"/>
      <c r="BF67" t="s">
        <v>440</v>
      </c>
      <c r="BG67"/>
      <c r="BH67"/>
      <c r="BJ67" t="str">
        <f t="shared" si="11"/>
        <v>Bangladeshi Taka</v>
      </c>
      <c r="BK67" s="403" t="s">
        <v>64</v>
      </c>
      <c r="BL67" s="404" t="s">
        <v>65</v>
      </c>
      <c r="BM67" s="404" t="s">
        <v>66</v>
      </c>
      <c r="BN67" s="405" t="s">
        <v>30</v>
      </c>
      <c r="BQ67" s="44" t="s">
        <v>330</v>
      </c>
      <c r="BR67" s="44" t="s">
        <v>4624</v>
      </c>
    </row>
    <row r="68" spans="2:70" x14ac:dyDescent="0.2">
      <c r="B68" t="str">
        <f>VLOOKUP("E/(D+P+E)",Language_Data,Lookup_Column,FALSE)</f>
        <v>E/(D+P+E)</v>
      </c>
      <c r="F68" s="105">
        <v>0.05</v>
      </c>
      <c r="J68" s="70"/>
      <c r="K68" s="7"/>
      <c r="L68" s="7"/>
      <c r="M68" s="7"/>
      <c r="N68" s="7"/>
      <c r="O68" s="7"/>
      <c r="P68" s="7"/>
      <c r="Q68" s="7"/>
      <c r="R68" s="7"/>
      <c r="S68" s="71"/>
      <c r="W68" s="17" t="s">
        <v>261</v>
      </c>
      <c r="X68" s="37" t="s">
        <v>291</v>
      </c>
      <c r="Y68" s="400">
        <f>$L$15</f>
        <v>46311.25</v>
      </c>
      <c r="Z68" s="39"/>
      <c r="AA68" s="22">
        <f>Independent_DCF_Inputs!$B$12</f>
        <v>251762.254999</v>
      </c>
      <c r="AC68" s="368">
        <f t="shared" si="19"/>
        <v>44120</v>
      </c>
      <c r="AD68" s="369">
        <f t="shared" si="20"/>
        <v>44485</v>
      </c>
      <c r="AE68" s="370" t="e" cm="1">
        <f t="array" aca="1" ref="AE68" ca="1">_xll.SNL.Clients.Office.Excel.Functions.SPG($AD$60,"SP_LASTSALEPRICE",AC68)</f>
        <v>#NAME?</v>
      </c>
      <c r="AF68" s="370" t="e" cm="1">
        <f t="array" aca="1" ref="AF68" ca="1">_xll.SNL.Clients.Office.Excel.Functions.SPG($AD$60,"SP_LASTSALEPRICE",AD68)</f>
        <v>#NAME?</v>
      </c>
      <c r="AG68" s="375" t="str">
        <f t="shared" ca="1" si="21"/>
        <v>NA</v>
      </c>
      <c r="AJ68" t="s">
        <v>4872</v>
      </c>
      <c r="AK68" s="392" t="e">
        <f t="shared" ca="1" si="12"/>
        <v>#NAME?</v>
      </c>
      <c r="AL68" s="392" t="e" cm="1">
        <f t="array" aca="1" ref="AL68" ca="1">IF(AJ68="","",_xll.SNL.Clients.Office.Excel.Functions.SPG(AJ68,"SPT_YTW",$L$15,"Options:NA=NA"))</f>
        <v>#NAME?</v>
      </c>
      <c r="AM68" s="392" t="e" cm="1">
        <f t="array" aca="1" ref="AM68" ca="1">IF(AJ68="","",_xll.SNL.Clients.Office.Excel.Functions.SPG(AJ68,"SPT_EOD_YTM_MID","EOD Close Price",$L$15,"Options:NA=NA"))</f>
        <v>#NAME?</v>
      </c>
      <c r="AN68" s="3" t="e" cm="1">
        <f t="array" aca="1" ref="AN68" ca="1">IF(OR(AJ68="",AK68="NA"),"",_xll.SNL.Clients.Office.Excel.Functions.SPG(AJ68,"SPT_ISSUE_DATE"))</f>
        <v>#NAME?</v>
      </c>
      <c r="AO68" s="2" t="e">
        <f ca="1">IF(OR($AJ68="",$AK68="NA",$AN68=""),"",RANK(AN68,$AN$58:$AN$1057)+COUNTIF($AN$58:AN68,AN68)-1)</f>
        <v>#NAME?</v>
      </c>
      <c r="AP68" s="3" t="e">
        <f t="shared" ca="1" si="13"/>
        <v>#NAME?</v>
      </c>
      <c r="AQ68" s="2" t="e">
        <f ca="1">IF(OR($AJ68="",$AK68="NA",$AP68=""),"",RANK(AP68,$AP$58:$AP$1057)+COUNTIF($AP$58:AP68,AP68)-1)</f>
        <v>#NAME?</v>
      </c>
      <c r="AT68" s="305" t="e" cm="1">
        <f t="array" aca="1" ref="AT68" ca="1">_xll.SNL.Clients.Office.Excel.Functions.SPGDATE()</f>
        <v>#NAME?</v>
      </c>
      <c r="AU68"/>
      <c r="AV68" s="392" t="str">
        <f ca="1">IFERROR(AVERAGE(AV69:AV74),"NA")</f>
        <v>NA</v>
      </c>
      <c r="AW68"/>
      <c r="AX68"/>
      <c r="AY68" s="392"/>
      <c r="AZ68" s="3"/>
      <c r="BA68" s="2"/>
      <c r="BB68" s="3"/>
      <c r="BC68" s="2"/>
      <c r="BD68"/>
      <c r="BE68"/>
      <c r="BF68" s="305" t="e" cm="1">
        <f t="array" aca="1" ref="BF68" ca="1">_xll.SNL.Clients.Office.Excel.Functions.SPGDATE()</f>
        <v>#NAME?</v>
      </c>
      <c r="BG68"/>
      <c r="BH68" s="392" t="str">
        <f ca="1">IFERROR(AVERAGE(BH69:BH74),"NA")</f>
        <v>NA</v>
      </c>
      <c r="BJ68" t="str">
        <f t="shared" si="11"/>
        <v>Belarusian Ruble</v>
      </c>
      <c r="BK68" s="403" t="s">
        <v>67</v>
      </c>
      <c r="BL68" s="404" t="s">
        <v>68</v>
      </c>
      <c r="BM68" s="404" t="s">
        <v>69</v>
      </c>
      <c r="BN68" s="405" t="s">
        <v>30</v>
      </c>
      <c r="BQ68" s="44" t="s">
        <v>340</v>
      </c>
      <c r="BR68" s="44" t="s">
        <v>4625</v>
      </c>
    </row>
    <row r="69" spans="2:70" x14ac:dyDescent="0.2">
      <c r="J69" s="72" t="str">
        <f>VLOOKUP("D/(D+P+E)",Language_Data,Lookup_Column,FALSE)</f>
        <v>D/(D+P+E)</v>
      </c>
      <c r="K69" s="73" t="str">
        <f>VLOOKUP("Pre-Tax Cost of Debt",Language_Data,Lookup_Column,FALSE)</f>
        <v>Pre-Tax Cost of Debt</v>
      </c>
      <c r="L69" s="74"/>
      <c r="M69" s="74"/>
      <c r="N69" s="74"/>
      <c r="O69" s="74"/>
      <c r="P69" s="74"/>
      <c r="Q69" s="74"/>
      <c r="R69" s="74"/>
      <c r="S69" s="75"/>
      <c r="W69" s="17" t="s">
        <v>260</v>
      </c>
      <c r="X69" s="37" t="s">
        <v>292</v>
      </c>
      <c r="Y69" s="34" t="s">
        <v>4241</v>
      </c>
      <c r="Z69" s="334">
        <f t="shared" ref="Z69:Z74" si="22">$L$15</f>
        <v>46311.25</v>
      </c>
      <c r="AA69" s="20">
        <f>Independent_DCF_Inputs!$B$10*100</f>
        <v>30</v>
      </c>
      <c r="AC69" s="368">
        <f t="shared" si="19"/>
        <v>43754</v>
      </c>
      <c r="AD69" s="369">
        <f t="shared" si="20"/>
        <v>44120</v>
      </c>
      <c r="AE69" s="370" t="e" cm="1">
        <f t="array" aca="1" ref="AE69" ca="1">_xll.SNL.Clients.Office.Excel.Functions.SPG($AD$60,"SP_LASTSALEPRICE",AC69)</f>
        <v>#NAME?</v>
      </c>
      <c r="AF69" s="370" t="e" cm="1">
        <f t="array" aca="1" ref="AF69" ca="1">_xll.SNL.Clients.Office.Excel.Functions.SPG($AD$60,"SP_LASTSALEPRICE",AD69)</f>
        <v>#NAME?</v>
      </c>
      <c r="AG69" s="375" t="str">
        <f t="shared" ca="1" si="21"/>
        <v>NA</v>
      </c>
      <c r="AJ69" t="s">
        <v>4875</v>
      </c>
      <c r="AK69" s="392" t="e">
        <f t="shared" ca="1" si="12"/>
        <v>#NAME?</v>
      </c>
      <c r="AL69" s="392" t="e" cm="1">
        <f t="array" aca="1" ref="AL69" ca="1">IF(AJ69="","",_xll.SNL.Clients.Office.Excel.Functions.SPG(AJ69,"SPT_YTW",$L$15,"Options:NA=NA"))</f>
        <v>#NAME?</v>
      </c>
      <c r="AM69" s="392" t="e" cm="1">
        <f t="array" aca="1" ref="AM69" ca="1">IF(AJ69="","",_xll.SNL.Clients.Office.Excel.Functions.SPG(AJ69,"SPT_EOD_YTM_MID","EOD Close Price",$L$15,"Options:NA=NA"))</f>
        <v>#NAME?</v>
      </c>
      <c r="AN69" s="3" t="e" cm="1">
        <f t="array" aca="1" ref="AN69" ca="1">IF(OR(AJ69="",AK69="NA"),"",_xll.SNL.Clients.Office.Excel.Functions.SPG(AJ69,"SPT_ISSUE_DATE"))</f>
        <v>#NAME?</v>
      </c>
      <c r="AO69" s="2" t="e">
        <f ca="1">IF(OR($AJ69="",$AK69="NA",$AN69=""),"",RANK(AN69,$AN$58:$AN$1057)+COUNTIF($AN$58:AN69,AN69)-1)</f>
        <v>#NAME?</v>
      </c>
      <c r="AP69" s="3" t="e">
        <f t="shared" ca="1" si="13"/>
        <v>#NAME?</v>
      </c>
      <c r="AQ69" s="2" t="e">
        <f ca="1">IF(OR($AJ69="",$AK69="NA",$AP69=""),"",RANK(AP69,$AP$58:$AP$1057)+COUNTIF($AP$58:AP69,AP69)-1)</f>
        <v>#NAME?</v>
      </c>
      <c r="AS69" s="23"/>
      <c r="AT69" s="24"/>
      <c r="AU69" s="393" t="s">
        <v>4610</v>
      </c>
      <c r="AV69" s="394" t="s">
        <v>4751</v>
      </c>
      <c r="AW69"/>
      <c r="AX69"/>
      <c r="AY69" s="392"/>
      <c r="AZ69" s="3"/>
      <c r="BA69" s="2"/>
      <c r="BB69" s="3"/>
      <c r="BC69" s="2"/>
      <c r="BD69"/>
      <c r="BE69" s="23"/>
      <c r="BF69" s="24"/>
      <c r="BG69" s="393" t="s">
        <v>4610</v>
      </c>
      <c r="BH69" s="394" t="s">
        <v>4754</v>
      </c>
      <c r="BJ69" t="str">
        <f t="shared" si="11"/>
        <v>Bosnian Convertible Marks</v>
      </c>
      <c r="BK69" s="403" t="s">
        <v>70</v>
      </c>
      <c r="BL69" s="404" t="s">
        <v>71</v>
      </c>
      <c r="BM69" s="404" t="s">
        <v>72</v>
      </c>
      <c r="BN69" s="405" t="s">
        <v>30</v>
      </c>
      <c r="BQ69" s="44" t="s">
        <v>4626</v>
      </c>
      <c r="BR69" s="44" t="s">
        <v>4627</v>
      </c>
    </row>
    <row r="70" spans="2:70" x14ac:dyDescent="0.2">
      <c r="B70" s="40" t="str">
        <f>VLOOKUP("WACC",Language_Data,Lookup_Column,FALSE)</f>
        <v>WACC</v>
      </c>
      <c r="C70" s="40"/>
      <c r="D70" s="40"/>
      <c r="E70" s="40"/>
      <c r="F70" s="40"/>
      <c r="J70" s="125">
        <f>F91</f>
        <v>0.10398289994023388</v>
      </c>
      <c r="K70" s="103">
        <v>0.05</v>
      </c>
      <c r="L70" s="76">
        <f t="shared" ref="L70:S70" si="23">K70+$F$65</f>
        <v>5.5E-2</v>
      </c>
      <c r="M70" s="76">
        <f t="shared" si="23"/>
        <v>0.06</v>
      </c>
      <c r="N70" s="76">
        <f t="shared" si="23"/>
        <v>6.5000000000000002E-2</v>
      </c>
      <c r="O70" s="76">
        <f t="shared" si="23"/>
        <v>7.0000000000000007E-2</v>
      </c>
      <c r="P70" s="76">
        <f t="shared" si="23"/>
        <v>7.5000000000000011E-2</v>
      </c>
      <c r="Q70" s="76">
        <f t="shared" si="23"/>
        <v>8.0000000000000016E-2</v>
      </c>
      <c r="R70" s="76">
        <f t="shared" si="23"/>
        <v>8.500000000000002E-2</v>
      </c>
      <c r="S70" s="77">
        <f t="shared" si="23"/>
        <v>9.0000000000000024E-2</v>
      </c>
      <c r="W70" s="17" t="s">
        <v>260</v>
      </c>
      <c r="X70" s="37" t="s">
        <v>292</v>
      </c>
      <c r="Y70" s="34" t="s">
        <v>4242</v>
      </c>
      <c r="Z70" s="334">
        <f t="shared" si="22"/>
        <v>46311.25</v>
      </c>
      <c r="AA70" s="20">
        <f>Independent_DCF_Inputs!$B$10*100</f>
        <v>30</v>
      </c>
      <c r="AC70" s="368">
        <f t="shared" si="19"/>
        <v>43389</v>
      </c>
      <c r="AD70" s="369">
        <f t="shared" si="20"/>
        <v>43754</v>
      </c>
      <c r="AE70" s="370" t="e" cm="1">
        <f t="array" aca="1" ref="AE70" ca="1">_xll.SNL.Clients.Office.Excel.Functions.SPG($AD$60,"SP_LASTSALEPRICE",AC70)</f>
        <v>#NAME?</v>
      </c>
      <c r="AF70" s="370" t="e" cm="1">
        <f t="array" aca="1" ref="AF70" ca="1">_xll.SNL.Clients.Office.Excel.Functions.SPG($AD$60,"SP_LASTSALEPRICE",AD70)</f>
        <v>#NAME?</v>
      </c>
      <c r="AG70" s="375" t="str">
        <f t="shared" ca="1" si="21"/>
        <v>NA</v>
      </c>
      <c r="AJ70" t="s">
        <v>4873</v>
      </c>
      <c r="AK70" s="392" t="e">
        <f t="shared" ca="1" si="12"/>
        <v>#NAME?</v>
      </c>
      <c r="AL70" s="392" t="e" cm="1">
        <f t="array" aca="1" ref="AL70" ca="1">IF(AJ70="","",_xll.SNL.Clients.Office.Excel.Functions.SPG(AJ70,"SPT_YTW",$L$15,"Options:NA=NA"))</f>
        <v>#NAME?</v>
      </c>
      <c r="AM70" s="392" t="e" cm="1">
        <f t="array" aca="1" ref="AM70" ca="1">IF(AJ70="","",_xll.SNL.Clients.Office.Excel.Functions.SPG(AJ70,"SPT_EOD_YTM_MID","EOD Close Price",$L$15,"Options:NA=NA"))</f>
        <v>#NAME?</v>
      </c>
      <c r="AN70" s="3" t="e" cm="1">
        <f t="array" aca="1" ref="AN70" ca="1">IF(OR(AJ70="",AK70="NA"),"",_xll.SNL.Clients.Office.Excel.Functions.SPG(AJ70,"SPT_ISSUE_DATE"))</f>
        <v>#NAME?</v>
      </c>
      <c r="AO70" s="2" t="e">
        <f ca="1">IF(OR($AJ70="",$AK70="NA",$AN70=""),"",RANK(AN70,$AN$58:$AN$1057)+COUNTIF($AN$58:AN70,AN70)-1)</f>
        <v>#NAME?</v>
      </c>
      <c r="AP70" s="3" t="e">
        <f t="shared" ca="1" si="13"/>
        <v>#NAME?</v>
      </c>
      <c r="AQ70" s="2" t="e">
        <f ca="1">IF(OR($AJ70="",$AK70="NA",$AP70=""),"",RANK(AP70,$AP$58:$AP$1057)+COUNTIF($AP$58:AP70,AP70)-1)</f>
        <v>#NAME?</v>
      </c>
      <c r="AS70" s="26">
        <v>1</v>
      </c>
      <c r="AT70" t="str">
        <f t="shared" ref="AT70:AT74" ca="1" si="24">IFERROR(IF(INDEX($AJ$58:$AJ$1057,MATCH(AS61,$AO$58:$AO$1057,0))=0,"NA",INDEX($AJ$58:$AJ$1057,MATCH(AS61,$AO$58:$AO$1057,0))),"NA")</f>
        <v>NA</v>
      </c>
      <c r="AU70" s="3" t="str">
        <f t="shared" ref="AU70:AU74" ca="1" si="25">IF(AT70="NA","NA",VLOOKUP(AT70,$AJ$58:$AN$1057,5,0))</f>
        <v>NA</v>
      </c>
      <c r="AV70" s="395" t="str">
        <f t="shared" ref="AV70:AV74" ca="1" si="26">IF(AT70="NA","NA",VLOOKUP(AT70,$AJ$58:$AK$1057,2,0))</f>
        <v>NA</v>
      </c>
      <c r="AW70"/>
      <c r="AX70"/>
      <c r="AY70" s="392"/>
      <c r="AZ70" s="3"/>
      <c r="BA70" s="2"/>
      <c r="BB70" s="3"/>
      <c r="BC70" s="2"/>
      <c r="BD70"/>
      <c r="BE70" s="26">
        <v>1</v>
      </c>
      <c r="BF70" t="str">
        <f ca="1">IFERROR(IF(INDEX($AX$58:$AX$1057,MATCH(BE61,$BA$58:$BA$1057,0))=0,"NA",INDEX($AX$58:$AX$1057,MATCH(BE61,$BA$58:$BA$1057,0))),"NA")</f>
        <v>NA</v>
      </c>
      <c r="BG70" s="3" t="str">
        <f t="shared" ref="BG70:BG74" ca="1" si="27">IF(BF70="NA","NA",VLOOKUP(BF70,$AX$58:$AZ$1057,3,0))</f>
        <v>NA</v>
      </c>
      <c r="BH70" s="395" t="str">
        <f t="shared" ref="BH70:BH74" ca="1" si="28">IF(BF70="NA","NA",VLOOKUP(BF70,$AX$58:$AY$1057,2,0))</f>
        <v>NA</v>
      </c>
      <c r="BJ70" t="str">
        <f t="shared" si="11"/>
        <v>Brazilian Real</v>
      </c>
      <c r="BK70" s="403" t="s">
        <v>73</v>
      </c>
      <c r="BL70" s="404" t="s">
        <v>74</v>
      </c>
      <c r="BM70" s="404" t="s">
        <v>75</v>
      </c>
      <c r="BN70" s="405" t="s">
        <v>30</v>
      </c>
      <c r="BQ70" s="44" t="s">
        <v>4749</v>
      </c>
      <c r="BR70" s="44" t="s">
        <v>4750</v>
      </c>
    </row>
    <row r="71" spans="2:70" x14ac:dyDescent="0.2">
      <c r="B71" s="7" t="str">
        <f>VLOOKUP("Market Risk Premium (Rm - Rf)",Language_Data,Lookup_Column,FALSE)</f>
        <v>Market Risk Premium (Rm - Rf)</v>
      </c>
      <c r="F71" s="208">
        <f>IFERROR(F53-F51,0)</f>
        <v>4.200000000000001E-2</v>
      </c>
      <c r="G71" s="249"/>
      <c r="H71" s="249"/>
      <c r="J71" s="78">
        <f>J72-$F$66</f>
        <v>0.35000000000000003</v>
      </c>
      <c r="K71" s="79">
        <f t="dataTable" ref="K71:S77" dt2D="1" dtr="1" r1="F81" r2="F84" ca="1"/>
        <v>9.7962024782127385E-2</v>
      </c>
      <c r="L71" s="79">
        <v>9.9187024782127389E-2</v>
      </c>
      <c r="M71" s="79">
        <v>0.10041202478212739</v>
      </c>
      <c r="N71" s="79">
        <v>0.10163702478212738</v>
      </c>
      <c r="O71" s="79">
        <v>0.10286202478212739</v>
      </c>
      <c r="P71" s="79">
        <v>0.10408702478212739</v>
      </c>
      <c r="Q71" s="79">
        <v>0.10531202478212739</v>
      </c>
      <c r="R71" s="79">
        <v>0.1065370247821274</v>
      </c>
      <c r="S71" s="80">
        <v>0.1077620247821274</v>
      </c>
      <c r="W71" s="17" t="s">
        <v>260</v>
      </c>
      <c r="X71" s="37" t="s">
        <v>292</v>
      </c>
      <c r="Y71" s="34" t="s">
        <v>4243</v>
      </c>
      <c r="Z71" s="334">
        <f t="shared" si="22"/>
        <v>46311.25</v>
      </c>
      <c r="AA71" s="20">
        <f>Independent_DCF_Inputs!$B$10*100</f>
        <v>30</v>
      </c>
      <c r="AC71" s="368">
        <f t="shared" si="19"/>
        <v>43024</v>
      </c>
      <c r="AD71" s="369">
        <f t="shared" si="20"/>
        <v>43389</v>
      </c>
      <c r="AE71" s="370" t="e" cm="1">
        <f t="array" aca="1" ref="AE71" ca="1">_xll.SNL.Clients.Office.Excel.Functions.SPG($AD$60,"SP_LASTSALEPRICE",AC71)</f>
        <v>#NAME?</v>
      </c>
      <c r="AF71" s="370" t="e" cm="1">
        <f t="array" aca="1" ref="AF71" ca="1">_xll.SNL.Clients.Office.Excel.Functions.SPG($AD$60,"SP_LASTSALEPRICE",AD71)</f>
        <v>#NAME?</v>
      </c>
      <c r="AG71" s="375" t="str">
        <f t="shared" ca="1" si="21"/>
        <v>NA</v>
      </c>
      <c r="AJ71" t="s">
        <v>4877</v>
      </c>
      <c r="AK71" s="392" t="e">
        <f t="shared" ca="1" si="12"/>
        <v>#NAME?</v>
      </c>
      <c r="AL71" s="392" t="e" cm="1">
        <f t="array" aca="1" ref="AL71" ca="1">IF(AJ71="","",_xll.SNL.Clients.Office.Excel.Functions.SPG(AJ71,"SPT_YTW",$L$15,"Options:NA=NA"))</f>
        <v>#NAME?</v>
      </c>
      <c r="AM71" s="392" t="e" cm="1">
        <f t="array" aca="1" ref="AM71" ca="1">IF(AJ71="","",_xll.SNL.Clients.Office.Excel.Functions.SPG(AJ71,"SPT_EOD_YTM_MID","EOD Close Price",$L$15,"Options:NA=NA"))</f>
        <v>#NAME?</v>
      </c>
      <c r="AN71" s="3" t="e" cm="1">
        <f t="array" aca="1" ref="AN71" ca="1">IF(OR(AJ71="",AK71="NA"),"",_xll.SNL.Clients.Office.Excel.Functions.SPG(AJ71,"SPT_ISSUE_DATE"))</f>
        <v>#NAME?</v>
      </c>
      <c r="AO71" s="2" t="e">
        <f ca="1">IF(OR($AJ71="",$AK71="NA",$AN71=""),"",RANK(AN71,$AN$58:$AN$1057)+COUNTIF($AN$58:AN71,AN71)-1)</f>
        <v>#NAME?</v>
      </c>
      <c r="AP71" s="3" t="e">
        <f t="shared" ca="1" si="13"/>
        <v>#NAME?</v>
      </c>
      <c r="AQ71" s="2" t="e">
        <f ca="1">IF(OR($AJ71="",$AK71="NA",$AP71=""),"",RANK(AP71,$AP$58:$AP$1057)+COUNTIF($AP$58:AP71,AP71)-1)</f>
        <v>#NAME?</v>
      </c>
      <c r="AS71" s="26">
        <v>2</v>
      </c>
      <c r="AT71" t="str">
        <f t="shared" ca="1" si="24"/>
        <v>NA</v>
      </c>
      <c r="AU71" s="3" t="str">
        <f t="shared" ca="1" si="25"/>
        <v>NA</v>
      </c>
      <c r="AV71" s="395" t="str">
        <f t="shared" ca="1" si="26"/>
        <v>NA</v>
      </c>
      <c r="AW71"/>
      <c r="AX71"/>
      <c r="AY71" s="392"/>
      <c r="AZ71" s="3"/>
      <c r="BA71" s="2"/>
      <c r="BB71" s="3"/>
      <c r="BC71" s="2"/>
      <c r="BD71"/>
      <c r="BE71" s="26">
        <v>2</v>
      </c>
      <c r="BF71" t="str">
        <f ca="1">IFERROR(IF(INDEX($AX$58:$AX$1057,MATCH(BE62,$BA$58:$BA$1057,0))=0,"NA",INDEX($AX$58:$AX$1057,MATCH(BE62,$BA$58:$BA$1057,0))),"NA")</f>
        <v>NA</v>
      </c>
      <c r="BG71" s="3" t="str">
        <f t="shared" ca="1" si="27"/>
        <v>NA</v>
      </c>
      <c r="BH71" s="395" t="str">
        <f t="shared" ca="1" si="28"/>
        <v>NA</v>
      </c>
      <c r="BJ71" t="str">
        <f t="shared" si="11"/>
        <v>Bulgarian Lev</v>
      </c>
      <c r="BK71" s="403" t="s">
        <v>76</v>
      </c>
      <c r="BL71" s="404" t="s">
        <v>77</v>
      </c>
      <c r="BM71" s="404" t="s">
        <v>77</v>
      </c>
      <c r="BN71" s="405" t="s">
        <v>30</v>
      </c>
      <c r="BQ71" s="44" t="s">
        <v>4628</v>
      </c>
      <c r="BR71" s="44" t="s">
        <v>4629</v>
      </c>
    </row>
    <row r="72" spans="2:70" x14ac:dyDescent="0.2">
      <c r="D72" s="2" t="str">
        <f>VLOOKUP("Beta Selection",Language_Data,Lookup_Column,FALSE)&amp;" ►"</f>
        <v>Beta Selection ►</v>
      </c>
      <c r="F72" s="344" t="s">
        <v>4745</v>
      </c>
      <c r="G72" s="208"/>
      <c r="H72" s="208"/>
      <c r="J72" s="78">
        <f>J73-$F$66</f>
        <v>0.4</v>
      </c>
      <c r="K72" s="79">
        <v>9.311879210657914E-2</v>
      </c>
      <c r="L72" s="79">
        <v>9.4518792106579139E-2</v>
      </c>
      <c r="M72" s="79">
        <v>9.5918792106579137E-2</v>
      </c>
      <c r="N72" s="79">
        <v>9.7318792106579149E-2</v>
      </c>
      <c r="O72" s="79">
        <v>9.8718792106579148E-2</v>
      </c>
      <c r="P72" s="79">
        <v>0.10011879210657915</v>
      </c>
      <c r="Q72" s="79">
        <v>0.10151879210657914</v>
      </c>
      <c r="R72" s="79">
        <v>0.10291879210657914</v>
      </c>
      <c r="S72" s="80">
        <v>0.10431879210657916</v>
      </c>
      <c r="W72" s="17" t="s">
        <v>260</v>
      </c>
      <c r="X72" s="37" t="s">
        <v>292</v>
      </c>
      <c r="Y72" s="34" t="s">
        <v>4244</v>
      </c>
      <c r="Z72" s="334">
        <f t="shared" si="22"/>
        <v>46311.25</v>
      </c>
      <c r="AA72" s="20">
        <f>Independent_DCF_Inputs!$B$10*100</f>
        <v>30</v>
      </c>
      <c r="AC72" s="371">
        <f t="shared" si="19"/>
        <v>42659</v>
      </c>
      <c r="AD72" s="372">
        <f t="shared" si="20"/>
        <v>43024</v>
      </c>
      <c r="AE72" s="373" t="e" cm="1">
        <f t="array" aca="1" ref="AE72" ca="1">_xll.SNL.Clients.Office.Excel.Functions.SPG($AD$60,"SP_LASTSALEPRICE",AC72)</f>
        <v>#NAME?</v>
      </c>
      <c r="AF72" s="373" t="e" cm="1">
        <f t="array" aca="1" ref="AF72" ca="1">_xll.SNL.Clients.Office.Excel.Functions.SPG($AD$60,"SP_LASTSALEPRICE",AD72)</f>
        <v>#NAME?</v>
      </c>
      <c r="AG72" s="376" t="str">
        <f t="shared" ca="1" si="21"/>
        <v>NA</v>
      </c>
      <c r="AJ72" t="s">
        <v>4874</v>
      </c>
      <c r="AK72" s="392" t="e">
        <f t="shared" ca="1" si="12"/>
        <v>#NAME?</v>
      </c>
      <c r="AL72" s="392" t="e" cm="1">
        <f t="array" aca="1" ref="AL72" ca="1">IF(AJ72="","",_xll.SNL.Clients.Office.Excel.Functions.SPG(AJ72,"SPT_YTW",$L$15,"Options:NA=NA"))</f>
        <v>#NAME?</v>
      </c>
      <c r="AM72" s="392" t="e" cm="1">
        <f t="array" aca="1" ref="AM72" ca="1">IF(AJ72="","",_xll.SNL.Clients.Office.Excel.Functions.SPG(AJ72,"SPT_EOD_YTM_MID","EOD Close Price",$L$15,"Options:NA=NA"))</f>
        <v>#NAME?</v>
      </c>
      <c r="AN72" s="3" t="e" cm="1">
        <f t="array" aca="1" ref="AN72" ca="1">IF(OR(AJ72="",AK72="NA"),"",_xll.SNL.Clients.Office.Excel.Functions.SPG(AJ72,"SPT_ISSUE_DATE"))</f>
        <v>#NAME?</v>
      </c>
      <c r="AO72" s="2" t="e">
        <f ca="1">IF(OR($AJ72="",$AK72="NA",$AN72=""),"",RANK(AN72,$AN$58:$AN$1057)+COUNTIF($AN$58:AN72,AN72)-1)</f>
        <v>#NAME?</v>
      </c>
      <c r="AP72" s="3" t="e">
        <f t="shared" ca="1" si="13"/>
        <v>#NAME?</v>
      </c>
      <c r="AQ72" s="2" t="e">
        <f ca="1">IF(OR($AJ72="",$AK72="NA",$AP72=""),"",RANK(AP72,$AP$58:$AP$1057)+COUNTIF($AP$58:AP72,AP72)-1)</f>
        <v>#NAME?</v>
      </c>
      <c r="AS72" s="26">
        <v>3</v>
      </c>
      <c r="AT72" t="str">
        <f t="shared" ca="1" si="24"/>
        <v>NA</v>
      </c>
      <c r="AU72" s="3" t="str">
        <f t="shared" ca="1" si="25"/>
        <v>NA</v>
      </c>
      <c r="AV72" s="395" t="str">
        <f t="shared" ca="1" si="26"/>
        <v>NA</v>
      </c>
      <c r="AW72"/>
      <c r="AX72"/>
      <c r="AY72" s="392"/>
      <c r="AZ72" s="3"/>
      <c r="BA72" s="2"/>
      <c r="BB72" s="3"/>
      <c r="BC72" s="2"/>
      <c r="BD72"/>
      <c r="BE72" s="26">
        <v>3</v>
      </c>
      <c r="BF72" t="str">
        <f ca="1">IFERROR(IF(INDEX($AX$58:$AX$1057,MATCH(BE63,$BA$58:$BA$1057,0))=0,"NA",INDEX($AX$58:$AX$1057,MATCH(BE63,$BA$58:$BA$1057,0))),"NA")</f>
        <v>NA</v>
      </c>
      <c r="BG72" s="3" t="str">
        <f t="shared" ca="1" si="27"/>
        <v>NA</v>
      </c>
      <c r="BH72" s="395" t="str">
        <f t="shared" ca="1" si="28"/>
        <v>NA</v>
      </c>
      <c r="BJ72" t="str">
        <f t="shared" si="11"/>
        <v>Cambodian Riel</v>
      </c>
      <c r="BK72" s="403" t="s">
        <v>78</v>
      </c>
      <c r="BL72" s="404" t="s">
        <v>79</v>
      </c>
      <c r="BM72" s="404" t="s">
        <v>80</v>
      </c>
      <c r="BN72" s="405" t="s">
        <v>40</v>
      </c>
      <c r="BQ72" s="44" t="s">
        <v>387</v>
      </c>
      <c r="BR72" s="44" t="s">
        <v>4630</v>
      </c>
    </row>
    <row r="73" spans="2:70" x14ac:dyDescent="0.2">
      <c r="B73" s="7" t="str">
        <f>VLOOKUP("Multiplied by: ",Language_Data,Lookup_Column,FALSE)&amp;TEXT(AA75,"TTTTTT")&amp;IF(F72="Bottom-Up Beta",VLOOKUP(" Bottom-Up Beta",Language_Data,Lookup_Column,FALSE),VLOOKUP(" Regression Beta",Language_Data,Lookup_Column,FALSE))</f>
        <v>Multiplied by: BIMBO A-MX Regression Beta</v>
      </c>
      <c r="F73" s="4">
        <f>IF(Z34=1,Z35,$Z$36)</f>
        <v>0.86349256566022914</v>
      </c>
      <c r="G73" s="4"/>
      <c r="H73" s="4"/>
      <c r="J73" s="78">
        <f>J74-$F$66</f>
        <v>0.45</v>
      </c>
      <c r="K73" s="79">
        <v>8.8275559431030895E-2</v>
      </c>
      <c r="L73" s="79">
        <v>8.9850559431030902E-2</v>
      </c>
      <c r="M73" s="79">
        <v>9.1425559431030895E-2</v>
      </c>
      <c r="N73" s="79">
        <v>9.3000559431030888E-2</v>
      </c>
      <c r="O73" s="79">
        <v>9.4575559431030895E-2</v>
      </c>
      <c r="P73" s="79">
        <v>9.6150559431030902E-2</v>
      </c>
      <c r="Q73" s="79">
        <v>9.7725559431030895E-2</v>
      </c>
      <c r="R73" s="79">
        <v>9.9300559431030902E-2</v>
      </c>
      <c r="S73" s="80">
        <v>0.10087555943103091</v>
      </c>
      <c r="W73" s="17" t="s">
        <v>260</v>
      </c>
      <c r="X73" s="37" t="s">
        <v>292</v>
      </c>
      <c r="Y73" s="34" t="s">
        <v>4245</v>
      </c>
      <c r="Z73" s="334">
        <f t="shared" si="22"/>
        <v>46311.25</v>
      </c>
      <c r="AA73" s="20">
        <f>Independent_DCF_Inputs!$B$10*100</f>
        <v>30</v>
      </c>
      <c r="AJ73" t="s">
        <v>4876</v>
      </c>
      <c r="AK73" s="392" t="e">
        <f t="shared" ca="1" si="12"/>
        <v>#NAME?</v>
      </c>
      <c r="AL73" s="392" t="e" cm="1">
        <f t="array" aca="1" ref="AL73" ca="1">IF(AJ73="","",_xll.SNL.Clients.Office.Excel.Functions.SPG(AJ73,"SPT_YTW",$L$15,"Options:NA=NA"))</f>
        <v>#NAME?</v>
      </c>
      <c r="AM73" s="392" t="e" cm="1">
        <f t="array" aca="1" ref="AM73" ca="1">IF(AJ73="","",_xll.SNL.Clients.Office.Excel.Functions.SPG(AJ73,"SPT_EOD_YTM_MID","EOD Close Price",$L$15,"Options:NA=NA"))</f>
        <v>#NAME?</v>
      </c>
      <c r="AN73" s="3" t="e" cm="1">
        <f t="array" aca="1" ref="AN73" ca="1">IF(OR(AJ73="",AK73="NA"),"",_xll.SNL.Clients.Office.Excel.Functions.SPG(AJ73,"SPT_ISSUE_DATE"))</f>
        <v>#NAME?</v>
      </c>
      <c r="AO73" s="2" t="e">
        <f ca="1">IF(OR($AJ73="",$AK73="NA",$AN73=""),"",RANK(AN73,$AN$58:$AN$1057)+COUNTIF($AN$58:AN73,AN73)-1)</f>
        <v>#NAME?</v>
      </c>
      <c r="AP73" s="3" t="e">
        <f t="shared" ca="1" si="13"/>
        <v>#NAME?</v>
      </c>
      <c r="AQ73" s="2" t="e">
        <f ca="1">IF(OR($AJ73="",$AK73="NA",$AP73=""),"",RANK(AP73,$AP$58:$AP$1057)+COUNTIF($AP$58:AP73,AP73)-1)</f>
        <v>#NAME?</v>
      </c>
      <c r="AS73" s="26">
        <v>4</v>
      </c>
      <c r="AT73" t="str">
        <f t="shared" ca="1" si="24"/>
        <v>NA</v>
      </c>
      <c r="AU73" s="3" t="str">
        <f t="shared" ca="1" si="25"/>
        <v>NA</v>
      </c>
      <c r="AV73" s="395" t="str">
        <f t="shared" ca="1" si="26"/>
        <v>NA</v>
      </c>
      <c r="AW73"/>
      <c r="AX73"/>
      <c r="AY73" s="392"/>
      <c r="AZ73" s="3"/>
      <c r="BA73" s="2"/>
      <c r="BB73" s="3"/>
      <c r="BC73" s="2"/>
      <c r="BD73"/>
      <c r="BE73" s="26">
        <v>4</v>
      </c>
      <c r="BF73" t="str">
        <f ca="1">IFERROR(IF(INDEX($AX$58:$AX$1057,MATCH(BE64,$BA$58:$BA$1057,0))=0,"NA",INDEX($AX$58:$AX$1057,MATCH(BE64,$BA$58:$BA$1057,0))),"NA")</f>
        <v>NA</v>
      </c>
      <c r="BG73" s="3" t="str">
        <f t="shared" ca="1" si="27"/>
        <v>NA</v>
      </c>
      <c r="BH73" s="395" t="str">
        <f t="shared" ca="1" si="28"/>
        <v>NA</v>
      </c>
      <c r="BJ73" t="str">
        <f t="shared" si="11"/>
        <v>Canadian Dollar</v>
      </c>
      <c r="BK73" s="403" t="s">
        <v>81</v>
      </c>
      <c r="BL73" s="404" t="s">
        <v>82</v>
      </c>
      <c r="BM73" s="404" t="s">
        <v>83</v>
      </c>
      <c r="BN73" s="405" t="s">
        <v>30</v>
      </c>
      <c r="BQ73" s="44" t="s">
        <v>376</v>
      </c>
      <c r="BR73" s="44" t="s">
        <v>4631</v>
      </c>
    </row>
    <row r="74" spans="2:70" x14ac:dyDescent="0.2">
      <c r="B74" s="7" t="str">
        <f>VLOOKUP("Adjusted Market Risk Premium",Language_Data,Lookup_Column,FALSE)</f>
        <v>Adjusted Market Risk Premium</v>
      </c>
      <c r="F74" s="108">
        <f>IFERROR(F73*F71,0)</f>
        <v>3.6266687757729635E-2</v>
      </c>
      <c r="G74" s="108"/>
      <c r="H74" s="108"/>
      <c r="J74" s="102">
        <v>0.5</v>
      </c>
      <c r="K74" s="79">
        <v>8.3432326755482622E-2</v>
      </c>
      <c r="L74" s="79">
        <v>8.5182326755482624E-2</v>
      </c>
      <c r="M74" s="79">
        <v>8.6932326755482625E-2</v>
      </c>
      <c r="N74" s="79">
        <v>8.8682326755482627E-2</v>
      </c>
      <c r="O74" s="79">
        <v>9.0432326755482628E-2</v>
      </c>
      <c r="P74" s="79">
        <v>9.218232675548263E-2</v>
      </c>
      <c r="Q74" s="79">
        <v>9.3932326755482631E-2</v>
      </c>
      <c r="R74" s="79">
        <v>9.5682326755482633E-2</v>
      </c>
      <c r="S74" s="80">
        <v>9.7432326755482634E-2</v>
      </c>
      <c r="W74" s="17" t="s">
        <v>259</v>
      </c>
      <c r="X74" s="37" t="s">
        <v>296</v>
      </c>
      <c r="Y74" s="34" t="s">
        <v>4241</v>
      </c>
      <c r="Z74" s="334">
        <f t="shared" si="22"/>
        <v>46311.25</v>
      </c>
      <c r="AA74" s="20" t="s">
        <v>155</v>
      </c>
      <c r="AJ74" t="s">
        <v>5489</v>
      </c>
      <c r="AK74" s="392" t="e">
        <f t="shared" ca="1" si="12"/>
        <v>#NAME?</v>
      </c>
      <c r="AL74" s="392" t="e" cm="1">
        <f t="array" aca="1" ref="AL74" ca="1">IF(AJ74="","",_xll.SNL.Clients.Office.Excel.Functions.SPG(AJ74,"SPT_YTW",$L$15,"Options:NA=NA"))</f>
        <v>#NAME?</v>
      </c>
      <c r="AM74" s="392" t="e" cm="1">
        <f t="array" aca="1" ref="AM74" ca="1">IF(AJ74="","",_xll.SNL.Clients.Office.Excel.Functions.SPG(AJ74,"SPT_EOD_YTM_MID","EOD Close Price",$L$15,"Options:NA=NA"))</f>
        <v>#NAME?</v>
      </c>
      <c r="AN74" s="3" t="e" cm="1">
        <f t="array" aca="1" ref="AN74" ca="1">IF(OR(AJ74="",AK74="NA"),"",_xll.SNL.Clients.Office.Excel.Functions.SPG(AJ74,"SPT_ISSUE_DATE"))</f>
        <v>#NAME?</v>
      </c>
      <c r="AO74" s="2" t="e">
        <f ca="1">IF(OR($AJ74="",$AK74="NA",$AN74=""),"",RANK(AN74,$AN$58:$AN$1057)+COUNTIF($AN$58:AN74,AN74)-1)</f>
        <v>#NAME?</v>
      </c>
      <c r="AP74" s="3" t="e">
        <f t="shared" ca="1" si="13"/>
        <v>#NAME?</v>
      </c>
      <c r="AQ74" s="2" t="e">
        <f ca="1">IF(OR($AJ74="",$AK74="NA",$AP74=""),"",RANK(AP74,$AP$58:$AP$1057)+COUNTIF($AP$58:AP74,AP74)-1)</f>
        <v>#NAME?</v>
      </c>
      <c r="AS74" s="14">
        <v>5</v>
      </c>
      <c r="AT74" s="15" t="str">
        <f t="shared" ca="1" si="24"/>
        <v>NA</v>
      </c>
      <c r="AU74" s="396" t="str">
        <f t="shared" ca="1" si="25"/>
        <v>NA</v>
      </c>
      <c r="AV74" s="397" t="str">
        <f t="shared" ca="1" si="26"/>
        <v>NA</v>
      </c>
      <c r="AW74"/>
      <c r="AX74"/>
      <c r="AY74" s="392"/>
      <c r="AZ74" s="3"/>
      <c r="BA74" s="2"/>
      <c r="BB74" s="3"/>
      <c r="BC74" s="2"/>
      <c r="BD74"/>
      <c r="BE74" s="14">
        <v>5</v>
      </c>
      <c r="BF74" s="15" t="str">
        <f ca="1">IFERROR(IF(INDEX($AX$58:$AX$1057,MATCH(BE65,$BA$58:$BA$1057,0))=0,"NA",INDEX($AX$58:$AX$1057,MATCH(BE65,$BA$58:$BA$1057,0))),"NA")</f>
        <v>NA</v>
      </c>
      <c r="BG74" s="396" t="str">
        <f t="shared" ca="1" si="27"/>
        <v>NA</v>
      </c>
      <c r="BH74" s="397" t="str">
        <f t="shared" ca="1" si="28"/>
        <v>NA</v>
      </c>
      <c r="BJ74" t="str">
        <f t="shared" si="11"/>
        <v>Chilean Peso</v>
      </c>
      <c r="BK74" s="403" t="s">
        <v>84</v>
      </c>
      <c r="BL74" s="404" t="s">
        <v>85</v>
      </c>
      <c r="BM74" s="404" t="s">
        <v>86</v>
      </c>
      <c r="BN74" s="405" t="s">
        <v>40</v>
      </c>
      <c r="BQ74" s="44" t="s">
        <v>385</v>
      </c>
      <c r="BR74" s="44" t="s">
        <v>4632</v>
      </c>
    </row>
    <row r="75" spans="2:70" x14ac:dyDescent="0.2">
      <c r="B75" s="7" t="str">
        <f>VLOOKUP("Add: Risk-Free Rate of Return (Rf)(1)",Language_Data,Lookup_Column,FALSE)</f>
        <v>Add: Risk-Free Rate of Return (Rf)(1)</v>
      </c>
      <c r="F75" s="108">
        <f>F51</f>
        <v>7.5101187761694194E-2</v>
      </c>
      <c r="G75" s="108"/>
      <c r="H75" s="108"/>
      <c r="J75" s="78">
        <f>J74+$F$66</f>
        <v>0.55000000000000004</v>
      </c>
      <c r="K75" s="79">
        <v>7.8589094079934349E-2</v>
      </c>
      <c r="L75" s="79">
        <v>8.0514094079934359E-2</v>
      </c>
      <c r="M75" s="79">
        <v>8.2439094079934355E-2</v>
      </c>
      <c r="N75" s="79">
        <v>8.4364094079934351E-2</v>
      </c>
      <c r="O75" s="79">
        <v>8.6289094079934348E-2</v>
      </c>
      <c r="P75" s="79">
        <v>8.8214094079934358E-2</v>
      </c>
      <c r="Q75" s="79">
        <v>9.0139094079934368E-2</v>
      </c>
      <c r="R75" s="79">
        <v>9.2064094079934364E-2</v>
      </c>
      <c r="S75" s="80">
        <v>9.398909407993436E-2</v>
      </c>
      <c r="W75" s="17" t="s">
        <v>272</v>
      </c>
      <c r="X75" s="37" t="s">
        <v>293</v>
      </c>
      <c r="Y75" s="34"/>
      <c r="Z75" s="39"/>
      <c r="AA75" s="20" t="s">
        <v>5611</v>
      </c>
      <c r="AF75" s="5">
        <f>L15</f>
        <v>46311.25</v>
      </c>
      <c r="AG75" s="5">
        <f>AF75-1</f>
        <v>46310.25</v>
      </c>
      <c r="AH75" s="5">
        <f>AG75-1</f>
        <v>46309.25</v>
      </c>
      <c r="AJ75" t="s">
        <v>5488</v>
      </c>
      <c r="AK75" s="392" t="e">
        <f t="shared" ca="1" si="12"/>
        <v>#NAME?</v>
      </c>
      <c r="AL75" s="392" t="e" cm="1">
        <f t="array" aca="1" ref="AL75" ca="1">IF(AJ75="","",_xll.SNL.Clients.Office.Excel.Functions.SPG(AJ75,"SPT_YTW",$L$15,"Options:NA=NA"))</f>
        <v>#NAME?</v>
      </c>
      <c r="AM75" s="392" t="e" cm="1">
        <f t="array" aca="1" ref="AM75" ca="1">IF(AJ75="","",_xll.SNL.Clients.Office.Excel.Functions.SPG(AJ75,"SPT_EOD_YTM_MID","EOD Close Price",$L$15,"Options:NA=NA"))</f>
        <v>#NAME?</v>
      </c>
      <c r="AN75" s="3" t="e" cm="1">
        <f t="array" aca="1" ref="AN75" ca="1">IF(OR(AJ75="",AK75="NA"),"",_xll.SNL.Clients.Office.Excel.Functions.SPG(AJ75,"SPT_ISSUE_DATE"))</f>
        <v>#NAME?</v>
      </c>
      <c r="AO75" s="2" t="e">
        <f ca="1">IF(OR($AJ75="",$AK75="NA",$AN75=""),"",RANK(AN75,$AN$58:$AN$1057)+COUNTIF($AN$58:AN75,AN75)-1)</f>
        <v>#NAME?</v>
      </c>
      <c r="AP75" s="3" t="e">
        <f t="shared" ca="1" si="13"/>
        <v>#NAME?</v>
      </c>
      <c r="AQ75" s="2" t="e">
        <f ca="1">IF(OR($AJ75="",$AK75="NA",$AP75=""),"",RANK(AP75,$AP$58:$AP$1057)+COUNTIF($AP$58:AP75,AP75)-1)</f>
        <v>#NAME?</v>
      </c>
      <c r="AU75"/>
      <c r="AV75"/>
      <c r="AW75"/>
      <c r="AX75"/>
      <c r="AY75" s="392"/>
      <c r="AZ75" s="3"/>
      <c r="BA75" s="2"/>
      <c r="BB75" s="3"/>
      <c r="BC75" s="2"/>
      <c r="BD75"/>
      <c r="BE75"/>
      <c r="BF75"/>
      <c r="BG75"/>
      <c r="BH75"/>
      <c r="BJ75" t="str">
        <f t="shared" si="11"/>
        <v>Chinese Yuan Renminbi</v>
      </c>
      <c r="BK75" s="403" t="s">
        <v>87</v>
      </c>
      <c r="BL75" s="404" t="s">
        <v>88</v>
      </c>
      <c r="BM75" s="404" t="s">
        <v>89</v>
      </c>
      <c r="BN75" s="405" t="s">
        <v>30</v>
      </c>
      <c r="BQ75" s="44" t="s">
        <v>324</v>
      </c>
      <c r="BR75" s="44" t="s">
        <v>4633</v>
      </c>
    </row>
    <row r="76" spans="2:70" x14ac:dyDescent="0.2">
      <c r="B76" s="7" t="str">
        <f>VLOOKUP("Add: Size Premium",Language_Data,Lookup_Column,FALSE)</f>
        <v>Add: Size Premium</v>
      </c>
      <c r="F76" s="108">
        <f>F58</f>
        <v>2.0496777991541402E-2</v>
      </c>
      <c r="G76" s="108"/>
      <c r="H76" s="108"/>
      <c r="J76" s="78">
        <f>J75+$F$66</f>
        <v>0.60000000000000009</v>
      </c>
      <c r="K76" s="79">
        <v>7.374586140438609E-2</v>
      </c>
      <c r="L76" s="79">
        <v>7.5845861404386095E-2</v>
      </c>
      <c r="M76" s="79">
        <v>7.7945861404386085E-2</v>
      </c>
      <c r="N76" s="79">
        <v>8.004586140438609E-2</v>
      </c>
      <c r="O76" s="79">
        <v>8.2145861404386095E-2</v>
      </c>
      <c r="P76" s="79">
        <v>8.4245861404386085E-2</v>
      </c>
      <c r="Q76" s="79">
        <v>8.6345861404386104E-2</v>
      </c>
      <c r="R76" s="79">
        <v>8.8445861404386095E-2</v>
      </c>
      <c r="S76" s="80">
        <v>9.0545861404386099E-2</v>
      </c>
      <c r="W76" s="17" t="s">
        <v>274</v>
      </c>
      <c r="X76" s="37" t="s">
        <v>294</v>
      </c>
      <c r="Y76" s="34"/>
      <c r="Z76" s="39"/>
      <c r="AA76" s="20" t="s">
        <v>5612</v>
      </c>
      <c r="AC76" s="23" t="s">
        <v>4444</v>
      </c>
      <c r="AD76" s="377" t="e">
        <f t="shared" ref="AD76:AD139" ca="1" si="29">IF(AF76&lt;&gt;"NA",AF76,IF(AG76&lt;&gt;"NA",AG76,AH76))</f>
        <v>#NAME?</v>
      </c>
      <c r="AE76" s="361" t="s">
        <v>4445</v>
      </c>
      <c r="AF76" s="378" t="e" cm="1">
        <f t="array" aca="1" ref="AF76" ca="1">_xll.SNL.Clients.Office.Excel.Functions.SPG($AE76, "SP_RATE_VALUE",AF$75,"Options:NA=NA")</f>
        <v>#NAME?</v>
      </c>
      <c r="AG76" s="378" t="e" cm="1">
        <f t="array" aca="1" ref="AG76" ca="1">_xll.SNL.Clients.Office.Excel.Functions.SPG($AE76, "SP_RATE_VALUE",AG$75,"Options:NA=NA")</f>
        <v>#NAME?</v>
      </c>
      <c r="AH76" s="379" t="e" cm="1">
        <f t="array" aca="1" ref="AH76" ca="1">_xll.SNL.Clients.Office.Excel.Functions.SPG($AE76, "SP_RATE_VALUE",AH$75,"Options:NA=NA")</f>
        <v>#NAME?</v>
      </c>
      <c r="AJ76" t="s">
        <v>4878</v>
      </c>
      <c r="AK76" s="392" t="e">
        <f t="shared" ca="1" si="12"/>
        <v>#NAME?</v>
      </c>
      <c r="AL76" s="392" t="e" cm="1">
        <f t="array" aca="1" ref="AL76" ca="1">IF(AJ76="","",_xll.SNL.Clients.Office.Excel.Functions.SPG(AJ76,"SPT_YTW",$L$15,"Options:NA=NA"))</f>
        <v>#NAME?</v>
      </c>
      <c r="AM76" s="392" t="e" cm="1">
        <f t="array" aca="1" ref="AM76" ca="1">IF(AJ76="","",_xll.SNL.Clients.Office.Excel.Functions.SPG(AJ76,"SPT_EOD_YTM_MID","EOD Close Price",$L$15,"Options:NA=NA"))</f>
        <v>#NAME?</v>
      </c>
      <c r="AN76" s="3" t="e" cm="1">
        <f t="array" aca="1" ref="AN76" ca="1">IF(OR(AJ76="",AK76="NA"),"",_xll.SNL.Clients.Office.Excel.Functions.SPG(AJ76,"SPT_ISSUE_DATE"))</f>
        <v>#NAME?</v>
      </c>
      <c r="AO76" s="2" t="e">
        <f ca="1">IF(OR($AJ76="",$AK76="NA",$AN76=""),"",RANK(AN76,$AN$58:$AN$1057)+COUNTIF($AN$58:AN76,AN76)-1)</f>
        <v>#NAME?</v>
      </c>
      <c r="AP76" s="3" t="e">
        <f t="shared" ca="1" si="13"/>
        <v>#NAME?</v>
      </c>
      <c r="AQ76" s="2" t="e">
        <f ca="1">IF(OR($AJ76="",$AK76="NA",$AP76=""),"",RANK(AP76,$AP$58:$AP$1057)+COUNTIF($AP$58:AP76,AP76)-1)</f>
        <v>#NAME?</v>
      </c>
      <c r="AU76"/>
      <c r="AV76"/>
      <c r="AW76"/>
      <c r="AX76"/>
      <c r="AY76" s="392"/>
      <c r="AZ76" s="3"/>
      <c r="BA76" s="2"/>
      <c r="BB76" s="3"/>
      <c r="BC76" s="2"/>
      <c r="BD76"/>
      <c r="BE76"/>
      <c r="BF76"/>
      <c r="BG76"/>
      <c r="BH76"/>
      <c r="BJ76" t="str">
        <f t="shared" si="11"/>
        <v>Colombian Peso</v>
      </c>
      <c r="BK76" s="403" t="s">
        <v>90</v>
      </c>
      <c r="BL76" s="404" t="s">
        <v>91</v>
      </c>
      <c r="BM76" s="404" t="s">
        <v>92</v>
      </c>
      <c r="BN76" s="405" t="s">
        <v>40</v>
      </c>
      <c r="BQ76" s="44" t="s">
        <v>331</v>
      </c>
      <c r="BR76" s="44" t="s">
        <v>4634</v>
      </c>
    </row>
    <row r="77" spans="2:70" x14ac:dyDescent="0.2">
      <c r="B77" s="8" t="str">
        <f>VLOOKUP("Cost of Equity",Language_Data,Lookup_Column,FALSE)</f>
        <v>Cost of Equity</v>
      </c>
      <c r="F77" s="108">
        <f>SUM(F74,F75,F76)</f>
        <v>0.13186465351096524</v>
      </c>
      <c r="G77" s="108"/>
      <c r="H77" s="108"/>
      <c r="J77" s="78">
        <f>J76+$F$66</f>
        <v>0.65000000000000013</v>
      </c>
      <c r="K77" s="79">
        <v>6.8902628728837817E-2</v>
      </c>
      <c r="L77" s="79">
        <v>7.1177628728837816E-2</v>
      </c>
      <c r="M77" s="79">
        <v>7.3452628728837815E-2</v>
      </c>
      <c r="N77" s="79">
        <v>7.5727628728837815E-2</v>
      </c>
      <c r="O77" s="79">
        <v>7.8002628728837828E-2</v>
      </c>
      <c r="P77" s="79">
        <v>8.0277628728837827E-2</v>
      </c>
      <c r="Q77" s="79">
        <v>8.255262872883784E-2</v>
      </c>
      <c r="R77" s="79">
        <v>8.4827628728837839E-2</v>
      </c>
      <c r="S77" s="80">
        <v>8.7102628728837839E-2</v>
      </c>
      <c r="W77" s="44" t="s">
        <v>275</v>
      </c>
      <c r="X77" s="37" t="s">
        <v>295</v>
      </c>
      <c r="Y77" s="34"/>
      <c r="Z77" s="39"/>
      <c r="AA77" s="266" t="s">
        <v>5605</v>
      </c>
      <c r="AC77" s="26" t="s">
        <v>4446</v>
      </c>
      <c r="AD77" s="380" t="e">
        <f t="shared" ca="1" si="29"/>
        <v>#NAME?</v>
      </c>
      <c r="AE77" s="381" t="s">
        <v>4447</v>
      </c>
      <c r="AF77" s="382" t="e" cm="1">
        <f t="array" aca="1" ref="AF77" ca="1">_xll.SNL.Clients.Office.Excel.Functions.SPG($AE77, "SP_RATE_VALUE",AF$75,"Options:NA=NA")</f>
        <v>#NAME?</v>
      </c>
      <c r="AG77" s="382" t="e" cm="1">
        <f t="array" aca="1" ref="AG77" ca="1">_xll.SNL.Clients.Office.Excel.Functions.SPG($AE77, "SP_RATE_VALUE",AG$75,"Options:NA=NA")</f>
        <v>#NAME?</v>
      </c>
      <c r="AH77" s="383" t="e" cm="1">
        <f t="array" aca="1" ref="AH77" ca="1">_xll.SNL.Clients.Office.Excel.Functions.SPG($AE77, "SP_RATE_VALUE",AH$75,"Options:NA=NA")</f>
        <v>#NAME?</v>
      </c>
      <c r="AJ77" t="s">
        <v>4879</v>
      </c>
      <c r="AK77" s="392" t="e">
        <f t="shared" ca="1" si="12"/>
        <v>#NAME?</v>
      </c>
      <c r="AL77" s="392" t="e" cm="1">
        <f t="array" aca="1" ref="AL77" ca="1">IF(AJ77="","",_xll.SNL.Clients.Office.Excel.Functions.SPG(AJ77,"SPT_YTW",$L$15,"Options:NA=NA"))</f>
        <v>#NAME?</v>
      </c>
      <c r="AM77" s="392" t="e" cm="1">
        <f t="array" aca="1" ref="AM77" ca="1">IF(AJ77="","",_xll.SNL.Clients.Office.Excel.Functions.SPG(AJ77,"SPT_EOD_YTM_MID","EOD Close Price",$L$15,"Options:NA=NA"))</f>
        <v>#NAME?</v>
      </c>
      <c r="AN77" s="3" t="e" cm="1">
        <f t="array" aca="1" ref="AN77" ca="1">IF(OR(AJ77="",AK77="NA"),"",_xll.SNL.Clients.Office.Excel.Functions.SPG(AJ77,"SPT_ISSUE_DATE"))</f>
        <v>#NAME?</v>
      </c>
      <c r="AO77" s="2" t="e">
        <f ca="1">IF(OR($AJ77="",$AK77="NA",$AN77=""),"",RANK(AN77,$AN$58:$AN$1057)+COUNTIF($AN$58:AN77,AN77)-1)</f>
        <v>#NAME?</v>
      </c>
      <c r="AP77" s="3" t="e">
        <f t="shared" ca="1" si="13"/>
        <v>#NAME?</v>
      </c>
      <c r="AQ77" s="2" t="e">
        <f ca="1">IF(OR($AJ77="",$AK77="NA",$AP77=""),"",RANK(AP77,$AP$58:$AP$1057)+COUNTIF($AP$58:AP77,AP77)-1)</f>
        <v>#NAME?</v>
      </c>
      <c r="AU77"/>
      <c r="AV77"/>
      <c r="AW77"/>
      <c r="AX77"/>
      <c r="AY77" s="392"/>
      <c r="AZ77" s="3"/>
      <c r="BA77" s="2"/>
      <c r="BB77" s="3"/>
      <c r="BC77" s="2"/>
      <c r="BD77"/>
      <c r="BE77"/>
      <c r="BF77"/>
      <c r="BG77"/>
      <c r="BH77"/>
      <c r="BJ77" t="str">
        <f t="shared" si="11"/>
        <v>Costa Rican Colon</v>
      </c>
      <c r="BK77" s="403" t="s">
        <v>93</v>
      </c>
      <c r="BL77" s="404" t="s">
        <v>94</v>
      </c>
      <c r="BM77" s="404" t="s">
        <v>95</v>
      </c>
      <c r="BN77" s="405" t="s">
        <v>30</v>
      </c>
      <c r="BQ77" s="44" t="s">
        <v>358</v>
      </c>
      <c r="BR77" s="44" t="s">
        <v>4635</v>
      </c>
    </row>
    <row r="78" spans="2:70" x14ac:dyDescent="0.2">
      <c r="B78" s="7" t="str">
        <f>VLOOKUP("Multiplied by: ",Language_Data,Lookup_Column,FALSE)&amp;AA75&amp;" - "&amp;VLOOKUP("E/(D+P+E)",Language_Data,Lookup_Column,FALSE)</f>
        <v>Multiplied by: BIMBO A-MX - E/(D+P+E)</v>
      </c>
      <c r="F78" s="107">
        <f>IFERROR(1-F84-F88,"NA")</f>
        <v>0.56362931734270305</v>
      </c>
      <c r="G78" s="251"/>
      <c r="H78" s="251"/>
      <c r="I78" s="209"/>
      <c r="J78" s="81"/>
      <c r="K78" s="69"/>
      <c r="L78" s="69"/>
      <c r="M78" s="69"/>
      <c r="N78" s="82"/>
      <c r="O78" s="69"/>
      <c r="P78" s="69"/>
      <c r="Q78" s="69"/>
      <c r="R78" s="69"/>
      <c r="S78" s="83"/>
      <c r="W78" s="44" t="s">
        <v>520</v>
      </c>
      <c r="X78" s="37" t="s">
        <v>519</v>
      </c>
      <c r="AA78" s="44" t="s">
        <v>5613</v>
      </c>
      <c r="AC78" s="26" t="s">
        <v>4448</v>
      </c>
      <c r="AD78" s="380" t="e">
        <f t="shared" ca="1" si="29"/>
        <v>#NAME?</v>
      </c>
      <c r="AE78" s="381" t="s">
        <v>4449</v>
      </c>
      <c r="AF78" s="382" t="e" cm="1">
        <f t="array" aca="1" ref="AF78" ca="1">_xll.SNL.Clients.Office.Excel.Functions.SPG($AE78, "SP_RATE_VALUE",AF$75,"Options:NA=NA")</f>
        <v>#NAME?</v>
      </c>
      <c r="AG78" s="382" t="e" cm="1">
        <f t="array" aca="1" ref="AG78" ca="1">_xll.SNL.Clients.Office.Excel.Functions.SPG($AE78, "SP_RATE_VALUE",AG$75,"Options:NA=NA")</f>
        <v>#NAME?</v>
      </c>
      <c r="AH78" s="383" t="e" cm="1">
        <f t="array" aca="1" ref="AH78" ca="1">_xll.SNL.Clients.Office.Excel.Functions.SPG($AE78, "SP_RATE_VALUE",AH$75,"Options:NA=NA")</f>
        <v>#NAME?</v>
      </c>
      <c r="AJ78" t="s">
        <v>4880</v>
      </c>
      <c r="AK78" s="392" t="e">
        <f t="shared" ca="1" si="12"/>
        <v>#NAME?</v>
      </c>
      <c r="AL78" s="392" t="e" cm="1">
        <f t="array" aca="1" ref="AL78" ca="1">IF(AJ78="","",_xll.SNL.Clients.Office.Excel.Functions.SPG(AJ78,"SPT_YTW",$L$15,"Options:NA=NA"))</f>
        <v>#NAME?</v>
      </c>
      <c r="AM78" s="392" t="e" cm="1">
        <f t="array" aca="1" ref="AM78" ca="1">IF(AJ78="","",_xll.SNL.Clients.Office.Excel.Functions.SPG(AJ78,"SPT_EOD_YTM_MID","EOD Close Price",$L$15,"Options:NA=NA"))</f>
        <v>#NAME?</v>
      </c>
      <c r="AN78" s="3" t="e" cm="1">
        <f t="array" aca="1" ref="AN78" ca="1">IF(OR(AJ78="",AK78="NA"),"",_xll.SNL.Clients.Office.Excel.Functions.SPG(AJ78,"SPT_ISSUE_DATE"))</f>
        <v>#NAME?</v>
      </c>
      <c r="AO78" s="2" t="e">
        <f ca="1">IF(OR($AJ78="",$AK78="NA",$AN78=""),"",RANK(AN78,$AN$58:$AN$1057)+COUNTIF($AN$58:AN78,AN78)-1)</f>
        <v>#NAME?</v>
      </c>
      <c r="AP78" s="3" t="e">
        <f t="shared" ca="1" si="13"/>
        <v>#NAME?</v>
      </c>
      <c r="AQ78" s="2" t="e">
        <f ca="1">IF(OR($AJ78="",$AK78="NA",$AP78=""),"",RANK(AP78,$AP$58:$AP$1057)+COUNTIF($AP$58:AP78,AP78)-1)</f>
        <v>#NAME?</v>
      </c>
      <c r="AU78"/>
      <c r="AV78"/>
      <c r="AW78"/>
      <c r="AX78"/>
      <c r="AY78" s="392"/>
      <c r="AZ78" s="3"/>
      <c r="BA78" s="2"/>
      <c r="BB78" s="3"/>
      <c r="BC78" s="2"/>
      <c r="BD78"/>
      <c r="BE78"/>
      <c r="BF78"/>
      <c r="BG78"/>
      <c r="BH78"/>
      <c r="BJ78" t="str">
        <f t="shared" si="11"/>
        <v>Croatian Kuna</v>
      </c>
      <c r="BK78" s="403" t="s">
        <v>96</v>
      </c>
      <c r="BL78" s="404" t="s">
        <v>97</v>
      </c>
      <c r="BM78" s="404" t="s">
        <v>98</v>
      </c>
      <c r="BN78" s="405" t="s">
        <v>30</v>
      </c>
      <c r="BQ78" s="44" t="s">
        <v>391</v>
      </c>
      <c r="BR78" s="44" t="s">
        <v>4636</v>
      </c>
    </row>
    <row r="79" spans="2:70" x14ac:dyDescent="0.2">
      <c r="B79" s="42" t="str">
        <f>VLOOKUP("Cost of Equity Portion",Language_Data,Lookup_Column,FALSE)</f>
        <v>Cost of Equity Portion</v>
      </c>
      <c r="C79" s="207"/>
      <c r="D79" s="207"/>
      <c r="E79" s="207"/>
      <c r="F79" s="110">
        <f>ES_1*ES_2</f>
        <v>7.4322784640017403E-2</v>
      </c>
      <c r="G79" s="108"/>
      <c r="H79" s="108"/>
      <c r="J79" s="7"/>
      <c r="K79" s="7"/>
      <c r="L79" s="7"/>
      <c r="M79" s="7"/>
      <c r="N79" s="7"/>
      <c r="O79" s="7"/>
      <c r="P79" s="7"/>
      <c r="Q79" s="7"/>
      <c r="R79" s="7"/>
      <c r="S79" s="7"/>
      <c r="W79" s="309" t="s">
        <v>710</v>
      </c>
      <c r="X79" s="267" t="s">
        <v>708</v>
      </c>
      <c r="Y79" s="15"/>
      <c r="Z79" s="15"/>
      <c r="AA79" s="18" t="s">
        <v>685</v>
      </c>
      <c r="AC79" s="26" t="s">
        <v>4450</v>
      </c>
      <c r="AD79" s="380" t="e">
        <f t="shared" ca="1" si="29"/>
        <v>#NAME?</v>
      </c>
      <c r="AE79" s="381" t="s">
        <v>4451</v>
      </c>
      <c r="AF79" s="382" t="e" cm="1">
        <f t="array" aca="1" ref="AF79" ca="1">_xll.SNL.Clients.Office.Excel.Functions.SPG($AE79, "SP_RATE_VALUE",AF$75,"Options:NA=NA")</f>
        <v>#NAME?</v>
      </c>
      <c r="AG79" s="382" t="e" cm="1">
        <f t="array" aca="1" ref="AG79" ca="1">_xll.SNL.Clients.Office.Excel.Functions.SPG($AE79, "SP_RATE_VALUE",AG$75,"Options:NA=NA")</f>
        <v>#NAME?</v>
      </c>
      <c r="AH79" s="383" t="e" cm="1">
        <f t="array" aca="1" ref="AH79" ca="1">_xll.SNL.Clients.Office.Excel.Functions.SPG($AE79, "SP_RATE_VALUE",AH$75,"Options:NA=NA")</f>
        <v>#NAME?</v>
      </c>
      <c r="AJ79" t="s">
        <v>4881</v>
      </c>
      <c r="AK79" s="392" t="e">
        <f t="shared" ca="1" si="12"/>
        <v>#NAME?</v>
      </c>
      <c r="AL79" s="392" t="e" cm="1">
        <f t="array" aca="1" ref="AL79" ca="1">IF(AJ79="","",_xll.SNL.Clients.Office.Excel.Functions.SPG(AJ79,"SPT_YTW",$L$15,"Options:NA=NA"))</f>
        <v>#NAME?</v>
      </c>
      <c r="AM79" s="392" t="e" cm="1">
        <f t="array" aca="1" ref="AM79" ca="1">IF(AJ79="","",_xll.SNL.Clients.Office.Excel.Functions.SPG(AJ79,"SPT_EOD_YTM_MID","EOD Close Price",$L$15,"Options:NA=NA"))</f>
        <v>#NAME?</v>
      </c>
      <c r="AN79" s="3" t="e" cm="1">
        <f t="array" aca="1" ref="AN79" ca="1">IF(OR(AJ79="",AK79="NA"),"",_xll.SNL.Clients.Office.Excel.Functions.SPG(AJ79,"SPT_ISSUE_DATE"))</f>
        <v>#NAME?</v>
      </c>
      <c r="AO79" s="2" t="e">
        <f ca="1">IF(OR($AJ79="",$AK79="NA",$AN79=""),"",RANK(AN79,$AN$58:$AN$1057)+COUNTIF($AN$58:AN79,AN79)-1)</f>
        <v>#NAME?</v>
      </c>
      <c r="AP79" s="3" t="e">
        <f t="shared" ca="1" si="13"/>
        <v>#NAME?</v>
      </c>
      <c r="AQ79" s="2" t="e">
        <f ca="1">IF(OR($AJ79="",$AK79="NA",$AP79=""),"",RANK(AP79,$AP$58:$AP$1057)+COUNTIF($AP$58:AP79,AP79)-1)</f>
        <v>#NAME?</v>
      </c>
      <c r="AU79"/>
      <c r="AV79"/>
      <c r="AW79"/>
      <c r="AX79"/>
      <c r="AY79" s="392"/>
      <c r="AZ79" s="3"/>
      <c r="BA79" s="2"/>
      <c r="BB79" s="3"/>
      <c r="BC79" s="2"/>
      <c r="BD79"/>
      <c r="BE79"/>
      <c r="BF79"/>
      <c r="BG79"/>
      <c r="BH79"/>
      <c r="BJ79" t="str">
        <f t="shared" si="11"/>
        <v>Czech Koruna</v>
      </c>
      <c r="BK79" s="403" t="s">
        <v>99</v>
      </c>
      <c r="BL79" s="404" t="s">
        <v>100</v>
      </c>
      <c r="BM79" s="404" t="s">
        <v>101</v>
      </c>
      <c r="BN79" s="405" t="s">
        <v>30</v>
      </c>
      <c r="BQ79" s="44" t="s">
        <v>4637</v>
      </c>
      <c r="BR79" s="44" t="s">
        <v>4638</v>
      </c>
    </row>
    <row r="80" spans="2:70" x14ac:dyDescent="0.2">
      <c r="B80" s="7"/>
      <c r="F80" s="2"/>
      <c r="G80" s="2"/>
      <c r="H80" s="2"/>
      <c r="J80" s="92" t="str">
        <f>VLOOKUP("WACC SENSITIVITY ANALYSIS",Language_Data,Lookup_Column,FALSE)</f>
        <v>WACC SENSITIVITY ANALYSIS</v>
      </c>
      <c r="K80" s="93"/>
      <c r="L80" s="93"/>
      <c r="M80" s="93"/>
      <c r="N80" s="94"/>
      <c r="O80" s="94"/>
      <c r="P80" s="94"/>
      <c r="Q80" s="94"/>
      <c r="R80" s="94"/>
      <c r="S80" s="95"/>
      <c r="AC80" s="26" t="s">
        <v>4452</v>
      </c>
      <c r="AD80" s="380" t="e">
        <f t="shared" ca="1" si="29"/>
        <v>#NAME?</v>
      </c>
      <c r="AE80" s="381" t="s">
        <v>4453</v>
      </c>
      <c r="AF80" s="382" t="e" cm="1">
        <f t="array" aca="1" ref="AF80" ca="1">_xll.SNL.Clients.Office.Excel.Functions.SPG($AE80, "SP_RATE_VALUE",AF$75,"Options:NA=NA")</f>
        <v>#NAME?</v>
      </c>
      <c r="AG80" s="382" t="e" cm="1">
        <f t="array" aca="1" ref="AG80" ca="1">_xll.SNL.Clients.Office.Excel.Functions.SPG($AE80, "SP_RATE_VALUE",AG$75,"Options:NA=NA")</f>
        <v>#NAME?</v>
      </c>
      <c r="AH80" s="383" t="e" cm="1">
        <f t="array" aca="1" ref="AH80" ca="1">_xll.SNL.Clients.Office.Excel.Functions.SPG($AE80, "SP_RATE_VALUE",AH$75,"Options:NA=NA")</f>
        <v>#NAME?</v>
      </c>
      <c r="AJ80" t="s">
        <v>4882</v>
      </c>
      <c r="AK80" s="392" t="e">
        <f t="shared" ca="1" si="12"/>
        <v>#NAME?</v>
      </c>
      <c r="AL80" s="392" t="e" cm="1">
        <f t="array" aca="1" ref="AL80" ca="1">IF(AJ80="","",_xll.SNL.Clients.Office.Excel.Functions.SPG(AJ80,"SPT_YTW",$L$15,"Options:NA=NA"))</f>
        <v>#NAME?</v>
      </c>
      <c r="AM80" s="392" t="e" cm="1">
        <f t="array" aca="1" ref="AM80" ca="1">IF(AJ80="","",_xll.SNL.Clients.Office.Excel.Functions.SPG(AJ80,"SPT_EOD_YTM_MID","EOD Close Price",$L$15,"Options:NA=NA"))</f>
        <v>#NAME?</v>
      </c>
      <c r="AN80" s="3" t="e" cm="1">
        <f t="array" aca="1" ref="AN80" ca="1">IF(OR(AJ80="",AK80="NA"),"",_xll.SNL.Clients.Office.Excel.Functions.SPG(AJ80,"SPT_ISSUE_DATE"))</f>
        <v>#NAME?</v>
      </c>
      <c r="AO80" s="2" t="e">
        <f ca="1">IF(OR($AJ80="",$AK80="NA",$AN80=""),"",RANK(AN80,$AN$58:$AN$1057)+COUNTIF($AN$58:AN80,AN80)-1)</f>
        <v>#NAME?</v>
      </c>
      <c r="AP80" s="3" t="e">
        <f t="shared" ca="1" si="13"/>
        <v>#NAME?</v>
      </c>
      <c r="AQ80" s="2" t="e">
        <f ca="1">IF(OR($AJ80="",$AK80="NA",$AP80=""),"",RANK(AP80,$AP$58:$AP$1057)+COUNTIF($AP$58:AP80,AP80)-1)</f>
        <v>#NAME?</v>
      </c>
      <c r="AU80"/>
      <c r="AV80"/>
      <c r="AW80"/>
      <c r="AX80"/>
      <c r="AY80" s="392"/>
      <c r="AZ80" s="3"/>
      <c r="BA80" s="2"/>
      <c r="BB80" s="3"/>
      <c r="BC80" s="2"/>
      <c r="BD80"/>
      <c r="BE80"/>
      <c r="BF80"/>
      <c r="BG80"/>
      <c r="BH80"/>
      <c r="BJ80" t="str">
        <f t="shared" si="11"/>
        <v>Danish Krone</v>
      </c>
      <c r="BK80" s="403" t="s">
        <v>102</v>
      </c>
      <c r="BL80" s="404" t="s">
        <v>103</v>
      </c>
      <c r="BM80" s="404" t="s">
        <v>104</v>
      </c>
      <c r="BN80" s="405" t="s">
        <v>30</v>
      </c>
      <c r="BQ80" s="44" t="s">
        <v>343</v>
      </c>
      <c r="BR80" s="44" t="s">
        <v>4639</v>
      </c>
    </row>
    <row r="81" spans="2:70" x14ac:dyDescent="0.2">
      <c r="B81" s="7" t="str">
        <f>AA75&amp;" - "&amp;VLOOKUP("Cost of Debt (Rd) - Average of Last 5 Issued Bonds",Language_Data,Lookup_Column,FALSE)</f>
        <v>BIMBO A-MX - Cost of Debt (Rd) - Average of Last 5 Issued Bonds</v>
      </c>
      <c r="F81" s="108">
        <f>F59</f>
        <v>9.7100000000000006E-2</v>
      </c>
      <c r="G81" s="108"/>
      <c r="H81" s="108"/>
      <c r="J81" s="70"/>
      <c r="K81" s="7"/>
      <c r="L81" s="7"/>
      <c r="M81" s="7"/>
      <c r="N81" s="7"/>
      <c r="O81" s="7"/>
      <c r="P81" s="7"/>
      <c r="Q81" s="7"/>
      <c r="R81" s="7"/>
      <c r="S81" s="71"/>
      <c r="AA81" s="360" t="str">
        <f>IF(AA75="",AA77,AA75)</f>
        <v>BIMBO A-MX</v>
      </c>
      <c r="AC81" s="26" t="s">
        <v>4454</v>
      </c>
      <c r="AD81" s="380" t="e">
        <f ca="1">IF(AF81&lt;&gt;"NA",AF81,IF(AG81&lt;&gt;"NA",AG81,AH81))</f>
        <v>#NAME?</v>
      </c>
      <c r="AE81" s="381" t="s">
        <v>4455</v>
      </c>
      <c r="AF81" s="382" t="e" cm="1">
        <f t="array" aca="1" ref="AF81" ca="1">_xll.SNL.Clients.Office.Excel.Functions.SPG($AE81, "SP_RATE_VALUE",AF$75,"Options:NA=NA")</f>
        <v>#NAME?</v>
      </c>
      <c r="AG81" s="382" t="e" cm="1">
        <f t="array" aca="1" ref="AG81" ca="1">_xll.SNL.Clients.Office.Excel.Functions.SPG($AE81, "SP_RATE_VALUE",AG$75,"Options:NA=NA")</f>
        <v>#NAME?</v>
      </c>
      <c r="AH81" s="383" t="e" cm="1">
        <f t="array" aca="1" ref="AH81" ca="1">_xll.SNL.Clients.Office.Excel.Functions.SPG($AE81, "SP_RATE_VALUE",AH$75,"Options:NA=NA")</f>
        <v>#NAME?</v>
      </c>
      <c r="AJ81" t="s">
        <v>4883</v>
      </c>
      <c r="AK81" s="392" t="e">
        <f t="shared" ca="1" si="12"/>
        <v>#NAME?</v>
      </c>
      <c r="AL81" s="392" t="e" cm="1">
        <f t="array" aca="1" ref="AL81" ca="1">IF(AJ81="","",_xll.SNL.Clients.Office.Excel.Functions.SPG(AJ81,"SPT_YTW",$L$15,"Options:NA=NA"))</f>
        <v>#NAME?</v>
      </c>
      <c r="AM81" s="392" t="e" cm="1">
        <f t="array" aca="1" ref="AM81" ca="1">IF(AJ81="","",_xll.SNL.Clients.Office.Excel.Functions.SPG(AJ81,"SPT_EOD_YTM_MID","EOD Close Price",$L$15,"Options:NA=NA"))</f>
        <v>#NAME?</v>
      </c>
      <c r="AN81" s="3" t="e" cm="1">
        <f t="array" aca="1" ref="AN81" ca="1">IF(OR(AJ81="",AK81="NA"),"",_xll.SNL.Clients.Office.Excel.Functions.SPG(AJ81,"SPT_ISSUE_DATE"))</f>
        <v>#NAME?</v>
      </c>
      <c r="AO81" s="2" t="e">
        <f ca="1">IF(OR($AJ81="",$AK81="NA",$AN81=""),"",RANK(AN81,$AN$58:$AN$1057)+COUNTIF($AN$58:AN81,AN81)-1)</f>
        <v>#NAME?</v>
      </c>
      <c r="AP81" s="3" t="e">
        <f t="shared" ca="1" si="13"/>
        <v>#NAME?</v>
      </c>
      <c r="AQ81" s="2" t="e">
        <f ca="1">IF(OR($AJ81="",$AK81="NA",$AP81=""),"",RANK(AP81,$AP$58:$AP$1057)+COUNTIF($AP$58:AP81,AP81)-1)</f>
        <v>#NAME?</v>
      </c>
      <c r="AY81" s="392"/>
      <c r="AZ81" s="3"/>
      <c r="BA81" s="2"/>
      <c r="BB81" s="3"/>
      <c r="BC81" s="2"/>
      <c r="BJ81" t="str">
        <f t="shared" si="11"/>
        <v>Dominican Peso</v>
      </c>
      <c r="BK81" s="403" t="s">
        <v>105</v>
      </c>
      <c r="BL81" s="404" t="s">
        <v>106</v>
      </c>
      <c r="BM81" s="404" t="s">
        <v>107</v>
      </c>
      <c r="BN81" s="405" t="s">
        <v>30</v>
      </c>
      <c r="BQ81" s="44" t="s">
        <v>342</v>
      </c>
      <c r="BR81" s="44" t="s">
        <v>4640</v>
      </c>
    </row>
    <row r="82" spans="2:70" x14ac:dyDescent="0.2">
      <c r="B82" s="7" t="str">
        <f>VLOOKUP("Tax Rate (5 Year Average)",Language_Data,Lookup_Column,FALSE)</f>
        <v>Tax Rate (5 Year Average)</v>
      </c>
      <c r="F82" s="108">
        <f>F50</f>
        <v>0.3</v>
      </c>
      <c r="G82" s="108"/>
      <c r="H82" s="108"/>
      <c r="J82" s="325" t="str">
        <f>VLOOKUP("E/(D+P+E)",Language_Data,Lookup_Column,FALSE)</f>
        <v>E/(D+P+E)</v>
      </c>
      <c r="K82" s="73" t="str">
        <f>VLOOKUP("Cost of Equity",Language_Data,Lookup_Column,FALSE)</f>
        <v>Cost of Equity</v>
      </c>
      <c r="L82" s="74"/>
      <c r="M82" s="74"/>
      <c r="N82" s="74"/>
      <c r="O82" s="74"/>
      <c r="P82" s="74"/>
      <c r="Q82" s="74"/>
      <c r="R82" s="74"/>
      <c r="S82" s="75"/>
      <c r="AC82" s="26" t="s">
        <v>4456</v>
      </c>
      <c r="AD82" s="380" t="e">
        <f t="shared" ca="1" si="29"/>
        <v>#NAME?</v>
      </c>
      <c r="AE82" s="381" t="s">
        <v>4457</v>
      </c>
      <c r="AF82" s="382" t="e" cm="1">
        <f t="array" aca="1" ref="AF82" ca="1">_xll.SNL.Clients.Office.Excel.Functions.SPG($AE82, "SP_RATE_VALUE",AF$75,"Options:NA=NA")</f>
        <v>#NAME?</v>
      </c>
      <c r="AG82" s="382" t="e" cm="1">
        <f t="array" aca="1" ref="AG82" ca="1">_xll.SNL.Clients.Office.Excel.Functions.SPG($AE82, "SP_RATE_VALUE",AG$75,"Options:NA=NA")</f>
        <v>#NAME?</v>
      </c>
      <c r="AH82" s="383" t="e" cm="1">
        <f t="array" aca="1" ref="AH82" ca="1">_xll.SNL.Clients.Office.Excel.Functions.SPG($AE82, "SP_RATE_VALUE",AH$75,"Options:NA=NA")</f>
        <v>#NAME?</v>
      </c>
      <c r="AJ82" t="s">
        <v>4884</v>
      </c>
      <c r="AK82" s="392" t="e">
        <f t="shared" ca="1" si="12"/>
        <v>#NAME?</v>
      </c>
      <c r="AL82" s="392" t="e" cm="1">
        <f t="array" aca="1" ref="AL82" ca="1">IF(AJ82="","",_xll.SNL.Clients.Office.Excel.Functions.SPG(AJ82,"SPT_YTW",$L$15,"Options:NA=NA"))</f>
        <v>#NAME?</v>
      </c>
      <c r="AM82" s="392" t="e" cm="1">
        <f t="array" aca="1" ref="AM82" ca="1">IF(AJ82="","",_xll.SNL.Clients.Office.Excel.Functions.SPG(AJ82,"SPT_EOD_YTM_MID","EOD Close Price",$L$15,"Options:NA=NA"))</f>
        <v>#NAME?</v>
      </c>
      <c r="AN82" s="3" t="e" cm="1">
        <f t="array" aca="1" ref="AN82" ca="1">IF(OR(AJ82="",AK82="NA"),"",_xll.SNL.Clients.Office.Excel.Functions.SPG(AJ82,"SPT_ISSUE_DATE"))</f>
        <v>#NAME?</v>
      </c>
      <c r="AO82" s="2" t="e">
        <f ca="1">IF(OR($AJ82="",$AK82="NA",$AN82=""),"",RANK(AN82,$AN$58:$AN$1057)+COUNTIF($AN$58:AN82,AN82)-1)</f>
        <v>#NAME?</v>
      </c>
      <c r="AP82" s="3" t="e">
        <f t="shared" ca="1" si="13"/>
        <v>#NAME?</v>
      </c>
      <c r="AQ82" s="2" t="e">
        <f ca="1">IF(OR($AJ82="",$AK82="NA",$AP82=""),"",RANK(AP82,$AP$58:$AP$1057)+COUNTIF($AP$58:AP82,AP82)-1)</f>
        <v>#NAME?</v>
      </c>
      <c r="AY82" s="392"/>
      <c r="AZ82" s="3"/>
      <c r="BA82" s="2"/>
      <c r="BB82" s="3"/>
      <c r="BC82" s="2"/>
      <c r="BJ82" t="str">
        <f t="shared" si="11"/>
        <v>Egyptian Pound</v>
      </c>
      <c r="BK82" s="403" t="s">
        <v>108</v>
      </c>
      <c r="BL82" s="404" t="s">
        <v>109</v>
      </c>
      <c r="BM82" s="404" t="s">
        <v>110</v>
      </c>
      <c r="BN82" s="405" t="s">
        <v>30</v>
      </c>
      <c r="BQ82" s="44" t="s">
        <v>355</v>
      </c>
      <c r="BR82" s="44" t="s">
        <v>4641</v>
      </c>
    </row>
    <row r="83" spans="2:70" x14ac:dyDescent="0.2">
      <c r="B83" s="8" t="str">
        <f>VLOOKUP("After-Tax Cost of Debt",Language_Data,Lookup_Column,FALSE)</f>
        <v>After-Tax Cost of Debt</v>
      </c>
      <c r="F83" s="108">
        <f>IFERROR(F81*(1-(F82)),0)</f>
        <v>6.7970000000000003E-2</v>
      </c>
      <c r="G83" s="108"/>
      <c r="H83" s="108"/>
      <c r="J83" s="125">
        <f>F91</f>
        <v>0.10398289994023388</v>
      </c>
      <c r="K83" s="84">
        <f>L83-$F$67</f>
        <v>2.0000000000000004E-2</v>
      </c>
      <c r="L83" s="85">
        <f>M83-$F$67</f>
        <v>2.7500000000000004E-2</v>
      </c>
      <c r="M83" s="85">
        <f>N83-$F$67</f>
        <v>3.5000000000000003E-2</v>
      </c>
      <c r="N83" s="85">
        <f>O83-$F$67</f>
        <v>4.2500000000000003E-2</v>
      </c>
      <c r="O83" s="101">
        <v>0.05</v>
      </c>
      <c r="P83" s="85">
        <f>O83+$F$67</f>
        <v>5.7500000000000002E-2</v>
      </c>
      <c r="Q83" s="85">
        <f>P83+$F$67</f>
        <v>6.5000000000000002E-2</v>
      </c>
      <c r="R83" s="85">
        <f>Q83+$F$67</f>
        <v>7.2500000000000009E-2</v>
      </c>
      <c r="S83" s="86">
        <f>R83+$F$67</f>
        <v>8.0000000000000016E-2</v>
      </c>
      <c r="AC83" s="26" t="s">
        <v>4458</v>
      </c>
      <c r="AD83" s="380" t="e">
        <f t="shared" ca="1" si="29"/>
        <v>#NAME?</v>
      </c>
      <c r="AE83" s="381" t="s">
        <v>4459</v>
      </c>
      <c r="AF83" s="382" t="e" cm="1">
        <f t="array" aca="1" ref="AF83" ca="1">_xll.SNL.Clients.Office.Excel.Functions.SPG($AE83, "SP_RATE_VALUE",AF$75,"Options:NA=NA")</f>
        <v>#NAME?</v>
      </c>
      <c r="AG83" s="382" t="e" cm="1">
        <f t="array" aca="1" ref="AG83" ca="1">_xll.SNL.Clients.Office.Excel.Functions.SPG($AE83, "SP_RATE_VALUE",AG$75,"Options:NA=NA")</f>
        <v>#NAME?</v>
      </c>
      <c r="AH83" s="383" t="e" cm="1">
        <f t="array" aca="1" ref="AH83" ca="1">_xll.SNL.Clients.Office.Excel.Functions.SPG($AE83, "SP_RATE_VALUE",AH$75,"Options:NA=NA")</f>
        <v>#NAME?</v>
      </c>
      <c r="AJ83" t="s">
        <v>4885</v>
      </c>
      <c r="AK83" s="392" t="e">
        <f t="shared" ca="1" si="12"/>
        <v>#NAME?</v>
      </c>
      <c r="AL83" s="392" t="e" cm="1">
        <f t="array" aca="1" ref="AL83" ca="1">IF(AJ83="","",_xll.SNL.Clients.Office.Excel.Functions.SPG(AJ83,"SPT_YTW",$L$15,"Options:NA=NA"))</f>
        <v>#NAME?</v>
      </c>
      <c r="AM83" s="392" t="e" cm="1">
        <f t="array" aca="1" ref="AM83" ca="1">IF(AJ83="","",_xll.SNL.Clients.Office.Excel.Functions.SPG(AJ83,"SPT_EOD_YTM_MID","EOD Close Price",$L$15,"Options:NA=NA"))</f>
        <v>#NAME?</v>
      </c>
      <c r="AN83" s="3" t="e" cm="1">
        <f t="array" aca="1" ref="AN83" ca="1">IF(OR(AJ83="",AK83="NA"),"",_xll.SNL.Clients.Office.Excel.Functions.SPG(AJ83,"SPT_ISSUE_DATE"))</f>
        <v>#NAME?</v>
      </c>
      <c r="AO83" s="2" t="e">
        <f ca="1">IF(OR($AJ83="",$AK83="NA",$AN83=""),"",RANK(AN83,$AN$58:$AN$1057)+COUNTIF($AN$58:AN83,AN83)-1)</f>
        <v>#NAME?</v>
      </c>
      <c r="AP83" s="3" t="e">
        <f t="shared" ca="1" si="13"/>
        <v>#NAME?</v>
      </c>
      <c r="AQ83" s="2" t="e">
        <f ca="1">IF(OR($AJ83="",$AK83="NA",$AP83=""),"",RANK(AP83,$AP$58:$AP$1057)+COUNTIF($AP$58:AP83,AP83)-1)</f>
        <v>#NAME?</v>
      </c>
      <c r="AY83" s="392"/>
      <c r="AZ83" s="3"/>
      <c r="BA83" s="2"/>
      <c r="BB83" s="3"/>
      <c r="BC83" s="2"/>
      <c r="BJ83" t="str">
        <f t="shared" si="11"/>
        <v>Georgian Lari</v>
      </c>
      <c r="BK83" s="403" t="s">
        <v>111</v>
      </c>
      <c r="BL83" s="404" t="s">
        <v>112</v>
      </c>
      <c r="BM83" s="404" t="s">
        <v>113</v>
      </c>
      <c r="BN83" s="405" t="s">
        <v>30</v>
      </c>
      <c r="BQ83" s="44" t="s">
        <v>4642</v>
      </c>
      <c r="BR83" s="44" t="s">
        <v>4643</v>
      </c>
    </row>
    <row r="84" spans="2:70" x14ac:dyDescent="0.2">
      <c r="B84" s="7" t="str">
        <f>VLOOKUP("Multiplied by: ",Language_Data,Lookup_Column,FALSE)&amp;AA75&amp;" - "&amp;VLOOKUP("D/(D+P+E)",Language_Data,Lookup_Column,FALSE)</f>
        <v>Multiplied by: BIMBO A-MX - D/(D+P+E)</v>
      </c>
      <c r="F84" s="108">
        <f>F55</f>
        <v>0.43637068265729695</v>
      </c>
      <c r="G84" s="108"/>
      <c r="H84" s="108"/>
      <c r="J84" s="78">
        <f>J85-$F$68</f>
        <v>0.35000000000000003</v>
      </c>
      <c r="K84" s="87">
        <f t="dataTable" ref="K84:S90" dt2D="1" dtr="1" r1="F77" r2="F78"/>
        <v>3.6660115300216477E-2</v>
      </c>
      <c r="L84" s="87">
        <v>3.9285115300216472E-2</v>
      </c>
      <c r="M84" s="87">
        <v>4.1910115300216474E-2</v>
      </c>
      <c r="N84" s="87">
        <v>4.4535115300216477E-2</v>
      </c>
      <c r="O84" s="87">
        <v>4.7160115300216479E-2</v>
      </c>
      <c r="P84" s="87">
        <v>4.9785115300216481E-2</v>
      </c>
      <c r="Q84" s="87">
        <v>5.2410115300216477E-2</v>
      </c>
      <c r="R84" s="87">
        <v>5.5035115300216479E-2</v>
      </c>
      <c r="S84" s="88">
        <v>5.7660115300216482E-2</v>
      </c>
      <c r="AC84" s="26" t="s">
        <v>4460</v>
      </c>
      <c r="AD84" s="380" t="e">
        <f t="shared" ca="1" si="29"/>
        <v>#NAME?</v>
      </c>
      <c r="AE84" s="381" t="s">
        <v>4461</v>
      </c>
      <c r="AF84" s="382" t="e" cm="1">
        <f t="array" aca="1" ref="AF84" ca="1">_xll.SNL.Clients.Office.Excel.Functions.SPG($AE84, "SP_RATE_VALUE",AF$75,"Options:NA=NA")</f>
        <v>#NAME?</v>
      </c>
      <c r="AG84" s="382" t="e" cm="1">
        <f t="array" aca="1" ref="AG84" ca="1">_xll.SNL.Clients.Office.Excel.Functions.SPG($AE84, "SP_RATE_VALUE",AG$75,"Options:NA=NA")</f>
        <v>#NAME?</v>
      </c>
      <c r="AH84" s="383" t="e" cm="1">
        <f t="array" aca="1" ref="AH84" ca="1">_xll.SNL.Clients.Office.Excel.Functions.SPG($AE84, "SP_RATE_VALUE",AH$75,"Options:NA=NA")</f>
        <v>#NAME?</v>
      </c>
      <c r="AJ84" t="s">
        <v>4886</v>
      </c>
      <c r="AK84" s="392" t="e">
        <f t="shared" ca="1" si="12"/>
        <v>#NAME?</v>
      </c>
      <c r="AL84" s="392" t="e" cm="1">
        <f t="array" aca="1" ref="AL84" ca="1">IF(AJ84="","",_xll.SNL.Clients.Office.Excel.Functions.SPG(AJ84,"SPT_YTW",$L$15,"Options:NA=NA"))</f>
        <v>#NAME?</v>
      </c>
      <c r="AM84" s="392" t="e" cm="1">
        <f t="array" aca="1" ref="AM84" ca="1">IF(AJ84="","",_xll.SNL.Clients.Office.Excel.Functions.SPG(AJ84,"SPT_EOD_YTM_MID","EOD Close Price",$L$15,"Options:NA=NA"))</f>
        <v>#NAME?</v>
      </c>
      <c r="AN84" s="3" t="e" cm="1">
        <f t="array" aca="1" ref="AN84" ca="1">IF(OR(AJ84="",AK84="NA"),"",_xll.SNL.Clients.Office.Excel.Functions.SPG(AJ84,"SPT_ISSUE_DATE"))</f>
        <v>#NAME?</v>
      </c>
      <c r="AO84" s="2" t="e">
        <f ca="1">IF(OR($AJ84="",$AK84="NA",$AN84=""),"",RANK(AN84,$AN$58:$AN$1057)+COUNTIF($AN$58:AN84,AN84)-1)</f>
        <v>#NAME?</v>
      </c>
      <c r="AP84" s="3" t="e">
        <f t="shared" ca="1" si="13"/>
        <v>#NAME?</v>
      </c>
      <c r="AQ84" s="2" t="e">
        <f ca="1">IF(OR($AJ84="",$AK84="NA",$AP84=""),"",RANK(AP84,$AP$58:$AP$1057)+COUNTIF($AP$58:AP84,AP84)-1)</f>
        <v>#NAME?</v>
      </c>
      <c r="AY84" s="392"/>
      <c r="AZ84" s="3"/>
      <c r="BA84" s="2"/>
      <c r="BB84" s="3"/>
      <c r="BC84" s="2"/>
      <c r="BJ84" t="str">
        <f t="shared" si="11"/>
        <v>Guatemalan Quetzal</v>
      </c>
      <c r="BK84" s="403" t="s">
        <v>114</v>
      </c>
      <c r="BL84" s="404" t="s">
        <v>115</v>
      </c>
      <c r="BM84" s="404" t="s">
        <v>116</v>
      </c>
      <c r="BN84" s="405" t="s">
        <v>30</v>
      </c>
      <c r="BQ84" s="44" t="s">
        <v>4644</v>
      </c>
      <c r="BR84" s="44" t="s">
        <v>4645</v>
      </c>
    </row>
    <row r="85" spans="2:70" x14ac:dyDescent="0.2">
      <c r="B85" s="42" t="str">
        <f>VLOOKUP("Cost of Debt Portion",Language_Data,Lookup_Column,FALSE)</f>
        <v>Cost of Debt Portion</v>
      </c>
      <c r="C85" s="207"/>
      <c r="D85" s="207"/>
      <c r="E85" s="207"/>
      <c r="F85" s="110">
        <f>IFERROR((F83*F84),0)</f>
        <v>2.9660115300216474E-2</v>
      </c>
      <c r="G85" s="108"/>
      <c r="H85" s="108"/>
      <c r="J85" s="78">
        <f>J86-$F$68</f>
        <v>0.4</v>
      </c>
      <c r="K85" s="87">
        <v>3.7660115300216478E-2</v>
      </c>
      <c r="L85" s="87">
        <v>4.0660115300216473E-2</v>
      </c>
      <c r="M85" s="87">
        <v>4.3660115300216476E-2</v>
      </c>
      <c r="N85" s="87">
        <v>4.6660115300216479E-2</v>
      </c>
      <c r="O85" s="87">
        <v>4.9660115300216481E-2</v>
      </c>
      <c r="P85" s="87">
        <v>5.2660115300216477E-2</v>
      </c>
      <c r="Q85" s="87">
        <v>5.5660115300216473E-2</v>
      </c>
      <c r="R85" s="87">
        <v>5.8660115300216475E-2</v>
      </c>
      <c r="S85" s="88">
        <v>6.1660115300216478E-2</v>
      </c>
      <c r="AC85" s="26" t="s">
        <v>4462</v>
      </c>
      <c r="AD85" s="380" t="e">
        <f t="shared" ca="1" si="29"/>
        <v>#NAME?</v>
      </c>
      <c r="AE85" s="381" t="s">
        <v>4463</v>
      </c>
      <c r="AF85" s="382" t="e" cm="1">
        <f t="array" aca="1" ref="AF85" ca="1">_xll.SNL.Clients.Office.Excel.Functions.SPG($AE85, "SP_RATE_VALUE",AF$75,"Options:NA=NA")</f>
        <v>#NAME?</v>
      </c>
      <c r="AG85" s="382" t="e" cm="1">
        <f t="array" aca="1" ref="AG85" ca="1">_xll.SNL.Clients.Office.Excel.Functions.SPG($AE85, "SP_RATE_VALUE",AG$75,"Options:NA=NA")</f>
        <v>#NAME?</v>
      </c>
      <c r="AH85" s="383" t="e" cm="1">
        <f t="array" aca="1" ref="AH85" ca="1">_xll.SNL.Clients.Office.Excel.Functions.SPG($AE85, "SP_RATE_VALUE",AH$75,"Options:NA=NA")</f>
        <v>#NAME?</v>
      </c>
      <c r="AJ85" t="s">
        <v>4887</v>
      </c>
      <c r="AK85" s="392" t="e">
        <f t="shared" ca="1" si="12"/>
        <v>#NAME?</v>
      </c>
      <c r="AL85" s="392" t="e" cm="1">
        <f t="array" aca="1" ref="AL85" ca="1">IF(AJ85="","",_xll.SNL.Clients.Office.Excel.Functions.SPG(AJ85,"SPT_YTW",$L$15,"Options:NA=NA"))</f>
        <v>#NAME?</v>
      </c>
      <c r="AM85" s="392" t="e" cm="1">
        <f t="array" aca="1" ref="AM85" ca="1">IF(AJ85="","",_xll.SNL.Clients.Office.Excel.Functions.SPG(AJ85,"SPT_EOD_YTM_MID","EOD Close Price",$L$15,"Options:NA=NA"))</f>
        <v>#NAME?</v>
      </c>
      <c r="AN85" s="3" t="e" cm="1">
        <f t="array" aca="1" ref="AN85" ca="1">IF(OR(AJ85="",AK85="NA"),"",_xll.SNL.Clients.Office.Excel.Functions.SPG(AJ85,"SPT_ISSUE_DATE"))</f>
        <v>#NAME?</v>
      </c>
      <c r="AO85" s="2" t="e">
        <f ca="1">IF(OR($AJ85="",$AK85="NA",$AN85=""),"",RANK(AN85,$AN$58:$AN$1057)+COUNTIF($AN$58:AN85,AN85)-1)</f>
        <v>#NAME?</v>
      </c>
      <c r="AP85" s="3" t="e">
        <f t="shared" ca="1" si="13"/>
        <v>#NAME?</v>
      </c>
      <c r="AQ85" s="2" t="e">
        <f ca="1">IF(OR($AJ85="",$AK85="NA",$AP85=""),"",RANK(AP85,$AP$58:$AP$1057)+COUNTIF($AP$58:AP85,AP85)-1)</f>
        <v>#NAME?</v>
      </c>
      <c r="AY85" s="392"/>
      <c r="AZ85" s="3"/>
      <c r="BA85" s="2"/>
      <c r="BB85" s="3"/>
      <c r="BC85" s="2"/>
      <c r="BJ85" t="str">
        <f t="shared" si="11"/>
        <v>Honduran Lempira</v>
      </c>
      <c r="BK85" s="403" t="s">
        <v>117</v>
      </c>
      <c r="BL85" s="404" t="s">
        <v>118</v>
      </c>
      <c r="BM85" s="404" t="s">
        <v>119</v>
      </c>
      <c r="BN85" s="405" t="s">
        <v>30</v>
      </c>
      <c r="BQ85" s="44" t="s">
        <v>390</v>
      </c>
      <c r="BR85" s="44" t="s">
        <v>4646</v>
      </c>
    </row>
    <row r="86" spans="2:70" x14ac:dyDescent="0.2">
      <c r="B86" s="7"/>
      <c r="F86" s="2"/>
      <c r="G86" s="2"/>
      <c r="H86" s="2"/>
      <c r="J86" s="78">
        <f>J87-$F$68</f>
        <v>0.45</v>
      </c>
      <c r="K86" s="87">
        <v>3.8660115300216479E-2</v>
      </c>
      <c r="L86" s="87">
        <v>4.2035115300216475E-2</v>
      </c>
      <c r="M86" s="87">
        <v>4.5410115300216478E-2</v>
      </c>
      <c r="N86" s="87">
        <v>4.8785115300216481E-2</v>
      </c>
      <c r="O86" s="87">
        <v>5.2160115300216477E-2</v>
      </c>
      <c r="P86" s="87">
        <v>5.5535115300216473E-2</v>
      </c>
      <c r="Q86" s="87">
        <v>5.8910115300216476E-2</v>
      </c>
      <c r="R86" s="87">
        <v>6.2285115300216479E-2</v>
      </c>
      <c r="S86" s="88">
        <v>6.5660115300216482E-2</v>
      </c>
      <c r="AC86" s="26" t="s">
        <v>4464</v>
      </c>
      <c r="AD86" s="380" t="e">
        <f t="shared" ca="1" si="29"/>
        <v>#NAME?</v>
      </c>
      <c r="AE86" s="381" t="s">
        <v>4465</v>
      </c>
      <c r="AF86" s="382" t="e" cm="1">
        <f t="array" aca="1" ref="AF86" ca="1">_xll.SNL.Clients.Office.Excel.Functions.SPG($AE86, "SP_RATE_VALUE",AF$75,"Options:NA=NA")</f>
        <v>#NAME?</v>
      </c>
      <c r="AG86" s="382" t="e" cm="1">
        <f t="array" aca="1" ref="AG86" ca="1">_xll.SNL.Clients.Office.Excel.Functions.SPG($AE86, "SP_RATE_VALUE",AG$75,"Options:NA=NA")</f>
        <v>#NAME?</v>
      </c>
      <c r="AH86" s="383" t="e" cm="1">
        <f t="array" aca="1" ref="AH86" ca="1">_xll.SNL.Clients.Office.Excel.Functions.SPG($AE86, "SP_RATE_VALUE",AH$75,"Options:NA=NA")</f>
        <v>#NAME?</v>
      </c>
      <c r="AJ86" t="s">
        <v>4888</v>
      </c>
      <c r="AK86" s="392" t="e">
        <f t="shared" ca="1" si="12"/>
        <v>#NAME?</v>
      </c>
      <c r="AL86" s="392" t="e" cm="1">
        <f t="array" aca="1" ref="AL86" ca="1">IF(AJ86="","",_xll.SNL.Clients.Office.Excel.Functions.SPG(AJ86,"SPT_YTW",$L$15,"Options:NA=NA"))</f>
        <v>#NAME?</v>
      </c>
      <c r="AM86" s="392" t="e" cm="1">
        <f t="array" aca="1" ref="AM86" ca="1">IF(AJ86="","",_xll.SNL.Clients.Office.Excel.Functions.SPG(AJ86,"SPT_EOD_YTM_MID","EOD Close Price",$L$15,"Options:NA=NA"))</f>
        <v>#NAME?</v>
      </c>
      <c r="AN86" s="3" t="e" cm="1">
        <f t="array" aca="1" ref="AN86" ca="1">IF(OR(AJ86="",AK86="NA"),"",_xll.SNL.Clients.Office.Excel.Functions.SPG(AJ86,"SPT_ISSUE_DATE"))</f>
        <v>#NAME?</v>
      </c>
      <c r="AO86" s="2" t="e">
        <f ca="1">IF(OR($AJ86="",$AK86="NA",$AN86=""),"",RANK(AN86,$AN$58:$AN$1057)+COUNTIF($AN$58:AN86,AN86)-1)</f>
        <v>#NAME?</v>
      </c>
      <c r="AP86" s="3" t="e">
        <f t="shared" ca="1" si="13"/>
        <v>#NAME?</v>
      </c>
      <c r="AQ86" s="2" t="e">
        <f ca="1">IF(OR($AJ86="",$AK86="NA",$AP86=""),"",RANK(AP86,$AP$58:$AP$1057)+COUNTIF($AP$58:AP86,AP86)-1)</f>
        <v>#NAME?</v>
      </c>
      <c r="AY86" s="392"/>
      <c r="AZ86" s="3"/>
      <c r="BA86" s="2"/>
      <c r="BB86" s="3"/>
      <c r="BC86" s="2"/>
      <c r="BD86" s="212"/>
      <c r="BE86" s="212"/>
      <c r="BJ86" t="str">
        <f t="shared" si="11"/>
        <v>Hong Kong Dollar</v>
      </c>
      <c r="BK86" s="403" t="s">
        <v>120</v>
      </c>
      <c r="BL86" s="404" t="s">
        <v>121</v>
      </c>
      <c r="BM86" s="404" t="s">
        <v>122</v>
      </c>
      <c r="BN86" s="405" t="s">
        <v>30</v>
      </c>
      <c r="BQ86" s="44" t="s">
        <v>389</v>
      </c>
      <c r="BR86" s="44" t="s">
        <v>4647</v>
      </c>
    </row>
    <row r="87" spans="2:70" x14ac:dyDescent="0.2">
      <c r="B87" s="8" t="str">
        <f>AA75&amp;" - "&amp;VLOOKUP("Cost of Preferred (Rp)",Language_Data,Lookup_Column,FALSE)</f>
        <v>BIMBO A-MX - Cost of Preferred (Rp)</v>
      </c>
      <c r="F87" s="108">
        <f>F61</f>
        <v>0</v>
      </c>
      <c r="G87" s="108"/>
      <c r="H87" s="108"/>
      <c r="J87" s="102">
        <v>0.5</v>
      </c>
      <c r="K87" s="87">
        <v>3.9660115300216472E-2</v>
      </c>
      <c r="L87" s="87">
        <v>4.3410115300216476E-2</v>
      </c>
      <c r="M87" s="87">
        <v>4.7160115300216479E-2</v>
      </c>
      <c r="N87" s="87">
        <v>5.0910115300216476E-2</v>
      </c>
      <c r="O87" s="87">
        <v>5.4660115300216472E-2</v>
      </c>
      <c r="P87" s="87">
        <v>5.8410115300216475E-2</v>
      </c>
      <c r="Q87" s="87">
        <v>6.2160115300216479E-2</v>
      </c>
      <c r="R87" s="87">
        <v>6.5910115300216482E-2</v>
      </c>
      <c r="S87" s="88">
        <v>6.9660115300216485E-2</v>
      </c>
      <c r="AC87" s="26" t="s">
        <v>4466</v>
      </c>
      <c r="AD87" s="380" t="e">
        <f t="shared" ca="1" si="29"/>
        <v>#NAME?</v>
      </c>
      <c r="AE87" s="381" t="s">
        <v>4467</v>
      </c>
      <c r="AF87" s="382" t="e" cm="1">
        <f t="array" aca="1" ref="AF87" ca="1">_xll.SNL.Clients.Office.Excel.Functions.SPG($AE87, "SP_RATE_VALUE",AF$75,"Options:NA=NA")</f>
        <v>#NAME?</v>
      </c>
      <c r="AG87" s="382" t="e" cm="1">
        <f t="array" aca="1" ref="AG87" ca="1">_xll.SNL.Clients.Office.Excel.Functions.SPG($AE87, "SP_RATE_VALUE",AG$75,"Options:NA=NA")</f>
        <v>#NAME?</v>
      </c>
      <c r="AH87" s="383" t="e" cm="1">
        <f t="array" aca="1" ref="AH87" ca="1">_xll.SNL.Clients.Office.Excel.Functions.SPG($AE87, "SP_RATE_VALUE",AH$75,"Options:NA=NA")</f>
        <v>#NAME?</v>
      </c>
      <c r="AJ87" t="s">
        <v>4889</v>
      </c>
      <c r="AK87" s="392" t="e">
        <f t="shared" ca="1" si="12"/>
        <v>#NAME?</v>
      </c>
      <c r="AL87" s="392" t="e" cm="1">
        <f t="array" aca="1" ref="AL87" ca="1">IF(AJ87="","",_xll.SNL.Clients.Office.Excel.Functions.SPG(AJ87,"SPT_YTW",$L$15,"Options:NA=NA"))</f>
        <v>#NAME?</v>
      </c>
      <c r="AM87" s="392" t="e" cm="1">
        <f t="array" aca="1" ref="AM87" ca="1">IF(AJ87="","",_xll.SNL.Clients.Office.Excel.Functions.SPG(AJ87,"SPT_EOD_YTM_MID","EOD Close Price",$L$15,"Options:NA=NA"))</f>
        <v>#NAME?</v>
      </c>
      <c r="AN87" s="3" t="e" cm="1">
        <f t="array" aca="1" ref="AN87" ca="1">IF(OR(AJ87="",AK87="NA"),"",_xll.SNL.Clients.Office.Excel.Functions.SPG(AJ87,"SPT_ISSUE_DATE"))</f>
        <v>#NAME?</v>
      </c>
      <c r="AO87" s="2" t="e">
        <f ca="1">IF(OR($AJ87="",$AK87="NA",$AN87=""),"",RANK(AN87,$AN$58:$AN$1057)+COUNTIF($AN$58:AN87,AN87)-1)</f>
        <v>#NAME?</v>
      </c>
      <c r="AP87" s="3" t="e">
        <f t="shared" ca="1" si="13"/>
        <v>#NAME?</v>
      </c>
      <c r="AQ87" s="2" t="e">
        <f ca="1">IF(OR($AJ87="",$AK87="NA",$AP87=""),"",RANK(AP87,$AP$58:$AP$1057)+COUNTIF($AP$58:AP87,AP87)-1)</f>
        <v>#NAME?</v>
      </c>
      <c r="AY87" s="392"/>
      <c r="AZ87" s="3"/>
      <c r="BA87" s="2"/>
      <c r="BB87" s="3"/>
      <c r="BC87" s="2"/>
      <c r="BJ87" t="str">
        <f t="shared" ref="BJ87:BJ118" si="30">VLOOKUP(BK87,Language_Data,Lookup_Column,FALSE)</f>
        <v>Hungarian Forint</v>
      </c>
      <c r="BK87" s="403" t="s">
        <v>123</v>
      </c>
      <c r="BL87" s="404" t="s">
        <v>124</v>
      </c>
      <c r="BM87" s="404" t="s">
        <v>125</v>
      </c>
      <c r="BN87" s="405" t="s">
        <v>40</v>
      </c>
      <c r="BQ87" s="44" t="s">
        <v>4648</v>
      </c>
      <c r="BR87" s="44" t="s">
        <v>4649</v>
      </c>
    </row>
    <row r="88" spans="2:70" x14ac:dyDescent="0.2">
      <c r="B88" s="7" t="str">
        <f>VLOOKUP("Multiplied by: ",Language_Data,Lookup_Column,FALSE)&amp;AA75&amp;" - "&amp;VLOOKUP("P/(D+P+E)",Language_Data,Lookup_Column,FALSE)</f>
        <v>Multiplied by: BIMBO A-MX - P/(D+P+E)</v>
      </c>
      <c r="F88" s="108">
        <f>IFERROR(AA67/SUM(AA66,AA67,AA68),0)</f>
        <v>0</v>
      </c>
      <c r="G88" s="108"/>
      <c r="H88" s="108"/>
      <c r="J88" s="78">
        <f>J87+$F$68</f>
        <v>0.55000000000000004</v>
      </c>
      <c r="K88" s="87">
        <v>4.0660115300216473E-2</v>
      </c>
      <c r="L88" s="87">
        <v>4.4785115300216477E-2</v>
      </c>
      <c r="M88" s="87">
        <v>4.8910115300216481E-2</v>
      </c>
      <c r="N88" s="87">
        <v>5.3035115300216477E-2</v>
      </c>
      <c r="O88" s="87">
        <v>5.7160115300216474E-2</v>
      </c>
      <c r="P88" s="87">
        <v>6.1285115300216478E-2</v>
      </c>
      <c r="Q88" s="87">
        <v>6.5410115300216481E-2</v>
      </c>
      <c r="R88" s="87">
        <v>6.9535115300216485E-2</v>
      </c>
      <c r="S88" s="88">
        <v>7.3660115300216489E-2</v>
      </c>
      <c r="AC88" s="26" t="s">
        <v>4468</v>
      </c>
      <c r="AD88" s="380" t="e">
        <f t="shared" ca="1" si="29"/>
        <v>#NAME?</v>
      </c>
      <c r="AE88" s="381" t="s">
        <v>4469</v>
      </c>
      <c r="AF88" s="382" t="e" cm="1">
        <f t="array" aca="1" ref="AF88" ca="1">_xll.SNL.Clients.Office.Excel.Functions.SPG($AE88, "SP_RATE_VALUE",AF$75,"Options:NA=NA")</f>
        <v>#NAME?</v>
      </c>
      <c r="AG88" s="382" t="e" cm="1">
        <f t="array" aca="1" ref="AG88" ca="1">_xll.SNL.Clients.Office.Excel.Functions.SPG($AE88, "SP_RATE_VALUE",AG$75,"Options:NA=NA")</f>
        <v>#NAME?</v>
      </c>
      <c r="AH88" s="383" t="e" cm="1">
        <f t="array" aca="1" ref="AH88" ca="1">_xll.SNL.Clients.Office.Excel.Functions.SPG($AE88, "SP_RATE_VALUE",AH$75,"Options:NA=NA")</f>
        <v>#NAME?</v>
      </c>
      <c r="AJ88" t="s">
        <v>4890</v>
      </c>
      <c r="AK88" s="392" t="e">
        <f t="shared" ca="1" si="12"/>
        <v>#NAME?</v>
      </c>
      <c r="AL88" s="392" t="e" cm="1">
        <f t="array" aca="1" ref="AL88" ca="1">IF(AJ88="","",_xll.SNL.Clients.Office.Excel.Functions.SPG(AJ88,"SPT_YTW",$L$15,"Options:NA=NA"))</f>
        <v>#NAME?</v>
      </c>
      <c r="AM88" s="392" t="e" cm="1">
        <f t="array" aca="1" ref="AM88" ca="1">IF(AJ88="","",_xll.SNL.Clients.Office.Excel.Functions.SPG(AJ88,"SPT_EOD_YTM_MID","EOD Close Price",$L$15,"Options:NA=NA"))</f>
        <v>#NAME?</v>
      </c>
      <c r="AN88" s="3" t="e" cm="1">
        <f t="array" aca="1" ref="AN88" ca="1">IF(OR(AJ88="",AK88="NA"),"",_xll.SNL.Clients.Office.Excel.Functions.SPG(AJ88,"SPT_ISSUE_DATE"))</f>
        <v>#NAME?</v>
      </c>
      <c r="AO88" s="2" t="e">
        <f ca="1">IF(OR($AJ88="",$AK88="NA",$AN88=""),"",RANK(AN88,$AN$58:$AN$1057)+COUNTIF($AN$58:AN88,AN88)-1)</f>
        <v>#NAME?</v>
      </c>
      <c r="AP88" s="3" t="e">
        <f t="shared" ca="1" si="13"/>
        <v>#NAME?</v>
      </c>
      <c r="AQ88" s="2" t="e">
        <f ca="1">IF(OR($AJ88="",$AK88="NA",$AP88=""),"",RANK(AP88,$AP$58:$AP$1057)+COUNTIF($AP$58:AP88,AP88)-1)</f>
        <v>#NAME?</v>
      </c>
      <c r="AY88" s="392"/>
      <c r="AZ88" s="3"/>
      <c r="BA88" s="2"/>
      <c r="BB88" s="3"/>
      <c r="BC88" s="2"/>
      <c r="BJ88" t="str">
        <f t="shared" si="30"/>
        <v>Icelandic Krona</v>
      </c>
      <c r="BK88" s="403" t="s">
        <v>126</v>
      </c>
      <c r="BL88" s="404" t="s">
        <v>127</v>
      </c>
      <c r="BM88" s="404" t="s">
        <v>128</v>
      </c>
      <c r="BN88" s="405" t="s">
        <v>40</v>
      </c>
      <c r="BQ88" s="44" t="s">
        <v>356</v>
      </c>
      <c r="BR88" s="44" t="s">
        <v>4650</v>
      </c>
    </row>
    <row r="89" spans="2:70" x14ac:dyDescent="0.2">
      <c r="B89" s="42" t="str">
        <f>VLOOKUP("Cost of Preferred Portion",Language_Data,Lookup_Column,FALSE)</f>
        <v>Cost of Preferred Portion</v>
      </c>
      <c r="C89" s="207"/>
      <c r="D89" s="207"/>
      <c r="E89" s="207"/>
      <c r="F89" s="110">
        <f>IFERROR((F88*F87),0)</f>
        <v>0</v>
      </c>
      <c r="G89" s="108"/>
      <c r="H89" s="108"/>
      <c r="J89" s="78">
        <f>J88+$F$68</f>
        <v>0.60000000000000009</v>
      </c>
      <c r="K89" s="87">
        <v>4.1660115300216474E-2</v>
      </c>
      <c r="L89" s="87">
        <v>4.6160115300216478E-2</v>
      </c>
      <c r="M89" s="87">
        <v>5.0660115300216482E-2</v>
      </c>
      <c r="N89" s="87">
        <v>5.5160115300216479E-2</v>
      </c>
      <c r="O89" s="87">
        <v>5.9660115300216476E-2</v>
      </c>
      <c r="P89" s="87">
        <v>6.416011530021648E-2</v>
      </c>
      <c r="Q89" s="87">
        <v>6.8660115300216484E-2</v>
      </c>
      <c r="R89" s="87">
        <v>7.3160115300216488E-2</v>
      </c>
      <c r="S89" s="88">
        <v>7.7660115300216492E-2</v>
      </c>
      <c r="AC89" s="26" t="s">
        <v>4470</v>
      </c>
      <c r="AD89" s="380" t="e">
        <f t="shared" ca="1" si="29"/>
        <v>#NAME?</v>
      </c>
      <c r="AE89" s="381" t="s">
        <v>4471</v>
      </c>
      <c r="AF89" s="382" t="e" cm="1">
        <f t="array" aca="1" ref="AF89" ca="1">_xll.SNL.Clients.Office.Excel.Functions.SPG($AE89, "SP_RATE_VALUE",AF$75,"Options:NA=NA")</f>
        <v>#NAME?</v>
      </c>
      <c r="AG89" s="382" t="e" cm="1">
        <f t="array" aca="1" ref="AG89" ca="1">_xll.SNL.Clients.Office.Excel.Functions.SPG($AE89, "SP_RATE_VALUE",AG$75,"Options:NA=NA")</f>
        <v>#NAME?</v>
      </c>
      <c r="AH89" s="383" t="e" cm="1">
        <f t="array" aca="1" ref="AH89" ca="1">_xll.SNL.Clients.Office.Excel.Functions.SPG($AE89, "SP_RATE_VALUE",AH$75,"Options:NA=NA")</f>
        <v>#NAME?</v>
      </c>
      <c r="AJ89" t="s">
        <v>4891</v>
      </c>
      <c r="AK89" s="392" t="e">
        <f t="shared" ca="1" si="12"/>
        <v>#NAME?</v>
      </c>
      <c r="AL89" s="392" t="e" cm="1">
        <f t="array" aca="1" ref="AL89" ca="1">IF(AJ89="","",_xll.SNL.Clients.Office.Excel.Functions.SPG(AJ89,"SPT_YTW",$L$15,"Options:NA=NA"))</f>
        <v>#NAME?</v>
      </c>
      <c r="AM89" s="392" t="e" cm="1">
        <f t="array" aca="1" ref="AM89" ca="1">IF(AJ89="","",_xll.SNL.Clients.Office.Excel.Functions.SPG(AJ89,"SPT_EOD_YTM_MID","EOD Close Price",$L$15,"Options:NA=NA"))</f>
        <v>#NAME?</v>
      </c>
      <c r="AN89" s="3" t="e" cm="1">
        <f t="array" aca="1" ref="AN89" ca="1">IF(OR(AJ89="",AK89="NA"),"",_xll.SNL.Clients.Office.Excel.Functions.SPG(AJ89,"SPT_ISSUE_DATE"))</f>
        <v>#NAME?</v>
      </c>
      <c r="AO89" s="2" t="e">
        <f ca="1">IF(OR($AJ89="",$AK89="NA",$AN89=""),"",RANK(AN89,$AN$58:$AN$1057)+COUNTIF($AN$58:AN89,AN89)-1)</f>
        <v>#NAME?</v>
      </c>
      <c r="AP89" s="3" t="e">
        <f t="shared" ca="1" si="13"/>
        <v>#NAME?</v>
      </c>
      <c r="AQ89" s="2" t="e">
        <f ca="1">IF(OR($AJ89="",$AK89="NA",$AP89=""),"",RANK(AP89,$AP$58:$AP$1057)+COUNTIF($AP$58:AP89,AP89)-1)</f>
        <v>#NAME?</v>
      </c>
      <c r="AY89" s="392"/>
      <c r="AZ89" s="3"/>
      <c r="BA89" s="2"/>
      <c r="BB89" s="3"/>
      <c r="BC89" s="2"/>
      <c r="BD89" s="212"/>
      <c r="BE89" s="212"/>
      <c r="BJ89" t="str">
        <f t="shared" si="30"/>
        <v>Indian Rupee</v>
      </c>
      <c r="BK89" s="403" t="s">
        <v>129</v>
      </c>
      <c r="BL89" s="404" t="s">
        <v>130</v>
      </c>
      <c r="BM89" s="404" t="s">
        <v>131</v>
      </c>
      <c r="BN89" s="405" t="s">
        <v>30</v>
      </c>
      <c r="BQ89" s="44" t="s">
        <v>4175</v>
      </c>
      <c r="BR89" s="44" t="s">
        <v>4651</v>
      </c>
    </row>
    <row r="90" spans="2:70" x14ac:dyDescent="0.2">
      <c r="F90" s="2"/>
      <c r="G90" s="2"/>
      <c r="H90" s="2"/>
      <c r="J90" s="78">
        <f>J89+$F$68</f>
        <v>0.65000000000000013</v>
      </c>
      <c r="K90" s="87">
        <v>4.2660115300216475E-2</v>
      </c>
      <c r="L90" s="87">
        <v>4.7535115300216479E-2</v>
      </c>
      <c r="M90" s="87">
        <v>5.2410115300216484E-2</v>
      </c>
      <c r="N90" s="87">
        <v>5.7285115300216481E-2</v>
      </c>
      <c r="O90" s="87">
        <v>6.2160115300216479E-2</v>
      </c>
      <c r="P90" s="87">
        <v>6.7035115300216483E-2</v>
      </c>
      <c r="Q90" s="87">
        <v>7.1910115300216487E-2</v>
      </c>
      <c r="R90" s="87">
        <v>7.6785115300216492E-2</v>
      </c>
      <c r="S90" s="88">
        <v>8.1660115300216496E-2</v>
      </c>
      <c r="AC90" s="26" t="s">
        <v>4472</v>
      </c>
      <c r="AD90" s="380" t="e">
        <f t="shared" ca="1" si="29"/>
        <v>#NAME?</v>
      </c>
      <c r="AE90" s="381" t="s">
        <v>4473</v>
      </c>
      <c r="AF90" s="382" t="e" cm="1">
        <f t="array" aca="1" ref="AF90" ca="1">_xll.SNL.Clients.Office.Excel.Functions.SPG($AE90, "SP_RATE_VALUE",AF$75,"Options:NA=NA")</f>
        <v>#NAME?</v>
      </c>
      <c r="AG90" s="382" t="e" cm="1">
        <f t="array" aca="1" ref="AG90" ca="1">_xll.SNL.Clients.Office.Excel.Functions.SPG($AE90, "SP_RATE_VALUE",AG$75,"Options:NA=NA")</f>
        <v>#NAME?</v>
      </c>
      <c r="AH90" s="383" t="e" cm="1">
        <f t="array" aca="1" ref="AH90" ca="1">_xll.SNL.Clients.Office.Excel.Functions.SPG($AE90, "SP_RATE_VALUE",AH$75,"Options:NA=NA")</f>
        <v>#NAME?</v>
      </c>
      <c r="AJ90" t="s">
        <v>4892</v>
      </c>
      <c r="AK90" s="392" t="e">
        <f t="shared" ca="1" si="12"/>
        <v>#NAME?</v>
      </c>
      <c r="AL90" s="392" t="e" cm="1">
        <f t="array" aca="1" ref="AL90" ca="1">IF(AJ90="","",_xll.SNL.Clients.Office.Excel.Functions.SPG(AJ90,"SPT_YTW",$L$15,"Options:NA=NA"))</f>
        <v>#NAME?</v>
      </c>
      <c r="AM90" s="392" t="e" cm="1">
        <f t="array" aca="1" ref="AM90" ca="1">IF(AJ90="","",_xll.SNL.Clients.Office.Excel.Functions.SPG(AJ90,"SPT_EOD_YTM_MID","EOD Close Price",$L$15,"Options:NA=NA"))</f>
        <v>#NAME?</v>
      </c>
      <c r="AN90" s="3" t="e" cm="1">
        <f t="array" aca="1" ref="AN90" ca="1">IF(OR(AJ90="",AK90="NA"),"",_xll.SNL.Clients.Office.Excel.Functions.SPG(AJ90,"SPT_ISSUE_DATE"))</f>
        <v>#NAME?</v>
      </c>
      <c r="AO90" s="2" t="e">
        <f ca="1">IF(OR($AJ90="",$AK90="NA",$AN90=""),"",RANK(AN90,$AN$58:$AN$1057)+COUNTIF($AN$58:AN90,AN90)-1)</f>
        <v>#NAME?</v>
      </c>
      <c r="AP90" s="3" t="e">
        <f t="shared" ca="1" si="13"/>
        <v>#NAME?</v>
      </c>
      <c r="AQ90" s="2" t="e">
        <f ca="1">IF(OR($AJ90="",$AK90="NA",$AP90=""),"",RANK(AP90,$AP$58:$AP$1057)+COUNTIF($AP$58:AP90,AP90)-1)</f>
        <v>#NAME?</v>
      </c>
      <c r="AY90" s="392"/>
      <c r="AZ90" s="3"/>
      <c r="BA90" s="2"/>
      <c r="BB90" s="3"/>
      <c r="BC90" s="2"/>
      <c r="BD90" s="212"/>
      <c r="BE90" s="212"/>
      <c r="BJ90" t="str">
        <f t="shared" si="30"/>
        <v>Indonesian Rupiah</v>
      </c>
      <c r="BK90" s="403" t="s">
        <v>132</v>
      </c>
      <c r="BL90" s="404" t="s">
        <v>133</v>
      </c>
      <c r="BM90" s="404" t="s">
        <v>134</v>
      </c>
      <c r="BN90" s="405" t="s">
        <v>40</v>
      </c>
      <c r="BQ90" s="44" t="s">
        <v>4652</v>
      </c>
      <c r="BR90" s="44" t="s">
        <v>4653</v>
      </c>
    </row>
    <row r="91" spans="2:70" ht="12" thickBot="1" x14ac:dyDescent="0.25">
      <c r="B91" s="41" t="str">
        <f>VLOOKUP("WACC",Language_Data,Lookup_Column,FALSE)&amp;" (%)"</f>
        <v>WACC (%)</v>
      </c>
      <c r="C91" s="206"/>
      <c r="D91" s="206"/>
      <c r="E91" s="206"/>
      <c r="F91" s="111">
        <f>SUM(F89,F85,F79)</f>
        <v>0.10398289994023388</v>
      </c>
      <c r="G91" s="247"/>
      <c r="H91" s="247"/>
      <c r="J91" s="81"/>
      <c r="K91" s="69"/>
      <c r="L91" s="69"/>
      <c r="M91" s="69"/>
      <c r="N91" s="69"/>
      <c r="O91" s="69"/>
      <c r="P91" s="69"/>
      <c r="Q91" s="69"/>
      <c r="R91" s="69"/>
      <c r="S91" s="83"/>
      <c r="AC91" s="26" t="s">
        <v>4474</v>
      </c>
      <c r="AD91" s="380" t="e">
        <f t="shared" ca="1" si="29"/>
        <v>#NAME?</v>
      </c>
      <c r="AE91" s="381" t="s">
        <v>4475</v>
      </c>
      <c r="AF91" s="382" t="e" cm="1">
        <f t="array" aca="1" ref="AF91" ca="1">_xll.SNL.Clients.Office.Excel.Functions.SPG($AE91, "SP_RATE_VALUE",AF$75,"Options:NA=NA")</f>
        <v>#NAME?</v>
      </c>
      <c r="AG91" s="382" t="e" cm="1">
        <f t="array" aca="1" ref="AG91" ca="1">_xll.SNL.Clients.Office.Excel.Functions.SPG($AE91, "SP_RATE_VALUE",AG$75,"Options:NA=NA")</f>
        <v>#NAME?</v>
      </c>
      <c r="AH91" s="383" t="e" cm="1">
        <f t="array" aca="1" ref="AH91" ca="1">_xll.SNL.Clients.Office.Excel.Functions.SPG($AE91, "SP_RATE_VALUE",AH$75,"Options:NA=NA")</f>
        <v>#NAME?</v>
      </c>
      <c r="AJ91" t="s">
        <v>4896</v>
      </c>
      <c r="AK91" s="392" t="e">
        <f t="shared" ca="1" si="12"/>
        <v>#NAME?</v>
      </c>
      <c r="AL91" s="392" t="e" cm="1">
        <f t="array" aca="1" ref="AL91" ca="1">IF(AJ91="","",_xll.SNL.Clients.Office.Excel.Functions.SPG(AJ91,"SPT_YTW",$L$15,"Options:NA=NA"))</f>
        <v>#NAME?</v>
      </c>
      <c r="AM91" s="392" t="e" cm="1">
        <f t="array" aca="1" ref="AM91" ca="1">IF(AJ91="","",_xll.SNL.Clients.Office.Excel.Functions.SPG(AJ91,"SPT_EOD_YTM_MID","EOD Close Price",$L$15,"Options:NA=NA"))</f>
        <v>#NAME?</v>
      </c>
      <c r="AN91" s="3" t="e" cm="1">
        <f t="array" aca="1" ref="AN91" ca="1">IF(OR(AJ91="",AK91="NA"),"",_xll.SNL.Clients.Office.Excel.Functions.SPG(AJ91,"SPT_ISSUE_DATE"))</f>
        <v>#NAME?</v>
      </c>
      <c r="AO91" s="2" t="e">
        <f ca="1">IF(OR($AJ91="",$AK91="NA",$AN91=""),"",RANK(AN91,$AN$58:$AN$1057)+COUNTIF($AN$58:AN91,AN91)-1)</f>
        <v>#NAME?</v>
      </c>
      <c r="AP91" s="3" t="e">
        <f t="shared" ca="1" si="13"/>
        <v>#NAME?</v>
      </c>
      <c r="AQ91" s="2" t="e">
        <f ca="1">IF(OR($AJ91="",$AK91="NA",$AP91=""),"",RANK(AP91,$AP$58:$AP$1057)+COUNTIF($AP$58:AP91,AP91)-1)</f>
        <v>#NAME?</v>
      </c>
      <c r="AY91" s="392"/>
      <c r="AZ91" s="3"/>
      <c r="BA91" s="2"/>
      <c r="BB91" s="3"/>
      <c r="BC91" s="2"/>
      <c r="BD91" s="212"/>
      <c r="BE91" s="212"/>
      <c r="BJ91" t="str">
        <f t="shared" si="30"/>
        <v>Jordanian Dinar</v>
      </c>
      <c r="BK91" s="403" t="s">
        <v>135</v>
      </c>
      <c r="BL91" s="404" t="s">
        <v>136</v>
      </c>
      <c r="BM91" s="404" t="s">
        <v>137</v>
      </c>
      <c r="BN91" s="405" t="s">
        <v>30</v>
      </c>
      <c r="BQ91" s="44" t="s">
        <v>4654</v>
      </c>
      <c r="BR91" s="44" t="s">
        <v>4655</v>
      </c>
    </row>
    <row r="92" spans="2:70" x14ac:dyDescent="0.2">
      <c r="B92" s="7" t="str">
        <f>VLOOKUP("(1) Unlevered Beta = Levered Beta / ( 1 + ((D/E) * (1 - T)) + P/E)",Language_Data,Lookup_Column,FALSE)</f>
        <v>(1) Unlevered Beta = Levered Beta / ( 1 + ((D/E) * (1 - T)) + P/E)</v>
      </c>
      <c r="AC92" s="26" t="s">
        <v>4476</v>
      </c>
      <c r="AD92" s="380" t="e">
        <f t="shared" ca="1" si="29"/>
        <v>#NAME?</v>
      </c>
      <c r="AE92" s="381" t="s">
        <v>4477</v>
      </c>
      <c r="AF92" s="382" t="e" cm="1">
        <f t="array" aca="1" ref="AF92" ca="1">_xll.SNL.Clients.Office.Excel.Functions.SPG($AE92, "SP_RATE_VALUE",AF$75,"Options:NA=NA")</f>
        <v>#NAME?</v>
      </c>
      <c r="AG92" s="382" t="e" cm="1">
        <f t="array" aca="1" ref="AG92" ca="1">_xll.SNL.Clients.Office.Excel.Functions.SPG($AE92, "SP_RATE_VALUE",AG$75,"Options:NA=NA")</f>
        <v>#NAME?</v>
      </c>
      <c r="AH92" s="383" t="e" cm="1">
        <f t="array" aca="1" ref="AH92" ca="1">_xll.SNL.Clients.Office.Excel.Functions.SPG($AE92, "SP_RATE_VALUE",AH$75,"Options:NA=NA")</f>
        <v>#NAME?</v>
      </c>
      <c r="AJ92" t="s">
        <v>4894</v>
      </c>
      <c r="AK92" s="392" t="e">
        <f t="shared" ca="1" si="12"/>
        <v>#NAME?</v>
      </c>
      <c r="AL92" s="392" t="e" cm="1">
        <f t="array" aca="1" ref="AL92" ca="1">IF(AJ92="","",_xll.SNL.Clients.Office.Excel.Functions.SPG(AJ92,"SPT_YTW",$L$15,"Options:NA=NA"))</f>
        <v>#NAME?</v>
      </c>
      <c r="AM92" s="392" t="e" cm="1">
        <f t="array" aca="1" ref="AM92" ca="1">IF(AJ92="","",_xll.SNL.Clients.Office.Excel.Functions.SPG(AJ92,"SPT_EOD_YTM_MID","EOD Close Price",$L$15,"Options:NA=NA"))</f>
        <v>#NAME?</v>
      </c>
      <c r="AN92" s="3" t="e" cm="1">
        <f t="array" aca="1" ref="AN92" ca="1">IF(OR(AJ92="",AK92="NA"),"",_xll.SNL.Clients.Office.Excel.Functions.SPG(AJ92,"SPT_ISSUE_DATE"))</f>
        <v>#NAME?</v>
      </c>
      <c r="AO92" s="2" t="e">
        <f ca="1">IF(OR($AJ92="",$AK92="NA",$AN92=""),"",RANK(AN92,$AN$58:$AN$1057)+COUNTIF($AN$58:AN92,AN92)-1)</f>
        <v>#NAME?</v>
      </c>
      <c r="AP92" s="3" t="e">
        <f t="shared" ca="1" si="13"/>
        <v>#NAME?</v>
      </c>
      <c r="AQ92" s="2" t="e">
        <f ca="1">IF(OR($AJ92="",$AK92="NA",$AP92=""),"",RANK(AP92,$AP$58:$AP$1057)+COUNTIF($AP$58:AP92,AP92)-1)</f>
        <v>#NAME?</v>
      </c>
      <c r="AY92" s="392"/>
      <c r="AZ92" s="3"/>
      <c r="BA92" s="2"/>
      <c r="BB92" s="3"/>
      <c r="BC92" s="2"/>
      <c r="BD92" s="212"/>
      <c r="BE92" s="212"/>
      <c r="BJ92" t="str">
        <f t="shared" si="30"/>
        <v>Kazakhstan Tenge</v>
      </c>
      <c r="BK92" s="403" t="s">
        <v>138</v>
      </c>
      <c r="BL92" s="404" t="s">
        <v>139</v>
      </c>
      <c r="BM92" s="404" t="s">
        <v>139</v>
      </c>
      <c r="BN92" s="405" t="s">
        <v>30</v>
      </c>
      <c r="BQ92" s="44" t="s">
        <v>4656</v>
      </c>
      <c r="BR92" s="44" t="s">
        <v>4657</v>
      </c>
    </row>
    <row r="93" spans="2:70" x14ac:dyDescent="0.2">
      <c r="B93" s="7" t="str">
        <f>VLOOKUP("(2) Levered Beta = Unlevered Beta * ( 1 + ((D/E) * (1 - T)) + P/E)",Language_Data,Lookup_Column,FALSE)</f>
        <v>(2) Levered Beta = Unlevered Beta * ( 1 + ((D/E) * (1 - T)) + P/E)</v>
      </c>
      <c r="AC93" s="26" t="s">
        <v>4478</v>
      </c>
      <c r="AD93" s="380" t="e">
        <f t="shared" ca="1" si="29"/>
        <v>#NAME?</v>
      </c>
      <c r="AE93" s="381" t="s">
        <v>4479</v>
      </c>
      <c r="AF93" s="382" t="e" cm="1">
        <f t="array" aca="1" ref="AF93" ca="1">_xll.SNL.Clients.Office.Excel.Functions.SPG($AE93, "SP_RATE_VALUE",AF$75,"Options:NA=NA")</f>
        <v>#NAME?</v>
      </c>
      <c r="AG93" s="382" t="e" cm="1">
        <f t="array" aca="1" ref="AG93" ca="1">_xll.SNL.Clients.Office.Excel.Functions.SPG($AE93, "SP_RATE_VALUE",AG$75,"Options:NA=NA")</f>
        <v>#NAME?</v>
      </c>
      <c r="AH93" s="383" t="e" cm="1">
        <f t="array" aca="1" ref="AH93" ca="1">_xll.SNL.Clients.Office.Excel.Functions.SPG($AE93, "SP_RATE_VALUE",AH$75,"Options:NA=NA")</f>
        <v>#NAME?</v>
      </c>
      <c r="AJ93" t="s">
        <v>4893</v>
      </c>
      <c r="AK93" s="392" t="e">
        <f t="shared" ca="1" si="12"/>
        <v>#NAME?</v>
      </c>
      <c r="AL93" s="392" t="e" cm="1">
        <f t="array" aca="1" ref="AL93" ca="1">IF(AJ93="","",_xll.SNL.Clients.Office.Excel.Functions.SPG(AJ93,"SPT_YTW",$L$15,"Options:NA=NA"))</f>
        <v>#NAME?</v>
      </c>
      <c r="AM93" s="392" t="e" cm="1">
        <f t="array" aca="1" ref="AM93" ca="1">IF(AJ93="","",_xll.SNL.Clients.Office.Excel.Functions.SPG(AJ93,"SPT_EOD_YTM_MID","EOD Close Price",$L$15,"Options:NA=NA"))</f>
        <v>#NAME?</v>
      </c>
      <c r="AN93" s="3" t="e" cm="1">
        <f t="array" aca="1" ref="AN93" ca="1">IF(OR(AJ93="",AK93="NA"),"",_xll.SNL.Clients.Office.Excel.Functions.SPG(AJ93,"SPT_ISSUE_DATE"))</f>
        <v>#NAME?</v>
      </c>
      <c r="AO93" s="2" t="e">
        <f ca="1">IF(OR($AJ93="",$AK93="NA",$AN93=""),"",RANK(AN93,$AN$58:$AN$1057)+COUNTIF($AN$58:AN93,AN93)-1)</f>
        <v>#NAME?</v>
      </c>
      <c r="AP93" s="3" t="e">
        <f t="shared" ca="1" si="13"/>
        <v>#NAME?</v>
      </c>
      <c r="AQ93" s="2" t="e">
        <f ca="1">IF(OR($AJ93="",$AK93="NA",$AP93=""),"",RANK(AP93,$AP$58:$AP$1057)+COUNTIF($AP$58:AP93,AP93)-1)</f>
        <v>#NAME?</v>
      </c>
      <c r="AY93" s="392"/>
      <c r="AZ93" s="3"/>
      <c r="BA93" s="2"/>
      <c r="BB93" s="3"/>
      <c r="BC93" s="2"/>
      <c r="BJ93" t="str">
        <f t="shared" si="30"/>
        <v>Kenyan Shilling</v>
      </c>
      <c r="BK93" s="403" t="s">
        <v>140</v>
      </c>
      <c r="BL93" s="404" t="s">
        <v>141</v>
      </c>
      <c r="BM93" s="404" t="s">
        <v>142</v>
      </c>
      <c r="BN93" s="405" t="s">
        <v>30</v>
      </c>
      <c r="BQ93" s="44" t="s">
        <v>346</v>
      </c>
      <c r="BR93" s="44" t="s">
        <v>4658</v>
      </c>
    </row>
    <row r="94" spans="2:70" x14ac:dyDescent="0.2">
      <c r="B94" s="138" t="str">
        <f>VLOOKUP("Source: S&amp;P Capital IQ Pro",Language_Data,Lookup_Column,FALSE)</f>
        <v>Source: S&amp;P Capital IQ Pro</v>
      </c>
      <c r="AC94" s="26" t="s">
        <v>4480</v>
      </c>
      <c r="AD94" s="380" t="e">
        <f t="shared" ca="1" si="29"/>
        <v>#NAME?</v>
      </c>
      <c r="AE94" s="381" t="s">
        <v>4481</v>
      </c>
      <c r="AF94" s="382" t="e" cm="1">
        <f t="array" aca="1" ref="AF94" ca="1">_xll.SNL.Clients.Office.Excel.Functions.SPG($AE94, "SP_RATE_VALUE",AF$75,"Options:NA=NA")</f>
        <v>#NAME?</v>
      </c>
      <c r="AG94" s="382" t="e" cm="1">
        <f t="array" aca="1" ref="AG94" ca="1">_xll.SNL.Clients.Office.Excel.Functions.SPG($AE94, "SP_RATE_VALUE",AG$75,"Options:NA=NA")</f>
        <v>#NAME?</v>
      </c>
      <c r="AH94" s="383" t="e" cm="1">
        <f t="array" aca="1" ref="AH94" ca="1">_xll.SNL.Clients.Office.Excel.Functions.SPG($AE94, "SP_RATE_VALUE",AH$75,"Options:NA=NA")</f>
        <v>#NAME?</v>
      </c>
      <c r="AJ94" t="s">
        <v>4897</v>
      </c>
      <c r="AK94" s="392" t="e">
        <f t="shared" ca="1" si="12"/>
        <v>#NAME?</v>
      </c>
      <c r="AL94" s="392" t="e" cm="1">
        <f t="array" aca="1" ref="AL94" ca="1">IF(AJ94="","",_xll.SNL.Clients.Office.Excel.Functions.SPG(AJ94,"SPT_YTW",$L$15,"Options:NA=NA"))</f>
        <v>#NAME?</v>
      </c>
      <c r="AM94" s="392" t="e" cm="1">
        <f t="array" aca="1" ref="AM94" ca="1">IF(AJ94="","",_xll.SNL.Clients.Office.Excel.Functions.SPG(AJ94,"SPT_EOD_YTM_MID","EOD Close Price",$L$15,"Options:NA=NA"))</f>
        <v>#NAME?</v>
      </c>
      <c r="AN94" s="3" t="e" cm="1">
        <f t="array" aca="1" ref="AN94" ca="1">IF(OR(AJ94="",AK94="NA"),"",_xll.SNL.Clients.Office.Excel.Functions.SPG(AJ94,"SPT_ISSUE_DATE"))</f>
        <v>#NAME?</v>
      </c>
      <c r="AO94" s="2" t="e">
        <f ca="1">IF(OR($AJ94="",$AK94="NA",$AN94=""),"",RANK(AN94,$AN$58:$AN$1057)+COUNTIF($AN$58:AN94,AN94)-1)</f>
        <v>#NAME?</v>
      </c>
      <c r="AP94" s="3" t="e">
        <f t="shared" ca="1" si="13"/>
        <v>#NAME?</v>
      </c>
      <c r="AQ94" s="2" t="e">
        <f ca="1">IF(OR($AJ94="",$AK94="NA",$AP94=""),"",RANK(AP94,$AP$58:$AP$1057)+COUNTIF($AP$58:AP94,AP94)-1)</f>
        <v>#NAME?</v>
      </c>
      <c r="AY94" s="392"/>
      <c r="AZ94" s="3"/>
      <c r="BA94" s="2"/>
      <c r="BB94" s="3"/>
      <c r="BC94" s="2"/>
      <c r="BJ94" t="str">
        <f t="shared" si="30"/>
        <v>Kuwaiti Dinar</v>
      </c>
      <c r="BK94" s="403" t="s">
        <v>143</v>
      </c>
      <c r="BL94" s="404" t="s">
        <v>144</v>
      </c>
      <c r="BM94" s="404" t="s">
        <v>145</v>
      </c>
      <c r="BN94" s="405" t="s">
        <v>30</v>
      </c>
      <c r="BQ94" s="44" t="s">
        <v>374</v>
      </c>
      <c r="BR94" s="44" t="s">
        <v>4659</v>
      </c>
    </row>
    <row r="95" spans="2:70" x14ac:dyDescent="0.2">
      <c r="AC95" s="26" t="s">
        <v>4482</v>
      </c>
      <c r="AD95" s="380" t="e">
        <f t="shared" ca="1" si="29"/>
        <v>#NAME?</v>
      </c>
      <c r="AE95" s="381" t="s">
        <v>4483</v>
      </c>
      <c r="AF95" s="382" t="e" cm="1">
        <f t="array" aca="1" ref="AF95" ca="1">_xll.SNL.Clients.Office.Excel.Functions.SPG($AE95, "SP_RATE_VALUE",AF$75,"Options:NA=NA")</f>
        <v>#NAME?</v>
      </c>
      <c r="AG95" s="382" t="e" cm="1">
        <f t="array" aca="1" ref="AG95" ca="1">_xll.SNL.Clients.Office.Excel.Functions.SPG($AE95, "SP_RATE_VALUE",AG$75,"Options:NA=NA")</f>
        <v>#NAME?</v>
      </c>
      <c r="AH95" s="383" t="e" cm="1">
        <f t="array" aca="1" ref="AH95" ca="1">_xll.SNL.Clients.Office.Excel.Functions.SPG($AE95, "SP_RATE_VALUE",AH$75,"Options:NA=NA")</f>
        <v>#NAME?</v>
      </c>
      <c r="AJ95" t="s">
        <v>4895</v>
      </c>
      <c r="AK95" s="392" t="e">
        <f t="shared" ca="1" si="12"/>
        <v>#NAME?</v>
      </c>
      <c r="AL95" s="392" t="e" cm="1">
        <f t="array" aca="1" ref="AL95" ca="1">IF(AJ95="","",_xll.SNL.Clients.Office.Excel.Functions.SPG(AJ95,"SPT_YTW",$L$15,"Options:NA=NA"))</f>
        <v>#NAME?</v>
      </c>
      <c r="AM95" s="392" t="e" cm="1">
        <f t="array" aca="1" ref="AM95" ca="1">IF(AJ95="","",_xll.SNL.Clients.Office.Excel.Functions.SPG(AJ95,"SPT_EOD_YTM_MID","EOD Close Price",$L$15,"Options:NA=NA"))</f>
        <v>#NAME?</v>
      </c>
      <c r="AN95" s="3" t="e" cm="1">
        <f t="array" aca="1" ref="AN95" ca="1">IF(OR(AJ95="",AK95="NA"),"",_xll.SNL.Clients.Office.Excel.Functions.SPG(AJ95,"SPT_ISSUE_DATE"))</f>
        <v>#NAME?</v>
      </c>
      <c r="AO95" s="2" t="e">
        <f ca="1">IF(OR($AJ95="",$AK95="NA",$AN95=""),"",RANK(AN95,$AN$58:$AN$1057)+COUNTIF($AN$58:AN95,AN95)-1)</f>
        <v>#NAME?</v>
      </c>
      <c r="AP95" s="3" t="e">
        <f t="shared" ca="1" si="13"/>
        <v>#NAME?</v>
      </c>
      <c r="AQ95" s="2" t="e">
        <f ca="1">IF(OR($AJ95="",$AK95="NA",$AP95=""),"",RANK(AP95,$AP$58:$AP$1057)+COUNTIF($AP$58:AP95,AP95)-1)</f>
        <v>#NAME?</v>
      </c>
      <c r="AY95" s="392"/>
      <c r="AZ95" s="3"/>
      <c r="BA95" s="2"/>
      <c r="BB95" s="3"/>
      <c r="BC95" s="2"/>
      <c r="BJ95" t="str">
        <f t="shared" si="30"/>
        <v>Kyrgyzstani Som</v>
      </c>
      <c r="BK95" s="403" t="s">
        <v>146</v>
      </c>
      <c r="BL95" s="404" t="s">
        <v>147</v>
      </c>
      <c r="BM95" s="404" t="s">
        <v>148</v>
      </c>
      <c r="BN95" s="405" t="s">
        <v>30</v>
      </c>
      <c r="BQ95" s="44" t="s">
        <v>357</v>
      </c>
      <c r="BR95" s="44" t="s">
        <v>4660</v>
      </c>
    </row>
    <row r="96" spans="2:70" x14ac:dyDescent="0.2">
      <c r="AC96" s="26" t="s">
        <v>4484</v>
      </c>
      <c r="AD96" s="380" t="e">
        <f t="shared" ca="1" si="29"/>
        <v>#NAME?</v>
      </c>
      <c r="AE96" s="381" t="s">
        <v>4485</v>
      </c>
      <c r="AF96" s="382" t="e" cm="1">
        <f t="array" aca="1" ref="AF96" ca="1">_xll.SNL.Clients.Office.Excel.Functions.SPG($AE96, "SP_RATE_VALUE",AF$75,"Options:NA=NA")</f>
        <v>#NAME?</v>
      </c>
      <c r="AG96" s="382" t="e" cm="1">
        <f t="array" aca="1" ref="AG96" ca="1">_xll.SNL.Clients.Office.Excel.Functions.SPG($AE96, "SP_RATE_VALUE",AG$75,"Options:NA=NA")</f>
        <v>#NAME?</v>
      </c>
      <c r="AH96" s="383" t="e" cm="1">
        <f t="array" aca="1" ref="AH96" ca="1">_xll.SNL.Clients.Office.Excel.Functions.SPG($AE96, "SP_RATE_VALUE",AH$75,"Options:NA=NA")</f>
        <v>#NAME?</v>
      </c>
      <c r="AJ96" t="s">
        <v>4898</v>
      </c>
      <c r="AK96" s="392" t="e">
        <f t="shared" ca="1" si="12"/>
        <v>#NAME?</v>
      </c>
      <c r="AL96" s="392" t="e" cm="1">
        <f t="array" aca="1" ref="AL96" ca="1">IF(AJ96="","",_xll.SNL.Clients.Office.Excel.Functions.SPG(AJ96,"SPT_YTW",$L$15,"Options:NA=NA"))</f>
        <v>#NAME?</v>
      </c>
      <c r="AM96" s="392" t="e" cm="1">
        <f t="array" aca="1" ref="AM96" ca="1">IF(AJ96="","",_xll.SNL.Clients.Office.Excel.Functions.SPG(AJ96,"SPT_EOD_YTM_MID","EOD Close Price",$L$15,"Options:NA=NA"))</f>
        <v>#NAME?</v>
      </c>
      <c r="AN96" s="3" t="e" cm="1">
        <f t="array" aca="1" ref="AN96" ca="1">IF(OR(AJ96="",AK96="NA"),"",_xll.SNL.Clients.Office.Excel.Functions.SPG(AJ96,"SPT_ISSUE_DATE"))</f>
        <v>#NAME?</v>
      </c>
      <c r="AO96" s="2" t="e">
        <f ca="1">IF(OR($AJ96="",$AK96="NA",$AN96=""),"",RANK(AN96,$AN$58:$AN$1057)+COUNTIF($AN$58:AN96,AN96)-1)</f>
        <v>#NAME?</v>
      </c>
      <c r="AP96" s="3" t="e">
        <f t="shared" ca="1" si="13"/>
        <v>#NAME?</v>
      </c>
      <c r="AQ96" s="2" t="e">
        <f ca="1">IF(OR($AJ96="",$AK96="NA",$AP96=""),"",RANK(AP96,$AP$58:$AP$1057)+COUNTIF($AP$58:AP96,AP96)-1)</f>
        <v>#NAME?</v>
      </c>
      <c r="AY96" s="392"/>
      <c r="AZ96" s="3"/>
      <c r="BA96" s="2"/>
      <c r="BB96" s="3"/>
      <c r="BC96" s="2"/>
      <c r="BJ96" t="str">
        <f t="shared" si="30"/>
        <v>Macedonian Denar</v>
      </c>
      <c r="BK96" s="403" t="s">
        <v>149</v>
      </c>
      <c r="BL96" s="404" t="s">
        <v>150</v>
      </c>
      <c r="BM96" s="404" t="s">
        <v>150</v>
      </c>
      <c r="BN96" s="405" t="s">
        <v>30</v>
      </c>
      <c r="BQ96" s="44" t="s">
        <v>379</v>
      </c>
      <c r="BR96" s="44" t="s">
        <v>4661</v>
      </c>
    </row>
    <row r="97" spans="2:70" x14ac:dyDescent="0.2">
      <c r="B97" s="92" t="str">
        <f>VLOOKUP("PROJECTED CASH FLOWS",Language_Data,Lookup_Column,FALSE)</f>
        <v>PROJECTED CASH FLOWS</v>
      </c>
      <c r="C97" s="93"/>
      <c r="D97" s="93"/>
      <c r="E97" s="93"/>
      <c r="F97" s="93"/>
      <c r="G97" s="93"/>
      <c r="H97" s="93"/>
      <c r="I97" s="93"/>
      <c r="J97" s="94"/>
      <c r="K97" s="94"/>
      <c r="L97" s="94"/>
      <c r="M97" s="94"/>
      <c r="N97" s="94"/>
      <c r="O97" s="94"/>
      <c r="P97" s="94"/>
      <c r="Q97" s="94"/>
      <c r="R97" s="94"/>
      <c r="S97" s="95"/>
      <c r="AC97" s="26" t="s">
        <v>4486</v>
      </c>
      <c r="AD97" s="380" t="e">
        <f t="shared" ca="1" si="29"/>
        <v>#NAME?</v>
      </c>
      <c r="AE97" s="381" t="s">
        <v>4487</v>
      </c>
      <c r="AF97" s="382" t="e" cm="1">
        <f t="array" aca="1" ref="AF97" ca="1">_xll.SNL.Clients.Office.Excel.Functions.SPG($AE97, "SP_RATE_VALUE",AF$75,"Options:NA=NA")</f>
        <v>#NAME?</v>
      </c>
      <c r="AG97" s="382" t="e" cm="1">
        <f t="array" aca="1" ref="AG97" ca="1">_xll.SNL.Clients.Office.Excel.Functions.SPG($AE97, "SP_RATE_VALUE",AG$75,"Options:NA=NA")</f>
        <v>#NAME?</v>
      </c>
      <c r="AH97" s="383" t="e" cm="1">
        <f t="array" aca="1" ref="AH97" ca="1">_xll.SNL.Clients.Office.Excel.Functions.SPG($AE97, "SP_RATE_VALUE",AH$75,"Options:NA=NA")</f>
        <v>#NAME?</v>
      </c>
      <c r="AJ97" t="s">
        <v>4902</v>
      </c>
      <c r="AK97" s="392" t="e">
        <f t="shared" ca="1" si="12"/>
        <v>#NAME?</v>
      </c>
      <c r="AL97" s="392" t="e" cm="1">
        <f t="array" aca="1" ref="AL97" ca="1">IF(AJ97="","",_xll.SNL.Clients.Office.Excel.Functions.SPG(AJ97,"SPT_YTW",$L$15,"Options:NA=NA"))</f>
        <v>#NAME?</v>
      </c>
      <c r="AM97" s="392" t="e" cm="1">
        <f t="array" aca="1" ref="AM97" ca="1">IF(AJ97="","",_xll.SNL.Clients.Office.Excel.Functions.SPG(AJ97,"SPT_EOD_YTM_MID","EOD Close Price",$L$15,"Options:NA=NA"))</f>
        <v>#NAME?</v>
      </c>
      <c r="AN97" s="3" t="e" cm="1">
        <f t="array" aca="1" ref="AN97" ca="1">IF(OR(AJ97="",AK97="NA"),"",_xll.SNL.Clients.Office.Excel.Functions.SPG(AJ97,"SPT_ISSUE_DATE"))</f>
        <v>#NAME?</v>
      </c>
      <c r="AO97" s="2" t="e">
        <f ca="1">IF(OR($AJ97="",$AK97="NA",$AN97=""),"",RANK(AN97,$AN$58:$AN$1057)+COUNTIF($AN$58:AN97,AN97)-1)</f>
        <v>#NAME?</v>
      </c>
      <c r="AP97" s="3" t="e">
        <f t="shared" ca="1" si="13"/>
        <v>#NAME?</v>
      </c>
      <c r="AQ97" s="2" t="e">
        <f ca="1">IF(OR($AJ97="",$AK97="NA",$AP97=""),"",RANK(AP97,$AP$58:$AP$1057)+COUNTIF($AP$58:AP97,AP97)-1)</f>
        <v>#NAME?</v>
      </c>
      <c r="AY97" s="392"/>
      <c r="AZ97" s="3"/>
      <c r="BA97" s="2"/>
      <c r="BB97" s="3"/>
      <c r="BC97" s="2"/>
      <c r="BJ97" t="str">
        <f t="shared" si="30"/>
        <v>Malaysian Ringgit</v>
      </c>
      <c r="BK97" s="403" t="s">
        <v>151</v>
      </c>
      <c r="BL97" s="404" t="s">
        <v>152</v>
      </c>
      <c r="BM97" s="404" t="s">
        <v>153</v>
      </c>
      <c r="BN97" s="405" t="s">
        <v>30</v>
      </c>
      <c r="BQ97" s="44" t="s">
        <v>339</v>
      </c>
      <c r="BR97" s="44" t="s">
        <v>4662</v>
      </c>
    </row>
    <row r="98" spans="2:70" x14ac:dyDescent="0.2">
      <c r="B98" s="142" t="str">
        <f>"("&amp;CAP_CURR&amp;" "&amp;VLOOKUP("in",Language_Data,Lookup_Column,FALSE)&amp;" "&amp;CAP_MAG&amp;VLOOKUP(", except per share data)",Language_Data,Lookup_Column,FALSE)</f>
        <v>(MXN In Millions, except per share data)</v>
      </c>
      <c r="AC98" s="26" t="s">
        <v>4488</v>
      </c>
      <c r="AD98" s="380" t="e">
        <f t="shared" ca="1" si="29"/>
        <v>#NAME?</v>
      </c>
      <c r="AE98" s="381" t="s">
        <v>4489</v>
      </c>
      <c r="AF98" s="382" t="e" cm="1">
        <f t="array" aca="1" ref="AF98" ca="1">_xll.SNL.Clients.Office.Excel.Functions.SPG($AE98, "SP_RATE_VALUE",AF$75,"Options:NA=NA")</f>
        <v>#NAME?</v>
      </c>
      <c r="AG98" s="382" t="e" cm="1">
        <f t="array" aca="1" ref="AG98" ca="1">_xll.SNL.Clients.Office.Excel.Functions.SPG($AE98, "SP_RATE_VALUE",AG$75,"Options:NA=NA")</f>
        <v>#NAME?</v>
      </c>
      <c r="AH98" s="383" t="e" cm="1">
        <f t="array" aca="1" ref="AH98" ca="1">_xll.SNL.Clients.Office.Excel.Functions.SPG($AE98, "SP_RATE_VALUE",AH$75,"Options:NA=NA")</f>
        <v>#NAME?</v>
      </c>
      <c r="AJ98" t="s">
        <v>4900</v>
      </c>
      <c r="AK98" s="392" t="e">
        <f t="shared" ca="1" si="12"/>
        <v>#NAME?</v>
      </c>
      <c r="AL98" s="392" t="e" cm="1">
        <f t="array" aca="1" ref="AL98" ca="1">IF(AJ98="","",_xll.SNL.Clients.Office.Excel.Functions.SPG(AJ98,"SPT_YTW",$L$15,"Options:NA=NA"))</f>
        <v>#NAME?</v>
      </c>
      <c r="AM98" s="392" t="e" cm="1">
        <f t="array" aca="1" ref="AM98" ca="1">IF(AJ98="","",_xll.SNL.Clients.Office.Excel.Functions.SPG(AJ98,"SPT_EOD_YTM_MID","EOD Close Price",$L$15,"Options:NA=NA"))</f>
        <v>#NAME?</v>
      </c>
      <c r="AN98" s="3" t="e" cm="1">
        <f t="array" aca="1" ref="AN98" ca="1">IF(OR(AJ98="",AK98="NA"),"",_xll.SNL.Clients.Office.Excel.Functions.SPG(AJ98,"SPT_ISSUE_DATE"))</f>
        <v>#NAME?</v>
      </c>
      <c r="AO98" s="2" t="e">
        <f ca="1">IF(OR($AJ98="",$AK98="NA",$AN98=""),"",RANK(AN98,$AN$58:$AN$1057)+COUNTIF($AN$58:AN98,AN98)-1)</f>
        <v>#NAME?</v>
      </c>
      <c r="AP98" s="3" t="e">
        <f t="shared" ca="1" si="13"/>
        <v>#NAME?</v>
      </c>
      <c r="AQ98" s="2" t="e">
        <f ca="1">IF(OR($AJ98="",$AK98="NA",$AP98=""),"",RANK(AP98,$AP$58:$AP$1057)+COUNTIF($AP$58:AP98,AP98)-1)</f>
        <v>#NAME?</v>
      </c>
      <c r="AY98" s="392"/>
      <c r="AZ98" s="3"/>
      <c r="BA98" s="2"/>
      <c r="BB98" s="3"/>
      <c r="BC98" s="2"/>
      <c r="BJ98" t="str">
        <f t="shared" si="30"/>
        <v>Mexican Peso</v>
      </c>
      <c r="BK98" s="403" t="s">
        <v>154</v>
      </c>
      <c r="BL98" s="404" t="s">
        <v>155</v>
      </c>
      <c r="BM98" s="404" t="s">
        <v>156</v>
      </c>
      <c r="BN98" s="405" t="s">
        <v>30</v>
      </c>
      <c r="BQ98" s="44" t="s">
        <v>380</v>
      </c>
      <c r="BR98" s="44" t="s">
        <v>4663</v>
      </c>
    </row>
    <row r="99" spans="2:70" hidden="1" outlineLevel="1" x14ac:dyDescent="0.2">
      <c r="B99" s="30"/>
      <c r="G99" s="216"/>
      <c r="H99" s="216" t="str">
        <f t="shared" ref="H99:M99" si="31">MI_ID</f>
        <v>BMV:BIMBO A</v>
      </c>
      <c r="I99" s="216" t="str">
        <f t="shared" si="31"/>
        <v>BMV:BIMBO A</v>
      </c>
      <c r="J99" s="216" t="str">
        <f t="shared" si="31"/>
        <v>BMV:BIMBO A</v>
      </c>
      <c r="K99" s="216" t="str">
        <f t="shared" si="31"/>
        <v>BMV:BIMBO A</v>
      </c>
      <c r="L99" s="216" t="str">
        <f t="shared" si="31"/>
        <v>BMV:BIMBO A</v>
      </c>
      <c r="M99" s="216" t="str">
        <f t="shared" si="31"/>
        <v>BMV:BIMBO A</v>
      </c>
      <c r="AC99" s="26" t="s">
        <v>4490</v>
      </c>
      <c r="AD99" s="380" t="e">
        <f t="shared" ca="1" si="29"/>
        <v>#NAME?</v>
      </c>
      <c r="AE99" s="381" t="s">
        <v>4491</v>
      </c>
      <c r="AF99" s="382" t="e" cm="1">
        <f t="array" aca="1" ref="AF99" ca="1">_xll.SNL.Clients.Office.Excel.Functions.SPG($AE99, "SP_RATE_VALUE",AF$75,"Options:NA=NA")</f>
        <v>#NAME?</v>
      </c>
      <c r="AG99" s="382" t="e" cm="1">
        <f t="array" aca="1" ref="AG99" ca="1">_xll.SNL.Clients.Office.Excel.Functions.SPG($AE99, "SP_RATE_VALUE",AG$75,"Options:NA=NA")</f>
        <v>#NAME?</v>
      </c>
      <c r="AH99" s="383" t="e" cm="1">
        <f t="array" aca="1" ref="AH99" ca="1">_xll.SNL.Clients.Office.Excel.Functions.SPG($AE99, "SP_RATE_VALUE",AH$75,"Options:NA=NA")</f>
        <v>#NAME?</v>
      </c>
      <c r="AJ99" t="s">
        <v>4899</v>
      </c>
      <c r="AK99" s="392" t="e">
        <f t="shared" ca="1" si="12"/>
        <v>#NAME?</v>
      </c>
      <c r="AL99" s="392" t="e" cm="1">
        <f t="array" aca="1" ref="AL99" ca="1">IF(AJ99="","",_xll.SNL.Clients.Office.Excel.Functions.SPG(AJ99,"SPT_YTW",$L$15,"Options:NA=NA"))</f>
        <v>#NAME?</v>
      </c>
      <c r="AM99" s="392" t="e" cm="1">
        <f t="array" aca="1" ref="AM99" ca="1">IF(AJ99="","",_xll.SNL.Clients.Office.Excel.Functions.SPG(AJ99,"SPT_EOD_YTM_MID","EOD Close Price",$L$15,"Options:NA=NA"))</f>
        <v>#NAME?</v>
      </c>
      <c r="AN99" s="3" t="e" cm="1">
        <f t="array" aca="1" ref="AN99" ca="1">IF(OR(AJ99="",AK99="NA"),"",_xll.SNL.Clients.Office.Excel.Functions.SPG(AJ99,"SPT_ISSUE_DATE"))</f>
        <v>#NAME?</v>
      </c>
      <c r="AO99" s="2" t="e">
        <f ca="1">IF(OR($AJ99="",$AK99="NA",$AN99=""),"",RANK(AN99,$AN$58:$AN$1057)+COUNTIF($AN$58:AN99,AN99)-1)</f>
        <v>#NAME?</v>
      </c>
      <c r="AP99" s="3" t="e">
        <f t="shared" ca="1" si="13"/>
        <v>#NAME?</v>
      </c>
      <c r="AQ99" s="2" t="e">
        <f ca="1">IF(OR($AJ99="",$AK99="NA",$AP99=""),"",RANK(AP99,$AP$58:$AP$1057)+COUNTIF($AP$58:AP99,AP99)-1)</f>
        <v>#NAME?</v>
      </c>
      <c r="AY99" s="392"/>
      <c r="AZ99" s="3"/>
      <c r="BA99" s="2"/>
      <c r="BB99" s="3"/>
      <c r="BC99" s="2"/>
      <c r="BJ99" t="str">
        <f t="shared" si="30"/>
        <v>Moldovan Leu</v>
      </c>
      <c r="BK99" s="403" t="s">
        <v>157</v>
      </c>
      <c r="BL99" s="404" t="s">
        <v>158</v>
      </c>
      <c r="BM99" s="404" t="s">
        <v>158</v>
      </c>
      <c r="BN99" s="405" t="s">
        <v>30</v>
      </c>
      <c r="BQ99" s="44" t="s">
        <v>266</v>
      </c>
      <c r="BR99" s="44" t="s">
        <v>4664</v>
      </c>
    </row>
    <row r="100" spans="2:70" hidden="1" outlineLevel="1" x14ac:dyDescent="0.2">
      <c r="B100" s="142"/>
      <c r="G100" s="215"/>
      <c r="H100" s="215" t="s">
        <v>4246</v>
      </c>
      <c r="I100" s="215" t="s">
        <v>4245</v>
      </c>
      <c r="J100" s="215" t="s">
        <v>4244</v>
      </c>
      <c r="K100" s="215" t="s">
        <v>4243</v>
      </c>
      <c r="L100" s="215" t="s">
        <v>4242</v>
      </c>
      <c r="M100" s="216" t="s">
        <v>4241</v>
      </c>
      <c r="AC100" s="26" t="s">
        <v>4492</v>
      </c>
      <c r="AD100" s="380" t="e">
        <f t="shared" ca="1" si="29"/>
        <v>#NAME?</v>
      </c>
      <c r="AE100" s="381" t="s">
        <v>4493</v>
      </c>
      <c r="AF100" s="382" t="e" cm="1">
        <f t="array" aca="1" ref="AF100" ca="1">_xll.SNL.Clients.Office.Excel.Functions.SPG($AE100, "SP_RATE_VALUE",AF$75,"Options:NA=NA")</f>
        <v>#NAME?</v>
      </c>
      <c r="AG100" s="382" t="e" cm="1">
        <f t="array" aca="1" ref="AG100" ca="1">_xll.SNL.Clients.Office.Excel.Functions.SPG($AE100, "SP_RATE_VALUE",AG$75,"Options:NA=NA")</f>
        <v>#NAME?</v>
      </c>
      <c r="AH100" s="383" t="e" cm="1">
        <f t="array" aca="1" ref="AH100" ca="1">_xll.SNL.Clients.Office.Excel.Functions.SPG($AE100, "SP_RATE_VALUE",AH$75,"Options:NA=NA")</f>
        <v>#NAME?</v>
      </c>
      <c r="AJ100" t="s">
        <v>4901</v>
      </c>
      <c r="AK100" s="392" t="e">
        <f t="shared" ca="1" si="12"/>
        <v>#NAME?</v>
      </c>
      <c r="AL100" s="392" t="e" cm="1">
        <f t="array" aca="1" ref="AL100" ca="1">IF(AJ100="","",_xll.SNL.Clients.Office.Excel.Functions.SPG(AJ100,"SPT_YTW",$L$15,"Options:NA=NA"))</f>
        <v>#NAME?</v>
      </c>
      <c r="AM100" s="392" t="e" cm="1">
        <f t="array" aca="1" ref="AM100" ca="1">IF(AJ100="","",_xll.SNL.Clients.Office.Excel.Functions.SPG(AJ100,"SPT_EOD_YTM_MID","EOD Close Price",$L$15,"Options:NA=NA"))</f>
        <v>#NAME?</v>
      </c>
      <c r="AN100" s="3" t="e" cm="1">
        <f t="array" aca="1" ref="AN100" ca="1">IF(OR(AJ100="",AK100="NA"),"",_xll.SNL.Clients.Office.Excel.Functions.SPG(AJ100,"SPT_ISSUE_DATE"))</f>
        <v>#NAME?</v>
      </c>
      <c r="AO100" s="2" t="e">
        <f ca="1">IF(OR($AJ100="",$AK100="NA",$AN100=""),"",RANK(AN100,$AN$58:$AN$1057)+COUNTIF($AN$58:AN100,AN100)-1)</f>
        <v>#NAME?</v>
      </c>
      <c r="AP100" s="3" t="e">
        <f t="shared" ca="1" si="13"/>
        <v>#NAME?</v>
      </c>
      <c r="AQ100" s="2" t="e">
        <f ca="1">IF(OR($AJ100="",$AK100="NA",$AP100=""),"",RANK(AP100,$AP$58:$AP$1057)+COUNTIF($AP$58:AP100,AP100)-1)</f>
        <v>#NAME?</v>
      </c>
      <c r="AY100" s="392"/>
      <c r="AZ100" s="3"/>
      <c r="BA100" s="2"/>
      <c r="BB100" s="3"/>
      <c r="BC100" s="2"/>
      <c r="BJ100" t="str">
        <f t="shared" si="30"/>
        <v>Mongolian Tugrik</v>
      </c>
      <c r="BK100" s="403" t="s">
        <v>159</v>
      </c>
      <c r="BL100" s="404" t="s">
        <v>160</v>
      </c>
      <c r="BM100" s="404" t="s">
        <v>161</v>
      </c>
      <c r="BN100" s="405" t="s">
        <v>40</v>
      </c>
      <c r="BQ100" s="44" t="s">
        <v>313</v>
      </c>
      <c r="BR100" s="44" t="s">
        <v>4665</v>
      </c>
    </row>
    <row r="101" spans="2:70" hidden="1" outlineLevel="1" x14ac:dyDescent="0.2">
      <c r="B101" s="7"/>
      <c r="H101" s="31">
        <f t="shared" ref="H101:M101" si="32">$L$15</f>
        <v>46311.25</v>
      </c>
      <c r="I101" s="31">
        <f t="shared" si="32"/>
        <v>46311.25</v>
      </c>
      <c r="J101" s="31">
        <f t="shared" si="32"/>
        <v>46311.25</v>
      </c>
      <c r="K101" s="31">
        <f t="shared" si="32"/>
        <v>46311.25</v>
      </c>
      <c r="L101" s="31">
        <f t="shared" si="32"/>
        <v>46311.25</v>
      </c>
      <c r="M101" s="31">
        <f t="shared" si="32"/>
        <v>46311.25</v>
      </c>
      <c r="AC101" s="26" t="s">
        <v>4494</v>
      </c>
      <c r="AD101" s="380" t="e">
        <f t="shared" ca="1" si="29"/>
        <v>#NAME?</v>
      </c>
      <c r="AE101" s="381" t="s">
        <v>4495</v>
      </c>
      <c r="AF101" s="382" t="e" cm="1">
        <f t="array" aca="1" ref="AF101" ca="1">_xll.SNL.Clients.Office.Excel.Functions.SPG($AE101, "SP_RATE_VALUE",AF$75,"Options:NA=NA")</f>
        <v>#NAME?</v>
      </c>
      <c r="AG101" s="382" t="e" cm="1">
        <f t="array" aca="1" ref="AG101" ca="1">_xll.SNL.Clients.Office.Excel.Functions.SPG($AE101, "SP_RATE_VALUE",AG$75,"Options:NA=NA")</f>
        <v>#NAME?</v>
      </c>
      <c r="AH101" s="383" t="e" cm="1">
        <f t="array" aca="1" ref="AH101" ca="1">_xll.SNL.Clients.Office.Excel.Functions.SPG($AE101, "SP_RATE_VALUE",AH$75,"Options:NA=NA")</f>
        <v>#NAME?</v>
      </c>
      <c r="AJ101" t="s">
        <v>4903</v>
      </c>
      <c r="AK101" s="392" t="e">
        <f t="shared" ca="1" si="12"/>
        <v>#NAME?</v>
      </c>
      <c r="AL101" s="392" t="e" cm="1">
        <f t="array" aca="1" ref="AL101" ca="1">IF(AJ101="","",_xll.SNL.Clients.Office.Excel.Functions.SPG(AJ101,"SPT_YTW",$L$15,"Options:NA=NA"))</f>
        <v>#NAME?</v>
      </c>
      <c r="AM101" s="392" t="e" cm="1">
        <f t="array" aca="1" ref="AM101" ca="1">IF(AJ101="","",_xll.SNL.Clients.Office.Excel.Functions.SPG(AJ101,"SPT_EOD_YTM_MID","EOD Close Price",$L$15,"Options:NA=NA"))</f>
        <v>#NAME?</v>
      </c>
      <c r="AN101" s="3" t="e" cm="1">
        <f t="array" aca="1" ref="AN101" ca="1">IF(OR(AJ101="",AK101="NA"),"",_xll.SNL.Clients.Office.Excel.Functions.SPG(AJ101,"SPT_ISSUE_DATE"))</f>
        <v>#NAME?</v>
      </c>
      <c r="AO101" s="2" t="e">
        <f ca="1">IF(OR($AJ101="",$AK101="NA",$AN101=""),"",RANK(AN101,$AN$58:$AN$1057)+COUNTIF($AN$58:AN101,AN101)-1)</f>
        <v>#NAME?</v>
      </c>
      <c r="AP101" s="3" t="e">
        <f t="shared" ca="1" si="13"/>
        <v>#NAME?</v>
      </c>
      <c r="AQ101" s="2" t="e">
        <f ca="1">IF(OR($AJ101="",$AK101="NA",$AP101=""),"",RANK(AP101,$AP$58:$AP$1057)+COUNTIF($AP$58:AP101,AP101)-1)</f>
        <v>#NAME?</v>
      </c>
      <c r="AY101" s="392"/>
      <c r="AZ101" s="3"/>
      <c r="BA101" s="2"/>
      <c r="BB101" s="3"/>
      <c r="BC101" s="2"/>
      <c r="BJ101" t="str">
        <f t="shared" si="30"/>
        <v>Moroccan Dirham</v>
      </c>
      <c r="BK101" s="403" t="s">
        <v>162</v>
      </c>
      <c r="BL101" s="404" t="s">
        <v>163</v>
      </c>
      <c r="BM101" s="404" t="s">
        <v>164</v>
      </c>
      <c r="BN101" s="405" t="s">
        <v>30</v>
      </c>
      <c r="BQ101" s="44" t="s">
        <v>314</v>
      </c>
      <c r="BR101" s="44" t="s">
        <v>4666</v>
      </c>
    </row>
    <row r="102" spans="2:70" collapsed="1" x14ac:dyDescent="0.2">
      <c r="B102" s="7"/>
      <c r="H102" s="15"/>
      <c r="I102" s="146" t="str">
        <f>VLOOKUP("Fiscal Year Ending",Language_Data,Lookup_Column,FALSE)&amp;" "&amp;VLOOKUP("December",Language_Data,Lookup_Column,FALSE)</f>
        <v>Fiscal Year Ending December</v>
      </c>
      <c r="J102" s="141"/>
      <c r="K102" s="141"/>
      <c r="L102" s="141"/>
      <c r="M102" s="141"/>
      <c r="N102" s="141"/>
      <c r="O102" s="141"/>
      <c r="P102" s="141"/>
      <c r="Q102" s="141"/>
      <c r="R102" s="15"/>
      <c r="S102" s="147" t="str">
        <f>VLOOKUP("CAGR",Language_Data,Lookup_Column,FALSE)</f>
        <v>CAGR</v>
      </c>
      <c r="W102" s="7"/>
      <c r="X102" s="7"/>
      <c r="Y102" s="7"/>
      <c r="Z102" s="7"/>
      <c r="AA102" s="7"/>
      <c r="AB102" s="7"/>
      <c r="AC102" s="26" t="s">
        <v>4496</v>
      </c>
      <c r="AD102" s="380" t="e">
        <f t="shared" ca="1" si="29"/>
        <v>#NAME?</v>
      </c>
      <c r="AE102" s="381" t="s">
        <v>4497</v>
      </c>
      <c r="AF102" s="382" t="e" cm="1">
        <f t="array" aca="1" ref="AF102" ca="1">_xll.SNL.Clients.Office.Excel.Functions.SPG($AE102, "SP_RATE_VALUE",AF$75,"Options:NA=NA")</f>
        <v>#NAME?</v>
      </c>
      <c r="AG102" s="382" t="e" cm="1">
        <f t="array" aca="1" ref="AG102" ca="1">_xll.SNL.Clients.Office.Excel.Functions.SPG($AE102, "SP_RATE_VALUE",AG$75,"Options:NA=NA")</f>
        <v>#NAME?</v>
      </c>
      <c r="AH102" s="383" t="e" cm="1">
        <f t="array" aca="1" ref="AH102" ca="1">_xll.SNL.Clients.Office.Excel.Functions.SPG($AE102, "SP_RATE_VALUE",AH$75,"Options:NA=NA")</f>
        <v>#NAME?</v>
      </c>
      <c r="AJ102" t="s">
        <v>4904</v>
      </c>
      <c r="AK102" s="392" t="e">
        <f t="shared" ca="1" si="12"/>
        <v>#NAME?</v>
      </c>
      <c r="AL102" s="392" t="e" cm="1">
        <f t="array" aca="1" ref="AL102" ca="1">IF(AJ102="","",_xll.SNL.Clients.Office.Excel.Functions.SPG(AJ102,"SPT_YTW",$L$15,"Options:NA=NA"))</f>
        <v>#NAME?</v>
      </c>
      <c r="AM102" s="392" t="e" cm="1">
        <f t="array" aca="1" ref="AM102" ca="1">IF(AJ102="","",_xll.SNL.Clients.Office.Excel.Functions.SPG(AJ102,"SPT_EOD_YTM_MID","EOD Close Price",$L$15,"Options:NA=NA"))</f>
        <v>#NAME?</v>
      </c>
      <c r="AN102" s="3" t="e" cm="1">
        <f t="array" aca="1" ref="AN102" ca="1">IF(OR(AJ102="",AK102="NA"),"",_xll.SNL.Clients.Office.Excel.Functions.SPG(AJ102,"SPT_ISSUE_DATE"))</f>
        <v>#NAME?</v>
      </c>
      <c r="AO102" s="2" t="e">
        <f ca="1">IF(OR($AJ102="",$AK102="NA",$AN102=""),"",RANK(AN102,$AN$58:$AN$1057)+COUNTIF($AN$58:AN102,AN102)-1)</f>
        <v>#NAME?</v>
      </c>
      <c r="AP102" s="3" t="e">
        <f t="shared" ca="1" si="13"/>
        <v>#NAME?</v>
      </c>
      <c r="AQ102" s="2" t="e">
        <f ca="1">IF(OR($AJ102="",$AK102="NA",$AP102=""),"",RANK(AP102,$AP$58:$AP$1057)+COUNTIF($AP$58:AP102,AP102)-1)</f>
        <v>#NAME?</v>
      </c>
      <c r="AY102" s="392"/>
      <c r="AZ102" s="3"/>
      <c r="BA102" s="2"/>
      <c r="BB102" s="3"/>
      <c r="BC102" s="2"/>
      <c r="BJ102" t="str">
        <f t="shared" si="30"/>
        <v>New Israeli Shekel</v>
      </c>
      <c r="BK102" s="403" t="s">
        <v>165</v>
      </c>
      <c r="BL102" s="404" t="s">
        <v>166</v>
      </c>
      <c r="BM102" s="404" t="s">
        <v>167</v>
      </c>
      <c r="BN102" s="405" t="s">
        <v>30</v>
      </c>
      <c r="BQ102" s="44" t="s">
        <v>267</v>
      </c>
      <c r="BR102" s="44" t="s">
        <v>4667</v>
      </c>
    </row>
    <row r="103" spans="2:70" x14ac:dyDescent="0.2">
      <c r="B103" s="7"/>
      <c r="G103" s="34" t="s">
        <v>4247</v>
      </c>
      <c r="H103" s="245">
        <v>2020</v>
      </c>
      <c r="I103" s="245">
        <v>2021</v>
      </c>
      <c r="J103" s="245">
        <v>2022</v>
      </c>
      <c r="K103" s="245">
        <v>2023</v>
      </c>
      <c r="L103" s="245">
        <v>2024</v>
      </c>
      <c r="M103" s="245">
        <v>2025</v>
      </c>
      <c r="N103" s="237">
        <f>IF(M103="","",IFERROR(M103+1,""""))</f>
        <v>2026</v>
      </c>
      <c r="O103" s="237">
        <f>IF(N103="","",IFERROR(N103+1,""""))</f>
        <v>2027</v>
      </c>
      <c r="P103" s="237">
        <f>IF(O103="","",IFERROR(O103+1,""""))</f>
        <v>2028</v>
      </c>
      <c r="Q103" s="237">
        <f>IF(P103="","",IFERROR(P103+1,""""))</f>
        <v>2029</v>
      </c>
      <c r="R103" s="237">
        <f>IF(Q103="","",IFERROR(Q103+1,""""))</f>
        <v>2030</v>
      </c>
      <c r="S103" s="148" t="str">
        <f>IF(AND(N103="",R103=""),"",N103&amp;"-"&amp;R103)</f>
        <v>2026-2030</v>
      </c>
      <c r="W103" s="7"/>
      <c r="X103" s="7"/>
      <c r="Y103" s="7"/>
      <c r="Z103" s="7"/>
      <c r="AA103" s="7"/>
      <c r="AB103" s="7"/>
      <c r="AC103" s="26" t="s">
        <v>4498</v>
      </c>
      <c r="AD103" s="380" t="e">
        <f t="shared" ca="1" si="29"/>
        <v>#NAME?</v>
      </c>
      <c r="AE103" s="381" t="s">
        <v>4499</v>
      </c>
      <c r="AF103" s="382" t="e" cm="1">
        <f t="array" aca="1" ref="AF103" ca="1">_xll.SNL.Clients.Office.Excel.Functions.SPG($AE103, "SP_RATE_VALUE",AF$75,"Options:NA=NA")</f>
        <v>#NAME?</v>
      </c>
      <c r="AG103" s="382" t="e" cm="1">
        <f t="array" aca="1" ref="AG103" ca="1">_xll.SNL.Clients.Office.Excel.Functions.SPG($AE103, "SP_RATE_VALUE",AG$75,"Options:NA=NA")</f>
        <v>#NAME?</v>
      </c>
      <c r="AH103" s="383" t="e" cm="1">
        <f t="array" aca="1" ref="AH103" ca="1">_xll.SNL.Clients.Office.Excel.Functions.SPG($AE103, "SP_RATE_VALUE",AH$75,"Options:NA=NA")</f>
        <v>#NAME?</v>
      </c>
      <c r="AJ103" t="s">
        <v>4905</v>
      </c>
      <c r="AK103" s="392" t="e">
        <f t="shared" ca="1" si="12"/>
        <v>#NAME?</v>
      </c>
      <c r="AL103" s="392" t="e" cm="1">
        <f t="array" aca="1" ref="AL103" ca="1">IF(AJ103="","",_xll.SNL.Clients.Office.Excel.Functions.SPG(AJ103,"SPT_YTW",$L$15,"Options:NA=NA"))</f>
        <v>#NAME?</v>
      </c>
      <c r="AM103" s="392" t="e" cm="1">
        <f t="array" aca="1" ref="AM103" ca="1">IF(AJ103="","",_xll.SNL.Clients.Office.Excel.Functions.SPG(AJ103,"SPT_EOD_YTM_MID","EOD Close Price",$L$15,"Options:NA=NA"))</f>
        <v>#NAME?</v>
      </c>
      <c r="AN103" s="3" t="e" cm="1">
        <f t="array" aca="1" ref="AN103" ca="1">IF(OR(AJ103="",AK103="NA"),"",_xll.SNL.Clients.Office.Excel.Functions.SPG(AJ103,"SPT_ISSUE_DATE"))</f>
        <v>#NAME?</v>
      </c>
      <c r="AO103" s="2" t="e">
        <f ca="1">IF(OR($AJ103="",$AK103="NA",$AN103=""),"",RANK(AN103,$AN$58:$AN$1057)+COUNTIF($AN$58:AN103,AN103)-1)</f>
        <v>#NAME?</v>
      </c>
      <c r="AP103" s="3" t="e">
        <f t="shared" ca="1" si="13"/>
        <v>#NAME?</v>
      </c>
      <c r="AQ103" s="2" t="e">
        <f ca="1">IF(OR($AJ103="",$AK103="NA",$AP103=""),"",RANK(AP103,$AP$58:$AP$1057)+COUNTIF($AP$58:AP103,AP103)-1)</f>
        <v>#NAME?</v>
      </c>
      <c r="AY103" s="392"/>
      <c r="AZ103" s="3"/>
      <c r="BA103" s="2"/>
      <c r="BB103" s="3"/>
      <c r="BC103" s="2"/>
      <c r="BJ103" t="str">
        <f t="shared" si="30"/>
        <v>New Taiwan Dollar</v>
      </c>
      <c r="BK103" s="403" t="s">
        <v>168</v>
      </c>
      <c r="BL103" s="404" t="s">
        <v>169</v>
      </c>
      <c r="BM103" s="404" t="s">
        <v>170</v>
      </c>
      <c r="BN103" s="405" t="s">
        <v>30</v>
      </c>
      <c r="BQ103" s="44" t="s">
        <v>315</v>
      </c>
      <c r="BR103" s="44" t="s">
        <v>4668</v>
      </c>
    </row>
    <row r="104" spans="2:70" x14ac:dyDescent="0.2">
      <c r="B104" s="7"/>
      <c r="H104" s="160"/>
      <c r="I104" s="255"/>
      <c r="J104" s="255"/>
      <c r="K104" s="255"/>
      <c r="L104" s="255"/>
      <c r="M104" s="255"/>
      <c r="N104" s="255"/>
      <c r="O104" s="255"/>
      <c r="P104" s="255"/>
      <c r="Q104" s="255"/>
      <c r="R104" s="255"/>
      <c r="S104" s="212"/>
      <c r="W104" s="7"/>
      <c r="X104" s="7"/>
      <c r="Y104" s="7"/>
      <c r="Z104" s="255"/>
      <c r="AA104" s="255"/>
      <c r="AB104" s="255"/>
      <c r="AC104" s="26" t="s">
        <v>4500</v>
      </c>
      <c r="AD104" s="380" t="e">
        <f t="shared" ca="1" si="29"/>
        <v>#NAME?</v>
      </c>
      <c r="AE104" s="381" t="s">
        <v>4501</v>
      </c>
      <c r="AF104" s="382" t="e" cm="1">
        <f t="array" aca="1" ref="AF104" ca="1">_xll.SNL.Clients.Office.Excel.Functions.SPG($AE104, "SP_RATE_VALUE",AF$75,"Options:NA=NA")</f>
        <v>#NAME?</v>
      </c>
      <c r="AG104" s="382" t="e" cm="1">
        <f t="array" aca="1" ref="AG104" ca="1">_xll.SNL.Clients.Office.Excel.Functions.SPG($AE104, "SP_RATE_VALUE",AG$75,"Options:NA=NA")</f>
        <v>#NAME?</v>
      </c>
      <c r="AH104" s="383" t="e" cm="1">
        <f t="array" aca="1" ref="AH104" ca="1">_xll.SNL.Clients.Office.Excel.Functions.SPG($AE104, "SP_RATE_VALUE",AH$75,"Options:NA=NA")</f>
        <v>#NAME?</v>
      </c>
      <c r="AJ104" t="s">
        <v>4906</v>
      </c>
      <c r="AK104" s="392" t="e">
        <f t="shared" ca="1" si="12"/>
        <v>#NAME?</v>
      </c>
      <c r="AL104" s="392" t="e" cm="1">
        <f t="array" aca="1" ref="AL104" ca="1">IF(AJ104="","",_xll.SNL.Clients.Office.Excel.Functions.SPG(AJ104,"SPT_YTW",$L$15,"Options:NA=NA"))</f>
        <v>#NAME?</v>
      </c>
      <c r="AM104" s="392" t="e" cm="1">
        <f t="array" aca="1" ref="AM104" ca="1">IF(AJ104="","",_xll.SNL.Clients.Office.Excel.Functions.SPG(AJ104,"SPT_EOD_YTM_MID","EOD Close Price",$L$15,"Options:NA=NA"))</f>
        <v>#NAME?</v>
      </c>
      <c r="AN104" s="3" t="e" cm="1">
        <f t="array" aca="1" ref="AN104" ca="1">IF(OR(AJ104="",AK104="NA"),"",_xll.SNL.Clients.Office.Excel.Functions.SPG(AJ104,"SPT_ISSUE_DATE"))</f>
        <v>#NAME?</v>
      </c>
      <c r="AO104" s="2" t="e">
        <f ca="1">IF(OR($AJ104="",$AK104="NA",$AN104=""),"",RANK(AN104,$AN$58:$AN$1057)+COUNTIF($AN$58:AN104,AN104)-1)</f>
        <v>#NAME?</v>
      </c>
      <c r="AP104" s="3" t="e">
        <f t="shared" ca="1" si="13"/>
        <v>#NAME?</v>
      </c>
      <c r="AQ104" s="2" t="e">
        <f ca="1">IF(OR($AJ104="",$AK104="NA",$AP104=""),"",RANK(AP104,$AP$58:$AP$1057)+COUNTIF($AP$58:AP104,AP104)-1)</f>
        <v>#NAME?</v>
      </c>
      <c r="AY104" s="392"/>
      <c r="AZ104" s="3"/>
      <c r="BA104" s="2"/>
      <c r="BB104" s="3"/>
      <c r="BC104" s="2"/>
      <c r="BJ104" t="str">
        <f t="shared" si="30"/>
        <v>New Zealand Dollar</v>
      </c>
      <c r="BK104" s="403" t="s">
        <v>171</v>
      </c>
      <c r="BL104" s="404" t="s">
        <v>172</v>
      </c>
      <c r="BM104" s="404" t="s">
        <v>173</v>
      </c>
      <c r="BN104" s="405" t="s">
        <v>30</v>
      </c>
      <c r="BQ104" s="44" t="s">
        <v>384</v>
      </c>
      <c r="BR104" s="44" t="s">
        <v>4669</v>
      </c>
    </row>
    <row r="105" spans="2:70" x14ac:dyDescent="0.2">
      <c r="B105" s="7" t="str">
        <f>VLOOKUP("Total Revenue",Language_Data,Lookup_Column,FALSE)</f>
        <v>Total Revenue</v>
      </c>
      <c r="G105" s="34" t="s">
        <v>516</v>
      </c>
      <c r="H105" s="6" t="s">
        <v>5614</v>
      </c>
      <c r="I105" s="6">
        <f>Independent_DCF_Inputs!B33</f>
        <v>338792</v>
      </c>
      <c r="J105" s="6">
        <f>Independent_DCF_Inputs!C33</f>
        <v>398706</v>
      </c>
      <c r="K105" s="6">
        <f>Independent_DCF_Inputs!D33</f>
        <v>399879</v>
      </c>
      <c r="L105" s="6">
        <f>Independent_DCF_Inputs!E33</f>
        <v>408335</v>
      </c>
      <c r="M105" s="6">
        <f>Independent_DCF_Inputs!F33</f>
        <v>426952</v>
      </c>
      <c r="N105" s="218">
        <f>IFERROR(M105*(1+N106),"NA")</f>
        <v>426274.73254</v>
      </c>
      <c r="O105" s="218">
        <f>IFERROR(N105*(1+O106),"NA")</f>
        <v>445287.95780000009</v>
      </c>
      <c r="P105" s="218">
        <f>IFERROR(O105*(1+P106),"NA")</f>
        <v>468430.90583</v>
      </c>
      <c r="Q105" s="218">
        <f>IFERROR(P105*(1+Q106),"NA")</f>
        <v>490447.15840401</v>
      </c>
      <c r="R105" s="218">
        <f>IFERROR(Q105*(1+R106),"NA")</f>
        <v>511536.38621538237</v>
      </c>
      <c r="S105" s="157">
        <f>IFERROR((R105/N105)^(1/4)-1,"NA")</f>
        <v>4.6638570240225885E-2</v>
      </c>
      <c r="W105" s="7"/>
      <c r="X105" s="7"/>
      <c r="Y105" s="160"/>
      <c r="Z105" s="160"/>
      <c r="AA105" s="160"/>
      <c r="AB105" s="160"/>
      <c r="AC105" s="26" t="s">
        <v>4502</v>
      </c>
      <c r="AD105" s="380" t="e">
        <f t="shared" ca="1" si="29"/>
        <v>#NAME?</v>
      </c>
      <c r="AE105" s="381" t="s">
        <v>4503</v>
      </c>
      <c r="AF105" s="382" t="e" cm="1">
        <f t="array" aca="1" ref="AF105" ca="1">_xll.SNL.Clients.Office.Excel.Functions.SPG($AE105, "SP_RATE_VALUE",AF$75,"Options:NA=NA")</f>
        <v>#NAME?</v>
      </c>
      <c r="AG105" s="382" t="e" cm="1">
        <f t="array" aca="1" ref="AG105" ca="1">_xll.SNL.Clients.Office.Excel.Functions.SPG($AE105, "SP_RATE_VALUE",AG$75,"Options:NA=NA")</f>
        <v>#NAME?</v>
      </c>
      <c r="AH105" s="383" t="e" cm="1">
        <f t="array" aca="1" ref="AH105" ca="1">_xll.SNL.Clients.Office.Excel.Functions.SPG($AE105, "SP_RATE_VALUE",AH$75,"Options:NA=NA")</f>
        <v>#NAME?</v>
      </c>
      <c r="AJ105" t="s">
        <v>4907</v>
      </c>
      <c r="AK105" s="392" t="e">
        <f t="shared" ca="1" si="12"/>
        <v>#NAME?</v>
      </c>
      <c r="AL105" s="392" t="e" cm="1">
        <f t="array" aca="1" ref="AL105" ca="1">IF(AJ105="","",_xll.SNL.Clients.Office.Excel.Functions.SPG(AJ105,"SPT_YTW",$L$15,"Options:NA=NA"))</f>
        <v>#NAME?</v>
      </c>
      <c r="AM105" s="392" t="e" cm="1">
        <f t="array" aca="1" ref="AM105" ca="1">IF(AJ105="","",_xll.SNL.Clients.Office.Excel.Functions.SPG(AJ105,"SPT_EOD_YTM_MID","EOD Close Price",$L$15,"Options:NA=NA"))</f>
        <v>#NAME?</v>
      </c>
      <c r="AN105" s="3" t="e" cm="1">
        <f t="array" aca="1" ref="AN105" ca="1">IF(OR(AJ105="",AK105="NA"),"",_xll.SNL.Clients.Office.Excel.Functions.SPG(AJ105,"SPT_ISSUE_DATE"))</f>
        <v>#NAME?</v>
      </c>
      <c r="AO105" s="2" t="e">
        <f ca="1">IF(OR($AJ105="",$AK105="NA",$AN105=""),"",RANK(AN105,$AN$58:$AN$1057)+COUNTIF($AN$58:AN105,AN105)-1)</f>
        <v>#NAME?</v>
      </c>
      <c r="AP105" s="3" t="e">
        <f t="shared" ca="1" si="13"/>
        <v>#NAME?</v>
      </c>
      <c r="AQ105" s="2" t="e">
        <f ca="1">IF(OR($AJ105="",$AK105="NA",$AP105=""),"",RANK(AP105,$AP$58:$AP$1057)+COUNTIF($AP$58:AP105,AP105)-1)</f>
        <v>#NAME?</v>
      </c>
      <c r="AY105" s="392"/>
      <c r="AZ105" s="3"/>
      <c r="BA105" s="2"/>
      <c r="BB105" s="3"/>
      <c r="BC105" s="2"/>
      <c r="BJ105" t="str">
        <f t="shared" si="30"/>
        <v>Norwegian Krone</v>
      </c>
      <c r="BK105" s="403" t="s">
        <v>174</v>
      </c>
      <c r="BL105" s="404" t="s">
        <v>175</v>
      </c>
      <c r="BM105" s="404" t="s">
        <v>176</v>
      </c>
      <c r="BN105" s="405" t="s">
        <v>30</v>
      </c>
      <c r="BQ105" s="44" t="s">
        <v>321</v>
      </c>
      <c r="BR105" s="44" t="s">
        <v>4670</v>
      </c>
    </row>
    <row r="106" spans="2:70" x14ac:dyDescent="0.2">
      <c r="B106" s="143" t="str">
        <f>VLOOKUP("Annual Growth",Language_Data,Lookup_Column,FALSE)</f>
        <v>Annual Growth</v>
      </c>
      <c r="G106" s="34"/>
      <c r="H106" s="248"/>
      <c r="I106" s="2"/>
      <c r="J106" s="157">
        <f>IF(ISERROR(+J105/I105-1),"NA",+J105/I105-1)</f>
        <v>0.17684597038891114</v>
      </c>
      <c r="K106" s="157">
        <f>IF(ISERROR(+K105/J105-1),"NA",+K105/J105-1)</f>
        <v>2.9420174263743437E-3</v>
      </c>
      <c r="L106" s="157">
        <f>IF(ISERROR(+L105/K105-1),"NA",+L105/K105-1)</f>
        <v>2.1146396785027388E-2</v>
      </c>
      <c r="M106" s="157">
        <f>IF(ISERROR(+M105/L105-1),"NA",+M105/L105-1)</f>
        <v>4.5592466969522683E-2</v>
      </c>
      <c r="N106" s="239">
        <f>Independent_DCF_Inputs!B24</f>
        <v>-1.5862847814274161E-3</v>
      </c>
      <c r="O106" s="157">
        <f>Independent_DCF_Inputs!C24</f>
        <v>4.4603219024284879E-2</v>
      </c>
      <c r="P106" s="157">
        <f>Independent_DCF_Inputs!D24</f>
        <v>5.1972993261125922E-2</v>
      </c>
      <c r="Q106" s="157">
        <f>Independent_DCF_Inputs!E24</f>
        <v>4.7E-2</v>
      </c>
      <c r="R106" s="157">
        <f>Independent_DCF_Inputs!F24</f>
        <v>4.2999999999999997E-2</v>
      </c>
      <c r="S106" s="2"/>
      <c r="W106" s="7"/>
      <c r="X106" s="7"/>
      <c r="Y106" s="160"/>
      <c r="Z106" s="160"/>
      <c r="AA106" s="160"/>
      <c r="AB106" s="160"/>
      <c r="AC106" s="26" t="s">
        <v>4504</v>
      </c>
      <c r="AD106" s="380" t="e">
        <f t="shared" ca="1" si="29"/>
        <v>#NAME?</v>
      </c>
      <c r="AE106" s="381" t="s">
        <v>4505</v>
      </c>
      <c r="AF106" s="382" t="e" cm="1">
        <f t="array" aca="1" ref="AF106" ca="1">_xll.SNL.Clients.Office.Excel.Functions.SPG($AE106, "SP_RATE_VALUE",AF$75,"Options:NA=NA")</f>
        <v>#NAME?</v>
      </c>
      <c r="AG106" s="382" t="e" cm="1">
        <f t="array" aca="1" ref="AG106" ca="1">_xll.SNL.Clients.Office.Excel.Functions.SPG($AE106, "SP_RATE_VALUE",AG$75,"Options:NA=NA")</f>
        <v>#NAME?</v>
      </c>
      <c r="AH106" s="383" t="e" cm="1">
        <f t="array" aca="1" ref="AH106" ca="1">_xll.SNL.Clients.Office.Excel.Functions.SPG($AE106, "SP_RATE_VALUE",AH$75,"Options:NA=NA")</f>
        <v>#NAME?</v>
      </c>
      <c r="AJ106" t="s">
        <v>4908</v>
      </c>
      <c r="AK106" s="392" t="e">
        <f t="shared" ca="1" si="12"/>
        <v>#NAME?</v>
      </c>
      <c r="AL106" s="392" t="e" cm="1">
        <f t="array" aca="1" ref="AL106" ca="1">IF(AJ106="","",_xll.SNL.Clients.Office.Excel.Functions.SPG(AJ106,"SPT_YTW",$L$15,"Options:NA=NA"))</f>
        <v>#NAME?</v>
      </c>
      <c r="AM106" s="392" t="e" cm="1">
        <f t="array" aca="1" ref="AM106" ca="1">IF(AJ106="","",_xll.SNL.Clients.Office.Excel.Functions.SPG(AJ106,"SPT_EOD_YTM_MID","EOD Close Price",$L$15,"Options:NA=NA"))</f>
        <v>#NAME?</v>
      </c>
      <c r="AN106" s="3" t="e" cm="1">
        <f t="array" aca="1" ref="AN106" ca="1">IF(OR(AJ106="",AK106="NA"),"",_xll.SNL.Clients.Office.Excel.Functions.SPG(AJ106,"SPT_ISSUE_DATE"))</f>
        <v>#NAME?</v>
      </c>
      <c r="AO106" s="2" t="e">
        <f ca="1">IF(OR($AJ106="",$AK106="NA",$AN106=""),"",RANK(AN106,$AN$58:$AN$1057)+COUNTIF($AN$58:AN106,AN106)-1)</f>
        <v>#NAME?</v>
      </c>
      <c r="AP106" s="3" t="e">
        <f t="shared" ca="1" si="13"/>
        <v>#NAME?</v>
      </c>
      <c r="AQ106" s="2" t="e">
        <f ca="1">IF(OR($AJ106="",$AK106="NA",$AP106=""),"",RANK(AP106,$AP$58:$AP$1057)+COUNTIF($AP$58:AP106,AP106)-1)</f>
        <v>#NAME?</v>
      </c>
      <c r="AY106" s="392"/>
      <c r="AZ106" s="3"/>
      <c r="BA106" s="2"/>
      <c r="BB106" s="3"/>
      <c r="BC106" s="2"/>
      <c r="BJ106" t="str">
        <f t="shared" si="30"/>
        <v>Omani Rial</v>
      </c>
      <c r="BK106" s="403" t="s">
        <v>177</v>
      </c>
      <c r="BL106" s="404" t="s">
        <v>178</v>
      </c>
      <c r="BM106" s="404" t="s">
        <v>179</v>
      </c>
      <c r="BN106" s="405" t="s">
        <v>30</v>
      </c>
      <c r="BQ106" s="44" t="s">
        <v>4671</v>
      </c>
      <c r="BR106" s="44" t="s">
        <v>4672</v>
      </c>
    </row>
    <row r="107" spans="2:70" x14ac:dyDescent="0.2">
      <c r="B107" s="7" t="str">
        <f>VLOOKUP("Cost of Revenue",Language_Data,Lookup_Column,FALSE)</f>
        <v>Cost of Revenue</v>
      </c>
      <c r="G107" s="34" t="s">
        <v>500</v>
      </c>
      <c r="H107" s="6" t="s">
        <v>5614</v>
      </c>
      <c r="I107" s="6">
        <f>Independent_DCF_Inputs!B34</f>
        <v>157703</v>
      </c>
      <c r="J107" s="6">
        <f>Independent_DCF_Inputs!C34</f>
        <v>193325</v>
      </c>
      <c r="K107" s="6">
        <f>Independent_DCF_Inputs!D34</f>
        <v>194369</v>
      </c>
      <c r="L107" s="6">
        <f>Independent_DCF_Inputs!E34</f>
        <v>193407</v>
      </c>
      <c r="M107" s="6">
        <f>Independent_DCF_Inputs!F34</f>
        <v>203465</v>
      </c>
      <c r="N107" s="160">
        <f>IFERROR(N105*N108,"NA")</f>
        <v>203333.04742157998</v>
      </c>
      <c r="O107" s="160">
        <f>IFERROR(O105*O108,"NA")</f>
        <v>213738.21974400003</v>
      </c>
      <c r="P107" s="160">
        <f>IFERROR(P105*P108,"NA")</f>
        <v>224612.61934548503</v>
      </c>
      <c r="Q107" s="160">
        <f>IFERROR(Q105*Q108,"NA")</f>
        <v>235169.4124547228</v>
      </c>
      <c r="R107" s="160">
        <f>IFERROR(R105*R108,"NA")</f>
        <v>245281.69719027585</v>
      </c>
      <c r="S107" s="2"/>
      <c r="W107" s="7"/>
      <c r="X107" s="7"/>
      <c r="Y107" s="160"/>
      <c r="Z107" s="160"/>
      <c r="AA107" s="160"/>
      <c r="AB107" s="160"/>
      <c r="AC107" s="26" t="s">
        <v>4506</v>
      </c>
      <c r="AD107" s="380" t="e">
        <f t="shared" ca="1" si="29"/>
        <v>#NAME?</v>
      </c>
      <c r="AE107" s="381" t="s">
        <v>4507</v>
      </c>
      <c r="AF107" s="382" t="e" cm="1">
        <f t="array" aca="1" ref="AF107" ca="1">_xll.SNL.Clients.Office.Excel.Functions.SPG($AE107, "SP_RATE_VALUE",AF$75,"Options:NA=NA")</f>
        <v>#NAME?</v>
      </c>
      <c r="AG107" s="382" t="e" cm="1">
        <f t="array" aca="1" ref="AG107" ca="1">_xll.SNL.Clients.Office.Excel.Functions.SPG($AE107, "SP_RATE_VALUE",AG$75,"Options:NA=NA")</f>
        <v>#NAME?</v>
      </c>
      <c r="AH107" s="383" t="e" cm="1">
        <f t="array" aca="1" ref="AH107" ca="1">_xll.SNL.Clients.Office.Excel.Functions.SPG($AE107, "SP_RATE_VALUE",AH$75,"Options:NA=NA")</f>
        <v>#NAME?</v>
      </c>
      <c r="AJ107" t="s">
        <v>4909</v>
      </c>
      <c r="AK107" s="392" t="e">
        <f t="shared" ca="1" si="12"/>
        <v>#NAME?</v>
      </c>
      <c r="AL107" s="392" t="e" cm="1">
        <f t="array" aca="1" ref="AL107" ca="1">IF(AJ107="","",_xll.SNL.Clients.Office.Excel.Functions.SPG(AJ107,"SPT_YTW",$L$15,"Options:NA=NA"))</f>
        <v>#NAME?</v>
      </c>
      <c r="AM107" s="392" t="e" cm="1">
        <f t="array" aca="1" ref="AM107" ca="1">IF(AJ107="","",_xll.SNL.Clients.Office.Excel.Functions.SPG(AJ107,"SPT_EOD_YTM_MID","EOD Close Price",$L$15,"Options:NA=NA"))</f>
        <v>#NAME?</v>
      </c>
      <c r="AN107" s="3" t="e" cm="1">
        <f t="array" aca="1" ref="AN107" ca="1">IF(OR(AJ107="",AK107="NA"),"",_xll.SNL.Clients.Office.Excel.Functions.SPG(AJ107,"SPT_ISSUE_DATE"))</f>
        <v>#NAME?</v>
      </c>
      <c r="AO107" s="2" t="e">
        <f ca="1">IF(OR($AJ107="",$AK107="NA",$AN107=""),"",RANK(AN107,$AN$58:$AN$1057)+COUNTIF($AN$58:AN107,AN107)-1)</f>
        <v>#NAME?</v>
      </c>
      <c r="AP107" s="3" t="e">
        <f t="shared" ca="1" si="13"/>
        <v>#NAME?</v>
      </c>
      <c r="AQ107" s="2" t="e">
        <f ca="1">IF(OR($AJ107="",$AK107="NA",$AP107=""),"",RANK(AP107,$AP$58:$AP$1057)+COUNTIF($AP$58:AP107,AP107)-1)</f>
        <v>#NAME?</v>
      </c>
      <c r="AY107" s="392"/>
      <c r="AZ107" s="3"/>
      <c r="BA107" s="2"/>
      <c r="BB107" s="3"/>
      <c r="BC107" s="2"/>
      <c r="BJ107" t="str">
        <f t="shared" si="30"/>
        <v>Pakistani Rupee</v>
      </c>
      <c r="BK107" s="403" t="s">
        <v>180</v>
      </c>
      <c r="BL107" s="404" t="s">
        <v>181</v>
      </c>
      <c r="BM107" s="404" t="s">
        <v>182</v>
      </c>
      <c r="BN107" s="405" t="s">
        <v>30</v>
      </c>
      <c r="BQ107" s="44" t="s">
        <v>4673</v>
      </c>
      <c r="BR107" s="44" t="s">
        <v>4674</v>
      </c>
    </row>
    <row r="108" spans="2:70" x14ac:dyDescent="0.2">
      <c r="B108" s="143" t="str">
        <f>VLOOKUP("Margin",Language_Data,Lookup_Column,FALSE)</f>
        <v>Margin</v>
      </c>
      <c r="G108" s="1"/>
      <c r="H108" s="248"/>
      <c r="I108" s="157">
        <f>IF(ISERROR(I107/I105),"NA",I107/I105)</f>
        <v>0.46548619802120478</v>
      </c>
      <c r="J108" s="157">
        <f>IF(ISERROR(J107/J105),"NA",J107/J105)</f>
        <v>0.4848810903272085</v>
      </c>
      <c r="K108" s="157">
        <f>IF(ISERROR(K107/K105),"NA",K107/K105)</f>
        <v>0.48606953603465047</v>
      </c>
      <c r="L108" s="157">
        <f>IF(ISERROR(L107/L105),"NA",L107/L105)</f>
        <v>0.47364786266178505</v>
      </c>
      <c r="M108" s="157">
        <f>IF(ISERROR(M107/M105),"NA",M107/M105)</f>
        <v>0.47655239933294608</v>
      </c>
      <c r="N108" s="239">
        <f>Independent_DCF_Inputs!B25</f>
        <v>0.47699999999999998</v>
      </c>
      <c r="O108" s="157">
        <f>Independent_DCF_Inputs!C25</f>
        <v>0.48</v>
      </c>
      <c r="P108" s="157">
        <f>Independent_DCF_Inputs!D25</f>
        <v>0.47950000000000004</v>
      </c>
      <c r="Q108" s="157">
        <f>Independent_DCF_Inputs!E25</f>
        <v>0.47950000000000004</v>
      </c>
      <c r="R108" s="157">
        <f>Independent_DCF_Inputs!F25</f>
        <v>0.47950000000000004</v>
      </c>
      <c r="S108" s="2"/>
      <c r="W108" s="158"/>
      <c r="X108" s="7"/>
      <c r="Y108" s="160"/>
      <c r="Z108" s="160"/>
      <c r="AA108" s="160"/>
      <c r="AB108" s="160"/>
      <c r="AC108" s="26" t="s">
        <v>4508</v>
      </c>
      <c r="AD108" s="380" t="e">
        <f t="shared" ca="1" si="29"/>
        <v>#NAME?</v>
      </c>
      <c r="AE108" s="381" t="s">
        <v>4509</v>
      </c>
      <c r="AF108" s="382" t="e" cm="1">
        <f t="array" aca="1" ref="AF108" ca="1">_xll.SNL.Clients.Office.Excel.Functions.SPG($AE108, "SP_RATE_VALUE",AF$75,"Options:NA=NA")</f>
        <v>#NAME?</v>
      </c>
      <c r="AG108" s="382" t="e" cm="1">
        <f t="array" aca="1" ref="AG108" ca="1">_xll.SNL.Clients.Office.Excel.Functions.SPG($AE108, "SP_RATE_VALUE",AG$75,"Options:NA=NA")</f>
        <v>#NAME?</v>
      </c>
      <c r="AH108" s="383" t="e" cm="1">
        <f t="array" aca="1" ref="AH108" ca="1">_xll.SNL.Clients.Office.Excel.Functions.SPG($AE108, "SP_RATE_VALUE",AH$75,"Options:NA=NA")</f>
        <v>#NAME?</v>
      </c>
      <c r="AK108" s="392"/>
      <c r="AL108" s="392"/>
      <c r="AM108" s="392"/>
      <c r="AN108" s="3"/>
      <c r="AO108" s="2"/>
      <c r="AP108" s="3"/>
      <c r="AQ108" s="2"/>
      <c r="AY108" s="392"/>
      <c r="AZ108" s="3"/>
      <c r="BA108" s="2"/>
      <c r="BB108" s="3"/>
      <c r="BC108" s="2"/>
      <c r="BJ108" t="str">
        <f t="shared" si="30"/>
        <v>Panamanian Balboa</v>
      </c>
      <c r="BK108" s="403" t="s">
        <v>183</v>
      </c>
      <c r="BL108" s="404" t="s">
        <v>184</v>
      </c>
      <c r="BM108" s="404" t="s">
        <v>185</v>
      </c>
      <c r="BN108" s="405" t="s">
        <v>30</v>
      </c>
      <c r="BQ108" s="44" t="s">
        <v>359</v>
      </c>
      <c r="BR108" s="44" t="s">
        <v>4675</v>
      </c>
    </row>
    <row r="109" spans="2:70" x14ac:dyDescent="0.2">
      <c r="B109" s="7" t="str">
        <f>VLOOKUP("EBITDA, Lease Adjusted",Language_Data,Lookup_Column,FALSE)</f>
        <v>EBITDA, Lease Adjusted</v>
      </c>
      <c r="G109" s="34" t="s">
        <v>4176</v>
      </c>
      <c r="H109" s="6" t="s">
        <v>5614</v>
      </c>
      <c r="I109" s="6">
        <f>Independent_DCF_Inputs!B37</f>
        <v>48706</v>
      </c>
      <c r="J109" s="6">
        <f>Independent_DCF_Inputs!C37</f>
        <v>71734</v>
      </c>
      <c r="K109" s="6">
        <f>Independent_DCF_Inputs!D37</f>
        <v>54384</v>
      </c>
      <c r="L109" s="6">
        <f>Independent_DCF_Inputs!E37</f>
        <v>56200</v>
      </c>
      <c r="M109" s="6">
        <f>Independent_DCF_Inputs!F37</f>
        <v>58984</v>
      </c>
      <c r="N109" s="160">
        <f>IFERROR(N111*N$105,"NA")</f>
        <v>62116.885729999995</v>
      </c>
      <c r="O109" s="160">
        <f>IFERROR(O111*O$105,"NA")</f>
        <v>64890.772190000011</v>
      </c>
      <c r="P109" s="160">
        <f>IFERROR(P111*P$105,"NA")</f>
        <v>68998.622640000001</v>
      </c>
      <c r="Q109" s="160">
        <f>IFERROR(Q111*Q$105,"NA")</f>
        <v>72241.557904080008</v>
      </c>
      <c r="R109" s="160">
        <f>IFERROR(R111*R$105,"NA")</f>
        <v>75347.944893955428</v>
      </c>
      <c r="S109" s="157">
        <f>IFERROR((R109/N109)^(1/4)-1,"NA")</f>
        <v>4.9458898595460266E-2</v>
      </c>
      <c r="W109" s="158"/>
      <c r="X109" s="7"/>
      <c r="Y109" s="160"/>
      <c r="Z109" s="160"/>
      <c r="AA109" s="160"/>
      <c r="AB109" s="160"/>
      <c r="AC109" s="26" t="s">
        <v>4510</v>
      </c>
      <c r="AD109" s="380" t="e">
        <f t="shared" ca="1" si="29"/>
        <v>#NAME?</v>
      </c>
      <c r="AE109" s="381" t="s">
        <v>4511</v>
      </c>
      <c r="AF109" s="382" t="e" cm="1">
        <f t="array" aca="1" ref="AF109" ca="1">_xll.SNL.Clients.Office.Excel.Functions.SPG($AE109, "SP_RATE_VALUE",AF$75,"Options:NA=NA")</f>
        <v>#NAME?</v>
      </c>
      <c r="AG109" s="382" t="e" cm="1">
        <f t="array" aca="1" ref="AG109" ca="1">_xll.SNL.Clients.Office.Excel.Functions.SPG($AE109, "SP_RATE_VALUE",AG$75,"Options:NA=NA")</f>
        <v>#NAME?</v>
      </c>
      <c r="AH109" s="383" t="e" cm="1">
        <f t="array" aca="1" ref="AH109" ca="1">_xll.SNL.Clients.Office.Excel.Functions.SPG($AE109, "SP_RATE_VALUE",AH$75,"Options:NA=NA")</f>
        <v>#NAME?</v>
      </c>
      <c r="AK109" s="392"/>
      <c r="AL109" s="392"/>
      <c r="AM109" s="392"/>
      <c r="AN109" s="3"/>
      <c r="AO109" s="2"/>
      <c r="AP109" s="3"/>
      <c r="AQ109" s="2"/>
      <c r="AY109" s="392"/>
      <c r="AZ109" s="3"/>
      <c r="BA109" s="2"/>
      <c r="BB109" s="3"/>
      <c r="BC109" s="2"/>
      <c r="BJ109" t="str">
        <f t="shared" si="30"/>
        <v>Peruvian Sol</v>
      </c>
      <c r="BK109" s="403" t="s">
        <v>186</v>
      </c>
      <c r="BL109" s="404" t="s">
        <v>187</v>
      </c>
      <c r="BM109" s="404" t="s">
        <v>188</v>
      </c>
      <c r="BN109" s="405" t="s">
        <v>30</v>
      </c>
      <c r="BQ109" s="44" t="s">
        <v>322</v>
      </c>
      <c r="BR109" s="44" t="s">
        <v>4676</v>
      </c>
    </row>
    <row r="110" spans="2:70" x14ac:dyDescent="0.2">
      <c r="B110" s="143" t="str">
        <f>VLOOKUP("Annual Growth",Language_Data,Lookup_Column,FALSE)</f>
        <v>Annual Growth</v>
      </c>
      <c r="G110" s="1"/>
      <c r="H110" s="248"/>
      <c r="I110" s="2"/>
      <c r="J110" s="157">
        <f>IF(ISERROR(+J109/I109-1),"NA",+J109/I109-1)</f>
        <v>0.47279595943004971</v>
      </c>
      <c r="K110" s="157">
        <f>IF(ISERROR(+K109/J109-1),"NA",+K109/J109-1)</f>
        <v>-0.24186578191652497</v>
      </c>
      <c r="L110" s="157">
        <f>IF(ISERROR(+L109/K109-1),"NA",+L109/K109-1)</f>
        <v>3.339217416887319E-2</v>
      </c>
      <c r="M110" s="157">
        <f>IF(ISERROR(+M109/L109-1),"NA",+M109/L109-1)</f>
        <v>4.9537366548042749E-2</v>
      </c>
      <c r="N110" s="157">
        <f>IFERROR(N109/M109-1,"NA")</f>
        <v>5.311416197612906E-2</v>
      </c>
      <c r="O110" s="157">
        <f>IFERROR(O109/N109-1,"NA")</f>
        <v>4.4655916461380896E-2</v>
      </c>
      <c r="P110" s="157">
        <f>IFERROR(P109/O109-1,"NA")</f>
        <v>6.3304077164811901E-2</v>
      </c>
      <c r="Q110" s="157">
        <f>IFERROR(Q109/P109-1,"NA")</f>
        <v>4.7000000000000153E-2</v>
      </c>
      <c r="R110" s="157">
        <f>IFERROR(R109/Q109-1,"NA")</f>
        <v>4.2999999999999705E-2</v>
      </c>
      <c r="S110" s="2"/>
      <c r="W110" s="7"/>
      <c r="X110" s="7"/>
      <c r="Y110" s="7"/>
      <c r="Z110" s="160"/>
      <c r="AA110" s="160"/>
      <c r="AB110" s="160"/>
      <c r="AC110" s="26" t="s">
        <v>4512</v>
      </c>
      <c r="AD110" s="380" t="e">
        <f t="shared" ca="1" si="29"/>
        <v>#NAME?</v>
      </c>
      <c r="AE110" s="381" t="s">
        <v>4513</v>
      </c>
      <c r="AF110" s="382" t="e" cm="1">
        <f t="array" aca="1" ref="AF110" ca="1">_xll.SNL.Clients.Office.Excel.Functions.SPG($AE110, "SP_RATE_VALUE",AF$75,"Options:NA=NA")</f>
        <v>#NAME?</v>
      </c>
      <c r="AG110" s="382" t="e" cm="1">
        <f t="array" aca="1" ref="AG110" ca="1">_xll.SNL.Clients.Office.Excel.Functions.SPG($AE110, "SP_RATE_VALUE",AG$75,"Options:NA=NA")</f>
        <v>#NAME?</v>
      </c>
      <c r="AH110" s="383" t="e" cm="1">
        <f t="array" aca="1" ref="AH110" ca="1">_xll.SNL.Clients.Office.Excel.Functions.SPG($AE110, "SP_RATE_VALUE",AH$75,"Options:NA=NA")</f>
        <v>#NAME?</v>
      </c>
      <c r="AK110" s="392"/>
      <c r="AL110" s="392"/>
      <c r="AM110" s="392"/>
      <c r="AN110" s="3"/>
      <c r="AO110" s="2"/>
      <c r="AP110" s="3"/>
      <c r="AQ110" s="2"/>
      <c r="AY110" s="392"/>
      <c r="AZ110" s="3"/>
      <c r="BA110" s="2"/>
      <c r="BB110" s="3"/>
      <c r="BC110" s="2"/>
      <c r="BJ110" t="str">
        <f t="shared" si="30"/>
        <v>Philippine Peso</v>
      </c>
      <c r="BK110" s="403" t="s">
        <v>189</v>
      </c>
      <c r="BL110" s="404" t="s">
        <v>190</v>
      </c>
      <c r="BM110" s="404" t="s">
        <v>190</v>
      </c>
      <c r="BN110" s="405" t="s">
        <v>30</v>
      </c>
      <c r="BQ110" s="44" t="s">
        <v>360</v>
      </c>
      <c r="BR110" s="44" t="s">
        <v>4677</v>
      </c>
    </row>
    <row r="111" spans="2:70" x14ac:dyDescent="0.2">
      <c r="B111" s="143" t="str">
        <f>VLOOKUP("Margin",Language_Data,Lookup_Column,FALSE)</f>
        <v>Margin</v>
      </c>
      <c r="G111" s="1"/>
      <c r="H111" s="248"/>
      <c r="I111" s="157">
        <f>IF(ISERROR(+I109/I$105),"NA",+I109/I$105)</f>
        <v>0.14376372523554276</v>
      </c>
      <c r="J111" s="157">
        <f>IF(ISERROR(+J109/J$105),"NA",+J109/J$105)</f>
        <v>0.179917031597217</v>
      </c>
      <c r="K111" s="157">
        <f>IF(ISERROR(+K109/K$105),"NA",+K109/K$105)</f>
        <v>0.13600114034495434</v>
      </c>
      <c r="L111" s="157">
        <f>IF(ISERROR(+L109/L$105),"NA",+L109/L$105)</f>
        <v>0.13763209129758655</v>
      </c>
      <c r="M111" s="157">
        <f>IF(ISERROR(+M109/M$105),"NA",+M109/M$105)</f>
        <v>0.13815136127714592</v>
      </c>
      <c r="N111" s="240">
        <f>Independent_DCF_Inputs!B26</f>
        <v>0.14572030896570015</v>
      </c>
      <c r="O111" s="219">
        <f>Independent_DCF_Inputs!C26</f>
        <v>0.14572766016534749</v>
      </c>
      <c r="P111" s="219">
        <f>Independent_DCF_Inputs!D26</f>
        <v>0.14729733196775993</v>
      </c>
      <c r="Q111" s="219">
        <f>Independent_DCF_Inputs!E26</f>
        <v>0.14729733196775993</v>
      </c>
      <c r="R111" s="219">
        <f>Independent_DCF_Inputs!F26</f>
        <v>0.14729733196775993</v>
      </c>
      <c r="S111" s="2"/>
      <c r="W111" s="7"/>
      <c r="X111" s="7"/>
      <c r="Y111" s="160"/>
      <c r="Z111" s="160"/>
      <c r="AA111" s="160"/>
      <c r="AB111" s="160"/>
      <c r="AC111" s="26" t="s">
        <v>4514</v>
      </c>
      <c r="AD111" s="380" t="e">
        <f t="shared" ca="1" si="29"/>
        <v>#NAME?</v>
      </c>
      <c r="AE111" s="381" t="s">
        <v>4515</v>
      </c>
      <c r="AF111" s="382" t="e" cm="1">
        <f t="array" aca="1" ref="AF111" ca="1">_xll.SNL.Clients.Office.Excel.Functions.SPG($AE111, "SP_RATE_VALUE",AF$75,"Options:NA=NA")</f>
        <v>#NAME?</v>
      </c>
      <c r="AG111" s="382" t="e" cm="1">
        <f t="array" aca="1" ref="AG111" ca="1">_xll.SNL.Clients.Office.Excel.Functions.SPG($AE111, "SP_RATE_VALUE",AG$75,"Options:NA=NA")</f>
        <v>#NAME?</v>
      </c>
      <c r="AH111" s="383" t="e" cm="1">
        <f t="array" aca="1" ref="AH111" ca="1">_xll.SNL.Clients.Office.Excel.Functions.SPG($AE111, "SP_RATE_VALUE",AH$75,"Options:NA=NA")</f>
        <v>#NAME?</v>
      </c>
      <c r="AK111" s="392"/>
      <c r="AL111" s="392"/>
      <c r="AM111" s="392"/>
      <c r="AN111" s="3"/>
      <c r="AO111" s="2"/>
      <c r="AP111" s="3"/>
      <c r="AQ111" s="2"/>
      <c r="AY111" s="392"/>
      <c r="AZ111" s="3"/>
      <c r="BA111" s="2"/>
      <c r="BB111" s="3"/>
      <c r="BC111" s="2"/>
      <c r="BJ111" t="str">
        <f t="shared" si="30"/>
        <v>Polish Zloty</v>
      </c>
      <c r="BK111" s="403" t="s">
        <v>191</v>
      </c>
      <c r="BL111" s="404" t="s">
        <v>192</v>
      </c>
      <c r="BM111" s="404" t="s">
        <v>193</v>
      </c>
      <c r="BN111" s="405" t="s">
        <v>30</v>
      </c>
      <c r="BQ111" s="44" t="s">
        <v>362</v>
      </c>
      <c r="BR111" s="44" t="s">
        <v>4678</v>
      </c>
    </row>
    <row r="112" spans="2:70" x14ac:dyDescent="0.2">
      <c r="B112" s="7" t="str">
        <f>VLOOKUP("Less: Depreciation and Amortization",Language_Data,Lookup_Column,FALSE)</f>
        <v>Less: Depreciation and Amortization</v>
      </c>
      <c r="G112" s="34"/>
      <c r="H112" s="112" t="str">
        <f t="shared" ref="H112:M112" si="33">IFERROR(H252-H253+H254,"NA")</f>
        <v>NA</v>
      </c>
      <c r="I112" s="112">
        <f t="shared" si="33"/>
        <v>16126</v>
      </c>
      <c r="J112" s="112">
        <f t="shared" si="33"/>
        <v>18038</v>
      </c>
      <c r="K112" s="112">
        <f t="shared" si="33"/>
        <v>18929</v>
      </c>
      <c r="L112" s="112">
        <f t="shared" si="33"/>
        <v>23051</v>
      </c>
      <c r="M112" s="112">
        <f t="shared" si="33"/>
        <v>24838</v>
      </c>
      <c r="N112" s="160">
        <f>IFERROR(-N113*N$120,"NA")</f>
        <v>24846.745058476685</v>
      </c>
      <c r="O112" s="160">
        <f>IFERROR(-O113*O$120,"NA")</f>
        <v>26183.16706698792</v>
      </c>
      <c r="P112" s="160">
        <f>IFERROR(-P113*P$120,"NA")</f>
        <v>27825.057155554485</v>
      </c>
      <c r="Q112" s="160">
        <f>IFERROR(-Q113*Q$120,"NA")</f>
        <v>29735.499700838678</v>
      </c>
      <c r="R112" s="160">
        <f>IFERROR(-R113*R$120,"NA")</f>
        <v>31628.741709779686</v>
      </c>
      <c r="S112" s="157">
        <f>IFERROR((R112/N112)^(1/4)-1,"NA")</f>
        <v>6.2192187164514579E-2</v>
      </c>
      <c r="U112" s="164" t="str">
        <f>VLOOKUP("Step",Language_Data,Lookup_Column,FALSE)</f>
        <v>Step</v>
      </c>
      <c r="W112" s="7"/>
      <c r="X112" s="7"/>
      <c r="Y112" s="160"/>
      <c r="Z112" s="160"/>
      <c r="AA112" s="160"/>
      <c r="AB112" s="160"/>
      <c r="AC112" s="26" t="s">
        <v>4516</v>
      </c>
      <c r="AD112" s="380" t="e">
        <f t="shared" ca="1" si="29"/>
        <v>#NAME?</v>
      </c>
      <c r="AE112" s="381" t="s">
        <v>4517</v>
      </c>
      <c r="AF112" s="382" t="e" cm="1">
        <f t="array" aca="1" ref="AF112" ca="1">_xll.SNL.Clients.Office.Excel.Functions.SPG($AE112, "SP_RATE_VALUE",AF$75,"Options:NA=NA")</f>
        <v>#NAME?</v>
      </c>
      <c r="AG112" s="382" t="e" cm="1">
        <f t="array" aca="1" ref="AG112" ca="1">_xll.SNL.Clients.Office.Excel.Functions.SPG($AE112, "SP_RATE_VALUE",AG$75,"Options:NA=NA")</f>
        <v>#NAME?</v>
      </c>
      <c r="AH112" s="383" t="e" cm="1">
        <f t="array" aca="1" ref="AH112" ca="1">_xll.SNL.Clients.Office.Excel.Functions.SPG($AE112, "SP_RATE_VALUE",AH$75,"Options:NA=NA")</f>
        <v>#NAME?</v>
      </c>
      <c r="AK112" s="392"/>
      <c r="AL112" s="392"/>
      <c r="AM112" s="392"/>
      <c r="AN112" s="3"/>
      <c r="AO112" s="2"/>
      <c r="AP112" s="3"/>
      <c r="AQ112" s="2"/>
      <c r="AY112" s="392"/>
      <c r="AZ112" s="3"/>
      <c r="BA112" s="2"/>
      <c r="BB112" s="3"/>
      <c r="BC112" s="2"/>
      <c r="BJ112" t="str">
        <f t="shared" si="30"/>
        <v>Qatari Rial</v>
      </c>
      <c r="BK112" s="403" t="s">
        <v>194</v>
      </c>
      <c r="BL112" s="404" t="s">
        <v>195</v>
      </c>
      <c r="BM112" s="404" t="s">
        <v>196</v>
      </c>
      <c r="BN112" s="405" t="s">
        <v>30</v>
      </c>
      <c r="BQ112" s="44" t="s">
        <v>363</v>
      </c>
      <c r="BR112" s="44" t="s">
        <v>4679</v>
      </c>
    </row>
    <row r="113" spans="2:70" x14ac:dyDescent="0.2">
      <c r="B113" s="143" t="str">
        <f>VLOOKUP("% of Capital Expenditure",Language_Data,Lookup_Column,FALSE)</f>
        <v>% of Capital Expenditure</v>
      </c>
      <c r="G113" s="1"/>
      <c r="H113" s="157" t="str">
        <f t="shared" ref="H113:M113" si="34">IF(ISERROR(-+H112/H$120),"NA",-+H112/H$120)</f>
        <v>NA</v>
      </c>
      <c r="I113" s="157">
        <f t="shared" si="34"/>
        <v>0.63463203463203466</v>
      </c>
      <c r="J113" s="157">
        <f t="shared" si="34"/>
        <v>0.52249225154244994</v>
      </c>
      <c r="K113" s="157">
        <f t="shared" si="34"/>
        <v>0.46768295696002371</v>
      </c>
      <c r="L113" s="157">
        <f t="shared" si="34"/>
        <v>0.64941541062121422</v>
      </c>
      <c r="M113" s="157">
        <f t="shared" si="34"/>
        <v>0.86350994298428596</v>
      </c>
      <c r="N113" s="241">
        <f>IF(COUNT(M113,$U$113)=0,"NA",SUM(M113,$U$113))</f>
        <v>0.89080795438742877</v>
      </c>
      <c r="O113" s="157">
        <f>IF(COUNT(N113,$U$113)=0,"NA",SUM(N113,$U$113))</f>
        <v>0.91810596579057158</v>
      </c>
      <c r="P113" s="157">
        <f>IF(COUNT(O113,$U$113)=0,"NA",SUM(O113,$U$113))</f>
        <v>0.94540397719371438</v>
      </c>
      <c r="Q113" s="157">
        <f>IF(COUNT(P113,$U$113)=0,"NA",SUM(P113,$U$113))</f>
        <v>0.97270198859685719</v>
      </c>
      <c r="R113" s="157">
        <f>IF(COUNT(Q113,$U$113)=0,"NA",SUM(Q113,$U$113))</f>
        <v>1</v>
      </c>
      <c r="S113" s="2"/>
      <c r="U113" s="165">
        <f>IFERROR((1-M113)/5,"NA")</f>
        <v>2.7298011403142808E-2</v>
      </c>
      <c r="W113" s="158"/>
      <c r="X113" s="7"/>
      <c r="Y113" s="160"/>
      <c r="Z113" s="160"/>
      <c r="AA113" s="160"/>
      <c r="AB113" s="160"/>
      <c r="AC113" s="26" t="s">
        <v>4518</v>
      </c>
      <c r="AD113" s="380" t="e">
        <f t="shared" ca="1" si="29"/>
        <v>#NAME?</v>
      </c>
      <c r="AE113" s="381" t="s">
        <v>4519</v>
      </c>
      <c r="AF113" s="382" t="e" cm="1">
        <f t="array" aca="1" ref="AF113" ca="1">_xll.SNL.Clients.Office.Excel.Functions.SPG($AE113, "SP_RATE_VALUE",AF$75,"Options:NA=NA")</f>
        <v>#NAME?</v>
      </c>
      <c r="AG113" s="382" t="e" cm="1">
        <f t="array" aca="1" ref="AG113" ca="1">_xll.SNL.Clients.Office.Excel.Functions.SPG($AE113, "SP_RATE_VALUE",AG$75,"Options:NA=NA")</f>
        <v>#NAME?</v>
      </c>
      <c r="AH113" s="383" t="e" cm="1">
        <f t="array" aca="1" ref="AH113" ca="1">_xll.SNL.Clients.Office.Excel.Functions.SPG($AE113, "SP_RATE_VALUE",AH$75,"Options:NA=NA")</f>
        <v>#NAME?</v>
      </c>
      <c r="AK113" s="392"/>
      <c r="AL113" s="392"/>
      <c r="AM113" s="392"/>
      <c r="AN113" s="3"/>
      <c r="AO113" s="2"/>
      <c r="AP113" s="3"/>
      <c r="AQ113" s="2"/>
      <c r="AY113" s="392"/>
      <c r="AZ113" s="3"/>
      <c r="BA113" s="2"/>
      <c r="BB113" s="3"/>
      <c r="BC113" s="2"/>
      <c r="BJ113" t="str">
        <f t="shared" si="30"/>
        <v>Romanian Leu</v>
      </c>
      <c r="BK113" s="403" t="s">
        <v>197</v>
      </c>
      <c r="BL113" s="404" t="s">
        <v>198</v>
      </c>
      <c r="BM113" s="404" t="s">
        <v>199</v>
      </c>
      <c r="BN113" s="405" t="s">
        <v>30</v>
      </c>
      <c r="BQ113" s="44" t="s">
        <v>334</v>
      </c>
      <c r="BR113" s="44" t="s">
        <v>4680</v>
      </c>
    </row>
    <row r="114" spans="2:70" x14ac:dyDescent="0.2">
      <c r="B114" s="7" t="str">
        <f>VLOOKUP("EBIT",Language_Data,Lookup_Column,FALSE)</f>
        <v>EBIT</v>
      </c>
      <c r="G114" s="1"/>
      <c r="H114" s="160" t="str">
        <f t="shared" ref="H114:M114" si="35">IF(COUNT(H109, H112)=0,"NA",SUM(H109)-SUM(H112))</f>
        <v>NA</v>
      </c>
      <c r="I114" s="160">
        <f t="shared" si="35"/>
        <v>32580</v>
      </c>
      <c r="J114" s="160">
        <f t="shared" si="35"/>
        <v>53696</v>
      </c>
      <c r="K114" s="160">
        <f t="shared" si="35"/>
        <v>35455</v>
      </c>
      <c r="L114" s="160">
        <f t="shared" si="35"/>
        <v>33149</v>
      </c>
      <c r="M114" s="160">
        <f t="shared" si="35"/>
        <v>34146</v>
      </c>
      <c r="N114" s="160">
        <f t="shared" ref="N114:R114" si="36">IF(COUNT(N109, N112)=0,"NA",SUM(N109)-SUM(N112))</f>
        <v>37270.14067152331</v>
      </c>
      <c r="O114" s="160">
        <f t="shared" si="36"/>
        <v>38707.605123012094</v>
      </c>
      <c r="P114" s="160">
        <f t="shared" si="36"/>
        <v>41173.565484445513</v>
      </c>
      <c r="Q114" s="160">
        <f t="shared" si="36"/>
        <v>42506.058203241329</v>
      </c>
      <c r="R114" s="160">
        <f t="shared" si="36"/>
        <v>43719.203184175742</v>
      </c>
      <c r="S114" s="157">
        <f>IFERROR((R114/N114)^(1/4)-1,"NA")</f>
        <v>4.0705384385175236E-2</v>
      </c>
      <c r="W114" s="158"/>
      <c r="X114" s="7"/>
      <c r="Y114" s="160"/>
      <c r="Z114" s="160"/>
      <c r="AA114" s="160"/>
      <c r="AB114" s="160"/>
      <c r="AC114" s="26" t="s">
        <v>4520</v>
      </c>
      <c r="AD114" s="380" t="e">
        <f t="shared" ca="1" si="29"/>
        <v>#NAME?</v>
      </c>
      <c r="AE114" s="381" t="s">
        <v>4521</v>
      </c>
      <c r="AF114" s="382" t="e" cm="1">
        <f t="array" aca="1" ref="AF114" ca="1">_xll.SNL.Clients.Office.Excel.Functions.SPG($AE114, "SP_RATE_VALUE",AF$75,"Options:NA=NA")</f>
        <v>#NAME?</v>
      </c>
      <c r="AG114" s="382" t="e" cm="1">
        <f t="array" aca="1" ref="AG114" ca="1">_xll.SNL.Clients.Office.Excel.Functions.SPG($AE114, "SP_RATE_VALUE",AG$75,"Options:NA=NA")</f>
        <v>#NAME?</v>
      </c>
      <c r="AH114" s="383" t="e" cm="1">
        <f t="array" aca="1" ref="AH114" ca="1">_xll.SNL.Clients.Office.Excel.Functions.SPG($AE114, "SP_RATE_VALUE",AH$75,"Options:NA=NA")</f>
        <v>#NAME?</v>
      </c>
      <c r="AK114" s="392"/>
      <c r="AL114" s="392"/>
      <c r="AM114" s="392"/>
      <c r="AN114" s="3"/>
      <c r="AO114" s="2"/>
      <c r="AP114" s="3"/>
      <c r="AQ114" s="2"/>
      <c r="AY114" s="392"/>
      <c r="AZ114" s="3"/>
      <c r="BA114" s="2"/>
      <c r="BB114" s="3"/>
      <c r="BC114" s="2"/>
      <c r="BJ114" t="str">
        <f t="shared" si="30"/>
        <v>Russian Ruble</v>
      </c>
      <c r="BK114" s="403" t="s">
        <v>200</v>
      </c>
      <c r="BL114" s="404" t="s">
        <v>201</v>
      </c>
      <c r="BM114" s="404" t="s">
        <v>201</v>
      </c>
      <c r="BN114" s="405" t="s">
        <v>30</v>
      </c>
      <c r="BQ114" s="44" t="s">
        <v>364</v>
      </c>
      <c r="BR114" s="44" t="s">
        <v>4681</v>
      </c>
    </row>
    <row r="115" spans="2:70" x14ac:dyDescent="0.2">
      <c r="B115" s="143" t="str">
        <f>VLOOKUP("Annual Growth",Language_Data,Lookup_Column,FALSE)</f>
        <v>Annual Growth</v>
      </c>
      <c r="G115" s="1"/>
      <c r="H115" s="157" t="str">
        <f>IF(ISERROR(+H114/G114-1),"NA",+H114/G114-1)</f>
        <v>NA</v>
      </c>
      <c r="I115" s="157"/>
      <c r="J115" s="157">
        <f>IF(ISERROR(+J114/I114-1),"NA",+J114/I114-1)</f>
        <v>0.64812768569674639</v>
      </c>
      <c r="K115" s="157">
        <f>IF(ISERROR(+K114/J114-1),"NA",+K114/J114-1)</f>
        <v>-0.33970873063170437</v>
      </c>
      <c r="L115" s="157">
        <f>IF(ISERROR(+L114/K114-1),"NA",+L114/K114-1)</f>
        <v>-6.5040191792412938E-2</v>
      </c>
      <c r="M115" s="157">
        <f>IF(ISERROR(+M114/L114-1),"NA",+M114/L114-1)</f>
        <v>3.0076322060997418E-2</v>
      </c>
      <c r="N115" s="157">
        <f>IFERROR(N114/M114-1,"NA")</f>
        <v>9.149360603067147E-2</v>
      </c>
      <c r="O115" s="157">
        <f>IFERROR(O114/N114-1,"NA")</f>
        <v>3.8568795974174952E-2</v>
      </c>
      <c r="P115" s="157">
        <f>IFERROR(P114/O114-1,"NA")</f>
        <v>6.3707386535453159E-2</v>
      </c>
      <c r="Q115" s="157">
        <f>IFERROR(Q114/P114-1,"NA")</f>
        <v>3.2362820735046594E-2</v>
      </c>
      <c r="R115" s="157">
        <f>IFERROR(R114/Q114-1,"NA")</f>
        <v>2.8540519450987345E-2</v>
      </c>
      <c r="S115" s="2"/>
      <c r="W115" s="158"/>
      <c r="X115" s="7"/>
      <c r="Y115" s="160"/>
      <c r="Z115" s="160"/>
      <c r="AA115" s="160"/>
      <c r="AB115" s="160"/>
      <c r="AC115" s="26" t="s">
        <v>4522</v>
      </c>
      <c r="AD115" s="380" t="e">
        <f t="shared" ca="1" si="29"/>
        <v>#NAME?</v>
      </c>
      <c r="AE115" s="381" t="s">
        <v>4523</v>
      </c>
      <c r="AF115" s="382" t="e" cm="1">
        <f t="array" aca="1" ref="AF115" ca="1">_xll.SNL.Clients.Office.Excel.Functions.SPG($AE115, "SP_RATE_VALUE",AF$75,"Options:NA=NA")</f>
        <v>#NAME?</v>
      </c>
      <c r="AG115" s="382" t="e" cm="1">
        <f t="array" aca="1" ref="AG115" ca="1">_xll.SNL.Clients.Office.Excel.Functions.SPG($AE115, "SP_RATE_VALUE",AG$75,"Options:NA=NA")</f>
        <v>#NAME?</v>
      </c>
      <c r="AH115" s="383" t="e" cm="1">
        <f t="array" aca="1" ref="AH115" ca="1">_xll.SNL.Clients.Office.Excel.Functions.SPG($AE115, "SP_RATE_VALUE",AH$75,"Options:NA=NA")</f>
        <v>#NAME?</v>
      </c>
      <c r="AK115" s="392"/>
      <c r="AL115" s="392"/>
      <c r="AM115" s="392"/>
      <c r="AN115" s="3"/>
      <c r="AO115" s="2"/>
      <c r="AP115" s="3"/>
      <c r="AQ115" s="2"/>
      <c r="AY115" s="392"/>
      <c r="AZ115" s="3"/>
      <c r="BA115" s="2"/>
      <c r="BB115" s="3"/>
      <c r="BC115" s="2"/>
      <c r="BJ115" t="str">
        <f t="shared" si="30"/>
        <v>Samoan Tala</v>
      </c>
      <c r="BK115" s="403" t="s">
        <v>202</v>
      </c>
      <c r="BL115" s="404" t="s">
        <v>203</v>
      </c>
      <c r="BM115" s="404" t="s">
        <v>204</v>
      </c>
      <c r="BN115" s="405" t="s">
        <v>30</v>
      </c>
      <c r="BQ115" s="44" t="s">
        <v>335</v>
      </c>
      <c r="BR115" s="44" t="s">
        <v>4682</v>
      </c>
    </row>
    <row r="116" spans="2:70" x14ac:dyDescent="0.2">
      <c r="B116" s="143" t="str">
        <f>VLOOKUP("Margin",Language_Data,Lookup_Column,FALSE)</f>
        <v>Margin</v>
      </c>
      <c r="G116" s="1"/>
      <c r="H116" s="157" t="str">
        <f t="shared" ref="H116:M116" si="37">IF(ISERROR(+H114/H$105),"NA",+H114/H$105)</f>
        <v>NA</v>
      </c>
      <c r="I116" s="157">
        <f t="shared" si="37"/>
        <v>9.616519870599069E-2</v>
      </c>
      <c r="J116" s="157">
        <f t="shared" si="37"/>
        <v>0.1346756758112494</v>
      </c>
      <c r="K116" s="157">
        <f t="shared" si="37"/>
        <v>8.8664320957089524E-2</v>
      </c>
      <c r="L116" s="157">
        <f t="shared" si="37"/>
        <v>8.1180893139211674E-2</v>
      </c>
      <c r="M116" s="157">
        <f t="shared" si="37"/>
        <v>7.9976203413966912E-2</v>
      </c>
      <c r="N116" s="157">
        <f>IFERROR(N114/N$105,"NA")</f>
        <v>8.7432207040388024E-2</v>
      </c>
      <c r="O116" s="157">
        <f>IFERROR(O114/O$105,"NA")</f>
        <v>8.6927132083813308E-2</v>
      </c>
      <c r="P116" s="157">
        <f>IFERROR(P114/P$105,"NA")</f>
        <v>8.7896774042889397E-2</v>
      </c>
      <c r="Q116" s="157">
        <f>IFERROR(Q114/Q$105,"NA")</f>
        <v>8.6667967129348933E-2</v>
      </c>
      <c r="R116" s="157">
        <f>IFERROR(R114/R$105,"NA")</f>
        <v>8.5466458227211564E-2</v>
      </c>
      <c r="S116" s="2"/>
      <c r="W116" s="158"/>
      <c r="X116" s="7"/>
      <c r="Y116" s="160"/>
      <c r="Z116" s="160"/>
      <c r="AA116" s="160"/>
      <c r="AB116" s="160"/>
      <c r="AC116" s="26" t="s">
        <v>4524</v>
      </c>
      <c r="AD116" s="380" t="e">
        <f t="shared" ca="1" si="29"/>
        <v>#NAME?</v>
      </c>
      <c r="AE116" s="381" t="s">
        <v>4525</v>
      </c>
      <c r="AF116" s="382" t="e" cm="1">
        <f t="array" aca="1" ref="AF116" ca="1">_xll.SNL.Clients.Office.Excel.Functions.SPG($AE116, "SP_RATE_VALUE",AF$75,"Options:NA=NA")</f>
        <v>#NAME?</v>
      </c>
      <c r="AG116" s="382" t="e" cm="1">
        <f t="array" aca="1" ref="AG116" ca="1">_xll.SNL.Clients.Office.Excel.Functions.SPG($AE116, "SP_RATE_VALUE",AG$75,"Options:NA=NA")</f>
        <v>#NAME?</v>
      </c>
      <c r="AH116" s="383" t="e" cm="1">
        <f t="array" aca="1" ref="AH116" ca="1">_xll.SNL.Clients.Office.Excel.Functions.SPG($AE116, "SP_RATE_VALUE",AH$75,"Options:NA=NA")</f>
        <v>#NAME?</v>
      </c>
      <c r="AK116" s="392"/>
      <c r="AL116" s="392"/>
      <c r="AM116" s="392"/>
      <c r="AN116" s="3"/>
      <c r="AO116" s="2"/>
      <c r="AP116" s="3"/>
      <c r="AQ116" s="2"/>
      <c r="AY116" s="392"/>
      <c r="AZ116" s="3"/>
      <c r="BA116" s="2"/>
      <c r="BB116" s="3"/>
      <c r="BC116" s="2"/>
      <c r="BJ116" t="str">
        <f t="shared" si="30"/>
        <v>Saudi Riyal</v>
      </c>
      <c r="BK116" s="403" t="s">
        <v>205</v>
      </c>
      <c r="BL116" s="404" t="s">
        <v>206</v>
      </c>
      <c r="BM116" s="406" t="s">
        <v>207</v>
      </c>
      <c r="BN116" s="405" t="s">
        <v>30</v>
      </c>
      <c r="BQ116" s="44" t="s">
        <v>361</v>
      </c>
      <c r="BR116" s="44" t="s">
        <v>4683</v>
      </c>
    </row>
    <row r="117" spans="2:70" x14ac:dyDescent="0.2">
      <c r="B117" s="7" t="str">
        <f>VLOOKUP("Less: Income Taxes",Language_Data,Lookup_Column,FALSE)</f>
        <v>Less: Income Taxes</v>
      </c>
      <c r="F117" s="161">
        <f>F50</f>
        <v>0.3</v>
      </c>
      <c r="G117" s="263"/>
      <c r="H117" s="162" t="str">
        <f t="shared" ref="H117:M117" si="38">IFERROR(IF(H114&lt;0,0,-H114*$F$117),"NA")</f>
        <v>NA</v>
      </c>
      <c r="I117" s="162">
        <f t="shared" si="38"/>
        <v>-9774</v>
      </c>
      <c r="J117" s="162">
        <f t="shared" si="38"/>
        <v>-16108.8</v>
      </c>
      <c r="K117" s="162">
        <f t="shared" si="38"/>
        <v>-10636.5</v>
      </c>
      <c r="L117" s="162">
        <f t="shared" si="38"/>
        <v>-9944.6999999999989</v>
      </c>
      <c r="M117" s="162">
        <f t="shared" si="38"/>
        <v>-10243.799999999999</v>
      </c>
      <c r="N117" s="162">
        <f>IF(N114&lt;0,0,IFERROR(-N114*$F$117,"NA"))</f>
        <v>-11181.042201456992</v>
      </c>
      <c r="O117" s="162">
        <f>IF(O114&lt;0,0,IFERROR(-O114*$F$117,"NA"))</f>
        <v>-11612.281536903627</v>
      </c>
      <c r="P117" s="162">
        <f>IF(P114&lt;0,0,IFERROR(-P114*$F$117,"NA"))</f>
        <v>-12352.069645333653</v>
      </c>
      <c r="Q117" s="162">
        <f>IF(Q114&lt;0,0,IFERROR(-Q114*$F$117,"NA"))</f>
        <v>-12751.817460972399</v>
      </c>
      <c r="R117" s="162">
        <f>IF(R114&lt;0,0,IFERROR(-R114*$F$117,"NA"))</f>
        <v>-13115.760955252723</v>
      </c>
      <c r="S117" s="2"/>
      <c r="W117" s="158"/>
      <c r="X117" s="7"/>
      <c r="Y117" s="160"/>
      <c r="Z117" s="160"/>
      <c r="AA117" s="160"/>
      <c r="AB117" s="160"/>
      <c r="AC117" s="26" t="s">
        <v>4526</v>
      </c>
      <c r="AD117" s="380" t="e">
        <f t="shared" ca="1" si="29"/>
        <v>#NAME?</v>
      </c>
      <c r="AE117" s="381" t="s">
        <v>4527</v>
      </c>
      <c r="AF117" s="382" t="e" cm="1">
        <f t="array" aca="1" ref="AF117" ca="1">_xll.SNL.Clients.Office.Excel.Functions.SPG($AE117, "SP_RATE_VALUE",AF$75,"Options:NA=NA")</f>
        <v>#NAME?</v>
      </c>
      <c r="AG117" s="382" t="e" cm="1">
        <f t="array" aca="1" ref="AG117" ca="1">_xll.SNL.Clients.Office.Excel.Functions.SPG($AE117, "SP_RATE_VALUE",AG$75,"Options:NA=NA")</f>
        <v>#NAME?</v>
      </c>
      <c r="AH117" s="383" t="e" cm="1">
        <f t="array" aca="1" ref="AH117" ca="1">_xll.SNL.Clients.Office.Excel.Functions.SPG($AE117, "SP_RATE_VALUE",AH$75,"Options:NA=NA")</f>
        <v>#NAME?</v>
      </c>
      <c r="AK117" s="392"/>
      <c r="AL117" s="392"/>
      <c r="AM117" s="392"/>
      <c r="AN117" s="3"/>
      <c r="AO117" s="2"/>
      <c r="AP117" s="3"/>
      <c r="AQ117" s="2"/>
      <c r="AY117" s="392"/>
      <c r="AZ117" s="3"/>
      <c r="BA117" s="2"/>
      <c r="BB117" s="3"/>
      <c r="BC117" s="2"/>
      <c r="BJ117" t="str">
        <f t="shared" si="30"/>
        <v>Serbian Dinar</v>
      </c>
      <c r="BK117" s="403" t="s">
        <v>208</v>
      </c>
      <c r="BL117" s="404" t="s">
        <v>209</v>
      </c>
      <c r="BM117" s="404" t="s">
        <v>209</v>
      </c>
      <c r="BN117" s="405" t="s">
        <v>30</v>
      </c>
      <c r="BQ117" s="44" t="s">
        <v>353</v>
      </c>
      <c r="BR117" s="44" t="s">
        <v>4684</v>
      </c>
    </row>
    <row r="118" spans="2:70" x14ac:dyDescent="0.2">
      <c r="B118" s="7" t="str">
        <f>VLOOKUP("Unlevered Net Income",Language_Data,Lookup_Column,FALSE)</f>
        <v>Unlevered Net Income</v>
      </c>
      <c r="G118" s="1"/>
      <c r="H118" s="160" t="str">
        <f t="shared" ref="H118:M118" si="39">IF(COUNT(H114,H117)=0,"NA",SUM(H114,H117))</f>
        <v>NA</v>
      </c>
      <c r="I118" s="160">
        <f t="shared" si="39"/>
        <v>22806</v>
      </c>
      <c r="J118" s="160">
        <f t="shared" si="39"/>
        <v>37587.199999999997</v>
      </c>
      <c r="K118" s="160">
        <f t="shared" si="39"/>
        <v>24818.5</v>
      </c>
      <c r="L118" s="160">
        <f t="shared" si="39"/>
        <v>23204.300000000003</v>
      </c>
      <c r="M118" s="160">
        <f t="shared" si="39"/>
        <v>23902.2</v>
      </c>
      <c r="N118" s="160">
        <f t="shared" ref="N118:R118" si="40">IF(COUNT(N114,N117)=0,"NA",SUM(N114,N117))</f>
        <v>26089.098470066318</v>
      </c>
      <c r="O118" s="160">
        <f t="shared" si="40"/>
        <v>27095.323586108469</v>
      </c>
      <c r="P118" s="160">
        <f t="shared" si="40"/>
        <v>28821.49583911186</v>
      </c>
      <c r="Q118" s="160">
        <f t="shared" si="40"/>
        <v>29754.240742268928</v>
      </c>
      <c r="R118" s="160">
        <f t="shared" si="40"/>
        <v>30603.442228923021</v>
      </c>
      <c r="S118" s="157">
        <f>IFERROR((R118/N118)^(1/4)-1,"NA")</f>
        <v>4.0705384385175236E-2</v>
      </c>
      <c r="W118" s="158"/>
      <c r="X118" s="7"/>
      <c r="Y118" s="160"/>
      <c r="Z118" s="160"/>
      <c r="AA118" s="160"/>
      <c r="AB118" s="160"/>
      <c r="AC118" s="26" t="s">
        <v>4528</v>
      </c>
      <c r="AD118" s="380" t="e">
        <f t="shared" ca="1" si="29"/>
        <v>#NAME?</v>
      </c>
      <c r="AE118" s="381" t="s">
        <v>4529</v>
      </c>
      <c r="AF118" s="382" t="e" cm="1">
        <f t="array" aca="1" ref="AF118" ca="1">_xll.SNL.Clients.Office.Excel.Functions.SPG($AE118, "SP_RATE_VALUE",AF$75,"Options:NA=NA")</f>
        <v>#NAME?</v>
      </c>
      <c r="AG118" s="382" t="e" cm="1">
        <f t="array" aca="1" ref="AG118" ca="1">_xll.SNL.Clients.Office.Excel.Functions.SPG($AE118, "SP_RATE_VALUE",AG$75,"Options:NA=NA")</f>
        <v>#NAME?</v>
      </c>
      <c r="AH118" s="383" t="e" cm="1">
        <f t="array" aca="1" ref="AH118" ca="1">_xll.SNL.Clients.Office.Excel.Functions.SPG($AE118, "SP_RATE_VALUE",AH$75,"Options:NA=NA")</f>
        <v>#NAME?</v>
      </c>
      <c r="AK118" s="392"/>
      <c r="AL118" s="392"/>
      <c r="AM118" s="392"/>
      <c r="AN118" s="3"/>
      <c r="AO118" s="2"/>
      <c r="AP118" s="3"/>
      <c r="AQ118" s="2"/>
      <c r="AY118" s="392"/>
      <c r="AZ118" s="3"/>
      <c r="BA118" s="2"/>
      <c r="BB118" s="3"/>
      <c r="BC118" s="2"/>
      <c r="BJ118" t="str">
        <f t="shared" si="30"/>
        <v>Singapore Dollar</v>
      </c>
      <c r="BK118" s="403" t="s">
        <v>210</v>
      </c>
      <c r="BL118" s="404" t="s">
        <v>211</v>
      </c>
      <c r="BM118" s="404" t="s">
        <v>212</v>
      </c>
      <c r="BN118" s="405" t="s">
        <v>30</v>
      </c>
      <c r="BQ118" s="44" t="s">
        <v>386</v>
      </c>
      <c r="BR118" s="44" t="s">
        <v>4685</v>
      </c>
    </row>
    <row r="119" spans="2:70" x14ac:dyDescent="0.2">
      <c r="B119" s="7" t="str">
        <f>VLOOKUP("Plus: Depreciation and Amortization",Language_Data,Lookup_Column,FALSE)</f>
        <v>Plus: Depreciation and Amortization</v>
      </c>
      <c r="G119" s="1"/>
      <c r="H119" s="6" t="str">
        <f t="shared" ref="H119:M119" si="41">IF(H112="","",H112)</f>
        <v>NA</v>
      </c>
      <c r="I119" s="6">
        <f t="shared" si="41"/>
        <v>16126</v>
      </c>
      <c r="J119" s="6">
        <f t="shared" si="41"/>
        <v>18038</v>
      </c>
      <c r="K119" s="6">
        <f t="shared" si="41"/>
        <v>18929</v>
      </c>
      <c r="L119" s="6">
        <f t="shared" si="41"/>
        <v>23051</v>
      </c>
      <c r="M119" s="6">
        <f t="shared" si="41"/>
        <v>24838</v>
      </c>
      <c r="N119" s="6">
        <f t="shared" ref="N119:R119" si="42">IF(N112="","",N112)</f>
        <v>24846.745058476685</v>
      </c>
      <c r="O119" s="6">
        <f t="shared" si="42"/>
        <v>26183.16706698792</v>
      </c>
      <c r="P119" s="6">
        <f t="shared" si="42"/>
        <v>27825.057155554485</v>
      </c>
      <c r="Q119" s="6">
        <f t="shared" si="42"/>
        <v>29735.499700838678</v>
      </c>
      <c r="R119" s="6">
        <f t="shared" si="42"/>
        <v>31628.741709779686</v>
      </c>
      <c r="S119" s="2"/>
      <c r="W119" s="158"/>
      <c r="X119" s="7"/>
      <c r="Y119" s="160"/>
      <c r="Z119" s="160"/>
      <c r="AA119" s="160"/>
      <c r="AB119" s="160"/>
      <c r="AC119" s="26" t="s">
        <v>4530</v>
      </c>
      <c r="AD119" s="380" t="e">
        <f t="shared" ca="1" si="29"/>
        <v>#NAME?</v>
      </c>
      <c r="AE119" s="381" t="s">
        <v>4531</v>
      </c>
      <c r="AF119" s="382" t="e" cm="1">
        <f t="array" aca="1" ref="AF119" ca="1">_xll.SNL.Clients.Office.Excel.Functions.SPG($AE119, "SP_RATE_VALUE",AF$75,"Options:NA=NA")</f>
        <v>#NAME?</v>
      </c>
      <c r="AG119" s="382" t="e" cm="1">
        <f t="array" aca="1" ref="AG119" ca="1">_xll.SNL.Clients.Office.Excel.Functions.SPG($AE119, "SP_RATE_VALUE",AG$75,"Options:NA=NA")</f>
        <v>#NAME?</v>
      </c>
      <c r="AH119" s="383" t="e" cm="1">
        <f t="array" aca="1" ref="AH119" ca="1">_xll.SNL.Clients.Office.Excel.Functions.SPG($AE119, "SP_RATE_VALUE",AH$75,"Options:NA=NA")</f>
        <v>#NAME?</v>
      </c>
      <c r="AK119" s="392"/>
      <c r="AL119" s="392"/>
      <c r="AM119" s="392"/>
      <c r="AN119" s="3"/>
      <c r="AO119" s="2"/>
      <c r="AP119" s="3"/>
      <c r="AQ119" s="2"/>
      <c r="AY119" s="392"/>
      <c r="AZ119" s="3"/>
      <c r="BA119" s="2"/>
      <c r="BB119" s="3"/>
      <c r="BC119" s="2"/>
      <c r="BJ119" t="str">
        <f t="shared" ref="BJ119:BJ133" si="43">VLOOKUP(BK119,Language_Data,Lookup_Column,FALSE)</f>
        <v>South African Rand</v>
      </c>
      <c r="BK119" s="403" t="s">
        <v>213</v>
      </c>
      <c r="BL119" s="404" t="s">
        <v>214</v>
      </c>
      <c r="BM119" s="404" t="s">
        <v>215</v>
      </c>
      <c r="BN119" s="405" t="s">
        <v>30</v>
      </c>
      <c r="BQ119" s="44" t="s">
        <v>336</v>
      </c>
      <c r="BR119" s="44" t="s">
        <v>4686</v>
      </c>
    </row>
    <row r="120" spans="2:70" x14ac:dyDescent="0.2">
      <c r="B120" s="7" t="str">
        <f>VLOOKUP("Less: Capital Expenditures and Additional Lease",Language_Data,Lookup_Column,FALSE)</f>
        <v>Less: Capital Expenditures and Additional Lease</v>
      </c>
      <c r="G120" s="34"/>
      <c r="H120" s="256" t="str">
        <f t="shared" ref="H120:M120" si="44">IFERROR(H255-IF(H256=0,IF(OR(H257=0,G257=0),0,H257-G257),IF(OR(H256=0,G256=0),0,H256-G256)),"NA")</f>
        <v>NA</v>
      </c>
      <c r="I120" s="112">
        <f t="shared" si="44"/>
        <v>-25410</v>
      </c>
      <c r="J120" s="112">
        <f t="shared" si="44"/>
        <v>-34523</v>
      </c>
      <c r="K120" s="112">
        <f t="shared" si="44"/>
        <v>-40474</v>
      </c>
      <c r="L120" s="112">
        <f t="shared" si="44"/>
        <v>-35495</v>
      </c>
      <c r="M120" s="112">
        <f t="shared" si="44"/>
        <v>-28764</v>
      </c>
      <c r="N120" s="112">
        <f>IFERROR(N121*N$105,"NA")</f>
        <v>-27892.369995239602</v>
      </c>
      <c r="O120" s="112">
        <f>IFERROR(O121*O$105,"NA")</f>
        <v>-28518.676539087584</v>
      </c>
      <c r="P120" s="112">
        <f>IFERROR(P121*P$105,"NA")</f>
        <v>-29431.923100375425</v>
      </c>
      <c r="Q120" s="112">
        <f>IFERROR(Q121*Q$105,"NA")</f>
        <v>-30569.999906891066</v>
      </c>
      <c r="R120" s="112">
        <f>IFERROR(R121*R$105,"NA")</f>
        <v>-31628.741709779686</v>
      </c>
      <c r="S120" s="157">
        <f>IFERROR((R120/N120)^(1/4)-1,"NA")</f>
        <v>3.1927352902818118E-2</v>
      </c>
      <c r="W120" s="158"/>
      <c r="X120" s="7"/>
      <c r="Y120" s="160"/>
      <c r="Z120" s="160"/>
      <c r="AA120" s="160"/>
      <c r="AB120" s="160"/>
      <c r="AC120" s="26" t="s">
        <v>4532</v>
      </c>
      <c r="AD120" s="380" t="e">
        <f t="shared" ca="1" si="29"/>
        <v>#NAME?</v>
      </c>
      <c r="AE120" s="381" t="s">
        <v>4533</v>
      </c>
      <c r="AF120" s="382" t="e" cm="1">
        <f t="array" aca="1" ref="AF120" ca="1">_xll.SNL.Clients.Office.Excel.Functions.SPG($AE120, "SP_RATE_VALUE",AF$75,"Options:NA=NA")</f>
        <v>#NAME?</v>
      </c>
      <c r="AG120" s="382" t="e" cm="1">
        <f t="array" aca="1" ref="AG120" ca="1">_xll.SNL.Clients.Office.Excel.Functions.SPG($AE120, "SP_RATE_VALUE",AG$75,"Options:NA=NA")</f>
        <v>#NAME?</v>
      </c>
      <c r="AH120" s="383" t="e" cm="1">
        <f t="array" aca="1" ref="AH120" ca="1">_xll.SNL.Clients.Office.Excel.Functions.SPG($AE120, "SP_RATE_VALUE",AH$75,"Options:NA=NA")</f>
        <v>#NAME?</v>
      </c>
      <c r="AK120" s="392"/>
      <c r="AL120" s="392"/>
      <c r="AM120" s="392"/>
      <c r="AN120" s="3"/>
      <c r="AO120" s="2"/>
      <c r="AP120" s="3"/>
      <c r="AQ120" s="2"/>
      <c r="AY120" s="392"/>
      <c r="AZ120" s="3"/>
      <c r="BA120" s="2"/>
      <c r="BB120" s="3"/>
      <c r="BC120" s="2"/>
      <c r="BJ120" t="str">
        <f t="shared" si="43"/>
        <v>South Korean Won</v>
      </c>
      <c r="BK120" s="403" t="s">
        <v>216</v>
      </c>
      <c r="BL120" s="404" t="s">
        <v>217</v>
      </c>
      <c r="BM120" s="404" t="s">
        <v>218</v>
      </c>
      <c r="BN120" s="405" t="s">
        <v>40</v>
      </c>
      <c r="BQ120" s="44" t="s">
        <v>351</v>
      </c>
      <c r="BR120" s="44" t="s">
        <v>4687</v>
      </c>
    </row>
    <row r="121" spans="2:70" x14ac:dyDescent="0.2">
      <c r="B121" s="143" t="str">
        <f>VLOOKUP("Margin",Language_Data,Lookup_Column,FALSE)</f>
        <v>Margin</v>
      </c>
      <c r="G121" s="1"/>
      <c r="H121" s="157" t="str">
        <f t="shared" ref="H121:M121" si="45">IF(ISERROR(H120/H$105),"NA",H120/H$105)</f>
        <v>NA</v>
      </c>
      <c r="I121" s="157">
        <f t="shared" si="45"/>
        <v>-7.5001770998134543E-2</v>
      </c>
      <c r="J121" s="157">
        <f t="shared" si="45"/>
        <v>-8.6587610921330507E-2</v>
      </c>
      <c r="K121" s="157">
        <f t="shared" si="45"/>
        <v>-0.10121561772436162</v>
      </c>
      <c r="L121" s="157">
        <f t="shared" si="45"/>
        <v>-8.6926175811527298E-2</v>
      </c>
      <c r="M121" s="157">
        <f t="shared" si="45"/>
        <v>-6.7370570930690099E-2</v>
      </c>
      <c r="N121" s="241">
        <f>-Independent_DCF_Inputs!B28</f>
        <v>-6.5432848503687205E-2</v>
      </c>
      <c r="O121" s="219">
        <f>-Independent_DCF_Inputs!C28</f>
        <v>-6.4045469992019571E-2</v>
      </c>
      <c r="P121" s="219">
        <f>-Independent_DCF_Inputs!D28</f>
        <v>-6.2830873740548354E-2</v>
      </c>
      <c r="Q121" s="219">
        <f>-Independent_DCF_Inputs!E28</f>
        <v>-6.2330873740548354E-2</v>
      </c>
      <c r="R121" s="219">
        <f>-Independent_DCF_Inputs!F28</f>
        <v>-6.1830873740548353E-2</v>
      </c>
      <c r="S121" s="2"/>
      <c r="W121" s="96"/>
      <c r="X121" s="7"/>
      <c r="Y121" s="7"/>
      <c r="Z121" s="160"/>
      <c r="AA121" s="160"/>
      <c r="AB121" s="160"/>
      <c r="AC121" s="26" t="s">
        <v>4534</v>
      </c>
      <c r="AD121" s="380" t="e">
        <f t="shared" ca="1" si="29"/>
        <v>#NAME?</v>
      </c>
      <c r="AE121" s="381" t="s">
        <v>4535</v>
      </c>
      <c r="AF121" s="382" t="e" cm="1">
        <f t="array" aca="1" ref="AF121" ca="1">_xll.SNL.Clients.Office.Excel.Functions.SPG($AE121, "SP_RATE_VALUE",AF$75,"Options:NA=NA")</f>
        <v>#NAME?</v>
      </c>
      <c r="AG121" s="382" t="e" cm="1">
        <f t="array" aca="1" ref="AG121" ca="1">_xll.SNL.Clients.Office.Excel.Functions.SPG($AE121, "SP_RATE_VALUE",AG$75,"Options:NA=NA")</f>
        <v>#NAME?</v>
      </c>
      <c r="AH121" s="383" t="e" cm="1">
        <f t="array" aca="1" ref="AH121" ca="1">_xll.SNL.Clients.Office.Excel.Functions.SPG($AE121, "SP_RATE_VALUE",AH$75,"Options:NA=NA")</f>
        <v>#NAME?</v>
      </c>
      <c r="AK121" s="392"/>
      <c r="AL121" s="392"/>
      <c r="AM121" s="392"/>
      <c r="AN121" s="3"/>
      <c r="AO121" s="2"/>
      <c r="AP121" s="3"/>
      <c r="AQ121" s="2"/>
      <c r="AY121" s="392"/>
      <c r="AZ121" s="3"/>
      <c r="BA121" s="2"/>
      <c r="BB121" s="3"/>
      <c r="BC121" s="2"/>
      <c r="BJ121" t="str">
        <f t="shared" si="43"/>
        <v>Sri Lanka Rupee</v>
      </c>
      <c r="BK121" s="403" t="s">
        <v>219</v>
      </c>
      <c r="BL121" s="404" t="s">
        <v>220</v>
      </c>
      <c r="BM121" s="404" t="s">
        <v>221</v>
      </c>
      <c r="BN121" s="405" t="s">
        <v>30</v>
      </c>
      <c r="BQ121" s="44" t="s">
        <v>333</v>
      </c>
      <c r="BR121" s="44" t="s">
        <v>4688</v>
      </c>
    </row>
    <row r="122" spans="2:70" x14ac:dyDescent="0.2">
      <c r="B122" s="7" t="str">
        <f>VLOOKUP("Less: Additions to Intangibles",Language_Data,Lookup_Column,FALSE)</f>
        <v>Less: Additions to Intangibles</v>
      </c>
      <c r="G122" s="34" t="s">
        <v>502</v>
      </c>
      <c r="H122" s="256" t="s">
        <v>5614</v>
      </c>
      <c r="I122" s="112">
        <v>0</v>
      </c>
      <c r="J122" s="112">
        <v>0</v>
      </c>
      <c r="K122" s="112">
        <v>0</v>
      </c>
      <c r="L122" s="112">
        <v>0</v>
      </c>
      <c r="M122" s="112">
        <v>0</v>
      </c>
      <c r="N122" s="220">
        <f>IFERROR(AVERAGE(I122:M122),"NA")</f>
        <v>0</v>
      </c>
      <c r="O122" s="221">
        <f>N122</f>
        <v>0</v>
      </c>
      <c r="P122" s="221">
        <f t="shared" ref="P122:R122" si="46">O122</f>
        <v>0</v>
      </c>
      <c r="Q122" s="221">
        <f t="shared" si="46"/>
        <v>0</v>
      </c>
      <c r="R122" s="221">
        <f t="shared" si="46"/>
        <v>0</v>
      </c>
      <c r="S122" s="2"/>
      <c r="AC122" s="26" t="s">
        <v>4536</v>
      </c>
      <c r="AD122" s="380" t="e">
        <f ca="1">IF(AF122&lt;&gt;"NA",AF122,IF(AG122&lt;&gt;"NA",AG122,AH122))</f>
        <v>#NAME?</v>
      </c>
      <c r="AE122" s="381" t="s">
        <v>4537</v>
      </c>
      <c r="AF122" s="382" t="e" cm="1">
        <f t="array" aca="1" ref="AF122" ca="1">_xll.SNL.Clients.Office.Excel.Functions.SPG($AE122, "SP_RATE_VALUE",AF$75,"Options:NA=NA")</f>
        <v>#NAME?</v>
      </c>
      <c r="AG122" s="382" t="e" cm="1">
        <f t="array" aca="1" ref="AG122" ca="1">_xll.SNL.Clients.Office.Excel.Functions.SPG($AE122, "SP_RATE_VALUE",AG$75,"Options:NA=NA")</f>
        <v>#NAME?</v>
      </c>
      <c r="AH122" s="383" t="e" cm="1">
        <f t="array" aca="1" ref="AH122" ca="1">_xll.SNL.Clients.Office.Excel.Functions.SPG($AE122, "SP_RATE_VALUE",AH$75,"Options:NA=NA")</f>
        <v>#NAME?</v>
      </c>
      <c r="AK122" s="392"/>
      <c r="AL122" s="392"/>
      <c r="AM122" s="392"/>
      <c r="AN122" s="3"/>
      <c r="AO122" s="2"/>
      <c r="AP122" s="3"/>
      <c r="AQ122" s="2"/>
      <c r="AY122" s="392"/>
      <c r="AZ122" s="3"/>
      <c r="BA122" s="2"/>
      <c r="BB122" s="3"/>
      <c r="BC122" s="2"/>
      <c r="BJ122" t="str">
        <f t="shared" si="43"/>
        <v>Swedish Krona</v>
      </c>
      <c r="BK122" s="403" t="s">
        <v>222</v>
      </c>
      <c r="BL122" s="404" t="s">
        <v>223</v>
      </c>
      <c r="BM122" s="404" t="s">
        <v>128</v>
      </c>
      <c r="BN122" s="405" t="s">
        <v>30</v>
      </c>
      <c r="BQ122" s="44" t="s">
        <v>371</v>
      </c>
      <c r="BR122" s="44" t="s">
        <v>4689</v>
      </c>
    </row>
    <row r="123" spans="2:70" x14ac:dyDescent="0.2">
      <c r="B123" s="7" t="str">
        <f>VLOOKUP("Less: Increase in Working Capital",Language_Data,Lookup_Column,FALSE)</f>
        <v>Less: Increase in Working Capital</v>
      </c>
      <c r="G123" s="34"/>
      <c r="H123" s="256"/>
      <c r="I123" s="256">
        <f>IF($L$36=1,IF(COUNT(I124:I131)=0,"NA",SUM(I124:I131)),I241)</f>
        <v>19679</v>
      </c>
      <c r="J123" s="256">
        <f>IF($L$36=1,IF(COUNT(J124:J131)=0,"NA",SUM(J124:J131)),J241)</f>
        <v>6533</v>
      </c>
      <c r="K123" s="256">
        <f>IF($L$36=1,IF(COUNT(K124:K131)=0,"NA",SUM(K124:K131)),K241)</f>
        <v>-10264</v>
      </c>
      <c r="L123" s="256">
        <f>IF($L$36=1,IF(COUNT(L124:L131)=0,"NA",SUM(L124:L131)),L241)</f>
        <v>-1918</v>
      </c>
      <c r="M123" s="256">
        <f>IF($L$36=1,IF(COUNT(M124:M131)=0,"NA",SUM(M124:M131)),M241)</f>
        <v>696</v>
      </c>
      <c r="N123" s="98">
        <f>IF($L$36=1,IFERROR(N132*N$105,"NA"),N241)</f>
        <v>-2.8011693363441736</v>
      </c>
      <c r="O123" s="98">
        <f>IF($L$36=1,IFERROR(O132*O$105,"NA"),O241)</f>
        <v>800.63907197035587</v>
      </c>
      <c r="P123" s="98">
        <f>IF($L$36=1,IFERROR(P132*P$105,"NA"),P241)</f>
        <v>781.58401486242656</v>
      </c>
      <c r="Q123" s="98">
        <f>IF($L$36=1,IFERROR(Q132*Q$105,"NA"),Q241)</f>
        <v>766.35483012231998</v>
      </c>
      <c r="R123" s="98">
        <f>IF($L$36=1,IFERROR(R132*R$105,"NA"),R241)</f>
        <v>734.08640014760022</v>
      </c>
      <c r="S123" s="157" t="str">
        <f>IFERROR((R123/N123)^(1/4)-1,"NA")</f>
        <v>NA</v>
      </c>
      <c r="Z123" s="216"/>
      <c r="AA123" s="216"/>
      <c r="AB123" s="216"/>
      <c r="AC123" s="26" t="s">
        <v>4538</v>
      </c>
      <c r="AD123" s="380" t="e">
        <f t="shared" ca="1" si="29"/>
        <v>#NAME?</v>
      </c>
      <c r="AE123" s="381" t="s">
        <v>4539</v>
      </c>
      <c r="AF123" s="382" t="e" cm="1">
        <f t="array" aca="1" ref="AF123" ca="1">_xll.SNL.Clients.Office.Excel.Functions.SPG($AE123, "SP_RATE_VALUE",AF$75,"Options:NA=NA")</f>
        <v>#NAME?</v>
      </c>
      <c r="AG123" s="382" t="e" cm="1">
        <f t="array" aca="1" ref="AG123" ca="1">_xll.SNL.Clients.Office.Excel.Functions.SPG($AE123, "SP_RATE_VALUE",AG$75,"Options:NA=NA")</f>
        <v>#NAME?</v>
      </c>
      <c r="AH123" s="383" t="e" cm="1">
        <f t="array" aca="1" ref="AH123" ca="1">_xll.SNL.Clients.Office.Excel.Functions.SPG($AE123, "SP_RATE_VALUE",AH$75,"Options:NA=NA")</f>
        <v>#NAME?</v>
      </c>
      <c r="AK123" s="392"/>
      <c r="AL123" s="392"/>
      <c r="AM123" s="392"/>
      <c r="AN123" s="3"/>
      <c r="AO123" s="2"/>
      <c r="AP123" s="3"/>
      <c r="AQ123" s="2"/>
      <c r="AY123" s="392"/>
      <c r="AZ123" s="3"/>
      <c r="BA123" s="2"/>
      <c r="BB123" s="3"/>
      <c r="BC123" s="2"/>
      <c r="BJ123" t="str">
        <f t="shared" si="43"/>
        <v>Swiss Franc</v>
      </c>
      <c r="BK123" s="403" t="s">
        <v>224</v>
      </c>
      <c r="BL123" s="404" t="s">
        <v>225</v>
      </c>
      <c r="BM123" s="404" t="s">
        <v>226</v>
      </c>
      <c r="BN123" s="405" t="s">
        <v>30</v>
      </c>
      <c r="BQ123" s="44" t="s">
        <v>377</v>
      </c>
      <c r="BR123" s="44" t="s">
        <v>4690</v>
      </c>
    </row>
    <row r="124" spans="2:70" hidden="1" outlineLevel="1" x14ac:dyDescent="0.2">
      <c r="B124" s="158" t="str">
        <f>VLOOKUP("Change in Trad. Asset Securities",Language_Data,Lookup_Column,FALSE)</f>
        <v>Change in Trad. Asset Securities</v>
      </c>
      <c r="G124" s="34" t="s">
        <v>503</v>
      </c>
      <c r="H124" s="256" t="s">
        <v>5614</v>
      </c>
      <c r="I124" s="256">
        <v>0</v>
      </c>
      <c r="J124" s="256">
        <v>0</v>
      </c>
      <c r="K124" s="256">
        <v>0</v>
      </c>
      <c r="L124" s="256">
        <v>0</v>
      </c>
      <c r="M124" s="256">
        <v>0</v>
      </c>
      <c r="N124" s="98"/>
      <c r="O124" s="98"/>
      <c r="P124" s="98"/>
      <c r="Q124" s="98"/>
      <c r="R124" s="98"/>
      <c r="S124" s="157"/>
      <c r="Z124" s="216"/>
      <c r="AA124" s="216"/>
      <c r="AB124" s="216"/>
      <c r="AC124" s="26" t="s">
        <v>4540</v>
      </c>
      <c r="AD124" s="380" t="e">
        <f t="shared" ca="1" si="29"/>
        <v>#NAME?</v>
      </c>
      <c r="AE124" s="381" t="s">
        <v>4541</v>
      </c>
      <c r="AF124" s="382" t="e" cm="1">
        <f t="array" aca="1" ref="AF124" ca="1">_xll.SNL.Clients.Office.Excel.Functions.SPG($AE124, "SP_RATE_VALUE",AF$75,"Options:NA=NA")</f>
        <v>#NAME?</v>
      </c>
      <c r="AG124" s="382" t="e" cm="1">
        <f t="array" aca="1" ref="AG124" ca="1">_xll.SNL.Clients.Office.Excel.Functions.SPG($AE124, "SP_RATE_VALUE",AG$75,"Options:NA=NA")</f>
        <v>#NAME?</v>
      </c>
      <c r="AH124" s="383" t="e" cm="1">
        <f t="array" aca="1" ref="AH124" ca="1">_xll.SNL.Clients.Office.Excel.Functions.SPG($AE124, "SP_RATE_VALUE",AH$75,"Options:NA=NA")</f>
        <v>#NAME?</v>
      </c>
      <c r="AK124" s="392"/>
      <c r="AL124" s="392"/>
      <c r="AM124" s="392"/>
      <c r="AN124" s="3"/>
      <c r="AO124" s="2"/>
      <c r="AP124" s="3"/>
      <c r="AQ124" s="2"/>
      <c r="AY124" s="392"/>
      <c r="AZ124" s="3"/>
      <c r="BA124" s="2"/>
      <c r="BB124" s="3"/>
      <c r="BC124" s="2"/>
      <c r="BJ124" t="str">
        <f t="shared" si="43"/>
        <v>Tajik Somoni</v>
      </c>
      <c r="BK124" s="403" t="s">
        <v>227</v>
      </c>
      <c r="BL124" s="404" t="s">
        <v>228</v>
      </c>
      <c r="BM124" s="404" t="s">
        <v>229</v>
      </c>
      <c r="BN124" s="405" t="s">
        <v>30</v>
      </c>
      <c r="BQ124" s="44" t="s">
        <v>268</v>
      </c>
      <c r="BR124" s="44" t="s">
        <v>4691</v>
      </c>
    </row>
    <row r="125" spans="2:70" hidden="1" outlineLevel="1" x14ac:dyDescent="0.2">
      <c r="B125" s="158" t="str">
        <f>VLOOKUP("Change in Acc. Receivable",Language_Data,Lookup_Column,FALSE)</f>
        <v>Change in Acc. Receivable</v>
      </c>
      <c r="G125" s="34" t="s">
        <v>504</v>
      </c>
      <c r="H125" s="256" t="s">
        <v>5614</v>
      </c>
      <c r="I125" s="256">
        <v>0</v>
      </c>
      <c r="J125" s="256">
        <v>0</v>
      </c>
      <c r="K125" s="256">
        <v>0</v>
      </c>
      <c r="L125" s="256">
        <v>0</v>
      </c>
      <c r="M125" s="256">
        <v>0</v>
      </c>
      <c r="N125" s="98"/>
      <c r="O125" s="98"/>
      <c r="P125" s="98"/>
      <c r="Q125" s="98"/>
      <c r="R125" s="98"/>
      <c r="S125" s="157"/>
      <c r="Z125" s="216"/>
      <c r="AA125" s="216"/>
      <c r="AB125" s="216"/>
      <c r="AC125" s="26" t="s">
        <v>4542</v>
      </c>
      <c r="AD125" s="380" t="e">
        <f t="shared" ca="1" si="29"/>
        <v>#NAME?</v>
      </c>
      <c r="AE125" s="381" t="s">
        <v>4543</v>
      </c>
      <c r="AF125" s="382" t="e" cm="1">
        <f t="array" aca="1" ref="AF125" ca="1">_xll.SNL.Clients.Office.Excel.Functions.SPG($AE125, "SP_RATE_VALUE",AF$75,"Options:NA=NA")</f>
        <v>#NAME?</v>
      </c>
      <c r="AG125" s="382" t="e" cm="1">
        <f t="array" aca="1" ref="AG125" ca="1">_xll.SNL.Clients.Office.Excel.Functions.SPG($AE125, "SP_RATE_VALUE",AG$75,"Options:NA=NA")</f>
        <v>#NAME?</v>
      </c>
      <c r="AH125" s="383" t="e" cm="1">
        <f t="array" aca="1" ref="AH125" ca="1">_xll.SNL.Clients.Office.Excel.Functions.SPG($AE125, "SP_RATE_VALUE",AH$75,"Options:NA=NA")</f>
        <v>#NAME?</v>
      </c>
      <c r="AK125" s="392"/>
      <c r="AL125" s="392"/>
      <c r="AM125" s="392"/>
      <c r="AN125" s="3"/>
      <c r="AO125" s="2"/>
      <c r="AP125" s="3"/>
      <c r="AQ125" s="2"/>
      <c r="AY125" s="392"/>
      <c r="AZ125" s="3"/>
      <c r="BA125" s="2"/>
      <c r="BB125" s="3"/>
      <c r="BC125" s="2"/>
      <c r="BJ125" t="str">
        <f t="shared" si="43"/>
        <v>Thai Baht</v>
      </c>
      <c r="BK125" s="403" t="s">
        <v>230</v>
      </c>
      <c r="BL125" s="404" t="s">
        <v>231</v>
      </c>
      <c r="BM125" s="404" t="s">
        <v>232</v>
      </c>
      <c r="BN125" s="405" t="s">
        <v>30</v>
      </c>
      <c r="BQ125" s="44" t="s">
        <v>269</v>
      </c>
      <c r="BR125" s="44" t="s">
        <v>4692</v>
      </c>
    </row>
    <row r="126" spans="2:70" hidden="1" outlineLevel="1" x14ac:dyDescent="0.2">
      <c r="B126" s="158" t="str">
        <f>VLOOKUP("Change in Inventories",Language_Data,Lookup_Column,FALSE)</f>
        <v>Change in Inventories</v>
      </c>
      <c r="G126" s="34" t="s">
        <v>505</v>
      </c>
      <c r="H126" s="256" t="s">
        <v>5614</v>
      </c>
      <c r="I126" s="256">
        <v>0</v>
      </c>
      <c r="J126" s="256">
        <v>0</v>
      </c>
      <c r="K126" s="256">
        <v>0</v>
      </c>
      <c r="L126" s="256">
        <v>0</v>
      </c>
      <c r="M126" s="256">
        <v>0</v>
      </c>
      <c r="N126" s="98"/>
      <c r="O126" s="98"/>
      <c r="P126" s="98"/>
      <c r="Q126" s="98"/>
      <c r="R126" s="98"/>
      <c r="S126" s="157"/>
      <c r="Z126" s="216"/>
      <c r="AA126" s="216"/>
      <c r="AB126" s="216"/>
      <c r="AC126" s="26" t="s">
        <v>4544</v>
      </c>
      <c r="AD126" s="380" t="e">
        <f t="shared" ca="1" si="29"/>
        <v>#NAME?</v>
      </c>
      <c r="AE126" s="381" t="s">
        <v>4545</v>
      </c>
      <c r="AF126" s="382" t="e" cm="1">
        <f t="array" aca="1" ref="AF126" ca="1">_xll.SNL.Clients.Office.Excel.Functions.SPG($AE126, "SP_RATE_VALUE",AF$75,"Options:NA=NA")</f>
        <v>#NAME?</v>
      </c>
      <c r="AG126" s="382" t="e" cm="1">
        <f t="array" aca="1" ref="AG126" ca="1">_xll.SNL.Clients.Office.Excel.Functions.SPG($AE126, "SP_RATE_VALUE",AG$75,"Options:NA=NA")</f>
        <v>#NAME?</v>
      </c>
      <c r="AH126" s="383" t="e" cm="1">
        <f t="array" aca="1" ref="AH126" ca="1">_xll.SNL.Clients.Office.Excel.Functions.SPG($AE126, "SP_RATE_VALUE",AH$75,"Options:NA=NA")</f>
        <v>#NAME?</v>
      </c>
      <c r="AK126" s="392"/>
      <c r="AL126" s="392"/>
      <c r="AM126" s="392"/>
      <c r="AN126" s="3"/>
      <c r="AO126" s="2"/>
      <c r="AP126" s="3"/>
      <c r="AQ126" s="2"/>
      <c r="AY126" s="392"/>
      <c r="AZ126" s="3"/>
      <c r="BA126" s="2"/>
      <c r="BB126" s="3"/>
      <c r="BC126" s="2"/>
      <c r="BJ126" t="str">
        <f t="shared" si="43"/>
        <v>Tunisian Dinar</v>
      </c>
      <c r="BK126" s="403" t="s">
        <v>233</v>
      </c>
      <c r="BL126" s="404" t="s">
        <v>234</v>
      </c>
      <c r="BM126" s="404" t="s">
        <v>235</v>
      </c>
      <c r="BN126" s="405" t="s">
        <v>30</v>
      </c>
      <c r="BQ126" s="44" t="s">
        <v>270</v>
      </c>
      <c r="BR126" s="44" t="s">
        <v>4693</v>
      </c>
    </row>
    <row r="127" spans="2:70" hidden="1" outlineLevel="1" x14ac:dyDescent="0.2">
      <c r="B127" s="158" t="str">
        <f>VLOOKUP("Change in Acc. Payable",Language_Data,Lookup_Column,FALSE)</f>
        <v>Change in Acc. Payable</v>
      </c>
      <c r="G127" s="34" t="s">
        <v>506</v>
      </c>
      <c r="H127" s="256" t="s">
        <v>5614</v>
      </c>
      <c r="I127" s="256">
        <v>0</v>
      </c>
      <c r="J127" s="256">
        <v>0</v>
      </c>
      <c r="K127" s="256">
        <v>0</v>
      </c>
      <c r="L127" s="256">
        <v>0</v>
      </c>
      <c r="M127" s="256">
        <v>0</v>
      </c>
      <c r="N127" s="98"/>
      <c r="O127" s="98"/>
      <c r="P127" s="98"/>
      <c r="Q127" s="98"/>
      <c r="R127" s="98"/>
      <c r="S127" s="157"/>
      <c r="Z127" s="216"/>
      <c r="AA127" s="216"/>
      <c r="AB127" s="216"/>
      <c r="AC127" s="26" t="s">
        <v>4546</v>
      </c>
      <c r="AD127" s="380" t="e">
        <f t="shared" ca="1" si="29"/>
        <v>#NAME?</v>
      </c>
      <c r="AE127" s="381" t="s">
        <v>4547</v>
      </c>
      <c r="AF127" s="382" t="e" cm="1">
        <f t="array" aca="1" ref="AF127" ca="1">_xll.SNL.Clients.Office.Excel.Functions.SPG($AE127, "SP_RATE_VALUE",AF$75,"Options:NA=NA")</f>
        <v>#NAME?</v>
      </c>
      <c r="AG127" s="382" t="e" cm="1">
        <f t="array" aca="1" ref="AG127" ca="1">_xll.SNL.Clients.Office.Excel.Functions.SPG($AE127, "SP_RATE_VALUE",AG$75,"Options:NA=NA")</f>
        <v>#NAME?</v>
      </c>
      <c r="AH127" s="383" t="e" cm="1">
        <f t="array" aca="1" ref="AH127" ca="1">_xll.SNL.Clients.Office.Excel.Functions.SPG($AE127, "SP_RATE_VALUE",AH$75,"Options:NA=NA")</f>
        <v>#NAME?</v>
      </c>
      <c r="AK127" s="392"/>
      <c r="AL127" s="392"/>
      <c r="AM127" s="392"/>
      <c r="AN127" s="3"/>
      <c r="AO127" s="2"/>
      <c r="AP127" s="3"/>
      <c r="AQ127" s="2"/>
      <c r="AY127" s="392"/>
      <c r="AZ127" s="3"/>
      <c r="BA127" s="2"/>
      <c r="BB127" s="3"/>
      <c r="BC127" s="2"/>
      <c r="BJ127" t="str">
        <f t="shared" si="43"/>
        <v>Turkish Lira</v>
      </c>
      <c r="BK127" s="403" t="s">
        <v>236</v>
      </c>
      <c r="BL127" s="404" t="s">
        <v>237</v>
      </c>
      <c r="BM127" s="404" t="s">
        <v>238</v>
      </c>
      <c r="BN127" s="405" t="s">
        <v>30</v>
      </c>
      <c r="BQ127" s="44" t="s">
        <v>319</v>
      </c>
      <c r="BR127" s="44" t="s">
        <v>4694</v>
      </c>
    </row>
    <row r="128" spans="2:70" hidden="1" outlineLevel="1" x14ac:dyDescent="0.2">
      <c r="B128" s="158" t="str">
        <f>VLOOKUP("Change in Unearned Rev.",Language_Data,Lookup_Column,FALSE)</f>
        <v>Change in Unearned Rev.</v>
      </c>
      <c r="G128" s="34" t="s">
        <v>507</v>
      </c>
      <c r="H128" s="256" t="s">
        <v>5614</v>
      </c>
      <c r="I128" s="256">
        <v>0</v>
      </c>
      <c r="J128" s="256">
        <v>0</v>
      </c>
      <c r="K128" s="256">
        <v>0</v>
      </c>
      <c r="L128" s="256">
        <v>0</v>
      </c>
      <c r="M128" s="256">
        <v>0</v>
      </c>
      <c r="N128" s="98"/>
      <c r="O128" s="98"/>
      <c r="P128" s="98"/>
      <c r="Q128" s="98"/>
      <c r="R128" s="98"/>
      <c r="S128" s="157"/>
      <c r="Z128" s="216"/>
      <c r="AA128" s="216"/>
      <c r="AB128" s="216"/>
      <c r="AC128" s="26" t="s">
        <v>4548</v>
      </c>
      <c r="AD128" s="380" t="e">
        <f t="shared" ca="1" si="29"/>
        <v>#NAME?</v>
      </c>
      <c r="AE128" s="381" t="s">
        <v>4549</v>
      </c>
      <c r="AF128" s="382" t="e" cm="1">
        <f t="array" aca="1" ref="AF128" ca="1">_xll.SNL.Clients.Office.Excel.Functions.SPG($AE128, "SP_RATE_VALUE",AF$75,"Options:NA=NA")</f>
        <v>#NAME?</v>
      </c>
      <c r="AG128" s="382" t="e" cm="1">
        <f t="array" aca="1" ref="AG128" ca="1">_xll.SNL.Clients.Office.Excel.Functions.SPG($AE128, "SP_RATE_VALUE",AG$75,"Options:NA=NA")</f>
        <v>#NAME?</v>
      </c>
      <c r="AH128" s="383" t="e" cm="1">
        <f t="array" aca="1" ref="AH128" ca="1">_xll.SNL.Clients.Office.Excel.Functions.SPG($AE128, "SP_RATE_VALUE",AH$75,"Options:NA=NA")</f>
        <v>#NAME?</v>
      </c>
      <c r="AK128" s="392"/>
      <c r="AL128" s="392"/>
      <c r="AM128" s="392"/>
      <c r="AN128" s="3"/>
      <c r="AO128" s="2"/>
      <c r="AP128" s="3"/>
      <c r="AQ128" s="2"/>
      <c r="AY128" s="392"/>
      <c r="AZ128" s="3"/>
      <c r="BA128" s="2"/>
      <c r="BB128" s="3"/>
      <c r="BC128" s="2"/>
      <c r="BJ128" t="str">
        <f t="shared" si="43"/>
        <v>Turkmenistan Manat</v>
      </c>
      <c r="BK128" s="403" t="s">
        <v>239</v>
      </c>
      <c r="BL128" s="404" t="s">
        <v>240</v>
      </c>
      <c r="BM128" s="404" t="s">
        <v>57</v>
      </c>
      <c r="BN128" s="405" t="s">
        <v>30</v>
      </c>
      <c r="BQ128" s="44" t="s">
        <v>13</v>
      </c>
      <c r="BR128" s="44" t="s">
        <v>4442</v>
      </c>
    </row>
    <row r="129" spans="2:70" hidden="1" outlineLevel="1" x14ac:dyDescent="0.2">
      <c r="B129" s="158" t="str">
        <f>VLOOKUP("Change in Inc. Taxes",Language_Data,Lookup_Column,FALSE)</f>
        <v>Change in Inc. Taxes</v>
      </c>
      <c r="G129" s="34" t="s">
        <v>508</v>
      </c>
      <c r="H129" s="256" t="s">
        <v>5614</v>
      </c>
      <c r="I129" s="256">
        <v>0</v>
      </c>
      <c r="J129" s="256">
        <v>0</v>
      </c>
      <c r="K129" s="256">
        <v>0</v>
      </c>
      <c r="L129" s="256">
        <v>0</v>
      </c>
      <c r="M129" s="256">
        <v>0</v>
      </c>
      <c r="N129" s="98"/>
      <c r="O129" s="98"/>
      <c r="P129" s="98"/>
      <c r="Q129" s="98"/>
      <c r="R129" s="98"/>
      <c r="S129" s="157"/>
      <c r="Z129" s="216"/>
      <c r="AA129" s="216"/>
      <c r="AB129" s="216"/>
      <c r="AC129" s="26" t="s">
        <v>4550</v>
      </c>
      <c r="AD129" s="380" t="e">
        <f t="shared" ca="1" si="29"/>
        <v>#NAME?</v>
      </c>
      <c r="AE129" s="381" t="s">
        <v>4551</v>
      </c>
      <c r="AF129" s="382" t="e" cm="1">
        <f t="array" aca="1" ref="AF129" ca="1">_xll.SNL.Clients.Office.Excel.Functions.SPG($AE129, "SP_RATE_VALUE",AF$75,"Options:NA=NA")</f>
        <v>#NAME?</v>
      </c>
      <c r="AG129" s="382" t="e" cm="1">
        <f t="array" aca="1" ref="AG129" ca="1">_xll.SNL.Clients.Office.Excel.Functions.SPG($AE129, "SP_RATE_VALUE",AG$75,"Options:NA=NA")</f>
        <v>#NAME?</v>
      </c>
      <c r="AH129" s="383" t="e" cm="1">
        <f t="array" aca="1" ref="AH129" ca="1">_xll.SNL.Clients.Office.Excel.Functions.SPG($AE129, "SP_RATE_VALUE",AH$75,"Options:NA=NA")</f>
        <v>#NAME?</v>
      </c>
      <c r="AK129" s="392"/>
      <c r="AL129" s="392"/>
      <c r="AM129" s="392"/>
      <c r="AN129" s="3"/>
      <c r="AO129" s="2"/>
      <c r="AP129" s="3"/>
      <c r="AQ129" s="2"/>
      <c r="AY129" s="392"/>
      <c r="AZ129" s="3"/>
      <c r="BA129" s="2"/>
      <c r="BB129" s="3"/>
      <c r="BC129" s="2"/>
      <c r="BJ129" t="str">
        <f t="shared" si="43"/>
        <v>UAE Dirham</v>
      </c>
      <c r="BK129" s="403" t="s">
        <v>278</v>
      </c>
      <c r="BL129" s="404" t="s">
        <v>41</v>
      </c>
      <c r="BM129" s="404" t="s">
        <v>42</v>
      </c>
      <c r="BN129" s="405" t="s">
        <v>30</v>
      </c>
      <c r="BQ129" s="44" t="s">
        <v>271</v>
      </c>
      <c r="BR129" s="44" t="s">
        <v>4695</v>
      </c>
    </row>
    <row r="130" spans="2:70" hidden="1" outlineLevel="1" x14ac:dyDescent="0.2">
      <c r="B130" s="158" t="str">
        <f>VLOOKUP("Change in Def. Taxes",Language_Data,Lookup_Column,FALSE)</f>
        <v>Change in Def. Taxes</v>
      </c>
      <c r="G130" s="34" t="s">
        <v>509</v>
      </c>
      <c r="H130" s="256" t="s">
        <v>5614</v>
      </c>
      <c r="I130" s="256">
        <v>0</v>
      </c>
      <c r="J130" s="256">
        <v>0</v>
      </c>
      <c r="K130" s="256">
        <v>0</v>
      </c>
      <c r="L130" s="256">
        <v>0</v>
      </c>
      <c r="M130" s="256">
        <v>0</v>
      </c>
      <c r="N130" s="98"/>
      <c r="O130" s="98"/>
      <c r="P130" s="98"/>
      <c r="Q130" s="98"/>
      <c r="R130" s="98"/>
      <c r="S130" s="157"/>
      <c r="Z130" s="216"/>
      <c r="AA130" s="216"/>
      <c r="AB130" s="216"/>
      <c r="AC130" s="26" t="s">
        <v>4552</v>
      </c>
      <c r="AD130" s="380" t="e">
        <f t="shared" ca="1" si="29"/>
        <v>#NAME?</v>
      </c>
      <c r="AE130" s="381" t="s">
        <v>4553</v>
      </c>
      <c r="AF130" s="382" t="e" cm="1">
        <f t="array" aca="1" ref="AF130" ca="1">_xll.SNL.Clients.Office.Excel.Functions.SPG($AE130, "SP_RATE_VALUE",AF$75,"Options:NA=NA")</f>
        <v>#NAME?</v>
      </c>
      <c r="AG130" s="382" t="e" cm="1">
        <f t="array" aca="1" ref="AG130" ca="1">_xll.SNL.Clients.Office.Excel.Functions.SPG($AE130, "SP_RATE_VALUE",AG$75,"Options:NA=NA")</f>
        <v>#NAME?</v>
      </c>
      <c r="AH130" s="383" t="e" cm="1">
        <f t="array" aca="1" ref="AH130" ca="1">_xll.SNL.Clients.Office.Excel.Functions.SPG($AE130, "SP_RATE_VALUE",AH$75,"Options:NA=NA")</f>
        <v>#NAME?</v>
      </c>
      <c r="AK130" s="392"/>
      <c r="AL130" s="392"/>
      <c r="AM130" s="392"/>
      <c r="AN130" s="3"/>
      <c r="AO130" s="2"/>
      <c r="AP130" s="3"/>
      <c r="AQ130" s="2"/>
      <c r="AY130" s="392"/>
      <c r="AZ130" s="3"/>
      <c r="BA130" s="2"/>
      <c r="BB130" s="3"/>
      <c r="BC130" s="2"/>
      <c r="BJ130" t="str">
        <f t="shared" si="43"/>
        <v>Ukraine Hryvnia</v>
      </c>
      <c r="BK130" s="403" t="s">
        <v>241</v>
      </c>
      <c r="BL130" s="404" t="s">
        <v>242</v>
      </c>
      <c r="BM130" s="404" t="s">
        <v>242</v>
      </c>
      <c r="BN130" s="405" t="s">
        <v>30</v>
      </c>
      <c r="BQ130" s="44" t="s">
        <v>320</v>
      </c>
      <c r="BR130" s="44" t="s">
        <v>4696</v>
      </c>
    </row>
    <row r="131" spans="2:70" hidden="1" outlineLevel="1" x14ac:dyDescent="0.2">
      <c r="B131" s="158" t="str">
        <f>VLOOKUP("Change in Other Net Operating Assets",Language_Data,Lookup_Column,FALSE)</f>
        <v>Change in Other Net Operating Assets</v>
      </c>
      <c r="G131" s="34" t="s">
        <v>510</v>
      </c>
      <c r="H131" s="256" t="s">
        <v>5614</v>
      </c>
      <c r="I131" s="256">
        <v>0</v>
      </c>
      <c r="J131" s="256">
        <v>0</v>
      </c>
      <c r="K131" s="256">
        <v>0</v>
      </c>
      <c r="L131" s="256">
        <v>0</v>
      </c>
      <c r="M131" s="256">
        <v>0</v>
      </c>
      <c r="N131" s="98"/>
      <c r="O131" s="98"/>
      <c r="P131" s="98"/>
      <c r="Q131" s="98"/>
      <c r="R131" s="98"/>
      <c r="S131" s="157"/>
      <c r="Z131" s="216"/>
      <c r="AA131" s="216"/>
      <c r="AB131" s="216"/>
      <c r="AC131" s="26" t="s">
        <v>4554</v>
      </c>
      <c r="AD131" s="380" t="e">
        <f t="shared" ca="1" si="29"/>
        <v>#NAME?</v>
      </c>
      <c r="AE131" s="381" t="s">
        <v>4555</v>
      </c>
      <c r="AF131" s="382" t="e" cm="1">
        <f t="array" aca="1" ref="AF131" ca="1">_xll.SNL.Clients.Office.Excel.Functions.SPG($AE131, "SP_RATE_VALUE",AF$75,"Options:NA=NA")</f>
        <v>#NAME?</v>
      </c>
      <c r="AG131" s="382" t="e" cm="1">
        <f t="array" aca="1" ref="AG131" ca="1">_xll.SNL.Clients.Office.Excel.Functions.SPG($AE131, "SP_RATE_VALUE",AG$75,"Options:NA=NA")</f>
        <v>#NAME?</v>
      </c>
      <c r="AH131" s="383" t="e" cm="1">
        <f t="array" aca="1" ref="AH131" ca="1">_xll.SNL.Clients.Office.Excel.Functions.SPG($AE131, "SP_RATE_VALUE",AH$75,"Options:NA=NA")</f>
        <v>#NAME?</v>
      </c>
      <c r="AK131" s="392"/>
      <c r="AL131" s="392"/>
      <c r="AM131" s="392"/>
      <c r="AN131" s="3"/>
      <c r="AO131" s="2"/>
      <c r="AP131" s="3"/>
      <c r="AQ131" s="2"/>
      <c r="AY131" s="392"/>
      <c r="AZ131" s="3"/>
      <c r="BA131" s="2"/>
      <c r="BB131" s="3"/>
      <c r="BC131" s="2"/>
      <c r="BJ131" t="str">
        <f t="shared" si="43"/>
        <v>Uzbekistani Som</v>
      </c>
      <c r="BK131" s="403" t="s">
        <v>243</v>
      </c>
      <c r="BL131" s="404" t="s">
        <v>244</v>
      </c>
      <c r="BM131" s="404" t="s">
        <v>244</v>
      </c>
      <c r="BN131" s="405" t="s">
        <v>40</v>
      </c>
      <c r="BQ131" s="44" t="s">
        <v>365</v>
      </c>
      <c r="BR131" s="44" t="s">
        <v>4697</v>
      </c>
    </row>
    <row r="132" spans="2:70" collapsed="1" x14ac:dyDescent="0.2">
      <c r="B132" s="143" t="str">
        <f>VLOOKUP("Margin",Language_Data,Lookup_Column,FALSE)</f>
        <v>Margin</v>
      </c>
      <c r="H132" s="166" t="str">
        <f t="shared" ref="H132:M132" si="47">IF(ISERROR(+H123/H$105),"NA",+H123/H$105)</f>
        <v>NA</v>
      </c>
      <c r="I132" s="166">
        <f t="shared" si="47"/>
        <v>5.8085787149637538E-2</v>
      </c>
      <c r="J132" s="166">
        <f t="shared" si="47"/>
        <v>1.6385507115518703E-2</v>
      </c>
      <c r="K132" s="166">
        <f t="shared" si="47"/>
        <v>-2.5667764498760876E-2</v>
      </c>
      <c r="L132" s="166">
        <f t="shared" si="47"/>
        <v>-4.6971236852094483E-3</v>
      </c>
      <c r="M132" s="166">
        <f t="shared" si="47"/>
        <v>1.6301598306132773E-3</v>
      </c>
      <c r="N132" s="246">
        <f>M132</f>
        <v>1.6301598306132773E-3</v>
      </c>
      <c r="O132" s="222">
        <f>N132</f>
        <v>1.6301598306132773E-3</v>
      </c>
      <c r="P132" s="222">
        <f>O132</f>
        <v>1.6301598306132773E-3</v>
      </c>
      <c r="Q132" s="222">
        <f>P132</f>
        <v>1.6301598306132773E-3</v>
      </c>
      <c r="R132" s="222">
        <f>Q132</f>
        <v>1.6301598306132773E-3</v>
      </c>
      <c r="S132" s="2"/>
      <c r="W132" s="114"/>
      <c r="X132" s="268"/>
      <c r="Y132" s="269" t="str">
        <f>MI_ID</f>
        <v>BMV:BIMBO A</v>
      </c>
      <c r="Z132" s="216"/>
      <c r="AA132" s="215"/>
      <c r="AB132" s="215"/>
      <c r="AC132" s="26" t="s">
        <v>4556</v>
      </c>
      <c r="AD132" s="380" t="e">
        <f t="shared" ca="1" si="29"/>
        <v>#NAME?</v>
      </c>
      <c r="AE132" s="381" t="s">
        <v>4557</v>
      </c>
      <c r="AF132" s="382" t="e" cm="1">
        <f t="array" aca="1" ref="AF132" ca="1">_xll.SNL.Clients.Office.Excel.Functions.SPG($AE132, "SP_RATE_VALUE",AF$75,"Options:NA=NA")</f>
        <v>#NAME?</v>
      </c>
      <c r="AG132" s="382" t="e" cm="1">
        <f t="array" aca="1" ref="AG132" ca="1">_xll.SNL.Clients.Office.Excel.Functions.SPG($AE132, "SP_RATE_VALUE",AG$75,"Options:NA=NA")</f>
        <v>#NAME?</v>
      </c>
      <c r="AH132" s="383" t="e" cm="1">
        <f t="array" aca="1" ref="AH132" ca="1">_xll.SNL.Clients.Office.Excel.Functions.SPG($AE132, "SP_RATE_VALUE",AH$75,"Options:NA=NA")</f>
        <v>#NAME?</v>
      </c>
      <c r="AK132" s="392"/>
      <c r="AL132" s="392"/>
      <c r="AM132" s="392"/>
      <c r="AN132" s="3"/>
      <c r="AO132" s="2"/>
      <c r="AP132" s="3"/>
      <c r="AQ132" s="2"/>
      <c r="AY132" s="392"/>
      <c r="AZ132" s="3"/>
      <c r="BA132" s="2"/>
      <c r="BB132" s="3"/>
      <c r="BC132" s="2"/>
      <c r="BJ132" t="str">
        <f t="shared" si="43"/>
        <v>Venezuelan Bolívar</v>
      </c>
      <c r="BK132" s="403" t="s">
        <v>3965</v>
      </c>
      <c r="BL132" s="404" t="s">
        <v>279</v>
      </c>
      <c r="BM132" s="406" t="s">
        <v>280</v>
      </c>
      <c r="BN132" s="405" t="s">
        <v>30</v>
      </c>
      <c r="BQ132" s="44" t="s">
        <v>323</v>
      </c>
      <c r="BR132" s="44" t="s">
        <v>4698</v>
      </c>
    </row>
    <row r="133" spans="2:70" x14ac:dyDescent="0.2">
      <c r="B133" s="7" t="str">
        <f>VLOOKUP("Unlevered Free Cash Flow",Language_Data,Lookup_Column,FALSE)</f>
        <v>Unlevered Free Cash Flow</v>
      </c>
      <c r="H133" s="160" t="str">
        <f t="shared" ref="H133:R133" si="48">IF(COUNT(H118:H120,H122:H123)=0,"NA",SUM(H118:H120,H122:H123))</f>
        <v>NA</v>
      </c>
      <c r="I133" s="160">
        <f t="shared" si="48"/>
        <v>33201</v>
      </c>
      <c r="J133" s="160">
        <f t="shared" si="48"/>
        <v>27635.199999999997</v>
      </c>
      <c r="K133" s="160">
        <f t="shared" si="48"/>
        <v>-6990.5</v>
      </c>
      <c r="L133" s="160">
        <f t="shared" si="48"/>
        <v>8842.3000000000029</v>
      </c>
      <c r="M133" s="160">
        <f t="shared" si="48"/>
        <v>20672.199999999997</v>
      </c>
      <c r="N133" s="160">
        <f t="shared" si="48"/>
        <v>23040.672363967056</v>
      </c>
      <c r="O133" s="160">
        <f t="shared" si="48"/>
        <v>25560.453185979164</v>
      </c>
      <c r="P133" s="160">
        <f t="shared" si="48"/>
        <v>27996.213909153346</v>
      </c>
      <c r="Q133" s="160">
        <f t="shared" si="48"/>
        <v>29686.095366338861</v>
      </c>
      <c r="R133" s="160">
        <f t="shared" si="48"/>
        <v>31337.528629070621</v>
      </c>
      <c r="S133" s="157">
        <f>IFERROR((R133/N133)^(1/4)-1,"NA")</f>
        <v>7.9922025369390193E-2</v>
      </c>
      <c r="W133" s="270"/>
      <c r="X133" s="271"/>
      <c r="Y133" s="272" t="s">
        <v>4248</v>
      </c>
      <c r="Z133" s="215"/>
      <c r="AC133" s="26" t="s">
        <v>4558</v>
      </c>
      <c r="AD133" s="380" t="e">
        <f t="shared" ca="1" si="29"/>
        <v>#NAME?</v>
      </c>
      <c r="AE133" s="381" t="s">
        <v>4559</v>
      </c>
      <c r="AF133" s="382" t="e" cm="1">
        <f t="array" aca="1" ref="AF133" ca="1">_xll.SNL.Clients.Office.Excel.Functions.SPG($AE133, "SP_RATE_VALUE",AF$75,"Options:NA=NA")</f>
        <v>#NAME?</v>
      </c>
      <c r="AG133" s="382" t="e" cm="1">
        <f t="array" aca="1" ref="AG133" ca="1">_xll.SNL.Clients.Office.Excel.Functions.SPG($AE133, "SP_RATE_VALUE",AG$75,"Options:NA=NA")</f>
        <v>#NAME?</v>
      </c>
      <c r="AH133" s="383" t="e" cm="1">
        <f t="array" aca="1" ref="AH133" ca="1">_xll.SNL.Clients.Office.Excel.Functions.SPG($AE133, "SP_RATE_VALUE",AH$75,"Options:NA=NA")</f>
        <v>#NAME?</v>
      </c>
      <c r="AK133" s="392"/>
      <c r="AL133" s="392"/>
      <c r="AM133" s="392"/>
      <c r="AN133" s="3"/>
      <c r="AO133" s="2"/>
      <c r="AP133" s="3"/>
      <c r="AQ133" s="2"/>
      <c r="AY133" s="392"/>
      <c r="AZ133" s="3"/>
      <c r="BA133" s="2"/>
      <c r="BB133" s="3"/>
      <c r="BC133" s="2"/>
      <c r="BJ133" t="str">
        <f t="shared" si="43"/>
        <v>Vietnam Dong</v>
      </c>
      <c r="BK133" s="407" t="s">
        <v>245</v>
      </c>
      <c r="BL133" s="408" t="s">
        <v>246</v>
      </c>
      <c r="BM133" s="408" t="s">
        <v>247</v>
      </c>
      <c r="BN133" s="409" t="s">
        <v>40</v>
      </c>
      <c r="BQ133" s="44" t="s">
        <v>373</v>
      </c>
      <c r="BR133" s="44" t="s">
        <v>4699</v>
      </c>
    </row>
    <row r="134" spans="2:70" x14ac:dyDescent="0.2">
      <c r="B134" s="143" t="str">
        <f>VLOOKUP("Annual Growth",Language_Data,Lookup_Column,FALSE)</f>
        <v>Annual Growth</v>
      </c>
      <c r="I134" s="157"/>
      <c r="J134" s="157">
        <f>IFERROR(J133/I133-1,"NA")</f>
        <v>-0.16763952892985157</v>
      </c>
      <c r="K134" s="157">
        <f t="shared" ref="K134:L134" si="49">IFERROR(K133/J133-1,"NA")</f>
        <v>-1.2529563744789254</v>
      </c>
      <c r="L134" s="157">
        <f t="shared" si="49"/>
        <v>-2.264902367498749</v>
      </c>
      <c r="M134" s="157">
        <f t="shared" ref="M134:R134" si="50">IFERROR(M133/L133-1,"NA")</f>
        <v>1.3378758920190439</v>
      </c>
      <c r="N134" s="157">
        <f t="shared" si="50"/>
        <v>0.11457282553221515</v>
      </c>
      <c r="O134" s="157">
        <f t="shared" si="50"/>
        <v>0.10936229560526001</v>
      </c>
      <c r="P134" s="157">
        <f t="shared" si="50"/>
        <v>9.5294113349691623E-2</v>
      </c>
      <c r="Q134" s="157">
        <f t="shared" si="50"/>
        <v>6.0361071060148097E-2</v>
      </c>
      <c r="R134" s="157">
        <f t="shared" si="50"/>
        <v>5.5629857761769541E-2</v>
      </c>
      <c r="S134" s="2"/>
      <c r="V134" s="143"/>
      <c r="W134" s="276"/>
      <c r="X134" s="277"/>
      <c r="Y134" s="330">
        <f>$L$15</f>
        <v>46311.25</v>
      </c>
      <c r="AA134" s="160"/>
      <c r="AB134" s="6"/>
      <c r="AC134" s="26" t="s">
        <v>4560</v>
      </c>
      <c r="AD134" s="380" t="e">
        <f t="shared" ca="1" si="29"/>
        <v>#NAME?</v>
      </c>
      <c r="AE134" s="381" t="s">
        <v>4561</v>
      </c>
      <c r="AF134" s="382" t="e" cm="1">
        <f t="array" aca="1" ref="AF134" ca="1">_xll.SNL.Clients.Office.Excel.Functions.SPG($AE134, "SP_RATE_VALUE",AF$75,"Options:NA=NA")</f>
        <v>#NAME?</v>
      </c>
      <c r="AG134" s="382" t="e" cm="1">
        <f t="array" aca="1" ref="AG134" ca="1">_xll.SNL.Clients.Office.Excel.Functions.SPG($AE134, "SP_RATE_VALUE",AG$75,"Options:NA=NA")</f>
        <v>#NAME?</v>
      </c>
      <c r="AH134" s="383" t="e" cm="1">
        <f t="array" aca="1" ref="AH134" ca="1">_xll.SNL.Clients.Office.Excel.Functions.SPG($AE134, "SP_RATE_VALUE",AH$75,"Options:NA=NA")</f>
        <v>#NAME?</v>
      </c>
      <c r="AK134" s="392"/>
      <c r="AL134" s="392"/>
      <c r="AM134" s="392"/>
      <c r="AN134" s="3"/>
      <c r="AO134" s="2"/>
      <c r="AP134" s="3"/>
      <c r="AQ134" s="2"/>
      <c r="AY134" s="392"/>
      <c r="AZ134" s="3"/>
      <c r="BA134" s="2"/>
      <c r="BB134" s="3"/>
      <c r="BC134" s="2"/>
      <c r="BK134" s="7"/>
      <c r="BL134" s="7"/>
      <c r="BM134" s="7"/>
      <c r="BN134" s="7"/>
      <c r="BQ134" s="44" t="s">
        <v>348</v>
      </c>
      <c r="BR134" s="44" t="s">
        <v>4700</v>
      </c>
    </row>
    <row r="135" spans="2:70" x14ac:dyDescent="0.2">
      <c r="B135" s="144"/>
      <c r="I135" s="2"/>
      <c r="J135" s="2"/>
      <c r="K135" s="2"/>
      <c r="L135" s="2"/>
      <c r="M135" s="2"/>
      <c r="N135" s="2"/>
      <c r="O135" s="2"/>
      <c r="P135" s="2"/>
      <c r="Q135" s="2"/>
      <c r="R135" s="2"/>
      <c r="V135" s="7"/>
      <c r="W135" s="278" t="s">
        <v>420</v>
      </c>
      <c r="X135" s="117" t="s">
        <v>515</v>
      </c>
      <c r="Y135" s="119">
        <f>Independent_DCF_Inputs!$B$15</f>
        <v>743</v>
      </c>
      <c r="Z135" s="6"/>
      <c r="AA135" s="160"/>
      <c r="AB135" s="6"/>
      <c r="AC135" s="26" t="s">
        <v>4562</v>
      </c>
      <c r="AD135" s="380" t="e">
        <f t="shared" ca="1" si="29"/>
        <v>#NAME?</v>
      </c>
      <c r="AE135" s="381" t="s">
        <v>4563</v>
      </c>
      <c r="AF135" s="382" t="e" cm="1">
        <f t="array" aca="1" ref="AF135" ca="1">_xll.SNL.Clients.Office.Excel.Functions.SPG($AE135, "SP_RATE_VALUE",AF$75,"Options:NA=NA")</f>
        <v>#NAME?</v>
      </c>
      <c r="AG135" s="382" t="e" cm="1">
        <f t="array" aca="1" ref="AG135" ca="1">_xll.SNL.Clients.Office.Excel.Functions.SPG($AE135, "SP_RATE_VALUE",AG$75,"Options:NA=NA")</f>
        <v>#NAME?</v>
      </c>
      <c r="AH135" s="383" t="e" cm="1">
        <f t="array" aca="1" ref="AH135" ca="1">_xll.SNL.Clients.Office.Excel.Functions.SPG($AE135, "SP_RATE_VALUE",AH$75,"Options:NA=NA")</f>
        <v>#NAME?</v>
      </c>
      <c r="AK135" s="392"/>
      <c r="AL135" s="392"/>
      <c r="AM135" s="392"/>
      <c r="AN135" s="3"/>
      <c r="AO135" s="2"/>
      <c r="AP135" s="3"/>
      <c r="AQ135" s="2"/>
      <c r="AY135" s="392"/>
      <c r="AZ135" s="3"/>
      <c r="BA135" s="2"/>
      <c r="BB135" s="3"/>
      <c r="BC135" s="2"/>
      <c r="BJ135" t="str">
        <f>IF(L30="","",L30)</f>
        <v>Millions</v>
      </c>
      <c r="BK135" s="401" t="str">
        <f>IFERROR(VLOOKUP(BJ135,BJ138:BM143,2,0),0)</f>
        <v>Millions</v>
      </c>
      <c r="BL135" s="401" t="str">
        <f>IFERROR(IF(VLOOKUP(L30,$BJ$138:$BL$143,3,FALSE)="","",VLOOKUP(L30,$BJ$138:$BL$143,3,FALSE)),"")</f>
        <v>M</v>
      </c>
      <c r="BM135" s="401" t="str">
        <f>IF(L30=BJ138,INDEX(BL140:BL143,MATCH(BL135,BL140:BL143,0)+1),BL135)</f>
        <v>M</v>
      </c>
      <c r="BN135" s="471">
        <f>IFERROR(VLOOKUP(BJ135,BJ138:BN143,5,0),0)</f>
        <v>1000000</v>
      </c>
      <c r="BQ135" s="44" t="s">
        <v>349</v>
      </c>
      <c r="BR135" s="44" t="s">
        <v>4701</v>
      </c>
    </row>
    <row r="136" spans="2:70" x14ac:dyDescent="0.2">
      <c r="B136" s="7" t="str">
        <f>VLOOKUP("Discount Factor:",Language_Data,Lookup_Column,FALSE)&amp;" - "&amp;CHOOSE($L$32,VLOOKUP("Mid-Period Convention",Language_Data,Lookup_Column,FALSE),VLOOKUP("End-of-Period Convention",Language_Data,Lookup_Column,FALSE))</f>
        <v>Discount Factor: - Mid-Period Convention</v>
      </c>
      <c r="I136" s="2"/>
      <c r="J136" s="2"/>
      <c r="K136" s="2"/>
      <c r="L136" s="2"/>
      <c r="M136" s="2"/>
      <c r="N136" s="136">
        <f>CHOOSE($L$32,($AA$156/365/2),($AA$156/365))</f>
        <v>0.10410958904109589</v>
      </c>
      <c r="O136" s="136">
        <f>CHOOSE($L$32,($AA$156/365+0.5),(N136+1))</f>
        <v>0.70821917808219181</v>
      </c>
      <c r="P136" s="136">
        <f>O136+1</f>
        <v>1.7082191780821918</v>
      </c>
      <c r="Q136" s="136">
        <f>P136+1</f>
        <v>2.7082191780821918</v>
      </c>
      <c r="R136" s="136">
        <f>Q136+1</f>
        <v>3.7082191780821918</v>
      </c>
      <c r="V136" s="143"/>
      <c r="W136" s="270" t="s">
        <v>485</v>
      </c>
      <c r="X136" s="124" t="s">
        <v>525</v>
      </c>
      <c r="Y136" s="123">
        <f>Independent_DCF_Inputs!$B$14</f>
        <v>17022.804812354101</v>
      </c>
      <c r="Z136" s="6"/>
      <c r="AA136" s="160"/>
      <c r="AB136" s="6"/>
      <c r="AC136" s="26" t="s">
        <v>4564</v>
      </c>
      <c r="AD136" s="380" t="e">
        <f t="shared" ca="1" si="29"/>
        <v>#NAME?</v>
      </c>
      <c r="AE136" s="381" t="s">
        <v>4565</v>
      </c>
      <c r="AF136" s="382" t="e" cm="1">
        <f t="array" aca="1" ref="AF136" ca="1">_xll.SNL.Clients.Office.Excel.Functions.SPG($AE136, "SP_RATE_VALUE",AF$75,"Options:NA=NA")</f>
        <v>#NAME?</v>
      </c>
      <c r="AG136" s="382" t="e" cm="1">
        <f t="array" aca="1" ref="AG136" ca="1">_xll.SNL.Clients.Office.Excel.Functions.SPG($AE136, "SP_RATE_VALUE",AG$75,"Options:NA=NA")</f>
        <v>#NAME?</v>
      </c>
      <c r="AH136" s="383" t="e" cm="1">
        <f t="array" aca="1" ref="AH136" ca="1">_xll.SNL.Clients.Office.Excel.Functions.SPG($AE136, "SP_RATE_VALUE",AH$75,"Options:NA=NA")</f>
        <v>#NAME?</v>
      </c>
      <c r="AK136" s="392"/>
      <c r="AL136" s="392"/>
      <c r="AM136" s="392"/>
      <c r="AN136" s="3"/>
      <c r="AO136" s="2"/>
      <c r="AP136" s="3"/>
      <c r="AQ136" s="2"/>
      <c r="AY136" s="392"/>
      <c r="AZ136" s="3"/>
      <c r="BA136" s="2"/>
      <c r="BB136" s="3"/>
      <c r="BC136" s="2"/>
      <c r="BK136" s="81"/>
      <c r="BL136" s="410"/>
      <c r="BM136" s="411" t="str" cm="1">
        <f t="array" ref="BM136">IFERROR(INDEX(BL140:BL143,MATCH(BL135,BL140:BL143,0)+1),"")</f>
        <v>B</v>
      </c>
      <c r="BN136" s="471"/>
      <c r="BQ136" s="44" t="s">
        <v>350</v>
      </c>
      <c r="BR136" s="44" t="s">
        <v>4702</v>
      </c>
    </row>
    <row r="137" spans="2:70" x14ac:dyDescent="0.2">
      <c r="B137" s="7" t="str">
        <f>VLOOKUP("PV of Yearly Cash Flows",Language_Data,Lookup_Column,FALSE)</f>
        <v>PV of Yearly Cash Flows</v>
      </c>
      <c r="I137" s="2"/>
      <c r="J137" s="2"/>
      <c r="K137" s="2"/>
      <c r="L137" s="2"/>
      <c r="M137" s="2"/>
      <c r="N137" s="223">
        <f>IFERROR((N133*$AA$156/365)/(1+$R$142)^N136,"NA")</f>
        <v>4748.3539438134076</v>
      </c>
      <c r="O137" s="223">
        <f>IFERROR(O133/(1+$R$142)^O136,"NA")</f>
        <v>23830.973947131686</v>
      </c>
      <c r="P137" s="223">
        <f>IFERROR(P133/(1+$R$142)^P136,"NA")</f>
        <v>23643.414658955564</v>
      </c>
      <c r="Q137" s="223">
        <f>IFERROR(Q133/(1+$R$142)^Q136,"NA")</f>
        <v>22709.189148352358</v>
      </c>
      <c r="R137" s="223">
        <f>IFERROR(R133/(1+$R$142)^R136,"NA")</f>
        <v>21714.555643804011</v>
      </c>
      <c r="V137" s="144"/>
      <c r="Z137" s="6"/>
      <c r="AA137" s="160"/>
      <c r="AB137" s="6"/>
      <c r="AC137" s="26" t="s">
        <v>4566</v>
      </c>
      <c r="AD137" s="380" t="e">
        <f t="shared" ca="1" si="29"/>
        <v>#NAME?</v>
      </c>
      <c r="AE137" s="381" t="s">
        <v>4567</v>
      </c>
      <c r="AF137" s="382" t="e" cm="1">
        <f t="array" aca="1" ref="AF137" ca="1">_xll.SNL.Clients.Office.Excel.Functions.SPG($AE137, "SP_RATE_VALUE",AF$75,"Options:NA=NA")</f>
        <v>#NAME?</v>
      </c>
      <c r="AG137" s="382" t="e" cm="1">
        <f t="array" aca="1" ref="AG137" ca="1">_xll.SNL.Clients.Office.Excel.Functions.SPG($AE137, "SP_RATE_VALUE",AG$75,"Options:NA=NA")</f>
        <v>#NAME?</v>
      </c>
      <c r="AH137" s="383" t="e" cm="1">
        <f t="array" aca="1" ref="AH137" ca="1">_xll.SNL.Clients.Office.Excel.Functions.SPG($AE137, "SP_RATE_VALUE",AH$75,"Options:NA=NA")</f>
        <v>#NAME?</v>
      </c>
      <c r="AK137" s="392"/>
      <c r="AL137" s="392"/>
      <c r="AM137" s="392"/>
      <c r="AN137" s="3"/>
      <c r="AO137" s="2"/>
      <c r="AP137" s="3"/>
      <c r="AQ137" s="2"/>
      <c r="AY137" s="392"/>
      <c r="AZ137" s="3"/>
      <c r="BA137" s="2"/>
      <c r="BB137" s="3"/>
      <c r="BC137" s="2"/>
      <c r="BK137" s="63" t="s">
        <v>20</v>
      </c>
      <c r="BL137" s="402" t="s">
        <v>248</v>
      </c>
      <c r="BM137" s="402"/>
      <c r="BN137" s="471"/>
      <c r="BQ137" s="44" t="s">
        <v>337</v>
      </c>
      <c r="BR137" s="44" t="s">
        <v>4703</v>
      </c>
    </row>
    <row r="138" spans="2:70" x14ac:dyDescent="0.2">
      <c r="B138" s="145"/>
      <c r="C138" s="15"/>
      <c r="D138" s="15"/>
      <c r="E138" s="15"/>
      <c r="F138" s="15"/>
      <c r="G138" s="15"/>
      <c r="H138" s="15"/>
      <c r="I138" s="15"/>
      <c r="J138" s="15"/>
      <c r="K138" s="15"/>
      <c r="L138" s="15"/>
      <c r="M138" s="15"/>
      <c r="N138" s="15"/>
      <c r="O138" s="15"/>
      <c r="P138" s="15"/>
      <c r="Q138" s="15"/>
      <c r="R138" s="15"/>
      <c r="S138" s="15"/>
      <c r="V138" s="7"/>
      <c r="Z138" s="6"/>
      <c r="AC138" s="26" t="s">
        <v>4568</v>
      </c>
      <c r="AD138" s="380" t="e">
        <f t="shared" ca="1" si="29"/>
        <v>#NAME?</v>
      </c>
      <c r="AE138" s="381" t="s">
        <v>4569</v>
      </c>
      <c r="AF138" s="382" t="e" cm="1">
        <f t="array" aca="1" ref="AF138" ca="1">_xll.SNL.Clients.Office.Excel.Functions.SPG($AE138, "SP_RATE_VALUE",AF$75,"Options:NA=NA")</f>
        <v>#NAME?</v>
      </c>
      <c r="AG138" s="382" t="e" cm="1">
        <f t="array" aca="1" ref="AG138" ca="1">_xll.SNL.Clients.Office.Excel.Functions.SPG($AE138, "SP_RATE_VALUE",AG$75,"Options:NA=NA")</f>
        <v>#NAME?</v>
      </c>
      <c r="AH138" s="383" t="e" cm="1">
        <f t="array" aca="1" ref="AH138" ca="1">_xll.SNL.Clients.Office.Excel.Functions.SPG($AE138, "SP_RATE_VALUE",AH$75,"Options:NA=NA")</f>
        <v>#NAME?</v>
      </c>
      <c r="AK138" s="392"/>
      <c r="AL138" s="392"/>
      <c r="AM138" s="392"/>
      <c r="AN138" s="3"/>
      <c r="AO138" s="2"/>
      <c r="AP138" s="3"/>
      <c r="AQ138" s="2"/>
      <c r="AY138" s="392"/>
      <c r="AZ138" s="3"/>
      <c r="BA138" s="2"/>
      <c r="BB138" s="3"/>
      <c r="BC138" s="2"/>
      <c r="BJ138" t="str">
        <f t="shared" ref="BJ138:BJ143" si="51">VLOOKUP(BK138,Language_Data,Lookup_Column,FALSE)</f>
        <v>MIstandard</v>
      </c>
      <c r="BK138" s="403" t="s">
        <v>310</v>
      </c>
      <c r="BL138" s="412" t="str">
        <f>IF(BM52="Reported","",VLOOKUP(BM52,$BM$55:$BN$133,2,FALSE))</f>
        <v>000</v>
      </c>
      <c r="BM138" s="412"/>
      <c r="BN138" s="433"/>
      <c r="BQ138" s="44" t="s">
        <v>370</v>
      </c>
      <c r="BR138" s="44" t="s">
        <v>4704</v>
      </c>
    </row>
    <row r="139" spans="2:70" x14ac:dyDescent="0.2">
      <c r="V139" s="7"/>
      <c r="Z139" s="7"/>
      <c r="AC139" s="26" t="s">
        <v>4570</v>
      </c>
      <c r="AD139" s="380" t="e">
        <f t="shared" ca="1" si="29"/>
        <v>#NAME?</v>
      </c>
      <c r="AE139" s="381" t="s">
        <v>4571</v>
      </c>
      <c r="AF139" s="382" t="e" cm="1">
        <f t="array" aca="1" ref="AF139" ca="1">_xll.SNL.Clients.Office.Excel.Functions.SPG($AE139, "SP_RATE_VALUE",AF$75,"Options:NA=NA")</f>
        <v>#NAME?</v>
      </c>
      <c r="AG139" s="382" t="e" cm="1">
        <f t="array" aca="1" ref="AG139" ca="1">_xll.SNL.Clients.Office.Excel.Functions.SPG($AE139, "SP_RATE_VALUE",AG$75,"Options:NA=NA")</f>
        <v>#NAME?</v>
      </c>
      <c r="AH139" s="383" t="e" cm="1">
        <f t="array" aca="1" ref="AH139" ca="1">_xll.SNL.Clients.Office.Excel.Functions.SPG($AE139, "SP_RATE_VALUE",AH$75,"Options:NA=NA")</f>
        <v>#NAME?</v>
      </c>
      <c r="AK139" s="392"/>
      <c r="AL139" s="392"/>
      <c r="AM139" s="392"/>
      <c r="AN139" s="3"/>
      <c r="AO139" s="2"/>
      <c r="AP139" s="3"/>
      <c r="AQ139" s="2"/>
      <c r="AY139" s="392"/>
      <c r="AZ139" s="3"/>
      <c r="BA139" s="2"/>
      <c r="BB139" s="3"/>
      <c r="BC139" s="2"/>
      <c r="BJ139" t="str">
        <f t="shared" si="51"/>
        <v>Actuals</v>
      </c>
      <c r="BK139" s="403" t="s">
        <v>249</v>
      </c>
      <c r="BL139" s="405" t="s">
        <v>250</v>
      </c>
      <c r="BM139" s="413">
        <v>0</v>
      </c>
      <c r="BN139" s="434">
        <v>1</v>
      </c>
      <c r="BQ139" s="44" t="s">
        <v>352</v>
      </c>
      <c r="BR139" s="44" t="s">
        <v>4705</v>
      </c>
    </row>
    <row r="140" spans="2:70" ht="12.75" x14ac:dyDescent="0.2">
      <c r="B140" s="92" t="str">
        <f>VLOOKUP("Present Value of Equity at",Language_Data,Lookup_Column,FALSE)&amp;" "&amp;TEXT($L$15,"mm/dd/yyyy")</f>
        <v>Present Value of Equity at 10/16/yyyy</v>
      </c>
      <c r="C140" s="149"/>
      <c r="D140" s="149"/>
      <c r="E140" s="149"/>
      <c r="F140" s="149"/>
      <c r="G140" s="149"/>
      <c r="H140" s="149"/>
      <c r="I140" s="149"/>
      <c r="J140" s="149"/>
      <c r="K140" s="150"/>
      <c r="L140" s="140"/>
      <c r="M140" s="92" t="str">
        <f>VLOOKUP("DCF Assumptions",Language_Data,Lookup_Column,FALSE)</f>
        <v>DCF Assumptions</v>
      </c>
      <c r="N140" s="151"/>
      <c r="O140" s="151"/>
      <c r="P140" s="151"/>
      <c r="Q140" s="151"/>
      <c r="R140" s="151"/>
      <c r="S140" s="152"/>
      <c r="Z140" s="7"/>
      <c r="AC140" s="26" t="s">
        <v>4572</v>
      </c>
      <c r="AD140" s="380" t="e">
        <f t="shared" ref="AD140:AD157" ca="1" si="52">IF(AF140&lt;&gt;"NA",AF140,IF(AG140&lt;&gt;"NA",AG140,AH140))</f>
        <v>#NAME?</v>
      </c>
      <c r="AE140" s="381" t="s">
        <v>4573</v>
      </c>
      <c r="AF140" s="382" t="e" cm="1">
        <f t="array" aca="1" ref="AF140" ca="1">_xll.SNL.Clients.Office.Excel.Functions.SPG($AE140, "SP_RATE_VALUE",AF$75,"Options:NA=NA")</f>
        <v>#NAME?</v>
      </c>
      <c r="AG140" s="382" t="e" cm="1">
        <f t="array" aca="1" ref="AG140" ca="1">_xll.SNL.Clients.Office.Excel.Functions.SPG($AE140, "SP_RATE_VALUE",AG$75,"Options:NA=NA")</f>
        <v>#NAME?</v>
      </c>
      <c r="AH140" s="383" t="e" cm="1">
        <f t="array" aca="1" ref="AH140" ca="1">_xll.SNL.Clients.Office.Excel.Functions.SPG($AE140, "SP_RATE_VALUE",AH$75,"Options:NA=NA")</f>
        <v>#NAME?</v>
      </c>
      <c r="AK140" s="392"/>
      <c r="AL140" s="392"/>
      <c r="AM140" s="392"/>
      <c r="AN140" s="3"/>
      <c r="AO140" s="2"/>
      <c r="AP140" s="3"/>
      <c r="AQ140" s="2"/>
      <c r="AY140" s="392"/>
      <c r="AZ140" s="3"/>
      <c r="BA140" s="2"/>
      <c r="BB140" s="3"/>
      <c r="BC140" s="2"/>
      <c r="BJ140" t="str">
        <f t="shared" si="51"/>
        <v>Thousands</v>
      </c>
      <c r="BK140" s="403" t="s">
        <v>251</v>
      </c>
      <c r="BL140" s="405" t="s">
        <v>30</v>
      </c>
      <c r="BM140" s="413">
        <v>3</v>
      </c>
      <c r="BN140" s="434">
        <v>1000</v>
      </c>
      <c r="BQ140" s="44" t="s">
        <v>325</v>
      </c>
      <c r="BR140" s="44" t="s">
        <v>4706</v>
      </c>
    </row>
    <row r="141" spans="2:70" x14ac:dyDescent="0.2">
      <c r="B141" s="7"/>
      <c r="C141" s="7"/>
      <c r="D141" s="7"/>
      <c r="E141" s="7"/>
      <c r="F141" s="7"/>
      <c r="G141" s="7"/>
      <c r="H141" s="7"/>
      <c r="I141" s="7"/>
      <c r="J141" s="54" t="s">
        <v>413</v>
      </c>
      <c r="K141" s="54" t="s">
        <v>414</v>
      </c>
      <c r="L141" s="7"/>
      <c r="M141" s="7"/>
      <c r="N141" s="7"/>
      <c r="O141" s="7"/>
      <c r="P141" s="7"/>
      <c r="Q141" s="7"/>
      <c r="R141" s="7"/>
      <c r="S141" s="7"/>
      <c r="W141" s="273"/>
      <c r="X141" s="274"/>
      <c r="Y141" s="274"/>
      <c r="Z141" s="274"/>
      <c r="AA141" s="275" t="str">
        <f>MI_ID</f>
        <v>BMV:BIMBO A</v>
      </c>
      <c r="AC141" s="26" t="s">
        <v>4574</v>
      </c>
      <c r="AD141" s="380" t="e">
        <f t="shared" ca="1" si="52"/>
        <v>#NAME?</v>
      </c>
      <c r="AE141" s="381" t="s">
        <v>4575</v>
      </c>
      <c r="AF141" s="382" t="e" cm="1">
        <f t="array" aca="1" ref="AF141" ca="1">_xll.SNL.Clients.Office.Excel.Functions.SPG($AE141, "SP_RATE_VALUE",AF$75,"Options:NA=NA")</f>
        <v>#NAME?</v>
      </c>
      <c r="AG141" s="382" t="e" cm="1">
        <f t="array" aca="1" ref="AG141" ca="1">_xll.SNL.Clients.Office.Excel.Functions.SPG($AE141, "SP_RATE_VALUE",AG$75,"Options:NA=NA")</f>
        <v>#NAME?</v>
      </c>
      <c r="AH141" s="383" t="e" cm="1">
        <f t="array" aca="1" ref="AH141" ca="1">_xll.SNL.Clients.Office.Excel.Functions.SPG($AE141, "SP_RATE_VALUE",AH$75,"Options:NA=NA")</f>
        <v>#NAME?</v>
      </c>
      <c r="AK141" s="392"/>
      <c r="AL141" s="392"/>
      <c r="AM141" s="392"/>
      <c r="AN141" s="3"/>
      <c r="AO141" s="2"/>
      <c r="AP141" s="3"/>
      <c r="AQ141" s="2"/>
      <c r="AY141" s="392"/>
      <c r="AZ141" s="3"/>
      <c r="BA141" s="2"/>
      <c r="BB141" s="3"/>
      <c r="BC141" s="2"/>
      <c r="BJ141" t="str">
        <f t="shared" si="51"/>
        <v>Millions</v>
      </c>
      <c r="BK141" s="403" t="s">
        <v>252</v>
      </c>
      <c r="BL141" s="412" t="s">
        <v>40</v>
      </c>
      <c r="BM141" s="414">
        <v>6</v>
      </c>
      <c r="BN141" s="434">
        <v>1000000</v>
      </c>
      <c r="BQ141" s="44" t="s">
        <v>366</v>
      </c>
      <c r="BR141" s="44" t="s">
        <v>4707</v>
      </c>
    </row>
    <row r="142" spans="2:70" x14ac:dyDescent="0.2">
      <c r="B142" s="7" t="str">
        <f>VLOOKUP("PV of",Language_Data,Lookup_Column,FALSE)&amp;" "&amp;N103&amp;" "&amp;VLOOKUP("Free Cash Flow Stub(1)",Language_Data,Lookup_Column,FALSE)</f>
        <v>PV of 2026 Free Cash Flow Stub(1)</v>
      </c>
      <c r="C142" s="7"/>
      <c r="D142" s="7"/>
      <c r="E142" s="7"/>
      <c r="F142" s="7"/>
      <c r="G142" s="7"/>
      <c r="H142" s="7"/>
      <c r="I142" s="112">
        <f>N137</f>
        <v>4748.3539438134076</v>
      </c>
      <c r="J142" s="210">
        <f>IFERROR(I142/I$145,"NA")</f>
        <v>1.1450979209751794E-2</v>
      </c>
      <c r="K142" s="210">
        <f>IFERROR(I142/I$152,"NA")</f>
        <v>2.0117633755210959E-2</v>
      </c>
      <c r="L142" s="7"/>
      <c r="M142" s="7" t="str">
        <f>VLOOKUP("Weighted Average Cost of Capital",Language_Data,Lookup_Column,FALSE)</f>
        <v>Weighted Average Cost of Capital</v>
      </c>
      <c r="N142" s="7"/>
      <c r="O142" s="7"/>
      <c r="P142" s="7"/>
      <c r="Q142" s="7"/>
      <c r="R142" s="133">
        <f>F91</f>
        <v>0.10398289994023388</v>
      </c>
      <c r="S142" s="153"/>
      <c r="W142" s="279"/>
      <c r="X142" s="280"/>
      <c r="Y142" s="333"/>
      <c r="AA142" s="27"/>
      <c r="AC142" s="26" t="s">
        <v>4576</v>
      </c>
      <c r="AD142" s="380" t="e">
        <f t="shared" ca="1" si="52"/>
        <v>#NAME?</v>
      </c>
      <c r="AE142" s="381" t="s">
        <v>4577</v>
      </c>
      <c r="AF142" s="382" t="e" cm="1">
        <f t="array" aca="1" ref="AF142" ca="1">_xll.SNL.Clients.Office.Excel.Functions.SPG($AE142, "SP_RATE_VALUE",AF$75,"Options:NA=NA")</f>
        <v>#NAME?</v>
      </c>
      <c r="AG142" s="382" t="e" cm="1">
        <f t="array" aca="1" ref="AG142" ca="1">_xll.SNL.Clients.Office.Excel.Functions.SPG($AE142, "SP_RATE_VALUE",AG$75,"Options:NA=NA")</f>
        <v>#NAME?</v>
      </c>
      <c r="AH142" s="383" t="e" cm="1">
        <f t="array" aca="1" ref="AH142" ca="1">_xll.SNL.Clients.Office.Excel.Functions.SPG($AE142, "SP_RATE_VALUE",AH$75,"Options:NA=NA")</f>
        <v>#NAME?</v>
      </c>
      <c r="AK142" s="392"/>
      <c r="AL142" s="392"/>
      <c r="AM142" s="392"/>
      <c r="AN142" s="3"/>
      <c r="AO142" s="2"/>
      <c r="AP142" s="3"/>
      <c r="AQ142" s="2"/>
      <c r="AY142" s="392"/>
      <c r="AZ142" s="3"/>
      <c r="BA142" s="2"/>
      <c r="BB142" s="3"/>
      <c r="BC142" s="2"/>
      <c r="BJ142" t="str">
        <f t="shared" si="51"/>
        <v>Billions</v>
      </c>
      <c r="BK142" s="403" t="s">
        <v>253</v>
      </c>
      <c r="BL142" s="412" t="s">
        <v>185</v>
      </c>
      <c r="BM142" s="414">
        <v>9</v>
      </c>
      <c r="BN142" s="434">
        <v>1000000000</v>
      </c>
      <c r="BQ142" s="44" t="s">
        <v>367</v>
      </c>
      <c r="BR142" s="44" t="s">
        <v>4708</v>
      </c>
    </row>
    <row r="143" spans="2:70" x14ac:dyDescent="0.2">
      <c r="B143" s="7" t="str">
        <f>VLOOKUP("PV of",Language_Data,Lookup_Column,FALSE)&amp;" "&amp;O103&amp;"-"&amp;R103&amp;" "&amp;VLOOKUP("Free Cash Flows(1)",Language_Data,Lookup_Column,FALSE)</f>
        <v>PV of 2027-2030 Free Cash Flows(1)</v>
      </c>
      <c r="C143" s="7"/>
      <c r="D143" s="7"/>
      <c r="E143" s="7"/>
      <c r="F143" s="7"/>
      <c r="G143" s="7"/>
      <c r="H143" s="7"/>
      <c r="I143" s="112">
        <f>IF(COUNT(O137,P137,Q137,R137)=0,"NA",SUM(O137,P137,Q137,R137))</f>
        <v>91898.133398243619</v>
      </c>
      <c r="J143" s="210">
        <f>IFERROR(I143/I$145,"NA")</f>
        <v>0.22161861297836669</v>
      </c>
      <c r="K143" s="210">
        <f>IFERROR(I143/I$152,"NA")</f>
        <v>0.38935029114713254</v>
      </c>
      <c r="L143" s="7"/>
      <c r="M143" s="7"/>
      <c r="N143" s="7"/>
      <c r="O143" s="7"/>
      <c r="P143" s="7"/>
      <c r="Q143" s="7"/>
      <c r="R143" s="212"/>
      <c r="S143" s="7"/>
      <c r="W143" s="281" t="s">
        <v>498</v>
      </c>
      <c r="X143" s="282" t="s">
        <v>486</v>
      </c>
      <c r="Y143" s="332">
        <f>$L$15</f>
        <v>46311.25</v>
      </c>
      <c r="AA143" s="119">
        <f>Independent_DCF_Inputs!$B$16</f>
        <v>4296284215</v>
      </c>
      <c r="AC143" s="26" t="s">
        <v>4578</v>
      </c>
      <c r="AD143" s="380" t="e">
        <f t="shared" ca="1" si="52"/>
        <v>#NAME?</v>
      </c>
      <c r="AE143" s="381" t="s">
        <v>4579</v>
      </c>
      <c r="AF143" s="382" t="e" cm="1">
        <f t="array" aca="1" ref="AF143" ca="1">_xll.SNL.Clients.Office.Excel.Functions.SPG($AE143, "SP_RATE_VALUE",AF$75,"Options:NA=NA")</f>
        <v>#NAME?</v>
      </c>
      <c r="AG143" s="382" t="e" cm="1">
        <f t="array" aca="1" ref="AG143" ca="1">_xll.SNL.Clients.Office.Excel.Functions.SPG($AE143, "SP_RATE_VALUE",AG$75,"Options:NA=NA")</f>
        <v>#NAME?</v>
      </c>
      <c r="AH143" s="383" t="e" cm="1">
        <f t="array" aca="1" ref="AH143" ca="1">_xll.SNL.Clients.Office.Excel.Functions.SPG($AE143, "SP_RATE_VALUE",AH$75,"Options:NA=NA")</f>
        <v>#NAME?</v>
      </c>
      <c r="AK143" s="392"/>
      <c r="AL143" s="392"/>
      <c r="AM143" s="392"/>
      <c r="AN143" s="3"/>
      <c r="AO143" s="2"/>
      <c r="AP143" s="3"/>
      <c r="AQ143" s="2"/>
      <c r="AY143" s="392"/>
      <c r="AZ143" s="3"/>
      <c r="BA143" s="2"/>
      <c r="BB143" s="3"/>
      <c r="BC143" s="2"/>
      <c r="BJ143" t="str">
        <f t="shared" si="51"/>
        <v>Trillions</v>
      </c>
      <c r="BK143" s="407" t="s">
        <v>254</v>
      </c>
      <c r="BL143" s="411" t="s">
        <v>255</v>
      </c>
      <c r="BM143" s="415">
        <v>12</v>
      </c>
      <c r="BN143" s="435">
        <v>1000000000000</v>
      </c>
      <c r="BQ143" s="44" t="s">
        <v>347</v>
      </c>
      <c r="BR143" s="44" t="s">
        <v>4709</v>
      </c>
    </row>
    <row r="144" spans="2:70" x14ac:dyDescent="0.2">
      <c r="B144" s="7" t="str">
        <f>VLOOKUP("PV of Terminal Value(1)",Language_Data,Lookup_Column,FALSE)</f>
        <v>PV of Terminal Value(1)</v>
      </c>
      <c r="C144" s="7"/>
      <c r="D144" s="7"/>
      <c r="E144" s="7"/>
      <c r="F144" s="7"/>
      <c r="G144" s="7"/>
      <c r="H144" s="7"/>
      <c r="I144" s="162">
        <f>IFERROR(($R$109*$R$144)/((1+$R$142)^((AA156/365+4))),"NA")</f>
        <v>318021.45125394111</v>
      </c>
      <c r="J144" s="211">
        <f>IFERROR(I144/I$145,"NA")</f>
        <v>0.7669304078118816</v>
      </c>
      <c r="K144" s="211">
        <f>IFERROR(I144/I$152,"NA")</f>
        <v>1.3473804097866704</v>
      </c>
      <c r="L144" s="7"/>
      <c r="M144" s="7" t="str">
        <f>VLOOKUP("Terminal EBITDA Multiple",Language_Data,Lookup_Column,FALSE)</f>
        <v>Terminal EBITDA Multiple</v>
      </c>
      <c r="N144" s="7"/>
      <c r="O144" s="7"/>
      <c r="P144" s="7"/>
      <c r="Q144" s="7"/>
      <c r="R144" s="242">
        <f>Independent_DCF_Inputs!$B$18</f>
        <v>6.4</v>
      </c>
      <c r="S144" s="154"/>
      <c r="W144" s="270" t="s">
        <v>490</v>
      </c>
      <c r="X144" s="124" t="s">
        <v>489</v>
      </c>
      <c r="Y144" s="331">
        <f>$L$15</f>
        <v>46311.25</v>
      </c>
      <c r="Z144" s="15"/>
      <c r="AA144" s="283">
        <f>Independent_DCF_Inputs!$B$17</f>
        <v>58.6</v>
      </c>
      <c r="AC144" s="26" t="s">
        <v>4580</v>
      </c>
      <c r="AD144" s="380" t="e">
        <f t="shared" ca="1" si="52"/>
        <v>#NAME?</v>
      </c>
      <c r="AE144" s="381" t="s">
        <v>4581</v>
      </c>
      <c r="AF144" s="382" t="e" cm="1">
        <f t="array" aca="1" ref="AF144" ca="1">_xll.SNL.Clients.Office.Excel.Functions.SPG($AE144, "SP_RATE_VALUE",AF$75,"Options:NA=NA")</f>
        <v>#NAME?</v>
      </c>
      <c r="AG144" s="382" t="e" cm="1">
        <f t="array" aca="1" ref="AG144" ca="1">_xll.SNL.Clients.Office.Excel.Functions.SPG($AE144, "SP_RATE_VALUE",AG$75,"Options:NA=NA")</f>
        <v>#NAME?</v>
      </c>
      <c r="AH144" s="383" t="e" cm="1">
        <f t="array" aca="1" ref="AH144" ca="1">_xll.SNL.Clients.Office.Excel.Functions.SPG($AE144, "SP_RATE_VALUE",AH$75,"Options:NA=NA")</f>
        <v>#NAME?</v>
      </c>
      <c r="AK144" s="392"/>
      <c r="AL144" s="392"/>
      <c r="AM144" s="392"/>
      <c r="AN144" s="3"/>
      <c r="AO144" s="2"/>
      <c r="AP144" s="3"/>
      <c r="AQ144" s="2"/>
      <c r="AY144" s="392"/>
      <c r="AZ144" s="3"/>
      <c r="BA144" s="2"/>
      <c r="BB144" s="3"/>
      <c r="BC144" s="2"/>
      <c r="BK144" s="7"/>
      <c r="BL144" s="7"/>
      <c r="BM144" s="7"/>
      <c r="BN144" s="7"/>
      <c r="BQ144" s="44" t="s">
        <v>341</v>
      </c>
      <c r="BR144" s="44" t="s">
        <v>4710</v>
      </c>
    </row>
    <row r="145" spans="2:70" x14ac:dyDescent="0.2">
      <c r="B145" s="7" t="str">
        <f>VLOOKUP("Enterprise Value",Language_Data,Lookup_Column,FALSE)</f>
        <v>Enterprise value</v>
      </c>
      <c r="C145" s="7"/>
      <c r="D145" s="7"/>
      <c r="E145" s="7"/>
      <c r="F145" s="7"/>
      <c r="G145" s="7"/>
      <c r="H145" s="7"/>
      <c r="I145" s="112">
        <f>IF(COUNT(I142:I144)=0,"NA",SUM(I142:I144))</f>
        <v>414667.9385959981</v>
      </c>
      <c r="J145" s="210">
        <f>IF(COUNT(J142:J144)=0,"NA",SUM(J142:J144))</f>
        <v>1</v>
      </c>
      <c r="K145" s="210">
        <f>IF(COUNT(K142:K144)=0,"NA",SUM(K142:K144))</f>
        <v>1.756848334689014</v>
      </c>
      <c r="L145" s="7"/>
      <c r="M145" s="7"/>
      <c r="N145" s="7"/>
      <c r="O145" s="7"/>
      <c r="P145" s="7"/>
      <c r="Q145" s="7"/>
      <c r="R145" s="341"/>
      <c r="S145" s="7"/>
      <c r="AC145" s="26" t="s">
        <v>4582</v>
      </c>
      <c r="AD145" s="380" t="e">
        <f t="shared" ca="1" si="52"/>
        <v>#NAME?</v>
      </c>
      <c r="AE145" s="381" t="s">
        <v>4583</v>
      </c>
      <c r="AF145" s="382" t="e" cm="1">
        <f t="array" aca="1" ref="AF145" ca="1">_xll.SNL.Clients.Office.Excel.Functions.SPG($AE145, "SP_RATE_VALUE",AF$75,"Options:NA=NA")</f>
        <v>#NAME?</v>
      </c>
      <c r="AG145" s="382" t="e" cm="1">
        <f t="array" aca="1" ref="AG145" ca="1">_xll.SNL.Clients.Office.Excel.Functions.SPG($AE145, "SP_RATE_VALUE",AG$75,"Options:NA=NA")</f>
        <v>#NAME?</v>
      </c>
      <c r="AH145" s="383" t="e" cm="1">
        <f t="array" aca="1" ref="AH145" ca="1">_xll.SNL.Clients.Office.Excel.Functions.SPG($AE145, "SP_RATE_VALUE",AH$75,"Options:NA=NA")</f>
        <v>#NAME?</v>
      </c>
      <c r="AK145" s="392"/>
      <c r="AL145" s="392"/>
      <c r="AM145" s="392"/>
      <c r="AN145" s="3"/>
      <c r="AO145" s="2"/>
      <c r="AP145" s="3"/>
      <c r="AQ145" s="2"/>
      <c r="AY145" s="392"/>
      <c r="AZ145" s="3"/>
      <c r="BA145" s="2"/>
      <c r="BB145" s="3"/>
      <c r="BC145" s="2"/>
      <c r="BK145" s="63" t="s">
        <v>256</v>
      </c>
      <c r="BL145" s="416" t="str">
        <f>VLOOKUP(BK50,BK146:BL147,2,FALSE)</f>
        <v>MIrecommended</v>
      </c>
      <c r="BM145" s="402"/>
      <c r="BN145" s="7"/>
      <c r="BQ145" s="44" t="s">
        <v>381</v>
      </c>
      <c r="BR145" s="44" t="s">
        <v>4711</v>
      </c>
    </row>
    <row r="146" spans="2:70" x14ac:dyDescent="0.2">
      <c r="B146" s="7" t="str">
        <f>VLOOKUP("Less:",Language_Data,Lookup_Column,FALSE)</f>
        <v>Less:</v>
      </c>
      <c r="C146" s="7"/>
      <c r="D146" s="7"/>
      <c r="E146" s="7"/>
      <c r="F146" s="7"/>
      <c r="G146" s="7"/>
      <c r="H146" s="7"/>
      <c r="I146" s="112"/>
      <c r="J146" s="212"/>
      <c r="K146" s="229"/>
      <c r="L146" s="7"/>
      <c r="M146" s="7" t="str">
        <f>VLOOKUP("Implied Perp. Growth Rate of Unlevered Free Cash Flow(2)",Language_Data,Lookup_Column,FALSE)</f>
        <v>Implied Perp. Growth Rate of Unlevered Free Cash Flow(2)</v>
      </c>
      <c r="N146" s="7"/>
      <c r="O146" s="7"/>
      <c r="P146" s="7"/>
      <c r="Q146" s="7"/>
      <c r="R146" s="133">
        <f>IFERROR((R109*R144*R142-R133)/(R109*R144+R133),"NA")</f>
        <v>3.6618227947829651E-2</v>
      </c>
      <c r="S146" s="155"/>
      <c r="AC146" s="26" t="s">
        <v>4584</v>
      </c>
      <c r="AD146" s="380" t="e">
        <f t="shared" ca="1" si="52"/>
        <v>#NAME?</v>
      </c>
      <c r="AE146" s="381" t="s">
        <v>4585</v>
      </c>
      <c r="AF146" s="382" t="e" cm="1">
        <f t="array" aca="1" ref="AF146" ca="1">_xll.SNL.Clients.Office.Excel.Functions.SPG($AE146, "SP_RATE_VALUE",AF$75,"Options:NA=NA")</f>
        <v>#NAME?</v>
      </c>
      <c r="AG146" s="382" t="e" cm="1">
        <f t="array" aca="1" ref="AG146" ca="1">_xll.SNL.Clients.Office.Excel.Functions.SPG($AE146, "SP_RATE_VALUE",AG$75,"Options:NA=NA")</f>
        <v>#NAME?</v>
      </c>
      <c r="AH146" s="383" t="e" cm="1">
        <f t="array" aca="1" ref="AH146" ca="1">_xll.SNL.Clients.Office.Excel.Functions.SPG($AE146, "SP_RATE_VALUE",AH$75,"Options:NA=NA")</f>
        <v>#NAME?</v>
      </c>
      <c r="AK146" s="392"/>
      <c r="AL146" s="392"/>
      <c r="AM146" s="392"/>
      <c r="AN146" s="3"/>
      <c r="AO146" s="2"/>
      <c r="AP146" s="3"/>
      <c r="AQ146" s="2"/>
      <c r="AY146" s="392"/>
      <c r="AZ146" s="3"/>
      <c r="BA146" s="2"/>
      <c r="BB146" s="3"/>
      <c r="BC146" s="2"/>
      <c r="BK146" s="403" t="s">
        <v>312</v>
      </c>
      <c r="BL146" s="404" t="s">
        <v>311</v>
      </c>
      <c r="BM146" s="412"/>
      <c r="BN146" s="7"/>
      <c r="BQ146" s="44" t="s">
        <v>4712</v>
      </c>
      <c r="BR146" s="44" t="s">
        <v>4713</v>
      </c>
    </row>
    <row r="147" spans="2:70" x14ac:dyDescent="0.2">
      <c r="B147" s="7"/>
      <c r="C147" s="7" t="str">
        <f>VLOOKUP("Total Debt",Language_Data,Lookup_Column,FALSE)</f>
        <v>Total Debt</v>
      </c>
      <c r="D147" s="7"/>
      <c r="E147" s="7"/>
      <c r="F147" s="7"/>
      <c r="G147" s="7"/>
      <c r="H147" s="7"/>
      <c r="I147" s="112">
        <f>IFERROR(IF(AA66="","",-AA66),"NA")</f>
        <v>-194918.29771951874</v>
      </c>
      <c r="J147" s="212"/>
      <c r="K147" s="210">
        <f>IFERROR(I147/I$152,"NA")</f>
        <v>-0.82582195264097225</v>
      </c>
      <c r="L147" s="7"/>
      <c r="M147" s="7"/>
      <c r="N147" s="7"/>
      <c r="O147" s="7"/>
      <c r="P147" s="7"/>
      <c r="Q147" s="7"/>
      <c r="R147" s="212"/>
      <c r="S147" s="7"/>
      <c r="W147" s="273"/>
      <c r="X147" s="274"/>
      <c r="Y147" s="274"/>
      <c r="Z147" s="284"/>
      <c r="AA147" s="286" t="str">
        <f>MI_ID</f>
        <v>BMV:BIMBO A</v>
      </c>
      <c r="AC147" s="26" t="s">
        <v>4586</v>
      </c>
      <c r="AD147" s="380" t="e">
        <f t="shared" ca="1" si="52"/>
        <v>#NAME?</v>
      </c>
      <c r="AE147" s="381" t="s">
        <v>4587</v>
      </c>
      <c r="AF147" s="382" t="e" cm="1">
        <f t="array" aca="1" ref="AF147" ca="1">_xll.SNL.Clients.Office.Excel.Functions.SPG($AE147, "SP_RATE_VALUE",AF$75,"Options:NA=NA")</f>
        <v>#NAME?</v>
      </c>
      <c r="AG147" s="382" t="e" cm="1">
        <f t="array" aca="1" ref="AG147" ca="1">_xll.SNL.Clients.Office.Excel.Functions.SPG($AE147, "SP_RATE_VALUE",AG$75,"Options:NA=NA")</f>
        <v>#NAME?</v>
      </c>
      <c r="AH147" s="383" t="e" cm="1">
        <f t="array" aca="1" ref="AH147" ca="1">_xll.SNL.Clients.Office.Excel.Functions.SPG($AE147, "SP_RATE_VALUE",AH$75,"Options:NA=NA")</f>
        <v>#NAME?</v>
      </c>
      <c r="AK147" s="392"/>
      <c r="AL147" s="392"/>
      <c r="AM147" s="392"/>
      <c r="AN147" s="3"/>
      <c r="AO147" s="2"/>
      <c r="AP147" s="3"/>
      <c r="AQ147" s="2"/>
      <c r="AY147" s="392"/>
      <c r="AZ147" s="3"/>
      <c r="BA147" s="2"/>
      <c r="BB147" s="3"/>
      <c r="BC147" s="2"/>
      <c r="BK147" s="407" t="s">
        <v>257</v>
      </c>
      <c r="BL147" s="408" t="s">
        <v>258</v>
      </c>
      <c r="BM147" s="411"/>
      <c r="BN147" s="7"/>
      <c r="BQ147" s="44" t="s">
        <v>388</v>
      </c>
      <c r="BR147" s="44" t="s">
        <v>4714</v>
      </c>
    </row>
    <row r="148" spans="2:70" x14ac:dyDescent="0.2">
      <c r="B148" s="7"/>
      <c r="C148" s="7" t="str">
        <f>VLOOKUP("Preferred Stock",Language_Data,Lookup_Column,FALSE)</f>
        <v>Preferred Stock</v>
      </c>
      <c r="D148" s="7"/>
      <c r="E148" s="7"/>
      <c r="F148" s="7"/>
      <c r="G148" s="7"/>
      <c r="H148" s="7"/>
      <c r="I148" s="112">
        <f>IFERROR(IF(AA67="","",-AA67),"NA")</f>
        <v>0</v>
      </c>
      <c r="J148" s="212"/>
      <c r="K148" s="210">
        <f>IFERROR(I148/I$152,"NA")</f>
        <v>0</v>
      </c>
      <c r="L148" s="7"/>
      <c r="M148" s="7" t="str">
        <f>VLOOKUP("Tax Rate",Language_Data,Lookup_Column,FALSE)</f>
        <v>Tax Rate</v>
      </c>
      <c r="N148" s="7"/>
      <c r="O148" s="7"/>
      <c r="P148" s="7"/>
      <c r="Q148" s="7"/>
      <c r="R148" s="133">
        <f>F50</f>
        <v>0.3</v>
      </c>
      <c r="S148" s="155"/>
      <c r="W148" s="276"/>
      <c r="X148" s="268"/>
      <c r="Y148" s="268"/>
      <c r="Z148" s="268"/>
      <c r="AA148" s="43"/>
      <c r="AC148" s="26" t="s">
        <v>4588</v>
      </c>
      <c r="AD148" s="380" t="e">
        <f t="shared" ca="1" si="52"/>
        <v>#NAME?</v>
      </c>
      <c r="AE148" s="381" t="s">
        <v>4589</v>
      </c>
      <c r="AF148" s="382" t="e" cm="1">
        <f t="array" aca="1" ref="AF148" ca="1">_xll.SNL.Clients.Office.Excel.Functions.SPG($AE148, "SP_RATE_VALUE",AF$75,"Options:NA=NA")</f>
        <v>#NAME?</v>
      </c>
      <c r="AG148" s="382" t="e" cm="1">
        <f t="array" aca="1" ref="AG148" ca="1">_xll.SNL.Clients.Office.Excel.Functions.SPG($AE148, "SP_RATE_VALUE",AG$75,"Options:NA=NA")</f>
        <v>#NAME?</v>
      </c>
      <c r="AH148" s="383" t="e" cm="1">
        <f t="array" aca="1" ref="AH148" ca="1">_xll.SNL.Clients.Office.Excel.Functions.SPG($AE148, "SP_RATE_VALUE",AH$75,"Options:NA=NA")</f>
        <v>#NAME?</v>
      </c>
      <c r="AK148" s="392"/>
      <c r="AL148" s="392"/>
      <c r="AM148" s="392"/>
      <c r="AN148" s="3"/>
      <c r="AO148" s="2"/>
      <c r="AP148" s="3"/>
      <c r="AQ148" s="2"/>
      <c r="AY148" s="392"/>
      <c r="AZ148" s="3"/>
      <c r="BA148" s="2"/>
      <c r="BB148" s="3"/>
      <c r="BC148" s="2"/>
      <c r="BK148" s="7"/>
      <c r="BL148" s="7"/>
      <c r="BM148" s="7"/>
      <c r="BN148" s="7"/>
      <c r="BQ148" s="44" t="s">
        <v>372</v>
      </c>
      <c r="BR148" s="44" t="s">
        <v>4715</v>
      </c>
    </row>
    <row r="149" spans="2:70" x14ac:dyDescent="0.2">
      <c r="B149" s="7"/>
      <c r="C149" s="7" t="str">
        <f>VLOOKUP("Minority Interest",Language_Data,Lookup_Column,FALSE)</f>
        <v>Minority Interest</v>
      </c>
      <c r="D149" s="7"/>
      <c r="E149" s="7"/>
      <c r="F149" s="7"/>
      <c r="G149" s="7"/>
      <c r="H149" s="7"/>
      <c r="I149" s="112">
        <f>IFERROR(IF(Y135="","",-Y135),"NA")</f>
        <v>-743</v>
      </c>
      <c r="J149" s="212"/>
      <c r="K149" s="210">
        <f>IFERROR(I149/I$152,"NA")</f>
        <v>-3.1479123201412973E-3</v>
      </c>
      <c r="L149" s="7"/>
      <c r="M149" s="7"/>
      <c r="N149" s="7"/>
      <c r="O149" s="7"/>
      <c r="P149" s="7"/>
      <c r="Q149" s="7"/>
      <c r="R149" s="7"/>
      <c r="S149" s="7"/>
      <c r="W149" s="278"/>
      <c r="X149" s="116"/>
      <c r="Y149" s="116"/>
      <c r="Z149" s="116"/>
      <c r="AA149" s="288"/>
      <c r="AC149" s="26" t="s">
        <v>4590</v>
      </c>
      <c r="AD149" s="380" t="e">
        <f t="shared" ca="1" si="52"/>
        <v>#NAME?</v>
      </c>
      <c r="AE149" s="381" t="s">
        <v>4591</v>
      </c>
      <c r="AF149" s="382" t="e" cm="1">
        <f t="array" aca="1" ref="AF149" ca="1">_xll.SNL.Clients.Office.Excel.Functions.SPG($AE149, "SP_RATE_VALUE",AF$75,"Options:NA=NA")</f>
        <v>#NAME?</v>
      </c>
      <c r="AG149" s="382" t="e" cm="1">
        <f t="array" aca="1" ref="AG149" ca="1">_xll.SNL.Clients.Office.Excel.Functions.SPG($AE149, "SP_RATE_VALUE",AG$75,"Options:NA=NA")</f>
        <v>#NAME?</v>
      </c>
      <c r="AH149" s="383" t="e" cm="1">
        <f t="array" aca="1" ref="AH149" ca="1">_xll.SNL.Clients.Office.Excel.Functions.SPG($AE149, "SP_RATE_VALUE",AH$75,"Options:NA=NA")</f>
        <v>#NAME?</v>
      </c>
      <c r="AK149" s="392"/>
      <c r="AL149" s="392"/>
      <c r="AM149" s="392"/>
      <c r="AN149" s="3"/>
      <c r="AO149" s="2"/>
      <c r="AP149" s="3"/>
      <c r="AQ149" s="2"/>
      <c r="AY149" s="392"/>
      <c r="AZ149" s="3"/>
      <c r="BA149" s="2"/>
      <c r="BB149" s="3"/>
      <c r="BC149" s="2"/>
      <c r="BQ149" s="44" t="s">
        <v>382</v>
      </c>
      <c r="BR149" s="44" t="s">
        <v>4716</v>
      </c>
    </row>
    <row r="150" spans="2:70" x14ac:dyDescent="0.2">
      <c r="B150" s="7" t="str">
        <f>VLOOKUP("Plus:",Language_Data,Lookup_Column,FALSE)</f>
        <v>Plus:</v>
      </c>
      <c r="C150" s="7"/>
      <c r="D150" s="7"/>
      <c r="E150" s="7"/>
      <c r="F150" s="7"/>
      <c r="G150" s="7"/>
      <c r="H150" s="7"/>
      <c r="I150" s="112"/>
      <c r="J150" s="212"/>
      <c r="K150" s="210"/>
      <c r="L150" s="7"/>
      <c r="M150" s="7"/>
      <c r="N150" s="7"/>
      <c r="O150" s="7"/>
      <c r="P150" s="7"/>
      <c r="Q150" s="7"/>
      <c r="R150" s="7"/>
      <c r="S150" s="7"/>
      <c r="W150" s="278"/>
      <c r="X150" s="116"/>
      <c r="Y150" s="116"/>
      <c r="Z150" s="116"/>
      <c r="AA150" s="288"/>
      <c r="AC150" s="26" t="s">
        <v>4592</v>
      </c>
      <c r="AD150" s="380" t="e">
        <f t="shared" ca="1" si="52"/>
        <v>#NAME?</v>
      </c>
      <c r="AE150" s="381" t="s">
        <v>4593</v>
      </c>
      <c r="AF150" s="382" t="e" cm="1">
        <f t="array" aca="1" ref="AF150" ca="1">_xll.SNL.Clients.Office.Excel.Functions.SPG($AE150, "SP_RATE_VALUE",AF$75,"Options:NA=NA")</f>
        <v>#NAME?</v>
      </c>
      <c r="AG150" s="382" t="e" cm="1">
        <f t="array" aca="1" ref="AG150" ca="1">_xll.SNL.Clients.Office.Excel.Functions.SPG($AE150, "SP_RATE_VALUE",AG$75,"Options:NA=NA")</f>
        <v>#NAME?</v>
      </c>
      <c r="AH150" s="383" t="e" cm="1">
        <f t="array" aca="1" ref="AH150" ca="1">_xll.SNL.Clients.Office.Excel.Functions.SPG($AE150, "SP_RATE_VALUE",AH$75,"Options:NA=NA")</f>
        <v>#NAME?</v>
      </c>
      <c r="AK150" s="392"/>
      <c r="AL150" s="392"/>
      <c r="AM150" s="392"/>
      <c r="AN150" s="3"/>
      <c r="AO150" s="2"/>
      <c r="AP150" s="3"/>
      <c r="AQ150" s="2"/>
      <c r="AY150" s="392"/>
      <c r="AZ150" s="3"/>
      <c r="BA150" s="2"/>
      <c r="BB150" s="3"/>
      <c r="BC150" s="2"/>
      <c r="BK150" s="399"/>
      <c r="BQ150" s="44" t="s">
        <v>354</v>
      </c>
      <c r="BR150" s="44" t="s">
        <v>4717</v>
      </c>
    </row>
    <row r="151" spans="2:70" x14ac:dyDescent="0.2">
      <c r="B151" s="7"/>
      <c r="C151" s="7" t="str">
        <f>VLOOKUP("Cash and Equivalents",Language_Data,Lookup_Column,FALSE)</f>
        <v>Cash and Equivalents</v>
      </c>
      <c r="D151" s="7"/>
      <c r="E151" s="7"/>
      <c r="F151" s="7"/>
      <c r="G151" s="7"/>
      <c r="H151" s="7"/>
      <c r="I151" s="162">
        <f>IF(Y136="","",Y136)</f>
        <v>17022.804812354101</v>
      </c>
      <c r="J151" s="212"/>
      <c r="K151" s="210">
        <f>IFERROR(I151/I$152,"NA")</f>
        <v>7.2121530272099652E-2</v>
      </c>
      <c r="L151" s="7"/>
      <c r="M151" s="7"/>
      <c r="N151" s="7"/>
      <c r="O151" s="7"/>
      <c r="P151" s="7"/>
      <c r="Q151" s="7"/>
      <c r="R151" s="7"/>
      <c r="S151" s="7"/>
      <c r="W151" s="278"/>
      <c r="X151" s="285"/>
      <c r="Y151" s="285"/>
      <c r="Z151" s="285"/>
      <c r="AA151" s="44"/>
      <c r="AC151" s="26" t="s">
        <v>707</v>
      </c>
      <c r="AD151" s="380" t="e">
        <f t="shared" ca="1" si="52"/>
        <v>#NAME?</v>
      </c>
      <c r="AE151" s="381" t="s">
        <v>4594</v>
      </c>
      <c r="AF151" s="382" t="e" cm="1">
        <f t="array" aca="1" ref="AF151" ca="1">_xll.SNL.Clients.Office.Excel.Functions.SPG($AE151, "SP_RATE_VALUE",AF$75,"Options:NA=NA")</f>
        <v>#NAME?</v>
      </c>
      <c r="AG151" s="382" t="e" cm="1">
        <f t="array" aca="1" ref="AG151" ca="1">_xll.SNL.Clients.Office.Excel.Functions.SPG($AE151, "SP_RATE_VALUE",AG$75,"Options:NA=NA")</f>
        <v>#NAME?</v>
      </c>
      <c r="AH151" s="383" t="e" cm="1">
        <f t="array" aca="1" ref="AH151" ca="1">_xll.SNL.Clients.Office.Excel.Functions.SPG($AE151, "SP_RATE_VALUE",AH$75,"Options:NA=NA")</f>
        <v>#NAME?</v>
      </c>
      <c r="AK151" s="392"/>
      <c r="AL151" s="392"/>
      <c r="AM151" s="392"/>
      <c r="AN151" s="3"/>
      <c r="AO151" s="2"/>
      <c r="AP151" s="3"/>
      <c r="AQ151" s="2"/>
      <c r="AY151" s="392"/>
      <c r="AZ151" s="3"/>
      <c r="BA151" s="2"/>
      <c r="BB151" s="3"/>
      <c r="BC151" s="2"/>
      <c r="BQ151" s="44" t="s">
        <v>368</v>
      </c>
      <c r="BR151" s="44" t="s">
        <v>4718</v>
      </c>
    </row>
    <row r="152" spans="2:70" ht="12" thickBot="1" x14ac:dyDescent="0.25">
      <c r="B152" s="7" t="str">
        <f>VLOOKUP("Equity Value",Language_Data,Lookup_Column,FALSE)</f>
        <v>Equity value</v>
      </c>
      <c r="C152" s="7"/>
      <c r="D152" s="7"/>
      <c r="E152" s="7"/>
      <c r="F152" s="7"/>
      <c r="G152" s="7"/>
      <c r="H152" s="7"/>
      <c r="I152" s="227">
        <f>SUM(I145:I151)</f>
        <v>236029.44568883345</v>
      </c>
      <c r="J152" s="212"/>
      <c r="K152" s="213">
        <f>SUM(K145:K151)</f>
        <v>1</v>
      </c>
      <c r="L152" s="7"/>
      <c r="M152" s="7"/>
      <c r="N152" s="7"/>
      <c r="O152" s="7"/>
      <c r="P152" s="7"/>
      <c r="Q152" s="7"/>
      <c r="R152" s="7"/>
      <c r="S152" s="7"/>
      <c r="W152" s="278"/>
      <c r="X152" s="285"/>
      <c r="Y152" s="285"/>
      <c r="Z152" s="285"/>
      <c r="AA152" s="44"/>
      <c r="AC152" s="26" t="s">
        <v>705</v>
      </c>
      <c r="AD152" s="380" t="e">
        <f t="shared" ca="1" si="52"/>
        <v>#NAME?</v>
      </c>
      <c r="AE152" s="381" t="s">
        <v>4595</v>
      </c>
      <c r="AF152" s="382" t="e" cm="1">
        <f t="array" aca="1" ref="AF152" ca="1">_xll.SNL.Clients.Office.Excel.Functions.SPG($AE152, "SP_RATE_VALUE",AF$75,"Options:NA=NA")</f>
        <v>#NAME?</v>
      </c>
      <c r="AG152" s="382" t="e" cm="1">
        <f t="array" aca="1" ref="AG152" ca="1">_xll.SNL.Clients.Office.Excel.Functions.SPG($AE152, "SP_RATE_VALUE",AG$75,"Options:NA=NA")</f>
        <v>#NAME?</v>
      </c>
      <c r="AH152" s="383" t="e" cm="1">
        <f t="array" aca="1" ref="AH152" ca="1">_xll.SNL.Clients.Office.Excel.Functions.SPG($AE152, "SP_RATE_VALUE",AH$75,"Options:NA=NA")</f>
        <v>#NAME?</v>
      </c>
      <c r="AK152" s="392"/>
      <c r="AL152" s="392"/>
      <c r="AM152" s="392"/>
      <c r="AN152" s="3"/>
      <c r="AO152" s="2"/>
      <c r="AP152" s="3"/>
      <c r="AQ152" s="2"/>
      <c r="AY152" s="392"/>
      <c r="AZ152" s="3"/>
      <c r="BA152" s="2"/>
      <c r="BB152" s="3"/>
      <c r="BC152" s="2"/>
      <c r="BQ152" s="18" t="s">
        <v>383</v>
      </c>
      <c r="BR152" s="18" t="s">
        <v>4719</v>
      </c>
    </row>
    <row r="153" spans="2:70" x14ac:dyDescent="0.2">
      <c r="B153" s="7"/>
      <c r="C153" s="7"/>
      <c r="D153" s="7"/>
      <c r="E153" s="7"/>
      <c r="F153" s="7"/>
      <c r="G153" s="7"/>
      <c r="H153" s="7"/>
      <c r="I153" s="228"/>
      <c r="J153" s="7"/>
      <c r="K153" s="7"/>
      <c r="L153" s="7"/>
      <c r="M153" s="7"/>
      <c r="N153" s="7"/>
      <c r="O153" s="7"/>
      <c r="P153" s="7"/>
      <c r="Q153" s="7"/>
      <c r="R153" s="7"/>
      <c r="S153" s="7"/>
      <c r="W153" s="278" t="s">
        <v>438</v>
      </c>
      <c r="X153" s="116" t="s">
        <v>524</v>
      </c>
      <c r="Y153" s="287" t="s">
        <v>4241</v>
      </c>
      <c r="Z153" s="287">
        <f>$L$15</f>
        <v>46311.25</v>
      </c>
      <c r="AA153" s="289">
        <v>46022.25</v>
      </c>
      <c r="AB153" s="5"/>
      <c r="AC153" s="26" t="s">
        <v>706</v>
      </c>
      <c r="AD153" s="380" t="e">
        <f t="shared" ca="1" si="52"/>
        <v>#NAME?</v>
      </c>
      <c r="AE153" s="381" t="s">
        <v>4596</v>
      </c>
      <c r="AF153" s="382" t="e" cm="1">
        <f t="array" aca="1" ref="AF153" ca="1">_xll.SNL.Clients.Office.Excel.Functions.SPG($AE153, "SP_RATE_VALUE",AF$75,"Options:NA=NA")</f>
        <v>#NAME?</v>
      </c>
      <c r="AG153" s="382" t="e" cm="1">
        <f t="array" aca="1" ref="AG153" ca="1">_xll.SNL.Clients.Office.Excel.Functions.SPG($AE153, "SP_RATE_VALUE",AG$75,"Options:NA=NA")</f>
        <v>#NAME?</v>
      </c>
      <c r="AH153" s="383" t="e" cm="1">
        <f t="array" aca="1" ref="AH153" ca="1">_xll.SNL.Clients.Office.Excel.Functions.SPG($AE153, "SP_RATE_VALUE",AH$75,"Options:NA=NA")</f>
        <v>#NAME?</v>
      </c>
      <c r="AK153" s="392"/>
      <c r="AL153" s="392"/>
      <c r="AM153" s="392"/>
      <c r="AN153" s="3"/>
      <c r="AO153" s="2"/>
      <c r="AP153" s="3"/>
      <c r="AQ153" s="2"/>
      <c r="AY153" s="392"/>
      <c r="AZ153" s="3"/>
      <c r="BA153" s="2"/>
      <c r="BB153" s="3"/>
      <c r="BC153" s="2"/>
    </row>
    <row r="154" spans="2:70" x14ac:dyDescent="0.2">
      <c r="B154" s="7" t="str">
        <f>VLOOKUP("Shares Outstanding",Language_Data,Lookup_Column,FALSE)&amp;" "&amp;VLOOKUP("in",Language_Data,Lookup_Column,FALSE)&amp;" "&amp;CAP_MAG</f>
        <v>Shares Outstanding In Millions</v>
      </c>
      <c r="C154" s="7"/>
      <c r="D154" s="7"/>
      <c r="E154" s="7"/>
      <c r="F154" s="7"/>
      <c r="G154" s="7"/>
      <c r="H154" s="7"/>
      <c r="I154" s="225">
        <f>IF(AA143="","",IFERROR(AA143/10^VLOOKUP(L30,BK138:BM143,3,FALSE),"NA"))</f>
        <v>4296.2842149999997</v>
      </c>
      <c r="J154" s="7"/>
      <c r="K154" s="7"/>
      <c r="L154" s="7"/>
      <c r="M154" s="7"/>
      <c r="N154" s="7"/>
      <c r="O154" s="7"/>
      <c r="P154" s="7"/>
      <c r="Q154" s="7"/>
      <c r="R154" s="7"/>
      <c r="S154" s="7"/>
      <c r="W154" s="278" t="s">
        <v>439</v>
      </c>
      <c r="X154" s="116" t="s">
        <v>524</v>
      </c>
      <c r="Y154" s="287" t="s">
        <v>4248</v>
      </c>
      <c r="Z154" s="287">
        <f>$L$15</f>
        <v>46311.25</v>
      </c>
      <c r="AA154" s="289">
        <v>46203.25</v>
      </c>
      <c r="AB154" s="5"/>
      <c r="AC154" s="26" t="s">
        <v>4597</v>
      </c>
      <c r="AD154" s="380" t="e">
        <f t="shared" ca="1" si="52"/>
        <v>#NAME?</v>
      </c>
      <c r="AE154" s="381" t="s">
        <v>4598</v>
      </c>
      <c r="AF154" s="382" t="e" cm="1">
        <f t="array" aca="1" ref="AF154" ca="1">_xll.SNL.Clients.Office.Excel.Functions.SPG($AE154, "SP_RATE_VALUE",AF$75,"Options:NA=NA")</f>
        <v>#NAME?</v>
      </c>
      <c r="AG154" s="382" t="e" cm="1">
        <f t="array" aca="1" ref="AG154" ca="1">_xll.SNL.Clients.Office.Excel.Functions.SPG($AE154, "SP_RATE_VALUE",AG$75,"Options:NA=NA")</f>
        <v>#NAME?</v>
      </c>
      <c r="AH154" s="383" t="e" cm="1">
        <f t="array" aca="1" ref="AH154" ca="1">_xll.SNL.Clients.Office.Excel.Functions.SPG($AE154, "SP_RATE_VALUE",AH$75,"Options:NA=NA")</f>
        <v>#NAME?</v>
      </c>
      <c r="AK154" s="392"/>
      <c r="AL154" s="392"/>
      <c r="AM154" s="392"/>
      <c r="AN154" s="3"/>
      <c r="AO154" s="2"/>
      <c r="AP154" s="3"/>
      <c r="AQ154" s="2"/>
      <c r="AY154" s="392"/>
      <c r="AZ154" s="3"/>
      <c r="BA154" s="2"/>
      <c r="BB154" s="3"/>
      <c r="BC154" s="2"/>
    </row>
    <row r="155" spans="2:70" x14ac:dyDescent="0.2">
      <c r="B155" s="7" t="str">
        <f>VLOOKUP("Implied Per Share Value",Language_Data,Lookup_Column,FALSE)</f>
        <v>Implied Per Share Value</v>
      </c>
      <c r="C155" s="7"/>
      <c r="D155" s="7"/>
      <c r="E155" s="7"/>
      <c r="F155" s="7"/>
      <c r="G155" s="7"/>
      <c r="H155" s="7"/>
      <c r="I155" s="214">
        <f>IFERROR(I152/I154,"NA")</f>
        <v>54.938042707873663</v>
      </c>
      <c r="J155" s="7"/>
      <c r="K155" s="7"/>
      <c r="L155" s="7"/>
      <c r="M155" s="7"/>
      <c r="N155" s="7"/>
      <c r="O155" s="7"/>
      <c r="P155" s="7"/>
      <c r="Q155" s="7"/>
      <c r="R155" s="7"/>
      <c r="S155" s="7"/>
      <c r="W155" s="278" t="s">
        <v>440</v>
      </c>
      <c r="X155" s="285"/>
      <c r="Y155" s="285"/>
      <c r="Z155" s="285"/>
      <c r="AA155" s="289">
        <f>$L$15</f>
        <v>46311.25</v>
      </c>
      <c r="AB155" s="5"/>
      <c r="AC155" s="26" t="s">
        <v>4599</v>
      </c>
      <c r="AD155" s="380" t="e">
        <f t="shared" ca="1" si="52"/>
        <v>#NAME?</v>
      </c>
      <c r="AE155" s="381" t="s">
        <v>4600</v>
      </c>
      <c r="AF155" s="382" t="e" cm="1">
        <f t="array" aca="1" ref="AF155" ca="1">_xll.SNL.Clients.Office.Excel.Functions.SPG($AE155, "SP_RATE_VALUE",AF$75,"Options:NA=NA")</f>
        <v>#NAME?</v>
      </c>
      <c r="AG155" s="382" t="e" cm="1">
        <f t="array" aca="1" ref="AG155" ca="1">_xll.SNL.Clients.Office.Excel.Functions.SPG($AE155, "SP_RATE_VALUE",AG$75,"Options:NA=NA")</f>
        <v>#NAME?</v>
      </c>
      <c r="AH155" s="383" t="e" cm="1">
        <f t="array" aca="1" ref="AH155" ca="1">_xll.SNL.Clients.Office.Excel.Functions.SPG($AE155, "SP_RATE_VALUE",AH$75,"Options:NA=NA")</f>
        <v>#NAME?</v>
      </c>
      <c r="AK155" s="392"/>
      <c r="AL155" s="392"/>
      <c r="AM155" s="392"/>
      <c r="AN155" s="3"/>
      <c r="AO155" s="2"/>
      <c r="AP155" s="3"/>
      <c r="AQ155" s="2"/>
      <c r="AY155" s="392"/>
      <c r="AZ155" s="3"/>
      <c r="BA155" s="2"/>
      <c r="BB155" s="3"/>
      <c r="BC155" s="2"/>
    </row>
    <row r="156" spans="2:70" x14ac:dyDescent="0.2">
      <c r="B156" s="7" t="str">
        <f>VLOOKUP("Current Price",Language_Data,Lookup_Column,FALSE)</f>
        <v>Current Price</v>
      </c>
      <c r="C156" s="7"/>
      <c r="D156" s="7"/>
      <c r="E156" s="7"/>
      <c r="F156" s="7"/>
      <c r="G156" s="7"/>
      <c r="H156" s="7"/>
      <c r="I156" s="225">
        <f>IF(AA144="","",AA144)</f>
        <v>58.6</v>
      </c>
      <c r="J156" s="7"/>
      <c r="K156" s="7"/>
      <c r="L156" s="7"/>
      <c r="M156" s="7"/>
      <c r="N156" s="7"/>
      <c r="O156" s="7"/>
      <c r="P156" s="7"/>
      <c r="Q156" s="7"/>
      <c r="R156" s="7"/>
      <c r="S156" s="7"/>
      <c r="W156" s="270" t="s">
        <v>441</v>
      </c>
      <c r="X156" s="271"/>
      <c r="Y156" s="271"/>
      <c r="Z156" s="271"/>
      <c r="AA156" s="290">
        <f>IF(AA155-AA153&gt;365,(AA153+365*2)-AA155,(AA153+365)-AA155)</f>
        <v>76</v>
      </c>
      <c r="AB156" s="5"/>
      <c r="AC156" s="26" t="s">
        <v>11</v>
      </c>
      <c r="AD156" s="380" t="e">
        <f t="shared" ca="1" si="52"/>
        <v>#NAME?</v>
      </c>
      <c r="AE156" s="381" t="s">
        <v>4601</v>
      </c>
      <c r="AF156" s="382" t="e" cm="1">
        <f t="array" aca="1" ref="AF156" ca="1">_xll.SNL.Clients.Office.Excel.Functions.SPG($AE156, "SP_RATE_VALUE",AF$75,"Options:NA=NA")</f>
        <v>#NAME?</v>
      </c>
      <c r="AG156" s="382" t="e" cm="1">
        <f t="array" aca="1" ref="AG156" ca="1">_xll.SNL.Clients.Office.Excel.Functions.SPG($AE156, "SP_RATE_VALUE",AG$75,"Options:NA=NA")</f>
        <v>#NAME?</v>
      </c>
      <c r="AH156" s="383" t="e" cm="1">
        <f t="array" aca="1" ref="AH156" ca="1">_xll.SNL.Clients.Office.Excel.Functions.SPG($AE156, "SP_RATE_VALUE",AH$75,"Options:NA=NA")</f>
        <v>#NAME?</v>
      </c>
      <c r="AK156" s="392"/>
      <c r="AL156" s="392"/>
      <c r="AM156" s="392"/>
      <c r="AN156" s="3"/>
      <c r="AO156" s="2"/>
      <c r="AP156" s="3"/>
      <c r="AQ156" s="2"/>
      <c r="AY156" s="392"/>
      <c r="AZ156" s="3"/>
      <c r="BA156" s="2"/>
      <c r="BB156" s="3"/>
      <c r="BC156" s="2"/>
    </row>
    <row r="157" spans="2:70" x14ac:dyDescent="0.2">
      <c r="B157" s="156" t="str">
        <f>VLOOKUP("Premium/(Discount) to Current Price",Language_Data,Lookup_Column,FALSE)</f>
        <v>Premium/(Discount) to Current Price</v>
      </c>
      <c r="C157" s="156"/>
      <c r="D157" s="156"/>
      <c r="E157" s="156"/>
      <c r="F157" s="156"/>
      <c r="G157" s="156"/>
      <c r="H157" s="156"/>
      <c r="I157" s="166">
        <f>IFERROR(I155/I156-1,"NA")</f>
        <v>-6.2490738773486987E-2</v>
      </c>
      <c r="J157" s="69"/>
      <c r="K157" s="69"/>
      <c r="L157" s="69"/>
      <c r="M157" s="69"/>
      <c r="N157" s="69"/>
      <c r="O157" s="69"/>
      <c r="P157" s="69"/>
      <c r="Q157" s="69"/>
      <c r="R157" s="69"/>
      <c r="S157" s="69"/>
      <c r="AC157" s="14" t="s">
        <v>4602</v>
      </c>
      <c r="AD157" s="384" t="e">
        <f t="shared" ca="1" si="52"/>
        <v>#NAME?</v>
      </c>
      <c r="AE157" s="385" t="s">
        <v>4603</v>
      </c>
      <c r="AF157" s="386" t="e" cm="1">
        <f t="array" aca="1" ref="AF157" ca="1">_xll.SNL.Clients.Office.Excel.Functions.SPG($AE157, "SP_RATE_VALUE",AF$75,"Options:NA=NA")</f>
        <v>#NAME?</v>
      </c>
      <c r="AG157" s="386" t="e" cm="1">
        <f t="array" aca="1" ref="AG157" ca="1">_xll.SNL.Clients.Office.Excel.Functions.SPG($AE157, "SP_RATE_VALUE",AG$75,"Options:NA=NA")</f>
        <v>#NAME?</v>
      </c>
      <c r="AH157" s="387" t="e" cm="1">
        <f t="array" aca="1" ref="AH157" ca="1">_xll.SNL.Clients.Office.Excel.Functions.SPG($AE157, "SP_RATE_VALUE",AH$75,"Options:NA=NA")</f>
        <v>#NAME?</v>
      </c>
      <c r="AK157" s="392"/>
      <c r="AL157" s="392"/>
      <c r="AM157" s="392"/>
      <c r="AN157" s="3"/>
      <c r="AO157" s="2"/>
      <c r="AP157" s="3"/>
      <c r="AQ157" s="2"/>
      <c r="AY157" s="392"/>
      <c r="AZ157" s="3"/>
      <c r="BA157" s="2"/>
      <c r="BB157" s="3"/>
      <c r="BC157" s="2"/>
    </row>
    <row r="158" spans="2:70" x14ac:dyDescent="0.2">
      <c r="B158" s="7"/>
      <c r="C158" s="7"/>
      <c r="D158" s="7"/>
      <c r="E158" s="7"/>
      <c r="F158" s="7"/>
      <c r="G158" s="7"/>
      <c r="H158" s="7"/>
      <c r="I158" s="7"/>
      <c r="J158" s="7"/>
      <c r="K158" s="7"/>
      <c r="L158" s="7"/>
      <c r="M158" s="7"/>
      <c r="N158" s="7"/>
      <c r="O158" s="7"/>
      <c r="P158" s="7"/>
      <c r="Q158" s="7"/>
      <c r="R158" s="7"/>
      <c r="S158" s="7"/>
      <c r="T158" s="7"/>
      <c r="U158" s="7"/>
      <c r="W158" s="291">
        <f>DAY($AA$154)</f>
        <v>30</v>
      </c>
      <c r="X158" s="292"/>
      <c r="AK158" s="392"/>
      <c r="AL158" s="392"/>
      <c r="AM158" s="392"/>
      <c r="AN158" s="3"/>
      <c r="AO158" s="2"/>
      <c r="AP158" s="3"/>
      <c r="AQ158" s="2"/>
      <c r="AY158" s="392"/>
      <c r="AZ158" s="3"/>
      <c r="BA158" s="2"/>
      <c r="BB158" s="3"/>
      <c r="BC158" s="2"/>
    </row>
    <row r="159" spans="2:70" x14ac:dyDescent="0.2">
      <c r="B159" s="7" t="str">
        <f>VLOOKUP("(1) Assumes",Language_Data,Lookup_Column,FALSE)&amp;$AA$156&amp;VLOOKUP("days remain in",Language_Data,Lookup_Column,FALSE)&amp;N103&amp;"; "&amp;CHOOSE(L32,VLOOKUP("Mid-Period Convention",Language_Data,Lookup_Column,FALSE),VLOOKUP("End-of-Period Convention",Language_Data,Lookup_Column,FALSE))&amp;VLOOKUP("for annual cash flows; Terminal value cash flow occurs at",Language_Data,Lookup_Column,FALSE)&amp;$X$159&amp;" "&amp;$W$158&amp;", "&amp;TEXT($R$103,"####.")</f>
        <v>(1) Assumes76days remain in2026; Mid-Period Conventionfor annual cash flows; Terminal value cash flow occurs atDecember 30, 2030.</v>
      </c>
      <c r="C159" s="7"/>
      <c r="D159" s="7"/>
      <c r="E159" s="7"/>
      <c r="F159" s="7"/>
      <c r="G159" s="7"/>
      <c r="H159" s="7"/>
      <c r="I159" s="7"/>
      <c r="J159" s="7"/>
      <c r="K159" s="7"/>
      <c r="L159" s="7"/>
      <c r="M159" s="7"/>
      <c r="N159" s="7"/>
      <c r="O159" s="7"/>
      <c r="P159" s="7"/>
      <c r="Q159" s="7"/>
      <c r="R159" s="7"/>
      <c r="S159" s="7"/>
      <c r="T159" s="7"/>
      <c r="U159" s="7"/>
      <c r="W159" s="294">
        <f>MONTH($AA$153)</f>
        <v>12</v>
      </c>
      <c r="X159" s="83" t="str">
        <f>VLOOKUP(W159,$W$161:$X$172,2,0)</f>
        <v>December</v>
      </c>
      <c r="AK159" s="392"/>
      <c r="AL159" s="392"/>
      <c r="AM159" s="392"/>
      <c r="AN159" s="3"/>
      <c r="AO159" s="2"/>
      <c r="AP159" s="3"/>
      <c r="AQ159" s="2"/>
      <c r="AY159" s="392"/>
      <c r="AZ159" s="3"/>
      <c r="BA159" s="2"/>
      <c r="BB159" s="3"/>
      <c r="BC159" s="2"/>
    </row>
    <row r="160" spans="2:70" x14ac:dyDescent="0.2">
      <c r="B160" s="127" t="str">
        <f>VLOOKUP("Terminal value equals present value of",Language_Data,Lookup_Column,FALSE)&amp;" "&amp;$R$103&amp;" "&amp;VLOOKUP("EBITDA of",Language_Data,Lookup_Column,FALSE)&amp;TEXT($R$109,"$0,00")&amp;" * "&amp;TEXT($R$144,"0.0x")&amp;VLOOKUP("Terminal Forward EBITDA Multiple.",Language_Data,Lookup_Column,FALSE)</f>
        <v>Terminal value equals present value of 2030 EBITDA of$75,348 * 6.4xTerminal Forward EBITDA Multiple.</v>
      </c>
      <c r="C160" s="7"/>
      <c r="D160" s="7"/>
      <c r="E160" s="7"/>
      <c r="F160" s="7"/>
      <c r="G160" s="7"/>
      <c r="H160" s="7"/>
      <c r="I160" s="7"/>
      <c r="J160" s="7"/>
      <c r="K160" s="7"/>
      <c r="L160" s="7"/>
      <c r="M160" s="7"/>
      <c r="N160" s="7"/>
      <c r="O160" s="7"/>
      <c r="P160" s="7"/>
      <c r="Q160" s="7"/>
      <c r="R160" s="7"/>
      <c r="S160" s="7"/>
      <c r="T160" s="7"/>
      <c r="U160" s="7"/>
      <c r="W160" s="293"/>
      <c r="X160" s="71"/>
      <c r="AK160" s="392"/>
      <c r="AL160" s="392"/>
      <c r="AM160" s="392"/>
      <c r="AN160" s="3"/>
      <c r="AO160" s="2"/>
      <c r="AP160" s="3"/>
      <c r="AQ160" s="2"/>
      <c r="AY160" s="392"/>
      <c r="AZ160" s="3"/>
      <c r="BA160" s="2"/>
      <c r="BB160" s="3"/>
      <c r="BC160" s="2"/>
    </row>
    <row r="161" spans="2:55" x14ac:dyDescent="0.2">
      <c r="B161" s="7" t="str">
        <f>VLOOKUP("(2) Implied Perpetual Growth Rate of FCF = [(Terminal EBITDA)*(Terminal EBITDA Multiple)*(WACC) - (Terminal Year FCF)] / [(Terminal EBITDA)*(Terminal EBITDA Multiple) + (Terminal Year FCF)]",Language_Data,Lookup_Column,FALSE)</f>
        <v>(2) Implied Perpetual Growth Rate of FCF = [(Terminal EBITDA)*(Terminal EBITDA Multiple)*(WACC) - (Terminal Year FCF)] / [(Terminal EBITDA)*(Terminal EBITDA Multiple) + (Terminal Year FCF)]</v>
      </c>
      <c r="C161" s="7"/>
      <c r="D161" s="7"/>
      <c r="E161" s="7"/>
      <c r="F161" s="7"/>
      <c r="G161" s="7"/>
      <c r="H161" s="7"/>
      <c r="I161" s="7"/>
      <c r="J161" s="7"/>
      <c r="K161" s="7"/>
      <c r="L161" s="7"/>
      <c r="M161" s="7"/>
      <c r="N161" s="7"/>
      <c r="O161" s="7"/>
      <c r="P161" s="7"/>
      <c r="Q161" s="7"/>
      <c r="R161" s="7"/>
      <c r="S161" s="7"/>
      <c r="T161" s="7"/>
      <c r="U161" s="7"/>
      <c r="W161" s="293">
        <v>1</v>
      </c>
      <c r="X161" s="71" t="s">
        <v>473</v>
      </c>
      <c r="AK161" s="392"/>
      <c r="AL161" s="392"/>
      <c r="AM161" s="392"/>
      <c r="AN161" s="3"/>
      <c r="AO161" s="2"/>
      <c r="AP161" s="3"/>
      <c r="AQ161" s="2"/>
      <c r="AY161" s="392"/>
      <c r="AZ161" s="3"/>
      <c r="BA161" s="2"/>
      <c r="BB161" s="3"/>
      <c r="BC161" s="2"/>
    </row>
    <row r="162" spans="2:55" x14ac:dyDescent="0.2">
      <c r="W162" s="293">
        <f>W161+1</f>
        <v>2</v>
      </c>
      <c r="X162" s="71" t="s">
        <v>474</v>
      </c>
      <c r="AK162" s="392"/>
      <c r="AL162" s="392"/>
      <c r="AM162" s="392"/>
      <c r="AN162" s="3"/>
      <c r="AO162" s="2"/>
      <c r="AP162" s="3"/>
      <c r="AQ162" s="2"/>
      <c r="AY162" s="392"/>
      <c r="AZ162" s="3"/>
      <c r="BA162" s="2"/>
      <c r="BB162" s="3"/>
      <c r="BC162" s="2"/>
    </row>
    <row r="163" spans="2:55" x14ac:dyDescent="0.2">
      <c r="B163" s="89" t="str">
        <f>VLOOKUP("SENSITIVITY ANALYSIS",Language_Data,Lookup_Column,FALSE)</f>
        <v>SENSITIVITY ANALYSIS</v>
      </c>
      <c r="C163" s="168"/>
      <c r="D163" s="168"/>
      <c r="E163" s="168"/>
      <c r="F163" s="168"/>
      <c r="G163" s="168"/>
      <c r="H163" s="168"/>
      <c r="I163" s="168"/>
      <c r="J163" s="168"/>
      <c r="K163" s="168"/>
      <c r="L163" s="168"/>
      <c r="M163" s="168"/>
      <c r="N163" s="168"/>
      <c r="O163" s="168"/>
      <c r="P163" s="168"/>
      <c r="Q163" s="168"/>
      <c r="R163" s="168"/>
      <c r="S163" s="168"/>
      <c r="W163" s="293">
        <f t="shared" ref="W163:W172" si="53">W162+1</f>
        <v>3</v>
      </c>
      <c r="X163" s="71" t="s">
        <v>475</v>
      </c>
      <c r="AK163" s="392"/>
      <c r="AL163" s="392"/>
      <c r="AM163" s="392"/>
      <c r="AN163" s="3"/>
      <c r="AO163" s="2"/>
      <c r="AP163" s="3"/>
      <c r="AQ163" s="2"/>
      <c r="AY163" s="392"/>
      <c r="AZ163" s="3"/>
      <c r="BA163" s="2"/>
      <c r="BB163" s="3"/>
      <c r="BC163" s="2"/>
    </row>
    <row r="164" spans="2:55" x14ac:dyDescent="0.2">
      <c r="B164" s="142" t="str">
        <f>"("&amp;CAP_CURR&amp;" "&amp;VLOOKUP("in",Language_Data,Lookup_Column,FALSE)&amp;" "&amp;CAP_MAG&amp;VLOOKUP(", except per share data)",Language_Data,Lookup_Column,FALSE)</f>
        <v>(MXN In Millions, except per share data)</v>
      </c>
      <c r="C164" s="7"/>
      <c r="D164" s="7"/>
      <c r="E164" s="7"/>
      <c r="F164" s="7"/>
      <c r="G164" s="7"/>
      <c r="H164" s="7"/>
      <c r="I164" s="7"/>
      <c r="J164" s="7"/>
      <c r="K164" s="7"/>
      <c r="L164" s="7"/>
      <c r="M164" s="7"/>
      <c r="N164" s="7"/>
      <c r="O164" s="7"/>
      <c r="P164" s="7"/>
      <c r="Q164" s="7"/>
      <c r="R164" s="7"/>
      <c r="S164" s="7"/>
      <c r="W164" s="293">
        <f t="shared" si="53"/>
        <v>4</v>
      </c>
      <c r="X164" s="71" t="s">
        <v>476</v>
      </c>
      <c r="AK164" s="392"/>
      <c r="AL164" s="392"/>
      <c r="AM164" s="392"/>
      <c r="AN164" s="3"/>
      <c r="AO164" s="2"/>
      <c r="AP164" s="3"/>
      <c r="AQ164" s="2"/>
      <c r="AY164" s="392"/>
      <c r="AZ164" s="3"/>
      <c r="BA164" s="2"/>
      <c r="BB164" s="3"/>
      <c r="BC164" s="2"/>
    </row>
    <row r="165" spans="2:55" x14ac:dyDescent="0.2">
      <c r="B165" s="7"/>
      <c r="C165" s="7"/>
      <c r="D165" s="7"/>
      <c r="E165" s="7"/>
      <c r="F165" s="7"/>
      <c r="G165" s="7"/>
      <c r="H165" s="7"/>
      <c r="I165" s="7"/>
      <c r="J165" s="7"/>
      <c r="K165" s="7"/>
      <c r="L165" s="7"/>
      <c r="M165" s="7"/>
      <c r="N165" s="7"/>
      <c r="O165" s="7"/>
      <c r="P165" s="7"/>
      <c r="Q165" s="7"/>
      <c r="R165" s="7"/>
      <c r="S165" s="7"/>
      <c r="W165" s="293">
        <f t="shared" si="53"/>
        <v>5</v>
      </c>
      <c r="X165" s="71" t="s">
        <v>477</v>
      </c>
      <c r="AA165" s="7"/>
      <c r="AB165" s="7"/>
      <c r="AK165" s="392"/>
      <c r="AL165" s="392"/>
      <c r="AM165" s="392"/>
      <c r="AN165" s="3"/>
      <c r="AO165" s="2"/>
      <c r="AP165" s="3"/>
      <c r="AQ165" s="2"/>
      <c r="AY165" s="392"/>
      <c r="AZ165" s="3"/>
      <c r="BA165" s="2"/>
      <c r="BB165" s="3"/>
      <c r="BC165" s="2"/>
    </row>
    <row r="166" spans="2:55" x14ac:dyDescent="0.2">
      <c r="B166" s="7"/>
      <c r="C166" s="7"/>
      <c r="D166" s="7"/>
      <c r="E166" s="7"/>
      <c r="F166" s="7"/>
      <c r="G166" s="7"/>
      <c r="H166" s="7"/>
      <c r="I166" s="7"/>
      <c r="J166" s="7"/>
      <c r="K166" s="7"/>
      <c r="L166" s="7"/>
      <c r="M166" s="7"/>
      <c r="N166" s="7"/>
      <c r="O166" s="7"/>
      <c r="P166" s="7"/>
      <c r="Q166" s="7"/>
      <c r="R166" s="7"/>
      <c r="S166" s="7"/>
      <c r="W166" s="293">
        <f t="shared" si="53"/>
        <v>6</v>
      </c>
      <c r="X166" s="71" t="s">
        <v>478</v>
      </c>
      <c r="Z166" s="7"/>
      <c r="AA166" s="7"/>
      <c r="AB166" s="7"/>
      <c r="AK166" s="392"/>
      <c r="AL166" s="392"/>
      <c r="AM166" s="392"/>
      <c r="AN166" s="3"/>
      <c r="AO166" s="2"/>
      <c r="AP166" s="3"/>
      <c r="AQ166" s="2"/>
      <c r="AY166" s="392"/>
      <c r="AZ166" s="3"/>
      <c r="BA166" s="2"/>
      <c r="BB166" s="3"/>
      <c r="BC166" s="2"/>
    </row>
    <row r="167" spans="2:55" x14ac:dyDescent="0.2">
      <c r="B167" s="7"/>
      <c r="C167" s="7"/>
      <c r="D167" s="7"/>
      <c r="E167" s="7"/>
      <c r="F167" s="7"/>
      <c r="G167" s="7"/>
      <c r="H167" s="7"/>
      <c r="I167" s="7"/>
      <c r="J167" s="7"/>
      <c r="K167" s="7"/>
      <c r="L167" s="7"/>
      <c r="M167" s="169"/>
      <c r="N167" s="7"/>
      <c r="O167" s="7"/>
      <c r="P167" s="7"/>
      <c r="Q167" s="7"/>
      <c r="R167" s="7"/>
      <c r="S167" s="169"/>
      <c r="W167" s="293">
        <f t="shared" si="53"/>
        <v>7</v>
      </c>
      <c r="X167" s="71" t="s">
        <v>479</v>
      </c>
      <c r="Z167" s="7"/>
      <c r="AA167" s="7"/>
      <c r="AB167" s="7"/>
      <c r="AK167" s="392"/>
      <c r="AL167" s="392"/>
      <c r="AM167" s="392"/>
      <c r="AN167" s="3"/>
      <c r="AO167" s="2"/>
      <c r="AP167" s="3"/>
      <c r="AQ167" s="2"/>
      <c r="AY167" s="392"/>
      <c r="AZ167" s="3"/>
      <c r="BA167" s="2"/>
      <c r="BB167" s="3"/>
      <c r="BC167" s="2"/>
    </row>
    <row r="168" spans="2:55" x14ac:dyDescent="0.2">
      <c r="B168" s="7"/>
      <c r="C168" s="7"/>
      <c r="D168" s="170" t="str">
        <f>VLOOKUP("Discounted",Language_Data,Lookup_Column,FALSE)</f>
        <v>Discounted</v>
      </c>
      <c r="E168" s="170"/>
      <c r="F168" s="7"/>
      <c r="G168" s="7"/>
      <c r="H168" s="7"/>
      <c r="I168" s="171" t="str">
        <f>VLOOKUP("Present Value of Terminal Value",Language_Data,Lookup_Column,FALSE)</f>
        <v>Present Value of Terminal Value</v>
      </c>
      <c r="J168" s="172"/>
      <c r="K168" s="172"/>
      <c r="L168" s="172"/>
      <c r="M168" s="173"/>
      <c r="N168" s="7"/>
      <c r="O168" s="171" t="str">
        <f>VLOOKUP("Present Value of Enterprise Value",Language_Data,Lookup_Column,FALSE)</f>
        <v>Present Value of Enterprise Value</v>
      </c>
      <c r="P168" s="172"/>
      <c r="Q168" s="172"/>
      <c r="R168" s="172"/>
      <c r="S168" s="173"/>
      <c r="W168" s="293">
        <f t="shared" si="53"/>
        <v>8</v>
      </c>
      <c r="X168" s="71" t="s">
        <v>480</v>
      </c>
      <c r="Z168" s="7"/>
      <c r="AA168" s="7"/>
      <c r="AB168" s="7"/>
      <c r="AK168" s="392"/>
      <c r="AL168" s="392"/>
      <c r="AM168" s="392"/>
      <c r="AN168" s="3"/>
      <c r="AO168" s="2"/>
      <c r="AP168" s="3"/>
      <c r="AQ168" s="2"/>
      <c r="AY168" s="392"/>
      <c r="AZ168" s="3"/>
      <c r="BA168" s="2"/>
      <c r="BB168" s="3"/>
      <c r="BC168" s="2"/>
    </row>
    <row r="169" spans="2:55" x14ac:dyDescent="0.2">
      <c r="B169" s="260" t="str">
        <f>IF(OR(AA75="",AA75="NA"),IF(OR($AA$78="",$AA$78="NA"),"",$AA$78),AA75)</f>
        <v>BIMBO A-MX</v>
      </c>
      <c r="C169" s="7"/>
      <c r="D169" s="170" t="str">
        <f>VLOOKUP("CF",Language_Data,Lookup_Column,FALSE)</f>
        <v>CF</v>
      </c>
      <c r="E169" s="170"/>
      <c r="F169" s="7"/>
      <c r="G169" s="7"/>
      <c r="H169" s="7"/>
      <c r="I169" s="175" t="str">
        <f>VLOOKUP("EBITDA Exit Multiple",Language_Data,Lookup_Column,FALSE)</f>
        <v>EBITDA Exit Multiple</v>
      </c>
      <c r="J169" s="74"/>
      <c r="K169" s="74"/>
      <c r="L169" s="74"/>
      <c r="M169" s="75"/>
      <c r="N169" s="170"/>
      <c r="O169" s="175" t="str">
        <f>I169</f>
        <v>EBITDA Exit Multiple</v>
      </c>
      <c r="P169" s="74"/>
      <c r="Q169" s="74"/>
      <c r="R169" s="74"/>
      <c r="S169" s="75"/>
      <c r="W169" s="293">
        <f t="shared" si="53"/>
        <v>9</v>
      </c>
      <c r="X169" s="71" t="s">
        <v>481</v>
      </c>
      <c r="Z169" s="7"/>
      <c r="AA169" s="7"/>
      <c r="AB169" s="7"/>
      <c r="AK169" s="392"/>
      <c r="AL169" s="392"/>
      <c r="AM169" s="392"/>
      <c r="AN169" s="3"/>
      <c r="AO169" s="2"/>
      <c r="AP169" s="3"/>
      <c r="AQ169" s="2"/>
      <c r="AY169" s="392"/>
      <c r="AZ169" s="3"/>
      <c r="BA169" s="2"/>
      <c r="BB169" s="3"/>
      <c r="BC169" s="2"/>
    </row>
    <row r="170" spans="2:55" x14ac:dyDescent="0.2">
      <c r="B170" s="177" t="str">
        <f>VLOOKUP("WACC",Language_Data,Lookup_Column,FALSE)</f>
        <v>WACC</v>
      </c>
      <c r="C170" s="7"/>
      <c r="D170" s="177" t="str">
        <f>$S$103</f>
        <v>2026-2030</v>
      </c>
      <c r="E170" s="170"/>
      <c r="F170" s="7"/>
      <c r="G170" s="7"/>
      <c r="H170" s="7"/>
      <c r="I170" s="178">
        <f>IFERROR(J170-$U$175,"NA")</f>
        <v>4.4000000000000004</v>
      </c>
      <c r="J170" s="179">
        <f>IFERROR(K170-$U$175,"NA")</f>
        <v>5.4</v>
      </c>
      <c r="K170" s="179">
        <f>R144</f>
        <v>6.4</v>
      </c>
      <c r="L170" s="179">
        <f>IFERROR(K170+$U$175,"NA")</f>
        <v>7.4</v>
      </c>
      <c r="M170" s="180">
        <f>IFERROR(L170+$U$175,"NA")</f>
        <v>8.4</v>
      </c>
      <c r="N170" s="170"/>
      <c r="O170" s="178">
        <f>I170</f>
        <v>4.4000000000000004</v>
      </c>
      <c r="P170" s="179">
        <f>J170</f>
        <v>5.4</v>
      </c>
      <c r="Q170" s="179">
        <f>K170</f>
        <v>6.4</v>
      </c>
      <c r="R170" s="179">
        <f>L170</f>
        <v>7.4</v>
      </c>
      <c r="S170" s="180">
        <f>M170</f>
        <v>8.4</v>
      </c>
      <c r="W170" s="293">
        <f t="shared" si="53"/>
        <v>10</v>
      </c>
      <c r="X170" s="71" t="s">
        <v>482</v>
      </c>
      <c r="Z170" s="7"/>
      <c r="AK170" s="392"/>
      <c r="AL170" s="392"/>
      <c r="AM170" s="392"/>
      <c r="AN170" s="3"/>
      <c r="AO170" s="2"/>
      <c r="AP170" s="3"/>
      <c r="AQ170" s="2"/>
      <c r="AY170" s="392"/>
      <c r="AZ170" s="3"/>
      <c r="BA170" s="2"/>
      <c r="BB170" s="3"/>
      <c r="BC170" s="2"/>
    </row>
    <row r="171" spans="2:55" x14ac:dyDescent="0.2">
      <c r="B171" s="181">
        <f>B172-$U$174</f>
        <v>8.398289994023389E-2</v>
      </c>
      <c r="C171" s="7"/>
      <c r="D171" s="182">
        <f>IFERROR(((N$133*$AA$156/365)/(1+$B171)^(N$136))+(O$133/(1+$B171)^(O$136))+(P$133/(1+$B171)^(P$136))+(Q$133/(1+$B171)^(Q$136))+(R$133/(1+$B171)^(R$136)),"NA")</f>
        <v>100392.01680956662</v>
      </c>
      <c r="E171" s="182"/>
      <c r="F171" s="7"/>
      <c r="G171" s="7"/>
      <c r="H171" s="7"/>
      <c r="I171" s="183">
        <f t="shared" ref="I171:M175" si="54">IFERROR(($R$109*I$170)/(1+$B171)^(($AA$156/365+4)),"NA")</f>
        <v>236125.0274734938</v>
      </c>
      <c r="J171" s="184">
        <f t="shared" si="54"/>
        <v>289789.80644474237</v>
      </c>
      <c r="K171" s="184">
        <f t="shared" si="54"/>
        <v>343454.58541599096</v>
      </c>
      <c r="L171" s="184">
        <f t="shared" si="54"/>
        <v>397119.36438723962</v>
      </c>
      <c r="M171" s="185">
        <f t="shared" si="54"/>
        <v>450784.14335848816</v>
      </c>
      <c r="N171" s="181"/>
      <c r="O171" s="183">
        <f t="shared" ref="O171:S175" si="55">IFERROR(SUM($D171,I171),"NA")</f>
        <v>336517.04428306042</v>
      </c>
      <c r="P171" s="184">
        <f t="shared" si="55"/>
        <v>390181.82325430901</v>
      </c>
      <c r="Q171" s="184">
        <f t="shared" si="55"/>
        <v>443846.60222555755</v>
      </c>
      <c r="R171" s="184">
        <f t="shared" si="55"/>
        <v>497511.38119680621</v>
      </c>
      <c r="S171" s="185">
        <f t="shared" si="55"/>
        <v>551176.16016805475</v>
      </c>
      <c r="V171" s="7"/>
      <c r="W171" s="293">
        <f t="shared" si="53"/>
        <v>11</v>
      </c>
      <c r="X171" s="71" t="s">
        <v>483</v>
      </c>
      <c r="AK171" s="392"/>
      <c r="AL171" s="392"/>
      <c r="AM171" s="392"/>
      <c r="AN171" s="3"/>
      <c r="AO171" s="2"/>
      <c r="AP171" s="3"/>
      <c r="AQ171" s="2"/>
      <c r="AY171" s="392"/>
      <c r="AZ171" s="3"/>
      <c r="BA171" s="2"/>
      <c r="BB171" s="3"/>
      <c r="BC171" s="2"/>
    </row>
    <row r="172" spans="2:55" x14ac:dyDescent="0.2">
      <c r="B172" s="181">
        <f>B173-$U$174</f>
        <v>9.3982899940233885E-2</v>
      </c>
      <c r="C172" s="7"/>
      <c r="D172" s="182">
        <f>IFERROR(((N$133*$AA$156/365)/(1+$B172)^(N$136))+(O$133/(1+$B172)^(O$136))+(P$133/(1+$B172)^(P$136))+(Q$133/(1+$B172)^(Q$136))+(R$133/(1+$B172)^(R$136)),"NA")</f>
        <v>98487.220837627974</v>
      </c>
      <c r="E172" s="182"/>
      <c r="F172" s="7"/>
      <c r="G172" s="7"/>
      <c r="H172" s="7"/>
      <c r="I172" s="183">
        <f t="shared" si="54"/>
        <v>227174.30724782328</v>
      </c>
      <c r="J172" s="184">
        <f t="shared" si="54"/>
        <v>278804.83162232855</v>
      </c>
      <c r="K172" s="184">
        <f t="shared" si="54"/>
        <v>330435.35599683382</v>
      </c>
      <c r="L172" s="184">
        <f t="shared" si="54"/>
        <v>382065.88037133915</v>
      </c>
      <c r="M172" s="185">
        <f t="shared" si="54"/>
        <v>433696.40474584443</v>
      </c>
      <c r="N172" s="181"/>
      <c r="O172" s="183">
        <f t="shared" si="55"/>
        <v>325661.52808545122</v>
      </c>
      <c r="P172" s="184">
        <f t="shared" si="55"/>
        <v>377292.0524599565</v>
      </c>
      <c r="Q172" s="184">
        <f t="shared" si="55"/>
        <v>428922.57683446177</v>
      </c>
      <c r="R172" s="184">
        <f t="shared" si="55"/>
        <v>480553.10120896716</v>
      </c>
      <c r="S172" s="185">
        <f t="shared" si="55"/>
        <v>532183.62558347243</v>
      </c>
      <c r="V172" s="7"/>
      <c r="W172" s="294">
        <f t="shared" si="53"/>
        <v>12</v>
      </c>
      <c r="X172" s="83" t="s">
        <v>484</v>
      </c>
      <c r="AA172" s="7"/>
      <c r="AB172" s="7"/>
      <c r="AK172" s="392"/>
      <c r="AL172" s="392"/>
      <c r="AM172" s="392"/>
      <c r="AN172" s="3"/>
      <c r="AO172" s="2"/>
      <c r="AP172" s="3"/>
      <c r="AQ172" s="2"/>
      <c r="AY172" s="392"/>
      <c r="AZ172" s="3"/>
      <c r="BA172" s="2"/>
      <c r="BB172" s="3"/>
      <c r="BC172" s="2"/>
    </row>
    <row r="173" spans="2:55" x14ac:dyDescent="0.2">
      <c r="B173" s="181">
        <f>F91</f>
        <v>0.10398289994023388</v>
      </c>
      <c r="C173" s="7"/>
      <c r="D173" s="182">
        <f>IFERROR(((N$133*$AA$156/365)/(1+$B173)^(N$136))+(O$133/(1+$B173)^(O$136))+(P$133/(1+$B173)^(P$136))+(Q$133/(1+$B173)^(Q$136))+(R$133/(1+$B173)^(R$136)),"NA")</f>
        <v>96646.487342057022</v>
      </c>
      <c r="E173" s="182"/>
      <c r="F173" s="186" t="s">
        <v>450</v>
      </c>
      <c r="G173" s="186"/>
      <c r="H173" s="186"/>
      <c r="I173" s="183">
        <f t="shared" si="54"/>
        <v>218639.74773708449</v>
      </c>
      <c r="J173" s="184">
        <f t="shared" si="54"/>
        <v>268330.59949551278</v>
      </c>
      <c r="K173" s="184">
        <f t="shared" si="54"/>
        <v>318021.45125394111</v>
      </c>
      <c r="L173" s="184">
        <f t="shared" si="54"/>
        <v>367712.30301236943</v>
      </c>
      <c r="M173" s="185">
        <f t="shared" si="54"/>
        <v>417403.1547707977</v>
      </c>
      <c r="N173" s="186" t="s">
        <v>451</v>
      </c>
      <c r="O173" s="183">
        <f t="shared" si="55"/>
        <v>315286.23507914151</v>
      </c>
      <c r="P173" s="184">
        <f t="shared" si="55"/>
        <v>364977.08683756983</v>
      </c>
      <c r="Q173" s="184">
        <f t="shared" si="55"/>
        <v>414667.9385959981</v>
      </c>
      <c r="R173" s="184">
        <f t="shared" si="55"/>
        <v>464358.79035442648</v>
      </c>
      <c r="S173" s="185">
        <f t="shared" si="55"/>
        <v>514049.64211285475</v>
      </c>
      <c r="V173" s="7"/>
      <c r="X173" s="7"/>
      <c r="Y173" s="7"/>
      <c r="Z173" s="7"/>
      <c r="AA173" s="182"/>
      <c r="AB173" s="7"/>
      <c r="AK173" s="392"/>
      <c r="AL173" s="392"/>
      <c r="AM173" s="392"/>
      <c r="AN173" s="3"/>
      <c r="AO173" s="2"/>
      <c r="AP173" s="3"/>
      <c r="AQ173" s="2"/>
      <c r="AY173" s="392"/>
      <c r="AZ173" s="3"/>
      <c r="BA173" s="2"/>
      <c r="BB173" s="3"/>
      <c r="BC173" s="2"/>
    </row>
    <row r="174" spans="2:55" x14ac:dyDescent="0.2">
      <c r="B174" s="181">
        <f>B173+$U$174</f>
        <v>0.11398289994023388</v>
      </c>
      <c r="C174" s="7"/>
      <c r="D174" s="182">
        <f>IFERROR(((N$133*$AA$156/365)/(1+$B174)^(N$136))+(O$133/(1+$B174)^(O$136))+(P$133/(1+$B174)^(P$136))+(Q$133/(1+$B174)^(Q$136))+(R$133/(1+$B174)^(R$136)),"NA")</f>
        <v>94866.970088273345</v>
      </c>
      <c r="E174" s="182"/>
      <c r="F174" s="7"/>
      <c r="G174" s="7"/>
      <c r="H174" s="7"/>
      <c r="I174" s="183">
        <f t="shared" si="54"/>
        <v>210498.48910772812</v>
      </c>
      <c r="J174" s="184">
        <f t="shared" si="54"/>
        <v>258339.05481402998</v>
      </c>
      <c r="K174" s="184">
        <f t="shared" si="54"/>
        <v>306179.62052033184</v>
      </c>
      <c r="L174" s="184">
        <f t="shared" si="54"/>
        <v>354020.18622663367</v>
      </c>
      <c r="M174" s="185">
        <f t="shared" si="54"/>
        <v>401860.7519329355</v>
      </c>
      <c r="N174" s="181"/>
      <c r="O174" s="183">
        <f t="shared" si="55"/>
        <v>305365.45919600147</v>
      </c>
      <c r="P174" s="184">
        <f t="shared" si="55"/>
        <v>353206.02490230335</v>
      </c>
      <c r="Q174" s="184">
        <f t="shared" si="55"/>
        <v>401046.59060860518</v>
      </c>
      <c r="R174" s="184">
        <f t="shared" si="55"/>
        <v>448887.15631490701</v>
      </c>
      <c r="S174" s="185">
        <f t="shared" si="55"/>
        <v>496727.72202120884</v>
      </c>
      <c r="T174" s="7" t="str">
        <f>VLOOKUP("WACC Step",Language_Data,Lookup_Column,FALSE)</f>
        <v>WACC Step</v>
      </c>
      <c r="U174" s="174">
        <v>0.01</v>
      </c>
      <c r="V174" s="7"/>
      <c r="Y174" s="7"/>
      <c r="Z174" s="7"/>
      <c r="AA174" s="182"/>
      <c r="AB174" s="7"/>
      <c r="AK174" s="392"/>
      <c r="AL174" s="392"/>
      <c r="AM174" s="392"/>
      <c r="AN174" s="3"/>
      <c r="AO174" s="2"/>
      <c r="AP174" s="3"/>
      <c r="AQ174" s="2"/>
      <c r="AY174" s="392"/>
      <c r="AZ174" s="3"/>
      <c r="BA174" s="2"/>
      <c r="BB174" s="3"/>
      <c r="BC174" s="2"/>
    </row>
    <row r="175" spans="2:55" x14ac:dyDescent="0.2">
      <c r="B175" s="181">
        <f>B174+$U$174</f>
        <v>0.12398289994023387</v>
      </c>
      <c r="C175" s="7"/>
      <c r="D175" s="182">
        <f>IFERROR(((N$133*$AA$156/365)/(1+$B175)^(N$136))+(O$133/(1+$B175)^(O$136))+(P$133/(1+$B175)^(P$136))+(Q$133/(1+$B175)^(Q$136))+(R$133/(1+$B175)^(R$136)),"NA")</f>
        <v>93145.976791048015</v>
      </c>
      <c r="E175" s="182"/>
      <c r="F175" s="7"/>
      <c r="G175" s="7"/>
      <c r="H175" s="7"/>
      <c r="I175" s="183">
        <f t="shared" si="54"/>
        <v>202729.11667087986</v>
      </c>
      <c r="J175" s="184">
        <f t="shared" si="54"/>
        <v>248803.91591426163</v>
      </c>
      <c r="K175" s="184">
        <f t="shared" si="54"/>
        <v>294878.71515764343</v>
      </c>
      <c r="L175" s="184">
        <f t="shared" si="54"/>
        <v>340953.51440102526</v>
      </c>
      <c r="M175" s="185">
        <f t="shared" si="54"/>
        <v>387028.31364440697</v>
      </c>
      <c r="N175" s="181"/>
      <c r="O175" s="183">
        <f t="shared" si="55"/>
        <v>295875.09346192784</v>
      </c>
      <c r="P175" s="184">
        <f t="shared" si="55"/>
        <v>341949.89270530967</v>
      </c>
      <c r="Q175" s="184">
        <f t="shared" si="55"/>
        <v>388024.69194869144</v>
      </c>
      <c r="R175" s="184">
        <f t="shared" si="55"/>
        <v>434099.49119207327</v>
      </c>
      <c r="S175" s="185">
        <f t="shared" si="55"/>
        <v>480174.29043545498</v>
      </c>
      <c r="T175" s="7" t="str">
        <f>VLOOKUP("Exit Multiple Step",Language_Data,Lookup_Column,FALSE)</f>
        <v>Exit Multiple Step</v>
      </c>
      <c r="U175" s="176">
        <v>1</v>
      </c>
      <c r="Y175" s="7"/>
      <c r="Z175" s="7"/>
      <c r="AA175" s="182"/>
      <c r="AB175" s="7"/>
      <c r="AK175" s="392"/>
      <c r="AL175" s="392"/>
      <c r="AM175" s="392"/>
      <c r="AN175" s="3"/>
      <c r="AO175" s="2"/>
      <c r="AP175" s="3"/>
      <c r="AQ175" s="2"/>
      <c r="AY175" s="392"/>
      <c r="AZ175" s="3"/>
      <c r="BA175" s="2"/>
      <c r="BB175" s="3"/>
      <c r="BC175" s="2"/>
    </row>
    <row r="176" spans="2:55" x14ac:dyDescent="0.2">
      <c r="B176" s="187"/>
      <c r="C176" s="153"/>
      <c r="D176" s="188"/>
      <c r="E176" s="155"/>
      <c r="F176" s="155"/>
      <c r="G176" s="155"/>
      <c r="H176" s="155"/>
      <c r="I176" s="189"/>
      <c r="J176" s="188"/>
      <c r="K176" s="188"/>
      <c r="L176" s="188"/>
      <c r="M176" s="190"/>
      <c r="N176" s="181"/>
      <c r="O176" s="189"/>
      <c r="P176" s="188"/>
      <c r="Q176" s="188"/>
      <c r="R176" s="188"/>
      <c r="S176" s="190"/>
      <c r="Z176" s="7"/>
      <c r="AA176" s="182"/>
      <c r="AB176" s="7"/>
      <c r="AK176" s="392"/>
      <c r="AL176" s="392"/>
      <c r="AM176" s="392"/>
      <c r="AN176" s="3"/>
      <c r="AO176" s="2"/>
      <c r="AP176" s="3"/>
      <c r="AQ176" s="2"/>
      <c r="AY176" s="392"/>
      <c r="AZ176" s="3"/>
      <c r="BA176" s="2"/>
      <c r="BB176" s="3"/>
      <c r="BC176" s="2"/>
    </row>
    <row r="177" spans="2:55" x14ac:dyDescent="0.2">
      <c r="B177" s="181"/>
      <c r="C177" s="153"/>
      <c r="D177" s="155"/>
      <c r="E177" s="155"/>
      <c r="F177" s="155"/>
      <c r="G177" s="155"/>
      <c r="H177" s="155"/>
      <c r="I177" s="155"/>
      <c r="J177" s="155"/>
      <c r="K177" s="155"/>
      <c r="L177" s="155"/>
      <c r="M177" s="155"/>
      <c r="N177" s="7"/>
      <c r="O177" s="7"/>
      <c r="P177" s="7"/>
      <c r="Q177" s="7"/>
      <c r="R177" s="7"/>
      <c r="S177" s="7"/>
      <c r="Z177" s="7"/>
      <c r="AA177" s="182"/>
      <c r="AB177" s="7"/>
      <c r="AK177" s="392"/>
      <c r="AL177" s="392"/>
      <c r="AM177" s="392"/>
      <c r="AN177" s="3"/>
      <c r="AO177" s="2"/>
      <c r="AP177" s="3"/>
      <c r="AQ177" s="2"/>
      <c r="AY177" s="392"/>
      <c r="AZ177" s="3"/>
      <c r="BA177" s="2"/>
      <c r="BB177" s="3"/>
      <c r="BC177" s="2"/>
    </row>
    <row r="178" spans="2:55" x14ac:dyDescent="0.2">
      <c r="B178" s="7"/>
      <c r="C178" s="7"/>
      <c r="D178" s="7"/>
      <c r="E178" s="7"/>
      <c r="F178" s="7"/>
      <c r="G178" s="7"/>
      <c r="H178" s="7"/>
      <c r="I178" s="7"/>
      <c r="J178" s="7"/>
      <c r="K178" s="7"/>
      <c r="L178" s="7"/>
      <c r="M178" s="7"/>
      <c r="N178" s="7"/>
      <c r="O178" s="7"/>
      <c r="P178" s="7"/>
      <c r="Q178" s="7"/>
      <c r="R178" s="7"/>
      <c r="S178" s="7"/>
      <c r="Z178" s="7"/>
      <c r="AA178" s="7"/>
      <c r="AB178" s="7"/>
      <c r="AK178" s="392"/>
      <c r="AL178" s="392"/>
      <c r="AM178" s="392"/>
      <c r="AN178" s="3"/>
      <c r="AO178" s="2"/>
      <c r="AP178" s="3"/>
      <c r="AQ178" s="2"/>
      <c r="AY178" s="392"/>
      <c r="AZ178" s="3"/>
      <c r="BA178" s="2"/>
      <c r="BB178" s="3"/>
      <c r="BC178" s="2"/>
    </row>
    <row r="179" spans="2:55" x14ac:dyDescent="0.2">
      <c r="B179" s="7"/>
      <c r="C179" s="7"/>
      <c r="D179" s="7"/>
      <c r="E179" s="7"/>
      <c r="F179" s="7"/>
      <c r="G179" s="7"/>
      <c r="H179" s="7"/>
      <c r="I179" s="7"/>
      <c r="J179" s="7"/>
      <c r="K179" s="7"/>
      <c r="L179" s="7"/>
      <c r="M179" s="7"/>
      <c r="N179" s="7"/>
      <c r="O179" s="7"/>
      <c r="P179" s="7"/>
      <c r="Q179" s="7"/>
      <c r="R179" s="7"/>
      <c r="S179" s="7"/>
      <c r="Z179" s="7"/>
      <c r="AA179" s="7"/>
      <c r="AB179" s="7"/>
      <c r="AK179" s="392"/>
      <c r="AL179" s="392"/>
      <c r="AM179" s="392"/>
      <c r="AN179" s="3"/>
      <c r="AO179" s="2"/>
      <c r="AP179" s="3"/>
      <c r="AQ179" s="2"/>
      <c r="AY179" s="392"/>
      <c r="AZ179" s="3"/>
      <c r="BA179" s="2"/>
      <c r="BB179" s="3"/>
      <c r="BC179" s="2"/>
    </row>
    <row r="180" spans="2:55" x14ac:dyDescent="0.2">
      <c r="B180" s="7"/>
      <c r="C180" s="7"/>
      <c r="D180" s="170" t="str">
        <f>VLOOKUP("Net Debt(1)",Language_Data,Lookup_Column,FALSE)</f>
        <v>Net Debt(1)</v>
      </c>
      <c r="E180" s="170"/>
      <c r="F180" s="7"/>
      <c r="G180" s="7"/>
      <c r="H180" s="7"/>
      <c r="I180" s="171" t="str">
        <f>VLOOKUP("Present Value of Equity",Language_Data,Lookup_Column,FALSE)</f>
        <v>Present Value of Equity</v>
      </c>
      <c r="J180" s="172"/>
      <c r="K180" s="172"/>
      <c r="L180" s="172"/>
      <c r="M180" s="173"/>
      <c r="N180" s="7"/>
      <c r="O180" s="171" t="str">
        <f>VLOOKUP("Equity Value per Share",Language_Data,Lookup_Column,FALSE)</f>
        <v>Equity Value per Share</v>
      </c>
      <c r="P180" s="172"/>
      <c r="Q180" s="172"/>
      <c r="R180" s="172"/>
      <c r="S180" s="173"/>
      <c r="Z180" s="7"/>
      <c r="AA180" s="7"/>
      <c r="AB180" s="7"/>
      <c r="AK180" s="392"/>
      <c r="AL180" s="392"/>
      <c r="AM180" s="392"/>
      <c r="AN180" s="3"/>
      <c r="AO180" s="2"/>
      <c r="AP180" s="3"/>
      <c r="AQ180" s="2"/>
      <c r="AY180" s="392"/>
      <c r="AZ180" s="3"/>
      <c r="BA180" s="2"/>
      <c r="BB180" s="3"/>
      <c r="BC180" s="2"/>
    </row>
    <row r="181" spans="2:55" x14ac:dyDescent="0.2">
      <c r="B181" s="260" t="str">
        <f t="shared" ref="B181:B187" si="56">B169</f>
        <v>BIMBO A-MX</v>
      </c>
      <c r="C181" s="7"/>
      <c r="D181" s="170" t="str">
        <f>VLOOKUP("at",Language_Data,Lookup_Column,FALSE)</f>
        <v>at</v>
      </c>
      <c r="E181" s="170"/>
      <c r="F181" s="7"/>
      <c r="G181" s="7"/>
      <c r="H181" s="7"/>
      <c r="I181" s="175" t="str">
        <f>I169</f>
        <v>EBITDA Exit Multiple</v>
      </c>
      <c r="J181" s="74"/>
      <c r="K181" s="74"/>
      <c r="L181" s="74"/>
      <c r="M181" s="75"/>
      <c r="N181" s="170"/>
      <c r="O181" s="175" t="str">
        <f>I169</f>
        <v>EBITDA Exit Multiple</v>
      </c>
      <c r="P181" s="74"/>
      <c r="Q181" s="74"/>
      <c r="R181" s="74"/>
      <c r="S181" s="75"/>
      <c r="Z181" s="7"/>
      <c r="AA181" s="7"/>
      <c r="AB181" s="7"/>
      <c r="AK181" s="392"/>
      <c r="AL181" s="392"/>
      <c r="AM181" s="392"/>
      <c r="AN181" s="3"/>
      <c r="AO181" s="2"/>
      <c r="AP181" s="3"/>
      <c r="AQ181" s="2"/>
      <c r="AY181" s="392"/>
      <c r="AZ181" s="3"/>
      <c r="BA181" s="2"/>
      <c r="BB181" s="3"/>
      <c r="BC181" s="2"/>
    </row>
    <row r="182" spans="2:55" x14ac:dyDescent="0.2">
      <c r="B182" s="177" t="str">
        <f t="shared" si="56"/>
        <v>WACC</v>
      </c>
      <c r="C182" s="7"/>
      <c r="D182" s="191" t="str">
        <f>$Y$154</f>
        <v>FQ0</v>
      </c>
      <c r="E182" s="253"/>
      <c r="F182" s="7"/>
      <c r="G182" s="7"/>
      <c r="H182" s="7"/>
      <c r="I182" s="178">
        <f>I170</f>
        <v>4.4000000000000004</v>
      </c>
      <c r="J182" s="179">
        <f>J170</f>
        <v>5.4</v>
      </c>
      <c r="K182" s="179">
        <f>K170</f>
        <v>6.4</v>
      </c>
      <c r="L182" s="179">
        <f>L170</f>
        <v>7.4</v>
      </c>
      <c r="M182" s="180">
        <f>M170</f>
        <v>8.4</v>
      </c>
      <c r="N182" s="170"/>
      <c r="O182" s="178">
        <f>O170</f>
        <v>4.4000000000000004</v>
      </c>
      <c r="P182" s="179">
        <f>P170</f>
        <v>5.4</v>
      </c>
      <c r="Q182" s="179">
        <f>Q170</f>
        <v>6.4</v>
      </c>
      <c r="R182" s="179">
        <f>R170</f>
        <v>7.4</v>
      </c>
      <c r="S182" s="180">
        <f>S170</f>
        <v>8.4</v>
      </c>
      <c r="Z182" s="7"/>
      <c r="AA182" s="7"/>
      <c r="AB182" s="7"/>
      <c r="AK182" s="392"/>
      <c r="AL182" s="392"/>
      <c r="AM182" s="392"/>
      <c r="AN182" s="3"/>
      <c r="AO182" s="2"/>
      <c r="AP182" s="3"/>
      <c r="AQ182" s="2"/>
      <c r="AY182" s="392"/>
      <c r="AZ182" s="3"/>
      <c r="BA182" s="2"/>
      <c r="BB182" s="3"/>
      <c r="BC182" s="2"/>
    </row>
    <row r="183" spans="2:55" x14ac:dyDescent="0.2">
      <c r="B183" s="181">
        <f t="shared" si="56"/>
        <v>8.398289994023389E-2</v>
      </c>
      <c r="C183" s="7"/>
      <c r="D183" s="192">
        <f>-SUM(I147:I151)</f>
        <v>178638.49290716465</v>
      </c>
      <c r="E183" s="192"/>
      <c r="F183" s="7"/>
      <c r="G183" s="7"/>
      <c r="H183" s="7"/>
      <c r="I183" s="183">
        <f t="shared" ref="I183:M187" si="57">IFERROR(O171-$D183,"NA")</f>
        <v>157878.55137589577</v>
      </c>
      <c r="J183" s="230">
        <f t="shared" si="57"/>
        <v>211543.33034714437</v>
      </c>
      <c r="K183" s="230">
        <f t="shared" si="57"/>
        <v>265208.10931839293</v>
      </c>
      <c r="L183" s="230">
        <f t="shared" si="57"/>
        <v>318872.88828964159</v>
      </c>
      <c r="M183" s="231">
        <f t="shared" si="57"/>
        <v>372537.66726089013</v>
      </c>
      <c r="N183" s="186" t="str">
        <f>VLOOKUP("Divided",Language_Data,Lookup_Column,FALSE)</f>
        <v>Divided</v>
      </c>
      <c r="O183" s="193">
        <f t="shared" ref="O183:S187" si="58">IFERROR(I183/$N$185,"NA")</f>
        <v>36.74769719020923</v>
      </c>
      <c r="P183" s="194">
        <f t="shared" si="58"/>
        <v>49.238672248117176</v>
      </c>
      <c r="Q183" s="194">
        <f t="shared" si="58"/>
        <v>61.729647306025107</v>
      </c>
      <c r="R183" s="194">
        <f t="shared" si="58"/>
        <v>74.22062236393306</v>
      </c>
      <c r="S183" s="195">
        <f t="shared" si="58"/>
        <v>86.711597421840992</v>
      </c>
      <c r="AK183" s="392"/>
      <c r="AL183" s="392"/>
      <c r="AM183" s="392"/>
      <c r="AN183" s="3"/>
      <c r="AO183" s="2"/>
      <c r="AP183" s="3"/>
      <c r="AQ183" s="2"/>
      <c r="AY183" s="392"/>
      <c r="AZ183" s="3"/>
      <c r="BA183" s="2"/>
      <c r="BB183" s="3"/>
      <c r="BC183" s="2"/>
    </row>
    <row r="184" spans="2:55" x14ac:dyDescent="0.2">
      <c r="B184" s="181">
        <f t="shared" si="56"/>
        <v>9.3982899940233885E-2</v>
      </c>
      <c r="C184" s="7"/>
      <c r="D184" s="192">
        <f>D183</f>
        <v>178638.49290716465</v>
      </c>
      <c r="E184" s="192"/>
      <c r="F184" s="7"/>
      <c r="G184" s="7"/>
      <c r="H184" s="7"/>
      <c r="I184" s="183">
        <f t="shared" si="57"/>
        <v>147023.03517828658</v>
      </c>
      <c r="J184" s="184">
        <f t="shared" si="57"/>
        <v>198653.55955279185</v>
      </c>
      <c r="K184" s="184">
        <f t="shared" si="57"/>
        <v>250284.08392729712</v>
      </c>
      <c r="L184" s="184">
        <f t="shared" si="57"/>
        <v>301914.60830180254</v>
      </c>
      <c r="M184" s="185">
        <f t="shared" si="57"/>
        <v>353545.13267630781</v>
      </c>
      <c r="N184" s="186" t="str">
        <f>VLOOKUP("By",Language_Data,Lookup_Column,FALSE)</f>
        <v>By</v>
      </c>
      <c r="O184" s="193">
        <f t="shared" si="58"/>
        <v>34.220975107971668</v>
      </c>
      <c r="P184" s="194">
        <f t="shared" si="58"/>
        <v>46.238458540339344</v>
      </c>
      <c r="Q184" s="194">
        <f t="shared" si="58"/>
        <v>58.255941972707021</v>
      </c>
      <c r="R184" s="194">
        <f t="shared" si="58"/>
        <v>70.273425405074732</v>
      </c>
      <c r="S184" s="195">
        <f t="shared" si="58"/>
        <v>82.290908837442416</v>
      </c>
      <c r="AK184" s="392"/>
      <c r="AL184" s="392"/>
      <c r="AM184" s="392"/>
      <c r="AN184" s="3"/>
      <c r="AO184" s="2"/>
      <c r="AP184" s="3"/>
      <c r="AQ184" s="2"/>
      <c r="AY184" s="392"/>
      <c r="AZ184" s="3"/>
      <c r="BA184" s="2"/>
      <c r="BB184" s="3"/>
      <c r="BC184" s="2"/>
    </row>
    <row r="185" spans="2:55" x14ac:dyDescent="0.2">
      <c r="B185" s="181">
        <f t="shared" si="56"/>
        <v>0.10398289994023388</v>
      </c>
      <c r="C185" s="196" t="s">
        <v>456</v>
      </c>
      <c r="D185" s="192">
        <f>D184</f>
        <v>178638.49290716465</v>
      </c>
      <c r="E185" s="192"/>
      <c r="F185" s="186" t="s">
        <v>451</v>
      </c>
      <c r="G185" s="186"/>
      <c r="H185" s="186"/>
      <c r="I185" s="183">
        <f t="shared" si="57"/>
        <v>136647.74217197686</v>
      </c>
      <c r="J185" s="184">
        <f t="shared" si="57"/>
        <v>186338.59393040519</v>
      </c>
      <c r="K185" s="184">
        <f t="shared" si="57"/>
        <v>236029.44568883345</v>
      </c>
      <c r="L185" s="184">
        <f t="shared" si="57"/>
        <v>285720.29744726187</v>
      </c>
      <c r="M185" s="185">
        <f t="shared" si="57"/>
        <v>335411.14920569013</v>
      </c>
      <c r="N185" s="186">
        <f>I154</f>
        <v>4296.2842149999997</v>
      </c>
      <c r="O185" s="193">
        <f t="shared" si="58"/>
        <v>31.806029427682283</v>
      </c>
      <c r="P185" s="194">
        <f t="shared" si="58"/>
        <v>43.372036067777977</v>
      </c>
      <c r="Q185" s="194">
        <f t="shared" si="58"/>
        <v>54.938042707873663</v>
      </c>
      <c r="R185" s="194">
        <f t="shared" si="58"/>
        <v>66.504049347969385</v>
      </c>
      <c r="S185" s="195">
        <f t="shared" si="58"/>
        <v>78.070055988065064</v>
      </c>
      <c r="X185" s="7"/>
      <c r="Y185" s="7"/>
      <c r="Z185" s="7"/>
      <c r="AA185" s="7"/>
      <c r="AB185" s="7"/>
      <c r="AK185" s="392"/>
      <c r="AL185" s="392"/>
      <c r="AM185" s="392"/>
      <c r="AN185" s="3"/>
      <c r="AO185" s="2"/>
      <c r="AP185" s="3"/>
      <c r="AQ185" s="2"/>
      <c r="AY185" s="392"/>
      <c r="AZ185" s="3"/>
      <c r="BA185" s="2"/>
      <c r="BB185" s="3"/>
      <c r="BC185" s="2"/>
    </row>
    <row r="186" spans="2:55" x14ac:dyDescent="0.2">
      <c r="B186" s="181">
        <f t="shared" si="56"/>
        <v>0.11398289994023388</v>
      </c>
      <c r="C186" s="7"/>
      <c r="D186" s="192">
        <f>D185</f>
        <v>178638.49290716465</v>
      </c>
      <c r="E186" s="192"/>
      <c r="F186" s="7"/>
      <c r="G186" s="7"/>
      <c r="H186" s="7"/>
      <c r="I186" s="183">
        <f t="shared" si="57"/>
        <v>126726.96628883682</v>
      </c>
      <c r="J186" s="184">
        <f t="shared" si="57"/>
        <v>174567.53199513871</v>
      </c>
      <c r="K186" s="184">
        <f t="shared" si="57"/>
        <v>222408.09770144054</v>
      </c>
      <c r="L186" s="184">
        <f t="shared" si="57"/>
        <v>270248.6634077424</v>
      </c>
      <c r="M186" s="185">
        <f t="shared" si="57"/>
        <v>318089.22911404422</v>
      </c>
      <c r="N186" s="186" t="str">
        <f>VLOOKUP("Shares",Language_Data,Lookup_Column,FALSE)</f>
        <v>Shares</v>
      </c>
      <c r="O186" s="193">
        <f t="shared" si="58"/>
        <v>29.496876823554569</v>
      </c>
      <c r="P186" s="194">
        <f t="shared" si="58"/>
        <v>40.632212223217344</v>
      </c>
      <c r="Q186" s="194">
        <f t="shared" si="58"/>
        <v>51.767547622880102</v>
      </c>
      <c r="R186" s="194">
        <f t="shared" si="58"/>
        <v>62.902883022542866</v>
      </c>
      <c r="S186" s="195">
        <f t="shared" si="58"/>
        <v>74.038218422205631</v>
      </c>
      <c r="X186" s="7"/>
      <c r="Y186" s="7"/>
      <c r="Z186" s="7"/>
      <c r="AA186" s="7"/>
      <c r="AB186" s="7"/>
      <c r="AK186" s="392"/>
      <c r="AL186" s="392"/>
      <c r="AM186" s="392"/>
      <c r="AN186" s="3"/>
      <c r="AO186" s="2"/>
      <c r="AP186" s="3"/>
      <c r="AQ186" s="2"/>
      <c r="AY186" s="392"/>
      <c r="AZ186" s="3"/>
      <c r="BA186" s="2"/>
      <c r="BB186" s="3"/>
      <c r="BC186" s="2"/>
    </row>
    <row r="187" spans="2:55" x14ac:dyDescent="0.2">
      <c r="B187" s="181">
        <f t="shared" si="56"/>
        <v>0.12398289994023387</v>
      </c>
      <c r="C187" s="7"/>
      <c r="D187" s="192">
        <f>D186</f>
        <v>178638.49290716465</v>
      </c>
      <c r="E187" s="192"/>
      <c r="F187" s="7"/>
      <c r="G187" s="7"/>
      <c r="H187" s="7"/>
      <c r="I187" s="183">
        <f t="shared" si="57"/>
        <v>117236.60055476319</v>
      </c>
      <c r="J187" s="184">
        <f t="shared" si="57"/>
        <v>163311.39979814502</v>
      </c>
      <c r="K187" s="184">
        <f t="shared" si="57"/>
        <v>209386.19904152679</v>
      </c>
      <c r="L187" s="184">
        <f t="shared" si="57"/>
        <v>255460.99828490862</v>
      </c>
      <c r="M187" s="185">
        <f t="shared" si="57"/>
        <v>301535.79752829031</v>
      </c>
      <c r="N187" s="186" t="s">
        <v>451</v>
      </c>
      <c r="O187" s="193">
        <f t="shared" si="58"/>
        <v>27.287906173768629</v>
      </c>
      <c r="P187" s="194">
        <f t="shared" si="58"/>
        <v>38.012243051323601</v>
      </c>
      <c r="Q187" s="194">
        <f t="shared" si="58"/>
        <v>48.736579928878569</v>
      </c>
      <c r="R187" s="194">
        <f t="shared" si="58"/>
        <v>59.460916806433545</v>
      </c>
      <c r="S187" s="195">
        <f t="shared" si="58"/>
        <v>70.185253683988492</v>
      </c>
      <c r="X187" s="7"/>
      <c r="Y187" s="7"/>
      <c r="Z187" s="7"/>
      <c r="AA187" s="7"/>
      <c r="AB187" s="7"/>
      <c r="AK187" s="392"/>
      <c r="AL187" s="392"/>
      <c r="AM187" s="392"/>
      <c r="AN187" s="3"/>
      <c r="AO187" s="2"/>
      <c r="AP187" s="3"/>
      <c r="AQ187" s="2"/>
      <c r="AY187" s="392"/>
      <c r="AZ187" s="3"/>
      <c r="BA187" s="2"/>
      <c r="BB187" s="3"/>
      <c r="BC187" s="2"/>
    </row>
    <row r="188" spans="2:55" x14ac:dyDescent="0.2">
      <c r="B188" s="187"/>
      <c r="C188" s="7"/>
      <c r="D188" s="188"/>
      <c r="E188" s="155"/>
      <c r="F188" s="7"/>
      <c r="G188" s="7"/>
      <c r="H188" s="7"/>
      <c r="I188" s="189"/>
      <c r="J188" s="188"/>
      <c r="K188" s="188"/>
      <c r="L188" s="188"/>
      <c r="M188" s="190"/>
      <c r="N188" s="181"/>
      <c r="O188" s="189"/>
      <c r="P188" s="188"/>
      <c r="Q188" s="188"/>
      <c r="R188" s="188"/>
      <c r="S188" s="190"/>
      <c r="X188" s="7"/>
      <c r="Y188" s="7"/>
      <c r="Z188" s="7"/>
      <c r="AA188" s="7"/>
      <c r="AB188" s="7"/>
      <c r="AK188" s="392"/>
      <c r="AL188" s="392"/>
      <c r="AM188" s="392"/>
      <c r="AN188" s="3"/>
      <c r="AO188" s="2"/>
      <c r="AP188" s="3"/>
      <c r="AQ188" s="2"/>
      <c r="AY188" s="392"/>
      <c r="AZ188" s="3"/>
      <c r="BA188" s="2"/>
      <c r="BB188" s="3"/>
      <c r="BC188" s="2"/>
    </row>
    <row r="189" spans="2:55" x14ac:dyDescent="0.2">
      <c r="B189" s="7"/>
      <c r="C189" s="7"/>
      <c r="D189" s="7"/>
      <c r="E189" s="7"/>
      <c r="F189" s="7"/>
      <c r="G189" s="7"/>
      <c r="H189" s="7"/>
      <c r="I189" s="7"/>
      <c r="J189" s="7"/>
      <c r="K189" s="7"/>
      <c r="L189" s="7"/>
      <c r="M189" s="7"/>
      <c r="N189" s="7"/>
      <c r="O189" s="7"/>
      <c r="P189" s="7"/>
      <c r="Q189" s="7"/>
      <c r="R189" s="7"/>
      <c r="S189" s="7"/>
      <c r="X189" s="7"/>
      <c r="Y189" s="7"/>
      <c r="Z189" s="7"/>
      <c r="AA189" s="7"/>
      <c r="AB189" s="7"/>
      <c r="AK189" s="392"/>
      <c r="AL189" s="392"/>
      <c r="AM189" s="392"/>
      <c r="AN189" s="3"/>
      <c r="AO189" s="2"/>
      <c r="AP189" s="3"/>
      <c r="AQ189" s="2"/>
      <c r="AY189" s="392"/>
      <c r="AZ189" s="3"/>
      <c r="BA189" s="2"/>
      <c r="BB189" s="3"/>
      <c r="BC189" s="2"/>
    </row>
    <row r="190" spans="2:55" x14ac:dyDescent="0.2">
      <c r="B190" s="7"/>
      <c r="C190" s="7"/>
      <c r="D190" s="7"/>
      <c r="E190" s="7"/>
      <c r="F190" s="7"/>
      <c r="G190" s="7"/>
      <c r="H190" s="7"/>
      <c r="I190" s="7"/>
      <c r="J190" s="7"/>
      <c r="K190" s="7"/>
      <c r="L190" s="7"/>
      <c r="M190" s="7"/>
      <c r="N190" s="7"/>
      <c r="O190" s="7"/>
      <c r="P190" s="7"/>
      <c r="Q190" s="7"/>
      <c r="R190" s="7"/>
      <c r="S190" s="7"/>
      <c r="X190" s="7"/>
      <c r="Y190" s="7"/>
      <c r="Z190" s="7"/>
      <c r="AA190" s="7"/>
      <c r="AB190" s="7"/>
      <c r="AK190" s="392"/>
      <c r="AL190" s="392"/>
      <c r="AM190" s="392"/>
      <c r="AN190" s="3"/>
      <c r="AO190" s="2"/>
      <c r="AP190" s="3"/>
      <c r="AQ190" s="2"/>
      <c r="AY190" s="392"/>
      <c r="AZ190" s="3"/>
      <c r="BA190" s="2"/>
      <c r="BB190" s="3"/>
      <c r="BC190" s="2"/>
    </row>
    <row r="191" spans="2:55" x14ac:dyDescent="0.2">
      <c r="B191" s="7"/>
      <c r="C191" s="7"/>
      <c r="D191" s="7"/>
      <c r="E191" s="7"/>
      <c r="F191" s="7"/>
      <c r="G191" s="7"/>
      <c r="H191" s="7"/>
      <c r="I191" s="7"/>
      <c r="J191" s="7"/>
      <c r="K191" s="169"/>
      <c r="L191" s="7"/>
      <c r="M191" s="7"/>
      <c r="N191" s="7"/>
      <c r="O191" s="182"/>
      <c r="P191" s="182"/>
      <c r="Q191" s="182"/>
      <c r="R191" s="182"/>
      <c r="S191" s="182"/>
      <c r="X191" s="7"/>
      <c r="Y191" s="7"/>
      <c r="Z191" s="7"/>
      <c r="AA191" s="7"/>
      <c r="AB191" s="7"/>
      <c r="AK191" s="392"/>
      <c r="AL191" s="392"/>
      <c r="AM191" s="392"/>
      <c r="AN191" s="3"/>
      <c r="AO191" s="2"/>
      <c r="AP191" s="3"/>
      <c r="AQ191" s="2"/>
      <c r="AY191" s="392"/>
      <c r="AZ191" s="3"/>
      <c r="BA191" s="2"/>
      <c r="BB191" s="3"/>
      <c r="BC191" s="2"/>
    </row>
    <row r="192" spans="2:55" x14ac:dyDescent="0.2">
      <c r="B192" s="7"/>
      <c r="C192" s="7"/>
      <c r="D192" s="7"/>
      <c r="E192" s="7"/>
      <c r="F192" s="7"/>
      <c r="G192" s="7"/>
      <c r="H192" s="7"/>
      <c r="I192" s="171" t="str">
        <f>VLOOKUP("Implied Perpetual Growth Rate of FCF",Language_Data,Lookup_Column,FALSE)</f>
        <v>Implied Perpetual Growth Rate of FCF</v>
      </c>
      <c r="J192" s="172"/>
      <c r="K192" s="172"/>
      <c r="L192" s="172"/>
      <c r="M192" s="173"/>
      <c r="N192" s="7"/>
      <c r="O192" s="171" t="str">
        <f>VLOOKUP("Premium/(Discount) to Current Price per Share",Language_Data,Lookup_Column,FALSE)</f>
        <v>Premium/(Discount) to Current Price per Share</v>
      </c>
      <c r="P192" s="172"/>
      <c r="Q192" s="172"/>
      <c r="R192" s="172"/>
      <c r="S192" s="173"/>
      <c r="X192" s="7"/>
      <c r="Y192" s="7"/>
      <c r="Z192" s="7"/>
      <c r="AA192" s="7"/>
      <c r="AB192" s="7"/>
      <c r="AK192" s="392"/>
      <c r="AL192" s="392"/>
      <c r="AM192" s="392"/>
      <c r="AN192" s="3"/>
      <c r="AO192" s="2"/>
      <c r="AP192" s="3"/>
      <c r="AQ192" s="2"/>
      <c r="AY192" s="392"/>
      <c r="AZ192" s="3"/>
      <c r="BA192" s="2"/>
      <c r="BB192" s="3"/>
      <c r="BC192" s="2"/>
    </row>
    <row r="193" spans="2:55" x14ac:dyDescent="0.2">
      <c r="B193" s="260" t="str">
        <f>B181</f>
        <v>BIMBO A-MX</v>
      </c>
      <c r="C193" s="7"/>
      <c r="D193" s="7"/>
      <c r="E193" s="7"/>
      <c r="F193" s="7"/>
      <c r="G193" s="7"/>
      <c r="H193" s="7"/>
      <c r="I193" s="175" t="str">
        <f>I169</f>
        <v>EBITDA Exit Multiple</v>
      </c>
      <c r="J193" s="74"/>
      <c r="K193" s="74"/>
      <c r="L193" s="74"/>
      <c r="M193" s="75"/>
      <c r="N193" s="7"/>
      <c r="O193" s="175" t="str">
        <f>I169</f>
        <v>EBITDA Exit Multiple</v>
      </c>
      <c r="P193" s="74"/>
      <c r="Q193" s="74"/>
      <c r="R193" s="74"/>
      <c r="S193" s="75"/>
      <c r="X193" s="7"/>
      <c r="Y193" s="7"/>
      <c r="Z193" s="7"/>
      <c r="AA193" s="7"/>
      <c r="AB193" s="7"/>
      <c r="AK193" s="392"/>
      <c r="AL193" s="392"/>
      <c r="AM193" s="392"/>
      <c r="AN193" s="3"/>
      <c r="AO193" s="2"/>
      <c r="AP193" s="3"/>
      <c r="AQ193" s="2"/>
      <c r="AY193" s="392"/>
      <c r="AZ193" s="3"/>
      <c r="BA193" s="2"/>
      <c r="BB193" s="3"/>
      <c r="BC193" s="2"/>
    </row>
    <row r="194" spans="2:55" x14ac:dyDescent="0.2">
      <c r="B194" s="177" t="str">
        <f>B182</f>
        <v>WACC</v>
      </c>
      <c r="C194" s="155"/>
      <c r="D194" s="7"/>
      <c r="E194" s="7"/>
      <c r="F194" s="7"/>
      <c r="G194" s="7"/>
      <c r="H194" s="7"/>
      <c r="I194" s="178">
        <f>I170</f>
        <v>4.4000000000000004</v>
      </c>
      <c r="J194" s="179">
        <f>J170</f>
        <v>5.4</v>
      </c>
      <c r="K194" s="179">
        <f>K170</f>
        <v>6.4</v>
      </c>
      <c r="L194" s="179">
        <f>L170</f>
        <v>7.4</v>
      </c>
      <c r="M194" s="180">
        <f>M170</f>
        <v>8.4</v>
      </c>
      <c r="N194" s="7"/>
      <c r="O194" s="178">
        <f>O170</f>
        <v>4.4000000000000004</v>
      </c>
      <c r="P194" s="179">
        <f>P170</f>
        <v>5.4</v>
      </c>
      <c r="Q194" s="179">
        <f>Q170</f>
        <v>6.4</v>
      </c>
      <c r="R194" s="179">
        <f>R170</f>
        <v>7.4</v>
      </c>
      <c r="S194" s="180">
        <f>S170</f>
        <v>8.4</v>
      </c>
      <c r="X194" s="7"/>
      <c r="Y194" s="7"/>
      <c r="Z194" s="7"/>
      <c r="AA194" s="7"/>
      <c r="AB194" s="7"/>
      <c r="AK194" s="392"/>
      <c r="AL194" s="392"/>
      <c r="AM194" s="392"/>
      <c r="AN194" s="3"/>
      <c r="AO194" s="2"/>
      <c r="AP194" s="3"/>
      <c r="AQ194" s="2"/>
      <c r="AY194" s="392"/>
      <c r="AZ194" s="3"/>
      <c r="BA194" s="2"/>
      <c r="BB194" s="3"/>
      <c r="BC194" s="2"/>
    </row>
    <row r="195" spans="2:55" x14ac:dyDescent="0.2">
      <c r="B195" s="181">
        <f>B171</f>
        <v>8.398289994023389E-2</v>
      </c>
      <c r="C195" s="153"/>
      <c r="D195" s="7"/>
      <c r="E195" s="7"/>
      <c r="F195" s="7"/>
      <c r="G195" s="7"/>
      <c r="H195" s="7"/>
      <c r="I195" s="197">
        <f t="shared" ref="I195:M199" si="59">IFERROR(($R$109*I$194*$B195-$R$133)/($R$109*I$194+$R$133),"NA")</f>
        <v>-9.6304791645315923E-3</v>
      </c>
      <c r="J195" s="198">
        <f t="shared" si="59"/>
        <v>6.465621369897076E-3</v>
      </c>
      <c r="K195" s="198">
        <f t="shared" si="59"/>
        <v>1.7838621343344227E-2</v>
      </c>
      <c r="L195" s="198">
        <f t="shared" si="59"/>
        <v>2.6301401425145556E-2</v>
      </c>
      <c r="M195" s="199">
        <f t="shared" si="59"/>
        <v>3.2844292210107755E-2</v>
      </c>
      <c r="N195" s="7"/>
      <c r="O195" s="197">
        <f t="shared" ref="O195:S199" si="60">IFERROR(O183/$I$156-1,"NA")</f>
        <v>-0.37290619129335789</v>
      </c>
      <c r="P195" s="198">
        <f t="shared" si="60"/>
        <v>-0.1597496203392974</v>
      </c>
      <c r="Q195" s="198">
        <f t="shared" si="60"/>
        <v>5.3406950614762971E-2</v>
      </c>
      <c r="R195" s="198">
        <f t="shared" si="60"/>
        <v>0.26656352156882357</v>
      </c>
      <c r="S195" s="199">
        <f t="shared" si="60"/>
        <v>0.47972009252288372</v>
      </c>
      <c r="X195" s="7"/>
      <c r="Y195" s="7"/>
      <c r="Z195" s="7"/>
      <c r="AA195" s="7"/>
      <c r="AB195" s="7"/>
      <c r="AK195" s="392"/>
      <c r="AL195" s="392"/>
      <c r="AM195" s="392"/>
      <c r="AN195" s="3"/>
      <c r="AO195" s="2"/>
      <c r="AP195" s="3"/>
      <c r="AQ195" s="2"/>
      <c r="AY195" s="392"/>
      <c r="AZ195" s="3"/>
      <c r="BA195" s="2"/>
      <c r="BB195" s="3"/>
      <c r="BC195" s="2"/>
    </row>
    <row r="196" spans="2:55" x14ac:dyDescent="0.2">
      <c r="B196" s="181">
        <f>B172</f>
        <v>9.3982899940233885E-2</v>
      </c>
      <c r="C196" s="153"/>
      <c r="D196" s="7"/>
      <c r="E196" s="7"/>
      <c r="F196" s="7"/>
      <c r="G196" s="7"/>
      <c r="H196" s="7"/>
      <c r="I196" s="197">
        <f t="shared" si="59"/>
        <v>-4.9408484604121766E-4</v>
      </c>
      <c r="J196" s="198">
        <f t="shared" si="59"/>
        <v>1.575050604312753E-2</v>
      </c>
      <c r="K196" s="198">
        <f t="shared" si="59"/>
        <v>2.7228424645586939E-2</v>
      </c>
      <c r="L196" s="198">
        <f t="shared" si="59"/>
        <v>3.5769275885911771E-2</v>
      </c>
      <c r="M196" s="199">
        <f t="shared" si="59"/>
        <v>4.2372526394125358E-2</v>
      </c>
      <c r="N196" s="7"/>
      <c r="O196" s="197">
        <f t="shared" si="60"/>
        <v>-0.4160243155636234</v>
      </c>
      <c r="P196" s="198">
        <f t="shared" si="60"/>
        <v>-0.21094780647885081</v>
      </c>
      <c r="Q196" s="198">
        <f t="shared" si="60"/>
        <v>-5.8712973940782121E-3</v>
      </c>
      <c r="R196" s="198">
        <f t="shared" si="60"/>
        <v>0.19920521169069505</v>
      </c>
      <c r="S196" s="199">
        <f t="shared" si="60"/>
        <v>0.40428172077546787</v>
      </c>
      <c r="X196" s="7"/>
      <c r="Y196" s="7"/>
      <c r="Z196" s="7"/>
      <c r="AA196" s="7"/>
      <c r="AB196" s="7"/>
      <c r="AK196" s="392"/>
      <c r="AL196" s="392"/>
      <c r="AM196" s="392"/>
      <c r="AN196" s="3"/>
      <c r="AO196" s="2"/>
      <c r="AP196" s="3"/>
      <c r="AQ196" s="2"/>
      <c r="AY196" s="392"/>
      <c r="AZ196" s="3"/>
      <c r="BA196" s="2"/>
      <c r="BB196" s="3"/>
      <c r="BC196" s="2"/>
    </row>
    <row r="197" spans="2:55" x14ac:dyDescent="0.2">
      <c r="B197" s="181">
        <f>B173</f>
        <v>0.10398289994023388</v>
      </c>
      <c r="C197" s="153"/>
      <c r="D197" s="7"/>
      <c r="E197" s="7"/>
      <c r="F197" s="200" t="s">
        <v>459</v>
      </c>
      <c r="G197" s="200"/>
      <c r="H197" s="200"/>
      <c r="I197" s="197">
        <f t="shared" si="59"/>
        <v>8.6423094724491761E-3</v>
      </c>
      <c r="J197" s="198">
        <f t="shared" si="59"/>
        <v>2.5035390716357967E-2</v>
      </c>
      <c r="K197" s="198">
        <f t="shared" si="59"/>
        <v>3.6618227947829651E-2</v>
      </c>
      <c r="L197" s="198">
        <f t="shared" si="59"/>
        <v>4.5237150346678003E-2</v>
      </c>
      <c r="M197" s="199">
        <f t="shared" si="59"/>
        <v>5.1900760578142968E-2</v>
      </c>
      <c r="N197" s="7"/>
      <c r="O197" s="197">
        <f t="shared" si="60"/>
        <v>-0.45723499270166756</v>
      </c>
      <c r="P197" s="198">
        <f t="shared" si="60"/>
        <v>-0.25986286573757722</v>
      </c>
      <c r="Q197" s="198">
        <f t="shared" si="60"/>
        <v>-6.2490738773486987E-2</v>
      </c>
      <c r="R197" s="198">
        <f t="shared" si="60"/>
        <v>0.13488138819060391</v>
      </c>
      <c r="S197" s="199">
        <f t="shared" si="60"/>
        <v>0.33225351515469392</v>
      </c>
      <c r="X197" s="7"/>
      <c r="Y197" s="7"/>
      <c r="Z197" s="7"/>
      <c r="AA197" s="7"/>
      <c r="AB197" s="7"/>
      <c r="AK197" s="392"/>
      <c r="AL197" s="392"/>
      <c r="AM197" s="392"/>
      <c r="AN197" s="3"/>
      <c r="AO197" s="2"/>
      <c r="AP197" s="3"/>
      <c r="AQ197" s="2"/>
      <c r="AY197" s="392"/>
      <c r="AZ197" s="3"/>
      <c r="BA197" s="2"/>
      <c r="BB197" s="3"/>
      <c r="BC197" s="2"/>
    </row>
    <row r="198" spans="2:55" x14ac:dyDescent="0.2">
      <c r="B198" s="181">
        <f>B174</f>
        <v>0.11398289994023388</v>
      </c>
      <c r="C198" s="153"/>
      <c r="D198" s="7"/>
      <c r="E198" s="7"/>
      <c r="F198" s="7"/>
      <c r="G198" s="7"/>
      <c r="H198" s="7"/>
      <c r="I198" s="197">
        <f t="shared" si="59"/>
        <v>1.7778703790939539E-2</v>
      </c>
      <c r="J198" s="198">
        <f t="shared" si="59"/>
        <v>3.4320275389588401E-2</v>
      </c>
      <c r="K198" s="198">
        <f t="shared" si="59"/>
        <v>4.6008031250072343E-2</v>
      </c>
      <c r="L198" s="198">
        <f t="shared" si="59"/>
        <v>5.4705024807444221E-2</v>
      </c>
      <c r="M198" s="199">
        <f t="shared" si="59"/>
        <v>6.1428994762160578E-2</v>
      </c>
      <c r="N198" s="7"/>
      <c r="O198" s="197">
        <f t="shared" si="60"/>
        <v>-0.49664032724309615</v>
      </c>
      <c r="P198" s="198">
        <f t="shared" si="60"/>
        <v>-0.3066175388529464</v>
      </c>
      <c r="Q198" s="198">
        <f t="shared" si="60"/>
        <v>-0.11659475046279688</v>
      </c>
      <c r="R198" s="198">
        <f t="shared" si="60"/>
        <v>7.3428037927352641E-2</v>
      </c>
      <c r="S198" s="199">
        <f t="shared" si="60"/>
        <v>0.26345082631750216</v>
      </c>
      <c r="X198" s="7"/>
      <c r="Y198" s="7"/>
      <c r="Z198" s="7"/>
      <c r="AA198" s="7"/>
      <c r="AB198" s="7"/>
      <c r="AK198" s="392"/>
      <c r="AL198" s="392"/>
      <c r="AM198" s="392"/>
      <c r="AN198" s="3"/>
      <c r="AO198" s="2"/>
      <c r="AP198" s="3"/>
      <c r="AQ198" s="2"/>
      <c r="AY198" s="392"/>
      <c r="AZ198" s="3"/>
      <c r="BA198" s="2"/>
      <c r="BB198" s="3"/>
      <c r="BC198" s="2"/>
    </row>
    <row r="199" spans="2:55" x14ac:dyDescent="0.2">
      <c r="B199" s="181">
        <f>B175</f>
        <v>0.12398289994023387</v>
      </c>
      <c r="C199" s="153"/>
      <c r="D199" s="7"/>
      <c r="E199" s="7"/>
      <c r="F199" s="7"/>
      <c r="G199" s="7"/>
      <c r="H199" s="7"/>
      <c r="I199" s="197">
        <f t="shared" si="59"/>
        <v>2.6915098109429925E-2</v>
      </c>
      <c r="J199" s="198">
        <f t="shared" si="59"/>
        <v>4.3605160062818858E-2</v>
      </c>
      <c r="K199" s="198">
        <f t="shared" si="59"/>
        <v>5.5397834552315055E-2</v>
      </c>
      <c r="L199" s="198">
        <f t="shared" si="59"/>
        <v>6.4172899268210459E-2</v>
      </c>
      <c r="M199" s="199">
        <f t="shared" si="59"/>
        <v>7.0957228946178175E-2</v>
      </c>
      <c r="N199" s="7"/>
      <c r="O199" s="197">
        <f t="shared" si="60"/>
        <v>-0.53433607211998924</v>
      </c>
      <c r="P199" s="198">
        <f t="shared" si="60"/>
        <v>-0.35132691038696928</v>
      </c>
      <c r="Q199" s="198">
        <f t="shared" si="60"/>
        <v>-0.16831774865394933</v>
      </c>
      <c r="R199" s="198">
        <f t="shared" si="60"/>
        <v>1.4691413079070736E-2</v>
      </c>
      <c r="S199" s="199">
        <f t="shared" si="60"/>
        <v>0.19770057481209036</v>
      </c>
      <c r="X199" s="7"/>
      <c r="Y199" s="7"/>
      <c r="Z199" s="7"/>
      <c r="AA199" s="7"/>
      <c r="AB199" s="7"/>
      <c r="AK199" s="392"/>
      <c r="AL199" s="392"/>
      <c r="AM199" s="392"/>
      <c r="AN199" s="3"/>
      <c r="AO199" s="2"/>
      <c r="AP199" s="3"/>
      <c r="AQ199" s="2"/>
      <c r="AY199" s="392"/>
      <c r="AZ199" s="3"/>
      <c r="BA199" s="2"/>
      <c r="BB199" s="3"/>
      <c r="BC199" s="2"/>
    </row>
    <row r="200" spans="2:55" x14ac:dyDescent="0.2">
      <c r="B200" s="187"/>
      <c r="C200" s="153"/>
      <c r="D200" s="7"/>
      <c r="E200" s="7"/>
      <c r="F200" s="7"/>
      <c r="G200" s="7"/>
      <c r="H200" s="7"/>
      <c r="I200" s="189"/>
      <c r="J200" s="188"/>
      <c r="K200" s="188"/>
      <c r="L200" s="188"/>
      <c r="M200" s="190"/>
      <c r="N200" s="7"/>
      <c r="O200" s="189"/>
      <c r="P200" s="188"/>
      <c r="Q200" s="188"/>
      <c r="R200" s="188"/>
      <c r="S200" s="190"/>
      <c r="X200" s="7"/>
      <c r="Y200" s="7"/>
      <c r="Z200" s="7"/>
      <c r="AA200" s="7"/>
      <c r="AB200" s="7"/>
      <c r="AK200" s="392"/>
      <c r="AL200" s="392"/>
      <c r="AM200" s="392"/>
      <c r="AN200" s="3"/>
      <c r="AO200" s="2"/>
      <c r="AP200" s="3"/>
      <c r="AQ200" s="2"/>
      <c r="AY200" s="392"/>
      <c r="AZ200" s="3"/>
      <c r="BA200" s="2"/>
      <c r="BB200" s="3"/>
      <c r="BC200" s="2"/>
    </row>
    <row r="201" spans="2:55" x14ac:dyDescent="0.2">
      <c r="B201" s="7"/>
      <c r="C201" s="7"/>
      <c r="D201" s="7"/>
      <c r="E201" s="7"/>
      <c r="F201" s="7"/>
      <c r="G201" s="7"/>
      <c r="H201" s="7"/>
      <c r="I201" s="7"/>
      <c r="J201" s="7"/>
      <c r="K201" s="7"/>
      <c r="L201" s="7"/>
      <c r="M201" s="7"/>
      <c r="N201" s="7"/>
      <c r="O201" s="7"/>
      <c r="P201" s="7"/>
      <c r="Q201" s="7"/>
      <c r="R201" s="7"/>
      <c r="S201" s="7"/>
      <c r="X201" s="7"/>
      <c r="Y201" s="7"/>
      <c r="Z201" s="7"/>
      <c r="AA201" s="7"/>
      <c r="AB201" s="7"/>
      <c r="AK201" s="392"/>
      <c r="AL201" s="392"/>
      <c r="AM201" s="392"/>
      <c r="AN201" s="3"/>
      <c r="AO201" s="2"/>
      <c r="AP201" s="3"/>
      <c r="AQ201" s="2"/>
      <c r="AY201" s="392"/>
      <c r="AZ201" s="3"/>
      <c r="BA201" s="2"/>
      <c r="BB201" s="3"/>
      <c r="BC201" s="2"/>
    </row>
    <row r="202" spans="2:55" x14ac:dyDescent="0.2">
      <c r="B202" s="69"/>
      <c r="C202" s="69"/>
      <c r="D202" s="69"/>
      <c r="E202" s="69"/>
      <c r="F202" s="69"/>
      <c r="G202" s="69"/>
      <c r="H202" s="69"/>
      <c r="I202" s="69"/>
      <c r="J202" s="69"/>
      <c r="K202" s="69"/>
      <c r="L202" s="69"/>
      <c r="M202" s="69"/>
      <c r="N202" s="69"/>
      <c r="O202" s="69"/>
      <c r="P202" s="69"/>
      <c r="Q202" s="69"/>
      <c r="R202" s="69"/>
      <c r="S202" s="69"/>
      <c r="X202" s="7"/>
      <c r="Y202" s="7"/>
      <c r="Z202" s="7"/>
      <c r="AA202" s="7"/>
      <c r="AB202" s="7"/>
      <c r="AK202" s="392"/>
      <c r="AL202" s="392"/>
      <c r="AM202" s="392"/>
      <c r="AN202" s="3"/>
      <c r="AO202" s="2"/>
      <c r="AP202" s="3"/>
      <c r="AQ202" s="2"/>
      <c r="AY202" s="392"/>
      <c r="AZ202" s="3"/>
      <c r="BA202" s="2"/>
      <c r="BB202" s="3"/>
      <c r="BC202" s="2"/>
    </row>
    <row r="203" spans="2:55" x14ac:dyDescent="0.2">
      <c r="B203" s="7"/>
      <c r="C203" s="7"/>
      <c r="D203" s="7"/>
      <c r="E203" s="7"/>
      <c r="F203" s="7"/>
      <c r="G203" s="7"/>
      <c r="H203" s="7"/>
      <c r="I203" s="7"/>
      <c r="J203" s="7"/>
      <c r="K203" s="7"/>
      <c r="L203" s="7"/>
      <c r="M203" s="7"/>
      <c r="N203" s="7"/>
      <c r="O203" s="7"/>
      <c r="P203" s="7"/>
      <c r="Q203" s="7"/>
      <c r="R203" s="7"/>
      <c r="S203" s="7"/>
      <c r="T203" s="7"/>
      <c r="U203" s="7"/>
      <c r="V203" s="7"/>
      <c r="W203" s="7"/>
      <c r="X203" s="7"/>
      <c r="Y203" s="7"/>
      <c r="Z203" s="7"/>
      <c r="AA203" s="7"/>
      <c r="AB203" s="7"/>
      <c r="AK203" s="392"/>
      <c r="AL203" s="392"/>
      <c r="AM203" s="392"/>
      <c r="AN203" s="3"/>
      <c r="AO203" s="2"/>
      <c r="AP203" s="3"/>
      <c r="AQ203" s="2"/>
      <c r="AY203" s="392"/>
      <c r="AZ203" s="3"/>
      <c r="BA203" s="2"/>
      <c r="BB203" s="3"/>
      <c r="BC203" s="2"/>
    </row>
    <row r="204" spans="2:55" x14ac:dyDescent="0.2">
      <c r="B204" s="167" t="str">
        <f>VLOOKUP("(1) Equals Total Debt plus Preferred Equity plus Minority Interest Less Cash and Equivalents.",Language_Data,Lookup_Column,FALSE)</f>
        <v>(1) Equals Total Debt plus Preferred Equity plus Minority Interest Less Cash and Equivalents.</v>
      </c>
      <c r="C204" s="7"/>
      <c r="D204" s="7"/>
      <c r="E204" s="7"/>
      <c r="F204" s="7"/>
      <c r="G204" s="7"/>
      <c r="H204" s="7"/>
      <c r="I204" s="7"/>
      <c r="J204" s="7"/>
      <c r="K204" s="7"/>
      <c r="L204" s="7"/>
      <c r="M204" s="7"/>
      <c r="N204" s="7"/>
      <c r="O204" s="7"/>
      <c r="P204" s="7"/>
      <c r="Q204" s="7"/>
      <c r="R204" s="7"/>
      <c r="S204" s="7"/>
      <c r="T204" s="7"/>
      <c r="U204" s="7"/>
      <c r="V204" s="7"/>
      <c r="W204" s="7"/>
      <c r="X204" s="7"/>
      <c r="Y204" s="7"/>
      <c r="Z204" s="7"/>
      <c r="AA204" s="7"/>
      <c r="AB204" s="7"/>
      <c r="AK204" s="392"/>
      <c r="AL204" s="392"/>
      <c r="AM204" s="392"/>
      <c r="AN204" s="3"/>
      <c r="AO204" s="2"/>
      <c r="AP204" s="3"/>
      <c r="AQ204" s="2"/>
      <c r="AY204" s="392"/>
      <c r="AZ204" s="3"/>
      <c r="BA204" s="2"/>
      <c r="BB204" s="3"/>
      <c r="BC204" s="2"/>
    </row>
    <row r="205" spans="2:55" x14ac:dyDescent="0.2">
      <c r="B205" s="7"/>
      <c r="C205" s="7"/>
      <c r="D205" s="7"/>
      <c r="E205" s="7"/>
      <c r="F205" s="7"/>
      <c r="G205" s="7"/>
      <c r="H205" s="7"/>
      <c r="I205" s="7"/>
      <c r="J205" s="7"/>
      <c r="K205" s="7"/>
      <c r="L205" s="7"/>
      <c r="M205" s="7"/>
      <c r="N205" s="7"/>
      <c r="O205" s="7"/>
      <c r="P205" s="7"/>
      <c r="Q205" s="7"/>
      <c r="R205" s="7"/>
      <c r="S205" s="7"/>
      <c r="T205" s="7"/>
      <c r="U205" s="7"/>
      <c r="V205" s="7"/>
      <c r="W205" s="7"/>
      <c r="X205" s="7"/>
      <c r="Y205" s="7"/>
      <c r="Z205" s="7"/>
      <c r="AA205" s="7"/>
      <c r="AB205" s="7"/>
      <c r="AK205" s="392"/>
      <c r="AL205" s="392"/>
      <c r="AM205" s="392"/>
      <c r="AN205" s="3"/>
      <c r="AO205" s="2"/>
      <c r="AP205" s="3"/>
      <c r="AQ205" s="2"/>
      <c r="AY205" s="392"/>
      <c r="AZ205" s="3"/>
      <c r="BA205" s="2"/>
      <c r="BB205" s="3"/>
      <c r="BC205" s="2"/>
    </row>
    <row r="206" spans="2:55" x14ac:dyDescent="0.2">
      <c r="B206" s="89" t="str">
        <f>VLOOKUP("WORKING CAPITAL SCHEDULE",Language_Data,Lookup_Column,FALSE)</f>
        <v>WORKING CAPITAL SCHEDULE</v>
      </c>
      <c r="C206" s="168"/>
      <c r="D206" s="168"/>
      <c r="E206" s="168"/>
      <c r="F206" s="168"/>
      <c r="G206" s="168"/>
      <c r="H206" s="168"/>
      <c r="I206" s="168"/>
      <c r="J206" s="168"/>
      <c r="K206" s="168"/>
      <c r="L206" s="168"/>
      <c r="M206" s="168"/>
      <c r="N206" s="168"/>
      <c r="O206" s="168"/>
      <c r="P206" s="168"/>
      <c r="Q206" s="168"/>
      <c r="R206" s="168"/>
      <c r="S206" s="168"/>
      <c r="Z206" s="7"/>
      <c r="AA206" s="7"/>
      <c r="AB206" s="7"/>
      <c r="AK206" s="392"/>
      <c r="AL206" s="392"/>
      <c r="AM206" s="392"/>
      <c r="AN206" s="3"/>
      <c r="AO206" s="2"/>
      <c r="AP206" s="3"/>
      <c r="AQ206" s="2"/>
      <c r="AY206" s="392"/>
      <c r="AZ206" s="3"/>
      <c r="BA206" s="2"/>
      <c r="BB206" s="3"/>
      <c r="BC206" s="2"/>
    </row>
    <row r="207" spans="2:55" x14ac:dyDescent="0.2">
      <c r="B207" s="142" t="str">
        <f>"("&amp;CAP_CURR&amp;" "&amp;VLOOKUP("in",Language_Data,Lookup_Column,FALSE)&amp;" "&amp;CAP_MAG&amp;VLOOKUP(", except per share data)",Language_Data,Lookup_Column,FALSE)</f>
        <v>(MXN In Millions, except per share data)</v>
      </c>
      <c r="C207" s="7"/>
      <c r="D207" s="7"/>
      <c r="E207" s="7"/>
      <c r="F207" s="201"/>
      <c r="G207" s="201"/>
      <c r="H207" s="201"/>
      <c r="I207" s="201"/>
      <c r="J207" s="201"/>
      <c r="K207" s="201"/>
      <c r="L207" s="201"/>
      <c r="M207" s="202"/>
      <c r="N207" s="7"/>
      <c r="O207" s="7"/>
      <c r="P207" s="7"/>
      <c r="Q207" s="7"/>
      <c r="R207" s="7"/>
      <c r="S207" s="7"/>
      <c r="Y207" s="7"/>
      <c r="Z207" s="7"/>
      <c r="AA207" s="7"/>
      <c r="AB207" s="7"/>
      <c r="AK207" s="392"/>
      <c r="AL207" s="392"/>
      <c r="AM207" s="392"/>
      <c r="AN207" s="3"/>
      <c r="AO207" s="2"/>
      <c r="AP207" s="3"/>
      <c r="AQ207" s="2"/>
      <c r="AY207" s="392"/>
      <c r="AZ207" s="3"/>
      <c r="BA207" s="2"/>
      <c r="BB207" s="3"/>
      <c r="BC207" s="2"/>
    </row>
    <row r="208" spans="2:55" hidden="1" outlineLevel="1" x14ac:dyDescent="0.2">
      <c r="B208" s="30"/>
      <c r="C208" s="7"/>
      <c r="D208" s="7"/>
      <c r="E208" s="7"/>
      <c r="F208" s="215" t="str">
        <f>H99</f>
        <v>BMV:BIMBO A</v>
      </c>
      <c r="G208" s="201"/>
      <c r="I208" s="215" t="str">
        <f t="shared" ref="I208:M209" si="61">I99</f>
        <v>BMV:BIMBO A</v>
      </c>
      <c r="J208" s="215" t="str">
        <f t="shared" si="61"/>
        <v>BMV:BIMBO A</v>
      </c>
      <c r="K208" s="215" t="str">
        <f t="shared" si="61"/>
        <v>BMV:BIMBO A</v>
      </c>
      <c r="L208" s="215" t="str">
        <f t="shared" si="61"/>
        <v>BMV:BIMBO A</v>
      </c>
      <c r="M208" s="215" t="str">
        <f t="shared" si="61"/>
        <v>BMV:BIMBO A</v>
      </c>
      <c r="N208" s="7"/>
      <c r="O208" s="7"/>
      <c r="P208" s="7"/>
      <c r="Q208" s="7"/>
      <c r="R208" s="7"/>
      <c r="S208" s="7"/>
      <c r="Y208" s="7"/>
      <c r="Z208" s="7"/>
      <c r="AA208" s="7"/>
      <c r="AB208" s="7"/>
      <c r="AK208" s="392"/>
      <c r="AL208" s="392"/>
      <c r="AM208" s="392"/>
      <c r="AN208" s="3"/>
      <c r="AO208" s="2"/>
      <c r="AP208" s="3"/>
      <c r="AQ208" s="2"/>
      <c r="AY208" s="392"/>
      <c r="AZ208" s="3"/>
      <c r="BA208" s="2"/>
      <c r="BB208" s="3"/>
      <c r="BC208" s="2"/>
    </row>
    <row r="209" spans="2:55" hidden="1" outlineLevel="1" x14ac:dyDescent="0.2">
      <c r="B209" s="142"/>
      <c r="C209" s="7"/>
      <c r="D209" s="7"/>
      <c r="E209" s="7"/>
      <c r="F209" s="215" t="str">
        <f>H100</f>
        <v>FY-5</v>
      </c>
      <c r="G209" s="7"/>
      <c r="I209" s="215" t="str">
        <f t="shared" si="61"/>
        <v>FY-4</v>
      </c>
      <c r="J209" s="215" t="str">
        <f t="shared" si="61"/>
        <v>FY-3</v>
      </c>
      <c r="K209" s="215" t="str">
        <f t="shared" si="61"/>
        <v>FY-2</v>
      </c>
      <c r="L209" s="215" t="str">
        <f t="shared" si="61"/>
        <v>FY-1</v>
      </c>
      <c r="M209" s="215" t="str">
        <f t="shared" si="61"/>
        <v>FY0</v>
      </c>
      <c r="N209" s="7"/>
      <c r="O209" s="7"/>
      <c r="P209" s="7"/>
      <c r="Q209" s="7"/>
      <c r="R209" s="7"/>
      <c r="S209" s="7"/>
      <c r="Y209" s="7"/>
      <c r="Z209" s="7"/>
      <c r="AA209" s="7"/>
      <c r="AB209" s="7"/>
      <c r="AK209" s="392"/>
      <c r="AL209" s="392"/>
      <c r="AM209" s="392"/>
      <c r="AN209" s="3"/>
      <c r="AO209" s="2"/>
      <c r="AP209" s="3"/>
      <c r="AQ209" s="2"/>
      <c r="AY209" s="392"/>
      <c r="AZ209" s="3"/>
      <c r="BA209" s="2"/>
      <c r="BB209" s="3"/>
      <c r="BC209" s="2"/>
    </row>
    <row r="210" spans="2:55" hidden="1" outlineLevel="1" collapsed="1" x14ac:dyDescent="0.2">
      <c r="B210" s="7"/>
      <c r="C210" s="7"/>
      <c r="D210" s="7"/>
      <c r="E210" s="7"/>
      <c r="F210" s="31">
        <f>$L$15</f>
        <v>46311.25</v>
      </c>
      <c r="I210" s="31">
        <f>$L$15</f>
        <v>46311.25</v>
      </c>
      <c r="J210" s="31">
        <f>$L$15</f>
        <v>46311.25</v>
      </c>
      <c r="K210" s="31">
        <f>$L$15</f>
        <v>46311.25</v>
      </c>
      <c r="L210" s="31">
        <f>$L$15</f>
        <v>46311.25</v>
      </c>
      <c r="M210" s="31">
        <f>$L$15</f>
        <v>46311.25</v>
      </c>
      <c r="N210" s="7"/>
      <c r="O210" s="7"/>
      <c r="P210" s="7"/>
      <c r="Q210" s="7"/>
      <c r="R210" s="7"/>
      <c r="S210" s="7"/>
      <c r="Y210" s="7"/>
      <c r="Z210" s="7"/>
      <c r="AA210" s="7"/>
      <c r="AB210" s="7"/>
      <c r="AK210" s="392"/>
      <c r="AL210" s="392"/>
      <c r="AM210" s="392"/>
      <c r="AN210" s="3"/>
      <c r="AO210" s="2"/>
      <c r="AP210" s="3"/>
      <c r="AQ210" s="2"/>
      <c r="AY210" s="392"/>
      <c r="AZ210" s="3"/>
      <c r="BA210" s="2"/>
      <c r="BB210" s="3"/>
      <c r="BC210" s="2"/>
    </row>
    <row r="211" spans="2:55" collapsed="1" x14ac:dyDescent="0.2">
      <c r="B211" s="7"/>
      <c r="C211" s="7"/>
      <c r="D211" s="7"/>
      <c r="E211" s="7"/>
      <c r="F211" s="73" t="s">
        <v>5614</v>
      </c>
      <c r="G211" s="73"/>
      <c r="H211" s="73"/>
      <c r="I211" s="73"/>
      <c r="J211" s="73"/>
      <c r="K211" s="73"/>
      <c r="L211" s="73"/>
      <c r="M211" s="73"/>
      <c r="N211" s="73"/>
      <c r="O211" s="73"/>
      <c r="P211" s="73"/>
      <c r="Q211" s="73"/>
      <c r="R211" s="73"/>
      <c r="S211" s="261"/>
      <c r="Z211" s="7"/>
      <c r="AA211" s="7"/>
      <c r="AB211" s="7"/>
      <c r="AK211" s="392"/>
      <c r="AL211" s="392"/>
      <c r="AM211" s="392"/>
      <c r="AN211" s="3"/>
      <c r="AO211" s="2"/>
      <c r="AP211" s="3"/>
      <c r="AQ211" s="2"/>
      <c r="AY211" s="392"/>
      <c r="AZ211" s="3"/>
      <c r="BA211" s="2"/>
      <c r="BB211" s="3"/>
      <c r="BC211" s="2"/>
    </row>
    <row r="212" spans="2:55" x14ac:dyDescent="0.2">
      <c r="B212" s="7"/>
      <c r="C212" s="7"/>
      <c r="D212" s="7"/>
      <c r="E212" s="7"/>
      <c r="F212" s="244">
        <f>H103</f>
        <v>2020</v>
      </c>
      <c r="G212" s="243"/>
      <c r="H212" s="243"/>
      <c r="I212" s="243">
        <f>I103</f>
        <v>2021</v>
      </c>
      <c r="J212" s="243">
        <f>J103</f>
        <v>2022</v>
      </c>
      <c r="K212" s="243">
        <f>K103</f>
        <v>2023</v>
      </c>
      <c r="L212" s="243">
        <f>L103</f>
        <v>2024</v>
      </c>
      <c r="M212" s="244">
        <f>M103</f>
        <v>2025</v>
      </c>
      <c r="N212" s="203">
        <f>M212+1</f>
        <v>2026</v>
      </c>
      <c r="O212" s="203">
        <f>N212+1</f>
        <v>2027</v>
      </c>
      <c r="P212" s="203">
        <f>O212+1</f>
        <v>2028</v>
      </c>
      <c r="Q212" s="203">
        <f>P212+1</f>
        <v>2029</v>
      </c>
      <c r="R212" s="203">
        <f>Q212+1</f>
        <v>2030</v>
      </c>
      <c r="S212" s="7"/>
      <c r="Z212" s="7"/>
      <c r="AA212" s="7"/>
      <c r="AB212" s="7"/>
      <c r="AK212" s="392"/>
      <c r="AL212" s="392"/>
      <c r="AM212" s="392"/>
      <c r="AN212" s="3"/>
      <c r="AO212" s="2"/>
      <c r="AP212" s="3"/>
      <c r="AQ212" s="2"/>
      <c r="AY212" s="392"/>
      <c r="AZ212" s="3"/>
      <c r="BA212" s="2"/>
      <c r="BB212" s="3"/>
      <c r="BC212" s="2"/>
    </row>
    <row r="213" spans="2:55" x14ac:dyDescent="0.2">
      <c r="B213" s="7"/>
      <c r="C213" s="7"/>
      <c r="D213" s="7"/>
      <c r="E213" s="7"/>
      <c r="F213" s="264"/>
      <c r="G213" s="52"/>
      <c r="H213" s="52"/>
      <c r="I213" s="52"/>
      <c r="J213" s="52"/>
      <c r="K213" s="52"/>
      <c r="L213" s="52"/>
      <c r="M213" s="264"/>
      <c r="N213" s="265"/>
      <c r="O213" s="265"/>
      <c r="P213" s="265"/>
      <c r="Q213" s="265"/>
      <c r="R213" s="265"/>
      <c r="S213" s="7"/>
      <c r="Z213" s="7"/>
      <c r="AA213" s="7"/>
      <c r="AB213" s="7"/>
      <c r="AK213" s="392"/>
      <c r="AL213" s="392"/>
      <c r="AM213" s="392"/>
      <c r="AN213" s="3"/>
      <c r="AO213" s="2"/>
      <c r="AP213" s="3"/>
      <c r="AQ213" s="2"/>
      <c r="AY213" s="392"/>
      <c r="AZ213" s="3"/>
      <c r="BA213" s="2"/>
      <c r="BB213" s="3"/>
      <c r="BC213" s="2"/>
    </row>
    <row r="214" spans="2:55" x14ac:dyDescent="0.2">
      <c r="B214" s="204" t="str">
        <f>VLOOKUP("Total Revenue",Language_Data,Lookup_Column,FALSE)</f>
        <v>Total Revenue</v>
      </c>
      <c r="C214" s="7"/>
      <c r="D214" s="7"/>
      <c r="E214" s="34" t="s">
        <v>516</v>
      </c>
      <c r="F214" s="218" t="s">
        <v>5614</v>
      </c>
      <c r="G214" s="218"/>
      <c r="H214" s="218"/>
      <c r="I214" s="218">
        <f>Independent_DCF_Inputs!B33</f>
        <v>338792</v>
      </c>
      <c r="J214" s="218">
        <f>Independent_DCF_Inputs!C33</f>
        <v>398706</v>
      </c>
      <c r="K214" s="218">
        <f>Independent_DCF_Inputs!D33</f>
        <v>399879</v>
      </c>
      <c r="L214" s="218">
        <f>Independent_DCF_Inputs!E33</f>
        <v>408335</v>
      </c>
      <c r="M214" s="218">
        <f>Independent_DCF_Inputs!F33</f>
        <v>426952</v>
      </c>
      <c r="N214" s="218">
        <f>IF(N105="","",N105)</f>
        <v>426274.73254</v>
      </c>
      <c r="O214" s="218">
        <f>IF(O105="","",O105)</f>
        <v>445287.95780000009</v>
      </c>
      <c r="P214" s="218">
        <f>IF(P105="","",P105)</f>
        <v>468430.90583</v>
      </c>
      <c r="Q214" s="218">
        <f>IF(Q105="","",Q105)</f>
        <v>490447.15840401</v>
      </c>
      <c r="R214" s="218">
        <f>IF(R105="","",R105)</f>
        <v>511536.38621538237</v>
      </c>
      <c r="S214" s="7"/>
      <c r="W214" s="7"/>
      <c r="X214" s="212"/>
      <c r="Y214" s="258"/>
      <c r="Z214" s="258"/>
      <c r="AA214" s="258"/>
      <c r="AB214" s="258"/>
      <c r="AC214" s="258"/>
      <c r="AD214" s="258"/>
      <c r="AK214" s="392"/>
      <c r="AL214" s="392"/>
      <c r="AM214" s="392"/>
      <c r="AN214" s="3"/>
      <c r="AO214" s="2"/>
      <c r="AP214" s="3"/>
      <c r="AQ214" s="2"/>
      <c r="AY214" s="392"/>
      <c r="AZ214" s="3"/>
      <c r="BA214" s="2"/>
      <c r="BB214" s="3"/>
      <c r="BC214" s="2"/>
    </row>
    <row r="215" spans="2:55" x14ac:dyDescent="0.2">
      <c r="B215" s="204" t="str">
        <f>VLOOKUP("Cost of Revenue",Language_Data,Lookup_Column,FALSE)</f>
        <v>Cost of Revenue</v>
      </c>
      <c r="C215" s="7"/>
      <c r="D215" s="7"/>
      <c r="E215" s="34" t="s">
        <v>500</v>
      </c>
      <c r="F215" s="218" t="s">
        <v>5614</v>
      </c>
      <c r="G215" s="218"/>
      <c r="H215" s="218"/>
      <c r="I215" s="218">
        <f>Independent_DCF_Inputs!B34</f>
        <v>157703</v>
      </c>
      <c r="J215" s="218">
        <f>Independent_DCF_Inputs!C34</f>
        <v>193325</v>
      </c>
      <c r="K215" s="218">
        <f>Independent_DCF_Inputs!D34</f>
        <v>194369</v>
      </c>
      <c r="L215" s="218">
        <f>Independent_DCF_Inputs!E34</f>
        <v>193407</v>
      </c>
      <c r="M215" s="218">
        <f>Independent_DCF_Inputs!F34</f>
        <v>203465</v>
      </c>
      <c r="N215" s="218">
        <f>IF(N107="","",N107)</f>
        <v>203333.04742157998</v>
      </c>
      <c r="O215" s="218">
        <f>IF(O107="","",O107)</f>
        <v>213738.21974400003</v>
      </c>
      <c r="P215" s="218">
        <f>IF(P107="","",P107)</f>
        <v>224612.61934548503</v>
      </c>
      <c r="Q215" s="218">
        <f>IF(Q107="","",Q107)</f>
        <v>235169.4124547228</v>
      </c>
      <c r="R215" s="218">
        <f>IF(R107="","",R107)</f>
        <v>245281.69719027585</v>
      </c>
      <c r="S215" s="7"/>
      <c r="W215" s="7"/>
      <c r="X215" s="212"/>
      <c r="Y215" s="258"/>
      <c r="Z215" s="258"/>
      <c r="AA215" s="258"/>
      <c r="AB215" s="258"/>
      <c r="AC215" s="258"/>
      <c r="AD215" s="258"/>
      <c r="AK215" s="392"/>
      <c r="AL215" s="392"/>
      <c r="AM215" s="392"/>
      <c r="AN215" s="3"/>
      <c r="AO215" s="2"/>
      <c r="AP215" s="3"/>
      <c r="AQ215" s="2"/>
      <c r="AY215" s="392"/>
      <c r="AZ215" s="3"/>
      <c r="BA215" s="2"/>
      <c r="BB215" s="3"/>
      <c r="BC215" s="2"/>
    </row>
    <row r="216" spans="2:55" x14ac:dyDescent="0.2">
      <c r="B216" s="205"/>
      <c r="C216" s="7"/>
      <c r="D216" s="7"/>
      <c r="E216" s="96"/>
      <c r="F216" s="212"/>
      <c r="G216" s="212"/>
      <c r="H216" s="212"/>
      <c r="I216" s="218"/>
      <c r="J216" s="218"/>
      <c r="K216" s="218"/>
      <c r="L216" s="218"/>
      <c r="M216" s="218"/>
      <c r="N216" s="218"/>
      <c r="O216" s="218"/>
      <c r="P216" s="218"/>
      <c r="Q216" s="218"/>
      <c r="R216" s="218"/>
      <c r="S216" s="7"/>
      <c r="W216" s="7"/>
      <c r="X216" s="7"/>
      <c r="Y216" s="7"/>
      <c r="Z216" s="7"/>
      <c r="AA216" s="7"/>
      <c r="AB216" s="7"/>
      <c r="AC216" s="7"/>
      <c r="AD216" s="7"/>
      <c r="AK216" s="392"/>
      <c r="AL216" s="392"/>
      <c r="AM216" s="392"/>
      <c r="AN216" s="3"/>
      <c r="AO216" s="2"/>
      <c r="AP216" s="3"/>
      <c r="AQ216" s="2"/>
      <c r="AY216" s="392"/>
      <c r="AZ216" s="3"/>
      <c r="BA216" s="2"/>
      <c r="BB216" s="3"/>
      <c r="BC216" s="2"/>
    </row>
    <row r="217" spans="2:55" x14ac:dyDescent="0.2">
      <c r="B217" s="7" t="str">
        <f>VLOOKUP("Accounts Receivable",Language_Data,Lookup_Column,FALSE)</f>
        <v>Accounts Receivable</v>
      </c>
      <c r="C217" s="7"/>
      <c r="D217" s="7"/>
      <c r="E217" s="224" t="s">
        <v>518</v>
      </c>
      <c r="F217" s="218" t="s">
        <v>5614</v>
      </c>
      <c r="G217" s="218"/>
      <c r="H217" s="218"/>
      <c r="I217" s="218">
        <f>Independent_DCF_Inputs!B39</f>
        <v>19184</v>
      </c>
      <c r="J217" s="218">
        <f>Independent_DCF_Inputs!C39</f>
        <v>21600</v>
      </c>
      <c r="K217" s="218">
        <f>Independent_DCF_Inputs!D39</f>
        <v>21268</v>
      </c>
      <c r="L217" s="218">
        <f>Independent_DCF_Inputs!E39</f>
        <v>23555</v>
      </c>
      <c r="M217" s="218">
        <f>Independent_DCF_Inputs!F39</f>
        <v>23784</v>
      </c>
      <c r="N217" s="218">
        <f>IFERROR(N214*N218/365,"NA")</f>
        <v>23746.271802758529</v>
      </c>
      <c r="O217" s="218">
        <f>IFERROR(O214*O218/365,"NA")</f>
        <v>24805.431964987169</v>
      </c>
      <c r="P217" s="218">
        <f>IFERROR(P214*P218/365,"NA")</f>
        <v>26094.644513342766</v>
      </c>
      <c r="Q217" s="218">
        <f>IFERROR(Q214*Q218/365,"NA")</f>
        <v>27321.092805469874</v>
      </c>
      <c r="R217" s="218">
        <f>IFERROR(R214*R218/365,"NA")</f>
        <v>28495.899796105074</v>
      </c>
      <c r="S217" s="7"/>
      <c r="W217" s="7"/>
      <c r="X217" s="7"/>
      <c r="Y217" s="7"/>
      <c r="Z217" s="7"/>
      <c r="AA217" s="7"/>
      <c r="AB217" s="7"/>
      <c r="AC217" s="7"/>
      <c r="AD217" s="7"/>
      <c r="AK217" s="392"/>
      <c r="AL217" s="392"/>
      <c r="AM217" s="392"/>
      <c r="AN217" s="3"/>
      <c r="AO217" s="2"/>
      <c r="AP217" s="3"/>
      <c r="AQ217" s="2"/>
      <c r="AY217" s="392"/>
      <c r="AZ217" s="3"/>
      <c r="BA217" s="2"/>
      <c r="BB217" s="3"/>
      <c r="BC217" s="2"/>
    </row>
    <row r="218" spans="2:55" x14ac:dyDescent="0.2">
      <c r="B218" s="7"/>
      <c r="C218" s="144" t="str">
        <f>VLOOKUP("Receivable Days",Language_Data,Lookup_Column,FALSE)</f>
        <v>Receivable Days</v>
      </c>
      <c r="D218" s="7"/>
      <c r="E218" s="96"/>
      <c r="F218" s="232" t="str">
        <f>IFERROR(F217/F214*365,"NA")</f>
        <v>NA</v>
      </c>
      <c r="G218" s="215"/>
      <c r="H218" s="232"/>
      <c r="I218" s="232">
        <f>IFERROR(I217/I214*365,"NA")</f>
        <v>20.668020496351744</v>
      </c>
      <c r="J218" s="232">
        <f>IFERROR(J217/J214*365,"NA")</f>
        <v>19.773968789032519</v>
      </c>
      <c r="K218" s="232">
        <f>IFERROR(K217/K214*365,"NA")</f>
        <v>19.412922409028731</v>
      </c>
      <c r="L218" s="232">
        <f>IFERROR(L217/L214*365,"NA")</f>
        <v>21.055199774694795</v>
      </c>
      <c r="M218" s="232">
        <f>IFERROR(M217/M214*365,"NA")</f>
        <v>20.332871142423503</v>
      </c>
      <c r="N218" s="233">
        <f>M218</f>
        <v>20.332871142423503</v>
      </c>
      <c r="O218" s="233">
        <f>N218</f>
        <v>20.332871142423503</v>
      </c>
      <c r="P218" s="233">
        <f>O218</f>
        <v>20.332871142423503</v>
      </c>
      <c r="Q218" s="233">
        <f>P218</f>
        <v>20.332871142423503</v>
      </c>
      <c r="R218" s="233">
        <f>Q218</f>
        <v>20.332871142423503</v>
      </c>
      <c r="S218" s="7"/>
      <c r="W218" s="7"/>
      <c r="X218" s="212"/>
      <c r="Y218" s="160"/>
      <c r="Z218" s="160"/>
      <c r="AA218" s="160"/>
      <c r="AB218" s="160"/>
      <c r="AC218" s="160"/>
      <c r="AD218" s="160"/>
      <c r="AK218" s="392"/>
      <c r="AL218" s="392"/>
      <c r="AM218" s="392"/>
      <c r="AN218" s="3"/>
      <c r="AO218" s="2"/>
      <c r="AP218" s="3"/>
      <c r="AQ218" s="2"/>
      <c r="AY218" s="392"/>
      <c r="AZ218" s="3"/>
      <c r="BA218" s="2"/>
      <c r="BB218" s="3"/>
      <c r="BC218" s="2"/>
    </row>
    <row r="219" spans="2:55" x14ac:dyDescent="0.2">
      <c r="B219" s="7" t="str">
        <f>VLOOKUP("Inventory",Language_Data,Lookup_Column,FALSE)</f>
        <v>Inventory</v>
      </c>
      <c r="C219" s="7"/>
      <c r="D219" s="7"/>
      <c r="E219" s="224" t="s">
        <v>517</v>
      </c>
      <c r="F219" s="218" t="s">
        <v>5614</v>
      </c>
      <c r="G219" s="218"/>
      <c r="H219" s="218"/>
      <c r="I219" s="218">
        <f>Independent_DCF_Inputs!B40</f>
        <v>13710</v>
      </c>
      <c r="J219" s="218">
        <f>Independent_DCF_Inputs!C40</f>
        <v>16989</v>
      </c>
      <c r="K219" s="218">
        <f>Independent_DCF_Inputs!D40</f>
        <v>16120</v>
      </c>
      <c r="L219" s="218">
        <f>Independent_DCF_Inputs!E40</f>
        <v>18832</v>
      </c>
      <c r="M219" s="218">
        <f>Independent_DCF_Inputs!F40</f>
        <v>17151</v>
      </c>
      <c r="N219" s="218">
        <f>IFERROR(N215*N220/365,"NA")</f>
        <v>17139.877110694804</v>
      </c>
      <c r="O219" s="218">
        <f>IFERROR(O215*O220/365,"NA")</f>
        <v>18016.97690919492</v>
      </c>
      <c r="P219" s="218">
        <f>IFERROR(P215*P220/365,"NA")</f>
        <v>18933.630031673329</v>
      </c>
      <c r="Q219" s="218">
        <f>IFERROR(Q215*Q220/365,"NA")</f>
        <v>19823.510643161972</v>
      </c>
      <c r="R219" s="218">
        <f>IFERROR(R215*R220/365,"NA")</f>
        <v>20675.921600817936</v>
      </c>
      <c r="S219" s="7"/>
      <c r="W219" s="7"/>
      <c r="X219" s="212"/>
      <c r="Y219" s="160"/>
      <c r="Z219" s="160"/>
      <c r="AA219" s="160"/>
      <c r="AB219" s="160"/>
      <c r="AC219" s="160"/>
      <c r="AD219" s="160"/>
      <c r="AK219" s="392"/>
      <c r="AL219" s="392"/>
      <c r="AM219" s="392"/>
      <c r="AN219" s="3"/>
      <c r="AO219" s="2"/>
      <c r="AP219" s="3"/>
      <c r="AQ219" s="2"/>
      <c r="AY219" s="392"/>
      <c r="AZ219" s="3"/>
      <c r="BA219" s="2"/>
      <c r="BB219" s="3"/>
      <c r="BC219" s="2"/>
    </row>
    <row r="220" spans="2:55" x14ac:dyDescent="0.2">
      <c r="B220" s="7"/>
      <c r="C220" s="144" t="str">
        <f>VLOOKUP("Inventory Days",Language_Data,Lookup_Column,FALSE)</f>
        <v>Inventory Days</v>
      </c>
      <c r="D220" s="7"/>
      <c r="E220" s="96"/>
      <c r="F220" s="233" t="str">
        <f>IFERROR(F219/F215*365,"NA")</f>
        <v>NA</v>
      </c>
      <c r="G220" s="233"/>
      <c r="H220" s="233"/>
      <c r="I220" s="233">
        <f>IFERROR(I219/I215*365,"NA")</f>
        <v>31.731482597033665</v>
      </c>
      <c r="J220" s="233">
        <f>IFERROR(J219/J215*365,"NA")</f>
        <v>32.075442907021852</v>
      </c>
      <c r="K220" s="233">
        <f>IFERROR(K219/K215*365,"NA")</f>
        <v>30.271288116932229</v>
      </c>
      <c r="L220" s="233">
        <f>IFERROR(L219/L215*365,"NA")</f>
        <v>35.539975285279233</v>
      </c>
      <c r="M220" s="233">
        <f>IFERROR(M219/M215*365,"NA")</f>
        <v>30.767527584596859</v>
      </c>
      <c r="N220" s="233">
        <f>M220</f>
        <v>30.767527584596859</v>
      </c>
      <c r="O220" s="233">
        <f>N220</f>
        <v>30.767527584596859</v>
      </c>
      <c r="P220" s="233">
        <f>O220</f>
        <v>30.767527584596859</v>
      </c>
      <c r="Q220" s="233">
        <f>P220</f>
        <v>30.767527584596859</v>
      </c>
      <c r="R220" s="233">
        <f>Q220</f>
        <v>30.767527584596859</v>
      </c>
      <c r="S220" s="7"/>
      <c r="W220" s="158"/>
      <c r="X220" s="212"/>
      <c r="Y220" s="160"/>
      <c r="Z220" s="160"/>
      <c r="AA220" s="160"/>
      <c r="AB220" s="160"/>
      <c r="AC220" s="160"/>
      <c r="AD220" s="160"/>
      <c r="AK220" s="392"/>
      <c r="AL220" s="392"/>
      <c r="AM220" s="392"/>
      <c r="AN220" s="3"/>
      <c r="AO220" s="2"/>
      <c r="AP220" s="3"/>
      <c r="AQ220" s="2"/>
      <c r="AY220" s="392"/>
      <c r="AZ220" s="3"/>
      <c r="BA220" s="2"/>
      <c r="BB220" s="3"/>
      <c r="BC220" s="2"/>
    </row>
    <row r="221" spans="2:55" x14ac:dyDescent="0.2">
      <c r="B221" s="7" t="str">
        <f>VLOOKUP("Other Current Assets",Language_Data,Lookup_Column,FALSE)</f>
        <v>Other Current Assets</v>
      </c>
      <c r="C221" s="7"/>
      <c r="D221" s="7"/>
      <c r="E221" s="96"/>
      <c r="F221" s="6" t="str">
        <f>IF(COUNT(F222,F223,F217,F219)=0,"NA",IFERROR(SUM(F222)-SUM(F223)-SUM(F217)-SUM(F219),"NA"))</f>
        <v>NA</v>
      </c>
      <c r="G221" s="218"/>
      <c r="H221" s="218"/>
      <c r="I221" s="6">
        <f>IF(COUNT(I222,I223,I217,I219)=0,"NA",IFERROR(SUM(I222)-SUM(I223)-SUM(I217)-SUM(I219),"NA"))</f>
        <v>11769</v>
      </c>
      <c r="J221" s="6">
        <f>IF(COUNT(J222,J223,J217,J219)=0,"NA",IFERROR(SUM(J222)-SUM(J223)-SUM(J217)-SUM(J219),"NA"))</f>
        <v>12568</v>
      </c>
      <c r="K221" s="6">
        <f>IF(COUNT(K222,K223,K217,K219)=0,"NA",IFERROR(SUM(K222)-SUM(K223)-SUM(K217)-SUM(K219),"NA"))</f>
        <v>15173</v>
      </c>
      <c r="L221" s="6">
        <f>IF(COUNT(L222,L223,L217,L219)=0,"NA",IFERROR(SUM(L222)-SUM(L223)-SUM(L217)-SUM(L219),"NA"))</f>
        <v>16736</v>
      </c>
      <c r="M221" s="6">
        <f>IF(COUNT(M222,M223,M217,M219)=0,"NA",IFERROR(SUM(M222)-SUM(M223)-SUM(M217)-SUM(M219),"NA"))</f>
        <v>15201</v>
      </c>
      <c r="N221" s="218">
        <f>IFERROR(N214*N224,"NA")</f>
        <v>15176.88688503752</v>
      </c>
      <c r="O221" s="218">
        <f>IFERROR(O214*O224,"NA")</f>
        <v>15853.824894877647</v>
      </c>
      <c r="P221" s="218">
        <f>IFERROR(P214*P224,"NA")</f>
        <v>16677.795629302193</v>
      </c>
      <c r="Q221" s="218">
        <f>IFERROR(Q214*Q224,"NA")</f>
        <v>17461.652023879396</v>
      </c>
      <c r="R221" s="218">
        <f>IFERROR(R214*R224,"NA")</f>
        <v>18212.503060906209</v>
      </c>
      <c r="S221" s="7"/>
      <c r="W221" s="158"/>
      <c r="X221" s="212"/>
      <c r="Y221" s="160"/>
      <c r="Z221" s="160"/>
      <c r="AA221" s="160"/>
      <c r="AB221" s="160"/>
      <c r="AC221" s="160"/>
      <c r="AD221" s="160"/>
      <c r="AK221" s="392"/>
      <c r="AL221" s="392"/>
      <c r="AM221" s="392"/>
      <c r="AN221" s="3"/>
      <c r="AO221" s="2"/>
      <c r="AP221" s="3"/>
      <c r="AQ221" s="2"/>
      <c r="AY221" s="392"/>
      <c r="AZ221" s="3"/>
      <c r="BA221" s="2"/>
      <c r="BB221" s="3"/>
      <c r="BC221" s="2"/>
    </row>
    <row r="222" spans="2:55" hidden="1" outlineLevel="1" x14ac:dyDescent="0.2">
      <c r="B222" s="159" t="str">
        <f>VLOOKUP("Total Current Assets",Language_Data,Lookup_Column,FALSE)</f>
        <v>Total Current Assets</v>
      </c>
      <c r="D222" s="7"/>
      <c r="E222" s="34" t="s">
        <v>491</v>
      </c>
      <c r="F222" s="218" t="s">
        <v>5614</v>
      </c>
      <c r="G222" s="218"/>
      <c r="H222" s="218"/>
      <c r="I222" s="218">
        <f>Independent_DCF_Inputs!B42+Independent_DCF_Inputs!B39+Independent_DCF_Inputs!B40+Independent_DCF_Inputs!B41</f>
        <v>53411</v>
      </c>
      <c r="J222" s="218">
        <f>Independent_DCF_Inputs!C42+Independent_DCF_Inputs!C39+Independent_DCF_Inputs!C40+Independent_DCF_Inputs!C41</f>
        <v>63470</v>
      </c>
      <c r="K222" s="218">
        <f>Independent_DCF_Inputs!D42+Independent_DCF_Inputs!D39+Independent_DCF_Inputs!D40+Independent_DCF_Inputs!D41</f>
        <v>58914</v>
      </c>
      <c r="L222" s="218">
        <f>Independent_DCF_Inputs!E42+Independent_DCF_Inputs!E39+Independent_DCF_Inputs!E40+Independent_DCF_Inputs!E41</f>
        <v>67180</v>
      </c>
      <c r="M222" s="218">
        <f>Independent_DCF_Inputs!F42+Independent_DCF_Inputs!F39+Independent_DCF_Inputs!F40+Independent_DCF_Inputs!F41</f>
        <v>64671</v>
      </c>
      <c r="N222" s="218"/>
      <c r="O222" s="218"/>
      <c r="P222" s="218"/>
      <c r="Q222" s="218"/>
      <c r="R222" s="218"/>
      <c r="S222" s="7"/>
      <c r="W222" s="158"/>
      <c r="X222" s="212"/>
      <c r="Y222" s="160"/>
      <c r="Z222" s="160"/>
      <c r="AA222" s="160"/>
      <c r="AB222" s="160"/>
      <c r="AC222" s="160"/>
      <c r="AD222" s="160"/>
      <c r="AK222" s="392"/>
      <c r="AL222" s="392"/>
      <c r="AM222" s="392"/>
      <c r="AN222" s="3"/>
      <c r="AO222" s="2"/>
      <c r="AP222" s="3"/>
      <c r="AQ222" s="2"/>
      <c r="AY222" s="392"/>
      <c r="AZ222" s="3"/>
      <c r="BA222" s="2"/>
      <c r="BB222" s="3"/>
      <c r="BC222" s="2"/>
    </row>
    <row r="223" spans="2:55" hidden="1" outlineLevel="1" x14ac:dyDescent="0.2">
      <c r="B223" s="159" t="str">
        <f>VLOOKUP("Cash &amp; Short Term Investments",Language_Data,Lookup_Column,FALSE)</f>
        <v>Cash &amp; Short Term Investments</v>
      </c>
      <c r="D223" s="7"/>
      <c r="E223" s="34" t="s">
        <v>492</v>
      </c>
      <c r="F223" s="218" t="s">
        <v>5614</v>
      </c>
      <c r="G223" s="218"/>
      <c r="H223" s="218"/>
      <c r="I223" s="218">
        <f>Independent_DCF_Inputs!B42</f>
        <v>8748</v>
      </c>
      <c r="J223" s="218">
        <f>Independent_DCF_Inputs!C42</f>
        <v>12313</v>
      </c>
      <c r="K223" s="218">
        <f>Independent_DCF_Inputs!D42</f>
        <v>6353</v>
      </c>
      <c r="L223" s="218">
        <f>Independent_DCF_Inputs!E42</f>
        <v>8057</v>
      </c>
      <c r="M223" s="218">
        <f>Independent_DCF_Inputs!F42</f>
        <v>8535</v>
      </c>
      <c r="N223" s="218"/>
      <c r="O223" s="218"/>
      <c r="P223" s="218"/>
      <c r="Q223" s="218"/>
      <c r="R223" s="218"/>
      <c r="S223" s="7"/>
      <c r="W223" s="158"/>
      <c r="X223" s="212"/>
      <c r="Y223" s="160"/>
      <c r="Z223" s="160"/>
      <c r="AA223" s="160"/>
      <c r="AB223" s="160"/>
      <c r="AC223" s="160"/>
      <c r="AD223" s="160"/>
      <c r="AK223" s="392"/>
      <c r="AL223" s="392"/>
      <c r="AM223" s="392"/>
      <c r="AN223" s="3"/>
      <c r="AO223" s="2"/>
      <c r="AP223" s="3"/>
      <c r="AQ223" s="2"/>
      <c r="AY223" s="392"/>
      <c r="AZ223" s="3"/>
      <c r="BA223" s="2"/>
      <c r="BB223" s="3"/>
      <c r="BC223" s="2"/>
    </row>
    <row r="224" spans="2:55" collapsed="1" x14ac:dyDescent="0.2">
      <c r="B224" s="96"/>
      <c r="C224" s="144" t="str">
        <f>VLOOKUP("Margin",Language_Data,Lookup_Column,FALSE)</f>
        <v>Margin</v>
      </c>
      <c r="D224" s="7"/>
      <c r="E224" s="96"/>
      <c r="F224" s="259" t="str">
        <f>IFERROR(F221/F214,"NA")</f>
        <v>NA</v>
      </c>
      <c r="G224" s="234"/>
      <c r="H224" s="234"/>
      <c r="I224" s="259">
        <f>IFERROR(I221/I214,"NA")</f>
        <v>3.4738128409171412E-2</v>
      </c>
      <c r="J224" s="259">
        <f>IFERROR(J221/J214,"NA")</f>
        <v>3.1521973584546004E-2</v>
      </c>
      <c r="K224" s="259">
        <f>IFERROR(K221/K214,"NA")</f>
        <v>3.7943978053361145E-2</v>
      </c>
      <c r="L224" s="259">
        <f>IFERROR(L221/L214,"NA")</f>
        <v>4.0985955159366698E-2</v>
      </c>
      <c r="M224" s="259">
        <f>IFERROR(M221/M214,"NA")</f>
        <v>3.5603533886713258E-2</v>
      </c>
      <c r="N224" s="259">
        <f>M224</f>
        <v>3.5603533886713258E-2</v>
      </c>
      <c r="O224" s="259">
        <f>N224</f>
        <v>3.5603533886713258E-2</v>
      </c>
      <c r="P224" s="259">
        <f>O224</f>
        <v>3.5603533886713258E-2</v>
      </c>
      <c r="Q224" s="259">
        <f>P224</f>
        <v>3.5603533886713258E-2</v>
      </c>
      <c r="R224" s="259">
        <f>Q224</f>
        <v>3.5603533886713258E-2</v>
      </c>
      <c r="S224" s="7"/>
      <c r="W224" s="7"/>
      <c r="X224" s="212"/>
      <c r="Y224" s="160"/>
      <c r="Z224" s="160"/>
      <c r="AA224" s="160"/>
      <c r="AB224" s="160"/>
      <c r="AC224" s="160"/>
      <c r="AD224" s="160"/>
      <c r="AK224" s="392"/>
      <c r="AL224" s="392"/>
      <c r="AM224" s="392"/>
      <c r="AN224" s="3"/>
      <c r="AO224" s="2"/>
      <c r="AP224" s="3"/>
      <c r="AQ224" s="2"/>
      <c r="AY224" s="392"/>
      <c r="AZ224" s="3"/>
      <c r="BA224" s="2"/>
      <c r="BB224" s="3"/>
      <c r="BC224" s="2"/>
    </row>
    <row r="225" spans="2:55" x14ac:dyDescent="0.2">
      <c r="B225" s="7" t="str">
        <f>VLOOKUP("Total Non-Cash Current Assets",Language_Data,Lookup_Column,FALSE)</f>
        <v>Total Non-Cash Current Assets</v>
      </c>
      <c r="C225" s="7"/>
      <c r="D225" s="7"/>
      <c r="E225" s="96"/>
      <c r="F225" s="218" t="str">
        <f>IF(COUNT(F217,F219,F221)=0,"NA",SUM(F217,F219,F221))</f>
        <v>NA</v>
      </c>
      <c r="G225" s="218"/>
      <c r="H225" s="218"/>
      <c r="I225" s="218">
        <f>IF(COUNT(I217,I219,I221)=0,"NA",SUM(I217,I219,I221))</f>
        <v>44663</v>
      </c>
      <c r="J225" s="218">
        <f>IF(COUNT(J217,J219,J221)=0,"NA",SUM(J217,J219,J221))</f>
        <v>51157</v>
      </c>
      <c r="K225" s="218">
        <f>IF(COUNT(K217,K219,K221)=0,"NA",SUM(K217,K219,K221))</f>
        <v>52561</v>
      </c>
      <c r="L225" s="218">
        <f>IF(COUNT(L217,L219,L221)=0,"NA",SUM(L217,L219,L221))</f>
        <v>59123</v>
      </c>
      <c r="M225" s="218">
        <f>IF(COUNT(M217,M219,M221)=0,"NA",SUM(M217,M219,M221))</f>
        <v>56136</v>
      </c>
      <c r="N225" s="218">
        <f t="shared" ref="N225:R225" si="62">IF(COUNT(N217,N219,N221)=0,"NA",SUM(N217,N219,N221))</f>
        <v>56063.035798490855</v>
      </c>
      <c r="O225" s="218">
        <f t="shared" si="62"/>
        <v>58676.233769059734</v>
      </c>
      <c r="P225" s="218">
        <f t="shared" si="62"/>
        <v>61706.070174318287</v>
      </c>
      <c r="Q225" s="218">
        <f t="shared" si="62"/>
        <v>64606.255472511242</v>
      </c>
      <c r="R225" s="218">
        <f t="shared" si="62"/>
        <v>67384.324457829222</v>
      </c>
      <c r="S225" s="7"/>
      <c r="W225" s="7"/>
      <c r="X225" s="212"/>
      <c r="Y225" s="160"/>
      <c r="Z225" s="160"/>
      <c r="AA225" s="160"/>
      <c r="AB225" s="160"/>
      <c r="AC225" s="160"/>
      <c r="AD225" s="160"/>
      <c r="AK225" s="392"/>
      <c r="AL225" s="392"/>
      <c r="AM225" s="392"/>
      <c r="AN225" s="3"/>
      <c r="AO225" s="2"/>
      <c r="AP225" s="3"/>
      <c r="AQ225" s="2"/>
      <c r="AY225" s="392"/>
      <c r="AZ225" s="3"/>
      <c r="BA225" s="2"/>
      <c r="BB225" s="3"/>
      <c r="BC225" s="2"/>
    </row>
    <row r="226" spans="2:55" x14ac:dyDescent="0.2">
      <c r="B226" s="7"/>
      <c r="C226" s="7"/>
      <c r="D226" s="7"/>
      <c r="E226" s="96"/>
      <c r="F226" s="160"/>
      <c r="G226" s="160"/>
      <c r="H226" s="160"/>
      <c r="I226" s="160"/>
      <c r="J226" s="160"/>
      <c r="K226" s="160"/>
      <c r="L226" s="160"/>
      <c r="M226" s="160"/>
      <c r="N226" s="212"/>
      <c r="O226" s="212"/>
      <c r="P226" s="212"/>
      <c r="Q226" s="212"/>
      <c r="R226" s="212"/>
      <c r="S226" s="7"/>
      <c r="W226" s="7"/>
      <c r="X226" s="212"/>
      <c r="Y226" s="160"/>
      <c r="Z226" s="160"/>
      <c r="AA226" s="160"/>
      <c r="AB226" s="160"/>
      <c r="AC226" s="160"/>
      <c r="AD226" s="160"/>
      <c r="AK226" s="392"/>
      <c r="AL226" s="392"/>
      <c r="AM226" s="392"/>
      <c r="AN226" s="3"/>
      <c r="AO226" s="2"/>
      <c r="AP226" s="3"/>
      <c r="AQ226" s="2"/>
      <c r="AY226" s="392"/>
      <c r="AZ226" s="3"/>
      <c r="BA226" s="2"/>
      <c r="BB226" s="3"/>
      <c r="BC226" s="2"/>
    </row>
    <row r="227" spans="2:55" x14ac:dyDescent="0.2">
      <c r="B227" s="7" t="str">
        <f>VLOOKUP("Accounts Payable",Language_Data,Lookup_Column,FALSE)</f>
        <v>Accounts Payable</v>
      </c>
      <c r="C227" s="7"/>
      <c r="D227" s="7"/>
      <c r="E227" s="34" t="s">
        <v>511</v>
      </c>
      <c r="F227" s="218" t="s">
        <v>5614</v>
      </c>
      <c r="G227" s="218"/>
      <c r="H227" s="218"/>
      <c r="I227" s="218">
        <f>Independent_DCF_Inputs!B43</f>
        <v>35752</v>
      </c>
      <c r="J227" s="218">
        <f>Independent_DCF_Inputs!C43</f>
        <v>44058</v>
      </c>
      <c r="K227" s="218">
        <f>Independent_DCF_Inputs!D43</f>
        <v>40409</v>
      </c>
      <c r="L227" s="218">
        <f>Independent_DCF_Inputs!E43</f>
        <v>40815</v>
      </c>
      <c r="M227" s="218">
        <f>Independent_DCF_Inputs!F43</f>
        <v>39074</v>
      </c>
      <c r="N227" s="218">
        <f>IFERROR(N228*N215/365,"NA")</f>
        <v>39048.65944978653</v>
      </c>
      <c r="O227" s="218">
        <f>IFERROR(O228*O215/365,"NA")</f>
        <v>41046.898475300703</v>
      </c>
      <c r="P227" s="218">
        <f>IFERROR(P228*P215/365,"NA")</f>
        <v>43135.249248300599</v>
      </c>
      <c r="Q227" s="218">
        <f>IFERROR(Q228*Q215/365,"NA")</f>
        <v>45162.605962970723</v>
      </c>
      <c r="R227" s="218">
        <f>IFERROR(R228*R215/365,"NA")</f>
        <v>47104.598019378456</v>
      </c>
      <c r="S227" s="7"/>
      <c r="T227" s="218"/>
      <c r="W227" s="158"/>
      <c r="X227" s="212"/>
      <c r="Y227" s="160"/>
      <c r="Z227" s="160"/>
      <c r="AA227" s="160"/>
      <c r="AB227" s="160"/>
      <c r="AC227" s="160"/>
      <c r="AD227" s="160"/>
      <c r="AK227" s="392"/>
      <c r="AL227" s="392"/>
      <c r="AM227" s="392"/>
      <c r="AN227" s="3"/>
      <c r="AO227" s="2"/>
      <c r="AP227" s="3"/>
      <c r="AQ227" s="2"/>
      <c r="AY227" s="392"/>
      <c r="AZ227" s="3"/>
      <c r="BA227" s="2"/>
      <c r="BB227" s="3"/>
      <c r="BC227" s="2"/>
    </row>
    <row r="228" spans="2:55" x14ac:dyDescent="0.2">
      <c r="B228" s="7"/>
      <c r="C228" s="144" t="str">
        <f>VLOOKUP("Payable Days",Language_Data,Lookup_Column,FALSE)</f>
        <v>Payable Days</v>
      </c>
      <c r="D228" s="7"/>
      <c r="E228" s="96"/>
      <c r="F228" s="235" t="str">
        <f>IFERROR(F227/F215*365,"NA")</f>
        <v>NA</v>
      </c>
      <c r="G228" s="235"/>
      <c r="H228" s="235"/>
      <c r="I228" s="235">
        <f>IFERROR(I227/I215*365,"NA")</f>
        <v>82.747189336918126</v>
      </c>
      <c r="J228" s="235">
        <f>IFERROR(J227/J215*365,"NA")</f>
        <v>83.182050950472004</v>
      </c>
      <c r="K228" s="235">
        <f>IFERROR(K227/K215*365,"NA")</f>
        <v>75.882908282699404</v>
      </c>
      <c r="L228" s="235">
        <f>IFERROR(L227/L215*365,"NA")</f>
        <v>77.02655539871877</v>
      </c>
      <c r="M228" s="235">
        <f>IFERROR(M227/M215*365,"NA")</f>
        <v>70.095642985280023</v>
      </c>
      <c r="N228" s="236">
        <f>M228</f>
        <v>70.095642985280023</v>
      </c>
      <c r="O228" s="236">
        <f>N228</f>
        <v>70.095642985280023</v>
      </c>
      <c r="P228" s="236">
        <f>O228</f>
        <v>70.095642985280023</v>
      </c>
      <c r="Q228" s="236">
        <f>P228</f>
        <v>70.095642985280023</v>
      </c>
      <c r="R228" s="236">
        <f>Q228</f>
        <v>70.095642985280023</v>
      </c>
      <c r="S228" s="7"/>
      <c r="W228" s="158"/>
      <c r="X228" s="212"/>
      <c r="Y228" s="160"/>
      <c r="Z228" s="160"/>
      <c r="AA228" s="160"/>
      <c r="AB228" s="160"/>
      <c r="AC228" s="160"/>
      <c r="AD228" s="160"/>
      <c r="AK228" s="392"/>
      <c r="AL228" s="392"/>
      <c r="AM228" s="392"/>
      <c r="AN228" s="3"/>
      <c r="AO228" s="2"/>
      <c r="AP228" s="3"/>
      <c r="AQ228" s="2"/>
      <c r="AY228" s="392"/>
      <c r="AZ228" s="3"/>
      <c r="BA228" s="2"/>
      <c r="BB228" s="3"/>
      <c r="BC228" s="2"/>
    </row>
    <row r="229" spans="2:55" x14ac:dyDescent="0.2">
      <c r="B229" s="7" t="str">
        <f>VLOOKUP("Accrued Liabilities",Language_Data,Lookup_Column,FALSE)</f>
        <v>Accrued Liabilities</v>
      </c>
      <c r="C229" s="7"/>
      <c r="D229" s="7"/>
      <c r="E229" s="34" t="s">
        <v>512</v>
      </c>
      <c r="F229" s="218" t="s">
        <v>5614</v>
      </c>
      <c r="G229" s="218"/>
      <c r="H229" s="218"/>
      <c r="I229" s="218">
        <v>0</v>
      </c>
      <c r="J229" s="218">
        <v>0</v>
      </c>
      <c r="K229" s="218">
        <v>0</v>
      </c>
      <c r="L229" s="218">
        <v>0</v>
      </c>
      <c r="M229" s="218">
        <v>0</v>
      </c>
      <c r="N229" s="218">
        <f>IFERROR(N214*N230,"NA")</f>
        <v>0</v>
      </c>
      <c r="O229" s="218">
        <f>IFERROR(O214*O230,"NA")</f>
        <v>0</v>
      </c>
      <c r="P229" s="218">
        <f>IFERROR(P214*P230,"NA")</f>
        <v>0</v>
      </c>
      <c r="Q229" s="218">
        <f>IFERROR(Q214*Q230,"NA")</f>
        <v>0</v>
      </c>
      <c r="R229" s="218">
        <f>IFERROR(R214*R230,"NA")</f>
        <v>0</v>
      </c>
      <c r="S229" s="7"/>
      <c r="W229" s="158"/>
      <c r="X229" s="212"/>
      <c r="Y229" s="160"/>
      <c r="Z229" s="160"/>
      <c r="AA229" s="160"/>
      <c r="AB229" s="160"/>
      <c r="AC229" s="160"/>
      <c r="AD229" s="160"/>
      <c r="AK229" s="392"/>
      <c r="AL229" s="392"/>
      <c r="AM229" s="392"/>
      <c r="AN229" s="3"/>
      <c r="AO229" s="2"/>
      <c r="AP229" s="3"/>
      <c r="AQ229" s="2"/>
      <c r="AY229" s="392"/>
      <c r="AZ229" s="3"/>
      <c r="BA229" s="2"/>
      <c r="BB229" s="3"/>
      <c r="BC229" s="2"/>
    </row>
    <row r="230" spans="2:55" x14ac:dyDescent="0.2">
      <c r="B230" s="7"/>
      <c r="C230" s="144" t="str">
        <f>VLOOKUP("Margin",Language_Data,Lookup_Column,FALSE)</f>
        <v>Margin</v>
      </c>
      <c r="D230" s="7"/>
      <c r="E230" s="96"/>
      <c r="F230" s="157" t="str">
        <f>IFERROR(F229/F214,"NA")</f>
        <v>NA</v>
      </c>
      <c r="G230" s="157"/>
      <c r="H230" s="157"/>
      <c r="I230" s="157">
        <f>IFERROR(I229/I214,"NA")</f>
        <v>0</v>
      </c>
      <c r="J230" s="157">
        <f>IFERROR(J229/J214,"NA")</f>
        <v>0</v>
      </c>
      <c r="K230" s="157">
        <f>IFERROR(K229/K214,"NA")</f>
        <v>0</v>
      </c>
      <c r="L230" s="157">
        <f>IFERROR(L229/L214,"NA")</f>
        <v>0</v>
      </c>
      <c r="M230" s="157">
        <f>IFERROR(M229/M214,"NA")</f>
        <v>0</v>
      </c>
      <c r="N230" s="157">
        <f>M230</f>
        <v>0</v>
      </c>
      <c r="O230" s="157">
        <f>N230</f>
        <v>0</v>
      </c>
      <c r="P230" s="157">
        <f>O230</f>
        <v>0</v>
      </c>
      <c r="Q230" s="157">
        <f>P230</f>
        <v>0</v>
      </c>
      <c r="R230" s="157">
        <f>Q230</f>
        <v>0</v>
      </c>
      <c r="S230" s="7"/>
      <c r="W230" s="7"/>
      <c r="X230" s="212"/>
      <c r="Y230" s="160"/>
      <c r="Z230" s="160"/>
      <c r="AA230" s="160"/>
      <c r="AB230" s="160"/>
      <c r="AC230" s="160"/>
      <c r="AD230" s="160"/>
      <c r="AK230" s="392"/>
      <c r="AL230" s="392"/>
      <c r="AM230" s="392"/>
      <c r="AN230" s="3"/>
      <c r="AO230" s="2"/>
      <c r="AP230" s="3"/>
      <c r="AQ230" s="2"/>
      <c r="AY230" s="392"/>
      <c r="AZ230" s="3"/>
      <c r="BA230" s="2"/>
      <c r="BB230" s="3"/>
      <c r="BC230" s="2"/>
    </row>
    <row r="231" spans="2:55" x14ac:dyDescent="0.2">
      <c r="B231" s="7" t="str">
        <f>VLOOKUP("Other Current Liabilities",Language_Data,Lookup_Column,FALSE)</f>
        <v>Other Current Liabilities</v>
      </c>
      <c r="C231" s="7"/>
      <c r="D231" s="7"/>
      <c r="E231" s="96"/>
      <c r="F231" s="218" t="str">
        <f>IFERROR(IF(COUNT(F232:F235)=0,"NA",SUM(F232)-SUM(F233:F235))-SUM(F229)-SUM(F227),"NA")</f>
        <v>NA</v>
      </c>
      <c r="G231" s="218"/>
      <c r="H231" s="218"/>
      <c r="I231" s="218">
        <f>IFERROR(IF(COUNT(I232:I235)=0,"NA",SUM(I232)-SUM(I233:I235))-SUM(I229)-SUM(I227),"NA")</f>
        <v>28590</v>
      </c>
      <c r="J231" s="218">
        <f>IFERROR(IF(COUNT(J232:J235)=0,"NA",SUM(J232)-SUM(J233:J235))-SUM(J229)-SUM(J227),"NA")</f>
        <v>33311</v>
      </c>
      <c r="K231" s="218">
        <f>IFERROR(IF(COUNT(K232:K235)=0,"NA",SUM(K232)-SUM(K233:K235))-SUM(K229)-SUM(K227),"NA")</f>
        <v>28100</v>
      </c>
      <c r="L231" s="218">
        <f>IFERROR(IF(COUNT(L232:L235)=0,"NA",SUM(L232)-SUM(L233:L235))-SUM(L229)-SUM(L227),"NA")</f>
        <v>32338</v>
      </c>
      <c r="M231" s="218">
        <f>IFERROR(IF(COUNT(M232:M235)=0,"NA",SUM(M232)-SUM(M233:M235))-SUM(M229)-SUM(M227),"NA")</f>
        <v>31788</v>
      </c>
      <c r="N231" s="218">
        <f>IFERROR(N214*N236,"NA")</f>
        <v>31737.575179367985</v>
      </c>
      <c r="O231" s="218">
        <f>IFERROR(O214*O236,"NA")</f>
        <v>33153.173196393043</v>
      </c>
      <c r="P231" s="218">
        <f>IFERROR(P214*P236,"NA")</f>
        <v>34876.242843514119</v>
      </c>
      <c r="Q231" s="218">
        <f>IFERROR(Q214*Q236,"NA")</f>
        <v>36515.426257159284</v>
      </c>
      <c r="R231" s="218">
        <f>IFERROR(R214*R236,"NA")</f>
        <v>38085.589586217124</v>
      </c>
      <c r="S231" s="7"/>
      <c r="Z231" s="7"/>
      <c r="AA231" s="7"/>
      <c r="AB231" s="7"/>
      <c r="AK231" s="392"/>
      <c r="AL231" s="392"/>
      <c r="AM231" s="392"/>
      <c r="AN231" s="3"/>
      <c r="AO231" s="2"/>
      <c r="AP231" s="3"/>
      <c r="AQ231" s="2"/>
      <c r="AY231" s="392"/>
      <c r="AZ231" s="3"/>
      <c r="BA231" s="2"/>
      <c r="BB231" s="3"/>
      <c r="BC231" s="2"/>
    </row>
    <row r="232" spans="2:55" hidden="1" outlineLevel="1" x14ac:dyDescent="0.2">
      <c r="B232" s="159" t="str">
        <f>VLOOKUP("Total Current Liabilities",Language_Data,Lookup_Column,FALSE)</f>
        <v>Total Current Liabilities</v>
      </c>
      <c r="D232" s="7"/>
      <c r="E232" s="34" t="s">
        <v>495</v>
      </c>
      <c r="F232" s="218" t="s">
        <v>5614</v>
      </c>
      <c r="G232" s="218"/>
      <c r="H232" s="218"/>
      <c r="I232" s="218">
        <f>Independent_DCF_Inputs!B43+Independent_DCF_Inputs!B44+Independent_DCF_Inputs!B45</f>
        <v>74967</v>
      </c>
      <c r="J232" s="218">
        <f>Independent_DCF_Inputs!C43+Independent_DCF_Inputs!C44+Independent_DCF_Inputs!C45</f>
        <v>83804</v>
      </c>
      <c r="K232" s="218">
        <f>Independent_DCF_Inputs!D43+Independent_DCF_Inputs!D44+Independent_DCF_Inputs!D45</f>
        <v>81441</v>
      </c>
      <c r="L232" s="218">
        <f>Independent_DCF_Inputs!E43+Independent_DCF_Inputs!E44+Independent_DCF_Inputs!E45</f>
        <v>78015</v>
      </c>
      <c r="M232" s="218">
        <f>Independent_DCF_Inputs!F43+Independent_DCF_Inputs!F44+Independent_DCF_Inputs!F45</f>
        <v>83497</v>
      </c>
      <c r="N232" s="218"/>
      <c r="O232" s="218"/>
      <c r="P232" s="218"/>
      <c r="Q232" s="218"/>
      <c r="R232" s="218"/>
      <c r="S232" s="7"/>
      <c r="Z232" s="7"/>
      <c r="AA232" s="7"/>
      <c r="AB232" s="7"/>
      <c r="AK232" s="392"/>
      <c r="AL232" s="392"/>
      <c r="AM232" s="392"/>
      <c r="AN232" s="3"/>
      <c r="AO232" s="2"/>
      <c r="AP232" s="3"/>
      <c r="AQ232" s="2"/>
      <c r="AY232" s="392"/>
      <c r="AZ232" s="3"/>
      <c r="BA232" s="2"/>
      <c r="BB232" s="3"/>
      <c r="BC232" s="2"/>
    </row>
    <row r="233" spans="2:55" hidden="1" outlineLevel="1" x14ac:dyDescent="0.2">
      <c r="B233" s="159" t="str">
        <f>VLOOKUP("Short-term Borrowings",Language_Data,Lookup_Column,FALSE)</f>
        <v>Short-term Borrowings</v>
      </c>
      <c r="D233" s="7"/>
      <c r="E233" s="34" t="s">
        <v>513</v>
      </c>
      <c r="F233" s="218" t="s">
        <v>5614</v>
      </c>
      <c r="G233" s="218"/>
      <c r="H233" s="218"/>
      <c r="I233" s="218">
        <f>Independent_DCF_Inputs!B45</f>
        <v>10625</v>
      </c>
      <c r="J233" s="218">
        <f>Independent_DCF_Inputs!C45</f>
        <v>6435</v>
      </c>
      <c r="K233" s="218">
        <f>Independent_DCF_Inputs!D45</f>
        <v>12932</v>
      </c>
      <c r="L233" s="218">
        <f>Independent_DCF_Inputs!E45</f>
        <v>4862</v>
      </c>
      <c r="M233" s="218">
        <f>Independent_DCF_Inputs!F45</f>
        <v>12635</v>
      </c>
      <c r="N233" s="218"/>
      <c r="O233" s="218"/>
      <c r="P233" s="218"/>
      <c r="Q233" s="218"/>
      <c r="R233" s="218"/>
      <c r="S233" s="7"/>
      <c r="Z233" s="7"/>
      <c r="AA233" s="7"/>
      <c r="AB233" s="7"/>
      <c r="AK233" s="392"/>
      <c r="AL233" s="392"/>
      <c r="AM233" s="392"/>
      <c r="AN233" s="3"/>
      <c r="AO233" s="2"/>
      <c r="AP233" s="3"/>
      <c r="AQ233" s="2"/>
      <c r="AY233" s="392"/>
      <c r="AZ233" s="3"/>
      <c r="BA233" s="2"/>
      <c r="BB233" s="3"/>
      <c r="BC233" s="2"/>
    </row>
    <row r="234" spans="2:55" hidden="1" outlineLevel="1" x14ac:dyDescent="0.2">
      <c r="B234" s="159" t="str">
        <f>VLOOKUP("Current Portion of Leases",Language_Data,Lookup_Column,FALSE)</f>
        <v>Current Portion of Leases</v>
      </c>
      <c r="D234" s="7"/>
      <c r="E234" s="34" t="s">
        <v>4315</v>
      </c>
      <c r="F234" s="218" t="s">
        <v>5614</v>
      </c>
      <c r="G234" s="218"/>
      <c r="H234" s="218"/>
      <c r="I234" s="218">
        <v>0</v>
      </c>
      <c r="J234" s="218">
        <v>0</v>
      </c>
      <c r="K234" s="218">
        <v>0</v>
      </c>
      <c r="L234" s="218">
        <v>0</v>
      </c>
      <c r="M234" s="218">
        <v>0</v>
      </c>
      <c r="N234" s="218"/>
      <c r="O234" s="218"/>
      <c r="P234" s="218"/>
      <c r="Q234" s="218"/>
      <c r="R234" s="218"/>
      <c r="S234" s="7"/>
      <c r="Z234" s="7"/>
      <c r="AA234" s="7"/>
      <c r="AB234" s="7"/>
      <c r="AK234" s="392"/>
      <c r="AL234" s="392"/>
      <c r="AM234" s="392"/>
      <c r="AN234" s="3"/>
      <c r="AO234" s="2"/>
      <c r="AP234" s="3"/>
      <c r="AQ234" s="2"/>
      <c r="AY234" s="392"/>
      <c r="AZ234" s="3"/>
      <c r="BA234" s="2"/>
      <c r="BB234" s="3"/>
      <c r="BC234" s="2"/>
    </row>
    <row r="235" spans="2:55" hidden="1" outlineLevel="1" x14ac:dyDescent="0.2">
      <c r="B235" s="159" t="str">
        <f>VLOOKUP("Current Portion of Long Term Debt",Language_Data,Lookup_Column,FALSE)</f>
        <v>Current Portion of Long Term Debt</v>
      </c>
      <c r="D235" s="7"/>
      <c r="E235" s="34" t="s">
        <v>514</v>
      </c>
      <c r="F235" s="218" t="s">
        <v>5614</v>
      </c>
      <c r="G235" s="218"/>
      <c r="H235" s="218"/>
      <c r="I235" s="218">
        <v>0</v>
      </c>
      <c r="J235" s="218">
        <v>0</v>
      </c>
      <c r="K235" s="218">
        <v>0</v>
      </c>
      <c r="L235" s="218">
        <v>0</v>
      </c>
      <c r="M235" s="218">
        <v>0</v>
      </c>
      <c r="N235" s="218"/>
      <c r="O235" s="218"/>
      <c r="P235" s="218"/>
      <c r="Q235" s="218"/>
      <c r="R235" s="218"/>
      <c r="S235" s="7"/>
      <c r="Z235" s="7"/>
      <c r="AA235" s="7"/>
      <c r="AB235" s="7"/>
      <c r="AK235" s="392"/>
      <c r="AL235" s="392"/>
      <c r="AM235" s="392"/>
      <c r="AN235" s="3"/>
      <c r="AO235" s="2"/>
      <c r="AP235" s="3"/>
      <c r="AQ235" s="2"/>
      <c r="AY235" s="392"/>
      <c r="AZ235" s="3"/>
      <c r="BA235" s="2"/>
      <c r="BB235" s="3"/>
      <c r="BC235" s="2"/>
    </row>
    <row r="236" spans="2:55" collapsed="1" x14ac:dyDescent="0.2">
      <c r="B236" s="7"/>
      <c r="C236" s="144" t="str">
        <f>VLOOKUP("Margin",Language_Data,Lookup_Column,FALSE)</f>
        <v>Margin</v>
      </c>
      <c r="D236" s="7"/>
      <c r="E236" s="96"/>
      <c r="F236" s="166" t="str">
        <f>IFERROR(F231/F214,"NA")</f>
        <v>NA</v>
      </c>
      <c r="G236" s="166"/>
      <c r="H236" s="166"/>
      <c r="I236" s="166">
        <f>IFERROR(I231/I214,"NA")</f>
        <v>8.4388061111242293E-2</v>
      </c>
      <c r="J236" s="166">
        <f>IFERROR(J231/J214,"NA")</f>
        <v>8.3547777058785175E-2</v>
      </c>
      <c r="K236" s="166">
        <f>IFERROR(K231/K214,"NA")</f>
        <v>7.0271257055259218E-2</v>
      </c>
      <c r="L236" s="166">
        <f>IFERROR(L231/L214,"NA")</f>
        <v>7.9194778796821241E-2</v>
      </c>
      <c r="M236" s="166">
        <f>IFERROR(M231/M214,"NA")</f>
        <v>7.445333433266503E-2</v>
      </c>
      <c r="N236" s="166">
        <f>M236</f>
        <v>7.445333433266503E-2</v>
      </c>
      <c r="O236" s="166">
        <f>N236</f>
        <v>7.445333433266503E-2</v>
      </c>
      <c r="P236" s="166">
        <f>O236</f>
        <v>7.445333433266503E-2</v>
      </c>
      <c r="Q236" s="166">
        <f>P236</f>
        <v>7.445333433266503E-2</v>
      </c>
      <c r="R236" s="166">
        <f>Q236</f>
        <v>7.445333433266503E-2</v>
      </c>
      <c r="S236" s="7"/>
      <c r="Z236" s="7"/>
      <c r="AA236" s="7"/>
      <c r="AB236" s="7"/>
      <c r="AK236" s="392"/>
      <c r="AL236" s="392"/>
      <c r="AM236" s="392"/>
      <c r="AN236" s="3"/>
      <c r="AO236" s="2"/>
      <c r="AP236" s="3"/>
      <c r="AQ236" s="2"/>
      <c r="AY236" s="392"/>
      <c r="AZ236" s="3"/>
      <c r="BA236" s="2"/>
      <c r="BB236" s="3"/>
      <c r="BC236" s="2"/>
    </row>
    <row r="237" spans="2:55" x14ac:dyDescent="0.2">
      <c r="B237" s="7" t="str">
        <f>VLOOKUP("Total Non-Debt Current Liabilities",Language_Data,Lookup_Column,FALSE)</f>
        <v>Total Non-Debt Current Liabilities</v>
      </c>
      <c r="C237" s="7"/>
      <c r="D237" s="7"/>
      <c r="E237" s="96"/>
      <c r="F237" s="112" t="str">
        <f>IF(COUNT(F227,F229,F231)=0,"NA",SUM(F227,F229,F231))</f>
        <v>NA</v>
      </c>
      <c r="G237" s="112"/>
      <c r="H237" s="112"/>
      <c r="I237" s="112">
        <f>IF(COUNT(I227,I229,I231)=0,"NA",SUM(I227,I229,I231))</f>
        <v>64342</v>
      </c>
      <c r="J237" s="112">
        <f t="shared" ref="J237:R237" si="63">IF(COUNT(J227,J229,J231)=0,"NA",SUM(J227,J229,J231))</f>
        <v>77369</v>
      </c>
      <c r="K237" s="112">
        <f t="shared" si="63"/>
        <v>68509</v>
      </c>
      <c r="L237" s="112">
        <f t="shared" si="63"/>
        <v>73153</v>
      </c>
      <c r="M237" s="112">
        <f t="shared" si="63"/>
        <v>70862</v>
      </c>
      <c r="N237" s="112">
        <f t="shared" si="63"/>
        <v>70786.234629154511</v>
      </c>
      <c r="O237" s="112">
        <f t="shared" si="63"/>
        <v>74200.071671693746</v>
      </c>
      <c r="P237" s="112">
        <f t="shared" si="63"/>
        <v>78011.492091814725</v>
      </c>
      <c r="Q237" s="112">
        <f t="shared" si="63"/>
        <v>81678.03222013</v>
      </c>
      <c r="R237" s="112">
        <f t="shared" si="63"/>
        <v>85190.18760559558</v>
      </c>
      <c r="S237" s="7"/>
      <c r="Z237" s="7"/>
      <c r="AA237" s="7"/>
      <c r="AB237" s="7"/>
      <c r="AK237" s="392"/>
      <c r="AL237" s="392"/>
      <c r="AM237" s="392"/>
      <c r="AN237" s="3"/>
      <c r="AO237" s="2"/>
      <c r="AP237" s="3"/>
      <c r="AQ237" s="2"/>
      <c r="AY237" s="392"/>
      <c r="AZ237" s="3"/>
      <c r="BA237" s="2"/>
      <c r="BB237" s="3"/>
      <c r="BC237" s="2"/>
    </row>
    <row r="238" spans="2:55" x14ac:dyDescent="0.2">
      <c r="B238" s="205"/>
      <c r="C238" s="7"/>
      <c r="D238" s="7"/>
      <c r="E238" s="96"/>
      <c r="F238" s="212"/>
      <c r="G238" s="212"/>
      <c r="H238" s="212"/>
      <c r="I238" s="212"/>
      <c r="J238" s="212"/>
      <c r="K238" s="212"/>
      <c r="L238" s="212"/>
      <c r="M238" s="212"/>
      <c r="N238" s="212"/>
      <c r="O238" s="212"/>
      <c r="P238" s="212"/>
      <c r="Q238" s="212"/>
      <c r="R238" s="212"/>
      <c r="S238" s="7"/>
      <c r="Z238" s="7"/>
      <c r="AA238" s="7"/>
      <c r="AB238" s="7"/>
      <c r="AK238" s="392"/>
      <c r="AL238" s="392"/>
      <c r="AM238" s="392"/>
      <c r="AN238" s="3"/>
      <c r="AO238" s="2"/>
      <c r="AP238" s="3"/>
      <c r="AQ238" s="2"/>
      <c r="AY238" s="392"/>
      <c r="AZ238" s="3"/>
      <c r="BA238" s="2"/>
      <c r="BB238" s="3"/>
      <c r="BC238" s="2"/>
    </row>
    <row r="239" spans="2:55" x14ac:dyDescent="0.2">
      <c r="B239" s="204" t="str">
        <f>VLOOKUP("Net Working Capital/(Deficit)",Language_Data,Lookup_Column,FALSE)</f>
        <v>Net Working Capital/(Deficit)</v>
      </c>
      <c r="C239" s="7"/>
      <c r="D239" s="7"/>
      <c r="E239" s="96"/>
      <c r="F239" s="160">
        <f>IFERROR(SUM(F225)-SUM(F237),"NA")</f>
        <v>0</v>
      </c>
      <c r="G239" s="160"/>
      <c r="H239" s="160"/>
      <c r="I239" s="112">
        <f t="shared" ref="I239:R239" si="64">IFERROR(SUM(I225)-SUM(I237),"NA")</f>
        <v>-19679</v>
      </c>
      <c r="J239" s="112">
        <f t="shared" si="64"/>
        <v>-26212</v>
      </c>
      <c r="K239" s="112">
        <f t="shared" si="64"/>
        <v>-15948</v>
      </c>
      <c r="L239" s="112">
        <f t="shared" si="64"/>
        <v>-14030</v>
      </c>
      <c r="M239" s="112">
        <f t="shared" si="64"/>
        <v>-14726</v>
      </c>
      <c r="N239" s="112">
        <f t="shared" si="64"/>
        <v>-14723.198830663656</v>
      </c>
      <c r="O239" s="112">
        <f t="shared" si="64"/>
        <v>-15523.837902634012</v>
      </c>
      <c r="P239" s="112">
        <f t="shared" si="64"/>
        <v>-16305.421917496438</v>
      </c>
      <c r="Q239" s="112">
        <f t="shared" si="64"/>
        <v>-17071.776747618758</v>
      </c>
      <c r="R239" s="112">
        <f t="shared" si="64"/>
        <v>-17805.863147766358</v>
      </c>
      <c r="S239" s="7"/>
      <c r="Z239" s="7"/>
      <c r="AA239" s="7"/>
      <c r="AB239" s="7"/>
      <c r="AK239" s="392"/>
      <c r="AL239" s="392"/>
      <c r="AM239" s="392"/>
      <c r="AN239" s="3"/>
      <c r="AO239" s="2"/>
      <c r="AP239" s="3"/>
      <c r="AQ239" s="2"/>
      <c r="AY239" s="392"/>
      <c r="AZ239" s="3"/>
      <c r="BA239" s="2"/>
      <c r="BB239" s="3"/>
      <c r="BC239" s="2"/>
    </row>
    <row r="240" spans="2:55" x14ac:dyDescent="0.2">
      <c r="B240" s="205"/>
      <c r="C240" s="7"/>
      <c r="D240" s="7"/>
      <c r="E240" s="96"/>
      <c r="F240" s="160"/>
      <c r="G240" s="160"/>
      <c r="H240" s="160"/>
      <c r="I240" s="160"/>
      <c r="J240" s="160"/>
      <c r="K240" s="160"/>
      <c r="L240" s="160"/>
      <c r="M240" s="160"/>
      <c r="N240" s="160"/>
      <c r="O240" s="160"/>
      <c r="P240" s="160"/>
      <c r="Q240" s="160"/>
      <c r="R240" s="160"/>
      <c r="S240" s="7"/>
      <c r="Z240" s="7"/>
      <c r="AA240" s="7"/>
      <c r="AB240" s="7"/>
      <c r="AK240" s="392"/>
      <c r="AL240" s="392"/>
      <c r="AM240" s="392"/>
      <c r="AN240" s="3"/>
      <c r="AO240" s="2"/>
      <c r="AP240" s="3"/>
      <c r="AQ240" s="2"/>
      <c r="AY240" s="392"/>
      <c r="AZ240" s="3"/>
      <c r="BA240" s="2"/>
      <c r="BB240" s="3"/>
      <c r="BC240" s="2"/>
    </row>
    <row r="241" spans="2:55" x14ac:dyDescent="0.2">
      <c r="B241" s="138" t="str">
        <f>VLOOKUP("(Increase) / Decrease in Working Capital",Language_Data,Lookup_Column,FALSE)</f>
        <v>(Increase) / Decrease in Working Capital</v>
      </c>
      <c r="C241" s="8"/>
      <c r="D241" s="8"/>
      <c r="E241" s="262"/>
      <c r="F241" s="238"/>
      <c r="G241" s="238"/>
      <c r="H241" s="238"/>
      <c r="I241" s="257">
        <f>IFERROR(SUM(F239)-SUM(I239),"NA")</f>
        <v>19679</v>
      </c>
      <c r="J241" s="257">
        <f t="shared" ref="J241:R241" si="65">IFERROR(SUM(I239)-SUM(J239),"NA")</f>
        <v>6533</v>
      </c>
      <c r="K241" s="257">
        <f t="shared" si="65"/>
        <v>-10264</v>
      </c>
      <c r="L241" s="257">
        <f t="shared" si="65"/>
        <v>-1918</v>
      </c>
      <c r="M241" s="257">
        <f t="shared" si="65"/>
        <v>696</v>
      </c>
      <c r="N241" s="257">
        <f t="shared" si="65"/>
        <v>-2.8011693363441736</v>
      </c>
      <c r="O241" s="257">
        <f t="shared" si="65"/>
        <v>800.63907197035587</v>
      </c>
      <c r="P241" s="257">
        <f t="shared" si="65"/>
        <v>781.58401486242656</v>
      </c>
      <c r="Q241" s="257">
        <f t="shared" si="65"/>
        <v>766.35483012231998</v>
      </c>
      <c r="R241" s="257">
        <f t="shared" si="65"/>
        <v>734.08640014760022</v>
      </c>
      <c r="S241" s="8"/>
      <c r="Z241" s="7"/>
      <c r="AA241" s="7"/>
      <c r="AB241" s="7"/>
      <c r="AK241" s="392"/>
      <c r="AL241" s="392"/>
      <c r="AM241" s="392"/>
      <c r="AN241" s="3"/>
      <c r="AO241" s="2"/>
      <c r="AP241" s="3"/>
      <c r="AQ241" s="2"/>
      <c r="AY241" s="392"/>
      <c r="AZ241" s="3"/>
      <c r="BA241" s="2"/>
      <c r="BB241" s="3"/>
      <c r="BC241" s="2"/>
    </row>
    <row r="242" spans="2:55" x14ac:dyDescent="0.2">
      <c r="B242" s="69"/>
      <c r="C242" s="69"/>
      <c r="D242" s="69"/>
      <c r="E242" s="69"/>
      <c r="F242" s="69"/>
      <c r="G242" s="69"/>
      <c r="H242" s="69"/>
      <c r="I242" s="69"/>
      <c r="J242" s="69"/>
      <c r="K242" s="69"/>
      <c r="L242" s="69"/>
      <c r="M242" s="69"/>
      <c r="N242" s="69"/>
      <c r="O242" s="69"/>
      <c r="P242" s="69"/>
      <c r="Q242" s="69"/>
      <c r="R242" s="69"/>
      <c r="S242" s="69"/>
      <c r="T242" s="7"/>
      <c r="U242" s="7"/>
      <c r="V242" s="7"/>
      <c r="W242" s="7"/>
      <c r="X242" s="7"/>
      <c r="Y242" s="7"/>
      <c r="Z242" s="7"/>
      <c r="AA242" s="7"/>
      <c r="AB242" s="7"/>
      <c r="AK242" s="392"/>
      <c r="AL242" s="392"/>
      <c r="AM242" s="392"/>
      <c r="AN242" s="3"/>
      <c r="AO242" s="2"/>
      <c r="AP242" s="3"/>
      <c r="AQ242" s="2"/>
      <c r="AY242" s="392"/>
      <c r="AZ242" s="3"/>
      <c r="BA242" s="2"/>
      <c r="BB242" s="3"/>
      <c r="BC242" s="2"/>
    </row>
    <row r="243" spans="2:55" x14ac:dyDescent="0.2">
      <c r="B243" s="7" t="str">
        <f>VLOOKUP("Source: S&amp;P Capital IQ Pro",Language_Data,Lookup_Column,FALSE)</f>
        <v>Source: S&amp;P Capital IQ Pro</v>
      </c>
      <c r="C243" s="7"/>
      <c r="D243" s="7"/>
      <c r="E243" s="7"/>
      <c r="F243" s="7"/>
      <c r="G243" s="7"/>
      <c r="H243" s="7"/>
      <c r="I243" s="7"/>
      <c r="J243" s="7"/>
      <c r="K243" s="7"/>
      <c r="L243" s="7"/>
      <c r="M243" s="7"/>
      <c r="N243" s="7"/>
      <c r="O243" s="7"/>
      <c r="P243" s="7"/>
      <c r="Q243" s="7"/>
      <c r="R243" s="7"/>
      <c r="S243" s="7"/>
      <c r="T243" s="7"/>
      <c r="U243" s="7"/>
      <c r="V243" s="7"/>
      <c r="W243" s="7"/>
      <c r="X243" s="7"/>
      <c r="Y243" s="7"/>
      <c r="Z243" s="8"/>
      <c r="AA243" s="7"/>
      <c r="AB243" s="7"/>
      <c r="AK243" s="392"/>
      <c r="AL243" s="392"/>
      <c r="AM243" s="392"/>
      <c r="AN243" s="3"/>
      <c r="AO243" s="2"/>
      <c r="AP243" s="3"/>
      <c r="AQ243" s="2"/>
      <c r="AY243" s="392"/>
      <c r="AZ243" s="3"/>
      <c r="BA243" s="2"/>
      <c r="BB243" s="3"/>
      <c r="BC243" s="2"/>
    </row>
    <row r="244" spans="2:55" ht="11.25" customHeight="1" x14ac:dyDescent="0.2">
      <c r="B244" s="326" t="s">
        <v>5617</v>
      </c>
      <c r="C244" s="226"/>
      <c r="D244" s="226"/>
      <c r="E244" s="226"/>
      <c r="F244" s="226"/>
      <c r="G244" s="226"/>
      <c r="H244" s="226"/>
      <c r="I244" s="226"/>
      <c r="J244" s="226"/>
      <c r="K244" s="226"/>
      <c r="L244" s="226"/>
      <c r="M244" s="226"/>
      <c r="N244" s="226"/>
      <c r="O244" s="226"/>
      <c r="P244" s="226"/>
      <c r="Q244" s="226"/>
      <c r="R244" s="226"/>
      <c r="S244" s="226"/>
      <c r="T244" s="226"/>
      <c r="U244" s="226"/>
      <c r="V244" s="226"/>
      <c r="W244" s="226"/>
      <c r="X244" s="226"/>
      <c r="Y244" s="226"/>
      <c r="Z244" s="7"/>
      <c r="AA244" s="7"/>
      <c r="AB244" s="7"/>
      <c r="AK244" s="392"/>
      <c r="AL244" s="392"/>
      <c r="AM244" s="392"/>
      <c r="AN244" s="3"/>
      <c r="AO244" s="2"/>
      <c r="AP244" s="3"/>
      <c r="AQ244" s="2"/>
      <c r="AY244" s="392"/>
      <c r="AZ244" s="3"/>
      <c r="BA244" s="2"/>
      <c r="BB244" s="3"/>
      <c r="BC244" s="2"/>
    </row>
    <row r="245" spans="2:55" x14ac:dyDescent="0.2">
      <c r="B245" s="7"/>
      <c r="C245" s="7"/>
      <c r="D245" s="7"/>
      <c r="E245" s="7"/>
      <c r="F245" s="7"/>
      <c r="G245" s="7"/>
      <c r="H245" s="7"/>
      <c r="I245" s="7"/>
      <c r="J245" s="7"/>
      <c r="K245" s="7"/>
      <c r="L245" s="7"/>
      <c r="M245" s="7"/>
      <c r="N245" s="7"/>
      <c r="O245" s="7"/>
      <c r="P245" s="7"/>
      <c r="Q245" s="7"/>
      <c r="R245" s="7"/>
      <c r="S245" s="7"/>
      <c r="T245" s="7"/>
      <c r="U245" s="7"/>
      <c r="V245" s="7"/>
      <c r="W245" s="7"/>
      <c r="X245" s="7"/>
      <c r="Y245" s="7"/>
      <c r="Z245" s="7"/>
      <c r="AA245" s="7"/>
      <c r="AB245" s="7"/>
      <c r="AK245" s="392"/>
      <c r="AL245" s="392"/>
      <c r="AM245" s="392"/>
      <c r="AN245" s="3"/>
      <c r="AO245" s="2"/>
      <c r="AP245" s="3"/>
      <c r="AQ245" s="2"/>
      <c r="AY245" s="392"/>
      <c r="AZ245" s="3"/>
      <c r="BA245" s="2"/>
      <c r="BB245" s="3"/>
      <c r="BC245" s="2"/>
    </row>
    <row r="246" spans="2:55" x14ac:dyDescent="0.2">
      <c r="AK246" s="392"/>
      <c r="AL246" s="392"/>
      <c r="AM246" s="392"/>
      <c r="AN246" s="3"/>
      <c r="AO246" s="2"/>
      <c r="AP246" s="3"/>
      <c r="AQ246" s="2"/>
      <c r="AY246" s="392"/>
      <c r="AZ246" s="3"/>
      <c r="BA246" s="2"/>
      <c r="BB246" s="3"/>
      <c r="BC246" s="2"/>
    </row>
    <row r="247" spans="2:55" x14ac:dyDescent="0.2">
      <c r="AK247" s="392"/>
      <c r="AL247" s="392"/>
      <c r="AM247" s="392"/>
      <c r="AN247" s="3"/>
      <c r="AO247" s="2"/>
      <c r="AP247" s="3"/>
      <c r="AQ247" s="2"/>
      <c r="AY247" s="392"/>
      <c r="AZ247" s="3"/>
      <c r="BA247" s="2"/>
      <c r="BB247" s="3"/>
      <c r="BC247" s="2"/>
    </row>
    <row r="248" spans="2:55" x14ac:dyDescent="0.2">
      <c r="AK248" s="392"/>
      <c r="AL248" s="392"/>
      <c r="AM248" s="392"/>
      <c r="AN248" s="3"/>
      <c r="AO248" s="2"/>
      <c r="AP248" s="3"/>
      <c r="AQ248" s="2"/>
      <c r="AY248" s="392"/>
      <c r="AZ248" s="3"/>
      <c r="BA248" s="2"/>
      <c r="BB248" s="3"/>
      <c r="BC248" s="2"/>
    </row>
    <row r="249" spans="2:55" hidden="1" outlineLevel="1" x14ac:dyDescent="0.2">
      <c r="B249" s="30"/>
      <c r="G249" s="216" t="str">
        <f>H249</f>
        <v>BMV:BIMBO A</v>
      </c>
      <c r="H249" s="216" t="str">
        <f t="shared" ref="H249:M250" si="66">H99</f>
        <v>BMV:BIMBO A</v>
      </c>
      <c r="I249" s="216" t="str">
        <f t="shared" si="66"/>
        <v>BMV:BIMBO A</v>
      </c>
      <c r="J249" s="216" t="str">
        <f t="shared" si="66"/>
        <v>BMV:BIMBO A</v>
      </c>
      <c r="K249" s="216" t="str">
        <f t="shared" si="66"/>
        <v>BMV:BIMBO A</v>
      </c>
      <c r="L249" s="216" t="str">
        <f t="shared" si="66"/>
        <v>BMV:BIMBO A</v>
      </c>
      <c r="M249" s="216" t="str">
        <f t="shared" si="66"/>
        <v>BMV:BIMBO A</v>
      </c>
      <c r="AK249" s="392"/>
      <c r="AL249" s="392"/>
      <c r="AM249" s="392"/>
      <c r="AN249" s="3"/>
      <c r="AO249" s="2"/>
      <c r="AP249" s="3"/>
      <c r="AQ249" s="2"/>
      <c r="AY249" s="392"/>
      <c r="AZ249" s="3"/>
      <c r="BA249" s="2"/>
      <c r="BB249" s="3"/>
      <c r="BC249" s="2"/>
    </row>
    <row r="250" spans="2:55" hidden="1" outlineLevel="1" x14ac:dyDescent="0.2">
      <c r="G250" s="215" t="s">
        <v>4316</v>
      </c>
      <c r="H250" s="215" t="str">
        <f t="shared" si="66"/>
        <v>FY-5</v>
      </c>
      <c r="I250" s="215" t="str">
        <f t="shared" si="66"/>
        <v>FY-4</v>
      </c>
      <c r="J250" s="215" t="str">
        <f t="shared" si="66"/>
        <v>FY-3</v>
      </c>
      <c r="K250" s="215" t="str">
        <f t="shared" si="66"/>
        <v>FY-2</v>
      </c>
      <c r="L250" s="215" t="str">
        <f t="shared" si="66"/>
        <v>FY-1</v>
      </c>
      <c r="M250" s="216" t="str">
        <f t="shared" si="66"/>
        <v>FY0</v>
      </c>
      <c r="AK250" s="392"/>
      <c r="AL250" s="392"/>
      <c r="AM250" s="392"/>
      <c r="AN250" s="3"/>
      <c r="AO250" s="2"/>
      <c r="AP250" s="3"/>
      <c r="AQ250" s="2"/>
      <c r="AY250" s="392"/>
      <c r="AZ250" s="3"/>
      <c r="BA250" s="2"/>
      <c r="BB250" s="3"/>
      <c r="BC250" s="2"/>
    </row>
    <row r="251" spans="2:55" hidden="1" outlineLevel="1" x14ac:dyDescent="0.2">
      <c r="G251" s="31">
        <f t="shared" ref="G251:M251" si="67">$L$15</f>
        <v>46311.25</v>
      </c>
      <c r="H251" s="31">
        <f t="shared" si="67"/>
        <v>46311.25</v>
      </c>
      <c r="I251" s="31">
        <f t="shared" si="67"/>
        <v>46311.25</v>
      </c>
      <c r="J251" s="31">
        <f t="shared" si="67"/>
        <v>46311.25</v>
      </c>
      <c r="K251" s="31">
        <f t="shared" si="67"/>
        <v>46311.25</v>
      </c>
      <c r="L251" s="31">
        <f t="shared" si="67"/>
        <v>46311.25</v>
      </c>
      <c r="M251" s="31">
        <f t="shared" si="67"/>
        <v>46311.25</v>
      </c>
      <c r="AK251" s="392"/>
      <c r="AL251" s="392"/>
      <c r="AM251" s="392"/>
      <c r="AN251" s="3"/>
      <c r="AO251" s="2"/>
      <c r="AP251" s="3"/>
      <c r="AQ251" s="2"/>
      <c r="AY251" s="392"/>
      <c r="AZ251" s="3"/>
      <c r="BA251" s="2"/>
      <c r="BB251" s="3"/>
      <c r="BC251" s="2"/>
    </row>
    <row r="252" spans="2:55" hidden="1" outlineLevel="1" x14ac:dyDescent="0.2">
      <c r="B252" t="s">
        <v>400</v>
      </c>
      <c r="E252" s="34" t="s">
        <v>488</v>
      </c>
      <c r="F252" s="6"/>
      <c r="G252" s="6" t="s">
        <v>5614</v>
      </c>
      <c r="H252" s="6" t="s">
        <v>5614</v>
      </c>
      <c r="I252" s="6">
        <f>Independent_DCF_Inputs!B37</f>
        <v>48706</v>
      </c>
      <c r="J252" s="6">
        <f>Independent_DCF_Inputs!C37</f>
        <v>71734</v>
      </c>
      <c r="K252" s="6">
        <f>Independent_DCF_Inputs!D37</f>
        <v>54384</v>
      </c>
      <c r="L252" s="6">
        <f>Independent_DCF_Inputs!E37</f>
        <v>56200</v>
      </c>
      <c r="M252" s="6">
        <f>Independent_DCF_Inputs!F37</f>
        <v>58984</v>
      </c>
      <c r="AK252" s="392"/>
      <c r="AL252" s="392"/>
      <c r="AM252" s="392"/>
      <c r="AN252" s="3"/>
      <c r="AO252" s="2"/>
      <c r="AP252" s="3"/>
      <c r="AQ252" s="2"/>
      <c r="AY252" s="392"/>
      <c r="AZ252" s="3"/>
      <c r="BA252" s="2"/>
      <c r="BB252" s="3"/>
      <c r="BC252" s="2"/>
    </row>
    <row r="253" spans="2:55" hidden="1" outlineLevel="1" x14ac:dyDescent="0.2">
      <c r="B253" t="s">
        <v>403</v>
      </c>
      <c r="E253" s="34" t="s">
        <v>4206</v>
      </c>
      <c r="F253" s="6"/>
      <c r="G253" s="6" t="s">
        <v>5614</v>
      </c>
      <c r="H253" s="6" t="s">
        <v>5614</v>
      </c>
      <c r="I253" s="6">
        <f>Independent_DCF_Inputs!B35</f>
        <v>32580</v>
      </c>
      <c r="J253" s="6">
        <f>Independent_DCF_Inputs!C35</f>
        <v>53696</v>
      </c>
      <c r="K253" s="6">
        <f>Independent_DCF_Inputs!D35</f>
        <v>35455</v>
      </c>
      <c r="L253" s="6">
        <f>Independent_DCF_Inputs!E35</f>
        <v>33149</v>
      </c>
      <c r="M253" s="6">
        <f>Independent_DCF_Inputs!F35</f>
        <v>34146</v>
      </c>
      <c r="AK253" s="392"/>
      <c r="AL253" s="392"/>
      <c r="AM253" s="392"/>
      <c r="AN253" s="3"/>
      <c r="AO253" s="2"/>
      <c r="AP253" s="3"/>
      <c r="AQ253" s="2"/>
      <c r="AY253" s="392"/>
      <c r="AZ253" s="3"/>
      <c r="BA253" s="2"/>
      <c r="BB253" s="3"/>
      <c r="BC253" s="2"/>
    </row>
    <row r="254" spans="2:55" hidden="1" outlineLevel="1" x14ac:dyDescent="0.2">
      <c r="B254" t="s">
        <v>4180</v>
      </c>
      <c r="E254" s="34" t="s">
        <v>4177</v>
      </c>
      <c r="F254" s="6"/>
      <c r="G254" s="6" t="s">
        <v>5614</v>
      </c>
      <c r="H254" s="6" t="s">
        <v>5614</v>
      </c>
      <c r="I254" s="6">
        <v>0</v>
      </c>
      <c r="J254" s="6">
        <v>0</v>
      </c>
      <c r="K254" s="6">
        <v>0</v>
      </c>
      <c r="L254" s="6">
        <v>0</v>
      </c>
      <c r="M254" s="6">
        <v>0</v>
      </c>
      <c r="AK254" s="392"/>
      <c r="AL254" s="392"/>
      <c r="AM254" s="392"/>
      <c r="AN254" s="3"/>
      <c r="AO254" s="2"/>
      <c r="AP254" s="3"/>
      <c r="AQ254" s="2"/>
      <c r="AY254" s="392"/>
      <c r="AZ254" s="3"/>
      <c r="BA254" s="2"/>
      <c r="BB254" s="3"/>
      <c r="BC254" s="2"/>
    </row>
    <row r="255" spans="2:55" hidden="1" outlineLevel="1" x14ac:dyDescent="0.2">
      <c r="B255" t="s">
        <v>4181</v>
      </c>
      <c r="E255" s="34" t="s">
        <v>501</v>
      </c>
      <c r="G255" s="6" t="s">
        <v>5614</v>
      </c>
      <c r="H255" s="6" t="s">
        <v>5614</v>
      </c>
      <c r="I255" s="6">
        <f>-Independent_DCF_Inputs!B38</f>
        <v>-25410</v>
      </c>
      <c r="J255" s="6">
        <f>-Independent_DCF_Inputs!C38</f>
        <v>-34523</v>
      </c>
      <c r="K255" s="6">
        <f>-Independent_DCF_Inputs!D38</f>
        <v>-40474</v>
      </c>
      <c r="L255" s="6">
        <f>-Independent_DCF_Inputs!E38</f>
        <v>-35495</v>
      </c>
      <c r="M255" s="6">
        <f>-Independent_DCF_Inputs!F38</f>
        <v>-28764</v>
      </c>
      <c r="AK255" s="392"/>
      <c r="AL255" s="392"/>
      <c r="AM255" s="392"/>
      <c r="AN255" s="3"/>
      <c r="AO255" s="2"/>
      <c r="AP255" s="3"/>
      <c r="AQ255" s="2"/>
      <c r="AY255" s="392"/>
      <c r="AZ255" s="3"/>
      <c r="BA255" s="2"/>
      <c r="BB255" s="3"/>
      <c r="BC255" s="2"/>
    </row>
    <row r="256" spans="2:55" hidden="1" outlineLevel="1" x14ac:dyDescent="0.2">
      <c r="B256" t="s">
        <v>4182</v>
      </c>
      <c r="E256" s="34" t="s">
        <v>4178</v>
      </c>
      <c r="G256" s="6" t="s">
        <v>5614</v>
      </c>
      <c r="H256" s="6" t="s">
        <v>5614</v>
      </c>
      <c r="I256" s="6">
        <v>0</v>
      </c>
      <c r="J256" s="6">
        <v>0</v>
      </c>
      <c r="K256" s="6">
        <v>0</v>
      </c>
      <c r="L256" s="6">
        <v>0</v>
      </c>
      <c r="M256" s="6">
        <v>0</v>
      </c>
      <c r="AK256" s="392"/>
      <c r="AL256" s="392"/>
      <c r="AM256" s="392"/>
      <c r="AN256" s="3"/>
      <c r="AO256" s="2"/>
      <c r="AP256" s="3"/>
      <c r="AQ256" s="2"/>
      <c r="AY256" s="392"/>
      <c r="AZ256" s="3"/>
      <c r="BA256" s="2"/>
      <c r="BB256" s="3"/>
      <c r="BC256" s="2"/>
    </row>
    <row r="257" spans="2:55" hidden="1" outlineLevel="1" x14ac:dyDescent="0.2">
      <c r="B257" t="s">
        <v>4183</v>
      </c>
      <c r="E257" s="34" t="s">
        <v>4179</v>
      </c>
      <c r="G257" s="6" t="s">
        <v>5614</v>
      </c>
      <c r="H257" s="6" t="s">
        <v>5614</v>
      </c>
      <c r="I257" s="6">
        <v>0</v>
      </c>
      <c r="J257" s="6">
        <v>0</v>
      </c>
      <c r="K257" s="6">
        <v>0</v>
      </c>
      <c r="L257" s="6">
        <v>0</v>
      </c>
      <c r="M257" s="6">
        <v>0</v>
      </c>
      <c r="AK257" s="392"/>
      <c r="AL257" s="392"/>
      <c r="AM257" s="392"/>
      <c r="AN257" s="3"/>
      <c r="AO257" s="2"/>
      <c r="AP257" s="3"/>
      <c r="AQ257" s="2"/>
      <c r="AY257" s="392"/>
      <c r="AZ257" s="3"/>
      <c r="BA257" s="2"/>
      <c r="BB257" s="3"/>
      <c r="BC257" s="2"/>
    </row>
    <row r="258" spans="2:55" collapsed="1" x14ac:dyDescent="0.2">
      <c r="AO258" s="2"/>
      <c r="AP258" s="3"/>
      <c r="AQ258" s="2"/>
      <c r="AY258" s="2"/>
      <c r="AZ258" s="3"/>
      <c r="BA258" s="2"/>
      <c r="BB258" s="3"/>
      <c r="BC258" s="2"/>
    </row>
    <row r="259" spans="2:55" x14ac:dyDescent="0.2">
      <c r="AO259" s="2"/>
      <c r="AP259" s="3"/>
      <c r="AQ259" s="2"/>
      <c r="AY259" s="2"/>
      <c r="AZ259" s="3"/>
      <c r="BA259" s="2"/>
      <c r="BB259" s="3"/>
      <c r="BC259" s="2"/>
    </row>
    <row r="260" spans="2:55" x14ac:dyDescent="0.2">
      <c r="AO260" s="2"/>
      <c r="AP260" s="3"/>
      <c r="AQ260" s="2"/>
      <c r="AY260" s="2"/>
      <c r="AZ260" s="3"/>
      <c r="BA260" s="2"/>
      <c r="BB260" s="3"/>
      <c r="BC260" s="2"/>
    </row>
    <row r="261" spans="2:55" x14ac:dyDescent="0.2">
      <c r="AO261" s="2"/>
      <c r="AP261" s="3"/>
      <c r="AQ261" s="2"/>
      <c r="AY261" s="2"/>
      <c r="AZ261" s="3"/>
      <c r="BA261" s="2"/>
      <c r="BB261" s="3"/>
      <c r="BC261" s="2"/>
    </row>
    <row r="262" spans="2:55" x14ac:dyDescent="0.2">
      <c r="AO262" s="2"/>
      <c r="AP262" s="3"/>
      <c r="AQ262" s="2"/>
      <c r="AY262" s="2"/>
      <c r="AZ262" s="3"/>
      <c r="BA262" s="2"/>
      <c r="BB262" s="3"/>
      <c r="BC262" s="2"/>
    </row>
    <row r="263" spans="2:55" x14ac:dyDescent="0.2">
      <c r="AO263" s="2"/>
      <c r="AP263" s="3"/>
      <c r="AQ263" s="2"/>
      <c r="AY263" s="2"/>
      <c r="AZ263" s="3"/>
      <c r="BA263" s="2"/>
      <c r="BB263" s="3"/>
      <c r="BC263" s="2"/>
    </row>
    <row r="264" spans="2:55" x14ac:dyDescent="0.2">
      <c r="AO264" s="2"/>
      <c r="AP264" s="3"/>
      <c r="AQ264" s="2"/>
      <c r="AY264" s="2"/>
      <c r="AZ264" s="3"/>
      <c r="BA264" s="2"/>
      <c r="BB264" s="3"/>
      <c r="BC264" s="2"/>
    </row>
    <row r="265" spans="2:55" x14ac:dyDescent="0.2">
      <c r="AO265" s="2"/>
      <c r="AP265" s="3"/>
      <c r="AQ265" s="2"/>
      <c r="AY265" s="2"/>
      <c r="AZ265" s="3"/>
      <c r="BA265" s="2"/>
      <c r="BB265" s="3"/>
      <c r="BC265" s="2"/>
    </row>
    <row r="266" spans="2:55" x14ac:dyDescent="0.2">
      <c r="AO266" s="2"/>
      <c r="AP266" s="3"/>
      <c r="AQ266" s="2"/>
      <c r="AY266" s="2"/>
      <c r="AZ266" s="3"/>
      <c r="BA266" s="2"/>
      <c r="BB266" s="3"/>
      <c r="BC266" s="2"/>
    </row>
    <row r="267" spans="2:55" x14ac:dyDescent="0.2">
      <c r="AO267" s="2"/>
      <c r="AP267" s="3"/>
      <c r="AQ267" s="2"/>
      <c r="AY267" s="2"/>
      <c r="AZ267" s="3"/>
      <c r="BA267" s="2"/>
      <c r="BB267" s="3"/>
      <c r="BC267" s="2"/>
    </row>
    <row r="268" spans="2:55" x14ac:dyDescent="0.2">
      <c r="AO268" s="2"/>
      <c r="AP268" s="3"/>
      <c r="AQ268" s="2"/>
      <c r="AY268" s="2"/>
      <c r="AZ268" s="3"/>
      <c r="BA268" s="2"/>
      <c r="BB268" s="3"/>
      <c r="BC268" s="2"/>
    </row>
    <row r="269" spans="2:55" x14ac:dyDescent="0.2">
      <c r="AO269" s="2"/>
      <c r="AP269" s="3"/>
      <c r="AQ269" s="2"/>
      <c r="AY269" s="2"/>
      <c r="AZ269" s="3"/>
      <c r="BA269" s="2"/>
      <c r="BB269" s="3"/>
      <c r="BC269" s="2"/>
    </row>
    <row r="270" spans="2:55" x14ac:dyDescent="0.2">
      <c r="AO270" s="2"/>
      <c r="AP270" s="3"/>
      <c r="AQ270" s="2"/>
      <c r="AY270" s="2"/>
      <c r="AZ270" s="3"/>
      <c r="BA270" s="2"/>
      <c r="BB270" s="3"/>
      <c r="BC270" s="2"/>
    </row>
    <row r="271" spans="2:55" x14ac:dyDescent="0.2">
      <c r="AO271" s="2"/>
      <c r="AP271" s="3"/>
      <c r="AQ271" s="2"/>
      <c r="AY271" s="2"/>
      <c r="AZ271" s="3"/>
      <c r="BA271" s="2"/>
      <c r="BB271" s="3"/>
      <c r="BC271" s="2"/>
    </row>
    <row r="272" spans="2:55" x14ac:dyDescent="0.2">
      <c r="AO272" s="2"/>
      <c r="AP272" s="3"/>
      <c r="AQ272" s="2"/>
      <c r="AY272" s="2"/>
      <c r="AZ272" s="3"/>
      <c r="BA272" s="2"/>
      <c r="BB272" s="3"/>
      <c r="BC272" s="2"/>
    </row>
    <row r="273" spans="41:55" x14ac:dyDescent="0.2">
      <c r="AO273" s="2"/>
      <c r="AP273" s="3"/>
      <c r="AQ273" s="2"/>
      <c r="AY273" s="2"/>
      <c r="AZ273" s="3"/>
      <c r="BA273" s="2"/>
      <c r="BB273" s="3"/>
      <c r="BC273" s="2"/>
    </row>
    <row r="274" spans="41:55" x14ac:dyDescent="0.2">
      <c r="AO274" s="2"/>
      <c r="AP274" s="3"/>
      <c r="AQ274" s="2"/>
      <c r="AY274" s="2"/>
      <c r="AZ274" s="3"/>
      <c r="BA274" s="2"/>
      <c r="BB274" s="3"/>
      <c r="BC274" s="2"/>
    </row>
    <row r="275" spans="41:55" x14ac:dyDescent="0.2">
      <c r="AO275" s="2"/>
      <c r="AP275" s="3"/>
      <c r="AQ275" s="2"/>
      <c r="AY275" s="2"/>
      <c r="AZ275" s="3"/>
      <c r="BA275" s="2"/>
      <c r="BB275" s="3"/>
      <c r="BC275" s="2"/>
    </row>
    <row r="276" spans="41:55" x14ac:dyDescent="0.2">
      <c r="AO276" s="2"/>
      <c r="AP276" s="3"/>
      <c r="AQ276" s="2"/>
      <c r="AY276" s="2"/>
      <c r="AZ276" s="3"/>
      <c r="BA276" s="2"/>
      <c r="BB276" s="3"/>
      <c r="BC276" s="2"/>
    </row>
    <row r="277" spans="41:55" x14ac:dyDescent="0.2">
      <c r="AO277" s="2"/>
      <c r="AP277" s="3"/>
      <c r="AQ277" s="2"/>
      <c r="AY277" s="2"/>
      <c r="AZ277" s="3"/>
      <c r="BA277" s="2"/>
      <c r="BB277" s="3"/>
      <c r="BC277" s="2"/>
    </row>
    <row r="278" spans="41:55" x14ac:dyDescent="0.2">
      <c r="AO278" s="2"/>
      <c r="AP278" s="3"/>
      <c r="AQ278" s="2"/>
      <c r="AY278" s="2"/>
      <c r="AZ278" s="3"/>
      <c r="BA278" s="2"/>
      <c r="BB278" s="3"/>
      <c r="BC278" s="2"/>
    </row>
    <row r="279" spans="41:55" x14ac:dyDescent="0.2">
      <c r="AO279" s="2"/>
      <c r="AP279" s="3"/>
      <c r="AQ279" s="2"/>
      <c r="AY279" s="2"/>
      <c r="AZ279" s="3"/>
      <c r="BA279" s="2"/>
      <c r="BB279" s="3"/>
      <c r="BC279" s="2"/>
    </row>
    <row r="280" spans="41:55" x14ac:dyDescent="0.2">
      <c r="AO280" s="2"/>
      <c r="AP280" s="3"/>
      <c r="AQ280" s="2"/>
      <c r="AY280" s="2"/>
      <c r="AZ280" s="3"/>
      <c r="BA280" s="2"/>
      <c r="BB280" s="3"/>
      <c r="BC280" s="2"/>
    </row>
    <row r="281" spans="41:55" x14ac:dyDescent="0.2">
      <c r="AO281" s="2"/>
      <c r="AP281" s="3"/>
      <c r="AQ281" s="2"/>
      <c r="AY281" s="2"/>
      <c r="AZ281" s="3"/>
      <c r="BA281" s="2"/>
      <c r="BB281" s="3"/>
      <c r="BC281" s="2"/>
    </row>
    <row r="282" spans="41:55" x14ac:dyDescent="0.2">
      <c r="AO282" s="2"/>
      <c r="AP282" s="3"/>
      <c r="AQ282" s="2"/>
      <c r="AY282" s="2"/>
      <c r="AZ282" s="3"/>
      <c r="BA282" s="2"/>
      <c r="BB282" s="3"/>
      <c r="BC282" s="2"/>
    </row>
    <row r="283" spans="41:55" x14ac:dyDescent="0.2">
      <c r="AO283" s="2"/>
      <c r="AP283" s="3"/>
      <c r="AQ283" s="2"/>
      <c r="AY283" s="2"/>
      <c r="AZ283" s="3"/>
      <c r="BA283" s="2"/>
      <c r="BB283" s="3"/>
      <c r="BC283" s="2"/>
    </row>
    <row r="284" spans="41:55" x14ac:dyDescent="0.2">
      <c r="AO284" s="2"/>
      <c r="AP284" s="3"/>
      <c r="AQ284" s="2"/>
      <c r="AY284" s="2"/>
      <c r="AZ284" s="3"/>
      <c r="BA284" s="2"/>
      <c r="BB284" s="3"/>
      <c r="BC284" s="2"/>
    </row>
    <row r="285" spans="41:55" x14ac:dyDescent="0.2">
      <c r="AO285" s="2"/>
      <c r="AP285" s="3"/>
      <c r="AQ285" s="2"/>
      <c r="AY285" s="2"/>
      <c r="AZ285" s="3"/>
      <c r="BA285" s="2"/>
      <c r="BB285" s="3"/>
      <c r="BC285" s="2"/>
    </row>
    <row r="286" spans="41:55" x14ac:dyDescent="0.2">
      <c r="AO286" s="2"/>
      <c r="AP286" s="3"/>
      <c r="AQ286" s="2"/>
      <c r="AY286" s="2"/>
      <c r="AZ286" s="3"/>
      <c r="BA286" s="2"/>
      <c r="BB286" s="3"/>
      <c r="BC286" s="2"/>
    </row>
    <row r="287" spans="41:55" x14ac:dyDescent="0.2">
      <c r="AO287" s="2"/>
      <c r="AP287" s="3"/>
      <c r="AQ287" s="2"/>
      <c r="AY287" s="2"/>
      <c r="AZ287" s="3"/>
      <c r="BA287" s="2"/>
      <c r="BB287" s="3"/>
      <c r="BC287" s="2"/>
    </row>
    <row r="288" spans="41:55" x14ac:dyDescent="0.2">
      <c r="AO288" s="2"/>
      <c r="AP288" s="3"/>
      <c r="AQ288" s="2"/>
      <c r="AY288" s="2"/>
      <c r="AZ288" s="3"/>
      <c r="BA288" s="2"/>
      <c r="BB288" s="3"/>
      <c r="BC288" s="2"/>
    </row>
    <row r="289" spans="41:55" x14ac:dyDescent="0.2">
      <c r="AO289" s="2"/>
      <c r="AP289" s="3"/>
      <c r="AQ289" s="2"/>
      <c r="AY289" s="2"/>
      <c r="AZ289" s="3"/>
      <c r="BA289" s="2"/>
      <c r="BB289" s="3"/>
      <c r="BC289" s="2"/>
    </row>
    <row r="290" spans="41:55" x14ac:dyDescent="0.2">
      <c r="AO290" s="2"/>
      <c r="AP290" s="3"/>
      <c r="AQ290" s="2"/>
      <c r="AY290" s="2"/>
      <c r="AZ290" s="3"/>
      <c r="BA290" s="2"/>
      <c r="BB290" s="3"/>
      <c r="BC290" s="2"/>
    </row>
    <row r="291" spans="41:55" x14ac:dyDescent="0.2">
      <c r="AO291" s="2"/>
      <c r="AP291" s="3"/>
      <c r="AQ291" s="2"/>
      <c r="AY291" s="2"/>
      <c r="AZ291" s="3"/>
      <c r="BA291" s="2"/>
      <c r="BB291" s="3"/>
      <c r="BC291" s="2"/>
    </row>
    <row r="292" spans="41:55" x14ac:dyDescent="0.2">
      <c r="AO292" s="2"/>
      <c r="AP292" s="3"/>
      <c r="AQ292" s="2"/>
      <c r="AY292" s="2"/>
      <c r="AZ292" s="3"/>
      <c r="BA292" s="2"/>
      <c r="BB292" s="3"/>
      <c r="BC292" s="2"/>
    </row>
    <row r="293" spans="41:55" x14ac:dyDescent="0.2">
      <c r="AO293" s="2"/>
      <c r="AP293" s="3"/>
      <c r="AQ293" s="2"/>
      <c r="AY293" s="2"/>
      <c r="AZ293" s="3"/>
      <c r="BA293" s="2"/>
      <c r="BB293" s="3"/>
      <c r="BC293" s="2"/>
    </row>
    <row r="294" spans="41:55" x14ac:dyDescent="0.2">
      <c r="AO294" s="2"/>
      <c r="AP294" s="3"/>
      <c r="AQ294" s="2"/>
      <c r="AY294" s="2"/>
      <c r="AZ294" s="3"/>
      <c r="BA294" s="2"/>
      <c r="BB294" s="3"/>
      <c r="BC294" s="2"/>
    </row>
    <row r="295" spans="41:55" x14ac:dyDescent="0.2">
      <c r="AO295" s="2"/>
      <c r="AP295" s="3"/>
      <c r="AQ295" s="2"/>
      <c r="AY295" s="2"/>
      <c r="AZ295" s="3"/>
      <c r="BA295" s="2"/>
      <c r="BB295" s="3"/>
      <c r="BC295" s="2"/>
    </row>
    <row r="296" spans="41:55" x14ac:dyDescent="0.2">
      <c r="AO296" s="2"/>
      <c r="AP296" s="3"/>
      <c r="AQ296" s="2"/>
      <c r="AY296" s="2"/>
      <c r="AZ296" s="3"/>
      <c r="BA296" s="2"/>
      <c r="BB296" s="3"/>
      <c r="BC296" s="2"/>
    </row>
    <row r="297" spans="41:55" x14ac:dyDescent="0.2">
      <c r="AO297" s="2"/>
      <c r="AP297" s="3"/>
      <c r="AQ297" s="2"/>
      <c r="AY297" s="2"/>
      <c r="AZ297" s="3"/>
      <c r="BA297" s="2"/>
      <c r="BB297" s="3"/>
      <c r="BC297" s="2"/>
    </row>
    <row r="298" spans="41:55" x14ac:dyDescent="0.2">
      <c r="AO298" s="2"/>
      <c r="AP298" s="3"/>
      <c r="AQ298" s="2"/>
      <c r="AY298" s="2"/>
      <c r="AZ298" s="3"/>
      <c r="BA298" s="2"/>
      <c r="BB298" s="3"/>
      <c r="BC298" s="2"/>
    </row>
    <row r="299" spans="41:55" x14ac:dyDescent="0.2">
      <c r="AO299" s="2"/>
      <c r="AP299" s="3"/>
      <c r="AQ299" s="2"/>
      <c r="AY299" s="2"/>
      <c r="AZ299" s="3"/>
      <c r="BA299" s="2"/>
      <c r="BB299" s="3"/>
      <c r="BC299" s="2"/>
    </row>
    <row r="300" spans="41:55" x14ac:dyDescent="0.2">
      <c r="AO300" s="2"/>
      <c r="AP300" s="3"/>
      <c r="AQ300" s="2"/>
      <c r="AY300" s="2"/>
      <c r="AZ300" s="3"/>
      <c r="BA300" s="2"/>
      <c r="BB300" s="3"/>
      <c r="BC300" s="2"/>
    </row>
    <row r="301" spans="41:55" x14ac:dyDescent="0.2">
      <c r="AO301" s="2"/>
      <c r="AP301" s="3"/>
      <c r="AQ301" s="2"/>
      <c r="AY301" s="2"/>
      <c r="AZ301" s="3"/>
      <c r="BA301" s="2"/>
      <c r="BB301" s="3"/>
      <c r="BC301" s="2"/>
    </row>
    <row r="302" spans="41:55" x14ac:dyDescent="0.2">
      <c r="AO302" s="2"/>
      <c r="AP302" s="3"/>
      <c r="AQ302" s="2"/>
      <c r="AY302" s="2"/>
      <c r="AZ302" s="3"/>
      <c r="BA302" s="2"/>
      <c r="BB302" s="3"/>
      <c r="BC302" s="2"/>
    </row>
    <row r="303" spans="41:55" x14ac:dyDescent="0.2">
      <c r="AO303" s="2"/>
      <c r="AP303" s="3"/>
      <c r="AQ303" s="2"/>
      <c r="AY303" s="2"/>
      <c r="AZ303" s="3"/>
      <c r="BA303" s="2"/>
      <c r="BB303" s="3"/>
      <c r="BC303" s="2"/>
    </row>
    <row r="304" spans="41:55" x14ac:dyDescent="0.2">
      <c r="AO304" s="2"/>
      <c r="AP304" s="3"/>
      <c r="AQ304" s="2"/>
      <c r="AY304" s="2"/>
      <c r="AZ304" s="3"/>
      <c r="BA304" s="2"/>
      <c r="BB304" s="3"/>
      <c r="BC304" s="2"/>
    </row>
    <row r="305" spans="41:55" x14ac:dyDescent="0.2">
      <c r="AO305" s="2"/>
      <c r="AP305" s="3"/>
      <c r="AQ305" s="2"/>
      <c r="AY305" s="2"/>
      <c r="AZ305" s="3"/>
      <c r="BA305" s="2"/>
      <c r="BB305" s="3"/>
      <c r="BC305" s="2"/>
    </row>
    <row r="306" spans="41:55" x14ac:dyDescent="0.2">
      <c r="AO306" s="2"/>
      <c r="AP306" s="3"/>
      <c r="AQ306" s="2"/>
      <c r="AY306" s="2"/>
      <c r="AZ306" s="3"/>
      <c r="BA306" s="2"/>
      <c r="BB306" s="3"/>
      <c r="BC306" s="2"/>
    </row>
    <row r="307" spans="41:55" x14ac:dyDescent="0.2">
      <c r="AO307" s="2"/>
      <c r="AP307" s="3"/>
      <c r="AQ307" s="2"/>
      <c r="AY307" s="2"/>
      <c r="AZ307" s="3"/>
      <c r="BA307" s="2"/>
      <c r="BB307" s="3"/>
      <c r="BC307" s="2"/>
    </row>
    <row r="308" spans="41:55" x14ac:dyDescent="0.2">
      <c r="AO308" s="2"/>
      <c r="AP308" s="3"/>
      <c r="AQ308" s="2"/>
      <c r="AY308" s="2"/>
      <c r="AZ308" s="3"/>
      <c r="BA308" s="2"/>
      <c r="BB308" s="3"/>
      <c r="BC308" s="2"/>
    </row>
    <row r="309" spans="41:55" x14ac:dyDescent="0.2">
      <c r="AO309" s="2"/>
      <c r="AP309" s="3"/>
      <c r="AQ309" s="2"/>
      <c r="AY309" s="2"/>
      <c r="AZ309" s="3"/>
      <c r="BA309" s="2"/>
      <c r="BB309" s="3"/>
      <c r="BC309" s="2"/>
    </row>
    <row r="310" spans="41:55" x14ac:dyDescent="0.2">
      <c r="AO310" s="2"/>
      <c r="AP310" s="3"/>
      <c r="AQ310" s="2"/>
      <c r="AY310" s="2"/>
      <c r="AZ310" s="3"/>
      <c r="BA310" s="2"/>
      <c r="BB310" s="3"/>
      <c r="BC310" s="2"/>
    </row>
    <row r="311" spans="41:55" x14ac:dyDescent="0.2">
      <c r="AO311" s="2"/>
      <c r="AP311" s="3"/>
      <c r="AQ311" s="2"/>
      <c r="AY311" s="2"/>
      <c r="AZ311" s="3"/>
      <c r="BA311" s="2"/>
      <c r="BB311" s="3"/>
      <c r="BC311" s="2"/>
    </row>
    <row r="312" spans="41:55" x14ac:dyDescent="0.2">
      <c r="AO312" s="2"/>
      <c r="AP312" s="3"/>
      <c r="AQ312" s="2"/>
      <c r="AY312" s="2"/>
      <c r="AZ312" s="3"/>
      <c r="BA312" s="2"/>
      <c r="BB312" s="3"/>
      <c r="BC312" s="2"/>
    </row>
    <row r="313" spans="41:55" x14ac:dyDescent="0.2">
      <c r="AO313" s="2"/>
      <c r="AP313" s="3"/>
      <c r="AQ313" s="2"/>
      <c r="AY313" s="2"/>
      <c r="AZ313" s="3"/>
      <c r="BA313" s="2"/>
      <c r="BB313" s="3"/>
      <c r="BC313" s="2"/>
    </row>
    <row r="314" spans="41:55" x14ac:dyDescent="0.2">
      <c r="AO314" s="2"/>
      <c r="AP314" s="3"/>
      <c r="AQ314" s="2"/>
      <c r="AY314" s="2"/>
      <c r="AZ314" s="3"/>
      <c r="BA314" s="2"/>
      <c r="BB314" s="3"/>
      <c r="BC314" s="2"/>
    </row>
    <row r="315" spans="41:55" x14ac:dyDescent="0.2">
      <c r="AO315" s="2"/>
      <c r="AP315" s="3"/>
      <c r="AQ315" s="2"/>
      <c r="AY315" s="2"/>
      <c r="AZ315" s="3"/>
      <c r="BA315" s="2"/>
      <c r="BB315" s="3"/>
      <c r="BC315" s="2"/>
    </row>
    <row r="316" spans="41:55" x14ac:dyDescent="0.2">
      <c r="AO316" s="2"/>
      <c r="AP316" s="3"/>
      <c r="AQ316" s="2"/>
      <c r="AY316" s="2"/>
      <c r="AZ316" s="3"/>
      <c r="BA316" s="2"/>
      <c r="BB316" s="3"/>
      <c r="BC316" s="2"/>
    </row>
    <row r="317" spans="41:55" x14ac:dyDescent="0.2">
      <c r="AO317" s="2"/>
      <c r="AP317" s="3"/>
      <c r="AQ317" s="2"/>
      <c r="AY317" s="2"/>
      <c r="AZ317" s="3"/>
      <c r="BA317" s="2"/>
      <c r="BB317" s="3"/>
      <c r="BC317" s="2"/>
    </row>
    <row r="318" spans="41:55" x14ac:dyDescent="0.2">
      <c r="AO318" s="2"/>
      <c r="AP318" s="3"/>
      <c r="AQ318" s="2"/>
      <c r="AY318" s="2"/>
      <c r="AZ318" s="3"/>
      <c r="BA318" s="2"/>
      <c r="BB318" s="3"/>
      <c r="BC318" s="2"/>
    </row>
    <row r="319" spans="41:55" x14ac:dyDescent="0.2">
      <c r="AO319" s="2"/>
      <c r="AP319" s="3"/>
      <c r="AQ319" s="2"/>
      <c r="AY319" s="2"/>
      <c r="AZ319" s="3"/>
      <c r="BA319" s="2"/>
      <c r="BB319" s="3"/>
      <c r="BC319" s="2"/>
    </row>
    <row r="320" spans="41:55" x14ac:dyDescent="0.2">
      <c r="AO320" s="2"/>
      <c r="AP320" s="3"/>
      <c r="AQ320" s="2"/>
      <c r="AY320" s="2"/>
      <c r="AZ320" s="3"/>
      <c r="BA320" s="2"/>
      <c r="BB320" s="3"/>
      <c r="BC320" s="2"/>
    </row>
    <row r="321" spans="41:55" x14ac:dyDescent="0.2">
      <c r="AO321" s="2"/>
      <c r="AP321" s="3"/>
      <c r="AQ321" s="2"/>
      <c r="AY321" s="2"/>
      <c r="AZ321" s="3"/>
      <c r="BA321" s="2"/>
      <c r="BB321" s="3"/>
      <c r="BC321" s="2"/>
    </row>
    <row r="322" spans="41:55" x14ac:dyDescent="0.2">
      <c r="AO322" s="2"/>
      <c r="AP322" s="3"/>
      <c r="AQ322" s="2"/>
      <c r="AY322" s="2"/>
      <c r="AZ322" s="3"/>
      <c r="BA322" s="2"/>
      <c r="BB322" s="3"/>
      <c r="BC322" s="2"/>
    </row>
    <row r="323" spans="41:55" x14ac:dyDescent="0.2">
      <c r="AO323" s="2"/>
      <c r="AP323" s="3"/>
      <c r="AQ323" s="2"/>
      <c r="AY323" s="2"/>
      <c r="AZ323" s="3"/>
      <c r="BA323" s="2"/>
      <c r="BB323" s="3"/>
      <c r="BC323" s="2"/>
    </row>
    <row r="324" spans="41:55" x14ac:dyDescent="0.2">
      <c r="AO324" s="2"/>
      <c r="AP324" s="3"/>
      <c r="AQ324" s="2"/>
      <c r="AY324" s="2"/>
      <c r="AZ324" s="3"/>
      <c r="BA324" s="2"/>
      <c r="BB324" s="3"/>
      <c r="BC324" s="2"/>
    </row>
    <row r="325" spans="41:55" x14ac:dyDescent="0.2">
      <c r="AO325" s="2"/>
      <c r="AP325" s="3"/>
      <c r="AQ325" s="2"/>
      <c r="AY325" s="2"/>
      <c r="AZ325" s="3"/>
      <c r="BA325" s="2"/>
      <c r="BB325" s="3"/>
      <c r="BC325" s="2"/>
    </row>
    <row r="326" spans="41:55" x14ac:dyDescent="0.2">
      <c r="AO326" s="2"/>
      <c r="AP326" s="3"/>
      <c r="AQ326" s="2"/>
      <c r="AY326" s="2"/>
      <c r="AZ326" s="3"/>
      <c r="BA326" s="2"/>
      <c r="BB326" s="3"/>
      <c r="BC326" s="2"/>
    </row>
    <row r="327" spans="41:55" x14ac:dyDescent="0.2">
      <c r="AO327" s="2"/>
      <c r="AP327" s="3"/>
      <c r="AQ327" s="2"/>
      <c r="AY327" s="2"/>
      <c r="AZ327" s="3"/>
      <c r="BA327" s="2"/>
      <c r="BB327" s="3"/>
      <c r="BC327" s="2"/>
    </row>
    <row r="328" spans="41:55" x14ac:dyDescent="0.2">
      <c r="AO328" s="2"/>
      <c r="AP328" s="3"/>
      <c r="AQ328" s="2"/>
      <c r="AY328" s="2"/>
      <c r="AZ328" s="3"/>
      <c r="BA328" s="2"/>
      <c r="BB328" s="3"/>
      <c r="BC328" s="2"/>
    </row>
    <row r="329" spans="41:55" x14ac:dyDescent="0.2">
      <c r="AO329" s="2"/>
      <c r="AP329" s="3"/>
      <c r="AQ329" s="2"/>
      <c r="AY329" s="2"/>
      <c r="AZ329" s="3"/>
      <c r="BA329" s="2"/>
      <c r="BB329" s="3"/>
      <c r="BC329" s="2"/>
    </row>
    <row r="330" spans="41:55" x14ac:dyDescent="0.2">
      <c r="AO330" s="2"/>
      <c r="AP330" s="3"/>
      <c r="AQ330" s="2"/>
      <c r="AY330" s="2"/>
      <c r="AZ330" s="3"/>
      <c r="BA330" s="2"/>
      <c r="BB330" s="3"/>
      <c r="BC330" s="2"/>
    </row>
    <row r="331" spans="41:55" x14ac:dyDescent="0.2">
      <c r="AO331" s="2"/>
      <c r="AP331" s="3"/>
      <c r="AQ331" s="2"/>
      <c r="AY331" s="2"/>
      <c r="AZ331" s="3"/>
      <c r="BA331" s="2"/>
      <c r="BB331" s="3"/>
      <c r="BC331" s="2"/>
    </row>
    <row r="332" spans="41:55" x14ac:dyDescent="0.2">
      <c r="AO332" s="2"/>
      <c r="AP332" s="3"/>
      <c r="AQ332" s="2"/>
      <c r="AY332" s="2"/>
      <c r="AZ332" s="3"/>
      <c r="BA332" s="2"/>
      <c r="BB332" s="3"/>
      <c r="BC332" s="2"/>
    </row>
    <row r="333" spans="41:55" x14ac:dyDescent="0.2">
      <c r="AO333" s="2"/>
      <c r="AP333" s="3"/>
      <c r="AQ333" s="2"/>
      <c r="AY333" s="2"/>
      <c r="AZ333" s="3"/>
      <c r="BA333" s="2"/>
      <c r="BB333" s="3"/>
      <c r="BC333" s="2"/>
    </row>
    <row r="334" spans="41:55" x14ac:dyDescent="0.2">
      <c r="AO334" s="2"/>
      <c r="AP334" s="3"/>
      <c r="AQ334" s="2"/>
      <c r="AY334" s="2"/>
      <c r="AZ334" s="3"/>
      <c r="BA334" s="2"/>
      <c r="BB334" s="3"/>
      <c r="BC334" s="2"/>
    </row>
    <row r="335" spans="41:55" x14ac:dyDescent="0.2">
      <c r="AO335" s="2"/>
      <c r="AP335" s="3"/>
      <c r="AQ335" s="2"/>
      <c r="AY335" s="2"/>
      <c r="AZ335" s="3"/>
      <c r="BA335" s="2"/>
      <c r="BB335" s="3"/>
      <c r="BC335" s="2"/>
    </row>
    <row r="336" spans="41:55" x14ac:dyDescent="0.2">
      <c r="AO336" s="2"/>
      <c r="AP336" s="3"/>
      <c r="AQ336" s="2"/>
      <c r="AY336" s="2"/>
      <c r="AZ336" s="3"/>
      <c r="BA336" s="2"/>
      <c r="BB336" s="3"/>
      <c r="BC336" s="2"/>
    </row>
    <row r="337" spans="41:55" x14ac:dyDescent="0.2">
      <c r="AO337" s="2"/>
      <c r="AP337" s="3"/>
      <c r="AQ337" s="2"/>
      <c r="AY337" s="2"/>
      <c r="AZ337" s="3"/>
      <c r="BA337" s="2"/>
      <c r="BB337" s="3"/>
      <c r="BC337" s="2"/>
    </row>
    <row r="338" spans="41:55" x14ac:dyDescent="0.2">
      <c r="AO338" s="2"/>
      <c r="AP338" s="3"/>
      <c r="AQ338" s="2"/>
      <c r="AY338" s="2"/>
      <c r="AZ338" s="3"/>
      <c r="BA338" s="2"/>
      <c r="BB338" s="3"/>
      <c r="BC338" s="2"/>
    </row>
    <row r="339" spans="41:55" x14ac:dyDescent="0.2">
      <c r="AO339" s="2"/>
      <c r="AP339" s="3"/>
      <c r="AQ339" s="2"/>
      <c r="AY339" s="2"/>
      <c r="AZ339" s="3"/>
      <c r="BA339" s="2"/>
      <c r="BB339" s="3"/>
      <c r="BC339" s="2"/>
    </row>
    <row r="340" spans="41:55" x14ac:dyDescent="0.2">
      <c r="AO340" s="2"/>
      <c r="AP340" s="3"/>
      <c r="AQ340" s="2"/>
      <c r="AY340" s="2"/>
      <c r="AZ340" s="3"/>
      <c r="BA340" s="2"/>
      <c r="BB340" s="3"/>
      <c r="BC340" s="2"/>
    </row>
    <row r="341" spans="41:55" x14ac:dyDescent="0.2">
      <c r="AO341" s="2"/>
      <c r="AP341" s="3"/>
      <c r="AQ341" s="2"/>
      <c r="AY341" s="2"/>
      <c r="AZ341" s="3"/>
      <c r="BA341" s="2"/>
      <c r="BB341" s="3"/>
      <c r="BC341" s="2"/>
    </row>
    <row r="342" spans="41:55" x14ac:dyDescent="0.2">
      <c r="AO342" s="2"/>
      <c r="AP342" s="3"/>
      <c r="AQ342" s="2"/>
      <c r="AY342" s="2"/>
      <c r="AZ342" s="3"/>
      <c r="BA342" s="2"/>
      <c r="BB342" s="3"/>
      <c r="BC342" s="2"/>
    </row>
    <row r="343" spans="41:55" x14ac:dyDescent="0.2">
      <c r="AO343" s="2"/>
      <c r="AP343" s="3"/>
      <c r="AQ343" s="2"/>
      <c r="AY343" s="2"/>
      <c r="AZ343" s="3"/>
      <c r="BA343" s="2"/>
      <c r="BB343" s="3"/>
      <c r="BC343" s="2"/>
    </row>
    <row r="344" spans="41:55" x14ac:dyDescent="0.2">
      <c r="AO344" s="2"/>
      <c r="AP344" s="3"/>
      <c r="AQ344" s="2"/>
      <c r="AY344" s="2"/>
      <c r="AZ344" s="3"/>
      <c r="BA344" s="2"/>
      <c r="BB344" s="3"/>
      <c r="BC344" s="2"/>
    </row>
    <row r="345" spans="41:55" x14ac:dyDescent="0.2">
      <c r="AO345" s="2"/>
      <c r="AP345" s="3"/>
      <c r="AQ345" s="2"/>
      <c r="AY345" s="2"/>
      <c r="AZ345" s="3"/>
      <c r="BA345" s="2"/>
      <c r="BB345" s="3"/>
      <c r="BC345" s="2"/>
    </row>
    <row r="346" spans="41:55" x14ac:dyDescent="0.2">
      <c r="AO346" s="2"/>
      <c r="AP346" s="3"/>
      <c r="AQ346" s="2"/>
      <c r="AY346" s="2"/>
      <c r="AZ346" s="3"/>
      <c r="BA346" s="2"/>
      <c r="BB346" s="3"/>
      <c r="BC346" s="2"/>
    </row>
    <row r="347" spans="41:55" x14ac:dyDescent="0.2">
      <c r="AO347" s="2"/>
      <c r="AP347" s="3"/>
      <c r="AQ347" s="2"/>
      <c r="AY347" s="2"/>
      <c r="AZ347" s="3"/>
      <c r="BA347" s="2"/>
      <c r="BB347" s="3"/>
      <c r="BC347" s="2"/>
    </row>
    <row r="348" spans="41:55" x14ac:dyDescent="0.2">
      <c r="AO348" s="2"/>
      <c r="AP348" s="3"/>
      <c r="AQ348" s="2"/>
      <c r="AY348" s="2"/>
      <c r="AZ348" s="3"/>
      <c r="BA348" s="2"/>
      <c r="BB348" s="3"/>
      <c r="BC348" s="2"/>
    </row>
    <row r="349" spans="41:55" x14ac:dyDescent="0.2">
      <c r="AO349" s="2"/>
      <c r="AP349" s="3"/>
      <c r="AQ349" s="2"/>
      <c r="AY349" s="2"/>
      <c r="AZ349" s="3"/>
      <c r="BA349" s="2"/>
      <c r="BB349" s="3"/>
      <c r="BC349" s="2"/>
    </row>
    <row r="350" spans="41:55" x14ac:dyDescent="0.2">
      <c r="AO350" s="2"/>
      <c r="AP350" s="3"/>
      <c r="AQ350" s="2"/>
      <c r="AY350" s="2"/>
      <c r="AZ350" s="3"/>
      <c r="BA350" s="2"/>
      <c r="BB350" s="3"/>
      <c r="BC350" s="2"/>
    </row>
    <row r="351" spans="41:55" x14ac:dyDescent="0.2">
      <c r="AO351" s="2"/>
      <c r="AP351" s="3"/>
      <c r="AQ351" s="2"/>
      <c r="AY351" s="2"/>
      <c r="AZ351" s="3"/>
      <c r="BA351" s="2"/>
      <c r="BB351" s="3"/>
      <c r="BC351" s="2"/>
    </row>
    <row r="352" spans="41:55" x14ac:dyDescent="0.2">
      <c r="AO352" s="2"/>
      <c r="AP352" s="3"/>
      <c r="AQ352" s="2"/>
      <c r="AY352" s="2"/>
      <c r="AZ352" s="3"/>
      <c r="BA352" s="2"/>
      <c r="BB352" s="3"/>
      <c r="BC352" s="2"/>
    </row>
    <row r="353" spans="41:55" x14ac:dyDescent="0.2">
      <c r="AO353" s="2"/>
      <c r="AP353" s="3"/>
      <c r="AQ353" s="2"/>
      <c r="AY353" s="2"/>
      <c r="AZ353" s="3"/>
      <c r="BA353" s="2"/>
      <c r="BB353" s="3"/>
      <c r="BC353" s="2"/>
    </row>
    <row r="354" spans="41:55" x14ac:dyDescent="0.2">
      <c r="AO354" s="2"/>
      <c r="AP354" s="3"/>
      <c r="AQ354" s="2"/>
      <c r="AY354" s="2"/>
      <c r="AZ354" s="3"/>
      <c r="BA354" s="2"/>
      <c r="BB354" s="3"/>
      <c r="BC354" s="2"/>
    </row>
    <row r="355" spans="41:55" x14ac:dyDescent="0.2">
      <c r="AO355" s="2"/>
      <c r="AP355" s="3"/>
      <c r="AQ355" s="2"/>
      <c r="AY355" s="2"/>
      <c r="AZ355" s="3"/>
      <c r="BA355" s="2"/>
      <c r="BB355" s="3"/>
      <c r="BC355" s="2"/>
    </row>
    <row r="356" spans="41:55" x14ac:dyDescent="0.2">
      <c r="AO356" s="2"/>
      <c r="AP356" s="3"/>
      <c r="AQ356" s="2"/>
      <c r="AY356" s="2"/>
      <c r="AZ356" s="3"/>
      <c r="BA356" s="2"/>
      <c r="BB356" s="3"/>
      <c r="BC356" s="2"/>
    </row>
    <row r="357" spans="41:55" x14ac:dyDescent="0.2">
      <c r="AO357" s="2"/>
      <c r="AP357" s="3"/>
      <c r="AQ357" s="2"/>
      <c r="AY357" s="2"/>
      <c r="AZ357" s="3"/>
      <c r="BA357" s="2"/>
      <c r="BB357" s="3"/>
      <c r="BC357" s="2"/>
    </row>
    <row r="358" spans="41:55" x14ac:dyDescent="0.2">
      <c r="AO358" s="2"/>
      <c r="AP358" s="3"/>
      <c r="AQ358" s="2"/>
      <c r="AY358" s="2"/>
      <c r="AZ358" s="3"/>
      <c r="BA358" s="2"/>
      <c r="BB358" s="3"/>
      <c r="BC358" s="2"/>
    </row>
    <row r="359" spans="41:55" x14ac:dyDescent="0.2">
      <c r="AO359" s="2"/>
      <c r="AP359" s="3"/>
      <c r="AQ359" s="2"/>
      <c r="AY359" s="2"/>
      <c r="AZ359" s="3"/>
      <c r="BA359" s="2"/>
      <c r="BB359" s="3"/>
      <c r="BC359" s="2"/>
    </row>
    <row r="360" spans="41:55" x14ac:dyDescent="0.2">
      <c r="AO360" s="2"/>
      <c r="AP360" s="3"/>
      <c r="AQ360" s="2"/>
      <c r="AY360" s="2"/>
      <c r="AZ360" s="3"/>
      <c r="BA360" s="2"/>
      <c r="BB360" s="3"/>
      <c r="BC360" s="2"/>
    </row>
    <row r="361" spans="41:55" x14ac:dyDescent="0.2">
      <c r="AO361" s="2"/>
      <c r="AP361" s="3"/>
      <c r="AQ361" s="2"/>
      <c r="AY361" s="2"/>
      <c r="AZ361" s="3"/>
      <c r="BA361" s="2"/>
      <c r="BB361" s="3"/>
      <c r="BC361" s="2"/>
    </row>
    <row r="362" spans="41:55" x14ac:dyDescent="0.2">
      <c r="AO362" s="2"/>
      <c r="AP362" s="3"/>
      <c r="AQ362" s="2"/>
      <c r="AY362" s="2"/>
      <c r="AZ362" s="3"/>
      <c r="BA362" s="2"/>
      <c r="BB362" s="3"/>
      <c r="BC362" s="2"/>
    </row>
    <row r="363" spans="41:55" x14ac:dyDescent="0.2">
      <c r="AO363" s="2"/>
      <c r="AP363" s="3"/>
      <c r="AQ363" s="2"/>
      <c r="AY363" s="2"/>
      <c r="AZ363" s="3"/>
      <c r="BA363" s="2"/>
      <c r="BB363" s="3"/>
      <c r="BC363" s="2"/>
    </row>
    <row r="364" spans="41:55" x14ac:dyDescent="0.2">
      <c r="AO364" s="2"/>
      <c r="AP364" s="3"/>
      <c r="AQ364" s="2"/>
      <c r="AY364" s="2"/>
      <c r="AZ364" s="3"/>
      <c r="BA364" s="2"/>
      <c r="BB364" s="3"/>
      <c r="BC364" s="2"/>
    </row>
    <row r="365" spans="41:55" x14ac:dyDescent="0.2">
      <c r="AO365" s="2"/>
      <c r="AP365" s="3"/>
      <c r="AQ365" s="2"/>
      <c r="AY365" s="2"/>
      <c r="AZ365" s="3"/>
      <c r="BA365" s="2"/>
      <c r="BB365" s="3"/>
      <c r="BC365" s="2"/>
    </row>
    <row r="366" spans="41:55" x14ac:dyDescent="0.2">
      <c r="AO366" s="2"/>
      <c r="AP366" s="3"/>
      <c r="AQ366" s="2"/>
      <c r="AY366" s="2"/>
      <c r="AZ366" s="3"/>
      <c r="BA366" s="2"/>
      <c r="BB366" s="3"/>
      <c r="BC366" s="2"/>
    </row>
    <row r="367" spans="41:55" x14ac:dyDescent="0.2">
      <c r="AO367" s="2"/>
      <c r="AP367" s="3"/>
      <c r="AQ367" s="2"/>
      <c r="AY367" s="2"/>
      <c r="AZ367" s="3"/>
      <c r="BA367" s="2"/>
      <c r="BB367" s="3"/>
      <c r="BC367" s="2"/>
    </row>
    <row r="368" spans="41:55" x14ac:dyDescent="0.2">
      <c r="AO368" s="2"/>
      <c r="AP368" s="3"/>
      <c r="AQ368" s="2"/>
      <c r="AY368" s="2"/>
      <c r="AZ368" s="3"/>
      <c r="BA368" s="2"/>
      <c r="BB368" s="3"/>
      <c r="BC368" s="2"/>
    </row>
    <row r="369" spans="41:55" x14ac:dyDescent="0.2">
      <c r="AO369" s="2"/>
      <c r="AP369" s="3"/>
      <c r="AQ369" s="2"/>
      <c r="AY369" s="2"/>
      <c r="AZ369" s="3"/>
      <c r="BA369" s="2"/>
      <c r="BB369" s="3"/>
      <c r="BC369" s="2"/>
    </row>
    <row r="370" spans="41:55" x14ac:dyDescent="0.2">
      <c r="AO370" s="2"/>
      <c r="AP370" s="3"/>
      <c r="AQ370" s="2"/>
      <c r="AY370" s="2"/>
      <c r="AZ370" s="3"/>
      <c r="BA370" s="2"/>
      <c r="BB370" s="3"/>
      <c r="BC370" s="2"/>
    </row>
    <row r="371" spans="41:55" x14ac:dyDescent="0.2">
      <c r="AO371" s="2"/>
      <c r="AP371" s="3"/>
      <c r="AQ371" s="2"/>
      <c r="AY371" s="2"/>
      <c r="AZ371" s="3"/>
      <c r="BA371" s="2"/>
      <c r="BB371" s="3"/>
      <c r="BC371" s="2"/>
    </row>
    <row r="372" spans="41:55" x14ac:dyDescent="0.2">
      <c r="AO372" s="2"/>
      <c r="AP372" s="3"/>
      <c r="AQ372" s="2"/>
      <c r="AY372" s="2"/>
      <c r="AZ372" s="3"/>
      <c r="BA372" s="2"/>
      <c r="BB372" s="3"/>
      <c r="BC372" s="2"/>
    </row>
    <row r="373" spans="41:55" x14ac:dyDescent="0.2">
      <c r="AO373" s="2"/>
      <c r="AP373" s="3"/>
      <c r="AQ373" s="2"/>
      <c r="AY373" s="2"/>
      <c r="AZ373" s="3"/>
      <c r="BA373" s="2"/>
      <c r="BB373" s="3"/>
      <c r="BC373" s="2"/>
    </row>
    <row r="374" spans="41:55" x14ac:dyDescent="0.2">
      <c r="AO374" s="2"/>
      <c r="AP374" s="3"/>
      <c r="AQ374" s="2"/>
      <c r="AY374" s="2"/>
      <c r="AZ374" s="3"/>
      <c r="BA374" s="2"/>
      <c r="BB374" s="3"/>
      <c r="BC374" s="2"/>
    </row>
    <row r="375" spans="41:55" x14ac:dyDescent="0.2">
      <c r="AO375" s="2"/>
      <c r="AP375" s="3"/>
      <c r="AQ375" s="2"/>
      <c r="AY375" s="2"/>
      <c r="AZ375" s="3"/>
      <c r="BA375" s="2"/>
      <c r="BB375" s="3"/>
      <c r="BC375" s="2"/>
    </row>
    <row r="376" spans="41:55" x14ac:dyDescent="0.2">
      <c r="AO376" s="2"/>
      <c r="AP376" s="3"/>
      <c r="AQ376" s="2"/>
      <c r="AY376" s="2"/>
      <c r="AZ376" s="3"/>
      <c r="BA376" s="2"/>
      <c r="BB376" s="3"/>
      <c r="BC376" s="2"/>
    </row>
    <row r="377" spans="41:55" x14ac:dyDescent="0.2">
      <c r="AO377" s="2"/>
      <c r="AP377" s="3"/>
      <c r="AQ377" s="2"/>
      <c r="AY377" s="2"/>
      <c r="AZ377" s="3"/>
      <c r="BA377" s="2"/>
      <c r="BB377" s="3"/>
      <c r="BC377" s="2"/>
    </row>
    <row r="378" spans="41:55" x14ac:dyDescent="0.2">
      <c r="AO378" s="2"/>
      <c r="AP378" s="3"/>
      <c r="AQ378" s="2"/>
      <c r="AY378" s="2"/>
      <c r="AZ378" s="3"/>
      <c r="BA378" s="2"/>
      <c r="BB378" s="3"/>
      <c r="BC378" s="2"/>
    </row>
    <row r="379" spans="41:55" x14ac:dyDescent="0.2">
      <c r="AO379" s="2"/>
      <c r="AP379" s="3"/>
      <c r="AQ379" s="2"/>
      <c r="AY379" s="2"/>
      <c r="AZ379" s="3"/>
      <c r="BA379" s="2"/>
      <c r="BB379" s="3"/>
      <c r="BC379" s="2"/>
    </row>
    <row r="380" spans="41:55" x14ac:dyDescent="0.2">
      <c r="AO380" s="2"/>
      <c r="AP380" s="3"/>
      <c r="AQ380" s="2"/>
      <c r="AY380" s="2"/>
      <c r="AZ380" s="3"/>
      <c r="BA380" s="2"/>
      <c r="BB380" s="3"/>
      <c r="BC380" s="2"/>
    </row>
    <row r="381" spans="41:55" x14ac:dyDescent="0.2">
      <c r="AO381" s="2"/>
      <c r="AP381" s="3"/>
      <c r="AQ381" s="2"/>
      <c r="AY381" s="2"/>
      <c r="AZ381" s="3"/>
      <c r="BA381" s="2"/>
      <c r="BB381" s="3"/>
      <c r="BC381" s="2"/>
    </row>
    <row r="382" spans="41:55" x14ac:dyDescent="0.2">
      <c r="AO382" s="2"/>
      <c r="AP382" s="3"/>
      <c r="AQ382" s="2"/>
      <c r="AY382" s="2"/>
      <c r="AZ382" s="3"/>
      <c r="BA382" s="2"/>
      <c r="BB382" s="3"/>
      <c r="BC382" s="2"/>
    </row>
    <row r="383" spans="41:55" x14ac:dyDescent="0.2">
      <c r="AO383" s="2"/>
      <c r="AP383" s="3"/>
      <c r="AQ383" s="2"/>
      <c r="AY383" s="2"/>
      <c r="AZ383" s="3"/>
      <c r="BA383" s="2"/>
      <c r="BB383" s="3"/>
      <c r="BC383" s="2"/>
    </row>
    <row r="384" spans="41:55" x14ac:dyDescent="0.2">
      <c r="AO384" s="2"/>
      <c r="AP384" s="3"/>
      <c r="AQ384" s="2"/>
      <c r="AY384" s="2"/>
      <c r="AZ384" s="3"/>
      <c r="BA384" s="2"/>
      <c r="BB384" s="3"/>
      <c r="BC384" s="2"/>
    </row>
    <row r="385" spans="41:55" x14ac:dyDescent="0.2">
      <c r="AO385" s="2"/>
      <c r="AP385" s="3"/>
      <c r="AQ385" s="2"/>
      <c r="AY385" s="2"/>
      <c r="AZ385" s="3"/>
      <c r="BA385" s="2"/>
      <c r="BB385" s="3"/>
      <c r="BC385" s="2"/>
    </row>
    <row r="386" spans="41:55" x14ac:dyDescent="0.2">
      <c r="AO386" s="2"/>
      <c r="AP386" s="3"/>
      <c r="AQ386" s="2"/>
      <c r="AY386" s="2"/>
      <c r="AZ386" s="3"/>
      <c r="BA386" s="2"/>
      <c r="BB386" s="3"/>
      <c r="BC386" s="2"/>
    </row>
    <row r="387" spans="41:55" x14ac:dyDescent="0.2">
      <c r="AO387" s="2"/>
      <c r="AP387" s="3"/>
      <c r="AQ387" s="2"/>
      <c r="AY387" s="2"/>
      <c r="AZ387" s="3"/>
      <c r="BA387" s="2"/>
      <c r="BB387" s="3"/>
      <c r="BC387" s="2"/>
    </row>
    <row r="388" spans="41:55" x14ac:dyDescent="0.2">
      <c r="AO388" s="2"/>
      <c r="AP388" s="3"/>
      <c r="AQ388" s="2"/>
      <c r="AY388" s="2"/>
      <c r="AZ388" s="3"/>
      <c r="BA388" s="2"/>
      <c r="BB388" s="3"/>
      <c r="BC388" s="2"/>
    </row>
    <row r="389" spans="41:55" x14ac:dyDescent="0.2">
      <c r="AO389" s="2"/>
      <c r="AP389" s="3"/>
      <c r="AQ389" s="2"/>
      <c r="AY389" s="2"/>
      <c r="AZ389" s="3"/>
      <c r="BA389" s="2"/>
      <c r="BB389" s="3"/>
      <c r="BC389" s="2"/>
    </row>
    <row r="390" spans="41:55" x14ac:dyDescent="0.2">
      <c r="AO390" s="2"/>
      <c r="AP390" s="3"/>
      <c r="AQ390" s="2"/>
      <c r="AY390" s="2"/>
      <c r="AZ390" s="3"/>
      <c r="BA390" s="2"/>
      <c r="BB390" s="3"/>
      <c r="BC390" s="2"/>
    </row>
    <row r="391" spans="41:55" x14ac:dyDescent="0.2">
      <c r="AO391" s="2"/>
      <c r="AP391" s="3"/>
      <c r="AQ391" s="2"/>
      <c r="AY391" s="2"/>
      <c r="AZ391" s="3"/>
      <c r="BA391" s="2"/>
      <c r="BB391" s="3"/>
      <c r="BC391" s="2"/>
    </row>
    <row r="392" spans="41:55" x14ac:dyDescent="0.2">
      <c r="AO392" s="2"/>
      <c r="AP392" s="3"/>
      <c r="AQ392" s="2"/>
      <c r="AY392" s="2"/>
      <c r="AZ392" s="3"/>
      <c r="BA392" s="2"/>
      <c r="BB392" s="3"/>
      <c r="BC392" s="2"/>
    </row>
    <row r="393" spans="41:55" x14ac:dyDescent="0.2">
      <c r="AO393" s="2"/>
      <c r="AP393" s="3"/>
      <c r="AQ393" s="2"/>
      <c r="AY393" s="2"/>
      <c r="AZ393" s="3"/>
      <c r="BA393" s="2"/>
      <c r="BB393" s="3"/>
      <c r="BC393" s="2"/>
    </row>
    <row r="394" spans="41:55" x14ac:dyDescent="0.2">
      <c r="AO394" s="2"/>
      <c r="AP394" s="3"/>
      <c r="AQ394" s="2"/>
      <c r="AY394" s="2"/>
      <c r="AZ394" s="3"/>
      <c r="BA394" s="2"/>
      <c r="BB394" s="3"/>
      <c r="BC394" s="2"/>
    </row>
    <row r="395" spans="41:55" x14ac:dyDescent="0.2">
      <c r="AO395" s="2"/>
      <c r="AP395" s="3"/>
      <c r="AQ395" s="2"/>
      <c r="AY395" s="2"/>
      <c r="AZ395" s="3"/>
      <c r="BA395" s="2"/>
      <c r="BB395" s="3"/>
      <c r="BC395" s="2"/>
    </row>
    <row r="396" spans="41:55" x14ac:dyDescent="0.2">
      <c r="AO396" s="2"/>
      <c r="AP396" s="3"/>
      <c r="AQ396" s="2"/>
      <c r="AY396" s="2"/>
      <c r="AZ396" s="3"/>
      <c r="BA396" s="2"/>
      <c r="BB396" s="3"/>
      <c r="BC396" s="2"/>
    </row>
    <row r="397" spans="41:55" x14ac:dyDescent="0.2">
      <c r="AO397" s="2"/>
      <c r="AP397" s="3"/>
      <c r="AQ397" s="2"/>
      <c r="AY397" s="2"/>
      <c r="AZ397" s="3"/>
      <c r="BA397" s="2"/>
      <c r="BB397" s="3"/>
      <c r="BC397" s="2"/>
    </row>
    <row r="398" spans="41:55" x14ac:dyDescent="0.2">
      <c r="AO398" s="2"/>
      <c r="AP398" s="3"/>
      <c r="AQ398" s="2"/>
      <c r="AY398" s="2"/>
      <c r="AZ398" s="3"/>
      <c r="BA398" s="2"/>
      <c r="BB398" s="3"/>
      <c r="BC398" s="2"/>
    </row>
    <row r="399" spans="41:55" x14ac:dyDescent="0.2">
      <c r="AO399" s="2"/>
      <c r="AP399" s="3"/>
      <c r="AQ399" s="2"/>
      <c r="AY399" s="2"/>
      <c r="AZ399" s="3"/>
      <c r="BA399" s="2"/>
      <c r="BB399" s="3"/>
      <c r="BC399" s="2"/>
    </row>
    <row r="400" spans="41:55" x14ac:dyDescent="0.2">
      <c r="AO400" s="2"/>
      <c r="AP400" s="3"/>
      <c r="AQ400" s="2"/>
      <c r="AY400" s="2"/>
      <c r="AZ400" s="3"/>
      <c r="BA400" s="2"/>
      <c r="BB400" s="3"/>
      <c r="BC400" s="2"/>
    </row>
    <row r="401" spans="41:55" x14ac:dyDescent="0.2">
      <c r="AO401" s="2"/>
      <c r="AP401" s="3"/>
      <c r="AQ401" s="2"/>
      <c r="AY401" s="2"/>
      <c r="AZ401" s="3"/>
      <c r="BA401" s="2"/>
      <c r="BB401" s="3"/>
      <c r="BC401" s="2"/>
    </row>
    <row r="402" spans="41:55" x14ac:dyDescent="0.2">
      <c r="AO402" s="2"/>
      <c r="AP402" s="3"/>
      <c r="AQ402" s="2"/>
      <c r="AY402" s="2"/>
      <c r="AZ402" s="3"/>
      <c r="BA402" s="2"/>
      <c r="BB402" s="3"/>
      <c r="BC402" s="2"/>
    </row>
    <row r="403" spans="41:55" x14ac:dyDescent="0.2">
      <c r="AO403" s="2"/>
      <c r="AP403" s="3"/>
      <c r="AQ403" s="2"/>
      <c r="AY403" s="2"/>
      <c r="AZ403" s="3"/>
      <c r="BA403" s="2"/>
      <c r="BB403" s="3"/>
      <c r="BC403" s="2"/>
    </row>
    <row r="404" spans="41:55" x14ac:dyDescent="0.2">
      <c r="AO404" s="2"/>
      <c r="AP404" s="3"/>
      <c r="AQ404" s="2"/>
      <c r="AY404" s="2"/>
      <c r="AZ404" s="3"/>
      <c r="BA404" s="2"/>
      <c r="BB404" s="3"/>
      <c r="BC404" s="2"/>
    </row>
    <row r="405" spans="41:55" x14ac:dyDescent="0.2">
      <c r="AO405" s="2"/>
      <c r="AP405" s="3"/>
      <c r="AQ405" s="2"/>
      <c r="AY405" s="2"/>
      <c r="AZ405" s="3"/>
      <c r="BA405" s="2"/>
      <c r="BB405" s="3"/>
      <c r="BC405" s="2"/>
    </row>
    <row r="406" spans="41:55" x14ac:dyDescent="0.2">
      <c r="AO406" s="2"/>
      <c r="AP406" s="3"/>
      <c r="AQ406" s="2"/>
      <c r="AY406" s="2"/>
      <c r="AZ406" s="3"/>
      <c r="BA406" s="2"/>
      <c r="BB406" s="3"/>
      <c r="BC406" s="2"/>
    </row>
    <row r="407" spans="41:55" x14ac:dyDescent="0.2">
      <c r="AO407" s="2"/>
      <c r="AP407" s="3"/>
      <c r="AQ407" s="2"/>
      <c r="AY407" s="2"/>
      <c r="AZ407" s="3"/>
      <c r="BA407" s="2"/>
      <c r="BB407" s="3"/>
      <c r="BC407" s="2"/>
    </row>
    <row r="408" spans="41:55" x14ac:dyDescent="0.2">
      <c r="AO408" s="2"/>
      <c r="AP408" s="3"/>
      <c r="AQ408" s="2"/>
      <c r="AY408" s="2"/>
      <c r="AZ408" s="3"/>
      <c r="BA408" s="2"/>
      <c r="BB408" s="3"/>
      <c r="BC408" s="2"/>
    </row>
    <row r="409" spans="41:55" x14ac:dyDescent="0.2">
      <c r="AO409" s="2"/>
      <c r="AP409" s="3"/>
      <c r="AQ409" s="2"/>
      <c r="AY409" s="2"/>
      <c r="AZ409" s="3"/>
      <c r="BA409" s="2"/>
      <c r="BB409" s="3"/>
      <c r="BC409" s="2"/>
    </row>
    <row r="410" spans="41:55" x14ac:dyDescent="0.2">
      <c r="AO410" s="2"/>
      <c r="AP410" s="3"/>
      <c r="AQ410" s="2"/>
      <c r="AY410" s="2"/>
      <c r="AZ410" s="3"/>
      <c r="BA410" s="2"/>
      <c r="BB410" s="3"/>
      <c r="BC410" s="2"/>
    </row>
    <row r="411" spans="41:55" x14ac:dyDescent="0.2">
      <c r="AO411" s="2"/>
      <c r="AP411" s="3"/>
      <c r="AQ411" s="2"/>
      <c r="AY411" s="2"/>
      <c r="AZ411" s="3"/>
      <c r="BA411" s="2"/>
      <c r="BB411" s="3"/>
      <c r="BC411" s="2"/>
    </row>
    <row r="412" spans="41:55" x14ac:dyDescent="0.2">
      <c r="AO412" s="2"/>
      <c r="AP412" s="3"/>
      <c r="AQ412" s="2"/>
      <c r="AY412" s="2"/>
      <c r="AZ412" s="3"/>
      <c r="BA412" s="2"/>
      <c r="BB412" s="3"/>
      <c r="BC412" s="2"/>
    </row>
    <row r="413" spans="41:55" x14ac:dyDescent="0.2">
      <c r="AO413" s="2"/>
      <c r="AP413" s="3"/>
      <c r="AQ413" s="2"/>
      <c r="AY413" s="2"/>
      <c r="AZ413" s="3"/>
      <c r="BA413" s="2"/>
      <c r="BB413" s="3"/>
      <c r="BC413" s="2"/>
    </row>
    <row r="414" spans="41:55" x14ac:dyDescent="0.2">
      <c r="AO414" s="2"/>
      <c r="AP414" s="3"/>
      <c r="AQ414" s="2"/>
      <c r="AY414" s="2"/>
      <c r="AZ414" s="3"/>
      <c r="BA414" s="2"/>
      <c r="BB414" s="3"/>
      <c r="BC414" s="2"/>
    </row>
    <row r="415" spans="41:55" x14ac:dyDescent="0.2">
      <c r="AO415" s="2"/>
      <c r="AP415" s="3"/>
      <c r="AQ415" s="2"/>
      <c r="AY415" s="2"/>
      <c r="AZ415" s="3"/>
      <c r="BA415" s="2"/>
      <c r="BB415" s="3"/>
      <c r="BC415" s="2"/>
    </row>
    <row r="416" spans="41:55" x14ac:dyDescent="0.2">
      <c r="AO416" s="2"/>
      <c r="AP416" s="3"/>
      <c r="AQ416" s="2"/>
      <c r="AY416" s="2"/>
      <c r="AZ416" s="3"/>
      <c r="BA416" s="2"/>
      <c r="BB416" s="3"/>
      <c r="BC416" s="2"/>
    </row>
    <row r="417" spans="41:55" x14ac:dyDescent="0.2">
      <c r="AO417" s="2"/>
      <c r="AP417" s="3"/>
      <c r="AQ417" s="2"/>
      <c r="AY417" s="2"/>
      <c r="AZ417" s="3"/>
      <c r="BA417" s="2"/>
      <c r="BB417" s="3"/>
      <c r="BC417" s="2"/>
    </row>
    <row r="418" spans="41:55" x14ac:dyDescent="0.2">
      <c r="AO418" s="2"/>
      <c r="AP418" s="3"/>
      <c r="AQ418" s="2"/>
      <c r="AY418" s="2"/>
      <c r="AZ418" s="3"/>
      <c r="BA418" s="2"/>
      <c r="BB418" s="3"/>
      <c r="BC418" s="2"/>
    </row>
    <row r="419" spans="41:55" x14ac:dyDescent="0.2">
      <c r="AO419" s="2"/>
      <c r="AP419" s="3"/>
      <c r="AQ419" s="2"/>
      <c r="AY419" s="2"/>
      <c r="AZ419" s="3"/>
      <c r="BA419" s="2"/>
      <c r="BB419" s="3"/>
      <c r="BC419" s="2"/>
    </row>
    <row r="420" spans="41:55" x14ac:dyDescent="0.2">
      <c r="AO420" s="2"/>
      <c r="AP420" s="3"/>
      <c r="AQ420" s="2"/>
      <c r="AY420" s="2"/>
      <c r="AZ420" s="3"/>
      <c r="BA420" s="2"/>
      <c r="BB420" s="3"/>
      <c r="BC420" s="2"/>
    </row>
    <row r="421" spans="41:55" x14ac:dyDescent="0.2">
      <c r="AO421" s="2"/>
      <c r="AP421" s="3"/>
      <c r="AQ421" s="2"/>
      <c r="AY421" s="2"/>
      <c r="AZ421" s="3"/>
      <c r="BA421" s="2"/>
      <c r="BB421" s="3"/>
      <c r="BC421" s="2"/>
    </row>
    <row r="422" spans="41:55" x14ac:dyDescent="0.2">
      <c r="AO422" s="2"/>
      <c r="AP422" s="3"/>
      <c r="AQ422" s="2"/>
      <c r="AY422" s="2"/>
      <c r="AZ422" s="3"/>
      <c r="BA422" s="2"/>
      <c r="BB422" s="3"/>
      <c r="BC422" s="2"/>
    </row>
    <row r="423" spans="41:55" x14ac:dyDescent="0.2">
      <c r="AO423" s="2"/>
      <c r="AP423" s="3"/>
      <c r="AQ423" s="2"/>
      <c r="AY423" s="2"/>
      <c r="AZ423" s="3"/>
      <c r="BA423" s="2"/>
      <c r="BB423" s="3"/>
      <c r="BC423" s="2"/>
    </row>
    <row r="424" spans="41:55" x14ac:dyDescent="0.2">
      <c r="AO424" s="2"/>
      <c r="AP424" s="3"/>
      <c r="AQ424" s="2"/>
      <c r="AY424" s="2"/>
      <c r="AZ424" s="3"/>
      <c r="BA424" s="2"/>
      <c r="BB424" s="3"/>
      <c r="BC424" s="2"/>
    </row>
    <row r="425" spans="41:55" x14ac:dyDescent="0.2">
      <c r="AO425" s="2"/>
      <c r="AP425" s="3"/>
      <c r="AQ425" s="2"/>
      <c r="AY425" s="2"/>
      <c r="AZ425" s="3"/>
      <c r="BA425" s="2"/>
      <c r="BB425" s="3"/>
      <c r="BC425" s="2"/>
    </row>
    <row r="426" spans="41:55" x14ac:dyDescent="0.2">
      <c r="AO426" s="2"/>
      <c r="AP426" s="3"/>
      <c r="AQ426" s="2"/>
      <c r="AY426" s="2"/>
      <c r="AZ426" s="3"/>
      <c r="BA426" s="2"/>
      <c r="BB426" s="3"/>
      <c r="BC426" s="2"/>
    </row>
    <row r="427" spans="41:55" x14ac:dyDescent="0.2">
      <c r="AO427" s="2"/>
      <c r="AP427" s="3"/>
      <c r="AQ427" s="2"/>
      <c r="AY427" s="2"/>
      <c r="AZ427" s="3"/>
      <c r="BA427" s="2"/>
      <c r="BB427" s="3"/>
      <c r="BC427" s="2"/>
    </row>
    <row r="428" spans="41:55" x14ac:dyDescent="0.2">
      <c r="AO428" s="2"/>
      <c r="AP428" s="3"/>
      <c r="AQ428" s="2"/>
      <c r="AY428" s="2"/>
      <c r="AZ428" s="3"/>
      <c r="BA428" s="2"/>
      <c r="BB428" s="3"/>
      <c r="BC428" s="2"/>
    </row>
    <row r="429" spans="41:55" x14ac:dyDescent="0.2">
      <c r="AO429" s="2"/>
      <c r="AP429" s="3"/>
      <c r="AQ429" s="2"/>
      <c r="AY429" s="2"/>
      <c r="AZ429" s="3"/>
      <c r="BA429" s="2"/>
      <c r="BB429" s="3"/>
      <c r="BC429" s="2"/>
    </row>
    <row r="430" spans="41:55" x14ac:dyDescent="0.2">
      <c r="AO430" s="2"/>
      <c r="AP430" s="3"/>
      <c r="AQ430" s="2"/>
      <c r="AY430" s="2"/>
      <c r="AZ430" s="3"/>
      <c r="BA430" s="2"/>
      <c r="BB430" s="3"/>
      <c r="BC430" s="2"/>
    </row>
    <row r="431" spans="41:55" x14ac:dyDescent="0.2">
      <c r="AO431" s="2"/>
      <c r="AP431" s="3"/>
      <c r="AQ431" s="2"/>
      <c r="AY431" s="2"/>
      <c r="AZ431" s="3"/>
      <c r="BA431" s="2"/>
      <c r="BB431" s="3"/>
      <c r="BC431" s="2"/>
    </row>
    <row r="432" spans="41:55" x14ac:dyDescent="0.2">
      <c r="AO432" s="2"/>
      <c r="AP432" s="3"/>
      <c r="AQ432" s="2"/>
      <c r="AY432" s="2"/>
      <c r="AZ432" s="3"/>
      <c r="BA432" s="2"/>
      <c r="BB432" s="3"/>
      <c r="BC432" s="2"/>
    </row>
    <row r="433" spans="41:55" x14ac:dyDescent="0.2">
      <c r="AO433" s="2"/>
      <c r="AP433" s="3"/>
      <c r="AQ433" s="2"/>
      <c r="AY433" s="2"/>
      <c r="AZ433" s="3"/>
      <c r="BA433" s="2"/>
      <c r="BB433" s="3"/>
      <c r="BC433" s="2"/>
    </row>
    <row r="434" spans="41:55" x14ac:dyDescent="0.2">
      <c r="AO434" s="2"/>
      <c r="AP434" s="3"/>
      <c r="AQ434" s="2"/>
      <c r="AY434" s="2"/>
      <c r="AZ434" s="3"/>
      <c r="BA434" s="2"/>
      <c r="BB434" s="3"/>
      <c r="BC434" s="2"/>
    </row>
    <row r="435" spans="41:55" x14ac:dyDescent="0.2">
      <c r="AO435" s="2"/>
      <c r="AP435" s="3"/>
      <c r="AQ435" s="2"/>
      <c r="AY435" s="2"/>
      <c r="AZ435" s="3"/>
      <c r="BA435" s="2"/>
      <c r="BB435" s="3"/>
      <c r="BC435" s="2"/>
    </row>
    <row r="436" spans="41:55" x14ac:dyDescent="0.2">
      <c r="AO436" s="2"/>
      <c r="AP436" s="3"/>
      <c r="AQ436" s="2"/>
      <c r="AY436" s="2"/>
      <c r="AZ436" s="3"/>
      <c r="BA436" s="2"/>
      <c r="BB436" s="3"/>
      <c r="BC436" s="2"/>
    </row>
    <row r="437" spans="41:55" x14ac:dyDescent="0.2">
      <c r="AO437" s="2"/>
      <c r="AP437" s="3"/>
      <c r="AQ437" s="2"/>
      <c r="AY437" s="2"/>
      <c r="AZ437" s="3"/>
      <c r="BA437" s="2"/>
      <c r="BB437" s="3"/>
      <c r="BC437" s="2"/>
    </row>
    <row r="438" spans="41:55" x14ac:dyDescent="0.2">
      <c r="AO438" s="2"/>
      <c r="AP438" s="3"/>
      <c r="AQ438" s="2"/>
      <c r="AY438" s="2"/>
      <c r="AZ438" s="3"/>
      <c r="BA438" s="2"/>
      <c r="BB438" s="3"/>
      <c r="BC438" s="2"/>
    </row>
    <row r="439" spans="41:55" x14ac:dyDescent="0.2">
      <c r="AO439" s="2"/>
      <c r="AP439" s="3"/>
      <c r="AQ439" s="2"/>
      <c r="AY439" s="2"/>
      <c r="AZ439" s="3"/>
      <c r="BA439" s="2"/>
      <c r="BB439" s="3"/>
      <c r="BC439" s="2"/>
    </row>
    <row r="440" spans="41:55" x14ac:dyDescent="0.2">
      <c r="AO440" s="2"/>
      <c r="AP440" s="3"/>
      <c r="AQ440" s="2"/>
      <c r="AY440" s="2"/>
      <c r="AZ440" s="3"/>
      <c r="BA440" s="2"/>
      <c r="BB440" s="3"/>
      <c r="BC440" s="2"/>
    </row>
    <row r="441" spans="41:55" x14ac:dyDescent="0.2">
      <c r="AO441" s="2"/>
      <c r="AP441" s="3"/>
      <c r="AQ441" s="2"/>
      <c r="AY441" s="2"/>
      <c r="AZ441" s="3"/>
      <c r="BA441" s="2"/>
      <c r="BB441" s="3"/>
      <c r="BC441" s="2"/>
    </row>
    <row r="442" spans="41:55" x14ac:dyDescent="0.2">
      <c r="AO442" s="2"/>
      <c r="AP442" s="3"/>
      <c r="AQ442" s="2"/>
      <c r="AY442" s="2"/>
      <c r="AZ442" s="3"/>
      <c r="BA442" s="2"/>
      <c r="BB442" s="3"/>
      <c r="BC442" s="2"/>
    </row>
    <row r="443" spans="41:55" x14ac:dyDescent="0.2">
      <c r="AO443" s="2"/>
      <c r="AP443" s="3"/>
      <c r="AQ443" s="2"/>
      <c r="AY443" s="2"/>
      <c r="AZ443" s="3"/>
      <c r="BA443" s="2"/>
      <c r="BB443" s="3"/>
      <c r="BC443" s="2"/>
    </row>
    <row r="444" spans="41:55" x14ac:dyDescent="0.2">
      <c r="AO444" s="2"/>
      <c r="AP444" s="3"/>
      <c r="AQ444" s="2"/>
      <c r="AY444" s="2"/>
      <c r="AZ444" s="3"/>
      <c r="BA444" s="2"/>
      <c r="BB444" s="3"/>
      <c r="BC444" s="2"/>
    </row>
    <row r="445" spans="41:55" x14ac:dyDescent="0.2">
      <c r="AO445" s="2"/>
      <c r="AP445" s="3"/>
      <c r="AQ445" s="2"/>
      <c r="AY445" s="2"/>
      <c r="AZ445" s="3"/>
      <c r="BA445" s="2"/>
      <c r="BB445" s="3"/>
      <c r="BC445" s="2"/>
    </row>
    <row r="446" spans="41:55" x14ac:dyDescent="0.2">
      <c r="AO446" s="2"/>
      <c r="AP446" s="3"/>
      <c r="AQ446" s="2"/>
      <c r="AY446" s="2"/>
      <c r="AZ446" s="3"/>
      <c r="BA446" s="2"/>
      <c r="BB446" s="3"/>
      <c r="BC446" s="2"/>
    </row>
    <row r="447" spans="41:55" x14ac:dyDescent="0.2">
      <c r="AO447" s="2"/>
      <c r="AP447" s="3"/>
      <c r="AQ447" s="2"/>
      <c r="AY447" s="2"/>
      <c r="AZ447" s="3"/>
      <c r="BA447" s="2"/>
      <c r="BB447" s="3"/>
      <c r="BC447" s="2"/>
    </row>
    <row r="448" spans="41:55" x14ac:dyDescent="0.2">
      <c r="AO448" s="2"/>
      <c r="AP448" s="3"/>
      <c r="AQ448" s="2"/>
      <c r="AY448" s="2"/>
      <c r="AZ448" s="3"/>
      <c r="BA448" s="2"/>
      <c r="BB448" s="3"/>
      <c r="BC448" s="2"/>
    </row>
    <row r="449" spans="41:55" x14ac:dyDescent="0.2">
      <c r="AO449" s="2"/>
      <c r="AP449" s="3"/>
      <c r="AQ449" s="2"/>
      <c r="AY449" s="2"/>
      <c r="AZ449" s="3"/>
      <c r="BA449" s="2"/>
      <c r="BB449" s="3"/>
      <c r="BC449" s="2"/>
    </row>
    <row r="450" spans="41:55" x14ac:dyDescent="0.2">
      <c r="AO450" s="2"/>
      <c r="AP450" s="3"/>
      <c r="AQ450" s="2"/>
      <c r="AY450" s="2"/>
      <c r="AZ450" s="3"/>
      <c r="BA450" s="2"/>
      <c r="BB450" s="3"/>
      <c r="BC450" s="2"/>
    </row>
    <row r="451" spans="41:55" x14ac:dyDescent="0.2">
      <c r="AO451" s="2"/>
      <c r="AP451" s="3"/>
      <c r="AQ451" s="2"/>
      <c r="AY451" s="2"/>
      <c r="AZ451" s="3"/>
      <c r="BA451" s="2"/>
      <c r="BB451" s="3"/>
      <c r="BC451" s="2"/>
    </row>
    <row r="452" spans="41:55" x14ac:dyDescent="0.2">
      <c r="AO452" s="2"/>
      <c r="AP452" s="3"/>
      <c r="AQ452" s="2"/>
      <c r="AY452" s="2"/>
      <c r="AZ452" s="3"/>
      <c r="BA452" s="2"/>
      <c r="BB452" s="3"/>
      <c r="BC452" s="2"/>
    </row>
    <row r="453" spans="41:55" x14ac:dyDescent="0.2">
      <c r="AO453" s="2"/>
      <c r="AP453" s="3"/>
      <c r="AQ453" s="2"/>
      <c r="AY453" s="2"/>
      <c r="AZ453" s="3"/>
      <c r="BA453" s="2"/>
      <c r="BB453" s="3"/>
      <c r="BC453" s="2"/>
    </row>
    <row r="454" spans="41:55" x14ac:dyDescent="0.2">
      <c r="AO454" s="2"/>
      <c r="AP454" s="3"/>
      <c r="AQ454" s="2"/>
      <c r="AY454" s="2"/>
      <c r="AZ454" s="3"/>
      <c r="BA454" s="2"/>
      <c r="BB454" s="3"/>
      <c r="BC454" s="2"/>
    </row>
    <row r="455" spans="41:55" x14ac:dyDescent="0.2">
      <c r="AO455" s="2"/>
      <c r="AP455" s="3"/>
      <c r="AQ455" s="2"/>
      <c r="AY455" s="2"/>
      <c r="AZ455" s="3"/>
      <c r="BA455" s="2"/>
      <c r="BB455" s="3"/>
      <c r="BC455" s="2"/>
    </row>
    <row r="456" spans="41:55" x14ac:dyDescent="0.2">
      <c r="AO456" s="2"/>
      <c r="AP456" s="3"/>
      <c r="AQ456" s="2"/>
      <c r="AY456" s="2"/>
      <c r="AZ456" s="3"/>
      <c r="BA456" s="2"/>
      <c r="BB456" s="3"/>
      <c r="BC456" s="2"/>
    </row>
    <row r="457" spans="41:55" x14ac:dyDescent="0.2">
      <c r="AO457" s="2"/>
      <c r="AP457" s="3"/>
      <c r="AQ457" s="2"/>
      <c r="AY457" s="2"/>
      <c r="AZ457" s="3"/>
      <c r="BA457" s="2"/>
      <c r="BB457" s="3"/>
      <c r="BC457" s="2"/>
    </row>
    <row r="458" spans="41:55" x14ac:dyDescent="0.2">
      <c r="AO458" s="2"/>
      <c r="AP458" s="3"/>
      <c r="AQ458" s="2"/>
      <c r="AY458" s="2"/>
      <c r="AZ458" s="3"/>
      <c r="BA458" s="2"/>
      <c r="BB458" s="3"/>
      <c r="BC458" s="2"/>
    </row>
    <row r="459" spans="41:55" x14ac:dyDescent="0.2">
      <c r="AO459" s="2"/>
      <c r="AP459" s="3"/>
      <c r="AQ459" s="2"/>
      <c r="AY459" s="2"/>
      <c r="AZ459" s="3"/>
      <c r="BA459" s="2"/>
      <c r="BB459" s="3"/>
      <c r="BC459" s="2"/>
    </row>
    <row r="460" spans="41:55" x14ac:dyDescent="0.2">
      <c r="AO460" s="2"/>
      <c r="AP460" s="3"/>
      <c r="AQ460" s="2"/>
      <c r="AY460" s="2"/>
      <c r="AZ460" s="3"/>
      <c r="BA460" s="2"/>
      <c r="BB460" s="3"/>
      <c r="BC460" s="2"/>
    </row>
    <row r="461" spans="41:55" x14ac:dyDescent="0.2">
      <c r="AO461" s="2"/>
      <c r="AP461" s="3"/>
      <c r="AQ461" s="2"/>
      <c r="AY461" s="2"/>
      <c r="AZ461" s="3"/>
      <c r="BA461" s="2"/>
      <c r="BB461" s="3"/>
      <c r="BC461" s="2"/>
    </row>
    <row r="462" spans="41:55" x14ac:dyDescent="0.2">
      <c r="AO462" s="2"/>
      <c r="AP462" s="3"/>
      <c r="AQ462" s="2"/>
      <c r="AY462" s="2"/>
      <c r="AZ462" s="3"/>
      <c r="BA462" s="2"/>
      <c r="BB462" s="3"/>
      <c r="BC462" s="2"/>
    </row>
    <row r="463" spans="41:55" x14ac:dyDescent="0.2">
      <c r="AO463" s="2"/>
      <c r="AP463" s="3"/>
      <c r="AQ463" s="2"/>
      <c r="AY463" s="2"/>
      <c r="AZ463" s="3"/>
      <c r="BA463" s="2"/>
      <c r="BB463" s="3"/>
      <c r="BC463" s="2"/>
    </row>
    <row r="464" spans="41:55" x14ac:dyDescent="0.2">
      <c r="AO464" s="2"/>
      <c r="AP464" s="3"/>
      <c r="AQ464" s="2"/>
      <c r="AY464" s="2"/>
      <c r="AZ464" s="3"/>
      <c r="BA464" s="2"/>
      <c r="BB464" s="3"/>
      <c r="BC464" s="2"/>
    </row>
    <row r="465" spans="41:55" x14ac:dyDescent="0.2">
      <c r="AO465" s="2"/>
      <c r="AP465" s="3"/>
      <c r="AQ465" s="2"/>
      <c r="AY465" s="2"/>
      <c r="AZ465" s="3"/>
      <c r="BA465" s="2"/>
      <c r="BB465" s="3"/>
      <c r="BC465" s="2"/>
    </row>
    <row r="466" spans="41:55" x14ac:dyDescent="0.2">
      <c r="AO466" s="2"/>
      <c r="AP466" s="3"/>
      <c r="AQ466" s="2"/>
      <c r="AY466" s="2"/>
      <c r="AZ466" s="3"/>
      <c r="BA466" s="2"/>
      <c r="BB466" s="3"/>
      <c r="BC466" s="2"/>
    </row>
    <row r="467" spans="41:55" x14ac:dyDescent="0.2">
      <c r="AO467" s="2"/>
      <c r="AP467" s="3"/>
      <c r="AQ467" s="2"/>
      <c r="AY467" s="2"/>
      <c r="AZ467" s="3"/>
      <c r="BA467" s="2"/>
      <c r="BB467" s="3"/>
      <c r="BC467" s="2"/>
    </row>
    <row r="468" spans="41:55" x14ac:dyDescent="0.2">
      <c r="AO468" s="2"/>
      <c r="AP468" s="3"/>
      <c r="AQ468" s="2"/>
      <c r="AY468" s="2"/>
      <c r="AZ468" s="3"/>
      <c r="BA468" s="2"/>
      <c r="BB468" s="3"/>
      <c r="BC468" s="2"/>
    </row>
    <row r="469" spans="41:55" x14ac:dyDescent="0.2">
      <c r="AO469" s="2"/>
      <c r="AP469" s="3"/>
      <c r="AQ469" s="2"/>
      <c r="AY469" s="2"/>
      <c r="AZ469" s="3"/>
      <c r="BA469" s="2"/>
      <c r="BB469" s="3"/>
      <c r="BC469" s="2"/>
    </row>
    <row r="470" spans="41:55" x14ac:dyDescent="0.2">
      <c r="AO470" s="2"/>
      <c r="AP470" s="3"/>
      <c r="AQ470" s="2"/>
      <c r="AY470" s="2"/>
      <c r="AZ470" s="3"/>
      <c r="BA470" s="2"/>
      <c r="BB470" s="3"/>
      <c r="BC470" s="2"/>
    </row>
    <row r="471" spans="41:55" x14ac:dyDescent="0.2">
      <c r="AO471" s="2"/>
      <c r="AP471" s="3"/>
      <c r="AQ471" s="2"/>
      <c r="AY471" s="2"/>
      <c r="AZ471" s="3"/>
      <c r="BA471" s="2"/>
      <c r="BB471" s="3"/>
      <c r="BC471" s="2"/>
    </row>
    <row r="472" spans="41:55" x14ac:dyDescent="0.2">
      <c r="AO472" s="2"/>
      <c r="AP472" s="3"/>
      <c r="AQ472" s="2"/>
      <c r="AY472" s="2"/>
      <c r="AZ472" s="3"/>
      <c r="BA472" s="2"/>
      <c r="BB472" s="3"/>
      <c r="BC472" s="2"/>
    </row>
    <row r="473" spans="41:55" x14ac:dyDescent="0.2">
      <c r="AO473" s="2"/>
      <c r="AP473" s="3"/>
      <c r="AQ473" s="2"/>
      <c r="AY473" s="2"/>
      <c r="AZ473" s="3"/>
      <c r="BA473" s="2"/>
      <c r="BB473" s="3"/>
      <c r="BC473" s="2"/>
    </row>
    <row r="474" spans="41:55" x14ac:dyDescent="0.2">
      <c r="AO474" s="2"/>
      <c r="AP474" s="3"/>
      <c r="AQ474" s="2"/>
      <c r="AY474" s="2"/>
      <c r="AZ474" s="3"/>
      <c r="BA474" s="2"/>
      <c r="BB474" s="3"/>
      <c r="BC474" s="2"/>
    </row>
    <row r="475" spans="41:55" x14ac:dyDescent="0.2">
      <c r="AO475" s="2"/>
      <c r="AP475" s="3"/>
      <c r="AQ475" s="2"/>
      <c r="AY475" s="2"/>
      <c r="AZ475" s="3"/>
      <c r="BA475" s="2"/>
      <c r="BB475" s="3"/>
      <c r="BC475" s="2"/>
    </row>
    <row r="476" spans="41:55" x14ac:dyDescent="0.2">
      <c r="AO476" s="2"/>
      <c r="AP476" s="3"/>
      <c r="AQ476" s="2"/>
      <c r="AY476" s="2"/>
      <c r="AZ476" s="3"/>
      <c r="BA476" s="2"/>
      <c r="BB476" s="3"/>
      <c r="BC476" s="2"/>
    </row>
    <row r="477" spans="41:55" x14ac:dyDescent="0.2">
      <c r="AO477" s="2"/>
      <c r="AP477" s="3"/>
      <c r="AQ477" s="2"/>
      <c r="AY477" s="2"/>
      <c r="AZ477" s="3"/>
      <c r="BA477" s="2"/>
      <c r="BB477" s="3"/>
      <c r="BC477" s="2"/>
    </row>
    <row r="478" spans="41:55" x14ac:dyDescent="0.2">
      <c r="AO478" s="2"/>
      <c r="AP478" s="3"/>
      <c r="AQ478" s="2"/>
      <c r="AY478" s="2"/>
      <c r="AZ478" s="3"/>
      <c r="BA478" s="2"/>
      <c r="BB478" s="3"/>
      <c r="BC478" s="2"/>
    </row>
    <row r="479" spans="41:55" x14ac:dyDescent="0.2">
      <c r="AO479" s="2"/>
      <c r="AP479" s="3"/>
      <c r="AQ479" s="2"/>
      <c r="AY479" s="2"/>
      <c r="AZ479" s="3"/>
      <c r="BA479" s="2"/>
      <c r="BB479" s="3"/>
      <c r="BC479" s="2"/>
    </row>
    <row r="480" spans="41:55" x14ac:dyDescent="0.2">
      <c r="AO480" s="2"/>
      <c r="AP480" s="3"/>
      <c r="AQ480" s="2"/>
      <c r="AY480" s="2"/>
      <c r="AZ480" s="3"/>
      <c r="BA480" s="2"/>
      <c r="BB480" s="3"/>
      <c r="BC480" s="2"/>
    </row>
    <row r="481" spans="41:55" x14ac:dyDescent="0.2">
      <c r="AO481" s="2"/>
      <c r="AP481" s="3"/>
      <c r="AQ481" s="2"/>
      <c r="AY481" s="2"/>
      <c r="AZ481" s="3"/>
      <c r="BA481" s="2"/>
      <c r="BB481" s="3"/>
      <c r="BC481" s="2"/>
    </row>
    <row r="482" spans="41:55" x14ac:dyDescent="0.2">
      <c r="AO482" s="2"/>
      <c r="AP482" s="3"/>
      <c r="AQ482" s="2"/>
      <c r="AY482" s="2"/>
      <c r="AZ482" s="3"/>
      <c r="BA482" s="2"/>
      <c r="BB482" s="3"/>
      <c r="BC482" s="2"/>
    </row>
    <row r="483" spans="41:55" x14ac:dyDescent="0.2">
      <c r="AO483" s="2"/>
      <c r="AP483" s="3"/>
      <c r="AQ483" s="2"/>
      <c r="AY483" s="2"/>
      <c r="AZ483" s="3"/>
      <c r="BA483" s="2"/>
      <c r="BB483" s="3"/>
      <c r="BC483" s="2"/>
    </row>
    <row r="484" spans="41:55" x14ac:dyDescent="0.2">
      <c r="AO484" s="2"/>
      <c r="AP484" s="3"/>
      <c r="AQ484" s="2"/>
      <c r="AY484" s="2"/>
      <c r="AZ484" s="3"/>
      <c r="BA484" s="2"/>
      <c r="BB484" s="3"/>
      <c r="BC484" s="2"/>
    </row>
    <row r="485" spans="41:55" x14ac:dyDescent="0.2">
      <c r="AO485" s="2"/>
      <c r="AP485" s="3"/>
      <c r="AQ485" s="2"/>
      <c r="AY485" s="2"/>
      <c r="AZ485" s="3"/>
      <c r="BA485" s="2"/>
      <c r="BB485" s="3"/>
      <c r="BC485" s="2"/>
    </row>
    <row r="486" spans="41:55" x14ac:dyDescent="0.2">
      <c r="AO486" s="2"/>
      <c r="AP486" s="3"/>
      <c r="AQ486" s="2"/>
      <c r="AY486" s="2"/>
      <c r="AZ486" s="3"/>
      <c r="BA486" s="2"/>
      <c r="BB486" s="3"/>
      <c r="BC486" s="2"/>
    </row>
    <row r="487" spans="41:55" x14ac:dyDescent="0.2">
      <c r="AO487" s="2"/>
      <c r="AP487" s="3"/>
      <c r="AQ487" s="2"/>
      <c r="AY487" s="2"/>
      <c r="AZ487" s="3"/>
      <c r="BA487" s="2"/>
      <c r="BB487" s="3"/>
      <c r="BC487" s="2"/>
    </row>
    <row r="488" spans="41:55" x14ac:dyDescent="0.2">
      <c r="AO488" s="2"/>
      <c r="AP488" s="3"/>
      <c r="AQ488" s="2"/>
      <c r="AY488" s="2"/>
      <c r="AZ488" s="3"/>
      <c r="BA488" s="2"/>
      <c r="BB488" s="3"/>
      <c r="BC488" s="2"/>
    </row>
    <row r="489" spans="41:55" x14ac:dyDescent="0.2">
      <c r="AO489" s="2"/>
      <c r="AP489" s="3"/>
      <c r="AQ489" s="2"/>
      <c r="AY489" s="2"/>
      <c r="AZ489" s="3"/>
      <c r="BA489" s="2"/>
      <c r="BB489" s="3"/>
      <c r="BC489" s="2"/>
    </row>
    <row r="490" spans="41:55" x14ac:dyDescent="0.2">
      <c r="AO490" s="2"/>
      <c r="AP490" s="3"/>
      <c r="AQ490" s="2"/>
      <c r="AY490" s="2"/>
      <c r="AZ490" s="3"/>
      <c r="BA490" s="2"/>
      <c r="BB490" s="3"/>
      <c r="BC490" s="2"/>
    </row>
    <row r="491" spans="41:55" x14ac:dyDescent="0.2">
      <c r="AO491" s="2"/>
      <c r="AP491" s="3"/>
      <c r="AQ491" s="2"/>
      <c r="AY491" s="2"/>
      <c r="AZ491" s="3"/>
      <c r="BA491" s="2"/>
      <c r="BB491" s="3"/>
      <c r="BC491" s="2"/>
    </row>
    <row r="492" spans="41:55" x14ac:dyDescent="0.2">
      <c r="AO492" s="2"/>
      <c r="AP492" s="3"/>
      <c r="AQ492" s="2"/>
      <c r="AY492" s="2"/>
      <c r="AZ492" s="3"/>
      <c r="BA492" s="2"/>
      <c r="BB492" s="3"/>
      <c r="BC492" s="2"/>
    </row>
    <row r="493" spans="41:55" x14ac:dyDescent="0.2">
      <c r="AO493" s="2"/>
      <c r="AP493" s="3"/>
      <c r="AQ493" s="2"/>
      <c r="AY493" s="2"/>
      <c r="AZ493" s="3"/>
      <c r="BA493" s="2"/>
      <c r="BB493" s="3"/>
      <c r="BC493" s="2"/>
    </row>
    <row r="494" spans="41:55" x14ac:dyDescent="0.2">
      <c r="AO494" s="2"/>
      <c r="AP494" s="3"/>
      <c r="AQ494" s="2"/>
      <c r="AY494" s="2"/>
      <c r="AZ494" s="3"/>
      <c r="BA494" s="2"/>
      <c r="BB494" s="3"/>
      <c r="BC494" s="2"/>
    </row>
    <row r="495" spans="41:55" x14ac:dyDescent="0.2">
      <c r="AO495" s="2"/>
      <c r="AP495" s="3"/>
      <c r="AQ495" s="2"/>
      <c r="AY495" s="2"/>
      <c r="AZ495" s="3"/>
      <c r="BA495" s="2"/>
      <c r="BB495" s="3"/>
      <c r="BC495" s="2"/>
    </row>
    <row r="496" spans="41:55" x14ac:dyDescent="0.2">
      <c r="AO496" s="2"/>
      <c r="AP496" s="3"/>
      <c r="AQ496" s="2"/>
      <c r="AY496" s="2"/>
      <c r="AZ496" s="3"/>
      <c r="BA496" s="2"/>
      <c r="BB496" s="3"/>
      <c r="BC496" s="2"/>
    </row>
    <row r="497" spans="41:55" x14ac:dyDescent="0.2">
      <c r="AO497" s="2"/>
      <c r="AP497" s="3"/>
      <c r="AQ497" s="2"/>
      <c r="AY497" s="2"/>
      <c r="AZ497" s="3"/>
      <c r="BA497" s="2"/>
      <c r="BB497" s="3"/>
      <c r="BC497" s="2"/>
    </row>
    <row r="498" spans="41:55" x14ac:dyDescent="0.2">
      <c r="AO498" s="2"/>
      <c r="AP498" s="3"/>
      <c r="AQ498" s="2"/>
      <c r="AY498" s="2"/>
      <c r="AZ498" s="3"/>
      <c r="BA498" s="2"/>
      <c r="BB498" s="3"/>
      <c r="BC498" s="2"/>
    </row>
    <row r="499" spans="41:55" x14ac:dyDescent="0.2">
      <c r="AO499" s="2"/>
      <c r="AP499" s="3"/>
      <c r="AQ499" s="2"/>
      <c r="AY499" s="2"/>
      <c r="AZ499" s="3"/>
      <c r="BA499" s="2"/>
      <c r="BB499" s="3"/>
      <c r="BC499" s="2"/>
    </row>
    <row r="500" spans="41:55" x14ac:dyDescent="0.2">
      <c r="AO500" s="2"/>
      <c r="AP500" s="3"/>
      <c r="AQ500" s="2"/>
      <c r="AY500" s="2"/>
      <c r="AZ500" s="3"/>
      <c r="BA500" s="2"/>
      <c r="BB500" s="3"/>
      <c r="BC500" s="2"/>
    </row>
    <row r="501" spans="41:55" x14ac:dyDescent="0.2">
      <c r="AO501" s="2"/>
      <c r="AP501" s="3"/>
      <c r="AQ501" s="2"/>
      <c r="AY501" s="2"/>
      <c r="AZ501" s="3"/>
      <c r="BA501" s="2"/>
      <c r="BB501" s="3"/>
      <c r="BC501" s="2"/>
    </row>
    <row r="502" spans="41:55" x14ac:dyDescent="0.2">
      <c r="AO502" s="2"/>
      <c r="AP502" s="3"/>
      <c r="AQ502" s="2"/>
      <c r="AY502" s="2"/>
      <c r="AZ502" s="3"/>
      <c r="BA502" s="2"/>
      <c r="BB502" s="3"/>
      <c r="BC502" s="2"/>
    </row>
    <row r="503" spans="41:55" x14ac:dyDescent="0.2">
      <c r="AO503" s="2"/>
      <c r="AP503" s="3"/>
      <c r="AQ503" s="2"/>
      <c r="AY503" s="2"/>
      <c r="AZ503" s="3"/>
      <c r="BA503" s="2"/>
      <c r="BB503" s="3"/>
      <c r="BC503" s="2"/>
    </row>
    <row r="504" spans="41:55" x14ac:dyDescent="0.2">
      <c r="AO504" s="2"/>
      <c r="AP504" s="3"/>
      <c r="AQ504" s="2"/>
      <c r="AY504" s="2"/>
      <c r="AZ504" s="3"/>
      <c r="BA504" s="2"/>
      <c r="BB504" s="3"/>
      <c r="BC504" s="2"/>
    </row>
    <row r="505" spans="41:55" x14ac:dyDescent="0.2">
      <c r="AO505" s="2"/>
      <c r="AP505" s="3"/>
      <c r="AQ505" s="2"/>
      <c r="AY505" s="2"/>
      <c r="AZ505" s="3"/>
      <c r="BA505" s="2"/>
      <c r="BB505" s="3"/>
      <c r="BC505" s="2"/>
    </row>
    <row r="506" spans="41:55" x14ac:dyDescent="0.2">
      <c r="AO506" s="2"/>
      <c r="AP506" s="3"/>
      <c r="AQ506" s="2"/>
      <c r="AY506" s="2"/>
      <c r="AZ506" s="3"/>
      <c r="BA506" s="2"/>
      <c r="BB506" s="3"/>
      <c r="BC506" s="2"/>
    </row>
    <row r="507" spans="41:55" x14ac:dyDescent="0.2">
      <c r="AO507" s="2"/>
      <c r="AP507" s="3"/>
      <c r="AQ507" s="2"/>
      <c r="AY507" s="2"/>
      <c r="AZ507" s="3"/>
      <c r="BA507" s="2"/>
      <c r="BB507" s="3"/>
      <c r="BC507" s="2"/>
    </row>
    <row r="508" spans="41:55" x14ac:dyDescent="0.2">
      <c r="AO508" s="2"/>
      <c r="AP508" s="3"/>
      <c r="AQ508" s="2"/>
      <c r="AY508" s="2"/>
      <c r="AZ508" s="3"/>
      <c r="BA508" s="2"/>
      <c r="BB508" s="3"/>
      <c r="BC508" s="2"/>
    </row>
    <row r="509" spans="41:55" x14ac:dyDescent="0.2">
      <c r="AO509" s="2"/>
      <c r="AP509" s="3"/>
      <c r="AQ509" s="2"/>
      <c r="AY509" s="2"/>
      <c r="AZ509" s="3"/>
      <c r="BA509" s="2"/>
      <c r="BB509" s="3"/>
      <c r="BC509" s="2"/>
    </row>
    <row r="510" spans="41:55" x14ac:dyDescent="0.2">
      <c r="AO510" s="2"/>
      <c r="AP510" s="3"/>
      <c r="AQ510" s="2"/>
      <c r="AY510" s="2"/>
      <c r="AZ510" s="3"/>
      <c r="BA510" s="2"/>
      <c r="BB510" s="3"/>
      <c r="BC510" s="2"/>
    </row>
    <row r="511" spans="41:55" x14ac:dyDescent="0.2">
      <c r="AO511" s="2"/>
      <c r="AP511" s="3"/>
      <c r="AQ511" s="2"/>
      <c r="AY511" s="2"/>
      <c r="AZ511" s="3"/>
      <c r="BA511" s="2"/>
      <c r="BB511" s="3"/>
      <c r="BC511" s="2"/>
    </row>
    <row r="512" spans="41:55" x14ac:dyDescent="0.2">
      <c r="AO512" s="2"/>
      <c r="AP512" s="3"/>
      <c r="AQ512" s="2"/>
      <c r="AY512" s="2"/>
      <c r="AZ512" s="3"/>
      <c r="BA512" s="2"/>
      <c r="BB512" s="3"/>
      <c r="BC512" s="2"/>
    </row>
    <row r="513" spans="41:55" x14ac:dyDescent="0.2">
      <c r="AO513" s="2"/>
      <c r="AP513" s="3"/>
      <c r="AQ513" s="2"/>
      <c r="AY513" s="2"/>
      <c r="AZ513" s="3"/>
      <c r="BA513" s="2"/>
      <c r="BB513" s="3"/>
      <c r="BC513" s="2"/>
    </row>
    <row r="514" spans="41:55" x14ac:dyDescent="0.2">
      <c r="AO514" s="2"/>
      <c r="AP514" s="3"/>
      <c r="AQ514" s="2"/>
      <c r="AY514" s="2"/>
      <c r="AZ514" s="3"/>
      <c r="BA514" s="2"/>
      <c r="BB514" s="3"/>
      <c r="BC514" s="2"/>
    </row>
    <row r="515" spans="41:55" x14ac:dyDescent="0.2">
      <c r="AO515" s="2"/>
      <c r="AP515" s="3"/>
      <c r="AQ515" s="2"/>
      <c r="AY515" s="2"/>
      <c r="AZ515" s="3"/>
      <c r="BA515" s="2"/>
      <c r="BB515" s="3"/>
      <c r="BC515" s="2"/>
    </row>
    <row r="516" spans="41:55" x14ac:dyDescent="0.2">
      <c r="AO516" s="2"/>
      <c r="AP516" s="3"/>
      <c r="AQ516" s="2"/>
      <c r="AY516" s="2"/>
      <c r="AZ516" s="3"/>
      <c r="BA516" s="2"/>
      <c r="BB516" s="3"/>
      <c r="BC516" s="2"/>
    </row>
    <row r="517" spans="41:55" x14ac:dyDescent="0.2">
      <c r="AO517" s="2"/>
      <c r="AP517" s="3"/>
      <c r="AQ517" s="2"/>
      <c r="AY517" s="2"/>
      <c r="AZ517" s="3"/>
      <c r="BA517" s="2"/>
      <c r="BB517" s="3"/>
      <c r="BC517" s="2"/>
    </row>
    <row r="518" spans="41:55" x14ac:dyDescent="0.2">
      <c r="AO518" s="2"/>
      <c r="AP518" s="3"/>
      <c r="AQ518" s="2"/>
      <c r="AY518" s="2"/>
      <c r="AZ518" s="3"/>
      <c r="BA518" s="2"/>
      <c r="BB518" s="3"/>
      <c r="BC518" s="2"/>
    </row>
    <row r="519" spans="41:55" x14ac:dyDescent="0.2">
      <c r="AO519" s="2"/>
      <c r="AP519" s="3"/>
      <c r="AQ519" s="2"/>
      <c r="AY519" s="2"/>
      <c r="AZ519" s="3"/>
      <c r="BA519" s="2"/>
      <c r="BB519" s="3"/>
      <c r="BC519" s="2"/>
    </row>
    <row r="520" spans="41:55" x14ac:dyDescent="0.2">
      <c r="AO520" s="2"/>
      <c r="AP520" s="3"/>
      <c r="AQ520" s="2"/>
      <c r="AY520" s="2"/>
      <c r="AZ520" s="3"/>
      <c r="BA520" s="2"/>
      <c r="BB520" s="3"/>
      <c r="BC520" s="2"/>
    </row>
    <row r="521" spans="41:55" x14ac:dyDescent="0.2">
      <c r="AO521" s="2"/>
      <c r="AP521" s="3"/>
      <c r="AQ521" s="2"/>
      <c r="AY521" s="2"/>
      <c r="AZ521" s="3"/>
      <c r="BA521" s="2"/>
      <c r="BB521" s="3"/>
      <c r="BC521" s="2"/>
    </row>
    <row r="522" spans="41:55" x14ac:dyDescent="0.2">
      <c r="AO522" s="2"/>
      <c r="AP522" s="3"/>
      <c r="AQ522" s="2"/>
      <c r="AY522" s="2"/>
      <c r="AZ522" s="3"/>
      <c r="BA522" s="2"/>
      <c r="BB522" s="3"/>
      <c r="BC522" s="2"/>
    </row>
    <row r="523" spans="41:55" x14ac:dyDescent="0.2">
      <c r="AO523" s="2"/>
      <c r="AP523" s="3"/>
      <c r="AQ523" s="2"/>
      <c r="AY523" s="2"/>
      <c r="AZ523" s="3"/>
      <c r="BA523" s="2"/>
      <c r="BB523" s="3"/>
      <c r="BC523" s="2"/>
    </row>
    <row r="524" spans="41:55" x14ac:dyDescent="0.2">
      <c r="AO524" s="2"/>
      <c r="AP524" s="3"/>
      <c r="AQ524" s="2"/>
      <c r="AY524" s="2"/>
      <c r="AZ524" s="3"/>
      <c r="BA524" s="2"/>
      <c r="BB524" s="3"/>
      <c r="BC524" s="2"/>
    </row>
    <row r="525" spans="41:55" x14ac:dyDescent="0.2">
      <c r="AO525" s="2"/>
      <c r="AP525" s="3"/>
      <c r="AQ525" s="2"/>
      <c r="AY525" s="2"/>
      <c r="AZ525" s="3"/>
      <c r="BA525" s="2"/>
      <c r="BB525" s="3"/>
      <c r="BC525" s="2"/>
    </row>
    <row r="526" spans="41:55" x14ac:dyDescent="0.2">
      <c r="AO526" s="2"/>
      <c r="AP526" s="3"/>
      <c r="AQ526" s="2"/>
      <c r="AY526" s="2"/>
      <c r="AZ526" s="3"/>
      <c r="BA526" s="2"/>
      <c r="BB526" s="3"/>
      <c r="BC526" s="2"/>
    </row>
    <row r="527" spans="41:55" x14ac:dyDescent="0.2">
      <c r="AO527" s="2"/>
      <c r="AP527" s="3"/>
      <c r="AQ527" s="2"/>
      <c r="AY527" s="2"/>
      <c r="AZ527" s="3"/>
      <c r="BA527" s="2"/>
      <c r="BB527" s="3"/>
      <c r="BC527" s="2"/>
    </row>
    <row r="528" spans="41:55" x14ac:dyDescent="0.2">
      <c r="AO528" s="2"/>
      <c r="AP528" s="3"/>
      <c r="AQ528" s="2"/>
      <c r="AY528" s="2"/>
      <c r="AZ528" s="3"/>
      <c r="BA528" s="2"/>
      <c r="BB528" s="3"/>
      <c r="BC528" s="2"/>
    </row>
    <row r="529" spans="41:55" x14ac:dyDescent="0.2">
      <c r="AO529" s="2"/>
      <c r="AP529" s="3"/>
      <c r="AQ529" s="2"/>
      <c r="AY529" s="2"/>
      <c r="AZ529" s="3"/>
      <c r="BA529" s="2"/>
      <c r="BB529" s="3"/>
      <c r="BC529" s="2"/>
    </row>
    <row r="530" spans="41:55" x14ac:dyDescent="0.2">
      <c r="AO530" s="2"/>
      <c r="AP530" s="3"/>
      <c r="AQ530" s="2"/>
      <c r="AY530" s="2"/>
      <c r="AZ530" s="3"/>
      <c r="BA530" s="2"/>
      <c r="BB530" s="3"/>
      <c r="BC530" s="2"/>
    </row>
    <row r="531" spans="41:55" x14ac:dyDescent="0.2">
      <c r="AO531" s="2"/>
      <c r="AP531" s="3"/>
      <c r="AQ531" s="2"/>
      <c r="AY531" s="2"/>
      <c r="AZ531" s="3"/>
      <c r="BA531" s="2"/>
      <c r="BB531" s="3"/>
      <c r="BC531" s="2"/>
    </row>
    <row r="532" spans="41:55" x14ac:dyDescent="0.2">
      <c r="AO532" s="2"/>
      <c r="AP532" s="3"/>
      <c r="AQ532" s="2"/>
      <c r="AY532" s="2"/>
      <c r="AZ532" s="3"/>
      <c r="BA532" s="2"/>
      <c r="BB532" s="3"/>
      <c r="BC532" s="2"/>
    </row>
    <row r="533" spans="41:55" x14ac:dyDescent="0.2">
      <c r="AO533" s="2"/>
      <c r="AP533" s="3"/>
      <c r="AQ533" s="2"/>
      <c r="AY533" s="2"/>
      <c r="AZ533" s="3"/>
      <c r="BA533" s="2"/>
      <c r="BB533" s="3"/>
      <c r="BC533" s="2"/>
    </row>
    <row r="534" spans="41:55" x14ac:dyDescent="0.2">
      <c r="AO534" s="2"/>
      <c r="AP534" s="3"/>
      <c r="AQ534" s="2"/>
      <c r="AY534" s="2"/>
      <c r="AZ534" s="3"/>
      <c r="BA534" s="2"/>
      <c r="BB534" s="3"/>
      <c r="BC534" s="2"/>
    </row>
    <row r="535" spans="41:55" x14ac:dyDescent="0.2">
      <c r="AO535" s="2"/>
      <c r="AP535" s="3"/>
      <c r="AQ535" s="2"/>
      <c r="AY535" s="2"/>
      <c r="AZ535" s="3"/>
      <c r="BA535" s="2"/>
      <c r="BB535" s="3"/>
      <c r="BC535" s="2"/>
    </row>
    <row r="536" spans="41:55" x14ac:dyDescent="0.2">
      <c r="AO536" s="2"/>
      <c r="AP536" s="3"/>
      <c r="AQ536" s="2"/>
      <c r="AY536" s="2"/>
      <c r="AZ536" s="3"/>
      <c r="BA536" s="2"/>
      <c r="BB536" s="3"/>
      <c r="BC536" s="2"/>
    </row>
    <row r="537" spans="41:55" x14ac:dyDescent="0.2">
      <c r="AO537" s="2"/>
      <c r="AP537" s="3"/>
      <c r="AQ537" s="2"/>
      <c r="AY537" s="2"/>
      <c r="AZ537" s="3"/>
      <c r="BA537" s="2"/>
      <c r="BB537" s="3"/>
      <c r="BC537" s="2"/>
    </row>
    <row r="538" spans="41:55" x14ac:dyDescent="0.2">
      <c r="AO538" s="2"/>
      <c r="AP538" s="3"/>
      <c r="AQ538" s="2"/>
      <c r="AY538" s="2"/>
      <c r="AZ538" s="3"/>
      <c r="BA538" s="2"/>
      <c r="BB538" s="3"/>
      <c r="BC538" s="2"/>
    </row>
    <row r="539" spans="41:55" x14ac:dyDescent="0.2">
      <c r="AO539" s="2"/>
      <c r="AP539" s="3"/>
      <c r="AQ539" s="2"/>
      <c r="AY539" s="2"/>
      <c r="AZ539" s="3"/>
      <c r="BA539" s="2"/>
      <c r="BB539" s="3"/>
      <c r="BC539" s="2"/>
    </row>
    <row r="540" spans="41:55" x14ac:dyDescent="0.2">
      <c r="AO540" s="2"/>
      <c r="AP540" s="3"/>
      <c r="AQ540" s="2"/>
      <c r="AY540" s="2"/>
      <c r="AZ540" s="3"/>
      <c r="BA540" s="2"/>
      <c r="BB540" s="3"/>
      <c r="BC540" s="2"/>
    </row>
    <row r="541" spans="41:55" x14ac:dyDescent="0.2">
      <c r="AO541" s="2"/>
      <c r="AP541" s="3"/>
      <c r="AQ541" s="2"/>
      <c r="AY541" s="2"/>
      <c r="AZ541" s="3"/>
      <c r="BA541" s="2"/>
      <c r="BB541" s="3"/>
      <c r="BC541" s="2"/>
    </row>
    <row r="542" spans="41:55" x14ac:dyDescent="0.2">
      <c r="AO542" s="2"/>
      <c r="AP542" s="3"/>
      <c r="AQ542" s="2"/>
      <c r="AY542" s="2"/>
      <c r="AZ542" s="3"/>
      <c r="BA542" s="2"/>
      <c r="BB542" s="3"/>
      <c r="BC542" s="2"/>
    </row>
    <row r="543" spans="41:55" x14ac:dyDescent="0.2">
      <c r="AO543" s="2"/>
      <c r="AP543" s="3"/>
      <c r="AQ543" s="2"/>
      <c r="AY543" s="2"/>
      <c r="AZ543" s="3"/>
      <c r="BA543" s="2"/>
      <c r="BB543" s="3"/>
      <c r="BC543" s="2"/>
    </row>
    <row r="544" spans="41:55" x14ac:dyDescent="0.2">
      <c r="AO544" s="2"/>
      <c r="AP544" s="3"/>
      <c r="AQ544" s="2"/>
      <c r="AY544" s="2"/>
      <c r="AZ544" s="3"/>
      <c r="BA544" s="2"/>
      <c r="BB544" s="3"/>
      <c r="BC544" s="2"/>
    </row>
    <row r="545" spans="41:55" x14ac:dyDescent="0.2">
      <c r="AO545" s="2"/>
      <c r="AP545" s="3"/>
      <c r="AQ545" s="2"/>
      <c r="AY545" s="2"/>
      <c r="AZ545" s="3"/>
      <c r="BA545" s="2"/>
      <c r="BB545" s="3"/>
      <c r="BC545" s="2"/>
    </row>
    <row r="546" spans="41:55" x14ac:dyDescent="0.2">
      <c r="AO546" s="2"/>
      <c r="AP546" s="3"/>
      <c r="AQ546" s="2"/>
      <c r="AY546" s="2"/>
      <c r="AZ546" s="3"/>
      <c r="BA546" s="2"/>
      <c r="BB546" s="3"/>
      <c r="BC546" s="2"/>
    </row>
    <row r="547" spans="41:55" x14ac:dyDescent="0.2">
      <c r="AO547" s="2"/>
      <c r="AP547" s="3"/>
      <c r="AQ547" s="2"/>
      <c r="AY547" s="2"/>
      <c r="AZ547" s="3"/>
      <c r="BA547" s="2"/>
      <c r="BB547" s="3"/>
      <c r="BC547" s="2"/>
    </row>
    <row r="548" spans="41:55" x14ac:dyDescent="0.2">
      <c r="AO548" s="2"/>
      <c r="AP548" s="3"/>
      <c r="AQ548" s="2"/>
      <c r="AY548" s="2"/>
      <c r="AZ548" s="3"/>
      <c r="BA548" s="2"/>
      <c r="BB548" s="3"/>
      <c r="BC548" s="2"/>
    </row>
    <row r="549" spans="41:55" x14ac:dyDescent="0.2">
      <c r="AO549" s="2"/>
      <c r="AP549" s="3"/>
      <c r="AQ549" s="2"/>
      <c r="AY549" s="2"/>
      <c r="AZ549" s="3"/>
      <c r="BA549" s="2"/>
      <c r="BB549" s="3"/>
      <c r="BC549" s="2"/>
    </row>
    <row r="550" spans="41:55" x14ac:dyDescent="0.2">
      <c r="AO550" s="2"/>
      <c r="AP550" s="3"/>
      <c r="AQ550" s="2"/>
      <c r="AY550" s="2"/>
      <c r="AZ550" s="3"/>
      <c r="BA550" s="2"/>
      <c r="BB550" s="3"/>
      <c r="BC550" s="2"/>
    </row>
    <row r="551" spans="41:55" x14ac:dyDescent="0.2">
      <c r="AO551" s="2"/>
      <c r="AP551" s="3"/>
      <c r="AQ551" s="2"/>
      <c r="AY551" s="2"/>
      <c r="AZ551" s="3"/>
      <c r="BA551" s="2"/>
      <c r="BB551" s="3"/>
      <c r="BC551" s="2"/>
    </row>
    <row r="552" spans="41:55" x14ac:dyDescent="0.2">
      <c r="AO552" s="2"/>
      <c r="AP552" s="3"/>
      <c r="AQ552" s="2"/>
      <c r="AY552" s="2"/>
      <c r="AZ552" s="3"/>
      <c r="BA552" s="2"/>
      <c r="BB552" s="3"/>
      <c r="BC552" s="2"/>
    </row>
    <row r="553" spans="41:55" x14ac:dyDescent="0.2">
      <c r="AO553" s="2"/>
      <c r="AP553" s="3"/>
      <c r="AQ553" s="2"/>
      <c r="AY553" s="2"/>
      <c r="AZ553" s="3"/>
      <c r="BA553" s="2"/>
      <c r="BB553" s="3"/>
      <c r="BC553" s="2"/>
    </row>
    <row r="554" spans="41:55" x14ac:dyDescent="0.2">
      <c r="AO554" s="2"/>
      <c r="AP554" s="3"/>
      <c r="AQ554" s="2"/>
      <c r="AY554" s="2"/>
      <c r="AZ554" s="3"/>
      <c r="BA554" s="2"/>
      <c r="BB554" s="3"/>
      <c r="BC554" s="2"/>
    </row>
    <row r="555" spans="41:55" x14ac:dyDescent="0.2">
      <c r="AO555" s="2"/>
      <c r="AP555" s="3"/>
      <c r="AQ555" s="2"/>
      <c r="AY555" s="2"/>
      <c r="AZ555" s="3"/>
      <c r="BA555" s="2"/>
      <c r="BB555" s="3"/>
      <c r="BC555" s="2"/>
    </row>
    <row r="556" spans="41:55" x14ac:dyDescent="0.2">
      <c r="AO556" s="2"/>
      <c r="AP556" s="3"/>
      <c r="AQ556" s="2"/>
      <c r="AY556" s="2"/>
      <c r="AZ556" s="3"/>
      <c r="BA556" s="2"/>
      <c r="BB556" s="3"/>
      <c r="BC556" s="2"/>
    </row>
    <row r="557" spans="41:55" x14ac:dyDescent="0.2">
      <c r="AO557" s="2"/>
      <c r="AP557" s="3"/>
      <c r="AQ557" s="2"/>
      <c r="AY557" s="2"/>
      <c r="AZ557" s="3"/>
      <c r="BA557" s="2"/>
      <c r="BB557" s="3"/>
      <c r="BC557" s="2"/>
    </row>
    <row r="558" spans="41:55" x14ac:dyDescent="0.2">
      <c r="AY558" s="389"/>
      <c r="AZ558" s="388"/>
    </row>
    <row r="559" spans="41:55" x14ac:dyDescent="0.2">
      <c r="AY559" s="389"/>
      <c r="AZ559" s="388"/>
    </row>
    <row r="560" spans="41:55" x14ac:dyDescent="0.2">
      <c r="AY560" s="389"/>
      <c r="AZ560" s="388"/>
    </row>
    <row r="561" spans="51:52" x14ac:dyDescent="0.2">
      <c r="AY561" s="389"/>
      <c r="AZ561" s="388"/>
    </row>
    <row r="562" spans="51:52" x14ac:dyDescent="0.2">
      <c r="AY562" s="389"/>
      <c r="AZ562" s="388"/>
    </row>
    <row r="563" spans="51:52" x14ac:dyDescent="0.2">
      <c r="AY563" s="389"/>
      <c r="AZ563" s="388"/>
    </row>
    <row r="564" spans="51:52" x14ac:dyDescent="0.2">
      <c r="AY564" s="389"/>
      <c r="AZ564" s="388"/>
    </row>
    <row r="565" spans="51:52" x14ac:dyDescent="0.2">
      <c r="AY565" s="389"/>
      <c r="AZ565" s="388"/>
    </row>
    <row r="566" spans="51:52" x14ac:dyDescent="0.2">
      <c r="AY566" s="389"/>
      <c r="AZ566" s="388"/>
    </row>
    <row r="567" spans="51:52" x14ac:dyDescent="0.2">
      <c r="AY567" s="389"/>
      <c r="AZ567" s="388"/>
    </row>
    <row r="568" spans="51:52" x14ac:dyDescent="0.2">
      <c r="AY568" s="389"/>
      <c r="AZ568" s="388"/>
    </row>
    <row r="569" spans="51:52" x14ac:dyDescent="0.2">
      <c r="AY569" s="389"/>
      <c r="AZ569" s="388"/>
    </row>
    <row r="570" spans="51:52" x14ac:dyDescent="0.2">
      <c r="AY570" s="389"/>
      <c r="AZ570" s="388"/>
    </row>
    <row r="571" spans="51:52" x14ac:dyDescent="0.2">
      <c r="AY571" s="389"/>
      <c r="AZ571" s="388"/>
    </row>
    <row r="572" spans="51:52" x14ac:dyDescent="0.2">
      <c r="AY572" s="389"/>
      <c r="AZ572" s="388"/>
    </row>
    <row r="573" spans="51:52" x14ac:dyDescent="0.2">
      <c r="AY573" s="389"/>
      <c r="AZ573" s="388"/>
    </row>
    <row r="574" spans="51:52" x14ac:dyDescent="0.2">
      <c r="AY574" s="389"/>
      <c r="AZ574" s="388"/>
    </row>
    <row r="575" spans="51:52" x14ac:dyDescent="0.2">
      <c r="AY575" s="389"/>
      <c r="AZ575" s="388"/>
    </row>
    <row r="576" spans="51:52" x14ac:dyDescent="0.2">
      <c r="AY576" s="389"/>
      <c r="AZ576" s="388"/>
    </row>
    <row r="577" spans="51:52" x14ac:dyDescent="0.2">
      <c r="AY577" s="389"/>
      <c r="AZ577" s="388"/>
    </row>
    <row r="578" spans="51:52" x14ac:dyDescent="0.2">
      <c r="AY578" s="389"/>
      <c r="AZ578" s="388"/>
    </row>
    <row r="579" spans="51:52" x14ac:dyDescent="0.2">
      <c r="AY579" s="389"/>
      <c r="AZ579" s="388"/>
    </row>
    <row r="580" spans="51:52" x14ac:dyDescent="0.2">
      <c r="AY580" s="389"/>
      <c r="AZ580" s="388"/>
    </row>
    <row r="581" spans="51:52" x14ac:dyDescent="0.2">
      <c r="AY581" s="389"/>
      <c r="AZ581" s="388"/>
    </row>
    <row r="582" spans="51:52" x14ac:dyDescent="0.2">
      <c r="AY582" s="389"/>
      <c r="AZ582" s="388"/>
    </row>
    <row r="583" spans="51:52" x14ac:dyDescent="0.2">
      <c r="AY583" s="389"/>
      <c r="AZ583" s="388"/>
    </row>
    <row r="584" spans="51:52" x14ac:dyDescent="0.2">
      <c r="AY584" s="389"/>
      <c r="AZ584" s="388"/>
    </row>
    <row r="585" spans="51:52" x14ac:dyDescent="0.2">
      <c r="AY585" s="389"/>
      <c r="AZ585" s="388"/>
    </row>
    <row r="586" spans="51:52" x14ac:dyDescent="0.2">
      <c r="AY586" s="389"/>
      <c r="AZ586" s="388"/>
    </row>
    <row r="587" spans="51:52" x14ac:dyDescent="0.2">
      <c r="AY587" s="389"/>
      <c r="AZ587" s="388"/>
    </row>
    <row r="588" spans="51:52" x14ac:dyDescent="0.2">
      <c r="AY588" s="389"/>
      <c r="AZ588" s="388"/>
    </row>
    <row r="589" spans="51:52" x14ac:dyDescent="0.2">
      <c r="AY589" s="389"/>
      <c r="AZ589" s="388"/>
    </row>
    <row r="590" spans="51:52" x14ac:dyDescent="0.2">
      <c r="AY590" s="389"/>
      <c r="AZ590" s="388"/>
    </row>
    <row r="591" spans="51:52" x14ac:dyDescent="0.2">
      <c r="AY591" s="389"/>
      <c r="AZ591" s="388"/>
    </row>
    <row r="592" spans="51:52" x14ac:dyDescent="0.2">
      <c r="AY592" s="389"/>
      <c r="AZ592" s="388"/>
    </row>
    <row r="593" spans="51:52" x14ac:dyDescent="0.2">
      <c r="AY593" s="389"/>
      <c r="AZ593" s="388"/>
    </row>
    <row r="594" spans="51:52" x14ac:dyDescent="0.2">
      <c r="AY594" s="389"/>
      <c r="AZ594" s="388"/>
    </row>
    <row r="595" spans="51:52" x14ac:dyDescent="0.2">
      <c r="AY595" s="389"/>
      <c r="AZ595" s="388"/>
    </row>
    <row r="596" spans="51:52" x14ac:dyDescent="0.2">
      <c r="AY596" s="389"/>
      <c r="AZ596" s="388"/>
    </row>
    <row r="597" spans="51:52" x14ac:dyDescent="0.2">
      <c r="AY597" s="389"/>
      <c r="AZ597" s="388"/>
    </row>
    <row r="598" spans="51:52" x14ac:dyDescent="0.2">
      <c r="AY598" s="389"/>
      <c r="AZ598" s="388"/>
    </row>
    <row r="599" spans="51:52" x14ac:dyDescent="0.2">
      <c r="AY599" s="389"/>
      <c r="AZ599" s="388"/>
    </row>
    <row r="600" spans="51:52" x14ac:dyDescent="0.2">
      <c r="AY600" s="389"/>
      <c r="AZ600" s="388"/>
    </row>
    <row r="601" spans="51:52" x14ac:dyDescent="0.2">
      <c r="AY601" s="389"/>
      <c r="AZ601" s="388"/>
    </row>
    <row r="602" spans="51:52" x14ac:dyDescent="0.2">
      <c r="AY602" s="389"/>
      <c r="AZ602" s="388"/>
    </row>
    <row r="603" spans="51:52" x14ac:dyDescent="0.2">
      <c r="AY603" s="389"/>
      <c r="AZ603" s="388"/>
    </row>
    <row r="604" spans="51:52" x14ac:dyDescent="0.2">
      <c r="AY604" s="389"/>
      <c r="AZ604" s="388"/>
    </row>
    <row r="605" spans="51:52" x14ac:dyDescent="0.2">
      <c r="AY605" s="389"/>
      <c r="AZ605" s="388"/>
    </row>
    <row r="606" spans="51:52" x14ac:dyDescent="0.2">
      <c r="AY606" s="389"/>
      <c r="AZ606" s="388"/>
    </row>
    <row r="607" spans="51:52" x14ac:dyDescent="0.2">
      <c r="AY607" s="389"/>
      <c r="AZ607" s="388"/>
    </row>
    <row r="608" spans="51:52" x14ac:dyDescent="0.2">
      <c r="AY608" s="389"/>
      <c r="AZ608" s="388"/>
    </row>
    <row r="609" spans="51:52" x14ac:dyDescent="0.2">
      <c r="AY609" s="389"/>
      <c r="AZ609" s="388"/>
    </row>
    <row r="610" spans="51:52" x14ac:dyDescent="0.2">
      <c r="AY610" s="389"/>
      <c r="AZ610" s="388"/>
    </row>
    <row r="611" spans="51:52" x14ac:dyDescent="0.2">
      <c r="AY611" s="389"/>
      <c r="AZ611" s="388"/>
    </row>
    <row r="612" spans="51:52" x14ac:dyDescent="0.2">
      <c r="AY612" s="389"/>
      <c r="AZ612" s="388"/>
    </row>
    <row r="613" spans="51:52" x14ac:dyDescent="0.2">
      <c r="AY613" s="389"/>
      <c r="AZ613" s="388"/>
    </row>
    <row r="614" spans="51:52" x14ac:dyDescent="0.2">
      <c r="AY614" s="389"/>
      <c r="AZ614" s="388"/>
    </row>
    <row r="615" spans="51:52" x14ac:dyDescent="0.2">
      <c r="AY615" s="389"/>
      <c r="AZ615" s="388"/>
    </row>
    <row r="616" spans="51:52" x14ac:dyDescent="0.2">
      <c r="AY616" s="389"/>
      <c r="AZ616" s="388"/>
    </row>
    <row r="617" spans="51:52" x14ac:dyDescent="0.2">
      <c r="AY617" s="389"/>
      <c r="AZ617" s="388"/>
    </row>
    <row r="618" spans="51:52" x14ac:dyDescent="0.2">
      <c r="AY618" s="389"/>
      <c r="AZ618" s="388"/>
    </row>
    <row r="619" spans="51:52" x14ac:dyDescent="0.2">
      <c r="AY619" s="389"/>
      <c r="AZ619" s="388"/>
    </row>
    <row r="620" spans="51:52" x14ac:dyDescent="0.2">
      <c r="AY620" s="389"/>
      <c r="AZ620" s="388"/>
    </row>
    <row r="621" spans="51:52" x14ac:dyDescent="0.2">
      <c r="AY621" s="389"/>
      <c r="AZ621" s="388"/>
    </row>
    <row r="622" spans="51:52" x14ac:dyDescent="0.2">
      <c r="AY622" s="389"/>
      <c r="AZ622" s="388"/>
    </row>
    <row r="623" spans="51:52" x14ac:dyDescent="0.2">
      <c r="AY623" s="389"/>
      <c r="AZ623" s="388"/>
    </row>
    <row r="624" spans="51:52" x14ac:dyDescent="0.2">
      <c r="AY624" s="389"/>
      <c r="AZ624" s="388"/>
    </row>
    <row r="625" spans="51:52" x14ac:dyDescent="0.2">
      <c r="AY625" s="389"/>
      <c r="AZ625" s="388"/>
    </row>
    <row r="626" spans="51:52" x14ac:dyDescent="0.2">
      <c r="AY626" s="389"/>
      <c r="AZ626" s="388"/>
    </row>
    <row r="627" spans="51:52" x14ac:dyDescent="0.2">
      <c r="AY627" s="389"/>
      <c r="AZ627" s="388"/>
    </row>
    <row r="628" spans="51:52" x14ac:dyDescent="0.2">
      <c r="AY628" s="389"/>
      <c r="AZ628" s="388"/>
    </row>
    <row r="629" spans="51:52" x14ac:dyDescent="0.2">
      <c r="AY629" s="389"/>
      <c r="AZ629" s="388"/>
    </row>
    <row r="630" spans="51:52" x14ac:dyDescent="0.2">
      <c r="AY630" s="389"/>
      <c r="AZ630" s="388"/>
    </row>
    <row r="631" spans="51:52" x14ac:dyDescent="0.2">
      <c r="AY631" s="389"/>
      <c r="AZ631" s="388"/>
    </row>
    <row r="632" spans="51:52" x14ac:dyDescent="0.2">
      <c r="AY632" s="389"/>
      <c r="AZ632" s="388"/>
    </row>
    <row r="633" spans="51:52" x14ac:dyDescent="0.2">
      <c r="AY633" s="389"/>
      <c r="AZ633" s="388"/>
    </row>
    <row r="634" spans="51:52" x14ac:dyDescent="0.2">
      <c r="AY634" s="389"/>
      <c r="AZ634" s="388"/>
    </row>
    <row r="635" spans="51:52" x14ac:dyDescent="0.2">
      <c r="AY635" s="389"/>
      <c r="AZ635" s="388"/>
    </row>
    <row r="636" spans="51:52" x14ac:dyDescent="0.2">
      <c r="AY636" s="389"/>
      <c r="AZ636" s="388"/>
    </row>
    <row r="637" spans="51:52" x14ac:dyDescent="0.2">
      <c r="AY637" s="389"/>
      <c r="AZ637" s="388"/>
    </row>
    <row r="638" spans="51:52" x14ac:dyDescent="0.2">
      <c r="AY638" s="389"/>
      <c r="AZ638" s="388"/>
    </row>
    <row r="639" spans="51:52" x14ac:dyDescent="0.2">
      <c r="AY639" s="389"/>
      <c r="AZ639" s="388"/>
    </row>
    <row r="640" spans="51:52" x14ac:dyDescent="0.2">
      <c r="AY640" s="389"/>
      <c r="AZ640" s="388"/>
    </row>
    <row r="641" spans="51:52" x14ac:dyDescent="0.2">
      <c r="AY641" s="389"/>
      <c r="AZ641" s="388"/>
    </row>
    <row r="642" spans="51:52" x14ac:dyDescent="0.2">
      <c r="AY642" s="389"/>
      <c r="AZ642" s="388"/>
    </row>
    <row r="643" spans="51:52" x14ac:dyDescent="0.2">
      <c r="AY643" s="389"/>
      <c r="AZ643" s="388"/>
    </row>
    <row r="644" spans="51:52" x14ac:dyDescent="0.2">
      <c r="AY644" s="389"/>
      <c r="AZ644" s="388"/>
    </row>
    <row r="645" spans="51:52" x14ac:dyDescent="0.2">
      <c r="AY645" s="389"/>
      <c r="AZ645" s="388"/>
    </row>
    <row r="646" spans="51:52" x14ac:dyDescent="0.2">
      <c r="AY646" s="389"/>
      <c r="AZ646" s="388"/>
    </row>
    <row r="647" spans="51:52" x14ac:dyDescent="0.2">
      <c r="AY647" s="389"/>
      <c r="AZ647" s="388"/>
    </row>
    <row r="648" spans="51:52" x14ac:dyDescent="0.2">
      <c r="AY648" s="389"/>
      <c r="AZ648" s="388"/>
    </row>
    <row r="649" spans="51:52" x14ac:dyDescent="0.2">
      <c r="AY649" s="389"/>
      <c r="AZ649" s="388"/>
    </row>
    <row r="650" spans="51:52" x14ac:dyDescent="0.2">
      <c r="AY650" s="389"/>
      <c r="AZ650" s="388"/>
    </row>
    <row r="651" spans="51:52" x14ac:dyDescent="0.2">
      <c r="AY651" s="389"/>
      <c r="AZ651" s="388"/>
    </row>
    <row r="652" spans="51:52" x14ac:dyDescent="0.2">
      <c r="AY652" s="389"/>
      <c r="AZ652" s="388"/>
    </row>
    <row r="653" spans="51:52" x14ac:dyDescent="0.2">
      <c r="AY653" s="389"/>
      <c r="AZ653" s="388"/>
    </row>
    <row r="654" spans="51:52" x14ac:dyDescent="0.2">
      <c r="AY654" s="389"/>
      <c r="AZ654" s="388"/>
    </row>
    <row r="655" spans="51:52" x14ac:dyDescent="0.2">
      <c r="AY655" s="389"/>
      <c r="AZ655" s="388"/>
    </row>
    <row r="656" spans="51:52" x14ac:dyDescent="0.2">
      <c r="AY656" s="389"/>
      <c r="AZ656" s="388"/>
    </row>
    <row r="657" spans="51:52" x14ac:dyDescent="0.2">
      <c r="AY657" s="389"/>
      <c r="AZ657" s="388"/>
    </row>
    <row r="658" spans="51:52" x14ac:dyDescent="0.2">
      <c r="AY658" s="389"/>
      <c r="AZ658" s="388"/>
    </row>
    <row r="659" spans="51:52" x14ac:dyDescent="0.2">
      <c r="AY659" s="389"/>
      <c r="AZ659" s="388"/>
    </row>
    <row r="660" spans="51:52" x14ac:dyDescent="0.2">
      <c r="AY660" s="389"/>
      <c r="AZ660" s="388"/>
    </row>
    <row r="661" spans="51:52" x14ac:dyDescent="0.2">
      <c r="AY661" s="389"/>
      <c r="AZ661" s="388"/>
    </row>
    <row r="662" spans="51:52" x14ac:dyDescent="0.2">
      <c r="AY662" s="389"/>
      <c r="AZ662" s="388"/>
    </row>
    <row r="663" spans="51:52" x14ac:dyDescent="0.2">
      <c r="AY663" s="389"/>
      <c r="AZ663" s="388"/>
    </row>
    <row r="664" spans="51:52" x14ac:dyDescent="0.2">
      <c r="AY664" s="389"/>
      <c r="AZ664" s="388"/>
    </row>
    <row r="665" spans="51:52" x14ac:dyDescent="0.2">
      <c r="AY665" s="389"/>
      <c r="AZ665" s="388"/>
    </row>
    <row r="666" spans="51:52" x14ac:dyDescent="0.2">
      <c r="AY666" s="389"/>
      <c r="AZ666" s="388"/>
    </row>
    <row r="667" spans="51:52" x14ac:dyDescent="0.2">
      <c r="AY667" s="389"/>
      <c r="AZ667" s="388"/>
    </row>
    <row r="668" spans="51:52" x14ac:dyDescent="0.2">
      <c r="AY668" s="389"/>
      <c r="AZ668" s="388"/>
    </row>
    <row r="669" spans="51:52" x14ac:dyDescent="0.2">
      <c r="AY669" s="389"/>
      <c r="AZ669" s="388"/>
    </row>
    <row r="670" spans="51:52" x14ac:dyDescent="0.2">
      <c r="AY670" s="389"/>
      <c r="AZ670" s="388"/>
    </row>
    <row r="671" spans="51:52" x14ac:dyDescent="0.2">
      <c r="AY671" s="389"/>
      <c r="AZ671" s="388"/>
    </row>
    <row r="672" spans="51:52" x14ac:dyDescent="0.2">
      <c r="AY672" s="389"/>
      <c r="AZ672" s="388"/>
    </row>
    <row r="673" spans="51:52" x14ac:dyDescent="0.2">
      <c r="AY673" s="389"/>
      <c r="AZ673" s="388"/>
    </row>
    <row r="674" spans="51:52" x14ac:dyDescent="0.2">
      <c r="AY674" s="389"/>
      <c r="AZ674" s="388"/>
    </row>
    <row r="675" spans="51:52" x14ac:dyDescent="0.2">
      <c r="AY675" s="389"/>
      <c r="AZ675" s="388"/>
    </row>
    <row r="676" spans="51:52" x14ac:dyDescent="0.2">
      <c r="AY676" s="389"/>
      <c r="AZ676" s="388"/>
    </row>
    <row r="677" spans="51:52" x14ac:dyDescent="0.2">
      <c r="AY677" s="389"/>
      <c r="AZ677" s="388"/>
    </row>
    <row r="678" spans="51:52" x14ac:dyDescent="0.2">
      <c r="AY678" s="389"/>
      <c r="AZ678" s="388"/>
    </row>
    <row r="679" spans="51:52" x14ac:dyDescent="0.2">
      <c r="AY679" s="389"/>
      <c r="AZ679" s="388"/>
    </row>
    <row r="680" spans="51:52" x14ac:dyDescent="0.2">
      <c r="AY680" s="389"/>
      <c r="AZ680" s="388"/>
    </row>
    <row r="681" spans="51:52" x14ac:dyDescent="0.2">
      <c r="AY681" s="389"/>
      <c r="AZ681" s="388"/>
    </row>
    <row r="682" spans="51:52" x14ac:dyDescent="0.2">
      <c r="AY682" s="389"/>
      <c r="AZ682" s="388"/>
    </row>
    <row r="683" spans="51:52" x14ac:dyDescent="0.2">
      <c r="AY683" s="389"/>
      <c r="AZ683" s="388"/>
    </row>
    <row r="684" spans="51:52" x14ac:dyDescent="0.2">
      <c r="AY684" s="389"/>
      <c r="AZ684" s="388"/>
    </row>
    <row r="685" spans="51:52" x14ac:dyDescent="0.2">
      <c r="AY685" s="389"/>
      <c r="AZ685" s="388"/>
    </row>
    <row r="686" spans="51:52" x14ac:dyDescent="0.2">
      <c r="AY686" s="389"/>
      <c r="AZ686" s="388"/>
    </row>
    <row r="687" spans="51:52" x14ac:dyDescent="0.2">
      <c r="AY687" s="389"/>
      <c r="AZ687" s="388"/>
    </row>
    <row r="688" spans="51:52" x14ac:dyDescent="0.2">
      <c r="AY688" s="389"/>
      <c r="AZ688" s="388"/>
    </row>
    <row r="689" spans="51:52" x14ac:dyDescent="0.2">
      <c r="AY689" s="389"/>
      <c r="AZ689" s="388"/>
    </row>
    <row r="690" spans="51:52" x14ac:dyDescent="0.2">
      <c r="AY690" s="389"/>
      <c r="AZ690" s="388"/>
    </row>
    <row r="691" spans="51:52" x14ac:dyDescent="0.2">
      <c r="AY691" s="389"/>
      <c r="AZ691" s="388"/>
    </row>
    <row r="692" spans="51:52" x14ac:dyDescent="0.2">
      <c r="AY692" s="389"/>
      <c r="AZ692" s="388"/>
    </row>
    <row r="693" spans="51:52" x14ac:dyDescent="0.2">
      <c r="AY693" s="389"/>
      <c r="AZ693" s="388"/>
    </row>
    <row r="694" spans="51:52" x14ac:dyDescent="0.2">
      <c r="AY694" s="389"/>
      <c r="AZ694" s="388"/>
    </row>
    <row r="695" spans="51:52" x14ac:dyDescent="0.2">
      <c r="AY695" s="389"/>
      <c r="AZ695" s="388"/>
    </row>
    <row r="696" spans="51:52" x14ac:dyDescent="0.2">
      <c r="AY696" s="389"/>
      <c r="AZ696" s="388"/>
    </row>
    <row r="697" spans="51:52" x14ac:dyDescent="0.2">
      <c r="AY697" s="389"/>
      <c r="AZ697" s="388"/>
    </row>
    <row r="698" spans="51:52" x14ac:dyDescent="0.2">
      <c r="AY698" s="389"/>
      <c r="AZ698" s="388"/>
    </row>
    <row r="699" spans="51:52" x14ac:dyDescent="0.2">
      <c r="AY699" s="389"/>
      <c r="AZ699" s="388"/>
    </row>
    <row r="700" spans="51:52" x14ac:dyDescent="0.2">
      <c r="AY700" s="389"/>
      <c r="AZ700" s="388"/>
    </row>
    <row r="701" spans="51:52" x14ac:dyDescent="0.2">
      <c r="AY701" s="389"/>
      <c r="AZ701" s="388"/>
    </row>
    <row r="702" spans="51:52" x14ac:dyDescent="0.2">
      <c r="AY702" s="389"/>
      <c r="AZ702" s="388"/>
    </row>
    <row r="703" spans="51:52" x14ac:dyDescent="0.2">
      <c r="AY703" s="389"/>
      <c r="AZ703" s="388"/>
    </row>
    <row r="704" spans="51:52" x14ac:dyDescent="0.2">
      <c r="AY704" s="389"/>
      <c r="AZ704" s="388"/>
    </row>
    <row r="705" spans="51:52" x14ac:dyDescent="0.2">
      <c r="AY705" s="389"/>
      <c r="AZ705" s="388"/>
    </row>
    <row r="706" spans="51:52" x14ac:dyDescent="0.2">
      <c r="AY706" s="389"/>
      <c r="AZ706" s="388"/>
    </row>
    <row r="707" spans="51:52" x14ac:dyDescent="0.2">
      <c r="AY707" s="389"/>
      <c r="AZ707" s="388"/>
    </row>
    <row r="708" spans="51:52" x14ac:dyDescent="0.2">
      <c r="AY708" s="389"/>
      <c r="AZ708" s="388"/>
    </row>
    <row r="709" spans="51:52" x14ac:dyDescent="0.2">
      <c r="AY709" s="389"/>
      <c r="AZ709" s="388"/>
    </row>
    <row r="710" spans="51:52" x14ac:dyDescent="0.2">
      <c r="AY710" s="389"/>
      <c r="AZ710" s="388"/>
    </row>
    <row r="711" spans="51:52" x14ac:dyDescent="0.2">
      <c r="AY711" s="389"/>
      <c r="AZ711" s="388"/>
    </row>
    <row r="712" spans="51:52" x14ac:dyDescent="0.2">
      <c r="AY712" s="389"/>
      <c r="AZ712" s="388"/>
    </row>
    <row r="713" spans="51:52" x14ac:dyDescent="0.2">
      <c r="AY713" s="389"/>
      <c r="AZ713" s="388"/>
    </row>
    <row r="714" spans="51:52" x14ac:dyDescent="0.2">
      <c r="AY714" s="389"/>
      <c r="AZ714" s="388"/>
    </row>
    <row r="715" spans="51:52" x14ac:dyDescent="0.2">
      <c r="AY715" s="389"/>
      <c r="AZ715" s="388"/>
    </row>
    <row r="716" spans="51:52" x14ac:dyDescent="0.2">
      <c r="AY716" s="389"/>
      <c r="AZ716" s="388"/>
    </row>
    <row r="717" spans="51:52" x14ac:dyDescent="0.2">
      <c r="AY717" s="389"/>
      <c r="AZ717" s="388"/>
    </row>
    <row r="718" spans="51:52" x14ac:dyDescent="0.2">
      <c r="AY718" s="389"/>
      <c r="AZ718" s="388"/>
    </row>
    <row r="719" spans="51:52" x14ac:dyDescent="0.2">
      <c r="AY719" s="389"/>
      <c r="AZ719" s="388"/>
    </row>
    <row r="720" spans="51:52" x14ac:dyDescent="0.2">
      <c r="AY720" s="389"/>
      <c r="AZ720" s="388"/>
    </row>
    <row r="721" spans="51:52" x14ac:dyDescent="0.2">
      <c r="AY721" s="389"/>
      <c r="AZ721" s="388"/>
    </row>
    <row r="722" spans="51:52" x14ac:dyDescent="0.2">
      <c r="AY722" s="389"/>
      <c r="AZ722" s="388"/>
    </row>
    <row r="723" spans="51:52" x14ac:dyDescent="0.2">
      <c r="AY723" s="389"/>
      <c r="AZ723" s="388"/>
    </row>
    <row r="724" spans="51:52" x14ac:dyDescent="0.2">
      <c r="AY724" s="389"/>
      <c r="AZ724" s="388"/>
    </row>
    <row r="725" spans="51:52" x14ac:dyDescent="0.2">
      <c r="AY725" s="389"/>
      <c r="AZ725" s="388"/>
    </row>
    <row r="726" spans="51:52" x14ac:dyDescent="0.2">
      <c r="AY726" s="389"/>
      <c r="AZ726" s="388"/>
    </row>
    <row r="727" spans="51:52" x14ac:dyDescent="0.2">
      <c r="AY727" s="389"/>
      <c r="AZ727" s="388"/>
    </row>
    <row r="728" spans="51:52" x14ac:dyDescent="0.2">
      <c r="AY728" s="389"/>
      <c r="AZ728" s="388"/>
    </row>
    <row r="729" spans="51:52" x14ac:dyDescent="0.2">
      <c r="AY729" s="389"/>
      <c r="AZ729" s="388"/>
    </row>
    <row r="730" spans="51:52" x14ac:dyDescent="0.2">
      <c r="AY730" s="389"/>
      <c r="AZ730" s="388"/>
    </row>
    <row r="731" spans="51:52" x14ac:dyDescent="0.2">
      <c r="AY731" s="389"/>
      <c r="AZ731" s="388"/>
    </row>
    <row r="732" spans="51:52" x14ac:dyDescent="0.2">
      <c r="AY732" s="389"/>
      <c r="AZ732" s="388"/>
    </row>
    <row r="733" spans="51:52" x14ac:dyDescent="0.2">
      <c r="AY733" s="389"/>
      <c r="AZ733" s="388"/>
    </row>
    <row r="734" spans="51:52" x14ac:dyDescent="0.2">
      <c r="AY734" s="389"/>
      <c r="AZ734" s="388"/>
    </row>
    <row r="735" spans="51:52" x14ac:dyDescent="0.2">
      <c r="AY735" s="389"/>
      <c r="AZ735" s="388"/>
    </row>
    <row r="736" spans="51:52" x14ac:dyDescent="0.2">
      <c r="AY736" s="389"/>
      <c r="AZ736" s="388"/>
    </row>
    <row r="737" spans="51:52" x14ac:dyDescent="0.2">
      <c r="AY737" s="389"/>
      <c r="AZ737" s="388"/>
    </row>
    <row r="738" spans="51:52" x14ac:dyDescent="0.2">
      <c r="AY738" s="389"/>
      <c r="AZ738" s="388"/>
    </row>
    <row r="739" spans="51:52" x14ac:dyDescent="0.2">
      <c r="AY739" s="389"/>
      <c r="AZ739" s="388"/>
    </row>
    <row r="740" spans="51:52" x14ac:dyDescent="0.2">
      <c r="AY740" s="389"/>
      <c r="AZ740" s="388"/>
    </row>
    <row r="741" spans="51:52" x14ac:dyDescent="0.2">
      <c r="AY741" s="389"/>
      <c r="AZ741" s="388"/>
    </row>
    <row r="742" spans="51:52" x14ac:dyDescent="0.2">
      <c r="AY742" s="389"/>
      <c r="AZ742" s="388"/>
    </row>
    <row r="743" spans="51:52" x14ac:dyDescent="0.2">
      <c r="AY743" s="389"/>
      <c r="AZ743" s="388"/>
    </row>
    <row r="744" spans="51:52" x14ac:dyDescent="0.2">
      <c r="AY744" s="389"/>
      <c r="AZ744" s="388"/>
    </row>
    <row r="745" spans="51:52" x14ac:dyDescent="0.2">
      <c r="AY745" s="389"/>
      <c r="AZ745" s="388"/>
    </row>
    <row r="746" spans="51:52" x14ac:dyDescent="0.2">
      <c r="AY746" s="389"/>
      <c r="AZ746" s="388"/>
    </row>
    <row r="747" spans="51:52" x14ac:dyDescent="0.2">
      <c r="AY747" s="389"/>
      <c r="AZ747" s="388"/>
    </row>
    <row r="748" spans="51:52" x14ac:dyDescent="0.2">
      <c r="AY748" s="389"/>
      <c r="AZ748" s="388"/>
    </row>
    <row r="749" spans="51:52" x14ac:dyDescent="0.2">
      <c r="AY749" s="389"/>
      <c r="AZ749" s="388"/>
    </row>
    <row r="750" spans="51:52" x14ac:dyDescent="0.2">
      <c r="AY750" s="389"/>
      <c r="AZ750" s="388"/>
    </row>
    <row r="751" spans="51:52" x14ac:dyDescent="0.2">
      <c r="AY751" s="389"/>
      <c r="AZ751" s="388"/>
    </row>
    <row r="752" spans="51:52" x14ac:dyDescent="0.2">
      <c r="AY752" s="389"/>
      <c r="AZ752" s="388"/>
    </row>
    <row r="753" spans="51:52" x14ac:dyDescent="0.2">
      <c r="AY753" s="389"/>
      <c r="AZ753" s="388"/>
    </row>
    <row r="754" spans="51:52" x14ac:dyDescent="0.2">
      <c r="AY754" s="389"/>
      <c r="AZ754" s="388"/>
    </row>
    <row r="755" spans="51:52" x14ac:dyDescent="0.2">
      <c r="AY755" s="389"/>
      <c r="AZ755" s="388"/>
    </row>
    <row r="756" spans="51:52" x14ac:dyDescent="0.2">
      <c r="AY756" s="389"/>
      <c r="AZ756" s="388"/>
    </row>
    <row r="757" spans="51:52" x14ac:dyDescent="0.2">
      <c r="AY757" s="389"/>
      <c r="AZ757" s="388"/>
    </row>
    <row r="758" spans="51:52" x14ac:dyDescent="0.2">
      <c r="AY758" s="389"/>
      <c r="AZ758" s="388"/>
    </row>
    <row r="759" spans="51:52" x14ac:dyDescent="0.2">
      <c r="AY759" s="389"/>
      <c r="AZ759" s="388"/>
    </row>
    <row r="760" spans="51:52" x14ac:dyDescent="0.2">
      <c r="AY760" s="389"/>
      <c r="AZ760" s="388"/>
    </row>
    <row r="761" spans="51:52" x14ac:dyDescent="0.2">
      <c r="AY761" s="389"/>
      <c r="AZ761" s="388"/>
    </row>
    <row r="762" spans="51:52" x14ac:dyDescent="0.2">
      <c r="AY762" s="389"/>
      <c r="AZ762" s="388"/>
    </row>
    <row r="763" spans="51:52" x14ac:dyDescent="0.2">
      <c r="AY763" s="389"/>
      <c r="AZ763" s="388"/>
    </row>
    <row r="764" spans="51:52" x14ac:dyDescent="0.2">
      <c r="AY764" s="389"/>
      <c r="AZ764" s="388"/>
    </row>
    <row r="765" spans="51:52" x14ac:dyDescent="0.2">
      <c r="AY765" s="389"/>
      <c r="AZ765" s="388"/>
    </row>
    <row r="766" spans="51:52" x14ac:dyDescent="0.2">
      <c r="AY766" s="389"/>
      <c r="AZ766" s="388"/>
    </row>
    <row r="767" spans="51:52" x14ac:dyDescent="0.2">
      <c r="AY767" s="389"/>
      <c r="AZ767" s="388"/>
    </row>
    <row r="768" spans="51:52" x14ac:dyDescent="0.2">
      <c r="AY768" s="389"/>
      <c r="AZ768" s="388"/>
    </row>
    <row r="769" spans="51:52" x14ac:dyDescent="0.2">
      <c r="AY769" s="389"/>
      <c r="AZ769" s="388"/>
    </row>
    <row r="770" spans="51:52" x14ac:dyDescent="0.2">
      <c r="AY770" s="389"/>
      <c r="AZ770" s="388"/>
    </row>
    <row r="771" spans="51:52" x14ac:dyDescent="0.2">
      <c r="AY771" s="389"/>
      <c r="AZ771" s="388"/>
    </row>
    <row r="772" spans="51:52" x14ac:dyDescent="0.2">
      <c r="AY772" s="389"/>
      <c r="AZ772" s="388"/>
    </row>
    <row r="773" spans="51:52" x14ac:dyDescent="0.2">
      <c r="AY773" s="389"/>
      <c r="AZ773" s="388"/>
    </row>
    <row r="774" spans="51:52" x14ac:dyDescent="0.2">
      <c r="AY774" s="389"/>
      <c r="AZ774" s="388"/>
    </row>
    <row r="775" spans="51:52" x14ac:dyDescent="0.2">
      <c r="AY775" s="389"/>
      <c r="AZ775" s="388"/>
    </row>
    <row r="776" spans="51:52" x14ac:dyDescent="0.2">
      <c r="AY776" s="389"/>
      <c r="AZ776" s="388"/>
    </row>
    <row r="777" spans="51:52" x14ac:dyDescent="0.2">
      <c r="AY777" s="389"/>
      <c r="AZ777" s="388"/>
    </row>
    <row r="778" spans="51:52" x14ac:dyDescent="0.2">
      <c r="AY778" s="389"/>
      <c r="AZ778" s="388"/>
    </row>
    <row r="779" spans="51:52" x14ac:dyDescent="0.2">
      <c r="AY779" s="389"/>
      <c r="AZ779" s="388"/>
    </row>
    <row r="780" spans="51:52" x14ac:dyDescent="0.2">
      <c r="AY780" s="389"/>
      <c r="AZ780" s="388"/>
    </row>
    <row r="781" spans="51:52" x14ac:dyDescent="0.2">
      <c r="AY781" s="389"/>
      <c r="AZ781" s="388"/>
    </row>
    <row r="782" spans="51:52" x14ac:dyDescent="0.2">
      <c r="AY782" s="389"/>
      <c r="AZ782" s="388"/>
    </row>
    <row r="783" spans="51:52" x14ac:dyDescent="0.2">
      <c r="AY783" s="389"/>
      <c r="AZ783" s="388"/>
    </row>
    <row r="784" spans="51:52" x14ac:dyDescent="0.2">
      <c r="AY784" s="389"/>
      <c r="AZ784" s="388"/>
    </row>
    <row r="785" spans="51:52" x14ac:dyDescent="0.2">
      <c r="AY785" s="389"/>
      <c r="AZ785" s="388"/>
    </row>
    <row r="786" spans="51:52" x14ac:dyDescent="0.2">
      <c r="AY786" s="389"/>
      <c r="AZ786" s="388"/>
    </row>
    <row r="787" spans="51:52" x14ac:dyDescent="0.2">
      <c r="AY787" s="389"/>
      <c r="AZ787" s="388"/>
    </row>
    <row r="788" spans="51:52" x14ac:dyDescent="0.2">
      <c r="AY788" s="389"/>
      <c r="AZ788" s="388"/>
    </row>
    <row r="789" spans="51:52" x14ac:dyDescent="0.2">
      <c r="AY789" s="389"/>
      <c r="AZ789" s="388"/>
    </row>
    <row r="790" spans="51:52" x14ac:dyDescent="0.2">
      <c r="AY790" s="389"/>
      <c r="AZ790" s="388"/>
    </row>
    <row r="791" spans="51:52" x14ac:dyDescent="0.2">
      <c r="AY791" s="389"/>
      <c r="AZ791" s="388"/>
    </row>
    <row r="792" spans="51:52" x14ac:dyDescent="0.2">
      <c r="AY792" s="389"/>
      <c r="AZ792" s="388"/>
    </row>
    <row r="793" spans="51:52" x14ac:dyDescent="0.2">
      <c r="AY793" s="389"/>
      <c r="AZ793" s="388"/>
    </row>
    <row r="794" spans="51:52" x14ac:dyDescent="0.2">
      <c r="AY794" s="389"/>
      <c r="AZ794" s="388"/>
    </row>
    <row r="795" spans="51:52" x14ac:dyDescent="0.2">
      <c r="AY795" s="389"/>
      <c r="AZ795" s="388"/>
    </row>
    <row r="796" spans="51:52" x14ac:dyDescent="0.2">
      <c r="AY796" s="389"/>
      <c r="AZ796" s="388"/>
    </row>
    <row r="797" spans="51:52" x14ac:dyDescent="0.2">
      <c r="AY797" s="389"/>
      <c r="AZ797" s="388"/>
    </row>
    <row r="798" spans="51:52" x14ac:dyDescent="0.2">
      <c r="AY798" s="389"/>
      <c r="AZ798" s="388"/>
    </row>
    <row r="799" spans="51:52" x14ac:dyDescent="0.2">
      <c r="AY799" s="389"/>
      <c r="AZ799" s="388"/>
    </row>
    <row r="800" spans="51:52" x14ac:dyDescent="0.2">
      <c r="AY800" s="389"/>
      <c r="AZ800" s="388"/>
    </row>
    <row r="801" spans="51:52" x14ac:dyDescent="0.2">
      <c r="AY801" s="389"/>
      <c r="AZ801" s="388"/>
    </row>
    <row r="802" spans="51:52" x14ac:dyDescent="0.2">
      <c r="AY802" s="389"/>
      <c r="AZ802" s="388"/>
    </row>
    <row r="803" spans="51:52" x14ac:dyDescent="0.2">
      <c r="AY803" s="389"/>
      <c r="AZ803" s="388"/>
    </row>
    <row r="804" spans="51:52" x14ac:dyDescent="0.2">
      <c r="AY804" s="389"/>
      <c r="AZ804" s="388"/>
    </row>
    <row r="805" spans="51:52" x14ac:dyDescent="0.2">
      <c r="AY805" s="389"/>
      <c r="AZ805" s="388"/>
    </row>
    <row r="806" spans="51:52" x14ac:dyDescent="0.2">
      <c r="AY806" s="389"/>
      <c r="AZ806" s="388"/>
    </row>
    <row r="807" spans="51:52" x14ac:dyDescent="0.2">
      <c r="AY807" s="389"/>
      <c r="AZ807" s="388"/>
    </row>
    <row r="808" spans="51:52" x14ac:dyDescent="0.2">
      <c r="AY808" s="389"/>
      <c r="AZ808" s="388"/>
    </row>
    <row r="809" spans="51:52" x14ac:dyDescent="0.2">
      <c r="AY809" s="389"/>
      <c r="AZ809" s="388"/>
    </row>
    <row r="810" spans="51:52" x14ac:dyDescent="0.2">
      <c r="AY810" s="389"/>
      <c r="AZ810" s="388"/>
    </row>
    <row r="811" spans="51:52" x14ac:dyDescent="0.2">
      <c r="AY811" s="389"/>
      <c r="AZ811" s="388"/>
    </row>
    <row r="812" spans="51:52" x14ac:dyDescent="0.2">
      <c r="AY812" s="389"/>
      <c r="AZ812" s="388"/>
    </row>
    <row r="813" spans="51:52" x14ac:dyDescent="0.2">
      <c r="AY813" s="389"/>
      <c r="AZ813" s="388"/>
    </row>
    <row r="814" spans="51:52" x14ac:dyDescent="0.2">
      <c r="AY814" s="389"/>
      <c r="AZ814" s="388"/>
    </row>
    <row r="815" spans="51:52" x14ac:dyDescent="0.2">
      <c r="AY815" s="389"/>
      <c r="AZ815" s="388"/>
    </row>
    <row r="816" spans="51:52" x14ac:dyDescent="0.2">
      <c r="AY816" s="389"/>
      <c r="AZ816" s="388"/>
    </row>
    <row r="817" spans="51:52" x14ac:dyDescent="0.2">
      <c r="AY817" s="389"/>
      <c r="AZ817" s="388"/>
    </row>
    <row r="818" spans="51:52" x14ac:dyDescent="0.2">
      <c r="AY818" s="389"/>
      <c r="AZ818" s="388"/>
    </row>
    <row r="819" spans="51:52" x14ac:dyDescent="0.2">
      <c r="AY819" s="389"/>
      <c r="AZ819" s="388"/>
    </row>
    <row r="820" spans="51:52" x14ac:dyDescent="0.2">
      <c r="AY820" s="389"/>
      <c r="AZ820" s="388"/>
    </row>
    <row r="821" spans="51:52" x14ac:dyDescent="0.2">
      <c r="AY821" s="389"/>
      <c r="AZ821" s="388"/>
    </row>
    <row r="822" spans="51:52" x14ac:dyDescent="0.2">
      <c r="AY822" s="389"/>
      <c r="AZ822" s="388"/>
    </row>
    <row r="823" spans="51:52" x14ac:dyDescent="0.2">
      <c r="AY823" s="389"/>
      <c r="AZ823" s="388"/>
    </row>
    <row r="824" spans="51:52" x14ac:dyDescent="0.2">
      <c r="AY824" s="389"/>
      <c r="AZ824" s="388"/>
    </row>
    <row r="825" spans="51:52" x14ac:dyDescent="0.2">
      <c r="AY825" s="389"/>
      <c r="AZ825" s="388"/>
    </row>
    <row r="826" spans="51:52" x14ac:dyDescent="0.2">
      <c r="AY826" s="389"/>
      <c r="AZ826" s="388"/>
    </row>
    <row r="827" spans="51:52" x14ac:dyDescent="0.2">
      <c r="AY827" s="389"/>
      <c r="AZ827" s="388"/>
    </row>
    <row r="828" spans="51:52" x14ac:dyDescent="0.2">
      <c r="AY828" s="389"/>
      <c r="AZ828" s="388"/>
    </row>
    <row r="829" spans="51:52" x14ac:dyDescent="0.2">
      <c r="AY829" s="389"/>
      <c r="AZ829" s="388"/>
    </row>
    <row r="830" spans="51:52" x14ac:dyDescent="0.2">
      <c r="AY830" s="389"/>
      <c r="AZ830" s="388"/>
    </row>
    <row r="831" spans="51:52" x14ac:dyDescent="0.2">
      <c r="AY831" s="389"/>
      <c r="AZ831" s="388"/>
    </row>
    <row r="832" spans="51:52" x14ac:dyDescent="0.2">
      <c r="AY832" s="389"/>
      <c r="AZ832" s="388"/>
    </row>
    <row r="833" spans="51:52" x14ac:dyDescent="0.2">
      <c r="AY833" s="389"/>
      <c r="AZ833" s="388"/>
    </row>
    <row r="834" spans="51:52" x14ac:dyDescent="0.2">
      <c r="AY834" s="389"/>
      <c r="AZ834" s="388"/>
    </row>
    <row r="835" spans="51:52" x14ac:dyDescent="0.2">
      <c r="AY835" s="389"/>
      <c r="AZ835" s="388"/>
    </row>
    <row r="836" spans="51:52" x14ac:dyDescent="0.2">
      <c r="AY836" s="389"/>
      <c r="AZ836" s="388"/>
    </row>
    <row r="837" spans="51:52" x14ac:dyDescent="0.2">
      <c r="AY837" s="389"/>
      <c r="AZ837" s="388"/>
    </row>
    <row r="838" spans="51:52" x14ac:dyDescent="0.2">
      <c r="AY838" s="389"/>
      <c r="AZ838" s="388"/>
    </row>
    <row r="839" spans="51:52" x14ac:dyDescent="0.2">
      <c r="AY839" s="389"/>
      <c r="AZ839" s="388"/>
    </row>
    <row r="840" spans="51:52" x14ac:dyDescent="0.2">
      <c r="AY840" s="389"/>
      <c r="AZ840" s="388"/>
    </row>
    <row r="841" spans="51:52" x14ac:dyDescent="0.2">
      <c r="AY841" s="389"/>
      <c r="AZ841" s="388"/>
    </row>
    <row r="842" spans="51:52" x14ac:dyDescent="0.2">
      <c r="AY842" s="389"/>
      <c r="AZ842" s="388"/>
    </row>
    <row r="843" spans="51:52" x14ac:dyDescent="0.2">
      <c r="AY843" s="389"/>
      <c r="AZ843" s="388"/>
    </row>
    <row r="844" spans="51:52" x14ac:dyDescent="0.2">
      <c r="AY844" s="389"/>
      <c r="AZ844" s="388"/>
    </row>
    <row r="845" spans="51:52" x14ac:dyDescent="0.2">
      <c r="AY845" s="389"/>
      <c r="AZ845" s="388"/>
    </row>
    <row r="846" spans="51:52" x14ac:dyDescent="0.2">
      <c r="AY846" s="389"/>
      <c r="AZ846" s="388"/>
    </row>
    <row r="847" spans="51:52" x14ac:dyDescent="0.2">
      <c r="AY847" s="389"/>
      <c r="AZ847" s="388"/>
    </row>
    <row r="848" spans="51:52" x14ac:dyDescent="0.2">
      <c r="AY848" s="389"/>
      <c r="AZ848" s="388"/>
    </row>
    <row r="849" spans="51:52" x14ac:dyDescent="0.2">
      <c r="AY849" s="389"/>
      <c r="AZ849" s="388"/>
    </row>
    <row r="850" spans="51:52" x14ac:dyDescent="0.2">
      <c r="AY850" s="389"/>
      <c r="AZ850" s="388"/>
    </row>
    <row r="851" spans="51:52" x14ac:dyDescent="0.2">
      <c r="AY851" s="389"/>
      <c r="AZ851" s="388"/>
    </row>
    <row r="852" spans="51:52" x14ac:dyDescent="0.2">
      <c r="AY852" s="389"/>
      <c r="AZ852" s="388"/>
    </row>
    <row r="853" spans="51:52" x14ac:dyDescent="0.2">
      <c r="AY853" s="389"/>
      <c r="AZ853" s="388"/>
    </row>
    <row r="854" spans="51:52" x14ac:dyDescent="0.2">
      <c r="AY854" s="389"/>
      <c r="AZ854" s="388"/>
    </row>
    <row r="855" spans="51:52" x14ac:dyDescent="0.2">
      <c r="AY855" s="389"/>
      <c r="AZ855" s="388"/>
    </row>
    <row r="856" spans="51:52" x14ac:dyDescent="0.2">
      <c r="AY856" s="389"/>
      <c r="AZ856" s="388"/>
    </row>
    <row r="857" spans="51:52" x14ac:dyDescent="0.2">
      <c r="AY857" s="389"/>
      <c r="AZ857" s="388"/>
    </row>
    <row r="858" spans="51:52" x14ac:dyDescent="0.2">
      <c r="AY858" s="389"/>
      <c r="AZ858" s="388"/>
    </row>
    <row r="859" spans="51:52" x14ac:dyDescent="0.2">
      <c r="AY859" s="389"/>
      <c r="AZ859" s="388"/>
    </row>
    <row r="860" spans="51:52" x14ac:dyDescent="0.2">
      <c r="AY860" s="389"/>
      <c r="AZ860" s="388"/>
    </row>
    <row r="861" spans="51:52" x14ac:dyDescent="0.2">
      <c r="AY861" s="389"/>
      <c r="AZ861" s="388"/>
    </row>
    <row r="862" spans="51:52" x14ac:dyDescent="0.2">
      <c r="AY862" s="389"/>
      <c r="AZ862" s="388"/>
    </row>
    <row r="863" spans="51:52" x14ac:dyDescent="0.2">
      <c r="AY863" s="389"/>
      <c r="AZ863" s="388"/>
    </row>
    <row r="864" spans="51:52" x14ac:dyDescent="0.2">
      <c r="AY864" s="389"/>
      <c r="AZ864" s="388"/>
    </row>
    <row r="865" spans="51:52" x14ac:dyDescent="0.2">
      <c r="AY865" s="389"/>
      <c r="AZ865" s="388"/>
    </row>
    <row r="866" spans="51:52" x14ac:dyDescent="0.2">
      <c r="AY866" s="389"/>
      <c r="AZ866" s="388"/>
    </row>
    <row r="867" spans="51:52" x14ac:dyDescent="0.2">
      <c r="AY867" s="389"/>
      <c r="AZ867" s="388"/>
    </row>
    <row r="868" spans="51:52" x14ac:dyDescent="0.2">
      <c r="AY868" s="389"/>
      <c r="AZ868" s="388"/>
    </row>
    <row r="869" spans="51:52" x14ac:dyDescent="0.2">
      <c r="AY869" s="389"/>
      <c r="AZ869" s="388"/>
    </row>
    <row r="870" spans="51:52" x14ac:dyDescent="0.2">
      <c r="AY870" s="389"/>
      <c r="AZ870" s="388"/>
    </row>
    <row r="871" spans="51:52" x14ac:dyDescent="0.2">
      <c r="AY871" s="389"/>
      <c r="AZ871" s="388"/>
    </row>
    <row r="872" spans="51:52" x14ac:dyDescent="0.2">
      <c r="AY872" s="389"/>
      <c r="AZ872" s="388"/>
    </row>
    <row r="873" spans="51:52" x14ac:dyDescent="0.2">
      <c r="AY873" s="389"/>
      <c r="AZ873" s="388"/>
    </row>
    <row r="874" spans="51:52" x14ac:dyDescent="0.2">
      <c r="AY874" s="389"/>
      <c r="AZ874" s="388"/>
    </row>
    <row r="875" spans="51:52" x14ac:dyDescent="0.2">
      <c r="AY875" s="389"/>
      <c r="AZ875" s="388"/>
    </row>
    <row r="876" spans="51:52" x14ac:dyDescent="0.2">
      <c r="AY876" s="389"/>
      <c r="AZ876" s="388"/>
    </row>
    <row r="877" spans="51:52" x14ac:dyDescent="0.2">
      <c r="AY877" s="389"/>
      <c r="AZ877" s="388"/>
    </row>
    <row r="878" spans="51:52" x14ac:dyDescent="0.2">
      <c r="AY878" s="389"/>
      <c r="AZ878" s="388"/>
    </row>
    <row r="879" spans="51:52" x14ac:dyDescent="0.2">
      <c r="AY879" s="389"/>
      <c r="AZ879" s="388"/>
    </row>
    <row r="880" spans="51:52" x14ac:dyDescent="0.2">
      <c r="AY880" s="389"/>
      <c r="AZ880" s="388"/>
    </row>
    <row r="881" spans="51:52" x14ac:dyDescent="0.2">
      <c r="AY881" s="389"/>
      <c r="AZ881" s="388"/>
    </row>
    <row r="882" spans="51:52" x14ac:dyDescent="0.2">
      <c r="AY882" s="389"/>
      <c r="AZ882" s="388"/>
    </row>
    <row r="883" spans="51:52" x14ac:dyDescent="0.2">
      <c r="AY883" s="389"/>
      <c r="AZ883" s="388"/>
    </row>
    <row r="884" spans="51:52" x14ac:dyDescent="0.2">
      <c r="AY884" s="389"/>
      <c r="AZ884" s="388"/>
    </row>
    <row r="885" spans="51:52" x14ac:dyDescent="0.2">
      <c r="AY885" s="389"/>
      <c r="AZ885" s="388"/>
    </row>
    <row r="886" spans="51:52" x14ac:dyDescent="0.2">
      <c r="AY886" s="389"/>
      <c r="AZ886" s="388"/>
    </row>
    <row r="887" spans="51:52" x14ac:dyDescent="0.2">
      <c r="AY887" s="389"/>
      <c r="AZ887" s="388"/>
    </row>
    <row r="888" spans="51:52" x14ac:dyDescent="0.2">
      <c r="AY888" s="389"/>
      <c r="AZ888" s="388"/>
    </row>
    <row r="889" spans="51:52" x14ac:dyDescent="0.2">
      <c r="AY889" s="389"/>
      <c r="AZ889" s="388"/>
    </row>
    <row r="890" spans="51:52" x14ac:dyDescent="0.2">
      <c r="AY890" s="389"/>
      <c r="AZ890" s="388"/>
    </row>
    <row r="891" spans="51:52" x14ac:dyDescent="0.2">
      <c r="AY891" s="389"/>
      <c r="AZ891" s="388"/>
    </row>
    <row r="892" spans="51:52" x14ac:dyDescent="0.2">
      <c r="AY892" s="389"/>
      <c r="AZ892" s="388"/>
    </row>
    <row r="893" spans="51:52" x14ac:dyDescent="0.2">
      <c r="AY893" s="389"/>
      <c r="AZ893" s="388"/>
    </row>
    <row r="894" spans="51:52" x14ac:dyDescent="0.2">
      <c r="AY894" s="389"/>
      <c r="AZ894" s="388"/>
    </row>
    <row r="895" spans="51:52" x14ac:dyDescent="0.2">
      <c r="AY895" s="389"/>
      <c r="AZ895" s="388"/>
    </row>
    <row r="896" spans="51:52" x14ac:dyDescent="0.2">
      <c r="AY896" s="389"/>
      <c r="AZ896" s="388"/>
    </row>
    <row r="897" spans="51:52" x14ac:dyDescent="0.2">
      <c r="AY897" s="389"/>
      <c r="AZ897" s="388"/>
    </row>
    <row r="898" spans="51:52" x14ac:dyDescent="0.2">
      <c r="AY898" s="389"/>
      <c r="AZ898" s="388"/>
    </row>
    <row r="899" spans="51:52" x14ac:dyDescent="0.2">
      <c r="AY899" s="389"/>
      <c r="AZ899" s="388"/>
    </row>
    <row r="900" spans="51:52" x14ac:dyDescent="0.2">
      <c r="AY900" s="389"/>
      <c r="AZ900" s="388"/>
    </row>
    <row r="901" spans="51:52" x14ac:dyDescent="0.2">
      <c r="AY901" s="389"/>
      <c r="AZ901" s="388"/>
    </row>
    <row r="902" spans="51:52" x14ac:dyDescent="0.2">
      <c r="AY902" s="389"/>
      <c r="AZ902" s="388"/>
    </row>
    <row r="903" spans="51:52" x14ac:dyDescent="0.2">
      <c r="AY903" s="389"/>
      <c r="AZ903" s="388"/>
    </row>
    <row r="904" spans="51:52" x14ac:dyDescent="0.2">
      <c r="AY904" s="389"/>
      <c r="AZ904" s="388"/>
    </row>
    <row r="905" spans="51:52" x14ac:dyDescent="0.2">
      <c r="AY905" s="389"/>
      <c r="AZ905" s="388"/>
    </row>
    <row r="906" spans="51:52" x14ac:dyDescent="0.2">
      <c r="AY906" s="389"/>
      <c r="AZ906" s="388"/>
    </row>
    <row r="907" spans="51:52" x14ac:dyDescent="0.2">
      <c r="AY907" s="389"/>
      <c r="AZ907" s="388"/>
    </row>
    <row r="908" spans="51:52" x14ac:dyDescent="0.2">
      <c r="AY908" s="389"/>
      <c r="AZ908" s="388"/>
    </row>
    <row r="909" spans="51:52" x14ac:dyDescent="0.2">
      <c r="AY909" s="389"/>
      <c r="AZ909" s="388"/>
    </row>
    <row r="910" spans="51:52" x14ac:dyDescent="0.2">
      <c r="AY910" s="389"/>
      <c r="AZ910" s="388"/>
    </row>
    <row r="911" spans="51:52" x14ac:dyDescent="0.2">
      <c r="AY911" s="389"/>
      <c r="AZ911" s="388"/>
    </row>
    <row r="912" spans="51:52" x14ac:dyDescent="0.2">
      <c r="AY912" s="389"/>
      <c r="AZ912" s="388"/>
    </row>
    <row r="913" spans="51:52" x14ac:dyDescent="0.2">
      <c r="AY913" s="389"/>
      <c r="AZ913" s="388"/>
    </row>
    <row r="914" spans="51:52" x14ac:dyDescent="0.2">
      <c r="AY914" s="389"/>
      <c r="AZ914" s="388"/>
    </row>
    <row r="915" spans="51:52" x14ac:dyDescent="0.2">
      <c r="AY915" s="389"/>
      <c r="AZ915" s="388"/>
    </row>
    <row r="916" spans="51:52" x14ac:dyDescent="0.2">
      <c r="AY916" s="389"/>
      <c r="AZ916" s="388"/>
    </row>
    <row r="917" spans="51:52" x14ac:dyDescent="0.2">
      <c r="AY917" s="389"/>
      <c r="AZ917" s="388"/>
    </row>
    <row r="918" spans="51:52" x14ac:dyDescent="0.2">
      <c r="AY918" s="389"/>
      <c r="AZ918" s="388"/>
    </row>
    <row r="919" spans="51:52" x14ac:dyDescent="0.2">
      <c r="AY919" s="389"/>
      <c r="AZ919" s="388"/>
    </row>
    <row r="920" spans="51:52" x14ac:dyDescent="0.2">
      <c r="AY920" s="389"/>
      <c r="AZ920" s="388"/>
    </row>
    <row r="921" spans="51:52" x14ac:dyDescent="0.2">
      <c r="AY921" s="389"/>
      <c r="AZ921" s="388"/>
    </row>
    <row r="922" spans="51:52" x14ac:dyDescent="0.2">
      <c r="AY922" s="389"/>
      <c r="AZ922" s="388"/>
    </row>
    <row r="923" spans="51:52" x14ac:dyDescent="0.2">
      <c r="AY923" s="389"/>
      <c r="AZ923" s="388"/>
    </row>
    <row r="924" spans="51:52" x14ac:dyDescent="0.2">
      <c r="AY924" s="389"/>
      <c r="AZ924" s="388"/>
    </row>
    <row r="925" spans="51:52" x14ac:dyDescent="0.2">
      <c r="AY925" s="389"/>
      <c r="AZ925" s="388"/>
    </row>
    <row r="926" spans="51:52" x14ac:dyDescent="0.2">
      <c r="AY926" s="389"/>
      <c r="AZ926" s="388"/>
    </row>
    <row r="927" spans="51:52" x14ac:dyDescent="0.2">
      <c r="AY927" s="389"/>
      <c r="AZ927" s="388"/>
    </row>
    <row r="928" spans="51:52" x14ac:dyDescent="0.2">
      <c r="AY928" s="389"/>
      <c r="AZ928" s="388"/>
    </row>
    <row r="929" spans="51:52" x14ac:dyDescent="0.2">
      <c r="AY929" s="389"/>
      <c r="AZ929" s="388"/>
    </row>
    <row r="930" spans="51:52" x14ac:dyDescent="0.2">
      <c r="AY930" s="389"/>
      <c r="AZ930" s="388"/>
    </row>
    <row r="931" spans="51:52" x14ac:dyDescent="0.2">
      <c r="AY931" s="389"/>
      <c r="AZ931" s="388"/>
    </row>
    <row r="932" spans="51:52" x14ac:dyDescent="0.2">
      <c r="AY932" s="389"/>
      <c r="AZ932" s="388"/>
    </row>
    <row r="933" spans="51:52" x14ac:dyDescent="0.2">
      <c r="AY933" s="389"/>
      <c r="AZ933" s="388"/>
    </row>
    <row r="934" spans="51:52" x14ac:dyDescent="0.2">
      <c r="AY934" s="389"/>
      <c r="AZ934" s="388"/>
    </row>
    <row r="935" spans="51:52" x14ac:dyDescent="0.2">
      <c r="AY935" s="389"/>
      <c r="AZ935" s="388"/>
    </row>
    <row r="936" spans="51:52" x14ac:dyDescent="0.2">
      <c r="AY936" s="389"/>
      <c r="AZ936" s="388"/>
    </row>
    <row r="937" spans="51:52" x14ac:dyDescent="0.2">
      <c r="AY937" s="389"/>
      <c r="AZ937" s="388"/>
    </row>
    <row r="938" spans="51:52" x14ac:dyDescent="0.2">
      <c r="AY938" s="389"/>
      <c r="AZ938" s="388"/>
    </row>
    <row r="939" spans="51:52" x14ac:dyDescent="0.2">
      <c r="AY939" s="389"/>
      <c r="AZ939" s="388"/>
    </row>
    <row r="940" spans="51:52" x14ac:dyDescent="0.2">
      <c r="AY940" s="389"/>
      <c r="AZ940" s="388"/>
    </row>
    <row r="941" spans="51:52" x14ac:dyDescent="0.2">
      <c r="AY941" s="389"/>
      <c r="AZ941" s="388"/>
    </row>
    <row r="942" spans="51:52" x14ac:dyDescent="0.2">
      <c r="AY942" s="389"/>
      <c r="AZ942" s="388"/>
    </row>
    <row r="943" spans="51:52" x14ac:dyDescent="0.2">
      <c r="AY943" s="389"/>
      <c r="AZ943" s="388"/>
    </row>
    <row r="944" spans="51:52" x14ac:dyDescent="0.2">
      <c r="AY944" s="389"/>
      <c r="AZ944" s="388"/>
    </row>
    <row r="945" spans="51:52" x14ac:dyDescent="0.2">
      <c r="AY945" s="389"/>
      <c r="AZ945" s="388"/>
    </row>
    <row r="946" spans="51:52" x14ac:dyDescent="0.2">
      <c r="AY946" s="389"/>
      <c r="AZ946" s="388"/>
    </row>
    <row r="947" spans="51:52" x14ac:dyDescent="0.2">
      <c r="AY947" s="389"/>
      <c r="AZ947" s="388"/>
    </row>
    <row r="948" spans="51:52" x14ac:dyDescent="0.2">
      <c r="AY948" s="389"/>
      <c r="AZ948" s="388"/>
    </row>
    <row r="949" spans="51:52" x14ac:dyDescent="0.2">
      <c r="AY949" s="389"/>
      <c r="AZ949" s="388"/>
    </row>
    <row r="950" spans="51:52" x14ac:dyDescent="0.2">
      <c r="AY950" s="389"/>
      <c r="AZ950" s="388"/>
    </row>
    <row r="951" spans="51:52" x14ac:dyDescent="0.2">
      <c r="AY951" s="389"/>
      <c r="AZ951" s="388"/>
    </row>
    <row r="952" spans="51:52" x14ac:dyDescent="0.2">
      <c r="AY952" s="389"/>
      <c r="AZ952" s="388"/>
    </row>
    <row r="953" spans="51:52" x14ac:dyDescent="0.2">
      <c r="AY953" s="389"/>
      <c r="AZ953" s="388"/>
    </row>
    <row r="954" spans="51:52" x14ac:dyDescent="0.2">
      <c r="AY954" s="389"/>
      <c r="AZ954" s="388"/>
    </row>
    <row r="955" spans="51:52" x14ac:dyDescent="0.2">
      <c r="AY955" s="389"/>
      <c r="AZ955" s="388"/>
    </row>
    <row r="956" spans="51:52" x14ac:dyDescent="0.2">
      <c r="AY956" s="389"/>
      <c r="AZ956" s="388"/>
    </row>
    <row r="957" spans="51:52" x14ac:dyDescent="0.2">
      <c r="AY957" s="389"/>
      <c r="AZ957" s="388"/>
    </row>
    <row r="958" spans="51:52" x14ac:dyDescent="0.2">
      <c r="AY958" s="389"/>
      <c r="AZ958" s="388"/>
    </row>
    <row r="959" spans="51:52" x14ac:dyDescent="0.2">
      <c r="AY959" s="389"/>
      <c r="AZ959" s="388"/>
    </row>
    <row r="960" spans="51:52" x14ac:dyDescent="0.2">
      <c r="AY960" s="389"/>
      <c r="AZ960" s="388"/>
    </row>
    <row r="961" spans="51:52" x14ac:dyDescent="0.2">
      <c r="AY961" s="389"/>
      <c r="AZ961" s="388"/>
    </row>
    <row r="962" spans="51:52" x14ac:dyDescent="0.2">
      <c r="AY962" s="389"/>
      <c r="AZ962" s="388"/>
    </row>
    <row r="963" spans="51:52" x14ac:dyDescent="0.2">
      <c r="AY963" s="389"/>
      <c r="AZ963" s="388"/>
    </row>
    <row r="964" spans="51:52" x14ac:dyDescent="0.2">
      <c r="AY964" s="389"/>
      <c r="AZ964" s="388"/>
    </row>
    <row r="965" spans="51:52" x14ac:dyDescent="0.2">
      <c r="AY965" s="389"/>
      <c r="AZ965" s="388"/>
    </row>
    <row r="966" spans="51:52" x14ac:dyDescent="0.2">
      <c r="AY966" s="389"/>
      <c r="AZ966" s="388"/>
    </row>
    <row r="967" spans="51:52" x14ac:dyDescent="0.2">
      <c r="AY967" s="389"/>
      <c r="AZ967" s="388"/>
    </row>
    <row r="968" spans="51:52" x14ac:dyDescent="0.2">
      <c r="AY968" s="389"/>
      <c r="AZ968" s="388"/>
    </row>
    <row r="969" spans="51:52" x14ac:dyDescent="0.2">
      <c r="AY969" s="389"/>
      <c r="AZ969" s="388"/>
    </row>
    <row r="970" spans="51:52" x14ac:dyDescent="0.2">
      <c r="AY970" s="389"/>
      <c r="AZ970" s="388"/>
    </row>
    <row r="971" spans="51:52" x14ac:dyDescent="0.2">
      <c r="AY971" s="389"/>
      <c r="AZ971" s="388"/>
    </row>
    <row r="972" spans="51:52" x14ac:dyDescent="0.2">
      <c r="AY972" s="389"/>
      <c r="AZ972" s="388"/>
    </row>
    <row r="973" spans="51:52" x14ac:dyDescent="0.2">
      <c r="AY973" s="389"/>
      <c r="AZ973" s="388"/>
    </row>
    <row r="974" spans="51:52" x14ac:dyDescent="0.2">
      <c r="AY974" s="389"/>
      <c r="AZ974" s="388"/>
    </row>
    <row r="975" spans="51:52" x14ac:dyDescent="0.2">
      <c r="AY975" s="389"/>
      <c r="AZ975" s="388"/>
    </row>
    <row r="976" spans="51:52" x14ac:dyDescent="0.2">
      <c r="AY976" s="389"/>
      <c r="AZ976" s="388"/>
    </row>
    <row r="977" spans="51:52" x14ac:dyDescent="0.2">
      <c r="AY977" s="389"/>
      <c r="AZ977" s="388"/>
    </row>
    <row r="978" spans="51:52" x14ac:dyDescent="0.2">
      <c r="AY978" s="389"/>
      <c r="AZ978" s="388"/>
    </row>
    <row r="979" spans="51:52" x14ac:dyDescent="0.2">
      <c r="AY979" s="389"/>
      <c r="AZ979" s="388"/>
    </row>
    <row r="980" spans="51:52" x14ac:dyDescent="0.2">
      <c r="AY980" s="389"/>
      <c r="AZ980" s="388"/>
    </row>
    <row r="981" spans="51:52" x14ac:dyDescent="0.2">
      <c r="AY981" s="389"/>
      <c r="AZ981" s="388"/>
    </row>
    <row r="982" spans="51:52" x14ac:dyDescent="0.2">
      <c r="AY982" s="389"/>
      <c r="AZ982" s="388"/>
    </row>
    <row r="983" spans="51:52" x14ac:dyDescent="0.2">
      <c r="AY983" s="389"/>
      <c r="AZ983" s="388"/>
    </row>
    <row r="984" spans="51:52" x14ac:dyDescent="0.2">
      <c r="AY984" s="389"/>
      <c r="AZ984" s="388"/>
    </row>
    <row r="985" spans="51:52" x14ac:dyDescent="0.2">
      <c r="AY985" s="389"/>
      <c r="AZ985" s="388"/>
    </row>
    <row r="986" spans="51:52" x14ac:dyDescent="0.2">
      <c r="AY986" s="389"/>
      <c r="AZ986" s="388"/>
    </row>
    <row r="987" spans="51:52" x14ac:dyDescent="0.2">
      <c r="AY987" s="389"/>
      <c r="AZ987" s="388"/>
    </row>
    <row r="988" spans="51:52" x14ac:dyDescent="0.2">
      <c r="AY988" s="389"/>
      <c r="AZ988" s="388"/>
    </row>
    <row r="989" spans="51:52" x14ac:dyDescent="0.2">
      <c r="AY989" s="389"/>
      <c r="AZ989" s="388"/>
    </row>
    <row r="990" spans="51:52" x14ac:dyDescent="0.2">
      <c r="AY990" s="389"/>
      <c r="AZ990" s="388"/>
    </row>
    <row r="991" spans="51:52" x14ac:dyDescent="0.2">
      <c r="AY991" s="389"/>
      <c r="AZ991" s="388"/>
    </row>
    <row r="992" spans="51:52" x14ac:dyDescent="0.2">
      <c r="AY992" s="389"/>
      <c r="AZ992" s="388"/>
    </row>
    <row r="993" spans="51:52" x14ac:dyDescent="0.2">
      <c r="AY993" s="389"/>
      <c r="AZ993" s="388"/>
    </row>
    <row r="994" spans="51:52" x14ac:dyDescent="0.2">
      <c r="AY994" s="389"/>
      <c r="AZ994" s="388"/>
    </row>
    <row r="995" spans="51:52" x14ac:dyDescent="0.2">
      <c r="AY995" s="389"/>
      <c r="AZ995" s="388"/>
    </row>
    <row r="996" spans="51:52" x14ac:dyDescent="0.2">
      <c r="AY996" s="389"/>
      <c r="AZ996" s="388"/>
    </row>
    <row r="997" spans="51:52" x14ac:dyDescent="0.2">
      <c r="AY997" s="389"/>
      <c r="AZ997" s="388"/>
    </row>
    <row r="998" spans="51:52" x14ac:dyDescent="0.2">
      <c r="AY998" s="389"/>
      <c r="AZ998" s="388"/>
    </row>
    <row r="999" spans="51:52" x14ac:dyDescent="0.2">
      <c r="AY999" s="389"/>
      <c r="AZ999" s="388"/>
    </row>
    <row r="1000" spans="51:52" x14ac:dyDescent="0.2">
      <c r="AY1000" s="389"/>
      <c r="AZ1000" s="388"/>
    </row>
    <row r="1001" spans="51:52" x14ac:dyDescent="0.2">
      <c r="AY1001" s="389"/>
      <c r="AZ1001" s="388"/>
    </row>
    <row r="1002" spans="51:52" x14ac:dyDescent="0.2">
      <c r="AY1002" s="389"/>
      <c r="AZ1002" s="388"/>
    </row>
    <row r="1003" spans="51:52" x14ac:dyDescent="0.2">
      <c r="AY1003" s="389"/>
      <c r="AZ1003" s="388"/>
    </row>
    <row r="1004" spans="51:52" x14ac:dyDescent="0.2">
      <c r="AY1004" s="389"/>
      <c r="AZ1004" s="388"/>
    </row>
    <row r="1005" spans="51:52" x14ac:dyDescent="0.2">
      <c r="AY1005" s="389"/>
      <c r="AZ1005" s="388"/>
    </row>
    <row r="1006" spans="51:52" x14ac:dyDescent="0.2">
      <c r="AY1006" s="389"/>
      <c r="AZ1006" s="388"/>
    </row>
    <row r="1007" spans="51:52" x14ac:dyDescent="0.2">
      <c r="AY1007" s="389"/>
      <c r="AZ1007" s="388"/>
    </row>
    <row r="1008" spans="51:52" x14ac:dyDescent="0.2">
      <c r="AY1008" s="389"/>
      <c r="AZ1008" s="388"/>
    </row>
    <row r="1009" spans="51:52" x14ac:dyDescent="0.2">
      <c r="AY1009" s="389"/>
      <c r="AZ1009" s="388"/>
    </row>
    <row r="1010" spans="51:52" x14ac:dyDescent="0.2">
      <c r="AY1010" s="389"/>
      <c r="AZ1010" s="388"/>
    </row>
    <row r="1011" spans="51:52" x14ac:dyDescent="0.2">
      <c r="AY1011" s="389"/>
      <c r="AZ1011" s="388"/>
    </row>
    <row r="1012" spans="51:52" x14ac:dyDescent="0.2">
      <c r="AY1012" s="389"/>
      <c r="AZ1012" s="388"/>
    </row>
    <row r="1013" spans="51:52" x14ac:dyDescent="0.2">
      <c r="AY1013" s="389"/>
      <c r="AZ1013" s="388"/>
    </row>
    <row r="1014" spans="51:52" x14ac:dyDescent="0.2">
      <c r="AY1014" s="389"/>
      <c r="AZ1014" s="388"/>
    </row>
    <row r="1015" spans="51:52" x14ac:dyDescent="0.2">
      <c r="AY1015" s="389"/>
      <c r="AZ1015" s="388"/>
    </row>
    <row r="1016" spans="51:52" x14ac:dyDescent="0.2">
      <c r="AY1016" s="389"/>
      <c r="AZ1016" s="388"/>
    </row>
    <row r="1017" spans="51:52" x14ac:dyDescent="0.2">
      <c r="AY1017" s="389"/>
      <c r="AZ1017" s="388"/>
    </row>
    <row r="1018" spans="51:52" x14ac:dyDescent="0.2">
      <c r="AY1018" s="389"/>
      <c r="AZ1018" s="388"/>
    </row>
    <row r="1019" spans="51:52" x14ac:dyDescent="0.2">
      <c r="AY1019" s="389"/>
      <c r="AZ1019" s="388"/>
    </row>
    <row r="1020" spans="51:52" x14ac:dyDescent="0.2">
      <c r="AY1020" s="389"/>
      <c r="AZ1020" s="388"/>
    </row>
    <row r="1021" spans="51:52" x14ac:dyDescent="0.2">
      <c r="AY1021" s="389"/>
      <c r="AZ1021" s="388"/>
    </row>
    <row r="1022" spans="51:52" x14ac:dyDescent="0.2">
      <c r="AY1022" s="389"/>
      <c r="AZ1022" s="388"/>
    </row>
    <row r="1023" spans="51:52" x14ac:dyDescent="0.2">
      <c r="AY1023" s="389"/>
      <c r="AZ1023" s="388"/>
    </row>
    <row r="1024" spans="51:52" x14ac:dyDescent="0.2">
      <c r="AY1024" s="389"/>
      <c r="AZ1024" s="388"/>
    </row>
    <row r="1025" spans="51:52" x14ac:dyDescent="0.2">
      <c r="AY1025" s="389"/>
      <c r="AZ1025" s="388"/>
    </row>
    <row r="1026" spans="51:52" x14ac:dyDescent="0.2">
      <c r="AY1026" s="389"/>
      <c r="AZ1026" s="388"/>
    </row>
    <row r="1027" spans="51:52" x14ac:dyDescent="0.2">
      <c r="AY1027" s="389"/>
      <c r="AZ1027" s="388"/>
    </row>
    <row r="1028" spans="51:52" x14ac:dyDescent="0.2">
      <c r="AY1028" s="389"/>
      <c r="AZ1028" s="388"/>
    </row>
    <row r="1029" spans="51:52" x14ac:dyDescent="0.2">
      <c r="AY1029" s="389"/>
      <c r="AZ1029" s="388"/>
    </row>
    <row r="1030" spans="51:52" x14ac:dyDescent="0.2">
      <c r="AY1030" s="389"/>
      <c r="AZ1030" s="388"/>
    </row>
    <row r="1031" spans="51:52" x14ac:dyDescent="0.2">
      <c r="AY1031" s="389"/>
      <c r="AZ1031" s="388"/>
    </row>
    <row r="1032" spans="51:52" x14ac:dyDescent="0.2">
      <c r="AY1032" s="389"/>
      <c r="AZ1032" s="388"/>
    </row>
    <row r="1033" spans="51:52" x14ac:dyDescent="0.2">
      <c r="AY1033" s="389"/>
      <c r="AZ1033" s="388"/>
    </row>
    <row r="1034" spans="51:52" x14ac:dyDescent="0.2">
      <c r="AY1034" s="389"/>
      <c r="AZ1034" s="388"/>
    </row>
    <row r="1035" spans="51:52" x14ac:dyDescent="0.2">
      <c r="AY1035" s="389"/>
      <c r="AZ1035" s="388"/>
    </row>
    <row r="1036" spans="51:52" x14ac:dyDescent="0.2">
      <c r="AY1036" s="389"/>
      <c r="AZ1036" s="388"/>
    </row>
    <row r="1037" spans="51:52" x14ac:dyDescent="0.2">
      <c r="AY1037" s="389"/>
      <c r="AZ1037" s="388"/>
    </row>
    <row r="1038" spans="51:52" x14ac:dyDescent="0.2">
      <c r="AY1038" s="389"/>
      <c r="AZ1038" s="388"/>
    </row>
    <row r="1039" spans="51:52" x14ac:dyDescent="0.2">
      <c r="AY1039" s="389"/>
      <c r="AZ1039" s="388"/>
    </row>
    <row r="1040" spans="51:52" x14ac:dyDescent="0.2">
      <c r="AY1040" s="389"/>
      <c r="AZ1040" s="388"/>
    </row>
    <row r="1041" spans="51:52" x14ac:dyDescent="0.2">
      <c r="AY1041" s="389"/>
      <c r="AZ1041" s="388"/>
    </row>
    <row r="1042" spans="51:52" x14ac:dyDescent="0.2">
      <c r="AY1042" s="389"/>
      <c r="AZ1042" s="388"/>
    </row>
    <row r="1043" spans="51:52" x14ac:dyDescent="0.2">
      <c r="AY1043" s="389"/>
      <c r="AZ1043" s="388"/>
    </row>
    <row r="1044" spans="51:52" x14ac:dyDescent="0.2">
      <c r="AY1044" s="389"/>
      <c r="AZ1044" s="388"/>
    </row>
    <row r="1045" spans="51:52" x14ac:dyDescent="0.2">
      <c r="AY1045" s="389"/>
      <c r="AZ1045" s="388"/>
    </row>
    <row r="1046" spans="51:52" x14ac:dyDescent="0.2">
      <c r="AY1046" s="389"/>
      <c r="AZ1046" s="388"/>
    </row>
    <row r="1047" spans="51:52" x14ac:dyDescent="0.2">
      <c r="AY1047" s="389"/>
      <c r="AZ1047" s="388"/>
    </row>
    <row r="1048" spans="51:52" x14ac:dyDescent="0.2">
      <c r="AY1048" s="389"/>
      <c r="AZ1048" s="388"/>
    </row>
    <row r="1049" spans="51:52" x14ac:dyDescent="0.2">
      <c r="AY1049" s="389"/>
      <c r="AZ1049" s="388"/>
    </row>
    <row r="1050" spans="51:52" x14ac:dyDescent="0.2">
      <c r="AY1050" s="389"/>
      <c r="AZ1050" s="388"/>
    </row>
    <row r="1051" spans="51:52" x14ac:dyDescent="0.2">
      <c r="AY1051" s="389"/>
      <c r="AZ1051" s="388"/>
    </row>
    <row r="1052" spans="51:52" x14ac:dyDescent="0.2">
      <c r="AY1052" s="389"/>
      <c r="AZ1052" s="388"/>
    </row>
    <row r="1053" spans="51:52" x14ac:dyDescent="0.2">
      <c r="AY1053" s="389"/>
      <c r="AZ1053" s="388"/>
    </row>
    <row r="1054" spans="51:52" x14ac:dyDescent="0.2">
      <c r="AY1054" s="389"/>
      <c r="AZ1054" s="388"/>
    </row>
    <row r="1055" spans="51:52" x14ac:dyDescent="0.2">
      <c r="AY1055" s="389"/>
      <c r="AZ1055" s="388"/>
    </row>
    <row r="1056" spans="51:52" x14ac:dyDescent="0.2">
      <c r="AY1056" s="389"/>
      <c r="AZ1056" s="388"/>
    </row>
    <row r="1057" spans="51:52" x14ac:dyDescent="0.2">
      <c r="AY1057" s="389"/>
      <c r="AZ1057" s="388"/>
    </row>
    <row r="1058" spans="51:52" x14ac:dyDescent="0.2">
      <c r="AY1058" s="389"/>
      <c r="AZ1058" s="388"/>
    </row>
    <row r="1059" spans="51:52" x14ac:dyDescent="0.2">
      <c r="AY1059" s="389"/>
      <c r="AZ1059" s="388"/>
    </row>
    <row r="1060" spans="51:52" x14ac:dyDescent="0.2">
      <c r="AY1060" s="389"/>
      <c r="AZ1060" s="388"/>
    </row>
    <row r="1061" spans="51:52" x14ac:dyDescent="0.2">
      <c r="AY1061" s="389"/>
      <c r="AZ1061" s="388"/>
    </row>
    <row r="1062" spans="51:52" x14ac:dyDescent="0.2">
      <c r="AY1062" s="389"/>
      <c r="AZ1062" s="388"/>
    </row>
    <row r="1063" spans="51:52" x14ac:dyDescent="0.2">
      <c r="AY1063" s="389"/>
      <c r="AZ1063" s="388"/>
    </row>
    <row r="1064" spans="51:52" x14ac:dyDescent="0.2">
      <c r="AY1064" s="389"/>
      <c r="AZ1064" s="388"/>
    </row>
    <row r="1065" spans="51:52" x14ac:dyDescent="0.2">
      <c r="AY1065" s="389"/>
      <c r="AZ1065" s="388"/>
    </row>
    <row r="1066" spans="51:52" x14ac:dyDescent="0.2">
      <c r="AY1066" s="389"/>
      <c r="AZ1066" s="388"/>
    </row>
    <row r="1067" spans="51:52" x14ac:dyDescent="0.2">
      <c r="AY1067" s="389"/>
      <c r="AZ1067" s="388"/>
    </row>
    <row r="1068" spans="51:52" x14ac:dyDescent="0.2">
      <c r="AY1068" s="389"/>
      <c r="AZ1068" s="388"/>
    </row>
    <row r="1069" spans="51:52" x14ac:dyDescent="0.2">
      <c r="AY1069" s="389"/>
      <c r="AZ1069" s="388"/>
    </row>
    <row r="1070" spans="51:52" x14ac:dyDescent="0.2">
      <c r="AY1070" s="389"/>
      <c r="AZ1070" s="388"/>
    </row>
    <row r="1071" spans="51:52" x14ac:dyDescent="0.2">
      <c r="AY1071" s="389"/>
      <c r="AZ1071" s="388"/>
    </row>
    <row r="1072" spans="51:52" x14ac:dyDescent="0.2">
      <c r="AY1072" s="389"/>
      <c r="AZ1072" s="388"/>
    </row>
    <row r="1073" spans="51:52" x14ac:dyDescent="0.2">
      <c r="AY1073" s="389"/>
      <c r="AZ1073" s="388"/>
    </row>
    <row r="1074" spans="51:52" x14ac:dyDescent="0.2">
      <c r="AY1074" s="389"/>
      <c r="AZ1074" s="388"/>
    </row>
    <row r="1075" spans="51:52" x14ac:dyDescent="0.2">
      <c r="AY1075" s="389"/>
      <c r="AZ1075" s="388"/>
    </row>
    <row r="1076" spans="51:52" x14ac:dyDescent="0.2">
      <c r="AY1076" s="389"/>
      <c r="AZ1076" s="388"/>
    </row>
    <row r="1077" spans="51:52" x14ac:dyDescent="0.2">
      <c r="AY1077" s="389"/>
      <c r="AZ1077" s="388"/>
    </row>
    <row r="1078" spans="51:52" x14ac:dyDescent="0.2">
      <c r="AY1078" s="389"/>
      <c r="AZ1078" s="388"/>
    </row>
    <row r="1079" spans="51:52" x14ac:dyDescent="0.2">
      <c r="AY1079" s="389"/>
      <c r="AZ1079" s="388"/>
    </row>
    <row r="1080" spans="51:52" x14ac:dyDescent="0.2">
      <c r="AY1080" s="389"/>
      <c r="AZ1080" s="388"/>
    </row>
    <row r="1081" spans="51:52" x14ac:dyDescent="0.2">
      <c r="AY1081" s="389"/>
      <c r="AZ1081" s="388"/>
    </row>
    <row r="1082" spans="51:52" x14ac:dyDescent="0.2">
      <c r="AY1082" s="389"/>
      <c r="AZ1082" s="388"/>
    </row>
    <row r="1083" spans="51:52" x14ac:dyDescent="0.2">
      <c r="AY1083" s="389"/>
      <c r="AZ1083" s="388"/>
    </row>
    <row r="1084" spans="51:52" x14ac:dyDescent="0.2">
      <c r="AY1084" s="389"/>
      <c r="AZ1084" s="388"/>
    </row>
    <row r="1085" spans="51:52" x14ac:dyDescent="0.2">
      <c r="AY1085" s="389"/>
      <c r="AZ1085" s="388"/>
    </row>
    <row r="1086" spans="51:52" x14ac:dyDescent="0.2">
      <c r="AY1086" s="389"/>
      <c r="AZ1086" s="388"/>
    </row>
    <row r="1087" spans="51:52" x14ac:dyDescent="0.2">
      <c r="AY1087" s="389"/>
      <c r="AZ1087" s="388"/>
    </row>
    <row r="1088" spans="51:52" x14ac:dyDescent="0.2">
      <c r="AY1088" s="389"/>
      <c r="AZ1088" s="388"/>
    </row>
    <row r="1089" spans="51:52" x14ac:dyDescent="0.2">
      <c r="AY1089" s="389"/>
      <c r="AZ1089" s="388"/>
    </row>
    <row r="1090" spans="51:52" x14ac:dyDescent="0.2">
      <c r="AY1090" s="389"/>
      <c r="AZ1090" s="388"/>
    </row>
    <row r="1091" spans="51:52" x14ac:dyDescent="0.2">
      <c r="AY1091" s="389"/>
      <c r="AZ1091" s="388"/>
    </row>
    <row r="1092" spans="51:52" x14ac:dyDescent="0.2">
      <c r="AY1092" s="389"/>
      <c r="AZ1092" s="388"/>
    </row>
    <row r="1093" spans="51:52" x14ac:dyDescent="0.2">
      <c r="AY1093" s="389"/>
      <c r="AZ1093" s="388"/>
    </row>
    <row r="1094" spans="51:52" x14ac:dyDescent="0.2">
      <c r="AY1094" s="389"/>
      <c r="AZ1094" s="388"/>
    </row>
    <row r="1095" spans="51:52" x14ac:dyDescent="0.2">
      <c r="AY1095" s="389"/>
      <c r="AZ1095" s="388"/>
    </row>
    <row r="1096" spans="51:52" x14ac:dyDescent="0.2">
      <c r="AY1096" s="389"/>
      <c r="AZ1096" s="388"/>
    </row>
    <row r="1097" spans="51:52" x14ac:dyDescent="0.2">
      <c r="AY1097" s="389"/>
      <c r="AZ1097" s="388"/>
    </row>
    <row r="1098" spans="51:52" x14ac:dyDescent="0.2">
      <c r="AY1098" s="389"/>
      <c r="AZ1098" s="388"/>
    </row>
    <row r="1099" spans="51:52" x14ac:dyDescent="0.2">
      <c r="AY1099" s="389"/>
      <c r="AZ1099" s="388"/>
    </row>
    <row r="1100" spans="51:52" x14ac:dyDescent="0.2">
      <c r="AY1100" s="389"/>
      <c r="AZ1100" s="388"/>
    </row>
    <row r="1101" spans="51:52" x14ac:dyDescent="0.2">
      <c r="AY1101" s="389"/>
      <c r="AZ1101" s="388"/>
    </row>
    <row r="1102" spans="51:52" x14ac:dyDescent="0.2">
      <c r="AY1102" s="389"/>
      <c r="AZ1102" s="388"/>
    </row>
    <row r="1103" spans="51:52" x14ac:dyDescent="0.2">
      <c r="AY1103" s="389"/>
      <c r="AZ1103" s="388"/>
    </row>
    <row r="1104" spans="51:52" x14ac:dyDescent="0.2">
      <c r="AY1104" s="389"/>
      <c r="AZ1104" s="388"/>
    </row>
    <row r="1105" spans="51:52" x14ac:dyDescent="0.2">
      <c r="AY1105" s="389"/>
      <c r="AZ1105" s="388"/>
    </row>
    <row r="1106" spans="51:52" x14ac:dyDescent="0.2">
      <c r="AY1106" s="389"/>
      <c r="AZ1106" s="388"/>
    </row>
    <row r="1107" spans="51:52" x14ac:dyDescent="0.2">
      <c r="AY1107" s="389"/>
      <c r="AZ1107" s="388"/>
    </row>
    <row r="1108" spans="51:52" x14ac:dyDescent="0.2">
      <c r="AY1108" s="389"/>
      <c r="AZ1108" s="388"/>
    </row>
    <row r="1109" spans="51:52" x14ac:dyDescent="0.2">
      <c r="AY1109" s="389"/>
      <c r="AZ1109" s="388"/>
    </row>
    <row r="1110" spans="51:52" x14ac:dyDescent="0.2">
      <c r="AY1110" s="389"/>
      <c r="AZ1110" s="388"/>
    </row>
    <row r="1111" spans="51:52" x14ac:dyDescent="0.2">
      <c r="AY1111" s="389"/>
      <c r="AZ1111" s="388"/>
    </row>
    <row r="1112" spans="51:52" x14ac:dyDescent="0.2">
      <c r="AY1112" s="389"/>
      <c r="AZ1112" s="388"/>
    </row>
    <row r="1113" spans="51:52" x14ac:dyDescent="0.2">
      <c r="AY1113" s="389"/>
      <c r="AZ1113" s="388"/>
    </row>
    <row r="1114" spans="51:52" x14ac:dyDescent="0.2">
      <c r="AY1114" s="389"/>
      <c r="AZ1114" s="388"/>
    </row>
    <row r="1115" spans="51:52" x14ac:dyDescent="0.2">
      <c r="AY1115" s="389"/>
      <c r="AZ1115" s="388"/>
    </row>
    <row r="1116" spans="51:52" x14ac:dyDescent="0.2">
      <c r="AY1116" s="389"/>
      <c r="AZ1116" s="388"/>
    </row>
    <row r="1117" spans="51:52" x14ac:dyDescent="0.2">
      <c r="AY1117" s="389"/>
      <c r="AZ1117" s="388"/>
    </row>
    <row r="1118" spans="51:52" x14ac:dyDescent="0.2">
      <c r="AY1118" s="389"/>
      <c r="AZ1118" s="388"/>
    </row>
    <row r="1119" spans="51:52" x14ac:dyDescent="0.2">
      <c r="AY1119" s="389"/>
      <c r="AZ1119" s="388"/>
    </row>
    <row r="1120" spans="51:52" x14ac:dyDescent="0.2">
      <c r="AY1120" s="389"/>
      <c r="AZ1120" s="388"/>
    </row>
    <row r="1121" spans="51:52" x14ac:dyDescent="0.2">
      <c r="AY1121" s="389"/>
      <c r="AZ1121" s="388"/>
    </row>
    <row r="1122" spans="51:52" x14ac:dyDescent="0.2">
      <c r="AY1122" s="389"/>
      <c r="AZ1122" s="388"/>
    </row>
    <row r="1123" spans="51:52" x14ac:dyDescent="0.2">
      <c r="AY1123" s="389"/>
      <c r="AZ1123" s="388"/>
    </row>
    <row r="1124" spans="51:52" x14ac:dyDescent="0.2">
      <c r="AY1124" s="389"/>
      <c r="AZ1124" s="388"/>
    </row>
    <row r="1125" spans="51:52" x14ac:dyDescent="0.2">
      <c r="AY1125" s="389"/>
      <c r="AZ1125" s="388"/>
    </row>
    <row r="1126" spans="51:52" x14ac:dyDescent="0.2">
      <c r="AY1126" s="389"/>
      <c r="AZ1126" s="388"/>
    </row>
    <row r="1127" spans="51:52" x14ac:dyDescent="0.2">
      <c r="AY1127" s="389"/>
      <c r="AZ1127" s="388"/>
    </row>
    <row r="1128" spans="51:52" x14ac:dyDescent="0.2">
      <c r="AY1128" s="389"/>
      <c r="AZ1128" s="388"/>
    </row>
    <row r="1129" spans="51:52" x14ac:dyDescent="0.2">
      <c r="AY1129" s="389"/>
      <c r="AZ1129" s="388"/>
    </row>
    <row r="1130" spans="51:52" x14ac:dyDescent="0.2">
      <c r="AY1130" s="389"/>
      <c r="AZ1130" s="388"/>
    </row>
    <row r="1131" spans="51:52" x14ac:dyDescent="0.2">
      <c r="AY1131" s="389"/>
      <c r="AZ1131" s="388"/>
    </row>
    <row r="1132" spans="51:52" x14ac:dyDescent="0.2">
      <c r="AY1132" s="389"/>
      <c r="AZ1132" s="388"/>
    </row>
    <row r="1133" spans="51:52" x14ac:dyDescent="0.2">
      <c r="AY1133" s="389"/>
      <c r="AZ1133" s="388"/>
    </row>
    <row r="1134" spans="51:52" x14ac:dyDescent="0.2">
      <c r="AY1134" s="389"/>
      <c r="AZ1134" s="388"/>
    </row>
    <row r="1135" spans="51:52" x14ac:dyDescent="0.2">
      <c r="AY1135" s="389"/>
      <c r="AZ1135" s="388"/>
    </row>
    <row r="1136" spans="51:52" x14ac:dyDescent="0.2">
      <c r="AY1136" s="389"/>
      <c r="AZ1136" s="388"/>
    </row>
    <row r="1137" spans="51:52" x14ac:dyDescent="0.2">
      <c r="AY1137" s="389"/>
      <c r="AZ1137" s="388"/>
    </row>
    <row r="1138" spans="51:52" x14ac:dyDescent="0.2">
      <c r="AY1138" s="389"/>
      <c r="AZ1138" s="388"/>
    </row>
    <row r="1139" spans="51:52" x14ac:dyDescent="0.2">
      <c r="AY1139" s="389"/>
      <c r="AZ1139" s="388"/>
    </row>
    <row r="1140" spans="51:52" x14ac:dyDescent="0.2">
      <c r="AY1140" s="389"/>
      <c r="AZ1140" s="388"/>
    </row>
    <row r="1141" spans="51:52" x14ac:dyDescent="0.2">
      <c r="AY1141" s="389"/>
      <c r="AZ1141" s="388"/>
    </row>
    <row r="1142" spans="51:52" x14ac:dyDescent="0.2">
      <c r="AY1142" s="389"/>
      <c r="AZ1142" s="388"/>
    </row>
    <row r="1143" spans="51:52" x14ac:dyDescent="0.2">
      <c r="AY1143" s="389"/>
      <c r="AZ1143" s="388"/>
    </row>
    <row r="1144" spans="51:52" x14ac:dyDescent="0.2">
      <c r="AY1144" s="389"/>
      <c r="AZ1144" s="388"/>
    </row>
    <row r="1145" spans="51:52" x14ac:dyDescent="0.2">
      <c r="AY1145" s="389"/>
      <c r="AZ1145" s="388"/>
    </row>
    <row r="1146" spans="51:52" x14ac:dyDescent="0.2">
      <c r="AY1146" s="389"/>
      <c r="AZ1146" s="388"/>
    </row>
    <row r="1147" spans="51:52" x14ac:dyDescent="0.2">
      <c r="AY1147" s="389"/>
      <c r="AZ1147" s="388"/>
    </row>
    <row r="1148" spans="51:52" x14ac:dyDescent="0.2">
      <c r="AY1148" s="389"/>
      <c r="AZ1148" s="388"/>
    </row>
    <row r="1149" spans="51:52" x14ac:dyDescent="0.2">
      <c r="AY1149" s="389"/>
      <c r="AZ1149" s="388"/>
    </row>
    <row r="1150" spans="51:52" x14ac:dyDescent="0.2">
      <c r="AY1150" s="389"/>
      <c r="AZ1150" s="388"/>
    </row>
    <row r="1151" spans="51:52" x14ac:dyDescent="0.2">
      <c r="AY1151" s="389"/>
      <c r="AZ1151" s="388"/>
    </row>
    <row r="1152" spans="51:52" x14ac:dyDescent="0.2">
      <c r="AY1152" s="389"/>
      <c r="AZ1152" s="388"/>
    </row>
    <row r="1153" spans="51:52" x14ac:dyDescent="0.2">
      <c r="AY1153" s="389"/>
      <c r="AZ1153" s="388"/>
    </row>
    <row r="1154" spans="51:52" x14ac:dyDescent="0.2">
      <c r="AY1154" s="389"/>
      <c r="AZ1154" s="388"/>
    </row>
    <row r="1155" spans="51:52" x14ac:dyDescent="0.2">
      <c r="AY1155" s="389"/>
      <c r="AZ1155" s="388"/>
    </row>
    <row r="1156" spans="51:52" x14ac:dyDescent="0.2">
      <c r="AY1156" s="389"/>
      <c r="AZ1156" s="388"/>
    </row>
    <row r="1157" spans="51:52" x14ac:dyDescent="0.2">
      <c r="AY1157" s="389"/>
      <c r="AZ1157" s="388"/>
    </row>
    <row r="1158" spans="51:52" x14ac:dyDescent="0.2">
      <c r="AY1158" s="389"/>
      <c r="AZ1158" s="388"/>
    </row>
    <row r="1159" spans="51:52" x14ac:dyDescent="0.2">
      <c r="AY1159" s="389"/>
      <c r="AZ1159" s="388"/>
    </row>
    <row r="1160" spans="51:52" x14ac:dyDescent="0.2">
      <c r="AY1160" s="389"/>
      <c r="AZ1160" s="388"/>
    </row>
    <row r="1161" spans="51:52" x14ac:dyDescent="0.2">
      <c r="AY1161" s="389"/>
      <c r="AZ1161" s="388"/>
    </row>
    <row r="1162" spans="51:52" x14ac:dyDescent="0.2">
      <c r="AY1162" s="389"/>
      <c r="AZ1162" s="388"/>
    </row>
    <row r="1163" spans="51:52" x14ac:dyDescent="0.2">
      <c r="AY1163" s="389"/>
      <c r="AZ1163" s="388"/>
    </row>
    <row r="1164" spans="51:52" x14ac:dyDescent="0.2">
      <c r="AY1164" s="389"/>
      <c r="AZ1164" s="388"/>
    </row>
    <row r="1165" spans="51:52" x14ac:dyDescent="0.2">
      <c r="AY1165" s="389"/>
      <c r="AZ1165" s="388"/>
    </row>
    <row r="1166" spans="51:52" x14ac:dyDescent="0.2">
      <c r="AY1166" s="389"/>
      <c r="AZ1166" s="388"/>
    </row>
    <row r="1167" spans="51:52" x14ac:dyDescent="0.2">
      <c r="AY1167" s="389"/>
      <c r="AZ1167" s="388"/>
    </row>
    <row r="1168" spans="51:52" x14ac:dyDescent="0.2">
      <c r="AY1168" s="389"/>
      <c r="AZ1168" s="388"/>
    </row>
    <row r="1169" spans="51:52" x14ac:dyDescent="0.2">
      <c r="AY1169" s="389"/>
      <c r="AZ1169" s="388"/>
    </row>
    <row r="1170" spans="51:52" x14ac:dyDescent="0.2">
      <c r="AY1170" s="389"/>
      <c r="AZ1170" s="388"/>
    </row>
    <row r="1171" spans="51:52" x14ac:dyDescent="0.2">
      <c r="AY1171" s="389"/>
      <c r="AZ1171" s="388"/>
    </row>
    <row r="1172" spans="51:52" x14ac:dyDescent="0.2">
      <c r="AY1172" s="389"/>
      <c r="AZ1172" s="388"/>
    </row>
    <row r="1173" spans="51:52" x14ac:dyDescent="0.2">
      <c r="AY1173" s="389"/>
      <c r="AZ1173" s="388"/>
    </row>
    <row r="1174" spans="51:52" x14ac:dyDescent="0.2">
      <c r="AY1174" s="389"/>
      <c r="AZ1174" s="388"/>
    </row>
    <row r="1175" spans="51:52" x14ac:dyDescent="0.2">
      <c r="AY1175" s="389"/>
      <c r="AZ1175" s="388"/>
    </row>
    <row r="1176" spans="51:52" x14ac:dyDescent="0.2">
      <c r="AY1176" s="389"/>
      <c r="AZ1176" s="388"/>
    </row>
    <row r="1177" spans="51:52" x14ac:dyDescent="0.2">
      <c r="AY1177" s="389"/>
      <c r="AZ1177" s="388"/>
    </row>
    <row r="1178" spans="51:52" x14ac:dyDescent="0.2">
      <c r="AY1178" s="389"/>
      <c r="AZ1178" s="388"/>
    </row>
    <row r="1179" spans="51:52" x14ac:dyDescent="0.2">
      <c r="AY1179" s="389"/>
      <c r="AZ1179" s="388"/>
    </row>
    <row r="1180" spans="51:52" x14ac:dyDescent="0.2">
      <c r="AY1180" s="389"/>
      <c r="AZ1180" s="388"/>
    </row>
    <row r="1181" spans="51:52" x14ac:dyDescent="0.2">
      <c r="AY1181" s="389"/>
      <c r="AZ1181" s="388"/>
    </row>
    <row r="1182" spans="51:52" x14ac:dyDescent="0.2">
      <c r="AY1182" s="389"/>
      <c r="AZ1182" s="388"/>
    </row>
    <row r="1183" spans="51:52" x14ac:dyDescent="0.2">
      <c r="AY1183" s="389"/>
      <c r="AZ1183" s="388"/>
    </row>
    <row r="1184" spans="51:52" x14ac:dyDescent="0.2">
      <c r="AY1184" s="389"/>
      <c r="AZ1184" s="388"/>
    </row>
    <row r="1185" spans="51:52" x14ac:dyDescent="0.2">
      <c r="AY1185" s="389"/>
      <c r="AZ1185" s="388"/>
    </row>
    <row r="1186" spans="51:52" x14ac:dyDescent="0.2">
      <c r="AY1186" s="389"/>
      <c r="AZ1186" s="388"/>
    </row>
    <row r="1187" spans="51:52" x14ac:dyDescent="0.2">
      <c r="AY1187" s="389"/>
      <c r="AZ1187" s="388"/>
    </row>
    <row r="1188" spans="51:52" x14ac:dyDescent="0.2">
      <c r="AY1188" s="389"/>
      <c r="AZ1188" s="388"/>
    </row>
    <row r="1189" spans="51:52" x14ac:dyDescent="0.2">
      <c r="AY1189" s="389"/>
      <c r="AZ1189" s="388"/>
    </row>
    <row r="1190" spans="51:52" x14ac:dyDescent="0.2">
      <c r="AY1190" s="389"/>
      <c r="AZ1190" s="388"/>
    </row>
    <row r="1191" spans="51:52" x14ac:dyDescent="0.2">
      <c r="AY1191" s="389"/>
      <c r="AZ1191" s="388"/>
    </row>
    <row r="1192" spans="51:52" x14ac:dyDescent="0.2">
      <c r="AY1192" s="389"/>
      <c r="AZ1192" s="388"/>
    </row>
    <row r="1193" spans="51:52" x14ac:dyDescent="0.2">
      <c r="AY1193" s="389"/>
      <c r="AZ1193" s="388"/>
    </row>
    <row r="1194" spans="51:52" x14ac:dyDescent="0.2">
      <c r="AY1194" s="389"/>
      <c r="AZ1194" s="388"/>
    </row>
    <row r="1195" spans="51:52" x14ac:dyDescent="0.2">
      <c r="AY1195" s="389"/>
      <c r="AZ1195" s="388"/>
    </row>
    <row r="1196" spans="51:52" x14ac:dyDescent="0.2">
      <c r="AY1196" s="389"/>
      <c r="AZ1196" s="388"/>
    </row>
    <row r="1197" spans="51:52" x14ac:dyDescent="0.2">
      <c r="AY1197" s="389"/>
      <c r="AZ1197" s="388"/>
    </row>
    <row r="1198" spans="51:52" x14ac:dyDescent="0.2">
      <c r="AY1198" s="389"/>
      <c r="AZ1198" s="388"/>
    </row>
    <row r="1199" spans="51:52" x14ac:dyDescent="0.2">
      <c r="AY1199" s="389"/>
      <c r="AZ1199" s="388"/>
    </row>
    <row r="1200" spans="51:52" x14ac:dyDescent="0.2">
      <c r="AY1200" s="389"/>
      <c r="AZ1200" s="388"/>
    </row>
    <row r="1201" spans="51:52" x14ac:dyDescent="0.2">
      <c r="AY1201" s="389"/>
      <c r="AZ1201" s="388"/>
    </row>
    <row r="1202" spans="51:52" x14ac:dyDescent="0.2">
      <c r="AY1202" s="389"/>
      <c r="AZ1202" s="388"/>
    </row>
    <row r="1203" spans="51:52" x14ac:dyDescent="0.2">
      <c r="AY1203" s="389"/>
      <c r="AZ1203" s="388"/>
    </row>
    <row r="1204" spans="51:52" x14ac:dyDescent="0.2">
      <c r="AY1204" s="389"/>
      <c r="AZ1204" s="388"/>
    </row>
    <row r="1205" spans="51:52" x14ac:dyDescent="0.2">
      <c r="AY1205" s="389"/>
      <c r="AZ1205" s="388"/>
    </row>
    <row r="1206" spans="51:52" x14ac:dyDescent="0.2">
      <c r="AY1206" s="389"/>
      <c r="AZ1206" s="388"/>
    </row>
    <row r="1207" spans="51:52" x14ac:dyDescent="0.2">
      <c r="AY1207" s="389"/>
      <c r="AZ1207" s="388"/>
    </row>
    <row r="1208" spans="51:52" x14ac:dyDescent="0.2">
      <c r="AY1208" s="389"/>
      <c r="AZ1208" s="388"/>
    </row>
    <row r="1209" spans="51:52" x14ac:dyDescent="0.2">
      <c r="AY1209" s="389"/>
      <c r="AZ1209" s="388"/>
    </row>
    <row r="1210" spans="51:52" x14ac:dyDescent="0.2">
      <c r="AY1210" s="389"/>
      <c r="AZ1210" s="388"/>
    </row>
    <row r="1211" spans="51:52" x14ac:dyDescent="0.2">
      <c r="AY1211" s="389"/>
      <c r="AZ1211" s="388"/>
    </row>
    <row r="1212" spans="51:52" x14ac:dyDescent="0.2">
      <c r="AY1212" s="389"/>
      <c r="AZ1212" s="388"/>
    </row>
    <row r="1213" spans="51:52" x14ac:dyDescent="0.2">
      <c r="AY1213" s="389"/>
      <c r="AZ1213" s="388"/>
    </row>
    <row r="1214" spans="51:52" x14ac:dyDescent="0.2">
      <c r="AY1214" s="389"/>
      <c r="AZ1214" s="388"/>
    </row>
    <row r="1215" spans="51:52" x14ac:dyDescent="0.2">
      <c r="AY1215" s="389"/>
      <c r="AZ1215" s="388"/>
    </row>
    <row r="1216" spans="51:52" x14ac:dyDescent="0.2">
      <c r="AY1216" s="389"/>
      <c r="AZ1216" s="388"/>
    </row>
    <row r="1217" spans="51:52" x14ac:dyDescent="0.2">
      <c r="AY1217" s="389"/>
      <c r="AZ1217" s="388"/>
    </row>
    <row r="1218" spans="51:52" x14ac:dyDescent="0.2">
      <c r="AY1218" s="389"/>
      <c r="AZ1218" s="388"/>
    </row>
    <row r="1219" spans="51:52" x14ac:dyDescent="0.2">
      <c r="AY1219" s="389"/>
      <c r="AZ1219" s="388"/>
    </row>
    <row r="1220" spans="51:52" x14ac:dyDescent="0.2">
      <c r="AY1220" s="389"/>
      <c r="AZ1220" s="388"/>
    </row>
    <row r="1221" spans="51:52" x14ac:dyDescent="0.2">
      <c r="AY1221" s="389"/>
      <c r="AZ1221" s="388"/>
    </row>
    <row r="1222" spans="51:52" x14ac:dyDescent="0.2">
      <c r="AY1222" s="389"/>
      <c r="AZ1222" s="388"/>
    </row>
    <row r="1223" spans="51:52" x14ac:dyDescent="0.2">
      <c r="AY1223" s="389"/>
      <c r="AZ1223" s="388"/>
    </row>
    <row r="1224" spans="51:52" x14ac:dyDescent="0.2">
      <c r="AY1224" s="389"/>
      <c r="AZ1224" s="388"/>
    </row>
    <row r="1225" spans="51:52" x14ac:dyDescent="0.2">
      <c r="AY1225" s="389"/>
      <c r="AZ1225" s="388"/>
    </row>
    <row r="1226" spans="51:52" x14ac:dyDescent="0.2">
      <c r="AY1226" s="389"/>
      <c r="AZ1226" s="388"/>
    </row>
    <row r="1227" spans="51:52" x14ac:dyDescent="0.2">
      <c r="AY1227" s="389"/>
      <c r="AZ1227" s="388"/>
    </row>
    <row r="1228" spans="51:52" x14ac:dyDescent="0.2">
      <c r="AY1228" s="389"/>
      <c r="AZ1228" s="388"/>
    </row>
    <row r="1229" spans="51:52" x14ac:dyDescent="0.2">
      <c r="AY1229" s="389"/>
      <c r="AZ1229" s="388"/>
    </row>
    <row r="1230" spans="51:52" x14ac:dyDescent="0.2">
      <c r="AY1230" s="389"/>
      <c r="AZ1230" s="388"/>
    </row>
    <row r="1231" spans="51:52" x14ac:dyDescent="0.2">
      <c r="AY1231" s="389"/>
      <c r="AZ1231" s="388"/>
    </row>
    <row r="1232" spans="51:52" x14ac:dyDescent="0.2">
      <c r="AY1232" s="389"/>
      <c r="AZ1232" s="388"/>
    </row>
    <row r="1233" spans="51:52" x14ac:dyDescent="0.2">
      <c r="AY1233" s="389"/>
      <c r="AZ1233" s="388"/>
    </row>
    <row r="1234" spans="51:52" x14ac:dyDescent="0.2">
      <c r="AY1234" s="389"/>
      <c r="AZ1234" s="388"/>
    </row>
    <row r="1235" spans="51:52" x14ac:dyDescent="0.2">
      <c r="AY1235" s="389"/>
      <c r="AZ1235" s="388"/>
    </row>
    <row r="1236" spans="51:52" x14ac:dyDescent="0.2">
      <c r="AY1236" s="389"/>
      <c r="AZ1236" s="388"/>
    </row>
    <row r="1237" spans="51:52" x14ac:dyDescent="0.2">
      <c r="AY1237" s="389"/>
      <c r="AZ1237" s="388"/>
    </row>
    <row r="1238" spans="51:52" x14ac:dyDescent="0.2">
      <c r="AY1238" s="389"/>
      <c r="AZ1238" s="388"/>
    </row>
    <row r="1239" spans="51:52" x14ac:dyDescent="0.2">
      <c r="AY1239" s="389"/>
      <c r="AZ1239" s="388"/>
    </row>
    <row r="1240" spans="51:52" x14ac:dyDescent="0.2">
      <c r="AY1240" s="389"/>
      <c r="AZ1240" s="388"/>
    </row>
    <row r="1241" spans="51:52" x14ac:dyDescent="0.2">
      <c r="AY1241" s="389"/>
      <c r="AZ1241" s="388"/>
    </row>
    <row r="1242" spans="51:52" x14ac:dyDescent="0.2">
      <c r="AY1242" s="389"/>
      <c r="AZ1242" s="388"/>
    </row>
    <row r="1243" spans="51:52" x14ac:dyDescent="0.2">
      <c r="AY1243" s="389"/>
      <c r="AZ1243" s="388"/>
    </row>
    <row r="1244" spans="51:52" x14ac:dyDescent="0.2">
      <c r="AY1244" s="389"/>
      <c r="AZ1244" s="388"/>
    </row>
    <row r="1245" spans="51:52" x14ac:dyDescent="0.2">
      <c r="AY1245" s="389"/>
      <c r="AZ1245" s="388"/>
    </row>
    <row r="1246" spans="51:52" x14ac:dyDescent="0.2">
      <c r="AY1246" s="389"/>
      <c r="AZ1246" s="388"/>
    </row>
    <row r="1247" spans="51:52" x14ac:dyDescent="0.2">
      <c r="AY1247" s="389"/>
      <c r="AZ1247" s="388"/>
    </row>
    <row r="1248" spans="51:52" x14ac:dyDescent="0.2">
      <c r="AY1248" s="389"/>
      <c r="AZ1248" s="388"/>
    </row>
    <row r="1249" spans="51:52" x14ac:dyDescent="0.2">
      <c r="AY1249" s="389"/>
      <c r="AZ1249" s="388"/>
    </row>
    <row r="1250" spans="51:52" x14ac:dyDescent="0.2">
      <c r="AY1250" s="389"/>
      <c r="AZ1250" s="388"/>
    </row>
    <row r="1251" spans="51:52" x14ac:dyDescent="0.2">
      <c r="AY1251" s="389"/>
      <c r="AZ1251" s="388"/>
    </row>
    <row r="1252" spans="51:52" x14ac:dyDescent="0.2">
      <c r="AY1252" s="389"/>
      <c r="AZ1252" s="388"/>
    </row>
    <row r="1253" spans="51:52" x14ac:dyDescent="0.2">
      <c r="AY1253" s="389"/>
      <c r="AZ1253" s="388"/>
    </row>
    <row r="1254" spans="51:52" x14ac:dyDescent="0.2">
      <c r="AY1254" s="389"/>
      <c r="AZ1254" s="388"/>
    </row>
    <row r="1255" spans="51:52" x14ac:dyDescent="0.2">
      <c r="AY1255" s="389"/>
      <c r="AZ1255" s="388"/>
    </row>
    <row r="1256" spans="51:52" x14ac:dyDescent="0.2">
      <c r="AY1256" s="389"/>
      <c r="AZ1256" s="388"/>
    </row>
    <row r="1257" spans="51:52" x14ac:dyDescent="0.2">
      <c r="AY1257" s="389"/>
      <c r="AZ1257" s="388"/>
    </row>
    <row r="1258" spans="51:52" x14ac:dyDescent="0.2">
      <c r="AY1258" s="389"/>
      <c r="AZ1258" s="388"/>
    </row>
    <row r="1259" spans="51:52" x14ac:dyDescent="0.2">
      <c r="AY1259" s="389"/>
      <c r="AZ1259" s="388"/>
    </row>
    <row r="1260" spans="51:52" x14ac:dyDescent="0.2">
      <c r="AY1260" s="389"/>
      <c r="AZ1260" s="388"/>
    </row>
    <row r="1261" spans="51:52" x14ac:dyDescent="0.2">
      <c r="AY1261" s="389"/>
      <c r="AZ1261" s="388"/>
    </row>
    <row r="1262" spans="51:52" x14ac:dyDescent="0.2">
      <c r="AY1262" s="389"/>
      <c r="AZ1262" s="388"/>
    </row>
    <row r="1263" spans="51:52" x14ac:dyDescent="0.2">
      <c r="AY1263" s="389"/>
      <c r="AZ1263" s="388"/>
    </row>
    <row r="1264" spans="51:52" x14ac:dyDescent="0.2">
      <c r="AY1264" s="389"/>
      <c r="AZ1264" s="388"/>
    </row>
    <row r="1265" spans="51:52" x14ac:dyDescent="0.2">
      <c r="AY1265" s="389"/>
      <c r="AZ1265" s="388"/>
    </row>
    <row r="1266" spans="51:52" x14ac:dyDescent="0.2">
      <c r="AY1266" s="389"/>
      <c r="AZ1266" s="388"/>
    </row>
    <row r="1267" spans="51:52" x14ac:dyDescent="0.2">
      <c r="AY1267" s="389"/>
      <c r="AZ1267" s="388"/>
    </row>
    <row r="1268" spans="51:52" x14ac:dyDescent="0.2">
      <c r="AY1268" s="389"/>
      <c r="AZ1268" s="388"/>
    </row>
    <row r="1269" spans="51:52" x14ac:dyDescent="0.2">
      <c r="AY1269" s="389"/>
      <c r="AZ1269" s="388"/>
    </row>
    <row r="1270" spans="51:52" x14ac:dyDescent="0.2">
      <c r="AY1270" s="389"/>
      <c r="AZ1270" s="388"/>
    </row>
    <row r="1271" spans="51:52" x14ac:dyDescent="0.2">
      <c r="AY1271" s="389"/>
      <c r="AZ1271" s="388"/>
    </row>
    <row r="1272" spans="51:52" x14ac:dyDescent="0.2">
      <c r="AY1272" s="389"/>
      <c r="AZ1272" s="388"/>
    </row>
    <row r="1273" spans="51:52" x14ac:dyDescent="0.2">
      <c r="AY1273" s="389"/>
      <c r="AZ1273" s="388"/>
    </row>
    <row r="1274" spans="51:52" x14ac:dyDescent="0.2">
      <c r="AY1274" s="389"/>
      <c r="AZ1274" s="388"/>
    </row>
    <row r="1275" spans="51:52" x14ac:dyDescent="0.2">
      <c r="AY1275" s="389"/>
      <c r="AZ1275" s="388"/>
    </row>
    <row r="1276" spans="51:52" x14ac:dyDescent="0.2">
      <c r="AY1276" s="389"/>
      <c r="AZ1276" s="388"/>
    </row>
    <row r="1277" spans="51:52" x14ac:dyDescent="0.2">
      <c r="AY1277" s="389"/>
      <c r="AZ1277" s="388"/>
    </row>
    <row r="1278" spans="51:52" x14ac:dyDescent="0.2">
      <c r="AY1278" s="389"/>
      <c r="AZ1278" s="388"/>
    </row>
    <row r="1279" spans="51:52" x14ac:dyDescent="0.2">
      <c r="AY1279" s="389"/>
      <c r="AZ1279" s="388"/>
    </row>
    <row r="1280" spans="51:52" x14ac:dyDescent="0.2">
      <c r="AY1280" s="389"/>
      <c r="AZ1280" s="388"/>
    </row>
    <row r="1281" spans="51:52" x14ac:dyDescent="0.2">
      <c r="AY1281" s="389"/>
      <c r="AZ1281" s="388"/>
    </row>
    <row r="1282" spans="51:52" x14ac:dyDescent="0.2">
      <c r="AY1282" s="389"/>
      <c r="AZ1282" s="388"/>
    </row>
    <row r="1283" spans="51:52" x14ac:dyDescent="0.2">
      <c r="AY1283" s="389"/>
      <c r="AZ1283" s="388"/>
    </row>
    <row r="1284" spans="51:52" x14ac:dyDescent="0.2">
      <c r="AY1284" s="389"/>
      <c r="AZ1284" s="388"/>
    </row>
    <row r="1285" spans="51:52" x14ac:dyDescent="0.2">
      <c r="AY1285" s="389"/>
      <c r="AZ1285" s="388"/>
    </row>
    <row r="1286" spans="51:52" x14ac:dyDescent="0.2">
      <c r="AY1286" s="389"/>
      <c r="AZ1286" s="388"/>
    </row>
    <row r="1287" spans="51:52" x14ac:dyDescent="0.2">
      <c r="AY1287" s="389"/>
      <c r="AZ1287" s="388"/>
    </row>
    <row r="1288" spans="51:52" x14ac:dyDescent="0.2">
      <c r="AY1288" s="389"/>
      <c r="AZ1288" s="388"/>
    </row>
    <row r="1289" spans="51:52" x14ac:dyDescent="0.2">
      <c r="AY1289" s="389"/>
      <c r="AZ1289" s="388"/>
    </row>
    <row r="1290" spans="51:52" x14ac:dyDescent="0.2">
      <c r="AY1290" s="389"/>
      <c r="AZ1290" s="388"/>
    </row>
    <row r="1291" spans="51:52" x14ac:dyDescent="0.2">
      <c r="AY1291" s="389"/>
      <c r="AZ1291" s="388"/>
    </row>
    <row r="1292" spans="51:52" x14ac:dyDescent="0.2">
      <c r="AY1292" s="389"/>
      <c r="AZ1292" s="388"/>
    </row>
    <row r="1293" spans="51:52" x14ac:dyDescent="0.2">
      <c r="AY1293" s="389"/>
      <c r="AZ1293" s="388"/>
    </row>
    <row r="1294" spans="51:52" x14ac:dyDescent="0.2">
      <c r="AY1294" s="389"/>
      <c r="AZ1294" s="388"/>
    </row>
    <row r="1295" spans="51:52" x14ac:dyDescent="0.2">
      <c r="AY1295" s="389"/>
      <c r="AZ1295" s="388"/>
    </row>
    <row r="1296" spans="51:52" x14ac:dyDescent="0.2">
      <c r="AY1296" s="389"/>
      <c r="AZ1296" s="388"/>
    </row>
    <row r="1297" spans="51:52" x14ac:dyDescent="0.2">
      <c r="AY1297" s="389"/>
      <c r="AZ1297" s="388"/>
    </row>
    <row r="1298" spans="51:52" x14ac:dyDescent="0.2">
      <c r="AY1298" s="389"/>
      <c r="AZ1298" s="388"/>
    </row>
    <row r="1299" spans="51:52" x14ac:dyDescent="0.2">
      <c r="AY1299" s="389"/>
      <c r="AZ1299" s="388"/>
    </row>
    <row r="1300" spans="51:52" x14ac:dyDescent="0.2">
      <c r="AY1300" s="389"/>
      <c r="AZ1300" s="388"/>
    </row>
    <row r="1301" spans="51:52" x14ac:dyDescent="0.2">
      <c r="AY1301" s="389"/>
      <c r="AZ1301" s="388"/>
    </row>
    <row r="1302" spans="51:52" x14ac:dyDescent="0.2">
      <c r="AY1302" s="389"/>
      <c r="AZ1302" s="388"/>
    </row>
    <row r="1303" spans="51:52" x14ac:dyDescent="0.2">
      <c r="AY1303" s="389"/>
      <c r="AZ1303" s="388"/>
    </row>
    <row r="1304" spans="51:52" x14ac:dyDescent="0.2">
      <c r="AY1304" s="389"/>
      <c r="AZ1304" s="388"/>
    </row>
    <row r="1305" spans="51:52" x14ac:dyDescent="0.2">
      <c r="AY1305" s="389"/>
      <c r="AZ1305" s="388"/>
    </row>
    <row r="1306" spans="51:52" x14ac:dyDescent="0.2">
      <c r="AY1306" s="389"/>
      <c r="AZ1306" s="388"/>
    </row>
    <row r="1307" spans="51:52" x14ac:dyDescent="0.2">
      <c r="AY1307" s="389"/>
      <c r="AZ1307" s="388"/>
    </row>
    <row r="1308" spans="51:52" x14ac:dyDescent="0.2">
      <c r="AY1308" s="389"/>
      <c r="AZ1308" s="388"/>
    </row>
    <row r="1309" spans="51:52" x14ac:dyDescent="0.2">
      <c r="AY1309" s="389"/>
      <c r="AZ1309" s="388"/>
    </row>
    <row r="1310" spans="51:52" x14ac:dyDescent="0.2">
      <c r="AY1310" s="389"/>
      <c r="AZ1310" s="388"/>
    </row>
    <row r="1311" spans="51:52" x14ac:dyDescent="0.2">
      <c r="AY1311" s="389"/>
      <c r="AZ1311" s="388"/>
    </row>
    <row r="1312" spans="51:52" x14ac:dyDescent="0.2">
      <c r="AY1312" s="389"/>
      <c r="AZ1312" s="388"/>
    </row>
    <row r="1313" spans="51:52" x14ac:dyDescent="0.2">
      <c r="AY1313" s="389"/>
      <c r="AZ1313" s="388"/>
    </row>
    <row r="1314" spans="51:52" x14ac:dyDescent="0.2">
      <c r="AY1314" s="389"/>
      <c r="AZ1314" s="388"/>
    </row>
    <row r="1315" spans="51:52" x14ac:dyDescent="0.2">
      <c r="AY1315" s="389"/>
      <c r="AZ1315" s="388"/>
    </row>
    <row r="1316" spans="51:52" x14ac:dyDescent="0.2">
      <c r="AY1316" s="389"/>
      <c r="AZ1316" s="388"/>
    </row>
    <row r="1317" spans="51:52" x14ac:dyDescent="0.2">
      <c r="AY1317" s="389"/>
      <c r="AZ1317" s="388"/>
    </row>
    <row r="1318" spans="51:52" x14ac:dyDescent="0.2">
      <c r="AY1318" s="389"/>
      <c r="AZ1318" s="388"/>
    </row>
    <row r="1319" spans="51:52" x14ac:dyDescent="0.2">
      <c r="AY1319" s="389"/>
      <c r="AZ1319" s="388"/>
    </row>
    <row r="1320" spans="51:52" x14ac:dyDescent="0.2">
      <c r="AY1320" s="389"/>
      <c r="AZ1320" s="388"/>
    </row>
    <row r="1321" spans="51:52" x14ac:dyDescent="0.2">
      <c r="AY1321" s="389"/>
      <c r="AZ1321" s="388"/>
    </row>
    <row r="1322" spans="51:52" x14ac:dyDescent="0.2">
      <c r="AY1322" s="389"/>
      <c r="AZ1322" s="388"/>
    </row>
    <row r="1323" spans="51:52" x14ac:dyDescent="0.2">
      <c r="AY1323" s="389"/>
      <c r="AZ1323" s="388"/>
    </row>
    <row r="1324" spans="51:52" x14ac:dyDescent="0.2">
      <c r="AY1324" s="389"/>
      <c r="AZ1324" s="388"/>
    </row>
    <row r="1325" spans="51:52" x14ac:dyDescent="0.2">
      <c r="AY1325" s="389"/>
      <c r="AZ1325" s="388"/>
    </row>
    <row r="1326" spans="51:52" x14ac:dyDescent="0.2">
      <c r="AY1326" s="389"/>
      <c r="AZ1326" s="388"/>
    </row>
    <row r="1327" spans="51:52" x14ac:dyDescent="0.2">
      <c r="AY1327" s="389"/>
      <c r="AZ1327" s="388"/>
    </row>
    <row r="1328" spans="51:52" x14ac:dyDescent="0.2">
      <c r="AY1328" s="389"/>
      <c r="AZ1328" s="388"/>
    </row>
    <row r="1329" spans="51:52" x14ac:dyDescent="0.2">
      <c r="AY1329" s="389"/>
      <c r="AZ1329" s="388"/>
    </row>
    <row r="1330" spans="51:52" x14ac:dyDescent="0.2">
      <c r="AY1330" s="389"/>
      <c r="AZ1330" s="388"/>
    </row>
    <row r="1331" spans="51:52" x14ac:dyDescent="0.2">
      <c r="AY1331" s="389"/>
      <c r="AZ1331" s="388"/>
    </row>
    <row r="1332" spans="51:52" x14ac:dyDescent="0.2">
      <c r="AY1332" s="389"/>
      <c r="AZ1332" s="388"/>
    </row>
    <row r="1333" spans="51:52" x14ac:dyDescent="0.2">
      <c r="AY1333" s="389"/>
      <c r="AZ1333" s="388"/>
    </row>
    <row r="1334" spans="51:52" x14ac:dyDescent="0.2">
      <c r="AY1334" s="389"/>
      <c r="AZ1334" s="388"/>
    </row>
    <row r="1335" spans="51:52" x14ac:dyDescent="0.2">
      <c r="AY1335" s="389"/>
      <c r="AZ1335" s="388"/>
    </row>
    <row r="1336" spans="51:52" x14ac:dyDescent="0.2">
      <c r="AY1336" s="389"/>
      <c r="AZ1336" s="388"/>
    </row>
    <row r="1337" spans="51:52" x14ac:dyDescent="0.2">
      <c r="AY1337" s="389"/>
      <c r="AZ1337" s="388"/>
    </row>
    <row r="1338" spans="51:52" x14ac:dyDescent="0.2">
      <c r="AY1338" s="389"/>
      <c r="AZ1338" s="388"/>
    </row>
    <row r="1339" spans="51:52" x14ac:dyDescent="0.2">
      <c r="AY1339" s="389"/>
      <c r="AZ1339" s="388"/>
    </row>
    <row r="1340" spans="51:52" x14ac:dyDescent="0.2">
      <c r="AY1340" s="389"/>
      <c r="AZ1340" s="388"/>
    </row>
    <row r="1341" spans="51:52" x14ac:dyDescent="0.2">
      <c r="AY1341" s="389"/>
      <c r="AZ1341" s="388"/>
    </row>
    <row r="1342" spans="51:52" x14ac:dyDescent="0.2">
      <c r="AY1342" s="389"/>
      <c r="AZ1342" s="388"/>
    </row>
    <row r="1343" spans="51:52" x14ac:dyDescent="0.2">
      <c r="AY1343" s="389"/>
      <c r="AZ1343" s="388"/>
    </row>
    <row r="1344" spans="51:52" x14ac:dyDescent="0.2">
      <c r="AY1344" s="389"/>
      <c r="AZ1344" s="388"/>
    </row>
    <row r="1345" spans="51:52" x14ac:dyDescent="0.2">
      <c r="AY1345" s="389"/>
      <c r="AZ1345" s="388"/>
    </row>
    <row r="1346" spans="51:52" x14ac:dyDescent="0.2">
      <c r="AY1346" s="389"/>
      <c r="AZ1346" s="388"/>
    </row>
    <row r="1347" spans="51:52" x14ac:dyDescent="0.2">
      <c r="AY1347" s="389"/>
      <c r="AZ1347" s="388"/>
    </row>
    <row r="1348" spans="51:52" x14ac:dyDescent="0.2">
      <c r="AY1348" s="389"/>
      <c r="AZ1348" s="388"/>
    </row>
    <row r="1349" spans="51:52" x14ac:dyDescent="0.2">
      <c r="AY1349" s="389"/>
      <c r="AZ1349" s="388"/>
    </row>
    <row r="1350" spans="51:52" x14ac:dyDescent="0.2">
      <c r="AY1350" s="389"/>
      <c r="AZ1350" s="388"/>
    </row>
    <row r="1351" spans="51:52" x14ac:dyDescent="0.2">
      <c r="AY1351" s="389"/>
      <c r="AZ1351" s="388"/>
    </row>
    <row r="1352" spans="51:52" x14ac:dyDescent="0.2">
      <c r="AY1352" s="389"/>
      <c r="AZ1352" s="388"/>
    </row>
    <row r="1353" spans="51:52" x14ac:dyDescent="0.2">
      <c r="AY1353" s="389"/>
      <c r="AZ1353" s="388"/>
    </row>
    <row r="1354" spans="51:52" x14ac:dyDescent="0.2">
      <c r="AY1354" s="389"/>
      <c r="AZ1354" s="388"/>
    </row>
    <row r="1355" spans="51:52" x14ac:dyDescent="0.2">
      <c r="AY1355" s="389"/>
      <c r="AZ1355" s="388"/>
    </row>
    <row r="1356" spans="51:52" x14ac:dyDescent="0.2">
      <c r="AY1356" s="389"/>
      <c r="AZ1356" s="388"/>
    </row>
    <row r="1357" spans="51:52" x14ac:dyDescent="0.2">
      <c r="AY1357" s="389"/>
      <c r="AZ1357" s="388"/>
    </row>
    <row r="1358" spans="51:52" x14ac:dyDescent="0.2">
      <c r="AY1358" s="389"/>
      <c r="AZ1358" s="388"/>
    </row>
    <row r="1359" spans="51:52" x14ac:dyDescent="0.2">
      <c r="AY1359" s="389"/>
      <c r="AZ1359" s="388"/>
    </row>
    <row r="1360" spans="51:52" x14ac:dyDescent="0.2">
      <c r="AY1360" s="389"/>
      <c r="AZ1360" s="388"/>
    </row>
    <row r="1361" spans="51:52" x14ac:dyDescent="0.2">
      <c r="AY1361" s="389"/>
      <c r="AZ1361" s="388"/>
    </row>
    <row r="1362" spans="51:52" x14ac:dyDescent="0.2">
      <c r="AY1362" s="389"/>
      <c r="AZ1362" s="388"/>
    </row>
    <row r="1363" spans="51:52" x14ac:dyDescent="0.2">
      <c r="AY1363" s="389"/>
      <c r="AZ1363" s="388"/>
    </row>
    <row r="1364" spans="51:52" x14ac:dyDescent="0.2">
      <c r="AY1364" s="389"/>
      <c r="AZ1364" s="388"/>
    </row>
    <row r="1365" spans="51:52" x14ac:dyDescent="0.2">
      <c r="AY1365" s="389"/>
      <c r="AZ1365" s="388"/>
    </row>
    <row r="1366" spans="51:52" x14ac:dyDescent="0.2">
      <c r="AY1366" s="389"/>
      <c r="AZ1366" s="388"/>
    </row>
    <row r="1367" spans="51:52" x14ac:dyDescent="0.2">
      <c r="AY1367" s="389"/>
      <c r="AZ1367" s="388"/>
    </row>
    <row r="1368" spans="51:52" x14ac:dyDescent="0.2">
      <c r="AY1368" s="389"/>
      <c r="AZ1368" s="388"/>
    </row>
    <row r="1369" spans="51:52" x14ac:dyDescent="0.2">
      <c r="AY1369" s="389"/>
      <c r="AZ1369" s="388"/>
    </row>
    <row r="1370" spans="51:52" x14ac:dyDescent="0.2">
      <c r="AY1370" s="389"/>
      <c r="AZ1370" s="388"/>
    </row>
    <row r="1371" spans="51:52" x14ac:dyDescent="0.2">
      <c r="AY1371" s="389"/>
      <c r="AZ1371" s="388"/>
    </row>
    <row r="1372" spans="51:52" x14ac:dyDescent="0.2">
      <c r="AY1372" s="389"/>
      <c r="AZ1372" s="388"/>
    </row>
    <row r="1373" spans="51:52" x14ac:dyDescent="0.2">
      <c r="AY1373" s="389"/>
      <c r="AZ1373" s="388"/>
    </row>
    <row r="1374" spans="51:52" x14ac:dyDescent="0.2">
      <c r="AY1374" s="389"/>
      <c r="AZ1374" s="388"/>
    </row>
    <row r="1375" spans="51:52" x14ac:dyDescent="0.2">
      <c r="AY1375" s="389"/>
      <c r="AZ1375" s="388"/>
    </row>
    <row r="1376" spans="51:52" x14ac:dyDescent="0.2">
      <c r="AY1376" s="389"/>
      <c r="AZ1376" s="388"/>
    </row>
    <row r="1377" spans="51:52" x14ac:dyDescent="0.2">
      <c r="AY1377" s="389"/>
      <c r="AZ1377" s="388"/>
    </row>
    <row r="1378" spans="51:52" x14ac:dyDescent="0.2">
      <c r="AY1378" s="389"/>
      <c r="AZ1378" s="388"/>
    </row>
    <row r="1379" spans="51:52" x14ac:dyDescent="0.2">
      <c r="AY1379" s="389"/>
      <c r="AZ1379" s="388"/>
    </row>
    <row r="1380" spans="51:52" x14ac:dyDescent="0.2">
      <c r="AY1380" s="389"/>
      <c r="AZ1380" s="388"/>
    </row>
    <row r="1381" spans="51:52" x14ac:dyDescent="0.2">
      <c r="AY1381" s="389"/>
      <c r="AZ1381" s="388"/>
    </row>
    <row r="1382" spans="51:52" x14ac:dyDescent="0.2">
      <c r="AY1382" s="389"/>
      <c r="AZ1382" s="388"/>
    </row>
    <row r="1383" spans="51:52" x14ac:dyDescent="0.2">
      <c r="AY1383" s="389"/>
      <c r="AZ1383" s="388"/>
    </row>
    <row r="1384" spans="51:52" x14ac:dyDescent="0.2">
      <c r="AY1384" s="389"/>
      <c r="AZ1384" s="388"/>
    </row>
    <row r="1385" spans="51:52" x14ac:dyDescent="0.2">
      <c r="AY1385" s="389"/>
      <c r="AZ1385" s="388"/>
    </row>
    <row r="1386" spans="51:52" x14ac:dyDescent="0.2">
      <c r="AY1386" s="389"/>
      <c r="AZ1386" s="388"/>
    </row>
    <row r="1387" spans="51:52" x14ac:dyDescent="0.2">
      <c r="AY1387" s="389"/>
      <c r="AZ1387" s="388"/>
    </row>
    <row r="1388" spans="51:52" x14ac:dyDescent="0.2">
      <c r="AY1388" s="389"/>
      <c r="AZ1388" s="388"/>
    </row>
    <row r="1389" spans="51:52" x14ac:dyDescent="0.2">
      <c r="AY1389" s="389"/>
      <c r="AZ1389" s="388"/>
    </row>
    <row r="1390" spans="51:52" x14ac:dyDescent="0.2">
      <c r="AY1390" s="389"/>
      <c r="AZ1390" s="388"/>
    </row>
    <row r="1391" spans="51:52" x14ac:dyDescent="0.2">
      <c r="AY1391" s="389"/>
      <c r="AZ1391" s="388"/>
    </row>
    <row r="1392" spans="51:52" x14ac:dyDescent="0.2">
      <c r="AY1392" s="389"/>
      <c r="AZ1392" s="388"/>
    </row>
    <row r="1393" spans="51:52" x14ac:dyDescent="0.2">
      <c r="AY1393" s="389"/>
      <c r="AZ1393" s="388"/>
    </row>
    <row r="1394" spans="51:52" x14ac:dyDescent="0.2">
      <c r="AY1394" s="389"/>
      <c r="AZ1394" s="388"/>
    </row>
    <row r="1395" spans="51:52" x14ac:dyDescent="0.2">
      <c r="AY1395" s="389"/>
      <c r="AZ1395" s="388"/>
    </row>
    <row r="1396" spans="51:52" x14ac:dyDescent="0.2">
      <c r="AY1396" s="389"/>
      <c r="AZ1396" s="388"/>
    </row>
    <row r="1397" spans="51:52" x14ac:dyDescent="0.2">
      <c r="AY1397" s="389"/>
      <c r="AZ1397" s="388"/>
    </row>
    <row r="1398" spans="51:52" x14ac:dyDescent="0.2">
      <c r="AY1398" s="389"/>
      <c r="AZ1398" s="388"/>
    </row>
    <row r="1399" spans="51:52" x14ac:dyDescent="0.2">
      <c r="AY1399" s="389"/>
      <c r="AZ1399" s="388"/>
    </row>
    <row r="1400" spans="51:52" x14ac:dyDescent="0.2">
      <c r="AY1400" s="389"/>
      <c r="AZ1400" s="388"/>
    </row>
    <row r="1401" spans="51:52" x14ac:dyDescent="0.2">
      <c r="AY1401" s="389"/>
      <c r="AZ1401" s="388"/>
    </row>
    <row r="1402" spans="51:52" x14ac:dyDescent="0.2">
      <c r="AY1402" s="389"/>
      <c r="AZ1402" s="388"/>
    </row>
    <row r="1403" spans="51:52" x14ac:dyDescent="0.2">
      <c r="AY1403" s="389"/>
      <c r="AZ1403" s="388"/>
    </row>
    <row r="1404" spans="51:52" x14ac:dyDescent="0.2">
      <c r="AY1404" s="389"/>
      <c r="AZ1404" s="388"/>
    </row>
    <row r="1405" spans="51:52" x14ac:dyDescent="0.2">
      <c r="AY1405" s="389"/>
      <c r="AZ1405" s="388"/>
    </row>
    <row r="1406" spans="51:52" x14ac:dyDescent="0.2">
      <c r="AY1406" s="389"/>
      <c r="AZ1406" s="388"/>
    </row>
    <row r="1407" spans="51:52" x14ac:dyDescent="0.2">
      <c r="AY1407" s="389"/>
      <c r="AZ1407" s="388"/>
    </row>
    <row r="1408" spans="51:52" x14ac:dyDescent="0.2">
      <c r="AY1408" s="389"/>
      <c r="AZ1408" s="388"/>
    </row>
    <row r="1409" spans="51:52" x14ac:dyDescent="0.2">
      <c r="AY1409" s="389"/>
      <c r="AZ1409" s="388"/>
    </row>
    <row r="1410" spans="51:52" x14ac:dyDescent="0.2">
      <c r="AY1410" s="389"/>
      <c r="AZ1410" s="388"/>
    </row>
    <row r="1411" spans="51:52" x14ac:dyDescent="0.2">
      <c r="AY1411" s="389"/>
      <c r="AZ1411" s="388"/>
    </row>
    <row r="1412" spans="51:52" x14ac:dyDescent="0.2">
      <c r="AY1412" s="389"/>
      <c r="AZ1412" s="388"/>
    </row>
    <row r="1413" spans="51:52" x14ac:dyDescent="0.2">
      <c r="AY1413" s="389"/>
      <c r="AZ1413" s="388"/>
    </row>
    <row r="1414" spans="51:52" x14ac:dyDescent="0.2">
      <c r="AY1414" s="389"/>
      <c r="AZ1414" s="388"/>
    </row>
    <row r="1415" spans="51:52" x14ac:dyDescent="0.2">
      <c r="AY1415" s="389"/>
      <c r="AZ1415" s="388"/>
    </row>
    <row r="1416" spans="51:52" x14ac:dyDescent="0.2">
      <c r="AY1416" s="389"/>
      <c r="AZ1416" s="388"/>
    </row>
    <row r="1417" spans="51:52" x14ac:dyDescent="0.2">
      <c r="AY1417" s="389"/>
      <c r="AZ1417" s="388"/>
    </row>
    <row r="1418" spans="51:52" x14ac:dyDescent="0.2">
      <c r="AY1418" s="389"/>
      <c r="AZ1418" s="388"/>
    </row>
    <row r="1419" spans="51:52" x14ac:dyDescent="0.2">
      <c r="AY1419" s="389"/>
      <c r="AZ1419" s="388"/>
    </row>
    <row r="1420" spans="51:52" x14ac:dyDescent="0.2">
      <c r="AY1420" s="389"/>
      <c r="AZ1420" s="388"/>
    </row>
    <row r="1421" spans="51:52" x14ac:dyDescent="0.2">
      <c r="AY1421" s="389"/>
      <c r="AZ1421" s="388"/>
    </row>
    <row r="1422" spans="51:52" x14ac:dyDescent="0.2">
      <c r="AY1422" s="389"/>
      <c r="AZ1422" s="388"/>
    </row>
    <row r="1423" spans="51:52" x14ac:dyDescent="0.2">
      <c r="AY1423" s="389"/>
      <c r="AZ1423" s="388"/>
    </row>
    <row r="1424" spans="51:52" x14ac:dyDescent="0.2">
      <c r="AY1424" s="389"/>
      <c r="AZ1424" s="388"/>
    </row>
    <row r="1425" spans="51:52" x14ac:dyDescent="0.2">
      <c r="AY1425" s="389"/>
      <c r="AZ1425" s="388"/>
    </row>
    <row r="1426" spans="51:52" x14ac:dyDescent="0.2">
      <c r="AY1426" s="389"/>
      <c r="AZ1426" s="388"/>
    </row>
    <row r="1427" spans="51:52" x14ac:dyDescent="0.2">
      <c r="AY1427" s="389"/>
      <c r="AZ1427" s="388"/>
    </row>
    <row r="1428" spans="51:52" x14ac:dyDescent="0.2">
      <c r="AY1428" s="389"/>
      <c r="AZ1428" s="388"/>
    </row>
    <row r="1429" spans="51:52" x14ac:dyDescent="0.2">
      <c r="AY1429" s="389"/>
      <c r="AZ1429" s="388"/>
    </row>
    <row r="1430" spans="51:52" x14ac:dyDescent="0.2">
      <c r="AY1430" s="389"/>
      <c r="AZ1430" s="388"/>
    </row>
    <row r="1431" spans="51:52" x14ac:dyDescent="0.2">
      <c r="AY1431" s="389"/>
      <c r="AZ1431" s="388"/>
    </row>
    <row r="1432" spans="51:52" x14ac:dyDescent="0.2">
      <c r="AY1432" s="389"/>
      <c r="AZ1432" s="388"/>
    </row>
    <row r="1433" spans="51:52" x14ac:dyDescent="0.2">
      <c r="AY1433" s="389"/>
      <c r="AZ1433" s="388"/>
    </row>
    <row r="1434" spans="51:52" x14ac:dyDescent="0.2">
      <c r="AY1434" s="389"/>
      <c r="AZ1434" s="388"/>
    </row>
    <row r="1435" spans="51:52" x14ac:dyDescent="0.2">
      <c r="AY1435" s="389"/>
      <c r="AZ1435" s="388"/>
    </row>
    <row r="1436" spans="51:52" x14ac:dyDescent="0.2">
      <c r="AY1436" s="389"/>
      <c r="AZ1436" s="388"/>
    </row>
    <row r="1437" spans="51:52" x14ac:dyDescent="0.2">
      <c r="AY1437" s="389"/>
      <c r="AZ1437" s="388"/>
    </row>
    <row r="1438" spans="51:52" x14ac:dyDescent="0.2">
      <c r="AY1438" s="389"/>
      <c r="AZ1438" s="388"/>
    </row>
    <row r="1439" spans="51:52" x14ac:dyDescent="0.2">
      <c r="AY1439" s="389"/>
      <c r="AZ1439" s="388"/>
    </row>
    <row r="1440" spans="51:52" x14ac:dyDescent="0.2">
      <c r="AY1440" s="389"/>
      <c r="AZ1440" s="388"/>
    </row>
    <row r="1441" spans="51:52" x14ac:dyDescent="0.2">
      <c r="AY1441" s="389"/>
      <c r="AZ1441" s="388"/>
    </row>
    <row r="1442" spans="51:52" x14ac:dyDescent="0.2">
      <c r="AY1442" s="389"/>
      <c r="AZ1442" s="388"/>
    </row>
    <row r="1443" spans="51:52" x14ac:dyDescent="0.2">
      <c r="AY1443" s="389"/>
      <c r="AZ1443" s="388"/>
    </row>
    <row r="1444" spans="51:52" x14ac:dyDescent="0.2">
      <c r="AY1444" s="389"/>
      <c r="AZ1444" s="388"/>
    </row>
    <row r="1445" spans="51:52" x14ac:dyDescent="0.2">
      <c r="AY1445" s="389"/>
      <c r="AZ1445" s="388"/>
    </row>
    <row r="1446" spans="51:52" x14ac:dyDescent="0.2">
      <c r="AY1446" s="389"/>
      <c r="AZ1446" s="388"/>
    </row>
    <row r="1447" spans="51:52" x14ac:dyDescent="0.2">
      <c r="AY1447" s="389"/>
      <c r="AZ1447" s="388"/>
    </row>
    <row r="1448" spans="51:52" x14ac:dyDescent="0.2">
      <c r="AY1448" s="389"/>
      <c r="AZ1448" s="388"/>
    </row>
    <row r="1449" spans="51:52" x14ac:dyDescent="0.2">
      <c r="AY1449" s="389"/>
      <c r="AZ1449" s="388"/>
    </row>
    <row r="1450" spans="51:52" x14ac:dyDescent="0.2">
      <c r="AY1450" s="389"/>
      <c r="AZ1450" s="388"/>
    </row>
    <row r="1451" spans="51:52" x14ac:dyDescent="0.2">
      <c r="AY1451" s="389"/>
      <c r="AZ1451" s="388"/>
    </row>
    <row r="1452" spans="51:52" x14ac:dyDescent="0.2">
      <c r="AY1452" s="389"/>
      <c r="AZ1452" s="388"/>
    </row>
    <row r="1453" spans="51:52" x14ac:dyDescent="0.2">
      <c r="AY1453" s="389"/>
      <c r="AZ1453" s="388"/>
    </row>
    <row r="1454" spans="51:52" x14ac:dyDescent="0.2">
      <c r="AY1454" s="389"/>
      <c r="AZ1454" s="388"/>
    </row>
    <row r="1455" spans="51:52" x14ac:dyDescent="0.2">
      <c r="AY1455" s="389"/>
      <c r="AZ1455" s="388"/>
    </row>
    <row r="1456" spans="51:52" x14ac:dyDescent="0.2">
      <c r="AY1456" s="389"/>
      <c r="AZ1456" s="388"/>
    </row>
    <row r="1457" spans="51:52" x14ac:dyDescent="0.2">
      <c r="AY1457" s="389"/>
      <c r="AZ1457" s="388"/>
    </row>
    <row r="1458" spans="51:52" x14ac:dyDescent="0.2">
      <c r="AY1458" s="389"/>
      <c r="AZ1458" s="388"/>
    </row>
    <row r="1459" spans="51:52" x14ac:dyDescent="0.2">
      <c r="AY1459" s="389"/>
      <c r="AZ1459" s="388"/>
    </row>
    <row r="1460" spans="51:52" x14ac:dyDescent="0.2">
      <c r="AY1460" s="389"/>
      <c r="AZ1460" s="388"/>
    </row>
    <row r="1461" spans="51:52" x14ac:dyDescent="0.2">
      <c r="AY1461" s="389"/>
      <c r="AZ1461" s="388"/>
    </row>
    <row r="1462" spans="51:52" x14ac:dyDescent="0.2">
      <c r="AY1462" s="389"/>
      <c r="AZ1462" s="388"/>
    </row>
    <row r="1463" spans="51:52" x14ac:dyDescent="0.2">
      <c r="AY1463" s="389"/>
      <c r="AZ1463" s="388"/>
    </row>
    <row r="1464" spans="51:52" x14ac:dyDescent="0.2">
      <c r="AY1464" s="389"/>
      <c r="AZ1464" s="388"/>
    </row>
    <row r="1465" spans="51:52" x14ac:dyDescent="0.2">
      <c r="AY1465" s="389"/>
      <c r="AZ1465" s="388"/>
    </row>
    <row r="1466" spans="51:52" x14ac:dyDescent="0.2">
      <c r="AY1466" s="389"/>
      <c r="AZ1466" s="388"/>
    </row>
    <row r="1467" spans="51:52" x14ac:dyDescent="0.2">
      <c r="AY1467" s="389"/>
      <c r="AZ1467" s="388"/>
    </row>
    <row r="1468" spans="51:52" x14ac:dyDescent="0.2">
      <c r="AY1468" s="389"/>
      <c r="AZ1468" s="388"/>
    </row>
    <row r="1469" spans="51:52" x14ac:dyDescent="0.2">
      <c r="AY1469" s="389"/>
      <c r="AZ1469" s="388"/>
    </row>
    <row r="1470" spans="51:52" x14ac:dyDescent="0.2">
      <c r="AY1470" s="389"/>
      <c r="AZ1470" s="388"/>
    </row>
    <row r="1471" spans="51:52" x14ac:dyDescent="0.2">
      <c r="AY1471" s="389"/>
      <c r="AZ1471" s="388"/>
    </row>
    <row r="1472" spans="51:52" x14ac:dyDescent="0.2">
      <c r="AY1472" s="389"/>
      <c r="AZ1472" s="388"/>
    </row>
    <row r="1473" spans="51:52" x14ac:dyDescent="0.2">
      <c r="AY1473" s="389"/>
      <c r="AZ1473" s="388"/>
    </row>
    <row r="1474" spans="51:52" x14ac:dyDescent="0.2">
      <c r="AY1474" s="389"/>
      <c r="AZ1474" s="388"/>
    </row>
    <row r="1475" spans="51:52" x14ac:dyDescent="0.2">
      <c r="AY1475" s="389"/>
      <c r="AZ1475" s="388"/>
    </row>
    <row r="1476" spans="51:52" x14ac:dyDescent="0.2">
      <c r="AY1476" s="389"/>
      <c r="AZ1476" s="388"/>
    </row>
    <row r="1477" spans="51:52" x14ac:dyDescent="0.2">
      <c r="AY1477" s="389"/>
      <c r="AZ1477" s="388"/>
    </row>
    <row r="1478" spans="51:52" x14ac:dyDescent="0.2">
      <c r="AY1478" s="389"/>
      <c r="AZ1478" s="388"/>
    </row>
    <row r="1479" spans="51:52" x14ac:dyDescent="0.2">
      <c r="AY1479" s="389"/>
      <c r="AZ1479" s="388"/>
    </row>
    <row r="1480" spans="51:52" x14ac:dyDescent="0.2">
      <c r="AY1480" s="389"/>
      <c r="AZ1480" s="388"/>
    </row>
    <row r="1481" spans="51:52" x14ac:dyDescent="0.2">
      <c r="AY1481" s="389"/>
      <c r="AZ1481" s="388"/>
    </row>
    <row r="1482" spans="51:52" x14ac:dyDescent="0.2">
      <c r="AY1482" s="389"/>
      <c r="AZ1482" s="388"/>
    </row>
    <row r="1483" spans="51:52" x14ac:dyDescent="0.2">
      <c r="AY1483" s="389"/>
      <c r="AZ1483" s="388"/>
    </row>
    <row r="1484" spans="51:52" x14ac:dyDescent="0.2">
      <c r="AY1484" s="389"/>
      <c r="AZ1484" s="388"/>
    </row>
    <row r="1485" spans="51:52" x14ac:dyDescent="0.2">
      <c r="AY1485" s="389"/>
      <c r="AZ1485" s="388"/>
    </row>
    <row r="1486" spans="51:52" x14ac:dyDescent="0.2">
      <c r="AY1486" s="389"/>
      <c r="AZ1486" s="388"/>
    </row>
    <row r="1487" spans="51:52" x14ac:dyDescent="0.2">
      <c r="AY1487" s="389"/>
      <c r="AZ1487" s="388"/>
    </row>
    <row r="1488" spans="51:52" x14ac:dyDescent="0.2">
      <c r="AY1488" s="389"/>
      <c r="AZ1488" s="388"/>
    </row>
    <row r="1489" spans="51:52" x14ac:dyDescent="0.2">
      <c r="AY1489" s="389"/>
      <c r="AZ1489" s="388"/>
    </row>
    <row r="1490" spans="51:52" x14ac:dyDescent="0.2">
      <c r="AY1490" s="389"/>
      <c r="AZ1490" s="388"/>
    </row>
    <row r="1491" spans="51:52" x14ac:dyDescent="0.2">
      <c r="AY1491" s="389"/>
      <c r="AZ1491" s="388"/>
    </row>
    <row r="1492" spans="51:52" x14ac:dyDescent="0.2">
      <c r="AY1492" s="389"/>
      <c r="AZ1492" s="388"/>
    </row>
    <row r="1493" spans="51:52" x14ac:dyDescent="0.2">
      <c r="AY1493" s="389"/>
      <c r="AZ1493" s="388"/>
    </row>
    <row r="1494" spans="51:52" x14ac:dyDescent="0.2">
      <c r="AY1494" s="389"/>
      <c r="AZ1494" s="388"/>
    </row>
    <row r="1495" spans="51:52" x14ac:dyDescent="0.2">
      <c r="AY1495" s="389"/>
      <c r="AZ1495" s="388"/>
    </row>
    <row r="1496" spans="51:52" x14ac:dyDescent="0.2">
      <c r="AY1496" s="389"/>
      <c r="AZ1496" s="388"/>
    </row>
    <row r="1497" spans="51:52" x14ac:dyDescent="0.2">
      <c r="AY1497" s="389"/>
      <c r="AZ1497" s="388"/>
    </row>
    <row r="1498" spans="51:52" x14ac:dyDescent="0.2">
      <c r="AY1498" s="389"/>
      <c r="AZ1498" s="388"/>
    </row>
    <row r="1499" spans="51:52" x14ac:dyDescent="0.2">
      <c r="AY1499" s="389"/>
      <c r="AZ1499" s="388"/>
    </row>
    <row r="1500" spans="51:52" x14ac:dyDescent="0.2">
      <c r="AY1500" s="389"/>
      <c r="AZ1500" s="388"/>
    </row>
    <row r="1501" spans="51:52" x14ac:dyDescent="0.2">
      <c r="AY1501" s="389"/>
      <c r="AZ1501" s="388"/>
    </row>
    <row r="1502" spans="51:52" x14ac:dyDescent="0.2">
      <c r="AY1502" s="389"/>
      <c r="AZ1502" s="388"/>
    </row>
    <row r="1503" spans="51:52" x14ac:dyDescent="0.2">
      <c r="AY1503" s="389"/>
      <c r="AZ1503" s="388"/>
    </row>
    <row r="1504" spans="51:52" x14ac:dyDescent="0.2">
      <c r="AY1504" s="389"/>
      <c r="AZ1504" s="388"/>
    </row>
    <row r="1505" spans="51:52" x14ac:dyDescent="0.2">
      <c r="AY1505" s="389"/>
      <c r="AZ1505" s="388"/>
    </row>
    <row r="1506" spans="51:52" x14ac:dyDescent="0.2">
      <c r="AY1506" s="389"/>
      <c r="AZ1506" s="388"/>
    </row>
    <row r="1507" spans="51:52" x14ac:dyDescent="0.2">
      <c r="AY1507" s="389"/>
      <c r="AZ1507" s="388"/>
    </row>
    <row r="1508" spans="51:52" x14ac:dyDescent="0.2">
      <c r="AY1508" s="389"/>
      <c r="AZ1508" s="388"/>
    </row>
    <row r="1509" spans="51:52" x14ac:dyDescent="0.2">
      <c r="AY1509" s="389"/>
      <c r="AZ1509" s="388"/>
    </row>
    <row r="1510" spans="51:52" x14ac:dyDescent="0.2">
      <c r="AY1510" s="389"/>
      <c r="AZ1510" s="388"/>
    </row>
    <row r="1511" spans="51:52" x14ac:dyDescent="0.2">
      <c r="AY1511" s="389"/>
      <c r="AZ1511" s="388"/>
    </row>
    <row r="1512" spans="51:52" x14ac:dyDescent="0.2">
      <c r="AY1512" s="389"/>
      <c r="AZ1512" s="388"/>
    </row>
    <row r="1513" spans="51:52" x14ac:dyDescent="0.2">
      <c r="AY1513" s="389"/>
      <c r="AZ1513" s="388"/>
    </row>
    <row r="1514" spans="51:52" x14ac:dyDescent="0.2">
      <c r="AY1514" s="389"/>
      <c r="AZ1514" s="388"/>
    </row>
    <row r="1515" spans="51:52" x14ac:dyDescent="0.2">
      <c r="AY1515" s="389"/>
      <c r="AZ1515" s="388"/>
    </row>
    <row r="1516" spans="51:52" x14ac:dyDescent="0.2">
      <c r="AY1516" s="389"/>
      <c r="AZ1516" s="388"/>
    </row>
    <row r="1517" spans="51:52" x14ac:dyDescent="0.2">
      <c r="AY1517" s="389"/>
      <c r="AZ1517" s="388"/>
    </row>
    <row r="1518" spans="51:52" x14ac:dyDescent="0.2">
      <c r="AY1518" s="389"/>
      <c r="AZ1518" s="388"/>
    </row>
    <row r="1519" spans="51:52" x14ac:dyDescent="0.2">
      <c r="AY1519" s="389"/>
      <c r="AZ1519" s="388"/>
    </row>
    <row r="1520" spans="51:52" x14ac:dyDescent="0.2">
      <c r="AY1520" s="389"/>
      <c r="AZ1520" s="388"/>
    </row>
    <row r="1521" spans="51:52" x14ac:dyDescent="0.2">
      <c r="AY1521" s="389"/>
      <c r="AZ1521" s="388"/>
    </row>
    <row r="1522" spans="51:52" x14ac:dyDescent="0.2">
      <c r="AY1522" s="389"/>
      <c r="AZ1522" s="388"/>
    </row>
    <row r="1523" spans="51:52" x14ac:dyDescent="0.2">
      <c r="AY1523" s="389"/>
      <c r="AZ1523" s="388"/>
    </row>
    <row r="1524" spans="51:52" x14ac:dyDescent="0.2">
      <c r="AY1524" s="389"/>
      <c r="AZ1524" s="388"/>
    </row>
    <row r="1525" spans="51:52" x14ac:dyDescent="0.2">
      <c r="AY1525" s="389"/>
      <c r="AZ1525" s="388"/>
    </row>
    <row r="1526" spans="51:52" x14ac:dyDescent="0.2">
      <c r="AY1526" s="389"/>
      <c r="AZ1526" s="388"/>
    </row>
    <row r="1527" spans="51:52" x14ac:dyDescent="0.2">
      <c r="AY1527" s="389"/>
      <c r="AZ1527" s="388"/>
    </row>
    <row r="1528" spans="51:52" x14ac:dyDescent="0.2">
      <c r="AY1528" s="389"/>
      <c r="AZ1528" s="388"/>
    </row>
    <row r="1529" spans="51:52" x14ac:dyDescent="0.2">
      <c r="AY1529" s="389"/>
      <c r="AZ1529" s="388"/>
    </row>
    <row r="1530" spans="51:52" x14ac:dyDescent="0.2">
      <c r="AY1530" s="389"/>
      <c r="AZ1530" s="388"/>
    </row>
    <row r="1531" spans="51:52" x14ac:dyDescent="0.2">
      <c r="AY1531" s="389"/>
      <c r="AZ1531" s="388"/>
    </row>
    <row r="1532" spans="51:52" x14ac:dyDescent="0.2">
      <c r="AY1532" s="389"/>
      <c r="AZ1532" s="388"/>
    </row>
    <row r="1533" spans="51:52" x14ac:dyDescent="0.2">
      <c r="AY1533" s="389"/>
      <c r="AZ1533" s="388"/>
    </row>
    <row r="1534" spans="51:52" x14ac:dyDescent="0.2">
      <c r="AY1534" s="389"/>
      <c r="AZ1534" s="388"/>
    </row>
    <row r="1535" spans="51:52" x14ac:dyDescent="0.2">
      <c r="AY1535" s="389"/>
      <c r="AZ1535" s="388"/>
    </row>
    <row r="1536" spans="51:52" x14ac:dyDescent="0.2">
      <c r="AY1536" s="389"/>
      <c r="AZ1536" s="388"/>
    </row>
    <row r="1537" spans="51:52" x14ac:dyDescent="0.2">
      <c r="AY1537" s="389"/>
      <c r="AZ1537" s="388"/>
    </row>
    <row r="1538" spans="51:52" x14ac:dyDescent="0.2">
      <c r="AY1538" s="389"/>
      <c r="AZ1538" s="388"/>
    </row>
    <row r="1539" spans="51:52" x14ac:dyDescent="0.2">
      <c r="AY1539" s="389"/>
      <c r="AZ1539" s="388"/>
    </row>
    <row r="1540" spans="51:52" x14ac:dyDescent="0.2">
      <c r="AY1540" s="389"/>
      <c r="AZ1540" s="388"/>
    </row>
    <row r="1541" spans="51:52" x14ac:dyDescent="0.2">
      <c r="AY1541" s="389"/>
      <c r="AZ1541" s="388"/>
    </row>
    <row r="1542" spans="51:52" x14ac:dyDescent="0.2">
      <c r="AY1542" s="389"/>
      <c r="AZ1542" s="388"/>
    </row>
    <row r="1543" spans="51:52" x14ac:dyDescent="0.2">
      <c r="AY1543" s="389"/>
      <c r="AZ1543" s="388"/>
    </row>
    <row r="1544" spans="51:52" x14ac:dyDescent="0.2">
      <c r="AY1544" s="389"/>
      <c r="AZ1544" s="388"/>
    </row>
    <row r="1545" spans="51:52" x14ac:dyDescent="0.2">
      <c r="AY1545" s="389"/>
      <c r="AZ1545" s="388"/>
    </row>
    <row r="1546" spans="51:52" x14ac:dyDescent="0.2">
      <c r="AY1546" s="389"/>
      <c r="AZ1546" s="388"/>
    </row>
    <row r="1547" spans="51:52" x14ac:dyDescent="0.2">
      <c r="AY1547" s="389"/>
      <c r="AZ1547" s="388"/>
    </row>
    <row r="1548" spans="51:52" x14ac:dyDescent="0.2">
      <c r="AY1548" s="389"/>
      <c r="AZ1548" s="388"/>
    </row>
    <row r="1549" spans="51:52" x14ac:dyDescent="0.2">
      <c r="AY1549" s="389"/>
      <c r="AZ1549" s="388"/>
    </row>
    <row r="1550" spans="51:52" x14ac:dyDescent="0.2">
      <c r="AY1550" s="389"/>
      <c r="AZ1550" s="388"/>
    </row>
    <row r="1551" spans="51:52" x14ac:dyDescent="0.2">
      <c r="AY1551" s="389"/>
      <c r="AZ1551" s="388"/>
    </row>
    <row r="1552" spans="51:52" x14ac:dyDescent="0.2">
      <c r="AY1552" s="389"/>
      <c r="AZ1552" s="388"/>
    </row>
    <row r="1553" spans="51:52" x14ac:dyDescent="0.2">
      <c r="AY1553" s="389"/>
      <c r="AZ1553" s="388"/>
    </row>
    <row r="1554" spans="51:52" x14ac:dyDescent="0.2">
      <c r="AY1554" s="389"/>
      <c r="AZ1554" s="388"/>
    </row>
    <row r="1555" spans="51:52" x14ac:dyDescent="0.2">
      <c r="AY1555" s="389"/>
      <c r="AZ1555" s="388"/>
    </row>
    <row r="1556" spans="51:52" x14ac:dyDescent="0.2">
      <c r="AY1556" s="389"/>
      <c r="AZ1556" s="388"/>
    </row>
    <row r="1557" spans="51:52" x14ac:dyDescent="0.2">
      <c r="AY1557" s="389"/>
      <c r="AZ1557" s="388"/>
    </row>
    <row r="1558" spans="51:52" x14ac:dyDescent="0.2">
      <c r="AY1558" s="389"/>
      <c r="AZ1558" s="388"/>
    </row>
    <row r="1559" spans="51:52" x14ac:dyDescent="0.2">
      <c r="AY1559" s="389"/>
      <c r="AZ1559" s="388"/>
    </row>
    <row r="1560" spans="51:52" x14ac:dyDescent="0.2">
      <c r="AY1560" s="389"/>
      <c r="AZ1560" s="388"/>
    </row>
    <row r="1561" spans="51:52" x14ac:dyDescent="0.2">
      <c r="AY1561" s="389"/>
      <c r="AZ1561" s="388"/>
    </row>
    <row r="1562" spans="51:52" x14ac:dyDescent="0.2">
      <c r="AY1562" s="389"/>
      <c r="AZ1562" s="388"/>
    </row>
    <row r="1563" spans="51:52" x14ac:dyDescent="0.2">
      <c r="AY1563" s="389"/>
      <c r="AZ1563" s="388"/>
    </row>
    <row r="1564" spans="51:52" x14ac:dyDescent="0.2">
      <c r="AY1564" s="389"/>
      <c r="AZ1564" s="388"/>
    </row>
    <row r="1565" spans="51:52" x14ac:dyDescent="0.2">
      <c r="AY1565" s="389"/>
      <c r="AZ1565" s="388"/>
    </row>
    <row r="1566" spans="51:52" x14ac:dyDescent="0.2">
      <c r="AY1566" s="389"/>
      <c r="AZ1566" s="388"/>
    </row>
    <row r="1567" spans="51:52" x14ac:dyDescent="0.2">
      <c r="AY1567" s="389"/>
      <c r="AZ1567" s="388"/>
    </row>
    <row r="1568" spans="51:52" x14ac:dyDescent="0.2">
      <c r="AY1568" s="389"/>
      <c r="AZ1568" s="388"/>
    </row>
    <row r="1569" spans="51:52" x14ac:dyDescent="0.2">
      <c r="AY1569" s="389"/>
      <c r="AZ1569" s="388"/>
    </row>
    <row r="1570" spans="51:52" x14ac:dyDescent="0.2">
      <c r="AY1570" s="389"/>
      <c r="AZ1570" s="388"/>
    </row>
    <row r="1571" spans="51:52" x14ac:dyDescent="0.2">
      <c r="AY1571" s="389"/>
      <c r="AZ1571" s="388"/>
    </row>
    <row r="1572" spans="51:52" x14ac:dyDescent="0.2">
      <c r="AY1572" s="389"/>
      <c r="AZ1572" s="388"/>
    </row>
    <row r="1573" spans="51:52" x14ac:dyDescent="0.2">
      <c r="AY1573" s="389"/>
      <c r="AZ1573" s="388"/>
    </row>
    <row r="1574" spans="51:52" x14ac:dyDescent="0.2">
      <c r="AY1574" s="389"/>
      <c r="AZ1574" s="388"/>
    </row>
    <row r="1575" spans="51:52" x14ac:dyDescent="0.2">
      <c r="AY1575" s="389"/>
      <c r="AZ1575" s="388"/>
    </row>
    <row r="1576" spans="51:52" x14ac:dyDescent="0.2">
      <c r="AY1576" s="389"/>
      <c r="AZ1576" s="388"/>
    </row>
    <row r="1577" spans="51:52" x14ac:dyDescent="0.2">
      <c r="AY1577" s="389"/>
      <c r="AZ1577" s="388"/>
    </row>
    <row r="1578" spans="51:52" x14ac:dyDescent="0.2">
      <c r="AY1578" s="389"/>
      <c r="AZ1578" s="388"/>
    </row>
    <row r="1579" spans="51:52" x14ac:dyDescent="0.2">
      <c r="AY1579" s="389"/>
      <c r="AZ1579" s="388"/>
    </row>
    <row r="1580" spans="51:52" x14ac:dyDescent="0.2">
      <c r="AY1580" s="389"/>
      <c r="AZ1580" s="388"/>
    </row>
    <row r="1581" spans="51:52" x14ac:dyDescent="0.2">
      <c r="AY1581" s="389"/>
      <c r="AZ1581" s="388"/>
    </row>
    <row r="1582" spans="51:52" x14ac:dyDescent="0.2">
      <c r="AY1582" s="389"/>
      <c r="AZ1582" s="388"/>
    </row>
    <row r="1583" spans="51:52" x14ac:dyDescent="0.2">
      <c r="AY1583" s="389"/>
      <c r="AZ1583" s="388"/>
    </row>
    <row r="1584" spans="51:52" x14ac:dyDescent="0.2">
      <c r="AY1584" s="389"/>
      <c r="AZ1584" s="388"/>
    </row>
    <row r="1585" spans="51:52" x14ac:dyDescent="0.2">
      <c r="AY1585" s="389"/>
      <c r="AZ1585" s="388"/>
    </row>
    <row r="1586" spans="51:52" x14ac:dyDescent="0.2">
      <c r="AY1586" s="389"/>
      <c r="AZ1586" s="388"/>
    </row>
    <row r="1587" spans="51:52" x14ac:dyDescent="0.2">
      <c r="AY1587" s="389"/>
      <c r="AZ1587" s="388"/>
    </row>
    <row r="1588" spans="51:52" x14ac:dyDescent="0.2">
      <c r="AY1588" s="389"/>
      <c r="AZ1588" s="388"/>
    </row>
    <row r="1589" spans="51:52" x14ac:dyDescent="0.2">
      <c r="AY1589" s="389"/>
      <c r="AZ1589" s="388"/>
    </row>
    <row r="1590" spans="51:52" x14ac:dyDescent="0.2">
      <c r="AY1590" s="389"/>
      <c r="AZ1590" s="388"/>
    </row>
    <row r="1591" spans="51:52" x14ac:dyDescent="0.2">
      <c r="AY1591" s="389"/>
      <c r="AZ1591" s="388"/>
    </row>
    <row r="1592" spans="51:52" x14ac:dyDescent="0.2">
      <c r="AY1592" s="389"/>
      <c r="AZ1592" s="388"/>
    </row>
    <row r="1593" spans="51:52" x14ac:dyDescent="0.2">
      <c r="AY1593" s="389"/>
      <c r="AZ1593" s="388"/>
    </row>
    <row r="1594" spans="51:52" x14ac:dyDescent="0.2">
      <c r="AY1594" s="389"/>
      <c r="AZ1594" s="388"/>
    </row>
    <row r="1595" spans="51:52" x14ac:dyDescent="0.2">
      <c r="AY1595" s="389"/>
      <c r="AZ1595" s="388"/>
    </row>
    <row r="1596" spans="51:52" x14ac:dyDescent="0.2">
      <c r="AY1596" s="389"/>
      <c r="AZ1596" s="388"/>
    </row>
    <row r="1597" spans="51:52" x14ac:dyDescent="0.2">
      <c r="AY1597" s="389"/>
      <c r="AZ1597" s="388"/>
    </row>
    <row r="1598" spans="51:52" x14ac:dyDescent="0.2">
      <c r="AY1598" s="389"/>
      <c r="AZ1598" s="388"/>
    </row>
    <row r="1599" spans="51:52" x14ac:dyDescent="0.2">
      <c r="AY1599" s="389"/>
      <c r="AZ1599" s="388"/>
    </row>
    <row r="1600" spans="51:52" x14ac:dyDescent="0.2">
      <c r="AY1600" s="389"/>
      <c r="AZ1600" s="388"/>
    </row>
    <row r="1601" spans="51:52" x14ac:dyDescent="0.2">
      <c r="AY1601" s="389"/>
      <c r="AZ1601" s="388"/>
    </row>
    <row r="1602" spans="51:52" x14ac:dyDescent="0.2">
      <c r="AY1602" s="389"/>
      <c r="AZ1602" s="388"/>
    </row>
    <row r="1603" spans="51:52" x14ac:dyDescent="0.2">
      <c r="AY1603" s="389"/>
      <c r="AZ1603" s="388"/>
    </row>
    <row r="1604" spans="51:52" x14ac:dyDescent="0.2">
      <c r="AY1604" s="389"/>
      <c r="AZ1604" s="388"/>
    </row>
    <row r="1605" spans="51:52" x14ac:dyDescent="0.2">
      <c r="AY1605" s="389"/>
      <c r="AZ1605" s="388"/>
    </row>
    <row r="1606" spans="51:52" x14ac:dyDescent="0.2">
      <c r="AY1606" s="389"/>
      <c r="AZ1606" s="388"/>
    </row>
    <row r="1607" spans="51:52" x14ac:dyDescent="0.2">
      <c r="AY1607" s="389"/>
      <c r="AZ1607" s="388"/>
    </row>
    <row r="1608" spans="51:52" x14ac:dyDescent="0.2">
      <c r="AY1608" s="389"/>
      <c r="AZ1608" s="388"/>
    </row>
    <row r="1609" spans="51:52" x14ac:dyDescent="0.2">
      <c r="AY1609" s="389"/>
      <c r="AZ1609" s="388"/>
    </row>
    <row r="1610" spans="51:52" x14ac:dyDescent="0.2">
      <c r="AY1610" s="389"/>
      <c r="AZ1610" s="388"/>
    </row>
    <row r="1611" spans="51:52" x14ac:dyDescent="0.2">
      <c r="AY1611" s="389"/>
      <c r="AZ1611" s="388"/>
    </row>
    <row r="1612" spans="51:52" x14ac:dyDescent="0.2">
      <c r="AY1612" s="389"/>
      <c r="AZ1612" s="388"/>
    </row>
    <row r="1613" spans="51:52" x14ac:dyDescent="0.2">
      <c r="AY1613" s="389"/>
      <c r="AZ1613" s="388"/>
    </row>
    <row r="1614" spans="51:52" x14ac:dyDescent="0.2">
      <c r="AY1614" s="389"/>
      <c r="AZ1614" s="388"/>
    </row>
    <row r="1615" spans="51:52" x14ac:dyDescent="0.2">
      <c r="AY1615" s="389"/>
      <c r="AZ1615" s="388"/>
    </row>
    <row r="1616" spans="51:52" x14ac:dyDescent="0.2">
      <c r="AY1616" s="389"/>
      <c r="AZ1616" s="388"/>
    </row>
    <row r="1617" spans="51:52" x14ac:dyDescent="0.2">
      <c r="AY1617" s="389"/>
      <c r="AZ1617" s="388"/>
    </row>
    <row r="1618" spans="51:52" x14ac:dyDescent="0.2">
      <c r="AY1618" s="389"/>
      <c r="AZ1618" s="388"/>
    </row>
    <row r="1619" spans="51:52" x14ac:dyDescent="0.2">
      <c r="AY1619" s="389"/>
      <c r="AZ1619" s="388"/>
    </row>
    <row r="1620" spans="51:52" x14ac:dyDescent="0.2">
      <c r="AY1620" s="389"/>
      <c r="AZ1620" s="388"/>
    </row>
    <row r="1621" spans="51:52" x14ac:dyDescent="0.2">
      <c r="AY1621" s="389"/>
      <c r="AZ1621" s="388"/>
    </row>
    <row r="1622" spans="51:52" x14ac:dyDescent="0.2">
      <c r="AY1622" s="389"/>
      <c r="AZ1622" s="388"/>
    </row>
    <row r="1623" spans="51:52" x14ac:dyDescent="0.2">
      <c r="AY1623" s="389"/>
      <c r="AZ1623" s="388"/>
    </row>
    <row r="1624" spans="51:52" x14ac:dyDescent="0.2">
      <c r="AY1624" s="389"/>
      <c r="AZ1624" s="388"/>
    </row>
    <row r="1625" spans="51:52" x14ac:dyDescent="0.2">
      <c r="AY1625" s="389"/>
      <c r="AZ1625" s="388"/>
    </row>
    <row r="1626" spans="51:52" x14ac:dyDescent="0.2">
      <c r="AY1626" s="389"/>
      <c r="AZ1626" s="388"/>
    </row>
    <row r="1627" spans="51:52" x14ac:dyDescent="0.2">
      <c r="AY1627" s="389"/>
      <c r="AZ1627" s="388"/>
    </row>
    <row r="1628" spans="51:52" x14ac:dyDescent="0.2">
      <c r="AY1628" s="389"/>
      <c r="AZ1628" s="388"/>
    </row>
    <row r="1629" spans="51:52" x14ac:dyDescent="0.2">
      <c r="AY1629" s="389"/>
      <c r="AZ1629" s="388"/>
    </row>
    <row r="1630" spans="51:52" x14ac:dyDescent="0.2">
      <c r="AY1630" s="389"/>
      <c r="AZ1630" s="388"/>
    </row>
    <row r="1631" spans="51:52" x14ac:dyDescent="0.2">
      <c r="AY1631" s="389"/>
      <c r="AZ1631" s="388"/>
    </row>
    <row r="1632" spans="51:52" x14ac:dyDescent="0.2">
      <c r="AY1632" s="389"/>
      <c r="AZ1632" s="388"/>
    </row>
    <row r="1633" spans="51:52" x14ac:dyDescent="0.2">
      <c r="AY1633" s="389"/>
      <c r="AZ1633" s="388"/>
    </row>
    <row r="1634" spans="51:52" x14ac:dyDescent="0.2">
      <c r="AY1634" s="389"/>
      <c r="AZ1634" s="388"/>
    </row>
    <row r="1635" spans="51:52" x14ac:dyDescent="0.2">
      <c r="AY1635" s="389"/>
      <c r="AZ1635" s="388"/>
    </row>
    <row r="1636" spans="51:52" x14ac:dyDescent="0.2">
      <c r="AY1636" s="389"/>
      <c r="AZ1636" s="388"/>
    </row>
    <row r="1637" spans="51:52" x14ac:dyDescent="0.2">
      <c r="AY1637" s="389"/>
      <c r="AZ1637" s="388"/>
    </row>
    <row r="1638" spans="51:52" x14ac:dyDescent="0.2">
      <c r="AY1638" s="389"/>
      <c r="AZ1638" s="388"/>
    </row>
    <row r="1639" spans="51:52" x14ac:dyDescent="0.2">
      <c r="AY1639" s="389"/>
      <c r="AZ1639" s="388"/>
    </row>
    <row r="1640" spans="51:52" x14ac:dyDescent="0.2">
      <c r="AY1640" s="389"/>
      <c r="AZ1640" s="388"/>
    </row>
    <row r="1641" spans="51:52" x14ac:dyDescent="0.2">
      <c r="AY1641" s="389"/>
      <c r="AZ1641" s="388"/>
    </row>
    <row r="1642" spans="51:52" x14ac:dyDescent="0.2">
      <c r="AY1642" s="389"/>
      <c r="AZ1642" s="388"/>
    </row>
    <row r="1643" spans="51:52" x14ac:dyDescent="0.2">
      <c r="AY1643" s="389"/>
      <c r="AZ1643" s="388"/>
    </row>
    <row r="1644" spans="51:52" x14ac:dyDescent="0.2">
      <c r="AY1644" s="389"/>
      <c r="AZ1644" s="388"/>
    </row>
    <row r="1645" spans="51:52" x14ac:dyDescent="0.2">
      <c r="AY1645" s="389"/>
      <c r="AZ1645" s="388"/>
    </row>
    <row r="1646" spans="51:52" x14ac:dyDescent="0.2">
      <c r="AY1646" s="389"/>
      <c r="AZ1646" s="388"/>
    </row>
    <row r="1647" spans="51:52" x14ac:dyDescent="0.2">
      <c r="AY1647" s="389"/>
      <c r="AZ1647" s="388"/>
    </row>
    <row r="1648" spans="51:52" x14ac:dyDescent="0.2">
      <c r="AY1648" s="389"/>
      <c r="AZ1648" s="388"/>
    </row>
    <row r="1649" spans="51:52" x14ac:dyDescent="0.2">
      <c r="AY1649" s="389"/>
      <c r="AZ1649" s="388"/>
    </row>
    <row r="1650" spans="51:52" x14ac:dyDescent="0.2">
      <c r="AY1650" s="389"/>
      <c r="AZ1650" s="388"/>
    </row>
    <row r="1651" spans="51:52" x14ac:dyDescent="0.2">
      <c r="AY1651" s="389"/>
      <c r="AZ1651" s="388"/>
    </row>
    <row r="1652" spans="51:52" x14ac:dyDescent="0.2">
      <c r="AY1652" s="389"/>
      <c r="AZ1652" s="388"/>
    </row>
    <row r="1653" spans="51:52" x14ac:dyDescent="0.2">
      <c r="AY1653" s="389"/>
      <c r="AZ1653" s="388"/>
    </row>
    <row r="1654" spans="51:52" x14ac:dyDescent="0.2">
      <c r="AY1654" s="389"/>
      <c r="AZ1654" s="388"/>
    </row>
    <row r="1655" spans="51:52" x14ac:dyDescent="0.2">
      <c r="AY1655" s="389"/>
      <c r="AZ1655" s="388"/>
    </row>
    <row r="1656" spans="51:52" x14ac:dyDescent="0.2">
      <c r="AY1656" s="389"/>
      <c r="AZ1656" s="388"/>
    </row>
    <row r="1657" spans="51:52" x14ac:dyDescent="0.2">
      <c r="AY1657" s="389"/>
      <c r="AZ1657" s="388"/>
    </row>
    <row r="1658" spans="51:52" x14ac:dyDescent="0.2">
      <c r="AY1658" s="389"/>
      <c r="AZ1658" s="388"/>
    </row>
    <row r="1659" spans="51:52" x14ac:dyDescent="0.2">
      <c r="AY1659" s="389"/>
      <c r="AZ1659" s="388"/>
    </row>
    <row r="1660" spans="51:52" x14ac:dyDescent="0.2">
      <c r="AY1660" s="389"/>
      <c r="AZ1660" s="388"/>
    </row>
    <row r="1661" spans="51:52" x14ac:dyDescent="0.2">
      <c r="AY1661" s="389"/>
      <c r="AZ1661" s="388"/>
    </row>
    <row r="1662" spans="51:52" x14ac:dyDescent="0.2">
      <c r="AY1662" s="389"/>
      <c r="AZ1662" s="388"/>
    </row>
    <row r="1663" spans="51:52" x14ac:dyDescent="0.2">
      <c r="AY1663" s="389"/>
      <c r="AZ1663" s="388"/>
    </row>
    <row r="1664" spans="51:52" x14ac:dyDescent="0.2">
      <c r="AY1664" s="389"/>
      <c r="AZ1664" s="388"/>
    </row>
    <row r="1665" spans="51:52" x14ac:dyDescent="0.2">
      <c r="AY1665" s="389"/>
      <c r="AZ1665" s="388"/>
    </row>
    <row r="1666" spans="51:52" x14ac:dyDescent="0.2">
      <c r="AY1666" s="389"/>
      <c r="AZ1666" s="388"/>
    </row>
  </sheetData>
  <sortState xmlns:xlrd2="http://schemas.microsoft.com/office/spreadsheetml/2017/richdata2" ref="AU57:AZ73">
    <sortCondition descending="1" ref="AZ1"/>
  </sortState>
  <mergeCells count="13">
    <mergeCell ref="AN56:AO56"/>
    <mergeCell ref="AP56:AQ56"/>
    <mergeCell ref="AZ56:BA56"/>
    <mergeCell ref="BB56:BC56"/>
    <mergeCell ref="K4:L4"/>
    <mergeCell ref="J18:L18"/>
    <mergeCell ref="J30:K30"/>
    <mergeCell ref="B11:I11"/>
    <mergeCell ref="B51:D51"/>
    <mergeCell ref="BK49:BL49"/>
    <mergeCell ref="BK50:BL50"/>
    <mergeCell ref="N36:S37"/>
    <mergeCell ref="B24:I25"/>
  </mergeCells>
  <dataValidations disablePrompts="1" count="5">
    <dataValidation type="list" operator="equal" allowBlank="1" showInputMessage="1" showErrorMessage="1" error="Period must be in quarterly format.  Example:  yyyyQq &gt;&gt; 2010Q2." sqref="L30" xr:uid="{00000000-0002-0000-0200-000000000000}">
      <formula1>Magnitude_List</formula1>
    </dataValidation>
    <dataValidation type="list" operator="equal" allowBlank="1" showInputMessage="1" showErrorMessage="1" error="Period must be in quarterly format.  Example:  yyyyQq &gt;&gt; 2010Q2." sqref="J30" xr:uid="{00000000-0002-0000-0200-000001000000}">
      <formula1>Currency_List</formula1>
    </dataValidation>
    <dataValidation type="list" allowBlank="1" showInputMessage="1" showErrorMessage="1" sqref="B51:D51" xr:uid="{00000000-0002-0000-0200-000003000000}">
      <formula1>$AC$76:$AC$157</formula1>
    </dataValidation>
    <dataValidation type="list" allowBlank="1" showInputMessage="1" showErrorMessage="1" sqref="F72" xr:uid="{FCECA856-A4EF-4A89-8E40-E5CCD284FAF9}">
      <formula1>$Y$35:$Y$36</formula1>
    </dataValidation>
    <dataValidation type="list" allowBlank="1" showInputMessage="1" showErrorMessage="1" sqref="J18:L18" xr:uid="{F8679B99-36D1-49A9-9960-499D7ED749E5}">
      <formula1>$BQ$55:$BQ$152</formula1>
    </dataValidation>
  </dataValidations>
  <hyperlinks>
    <hyperlink ref="O6" r:id="rId1" xr:uid="{470BB297-CF3E-409A-B209-8156734F738A}"/>
  </hyperlinks>
  <pageMargins left="0.25" right="0.25" top="0.25" bottom="0.25" header="0.25" footer="0.25"/>
  <pageSetup scale="67" fitToHeight="0" orientation="landscape" r:id="rId2"/>
  <rowBreaks count="3" manualBreakCount="3">
    <brk id="96" min="1" max="15" man="1"/>
    <brk id="162" min="1" max="15" man="1"/>
    <brk id="205" min="1" max="15" man="1"/>
  </rowBreaks>
  <drawing r:id="rId3"/>
  <legacyDrawing r:id="rId4"/>
  <mc:AlternateContent xmlns:mc="http://schemas.openxmlformats.org/markup-compatibility/2006">
    <mc:Choice Requires="x14">
      <controls>
        <mc:AlternateContent xmlns:mc="http://schemas.openxmlformats.org/markup-compatibility/2006">
          <mc:Choice Requires="x14">
            <control shapeId="2050" r:id="rId5" name="Button 2">
              <controlPr defaultSize="0" print="0" autoFill="0" autoPict="0" macro="[0]!Refresh_Template">
                <anchor moveWithCells="1" sizeWithCells="1">
                  <from>
                    <xdr:col>10</xdr:col>
                    <xdr:colOff>180975</xdr:colOff>
                    <xdr:row>39</xdr:row>
                    <xdr:rowOff>0</xdr:rowOff>
                  </from>
                  <to>
                    <xdr:col>12</xdr:col>
                    <xdr:colOff>28575</xdr:colOff>
                    <xdr:row>40</xdr:row>
                    <xdr:rowOff>66675</xdr:rowOff>
                  </to>
                </anchor>
              </controlPr>
            </control>
          </mc:Choice>
        </mc:AlternateContent>
        <mc:AlternateContent xmlns:mc="http://schemas.openxmlformats.org/markup-compatibility/2006">
          <mc:Choice Requires="x14">
            <control shapeId="2057" r:id="rId6" name="Button 9">
              <controlPr defaultSize="0" print="0" autoFill="0" autoPict="0" macro="[0]!Change_Language">
                <anchor moveWithCells="1" sizeWithCells="1">
                  <from>
                    <xdr:col>10</xdr:col>
                    <xdr:colOff>152400</xdr:colOff>
                    <xdr:row>4</xdr:row>
                    <xdr:rowOff>142875</xdr:rowOff>
                  </from>
                  <to>
                    <xdr:col>12</xdr:col>
                    <xdr:colOff>0</xdr:colOff>
                    <xdr:row>6</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200-000004000000}">
          <x14:formula1>
            <xm:f>Language_Index!$O$5:$O$15</xm:f>
          </x14:formula1>
          <xm:sqref>K4:L4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BD5EFF-2000-4A57-9449-772C0406D26A}">
  <sheetPr codeName="Sheet7"/>
  <dimension ref="B2:AA29"/>
  <sheetViews>
    <sheetView showGridLines="0" zoomScaleNormal="100" workbookViewId="0"/>
  </sheetViews>
  <sheetFormatPr baseColWidth="10" defaultColWidth="9.33203125" defaultRowHeight="11.25" x14ac:dyDescent="0.2"/>
  <cols>
    <col min="1" max="1" width="2.83203125" customWidth="1"/>
    <col min="2" max="2" width="11.83203125" customWidth="1"/>
  </cols>
  <sheetData>
    <row r="2" spans="2:27" ht="20.100000000000001" customHeight="1" x14ac:dyDescent="0.2">
      <c r="B2" s="460" t="str">
        <f>VLOOKUP("REVERSE DISCOUNTED CASH FLOWS OVERVEIW",Language_Data,Lookup_Column,FALSE)</f>
        <v>REVERSE DISCOUNTED CASH FLOWS OVERVEIW</v>
      </c>
      <c r="C2" s="15"/>
      <c r="D2" s="15"/>
      <c r="E2" s="15"/>
      <c r="F2" s="15"/>
      <c r="G2" s="15"/>
      <c r="H2" s="15"/>
      <c r="I2" s="15"/>
      <c r="J2" s="15"/>
      <c r="K2" s="15"/>
      <c r="L2" s="15"/>
      <c r="M2" s="15"/>
      <c r="N2" s="15"/>
    </row>
    <row r="3" spans="2:27" ht="7.35" customHeight="1" x14ac:dyDescent="0.2">
      <c r="B3" s="466"/>
    </row>
    <row r="4" spans="2:27" x14ac:dyDescent="0.2">
      <c r="B4" s="465" t="str">
        <f>VLOOKUP("Reverse Discounted Cash Flows ",Language_Data,Lookup_Column,FALSE)</f>
        <v xml:space="preserve">Reverse Discounted Cash Flows </v>
      </c>
      <c r="C4" s="24"/>
      <c r="D4" s="24"/>
      <c r="E4" s="24"/>
      <c r="F4" s="24"/>
      <c r="G4" s="24"/>
      <c r="H4" s="24"/>
      <c r="I4" s="24"/>
      <c r="J4" s="24"/>
      <c r="K4" s="24"/>
      <c r="L4" s="24"/>
      <c r="M4" s="24"/>
      <c r="N4" s="25"/>
      <c r="P4" s="467"/>
    </row>
    <row r="5" spans="2:27" ht="35.1" customHeight="1" x14ac:dyDescent="0.2">
      <c r="B5" s="502" t="str">
        <f>VLOOKUP("Reverse DCF is a valuation approach used to estimate the growth rate implied by the current stock price.",Language_Data,Lookup_Column,FALSE)&amp;" "&amp;VLOOKUP("In simple terms, the growth rate or margins are derived by equating the implied valuation to the current market price, while a standard DCF gives the intrinsic value based on projected future cash flows.",Language_Data,Lookup_Column,FALSE)</f>
        <v>Reverse DCF is a valuation approach used to estimate the growth rate implied by the current stock price. In simple terms, the growth rate or margins are derived by equating the implied valuation to the current market price, while a standard DCF gives the intrinsic value based on projected future cash flows.</v>
      </c>
      <c r="C5" s="503"/>
      <c r="D5" s="503"/>
      <c r="E5" s="503"/>
      <c r="F5" s="503"/>
      <c r="G5" s="503"/>
      <c r="H5" s="503"/>
      <c r="I5" s="503"/>
      <c r="J5" s="503"/>
      <c r="K5" s="503"/>
      <c r="L5" s="503"/>
      <c r="M5" s="503"/>
      <c r="N5" s="504"/>
      <c r="O5" s="462"/>
      <c r="P5" s="462"/>
      <c r="Q5" s="462"/>
      <c r="R5" s="462"/>
      <c r="S5" s="462"/>
      <c r="T5" s="462"/>
      <c r="U5" s="462"/>
      <c r="V5" s="462"/>
      <c r="W5" s="462"/>
      <c r="X5" s="462"/>
      <c r="Y5" s="462"/>
      <c r="Z5" s="462"/>
      <c r="AA5" s="462"/>
    </row>
    <row r="6" spans="2:27" ht="10.35" customHeight="1" x14ac:dyDescent="0.2">
      <c r="B6" s="461"/>
      <c r="C6" s="461"/>
      <c r="D6" s="461"/>
      <c r="E6" s="461"/>
      <c r="F6" s="461"/>
      <c r="G6" s="461"/>
      <c r="H6" s="461"/>
      <c r="I6" s="461"/>
      <c r="J6" s="461"/>
      <c r="K6" s="461"/>
      <c r="L6" s="461"/>
      <c r="M6" s="461"/>
      <c r="N6" s="461"/>
      <c r="O6" s="462"/>
      <c r="P6" s="462"/>
      <c r="Q6" s="462"/>
      <c r="R6" s="462"/>
      <c r="S6" s="462"/>
      <c r="T6" s="462"/>
      <c r="U6" s="462"/>
      <c r="V6" s="462"/>
      <c r="W6" s="462"/>
      <c r="X6" s="462"/>
      <c r="Y6" s="462"/>
      <c r="Z6" s="462"/>
      <c r="AA6" s="462"/>
    </row>
    <row r="7" spans="2:27" x14ac:dyDescent="0.2">
      <c r="B7" s="465" t="str">
        <f>VLOOKUP("Workings of Reverse DCF",Language_Data,Lookup_Column,FALSE)</f>
        <v>Workings of Reverse DCF</v>
      </c>
      <c r="C7" s="24"/>
      <c r="D7" s="24"/>
      <c r="E7" s="24"/>
      <c r="F7" s="24"/>
      <c r="G7" s="24"/>
      <c r="H7" s="24"/>
      <c r="I7" s="24"/>
      <c r="J7" s="24"/>
      <c r="K7" s="24"/>
      <c r="L7" s="24"/>
      <c r="M7" s="24"/>
      <c r="N7" s="25"/>
    </row>
    <row r="8" spans="2:27" x14ac:dyDescent="0.2">
      <c r="B8" s="26" t="str">
        <f>VLOOKUP("The growth rate updates based on the indicator selected.",Language_Data,Lookup_Column,FALSE)</f>
        <v>The growth rate updates based on the indicator selected.</v>
      </c>
      <c r="N8" s="27"/>
    </row>
    <row r="9" spans="2:27" x14ac:dyDescent="0.2">
      <c r="B9" s="26" t="str">
        <f>VLOOKUP("The indicators include-:a) Total Revenue % Growth ",Language_Data,Lookup_Column,FALSE)</f>
        <v xml:space="preserve">The indicators include-:a) Total Revenue % Growth </v>
      </c>
      <c r="N9" s="27"/>
    </row>
    <row r="10" spans="2:27" x14ac:dyDescent="0.2">
      <c r="B10" s="26" t="str">
        <f>VLOOKUP("                                     b) Operating Margin",Language_Data,Lookup_Column,FALSE)</f>
        <v xml:space="preserve">                                     b) Operating Margin</v>
      </c>
      <c r="N10" s="27"/>
    </row>
    <row r="11" spans="2:27" x14ac:dyDescent="0.2">
      <c r="B11" s="26" t="str">
        <f>VLOOKUP("                                     c) Capex as % of Sales ",Language_Data,Lookup_Column,FALSE)</f>
        <v xml:space="preserve">                                     c) Capex as % of Sales </v>
      </c>
      <c r="N11" s="27"/>
    </row>
    <row r="12" spans="2:27" ht="22.35" customHeight="1" x14ac:dyDescent="0.2">
      <c r="B12" s="502" t="str">
        <f t="shared" ref="B12:N12" si="0">VLOOKUP("After selection, the model automatically works out the implied value for that indicator. The Impute button runs a Goal Seek analysis to solve for the growth rate or margin implied by the current stock price.",Language_Data,Lookup_Column,FALSE)</f>
        <v>After selection, the model automatically works out the implied value for that indicator. The Impute button runs a Goal Seek analysis to solve for the growth rate or margin implied by the current stock price.</v>
      </c>
      <c r="C12" s="503" t="str">
        <f t="shared" si="0"/>
        <v>After selection, the model automatically works out the implied value for that indicator. The Impute button runs a Goal Seek analysis to solve for the growth rate or margin implied by the current stock price.</v>
      </c>
      <c r="D12" s="503" t="str">
        <f t="shared" si="0"/>
        <v>After selection, the model automatically works out the implied value for that indicator. The Impute button runs a Goal Seek analysis to solve for the growth rate or margin implied by the current stock price.</v>
      </c>
      <c r="E12" s="503" t="str">
        <f t="shared" si="0"/>
        <v>After selection, the model automatically works out the implied value for that indicator. The Impute button runs a Goal Seek analysis to solve for the growth rate or margin implied by the current stock price.</v>
      </c>
      <c r="F12" s="503" t="str">
        <f t="shared" si="0"/>
        <v>After selection, the model automatically works out the implied value for that indicator. The Impute button runs a Goal Seek analysis to solve for the growth rate or margin implied by the current stock price.</v>
      </c>
      <c r="G12" s="503" t="str">
        <f t="shared" si="0"/>
        <v>After selection, the model automatically works out the implied value for that indicator. The Impute button runs a Goal Seek analysis to solve for the growth rate or margin implied by the current stock price.</v>
      </c>
      <c r="H12" s="503" t="str">
        <f t="shared" si="0"/>
        <v>After selection, the model automatically works out the implied value for that indicator. The Impute button runs a Goal Seek analysis to solve for the growth rate or margin implied by the current stock price.</v>
      </c>
      <c r="I12" s="503" t="str">
        <f t="shared" si="0"/>
        <v>After selection, the model automatically works out the implied value for that indicator. The Impute button runs a Goal Seek analysis to solve for the growth rate or margin implied by the current stock price.</v>
      </c>
      <c r="J12" s="503" t="str">
        <f t="shared" si="0"/>
        <v>After selection, the model automatically works out the implied value for that indicator. The Impute button runs a Goal Seek analysis to solve for the growth rate or margin implied by the current stock price.</v>
      </c>
      <c r="K12" s="503" t="str">
        <f t="shared" si="0"/>
        <v>After selection, the model automatically works out the implied value for that indicator. The Impute button runs a Goal Seek analysis to solve for the growth rate or margin implied by the current stock price.</v>
      </c>
      <c r="L12" s="503" t="str">
        <f t="shared" si="0"/>
        <v>After selection, the model automatically works out the implied value for that indicator. The Impute button runs a Goal Seek analysis to solve for the growth rate or margin implied by the current stock price.</v>
      </c>
      <c r="M12" s="503" t="str">
        <f t="shared" si="0"/>
        <v>After selection, the model automatically works out the implied value for that indicator. The Impute button runs a Goal Seek analysis to solve for the growth rate or margin implied by the current stock price.</v>
      </c>
      <c r="N12" s="504" t="str">
        <f t="shared" si="0"/>
        <v>After selection, the model automatically works out the implied value for that indicator. The Impute button runs a Goal Seek analysis to solve for the growth rate or margin implied by the current stock price.</v>
      </c>
      <c r="O12" s="461"/>
      <c r="Q12" s="461"/>
      <c r="R12" s="461"/>
      <c r="S12" s="461"/>
      <c r="T12" s="461"/>
      <c r="U12" s="461"/>
      <c r="V12" s="461"/>
      <c r="W12" s="461"/>
    </row>
    <row r="13" spans="2:27" ht="11.25" customHeight="1" x14ac:dyDescent="0.2">
      <c r="B13" s="461"/>
      <c r="C13" s="461"/>
      <c r="D13" s="461"/>
      <c r="E13" s="461"/>
      <c r="F13" s="461"/>
      <c r="G13" s="461"/>
      <c r="H13" s="461"/>
      <c r="I13" s="461"/>
      <c r="J13" s="461"/>
      <c r="K13" s="461"/>
      <c r="L13" s="461"/>
      <c r="M13" s="461"/>
      <c r="N13" s="461"/>
      <c r="O13" s="461"/>
      <c r="P13" s="461"/>
      <c r="Q13" s="461"/>
      <c r="R13" s="461"/>
      <c r="S13" s="461"/>
      <c r="T13" s="461"/>
      <c r="U13" s="461"/>
      <c r="V13" s="461"/>
      <c r="W13" s="461"/>
    </row>
    <row r="14" spans="2:27" x14ac:dyDescent="0.2">
      <c r="B14" s="23" t="str">
        <f>VLOOKUP("The first step calculates the free cash flow as -",Language_Data,Lookup_Column,FALSE)</f>
        <v>The first step calculates the free cash flow as -</v>
      </c>
      <c r="C14" s="24"/>
      <c r="D14" s="24"/>
      <c r="E14" s="24"/>
      <c r="F14" s="24"/>
      <c r="G14" s="24"/>
      <c r="H14" s="24"/>
      <c r="I14" s="24"/>
      <c r="J14" s="24"/>
      <c r="K14" s="24"/>
      <c r="L14" s="24"/>
      <c r="M14" s="24"/>
      <c r="N14" s="25"/>
    </row>
    <row r="15" spans="2:27" x14ac:dyDescent="0.2">
      <c r="B15" s="26" t="str">
        <f>VLOOKUP("FCFF= NOPAT+ Depreciation &amp; Amortization- Capex-Change in Net working Capital.",Language_Data,Lookup_Column,FALSE)</f>
        <v>FCFF= NOPAT+ Depreciation &amp; Amortization- Capex-Change in Net working Capital.</v>
      </c>
      <c r="N15" s="27"/>
    </row>
    <row r="16" spans="2:27" x14ac:dyDescent="0.2">
      <c r="B16" s="26"/>
      <c r="N16" s="27"/>
    </row>
    <row r="17" spans="2:14" x14ac:dyDescent="0.2">
      <c r="B17" s="26" t="str">
        <f>VLOOKUP("Each year's FCFF is discounted using a discount factor :",Language_Data,Lookup_Column,FALSE)</f>
        <v>Each year's FCFF is discounted using a discount factor :</v>
      </c>
      <c r="N17" s="27"/>
    </row>
    <row r="18" spans="2:14" x14ac:dyDescent="0.2">
      <c r="B18" s="26" t="str">
        <f>VLOOKUP("Discount Factor = Prior Year Discounted Factor / (1 + WACC).",Language_Data,Lookup_Column,FALSE)</f>
        <v>Discount Factor = Prior Year Discounted Factor / (1 + WACC).</v>
      </c>
      <c r="N18" s="27"/>
    </row>
    <row r="19" spans="2:14" x14ac:dyDescent="0.2">
      <c r="B19" s="26"/>
      <c r="N19" s="27"/>
    </row>
    <row r="20" spans="2:14" x14ac:dyDescent="0.2">
      <c r="B20" s="26" t="str">
        <f>VLOOKUP("For the terminal value calculation, the model applies the perpetuity growth method: ",Language_Data,Lookup_Column,FALSE)</f>
        <v xml:space="preserve">For the terminal value calculation, the model applies the perpetuity growth method: </v>
      </c>
      <c r="N20" s="27"/>
    </row>
    <row r="21" spans="2:14" x14ac:dyDescent="0.2">
      <c r="B21" s="26" t="str">
        <f>VLOOKUP("Terminal FCFF:Final Year FCFF × (1 + Terminal Growth Rate) (Cell O24)",Language_Data,Lookup_Column,FALSE)</f>
        <v>Terminal FCFF:Final Year FCFF × (1 + Terminal Growth Rate) (Cell O24)</v>
      </c>
      <c r="N21" s="27"/>
    </row>
    <row r="22" spans="2:14" x14ac:dyDescent="0.2">
      <c r="B22" s="26"/>
      <c r="N22" s="27"/>
    </row>
    <row r="23" spans="2:14" x14ac:dyDescent="0.2">
      <c r="B23" s="26" t="str">
        <f>VLOOKUP("Terminal value in the final year = Terminal FCFF/ (WACC- FCFF terminal growth rate) (cell O25).",Language_Data,Lookup_Column,FALSE)</f>
        <v>Terminal value in the final year = Terminal FCFF/ (WACC- FCFF terminal growth rate) (cell O25).</v>
      </c>
      <c r="N23" s="27"/>
    </row>
    <row r="24" spans="2:14" x14ac:dyDescent="0.2">
      <c r="B24" s="26" t="str">
        <f>VLOOKUP("Present Value of Terminal Value = Terminal Value / (1 + WACC) ^ Discount Factor (cell O26)",Language_Data,Lookup_Column,FALSE)</f>
        <v>Present Value of Terminal Value = Terminal Value / (1 + WACC) ^ Discount Factor (cell O26)</v>
      </c>
      <c r="N24" s="27"/>
    </row>
    <row r="25" spans="2:14" x14ac:dyDescent="0.2">
      <c r="B25" s="26"/>
      <c r="N25" s="27"/>
    </row>
    <row r="26" spans="2:14" x14ac:dyDescent="0.2">
      <c r="B26" s="26" t="str">
        <f>VLOOKUP("Based on this:",Language_Data,Lookup_Column,FALSE)</f>
        <v>Based on this:</v>
      </c>
      <c r="N26" s="27"/>
    </row>
    <row r="27" spans="2:14" x14ac:dyDescent="0.2">
      <c r="B27" s="26" t="str">
        <f>VLOOKUP("Enterprise value = Present value of FCFFs+ Present value of Terminal value (Cell O27)",Language_Data,Lookup_Column,FALSE)</f>
        <v>Enterprise Value = Present value of FCFFs+ Present value of Terminal value (Cell O27)</v>
      </c>
      <c r="N27" s="27"/>
    </row>
    <row r="28" spans="2:14" x14ac:dyDescent="0.2">
      <c r="B28" s="26" t="str">
        <f>VLOOKUP("Equity value = Enterprise Value- Net Debt ( Cell O28)",Language_Data,Lookup_Column,FALSE)</f>
        <v>Equity Value = Enterprise Value- Net Debt ( Cell O28)</v>
      </c>
      <c r="N28" s="27"/>
    </row>
    <row r="29" spans="2:14" x14ac:dyDescent="0.2">
      <c r="B29" s="14" t="str">
        <f>VLOOKUP("Implied Share Price= Equity Value/ Outstanding Diluted shares ( Cell O34)",Language_Data,Lookup_Column,FALSE)</f>
        <v>Implied Share Price= Equity Value/ Outstanding Diluted shares ( Cell O34)</v>
      </c>
      <c r="C29" s="15"/>
      <c r="D29" s="15"/>
      <c r="E29" s="15"/>
      <c r="F29" s="15"/>
      <c r="G29" s="15"/>
      <c r="H29" s="15"/>
      <c r="I29" s="15"/>
      <c r="J29" s="15"/>
      <c r="K29" s="15"/>
      <c r="L29" s="15"/>
      <c r="M29" s="15"/>
      <c r="N29" s="28"/>
    </row>
  </sheetData>
  <mergeCells count="2">
    <mergeCell ref="B5:N5"/>
    <mergeCell ref="B12:N1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E76C6-81DE-4646-9FE9-FD79BB689B5D}">
  <sheetPr codeName="Sheet6"/>
  <dimension ref="B2:BA85"/>
  <sheetViews>
    <sheetView showGridLines="0" topLeftCell="A18" workbookViewId="0">
      <selection activeCell="O34" sqref="O34"/>
    </sheetView>
  </sheetViews>
  <sheetFormatPr baseColWidth="10" defaultColWidth="9.33203125" defaultRowHeight="11.25" outlineLevelRow="1" outlineLevelCol="1" x14ac:dyDescent="0.2"/>
  <cols>
    <col min="1" max="1" width="3.33203125" customWidth="1"/>
    <col min="2" max="2" width="36.83203125" customWidth="1"/>
    <col min="3" max="3" width="34.83203125" customWidth="1"/>
    <col min="4" max="4" width="12.83203125" customWidth="1"/>
    <col min="5" max="10" width="14.1640625" customWidth="1"/>
    <col min="13" max="13" width="25" customWidth="1"/>
    <col min="15" max="15" width="11.5" customWidth="1"/>
    <col min="17" max="17" width="13.1640625" customWidth="1"/>
    <col min="19" max="19" width="11.5" customWidth="1"/>
    <col min="42" max="42" width="22.1640625" hidden="1" customWidth="1" outlineLevel="1"/>
    <col min="43" max="43" width="8.83203125" hidden="1" customWidth="1" outlineLevel="1"/>
    <col min="44" max="44" width="8.83203125" collapsed="1"/>
    <col min="48" max="48" width="29.33203125" customWidth="1"/>
    <col min="52" max="52" width="13.83203125" customWidth="1"/>
  </cols>
  <sheetData>
    <row r="2" spans="2:53" ht="30" customHeight="1" x14ac:dyDescent="0.2">
      <c r="B2" s="422" t="s">
        <v>4833</v>
      </c>
      <c r="C2" s="421"/>
      <c r="D2" s="421"/>
      <c r="E2" s="421"/>
      <c r="F2" s="421"/>
      <c r="G2" s="421"/>
      <c r="H2" s="421"/>
      <c r="I2" s="421"/>
      <c r="J2" s="421"/>
      <c r="K2" s="421"/>
      <c r="L2" s="421"/>
      <c r="M2" s="421"/>
      <c r="N2" s="421"/>
      <c r="O2" s="421"/>
      <c r="P2" s="473"/>
      <c r="Q2" s="473"/>
      <c r="R2" s="473"/>
      <c r="S2" s="473"/>
      <c r="T2" s="473"/>
      <c r="U2" s="473"/>
      <c r="V2" s="473"/>
      <c r="W2" s="473"/>
      <c r="X2" s="473"/>
      <c r="Y2" s="473"/>
      <c r="Z2" s="473"/>
      <c r="AA2" s="473"/>
      <c r="AB2" s="473"/>
    </row>
    <row r="3" spans="2:53" ht="12" x14ac:dyDescent="0.2">
      <c r="B3" s="295" t="s">
        <v>16</v>
      </c>
    </row>
    <row r="4" spans="2:53" x14ac:dyDescent="0.2">
      <c r="AP4" s="399" t="str">
        <f>F7</f>
        <v>Total Revenue % Growth</v>
      </c>
      <c r="AQ4" s="452">
        <f>VLOOKUP($AP$4,$AP$5:$AQ$7,2,FALSE)</f>
        <v>7.5682070456052283E-2</v>
      </c>
    </row>
    <row r="5" spans="2:53" x14ac:dyDescent="0.2">
      <c r="B5" s="350" t="str">
        <f>VLOOKUP("Step 1: Modify the highlighted inputs below, as desired.",Language_Data,Lookup_Column,FALSE)</f>
        <v>Step 1: Modify the highlighted inputs below, as desired.</v>
      </c>
      <c r="AP5" s="423" t="str">
        <f>VLOOKUP("Total Revenue % Growth",Language_Data,Lookup_Column,FALSE)</f>
        <v>Total Revenue % Growth</v>
      </c>
      <c r="AQ5" s="447">
        <f>F16</f>
        <v>7.5682070456052283E-2</v>
      </c>
      <c r="AV5" s="8"/>
      <c r="AW5" s="8"/>
      <c r="AX5" s="8"/>
      <c r="AZ5" s="399"/>
      <c r="BA5" s="399"/>
    </row>
    <row r="6" spans="2:53" x14ac:dyDescent="0.2">
      <c r="AP6" s="423" t="str">
        <f>VLOOKUP("Operating Margin",Language_Data,Lookup_Column,FALSE)</f>
        <v>Operating Margin</v>
      </c>
      <c r="AQ6" s="447">
        <f>F19</f>
        <v>8.5000000000000006E-2</v>
      </c>
      <c r="AV6" s="404"/>
      <c r="AW6" s="404"/>
      <c r="AX6" s="404"/>
      <c r="AZ6" s="423"/>
      <c r="BA6" s="472"/>
    </row>
    <row r="7" spans="2:53" x14ac:dyDescent="0.2">
      <c r="B7" s="350" t="str">
        <f>VLOOKUP("Step 2:Select Indicator to be Adjusted by Imputation and REFRESH in the DCF tab.",Language_Data,Lookup_Column,FALSE)</f>
        <v>Step 2:Select Indicator to be Adjusted by Imputation and REFRESH in the DCF tab.</v>
      </c>
      <c r="E7" s="424" t="s">
        <v>4832</v>
      </c>
      <c r="F7" s="483" t="s">
        <v>4829</v>
      </c>
      <c r="G7" s="483"/>
      <c r="AP7" s="423" t="str">
        <f>VLOOKUP("Capex as % Sales",Language_Data,Lookup_Column,FALSE)</f>
        <v>Capex as % Sales</v>
      </c>
      <c r="AQ7" s="447">
        <f>F25</f>
        <v>6.3E-2</v>
      </c>
      <c r="AV7" s="404"/>
      <c r="AW7" s="404"/>
      <c r="AX7" s="404"/>
      <c r="AZ7" s="423"/>
      <c r="BA7" s="423"/>
    </row>
    <row r="8" spans="2:53" x14ac:dyDescent="0.2">
      <c r="AV8" s="404"/>
      <c r="AW8" s="404"/>
      <c r="AX8" s="404"/>
      <c r="AZ8" s="423"/>
      <c r="BA8" s="423"/>
    </row>
    <row r="9" spans="2:53" x14ac:dyDescent="0.2">
      <c r="B9" s="350" t="str">
        <f>VLOOKUP("Step 3: Click on the IMPUTE button to get the Growth Rate/Margin.",Language_Data,Lookup_Column,FALSE)</f>
        <v>Step 3: Click on the IMPUTE button to get the Growth Rate/Margin.</v>
      </c>
      <c r="S9" s="208"/>
      <c r="AV9" s="404"/>
      <c r="AW9" s="404"/>
      <c r="AX9" s="404"/>
      <c r="AZ9" s="423"/>
      <c r="BA9" s="423"/>
    </row>
    <row r="10" spans="2:53" x14ac:dyDescent="0.2">
      <c r="B10" s="425"/>
      <c r="C10" s="425"/>
      <c r="D10" s="425"/>
      <c r="E10" s="425"/>
      <c r="F10" s="425"/>
      <c r="G10" s="425"/>
      <c r="H10" s="425"/>
      <c r="I10" s="425"/>
      <c r="J10" s="425"/>
      <c r="K10" s="425"/>
      <c r="L10" s="425"/>
      <c r="M10" s="425"/>
      <c r="N10" s="426"/>
      <c r="O10" s="425"/>
      <c r="P10" s="399"/>
      <c r="Q10" s="399"/>
      <c r="R10" s="399"/>
      <c r="S10" s="399"/>
      <c r="T10" s="399"/>
      <c r="U10" s="399"/>
      <c r="V10" s="399"/>
      <c r="W10" s="399"/>
      <c r="X10" s="399"/>
      <c r="Y10" s="399"/>
      <c r="Z10" s="399"/>
      <c r="AA10" s="399"/>
      <c r="AB10" s="399"/>
      <c r="AV10" s="404"/>
      <c r="AW10" s="404"/>
      <c r="AX10" s="404"/>
      <c r="AZ10" s="423"/>
      <c r="BA10" s="423"/>
    </row>
    <row r="11" spans="2:53" x14ac:dyDescent="0.2">
      <c r="AV11" s="404"/>
      <c r="AW11" s="404"/>
      <c r="AX11" s="404"/>
    </row>
    <row r="12" spans="2:53" x14ac:dyDescent="0.2">
      <c r="B12" s="469" t="str">
        <f>VLOOKUP("Free Cash Flow - Calculation",Language_Data,Lookup_Column,FALSE)</f>
        <v>Free Cash Flow - Calculation</v>
      </c>
      <c r="C12" s="427"/>
      <c r="D12" s="438">
        <v>2024</v>
      </c>
      <c r="E12" s="438">
        <v>2025</v>
      </c>
      <c r="F12" s="429">
        <f>IFERROR(E12+1,"NA")</f>
        <v>2026</v>
      </c>
      <c r="G12" s="429">
        <f t="shared" ref="G12:J12" si="0">IFERROR(F12+1,"NA")</f>
        <v>2027</v>
      </c>
      <c r="H12" s="429">
        <f t="shared" si="0"/>
        <v>2028</v>
      </c>
      <c r="I12" s="429">
        <f t="shared" si="0"/>
        <v>2029</v>
      </c>
      <c r="J12" s="429">
        <f t="shared" si="0"/>
        <v>2030</v>
      </c>
      <c r="M12" s="484" t="str">
        <f>PROPER(VLOOKUP("Assumptions",Language_Data,Lookup_Column,FALSE))</f>
        <v>Assumptions</v>
      </c>
      <c r="N12" s="484"/>
      <c r="O12" s="484"/>
      <c r="P12" s="450"/>
      <c r="Q12" s="450"/>
      <c r="R12" s="450"/>
      <c r="AV12" s="404"/>
      <c r="AW12" s="404"/>
      <c r="AX12" s="404"/>
    </row>
    <row r="13" spans="2:53" hidden="1" outlineLevel="1" x14ac:dyDescent="0.2">
      <c r="D13" s="215" t="s">
        <v>4242</v>
      </c>
      <c r="E13" s="215" t="s">
        <v>4241</v>
      </c>
      <c r="F13" s="2"/>
      <c r="G13" s="2"/>
      <c r="H13" s="2"/>
      <c r="I13" s="2"/>
      <c r="J13" s="2"/>
      <c r="AV13" s="404"/>
      <c r="AW13" s="404"/>
      <c r="AX13" s="404"/>
    </row>
    <row r="14" spans="2:53" collapsed="1" x14ac:dyDescent="0.2">
      <c r="B14" s="423" t="str">
        <f>VLOOKUP("Total Revenue",Language_Data,Lookup_Column,FALSE)</f>
        <v>Total Revenue</v>
      </c>
      <c r="D14" s="436">
        <f>DCF!L105</f>
        <v>408335</v>
      </c>
      <c r="E14" s="436">
        <f>DCF!M105</f>
        <v>426952</v>
      </c>
      <c r="F14" s="440">
        <f>IFERROR(E14*(1+F16),"NA")</f>
        <v>459264.61134535249</v>
      </c>
      <c r="G14" s="440">
        <f>IFERROR(F14*(1+G16),"NA")</f>
        <v>494022.70801916294</v>
      </c>
      <c r="H14" s="440">
        <f>IFERROR(G14*(1+H16),"NA")</f>
        <v>531411.36941435898</v>
      </c>
      <c r="I14" s="440">
        <f>IFERROR(H14*(1+I16),"NA")</f>
        <v>571629.68211552373</v>
      </c>
      <c r="J14" s="440">
        <f>IFERROR(I14*(1+J16),"NA")</f>
        <v>614891.79999216157</v>
      </c>
      <c r="M14" t="str">
        <f>$F$7</f>
        <v>Total Revenue % Growth</v>
      </c>
      <c r="O14" s="452">
        <f>VLOOKUP($AP$4,$AP$5:$AQ$7,2,FALSE)</f>
        <v>7.5682070456052283E-2</v>
      </c>
      <c r="AV14" s="404"/>
      <c r="AW14" s="404"/>
      <c r="AX14" s="404"/>
    </row>
    <row r="15" spans="2:53" x14ac:dyDescent="0.2">
      <c r="B15" s="423"/>
      <c r="D15" s="215"/>
      <c r="E15" s="215"/>
      <c r="F15" s="2"/>
      <c r="G15" s="2"/>
      <c r="H15" s="2"/>
      <c r="I15" s="2"/>
      <c r="J15" s="2"/>
      <c r="M15" s="449" t="str">
        <f>VLOOKUP("WACC Rate",Language_Data,Lookup_Column,FALSE)</f>
        <v>WACC Rate</v>
      </c>
      <c r="N15" s="423"/>
      <c r="O15" s="468">
        <f>DCF!F91</f>
        <v>0.10398289994023388</v>
      </c>
      <c r="AV15" s="404"/>
      <c r="AW15" s="404"/>
      <c r="AX15" s="404"/>
    </row>
    <row r="16" spans="2:53" x14ac:dyDescent="0.2">
      <c r="B16" s="423" t="str">
        <f>VLOOKUP("Total Revenue % Growth",Language_Data,Lookup_Column,FALSE)</f>
        <v>Total Revenue % Growth</v>
      </c>
      <c r="C16" s="2"/>
      <c r="D16" s="215"/>
      <c r="E16" s="430">
        <v>4.5592466969522683E-2</v>
      </c>
      <c r="F16" s="431">
        <v>7.5682070456052283E-2</v>
      </c>
      <c r="G16" s="108">
        <f>F16</f>
        <v>7.5682070456052283E-2</v>
      </c>
      <c r="H16" s="108">
        <f t="shared" ref="H16:J16" si="1">G16</f>
        <v>7.5682070456052283E-2</v>
      </c>
      <c r="I16" s="108">
        <f t="shared" si="1"/>
        <v>7.5682070456052283E-2</v>
      </c>
      <c r="J16" s="108">
        <f t="shared" si="1"/>
        <v>7.5682070456052283E-2</v>
      </c>
      <c r="M16" s="423" t="str">
        <f>VLOOKUP("FCF Terminal Growth Rate",Language_Data,Lookup_Column,FALSE)</f>
        <v>FCF Terminal Growth Rate</v>
      </c>
      <c r="N16" s="423"/>
      <c r="O16" s="468">
        <f>Independent_DCF_Inputs!B19</f>
        <v>0.04</v>
      </c>
      <c r="AV16" s="404"/>
      <c r="AW16" s="404"/>
      <c r="AX16" s="404"/>
    </row>
    <row r="17" spans="2:50" x14ac:dyDescent="0.2">
      <c r="B17" s="423"/>
      <c r="D17" s="215"/>
      <c r="E17" s="215"/>
      <c r="F17" s="2"/>
      <c r="G17" s="2"/>
      <c r="H17" s="2"/>
      <c r="I17" s="2"/>
      <c r="J17" s="2"/>
      <c r="AV17" s="404"/>
      <c r="AW17" s="404"/>
      <c r="AX17" s="404"/>
    </row>
    <row r="18" spans="2:50" x14ac:dyDescent="0.2">
      <c r="B18" s="7" t="str">
        <f>VLOOKUP("Operating Income",Language_Data,Lookup_Column,FALSE)</f>
        <v>Operating Income</v>
      </c>
      <c r="D18" s="215"/>
      <c r="E18" s="436">
        <f>DCF!M114</f>
        <v>34146</v>
      </c>
      <c r="F18" s="440">
        <f>IFERROR(F14*F19,"NA")</f>
        <v>39037.491964354966</v>
      </c>
      <c r="G18" s="440">
        <f>IFERROR(G14*G19,"NA")</f>
        <v>41991.93018162885</v>
      </c>
      <c r="H18" s="440">
        <f>IFERROR(H14*H19,"NA")</f>
        <v>45169.966400220517</v>
      </c>
      <c r="I18" s="440">
        <f>IFERROR(I14*I19,"NA")</f>
        <v>48588.522979819521</v>
      </c>
      <c r="J18" s="440">
        <f>IFERROR(J14*J19,"NA")</f>
        <v>52265.80299933374</v>
      </c>
      <c r="M18" s="484" t="str">
        <f>VLOOKUP("Implied Share price - Calculation",Language_Data,Lookup_Column,FALSE)</f>
        <v>Implied Share price - Calculation</v>
      </c>
      <c r="N18" s="484"/>
      <c r="O18" s="484"/>
      <c r="P18" s="450"/>
      <c r="Q18" s="450"/>
      <c r="AV18" s="404"/>
      <c r="AW18" s="404"/>
      <c r="AX18" s="404"/>
    </row>
    <row r="19" spans="2:50" x14ac:dyDescent="0.2">
      <c r="B19" s="423" t="str">
        <f>VLOOKUP("Operating Margin",Language_Data,Lookup_Column,FALSE)</f>
        <v>Operating Margin</v>
      </c>
      <c r="D19" s="215"/>
      <c r="E19" s="430">
        <f>DCF!M116</f>
        <v>7.9976203413966912E-2</v>
      </c>
      <c r="F19" s="431">
        <v>8.5000000000000006E-2</v>
      </c>
      <c r="G19" s="108">
        <f>F19</f>
        <v>8.5000000000000006E-2</v>
      </c>
      <c r="H19" s="108">
        <f t="shared" ref="H19:J19" si="2">G19</f>
        <v>8.5000000000000006E-2</v>
      </c>
      <c r="I19" s="108">
        <f t="shared" si="2"/>
        <v>8.5000000000000006E-2</v>
      </c>
      <c r="J19" s="108">
        <f t="shared" si="2"/>
        <v>8.5000000000000006E-2</v>
      </c>
      <c r="AV19" s="404"/>
      <c r="AW19" s="404"/>
      <c r="AX19" s="404"/>
    </row>
    <row r="20" spans="2:50" x14ac:dyDescent="0.2">
      <c r="B20" s="423" t="str">
        <f>VLOOKUP("Less:Taxes",Language_Data,Lookup_Column,FALSE)</f>
        <v>Less:Taxes</v>
      </c>
      <c r="D20" s="2"/>
      <c r="E20" s="437">
        <v>-7197</v>
      </c>
      <c r="F20" s="440">
        <f>IFERROR(F21*-F18,"NA")</f>
        <v>-11711.247589306489</v>
      </c>
      <c r="G20" s="440">
        <f>IFERROR(G21*-G18,"NA")</f>
        <v>-12597.579054488655</v>
      </c>
      <c r="H20" s="440">
        <f>IFERROR(H21*-H18,"NA")</f>
        <v>-13550.989920066155</v>
      </c>
      <c r="I20" s="440">
        <f>IFERROR(I21*-I18,"NA")</f>
        <v>-14576.556893945855</v>
      </c>
      <c r="J20" s="440">
        <f>IFERROR(J21*-J18,"NA")</f>
        <v>-15679.740899800121</v>
      </c>
      <c r="M20" s="423" t="str">
        <f>VLOOKUP("WACC",Language_Data,Lookup_Column,FALSE)</f>
        <v>WACC</v>
      </c>
      <c r="O20" s="208">
        <f>O15</f>
        <v>0.10398289994023388</v>
      </c>
      <c r="AV20" s="404"/>
      <c r="AW20" s="404"/>
      <c r="AX20" s="404"/>
    </row>
    <row r="21" spans="2:50" x14ac:dyDescent="0.2">
      <c r="B21" s="423" t="str">
        <f>VLOOKUP("Tax Rate",Language_Data,Lookup_Column,FALSE)</f>
        <v>Tax Rate</v>
      </c>
      <c r="D21" s="2"/>
      <c r="E21" s="464">
        <v>0.3572953383309338</v>
      </c>
      <c r="F21" s="431">
        <v>0.3</v>
      </c>
      <c r="G21" s="108">
        <f>F21</f>
        <v>0.3</v>
      </c>
      <c r="H21" s="108">
        <f t="shared" ref="H21:J21" si="3">G21</f>
        <v>0.3</v>
      </c>
      <c r="I21" s="108">
        <f t="shared" si="3"/>
        <v>0.3</v>
      </c>
      <c r="J21" s="108">
        <f t="shared" si="3"/>
        <v>0.3</v>
      </c>
      <c r="M21" s="423" t="str">
        <f>VLOOKUP("Discount Factor",Language_Data,Lookup_Column,FALSE)</f>
        <v>Discount Factor</v>
      </c>
      <c r="O21" s="454">
        <f ca="1">OFFSET(E29,0,MATCH(MAX(E29:J29)+1,E29:J29,1)-1)</f>
        <v>0.6098011901332544</v>
      </c>
      <c r="S21" s="463"/>
      <c r="AV21" s="404"/>
      <c r="AW21" s="404"/>
      <c r="AX21" s="404"/>
    </row>
    <row r="22" spans="2:50" x14ac:dyDescent="0.2">
      <c r="B22" s="399" t="str">
        <f>VLOOKUP("NOPAT",Language_Data,Lookup_Column,FALSE)</f>
        <v>NOPAT</v>
      </c>
      <c r="C22" s="445"/>
      <c r="D22" s="2"/>
      <c r="E22" s="440">
        <f t="shared" ref="E22:J22" si="4">IFERROR(SUM(E18,E20),"NA")</f>
        <v>26949</v>
      </c>
      <c r="F22" s="440">
        <f t="shared" si="4"/>
        <v>27326.244375048474</v>
      </c>
      <c r="G22" s="440">
        <f t="shared" si="4"/>
        <v>29394.351127140195</v>
      </c>
      <c r="H22" s="440">
        <f t="shared" si="4"/>
        <v>31618.976480154364</v>
      </c>
      <c r="I22" s="440">
        <f t="shared" si="4"/>
        <v>34011.966085873668</v>
      </c>
      <c r="J22" s="440">
        <f t="shared" si="4"/>
        <v>36586.062099533621</v>
      </c>
      <c r="M22" s="423" t="str">
        <f>VLOOKUP("Present Value",Language_Data,Lookup_Column,FALSE)</f>
        <v>Present Value</v>
      </c>
      <c r="O22" s="6">
        <f>IFERROR(SUM(F30:J30),"NA")</f>
        <v>105380.55552542723</v>
      </c>
      <c r="AV22" s="404"/>
      <c r="AW22" s="404"/>
      <c r="AX22" s="404"/>
    </row>
    <row r="23" spans="2:50" x14ac:dyDescent="0.2">
      <c r="B23" s="423" t="str">
        <f>VLOOKUP("D&amp;A % Capex",Language_Data,Lookup_Column,FALSE)</f>
        <v>D&amp;A % Capex</v>
      </c>
      <c r="D23" s="2"/>
      <c r="E23" s="107">
        <f>IFERROR(-E24/E26,"0")</f>
        <v>0.86350994298428596</v>
      </c>
      <c r="F23" s="431">
        <f>E23</f>
        <v>0.86350994298428596</v>
      </c>
      <c r="G23" s="108">
        <f>F23</f>
        <v>0.86350994298428596</v>
      </c>
      <c r="H23" s="108">
        <f>G23</f>
        <v>0.86350994298428596</v>
      </c>
      <c r="I23" s="108">
        <f>H23</f>
        <v>0.86350994298428596</v>
      </c>
      <c r="J23" s="108">
        <f>I23</f>
        <v>0.86350994298428596</v>
      </c>
      <c r="M23" s="423" t="str">
        <f>VLOOKUP("FCFF Terminal Growth Rate",Language_Data,Lookup_Column,FALSE)</f>
        <v>FCFF Terminal Growth Rate</v>
      </c>
      <c r="O23" s="208">
        <f>O16</f>
        <v>0.04</v>
      </c>
      <c r="AV23" s="404"/>
      <c r="AW23" s="404"/>
      <c r="AX23" s="404"/>
    </row>
    <row r="24" spans="2:50" x14ac:dyDescent="0.2">
      <c r="B24" s="423" t="str">
        <f>VLOOKUP("Plus: Depreciation and Amortization",Language_Data,Lookup_Column,FALSE)</f>
        <v>Plus: Depreciation and Amortization</v>
      </c>
      <c r="D24" s="2"/>
      <c r="E24" s="436">
        <f>DCF!M119</f>
        <v>24838</v>
      </c>
      <c r="F24" s="440">
        <f>-IFERROR(F26*F23,"NA")</f>
        <v>24984.512176524113</v>
      </c>
      <c r="G24" s="440">
        <f>-IFERROR(G26*G23,"NA")</f>
        <v>26875.391787377906</v>
      </c>
      <c r="H24" s="440">
        <f>-IFERROR(H26*H23,"NA")</f>
        <v>28909.37708216425</v>
      </c>
      <c r="I24" s="440">
        <f>-IFERROR(I26*I23,"NA")</f>
        <v>31097.29859533719</v>
      </c>
      <c r="J24" s="440">
        <f>-IFERROR(J26*J23,"NA")</f>
        <v>33450.806538622397</v>
      </c>
      <c r="M24" s="423" t="str">
        <f>VLOOKUP("Final Year FCF*(1+g)",Language_Data,Lookup_Column,FALSE)</f>
        <v>Final Year FCF*(1+g)</v>
      </c>
      <c r="O24" s="6">
        <f>IFERROR(J28*(1+O16),"NA")</f>
        <v>34102.472353280747</v>
      </c>
      <c r="AV24" s="404"/>
      <c r="AW24" s="404"/>
      <c r="AX24" s="404"/>
    </row>
    <row r="25" spans="2:50" x14ac:dyDescent="0.2">
      <c r="B25" s="423" t="str">
        <f>VLOOKUP("Capex as % Sales",Language_Data,Lookup_Column,FALSE)</f>
        <v>Capex as % Sales</v>
      </c>
      <c r="D25" s="2"/>
      <c r="E25" s="430">
        <v>6.7370570930690099E-2</v>
      </c>
      <c r="F25" s="431">
        <v>6.3E-2</v>
      </c>
      <c r="G25" s="107">
        <f>F25</f>
        <v>6.3E-2</v>
      </c>
      <c r="H25" s="107">
        <f t="shared" ref="H25:J25" si="5">G25</f>
        <v>6.3E-2</v>
      </c>
      <c r="I25" s="107">
        <f t="shared" si="5"/>
        <v>6.3E-2</v>
      </c>
      <c r="J25" s="107">
        <f t="shared" si="5"/>
        <v>6.3E-2</v>
      </c>
      <c r="M25" s="423" t="str">
        <f>VLOOKUP("Terminal Value",Language_Data,Lookup_Column,FALSE)</f>
        <v>Terminal Value</v>
      </c>
      <c r="O25" s="6">
        <f>IFERROR(O24/(O15-O16),"NA")</f>
        <v>532993.54022927547</v>
      </c>
      <c r="AV25" s="404"/>
      <c r="AW25" s="404"/>
      <c r="AX25" s="404"/>
    </row>
    <row r="26" spans="2:50" x14ac:dyDescent="0.2">
      <c r="B26" s="423" t="str">
        <f>VLOOKUP("Less:Capex",Language_Data,Lookup_Column,FALSE)</f>
        <v>Less:Capex</v>
      </c>
      <c r="D26" s="2"/>
      <c r="E26" s="474">
        <v>-28764</v>
      </c>
      <c r="F26" s="440">
        <f>-IFERROR(F14*F25,"NA")</f>
        <v>-28933.670514757207</v>
      </c>
      <c r="G26" s="440">
        <f>-IFERROR(G14*G25,"NA")</f>
        <v>-31123.430605207264</v>
      </c>
      <c r="H26" s="440">
        <f>-IFERROR(H14*H25,"NA")</f>
        <v>-33478.916273104616</v>
      </c>
      <c r="I26" s="440">
        <f>-IFERROR(I14*I25,"NA")</f>
        <v>-36012.669973277996</v>
      </c>
      <c r="J26" s="440">
        <f>-IFERROR(J14*J25,"NA")</f>
        <v>-38738.183399506182</v>
      </c>
      <c r="M26" s="399" t="str">
        <f>VLOOKUP("PV of terminal Value",Language_Data,Lookup_Column,FALSE)</f>
        <v>PV of terminal Value</v>
      </c>
      <c r="O26" s="470">
        <f ca="1">IFERROR(O25*O21,"NA")</f>
        <v>325020.09516514878</v>
      </c>
      <c r="AV26" s="404"/>
      <c r="AW26" s="404"/>
      <c r="AX26" s="404"/>
    </row>
    <row r="27" spans="2:50" x14ac:dyDescent="0.2">
      <c r="B27" s="423" t="str">
        <f>VLOOKUP("Less: Increase in Net Working Capital",Language_Data,Lookup_Column,FALSE)</f>
        <v>Less: Increase in Net Working Capital</v>
      </c>
      <c r="D27" s="2" t="s">
        <v>4847</v>
      </c>
      <c r="E27" s="440">
        <f t="shared" ref="E27:J27" si="6">E53</f>
        <v>696</v>
      </c>
      <c r="F27" s="440">
        <f>F53</f>
        <v>1114.4941695358284</v>
      </c>
      <c r="G27" s="440">
        <f t="shared" si="6"/>
        <v>1198.8413957974917</v>
      </c>
      <c r="H27" s="440">
        <f t="shared" si="6"/>
        <v>1289.5721947798811</v>
      </c>
      <c r="I27" s="440">
        <f t="shared" si="6"/>
        <v>1387.16968848338</v>
      </c>
      <c r="J27" s="440">
        <f t="shared" si="6"/>
        <v>1492.1535625816614</v>
      </c>
      <c r="M27" s="399" t="str">
        <f>VLOOKUP("Enterprise value",Language_Data,Lookup_Column,FALSE)</f>
        <v>Enterprise value</v>
      </c>
      <c r="O27" s="470">
        <f ca="1">IFERROR(SUM(O22,O26),"NA")</f>
        <v>430400.650690576</v>
      </c>
      <c r="P27" s="6"/>
      <c r="AV27" s="404"/>
      <c r="AW27" s="404"/>
      <c r="AX27" s="404"/>
    </row>
    <row r="28" spans="2:50" x14ac:dyDescent="0.2">
      <c r="B28" s="399" t="str">
        <f>VLOOKUP("Free Cash Flow",Language_Data,Lookup_Column,FALSE)</f>
        <v>Free Cash Flow</v>
      </c>
      <c r="C28" t="s">
        <v>4834</v>
      </c>
      <c r="D28" s="2"/>
      <c r="E28" s="440">
        <f t="shared" ref="E28:J28" si="7">IFERROR(SUM(E22,E24,E26,E27),"NA")</f>
        <v>23719</v>
      </c>
      <c r="F28" s="440">
        <f t="shared" si="7"/>
        <v>24491.580206351209</v>
      </c>
      <c r="G28" s="440">
        <f t="shared" si="7"/>
        <v>26345.153705108329</v>
      </c>
      <c r="H28" s="453">
        <f t="shared" si="7"/>
        <v>28339.009483993883</v>
      </c>
      <c r="I28" s="440">
        <f t="shared" si="7"/>
        <v>30483.764396416242</v>
      </c>
      <c r="J28" s="440">
        <f t="shared" si="7"/>
        <v>32790.83880123149</v>
      </c>
      <c r="M28" s="399" t="str">
        <f>VLOOKUP("Equity value",Language_Data,Lookup_Column,FALSE)</f>
        <v>Equity value</v>
      </c>
      <c r="O28" s="470">
        <f ca="1">IFERROR(O27-(O33),"NA")</f>
        <v>251762.15778341136</v>
      </c>
      <c r="AV28" s="404"/>
      <c r="AW28" s="404"/>
      <c r="AX28" s="404"/>
    </row>
    <row r="29" spans="2:50" x14ac:dyDescent="0.2">
      <c r="B29" s="423" t="str">
        <f>VLOOKUP("Discount Factor",Language_Data,Lookup_Column,FALSE)</f>
        <v>Discount Factor</v>
      </c>
      <c r="D29" s="2"/>
      <c r="E29" s="441">
        <v>1</v>
      </c>
      <c r="F29" s="107">
        <f>IFERROR(+E29/(1+$O$15),"NA")</f>
        <v>0.90581113172508088</v>
      </c>
      <c r="G29" s="107">
        <f>IFERROR(+F29/(1+$O$15),"NA")</f>
        <v>0.82049380635707181</v>
      </c>
      <c r="H29" s="107">
        <f>IFERROR(+G29/(1+$O$15),"NA")</f>
        <v>0.7432124233097186</v>
      </c>
      <c r="I29" s="107">
        <f>IFERROR(+H29/(1+$O$15),"NA")</f>
        <v>0.67321008627031609</v>
      </c>
      <c r="J29" s="107">
        <f>IFERROR(+I29/(1+$O$15),"NA")</f>
        <v>0.6098011901332544</v>
      </c>
      <c r="M29" s="451" t="str">
        <f>VLOOKUP("Total Revenue",Language_Data,Lookup_Column,FALSE)</f>
        <v>Total Revenue</v>
      </c>
      <c r="O29" s="2"/>
      <c r="AV29" s="404"/>
      <c r="AW29" s="404"/>
      <c r="AX29" s="404"/>
    </row>
    <row r="30" spans="2:50" x14ac:dyDescent="0.2">
      <c r="B30" s="399" t="str">
        <f>VLOOKUP("Present Value of Free Cash Flow",Language_Data,Lookup_Column,FALSE)</f>
        <v>Present Value of Free Cash Flow</v>
      </c>
      <c r="E30" s="432">
        <f t="shared" ref="E30:J30" si="8">IFERROR(E28*E29,"NA")</f>
        <v>23719</v>
      </c>
      <c r="F30" s="432">
        <f t="shared" si="8"/>
        <v>22184.745984450579</v>
      </c>
      <c r="G30" s="439">
        <f t="shared" si="8"/>
        <v>21616.035442566445</v>
      </c>
      <c r="H30" s="439">
        <f t="shared" si="8"/>
        <v>21061.903912796191</v>
      </c>
      <c r="I30" s="439">
        <f t="shared" si="8"/>
        <v>20521.977659155367</v>
      </c>
      <c r="J30" s="439">
        <f t="shared" si="8"/>
        <v>19995.892526458658</v>
      </c>
      <c r="M30" s="399" t="str">
        <f>VLOOKUP("Stock Price",Language_Data,Lookup_Column,FALSE)</f>
        <v>Stock Price</v>
      </c>
      <c r="O30" s="2">
        <f>IFERROR(O32/O31,"NA")</f>
        <v>58.6</v>
      </c>
      <c r="AV30" s="404"/>
      <c r="AW30" s="404"/>
      <c r="AX30" s="404"/>
    </row>
    <row r="31" spans="2:50" x14ac:dyDescent="0.2">
      <c r="M31" s="423" t="str">
        <f>VLOOKUP("Shares Outstanding",Language_Data,Lookup_Column,FALSE)</f>
        <v>Shares Outstanding</v>
      </c>
      <c r="O31" s="436">
        <f>DCF!I154</f>
        <v>4296.2842149999997</v>
      </c>
      <c r="AV31" s="404"/>
      <c r="AW31" s="404"/>
      <c r="AX31" s="404"/>
    </row>
    <row r="32" spans="2:50" x14ac:dyDescent="0.2">
      <c r="B32" s="469" t="str">
        <f>VLOOKUP("Change in Net Working Capital - Calculation",Language_Data,Lookup_Column,FALSE)</f>
        <v>Change in Net Working Capital - Calculation</v>
      </c>
      <c r="C32" s="427"/>
      <c r="D32" s="427"/>
      <c r="E32" s="428"/>
      <c r="F32" s="428"/>
      <c r="G32" s="428"/>
      <c r="H32" s="428"/>
      <c r="I32" s="428"/>
      <c r="J32" s="428"/>
      <c r="M32" s="423" t="str">
        <f>VLOOKUP("Market Capitalization",Language_Data,Lookup_Column,FALSE)</f>
        <v>Market Capitalization</v>
      </c>
      <c r="O32" s="436">
        <f>Independent_DCF_Inputs!B12</f>
        <v>251762.254999</v>
      </c>
      <c r="AV32" s="404"/>
      <c r="AW32" s="404"/>
      <c r="AX32" s="404"/>
    </row>
    <row r="33" spans="2:50" x14ac:dyDescent="0.2">
      <c r="M33" s="423" t="str">
        <f>VLOOKUP("Net Debt",Language_Data,Lookup_Column,FALSE)</f>
        <v>Net Debt</v>
      </c>
      <c r="O33" s="436">
        <f>-SUM(DCF!I147:I151)</f>
        <v>178638.49290716465</v>
      </c>
      <c r="AV33" s="404"/>
      <c r="AW33" s="404"/>
      <c r="AX33" s="404"/>
    </row>
    <row r="34" spans="2:50" x14ac:dyDescent="0.2">
      <c r="B34" s="423" t="str">
        <f>VLOOKUP("Accounts Recievable",Language_Data,Lookup_Column,FALSE)</f>
        <v>Accounts Recievable</v>
      </c>
      <c r="C34" s="423"/>
      <c r="D34" s="224">
        <f>DCF!L217</f>
        <v>23555</v>
      </c>
      <c r="E34" s="224">
        <f>DCF!M217</f>
        <v>23784</v>
      </c>
      <c r="F34" s="432">
        <f>IFERROR(F14*F35/365,"NA")</f>
        <v>25584.022363726748</v>
      </c>
      <c r="G34" s="432">
        <f>IFERROR(G14*G35/365,"NA")</f>
        <v>27520.274146807536</v>
      </c>
      <c r="H34" s="432">
        <f>IFERROR(H14*H35/365,"NA")</f>
        <v>29603.065473756098</v>
      </c>
      <c r="I34" s="432">
        <f>IFERROR(I14*I35/365,"NA")</f>
        <v>31843.486760656036</v>
      </c>
      <c r="J34" s="432">
        <f>IFERROR(J14*J35/365,"NA")</f>
        <v>34253.467769242372</v>
      </c>
      <c r="M34" s="399" t="str">
        <f>VLOOKUP("Implied Share price",Language_Data,Lookup_Column,FALSE)</f>
        <v>Implied Share price</v>
      </c>
      <c r="O34" s="455">
        <f ca="1">IFERROR(O28/O31,"NA")</f>
        <v>58.599977372170052</v>
      </c>
      <c r="AV34" s="404"/>
      <c r="AW34" s="404"/>
      <c r="AX34" s="404"/>
    </row>
    <row r="35" spans="2:50" x14ac:dyDescent="0.2">
      <c r="B35" s="442" t="str">
        <f>VLOOKUP("Receivable Days ",Language_Data,Lookup_Column,FALSE)</f>
        <v xml:space="preserve">Receivable Days </v>
      </c>
      <c r="C35" s="423"/>
      <c r="D35" s="432">
        <f>IFERROR(D34/D14*365,"NA")</f>
        <v>21.055199774694795</v>
      </c>
      <c r="E35" s="432">
        <f>IFERROR(E34/E14*365,"NA")</f>
        <v>20.332871142423503</v>
      </c>
      <c r="F35" s="443">
        <f>E35</f>
        <v>20.332871142423503</v>
      </c>
      <c r="G35" s="432">
        <f>F35</f>
        <v>20.332871142423503</v>
      </c>
      <c r="H35" s="432">
        <f>G35</f>
        <v>20.332871142423503</v>
      </c>
      <c r="I35" s="432">
        <f>H35</f>
        <v>20.332871142423503</v>
      </c>
      <c r="J35" s="432">
        <f>I35</f>
        <v>20.332871142423503</v>
      </c>
      <c r="AV35" s="404"/>
      <c r="AW35" s="404"/>
      <c r="AX35" s="404"/>
    </row>
    <row r="36" spans="2:50" x14ac:dyDescent="0.2">
      <c r="B36" s="423" t="str">
        <f>VLOOKUP("COGS",Language_Data,Lookup_Column,FALSE)</f>
        <v>COGS</v>
      </c>
      <c r="C36" s="423"/>
      <c r="D36" s="436">
        <f>DCF!L215</f>
        <v>193407</v>
      </c>
      <c r="E36" s="436">
        <f>DCF!M215</f>
        <v>203465</v>
      </c>
      <c r="F36" s="432">
        <f>+IFERROR(F14*F37,"NA")</f>
        <v>218863.65246534068</v>
      </c>
      <c r="G36" s="432">
        <f>+IFERROR(G14*G37,"NA")</f>
        <v>235427.70683149155</v>
      </c>
      <c r="H36" s="432">
        <f>+IFERROR(H14*H37,"NA")</f>
        <v>253245.36312721932</v>
      </c>
      <c r="I36" s="432">
        <f>+IFERROR(I14*I37,"NA")</f>
        <v>272411.49654208211</v>
      </c>
      <c r="J36" s="432">
        <f>+IFERROR(J14*J37,"NA")</f>
        <v>293028.16261641862</v>
      </c>
      <c r="AV36" s="404"/>
      <c r="AW36" s="404"/>
      <c r="AX36" s="404"/>
    </row>
    <row r="37" spans="2:50" x14ac:dyDescent="0.2">
      <c r="B37" s="442" t="str">
        <f>VLOOKUP("Margin",Language_Data,Lookup_Column,FALSE)</f>
        <v>Margin</v>
      </c>
      <c r="C37" s="423"/>
      <c r="D37" s="444">
        <f>IFERROR(D36/D14,"NA")</f>
        <v>0.47364786266178505</v>
      </c>
      <c r="E37" s="444">
        <f>IFERROR(E36/E14,"NA")</f>
        <v>0.47655239933294608</v>
      </c>
      <c r="F37" s="446">
        <f>E37</f>
        <v>0.47655239933294608</v>
      </c>
      <c r="G37" s="445">
        <f>F37</f>
        <v>0.47655239933294608</v>
      </c>
      <c r="H37" s="445">
        <f>G37</f>
        <v>0.47655239933294608</v>
      </c>
      <c r="I37" s="445">
        <f>H37</f>
        <v>0.47655239933294608</v>
      </c>
      <c r="J37" s="445">
        <f>I37</f>
        <v>0.47655239933294608</v>
      </c>
      <c r="AV37" s="404"/>
      <c r="AW37" s="404"/>
      <c r="AX37" s="404"/>
    </row>
    <row r="38" spans="2:50" x14ac:dyDescent="0.2">
      <c r="B38" s="423" t="str">
        <f>VLOOKUP("Inventory",Language_Data,Lookup_Column,FALSE)</f>
        <v>Inventory</v>
      </c>
      <c r="C38" s="423"/>
      <c r="D38" s="436">
        <f>DCF!L219</f>
        <v>18832</v>
      </c>
      <c r="E38" s="436">
        <f>DCF!M219</f>
        <v>17151</v>
      </c>
      <c r="F38" s="432">
        <f>IFERROR(F36*F39/365,"NA")</f>
        <v>18449.023190391752</v>
      </c>
      <c r="G38" s="432">
        <f>IFERROR(G36*G39/365,"NA")</f>
        <v>19845.283463332325</v>
      </c>
      <c r="H38" s="432">
        <f>IFERROR(H36*H39/365,"NA")</f>
        <v>21347.215604624569</v>
      </c>
      <c r="I38" s="432">
        <f>IFERROR(I36*I39/365,"NA")</f>
        <v>22962.817080054308</v>
      </c>
      <c r="J38" s="432">
        <f>IFERROR(J36*J39/365,"NA")</f>
        <v>24700.690620176421</v>
      </c>
      <c r="AV38" s="404"/>
      <c r="AW38" s="404"/>
      <c r="AX38" s="404"/>
    </row>
    <row r="39" spans="2:50" x14ac:dyDescent="0.2">
      <c r="B39" s="442" t="str">
        <f>VLOOKUP("Inventory Days",Language_Data,Lookup_Column,FALSE)</f>
        <v>Inventory Days</v>
      </c>
      <c r="C39" s="423"/>
      <c r="D39" s="432">
        <f>DCF!L220</f>
        <v>35.539975285279233</v>
      </c>
      <c r="E39" s="432">
        <f>DCF!M220</f>
        <v>30.767527584596859</v>
      </c>
      <c r="F39" s="443">
        <f>E39</f>
        <v>30.767527584596859</v>
      </c>
      <c r="G39" s="432">
        <f>F39</f>
        <v>30.767527584596859</v>
      </c>
      <c r="H39" s="432">
        <f>G39</f>
        <v>30.767527584596859</v>
      </c>
      <c r="I39" s="432">
        <f>H39</f>
        <v>30.767527584596859</v>
      </c>
      <c r="J39" s="432">
        <f>I39</f>
        <v>30.767527584596859</v>
      </c>
      <c r="AV39" s="404"/>
      <c r="AW39" s="404"/>
      <c r="AX39" s="404"/>
    </row>
    <row r="40" spans="2:50" x14ac:dyDescent="0.2">
      <c r="B40" s="423" t="str">
        <f>VLOOKUP("Other Assets",Language_Data,Lookup_Column,FALSE)</f>
        <v>Other Assets</v>
      </c>
      <c r="C40" s="423"/>
      <c r="D40">
        <f>+IFERROR(D42-D34-D38,"NA")</f>
        <v>16736</v>
      </c>
      <c r="E40">
        <f>+IFERROR(E42-E34-E38,"NA")</f>
        <v>15201</v>
      </c>
      <c r="F40" s="432">
        <f>IFERROR(F14*F41,"NA")</f>
        <v>16351.443153002452</v>
      </c>
      <c r="G40" s="432">
        <f>IFERROR(G14*G41,"NA")</f>
        <v>17588.954225766116</v>
      </c>
      <c r="H40" s="432">
        <f>IFERROR(H14*H41,"NA")</f>
        <v>18920.122698728828</v>
      </c>
      <c r="I40" s="432">
        <f>IFERROR(I14*I41,"NA")</f>
        <v>20352.036757851176</v>
      </c>
      <c r="J40" s="432">
        <f>IFERROR(J14*J41,"NA")</f>
        <v>21892.321037683036</v>
      </c>
      <c r="AV40" s="404"/>
      <c r="AW40" s="404"/>
      <c r="AX40" s="404"/>
    </row>
    <row r="41" spans="2:50" x14ac:dyDescent="0.2">
      <c r="B41" s="423" t="str">
        <f>VLOOKUP("Margin",Language_Data,Lookup_Column,FALSE)</f>
        <v>Margin</v>
      </c>
      <c r="C41" s="423"/>
      <c r="D41" s="444">
        <f>IFERROR(D40/D14,"NA")</f>
        <v>4.0985955159366698E-2</v>
      </c>
      <c r="E41" s="444">
        <f>IFERROR(E40/E14,"NA")</f>
        <v>3.5603533886713258E-2</v>
      </c>
      <c r="F41" s="446">
        <f>E41</f>
        <v>3.5603533886713258E-2</v>
      </c>
      <c r="G41" s="445">
        <f>F41</f>
        <v>3.5603533886713258E-2</v>
      </c>
      <c r="H41" s="445">
        <f>G41</f>
        <v>3.5603533886713258E-2</v>
      </c>
      <c r="I41" s="445">
        <f>H41</f>
        <v>3.5603533886713258E-2</v>
      </c>
      <c r="J41" s="445">
        <f>I41</f>
        <v>3.5603533886713258E-2</v>
      </c>
      <c r="AV41" s="404"/>
      <c r="AW41" s="404"/>
      <c r="AX41" s="404"/>
    </row>
    <row r="42" spans="2:50" x14ac:dyDescent="0.2">
      <c r="B42" s="399" t="str">
        <f>VLOOKUP("Total Non-Cash Current Assets",Language_Data,Lookup_Column,FALSE)</f>
        <v>Total Non-Cash Current Assets</v>
      </c>
      <c r="C42" s="423"/>
      <c r="D42" s="436">
        <v>59123</v>
      </c>
      <c r="E42" s="436">
        <v>56136</v>
      </c>
      <c r="F42" s="432">
        <f>IF(COUNT(F34,F38,F40)=0,"NA",SUM(F34,F38,F40))</f>
        <v>60384.488707120952</v>
      </c>
      <c r="G42" s="432">
        <f>IF(COUNT(G34,G38,G40)=0,"NA",SUM(G34,G38,G40))</f>
        <v>64954.511835905978</v>
      </c>
      <c r="H42" s="432">
        <f>IF(COUNT(H34,H38,H40)=0,"NA",SUM(H34,H38,H40))</f>
        <v>69870.403777109488</v>
      </c>
      <c r="I42" s="432">
        <f>IF(COUNT(I34,I38,I40)=0,"NA",SUM(I34,I38,I40))</f>
        <v>75158.340598561525</v>
      </c>
      <c r="J42" s="432">
        <f>IF(COUNT(J34,J38,J40)=0,"NA",SUM(J34,J38,J40))</f>
        <v>80846.479427101833</v>
      </c>
      <c r="AV42" s="404"/>
      <c r="AW42" s="404"/>
      <c r="AX42" s="404"/>
    </row>
    <row r="43" spans="2:50" x14ac:dyDescent="0.2">
      <c r="B43" s="399"/>
      <c r="C43" s="423"/>
      <c r="AV43" s="404"/>
      <c r="AW43" s="404"/>
      <c r="AX43" s="404"/>
    </row>
    <row r="44" spans="2:50" x14ac:dyDescent="0.2">
      <c r="B44" s="423" t="str">
        <f>VLOOKUP("Accounts Payable",Language_Data,Lookup_Column,FALSE)</f>
        <v>Accounts Payable</v>
      </c>
      <c r="C44" s="423"/>
      <c r="D44" s="224">
        <f>DCF!L227</f>
        <v>40815</v>
      </c>
      <c r="E44" s="224">
        <f>DCF!M227</f>
        <v>39074</v>
      </c>
      <c r="F44" s="432">
        <f>IFERROR(F36*F45/365,"NA")</f>
        <v>42031.201220999785</v>
      </c>
      <c r="G44" s="432">
        <f>IFERROR(G36*G45/365,"NA")</f>
        <v>45212.209553160006</v>
      </c>
      <c r="H44" s="432">
        <f>IFERROR(H36*H45/365,"NA")</f>
        <v>48633.963182036059</v>
      </c>
      <c r="I44" s="432">
        <f>IFERROR(I36*I45/365,"NA")</f>
        <v>52314.682210135979</v>
      </c>
      <c r="J44" s="432">
        <f>IFERROR(J36*J45/365,"NA")</f>
        <v>56273.965675049469</v>
      </c>
      <c r="AV44" s="404"/>
      <c r="AW44" s="404"/>
      <c r="AX44" s="404"/>
    </row>
    <row r="45" spans="2:50" x14ac:dyDescent="0.2">
      <c r="B45" s="442" t="str">
        <f>VLOOKUP("Payable Days",Language_Data,Lookup_Column,FALSE)</f>
        <v>Payable Days</v>
      </c>
      <c r="C45" s="423"/>
      <c r="D45" s="432">
        <f>DCF!L228</f>
        <v>77.02655539871877</v>
      </c>
      <c r="E45" s="432">
        <f>DCF!M228</f>
        <v>70.095642985280023</v>
      </c>
      <c r="F45" s="443">
        <f>E45</f>
        <v>70.095642985280023</v>
      </c>
      <c r="G45" s="432">
        <f>F45</f>
        <v>70.095642985280023</v>
      </c>
      <c r="H45" s="432">
        <f>G45</f>
        <v>70.095642985280023</v>
      </c>
      <c r="I45" s="432">
        <f>H45</f>
        <v>70.095642985280023</v>
      </c>
      <c r="J45" s="432">
        <f>I45</f>
        <v>70.095642985280023</v>
      </c>
      <c r="AV45" s="404"/>
      <c r="AW45" s="404"/>
      <c r="AX45" s="404"/>
    </row>
    <row r="46" spans="2:50" x14ac:dyDescent="0.2">
      <c r="B46" s="423" t="str">
        <f>VLOOKUP("Accrued Liablities",Language_Data,Lookup_Column,FALSE)</f>
        <v>Accrued Liablities</v>
      </c>
      <c r="C46" s="423"/>
      <c r="D46" s="224">
        <f>DCF!L229</f>
        <v>0</v>
      </c>
      <c r="E46" s="224">
        <f>DCF!M229</f>
        <v>0</v>
      </c>
      <c r="F46" s="432">
        <f>IFERROR(F14*F47,"NA")</f>
        <v>0</v>
      </c>
      <c r="G46" s="432">
        <f>IFERROR(G14*G47,"NA")</f>
        <v>0</v>
      </c>
      <c r="H46" s="432">
        <f>IFERROR(H14*H47,"NA")</f>
        <v>0</v>
      </c>
      <c r="I46" s="432">
        <f>IFERROR(I14*I47,"NA")</f>
        <v>0</v>
      </c>
      <c r="J46" s="432">
        <f>IFERROR(J14*J47,"NA")</f>
        <v>0</v>
      </c>
      <c r="AV46" s="404"/>
      <c r="AW46" s="404"/>
      <c r="AX46" s="404"/>
    </row>
    <row r="47" spans="2:50" x14ac:dyDescent="0.2">
      <c r="B47" s="423" t="str">
        <f>VLOOKUP("Margin",Language_Data,Lookup_Column,FALSE)</f>
        <v>Margin</v>
      </c>
      <c r="C47" s="423"/>
      <c r="D47" s="444">
        <f>DCF!L230</f>
        <v>0</v>
      </c>
      <c r="E47" s="444">
        <f>DCF!M230</f>
        <v>0</v>
      </c>
      <c r="F47" s="446">
        <f>E47</f>
        <v>0</v>
      </c>
      <c r="G47" s="445">
        <f>F47</f>
        <v>0</v>
      </c>
      <c r="H47" s="445">
        <f>G47</f>
        <v>0</v>
      </c>
      <c r="I47" s="445">
        <f>H47</f>
        <v>0</v>
      </c>
      <c r="J47" s="445">
        <f>I47</f>
        <v>0</v>
      </c>
      <c r="AV47" s="404"/>
      <c r="AW47" s="404"/>
      <c r="AX47" s="404"/>
    </row>
    <row r="48" spans="2:50" x14ac:dyDescent="0.2">
      <c r="B48" s="423" t="str">
        <f>VLOOKUP("Other Liablities",Language_Data,Lookup_Column,FALSE)</f>
        <v>Other Liablities</v>
      </c>
      <c r="C48" s="423"/>
      <c r="D48" s="440">
        <f>IFERROR(D50-D44-D46,"NA")</f>
        <v>32338</v>
      </c>
      <c r="E48" s="440">
        <f>IFERROR(E50-E44-E46,"NA")</f>
        <v>31788</v>
      </c>
      <c r="F48" s="440">
        <f>IFERROR(F14*F49,"NA")</f>
        <v>34193.781655656996</v>
      </c>
      <c r="G48" s="440">
        <f>IFERROR(G14*G49,"NA")</f>
        <v>36781.637848079299</v>
      </c>
      <c r="H48" s="440">
        <f>IFERROR(H14*H49,"NA")</f>
        <v>39565.34835518663</v>
      </c>
      <c r="I48" s="440">
        <f>IFERROR(I14*I49,"NA")</f>
        <v>42559.735837022119</v>
      </c>
      <c r="J48" s="440">
        <f>IFERROR(J14*J49,"NA")</f>
        <v>45780.744763230599</v>
      </c>
      <c r="AV48" s="404"/>
      <c r="AW48" s="404"/>
      <c r="AX48" s="404"/>
    </row>
    <row r="49" spans="2:50" x14ac:dyDescent="0.2">
      <c r="B49" s="423" t="str">
        <f>VLOOKUP("Margin",Language_Data,Lookup_Column,FALSE)</f>
        <v>Margin</v>
      </c>
      <c r="C49" s="423"/>
      <c r="D49" s="456">
        <f>IFERROR(D48/D14,"NA")</f>
        <v>7.9194778796821241E-2</v>
      </c>
      <c r="E49" s="456">
        <f>IFERROR(E48/E14,"NA")</f>
        <v>7.445333433266503E-2</v>
      </c>
      <c r="F49" s="457">
        <f>E49</f>
        <v>7.445333433266503E-2</v>
      </c>
      <c r="G49" s="458">
        <f>F49</f>
        <v>7.445333433266503E-2</v>
      </c>
      <c r="H49" s="458">
        <f>G49</f>
        <v>7.445333433266503E-2</v>
      </c>
      <c r="I49" s="458">
        <f>H49</f>
        <v>7.445333433266503E-2</v>
      </c>
      <c r="J49" s="458">
        <f>I49</f>
        <v>7.445333433266503E-2</v>
      </c>
      <c r="AV49" s="404"/>
      <c r="AW49" s="404"/>
      <c r="AX49" s="404"/>
    </row>
    <row r="50" spans="2:50" x14ac:dyDescent="0.2">
      <c r="B50" s="399" t="str">
        <f>VLOOKUP("Total Non-Debt Current Liablities",Language_Data,Lookup_Column,FALSE)</f>
        <v>Total Non-Debt Current Liablities</v>
      </c>
      <c r="C50" s="423"/>
      <c r="D50" s="440">
        <v>73153</v>
      </c>
      <c r="E50" s="440">
        <v>70862</v>
      </c>
      <c r="F50" s="440">
        <f>IF(COUNT(F44,F46,F48)=0,"NA",SUM(F44,F46,F48))</f>
        <v>76224.982876656781</v>
      </c>
      <c r="G50" s="440">
        <f>IF(COUNT(G44,G46,G48)=0,"NA",SUM(G44,G46,G48))</f>
        <v>81993.847401239298</v>
      </c>
      <c r="H50" s="440">
        <f>IF(COUNT(H44,H46,H48)=0,"NA",SUM(H44,H46,H48))</f>
        <v>88199.311537222689</v>
      </c>
      <c r="I50" s="440">
        <f>IF(COUNT(I44,I46,I48)=0,"NA",SUM(I44,I46,I48))</f>
        <v>94874.418047158106</v>
      </c>
      <c r="J50" s="440">
        <f>IF(COUNT(J44,J46,J48)=0,"NA",SUM(J44,J46,J48))</f>
        <v>102054.71043828008</v>
      </c>
      <c r="AV50" s="404"/>
      <c r="AW50" s="404"/>
      <c r="AX50" s="404"/>
    </row>
    <row r="51" spans="2:50" x14ac:dyDescent="0.2">
      <c r="B51" s="423"/>
      <c r="C51" s="423"/>
      <c r="AV51" s="404"/>
      <c r="AW51" s="404"/>
      <c r="AX51" s="404"/>
    </row>
    <row r="52" spans="2:50" x14ac:dyDescent="0.2">
      <c r="B52" s="399" t="str">
        <f>VLOOKUP("Net Working Capital",Language_Data,Lookup_Column,FALSE)</f>
        <v>Net Working Capital</v>
      </c>
      <c r="C52" s="423"/>
      <c r="D52" s="448">
        <f t="shared" ref="D52:J52" si="9">IFERROR(SUM(D42)-SUM(D50),"NA")</f>
        <v>-14030</v>
      </c>
      <c r="E52" s="448">
        <f t="shared" si="9"/>
        <v>-14726</v>
      </c>
      <c r="F52" s="448">
        <f t="shared" si="9"/>
        <v>-15840.494169535828</v>
      </c>
      <c r="G52" s="448">
        <f t="shared" si="9"/>
        <v>-17039.33556533332</v>
      </c>
      <c r="H52" s="448">
        <f t="shared" si="9"/>
        <v>-18328.907760113201</v>
      </c>
      <c r="I52" s="448">
        <f t="shared" si="9"/>
        <v>-19716.077448596581</v>
      </c>
      <c r="J52" s="448">
        <f t="shared" si="9"/>
        <v>-21208.231011178243</v>
      </c>
      <c r="AV52" s="404"/>
      <c r="AW52" s="404"/>
      <c r="AX52" s="404"/>
    </row>
    <row r="53" spans="2:50" x14ac:dyDescent="0.2">
      <c r="B53" s="399" t="str">
        <f>VLOOKUP("(Increase) / Decrease in Working Capital",Language_Data,Lookup_Column,FALSE)</f>
        <v>(Increase) / Decrease in Working Capital</v>
      </c>
      <c r="C53" s="423"/>
      <c r="D53" s="399"/>
      <c r="E53" s="459">
        <f t="shared" ref="E53:J53" si="10">IFERROR(D52-E52,"NA")</f>
        <v>696</v>
      </c>
      <c r="F53" s="459">
        <f t="shared" si="10"/>
        <v>1114.4941695358284</v>
      </c>
      <c r="G53" s="459">
        <f t="shared" si="10"/>
        <v>1198.8413957974917</v>
      </c>
      <c r="H53" s="459">
        <f t="shared" si="10"/>
        <v>1289.5721947798811</v>
      </c>
      <c r="I53" s="459">
        <f t="shared" si="10"/>
        <v>1387.16968848338</v>
      </c>
      <c r="J53" s="459">
        <f t="shared" si="10"/>
        <v>1492.1535625816614</v>
      </c>
      <c r="AV53" s="404"/>
      <c r="AW53" s="404"/>
      <c r="AX53" s="404"/>
    </row>
    <row r="54" spans="2:50" x14ac:dyDescent="0.2">
      <c r="AV54" s="404"/>
      <c r="AW54" s="404"/>
      <c r="AX54" s="404"/>
    </row>
    <row r="55" spans="2:50" x14ac:dyDescent="0.2">
      <c r="AV55" s="404"/>
      <c r="AW55" s="404"/>
      <c r="AX55" s="404"/>
    </row>
    <row r="56" spans="2:50" x14ac:dyDescent="0.2">
      <c r="AV56" s="404"/>
      <c r="AW56" s="404"/>
      <c r="AX56" s="404"/>
    </row>
    <row r="57" spans="2:50" x14ac:dyDescent="0.2">
      <c r="AV57" s="404"/>
      <c r="AW57" s="404"/>
      <c r="AX57" s="404"/>
    </row>
    <row r="58" spans="2:50" x14ac:dyDescent="0.2">
      <c r="AV58" s="404"/>
      <c r="AW58" s="404"/>
      <c r="AX58" s="404"/>
    </row>
    <row r="59" spans="2:50" x14ac:dyDescent="0.2">
      <c r="AV59" s="404"/>
      <c r="AW59" s="404"/>
      <c r="AX59" s="404"/>
    </row>
    <row r="60" spans="2:50" x14ac:dyDescent="0.2">
      <c r="AV60" s="404"/>
      <c r="AW60" s="404"/>
      <c r="AX60" s="404"/>
    </row>
    <row r="61" spans="2:50" x14ac:dyDescent="0.2">
      <c r="AV61" s="404"/>
      <c r="AW61" s="404"/>
      <c r="AX61" s="404"/>
    </row>
    <row r="62" spans="2:50" x14ac:dyDescent="0.2">
      <c r="AV62" s="404"/>
      <c r="AW62" s="404"/>
      <c r="AX62" s="404"/>
    </row>
    <row r="63" spans="2:50" x14ac:dyDescent="0.2">
      <c r="AV63" s="404"/>
      <c r="AW63" s="404"/>
      <c r="AX63" s="404"/>
    </row>
    <row r="64" spans="2:50" x14ac:dyDescent="0.2">
      <c r="AV64" s="404"/>
      <c r="AW64" s="404"/>
      <c r="AX64" s="404"/>
    </row>
    <row r="65" spans="48:50" x14ac:dyDescent="0.2">
      <c r="AV65" s="404"/>
      <c r="AW65" s="404"/>
      <c r="AX65" s="404"/>
    </row>
    <row r="66" spans="48:50" x14ac:dyDescent="0.2">
      <c r="AV66" s="404"/>
      <c r="AW66" s="404"/>
      <c r="AX66" s="404"/>
    </row>
    <row r="67" spans="48:50" x14ac:dyDescent="0.2">
      <c r="AV67" s="404"/>
      <c r="AW67" s="404"/>
      <c r="AX67" s="406"/>
    </row>
    <row r="68" spans="48:50" x14ac:dyDescent="0.2">
      <c r="AV68" s="404"/>
      <c r="AW68" s="404"/>
      <c r="AX68" s="404"/>
    </row>
    <row r="69" spans="48:50" x14ac:dyDescent="0.2">
      <c r="AV69" s="404"/>
      <c r="AW69" s="404"/>
      <c r="AX69" s="404"/>
    </row>
    <row r="70" spans="48:50" x14ac:dyDescent="0.2">
      <c r="AV70" s="404"/>
      <c r="AW70" s="404"/>
      <c r="AX70" s="404"/>
    </row>
    <row r="71" spans="48:50" x14ac:dyDescent="0.2">
      <c r="AV71" s="404"/>
      <c r="AW71" s="404"/>
      <c r="AX71" s="404"/>
    </row>
    <row r="72" spans="48:50" x14ac:dyDescent="0.2">
      <c r="AV72" s="404"/>
      <c r="AW72" s="404"/>
      <c r="AX72" s="404"/>
    </row>
    <row r="73" spans="48:50" x14ac:dyDescent="0.2">
      <c r="AV73" s="404"/>
      <c r="AW73" s="404"/>
      <c r="AX73" s="404"/>
    </row>
    <row r="74" spans="48:50" x14ac:dyDescent="0.2">
      <c r="AV74" s="404"/>
      <c r="AW74" s="404"/>
      <c r="AX74" s="404"/>
    </row>
    <row r="75" spans="48:50" x14ac:dyDescent="0.2">
      <c r="AV75" s="404"/>
      <c r="AW75" s="404"/>
      <c r="AX75" s="404"/>
    </row>
    <row r="76" spans="48:50" x14ac:dyDescent="0.2">
      <c r="AV76" s="404"/>
      <c r="AW76" s="404"/>
      <c r="AX76" s="404"/>
    </row>
    <row r="77" spans="48:50" x14ac:dyDescent="0.2">
      <c r="AV77" s="404"/>
      <c r="AW77" s="404"/>
      <c r="AX77" s="404"/>
    </row>
    <row r="78" spans="48:50" x14ac:dyDescent="0.2">
      <c r="AV78" s="404"/>
      <c r="AW78" s="404"/>
      <c r="AX78" s="404"/>
    </row>
    <row r="79" spans="48:50" x14ac:dyDescent="0.2">
      <c r="AV79" s="404"/>
      <c r="AW79" s="404"/>
      <c r="AX79" s="404"/>
    </row>
    <row r="80" spans="48:50" x14ac:dyDescent="0.2">
      <c r="AV80" s="404"/>
      <c r="AW80" s="404"/>
      <c r="AX80" s="404"/>
    </row>
    <row r="81" spans="2:50" x14ac:dyDescent="0.2">
      <c r="AV81" s="404"/>
      <c r="AW81" s="404"/>
      <c r="AX81" s="404"/>
    </row>
    <row r="82" spans="2:50" x14ac:dyDescent="0.2">
      <c r="AV82" s="404"/>
      <c r="AW82" s="404"/>
      <c r="AX82" s="404"/>
    </row>
    <row r="83" spans="2:50" x14ac:dyDescent="0.2">
      <c r="AV83" s="404"/>
      <c r="AW83" s="404"/>
      <c r="AX83" s="406"/>
    </row>
    <row r="84" spans="2:50" x14ac:dyDescent="0.2">
      <c r="B84" t="s">
        <v>5615</v>
      </c>
      <c r="AV84" s="404"/>
      <c r="AW84" s="404"/>
      <c r="AX84" s="404"/>
    </row>
    <row r="85" spans="2:50" x14ac:dyDescent="0.2">
      <c r="B85" t="s">
        <v>5616</v>
      </c>
    </row>
  </sheetData>
  <mergeCells count="3">
    <mergeCell ref="F7:G7"/>
    <mergeCell ref="M12:O12"/>
    <mergeCell ref="M18:O18"/>
  </mergeCells>
  <dataValidations count="1">
    <dataValidation type="list" allowBlank="1" showInputMessage="1" showErrorMessage="1" sqref="F7:G7" xr:uid="{6A670332-C70F-4141-8A80-AA438AE1047A}">
      <formula1>$AP$5:$AP$7</formula1>
    </dataValidation>
  </dataValidations>
  <pageMargins left="0.7" right="0.7" top="0.75" bottom="0.75" header="0.3" footer="0.3"/>
  <pageSetup orientation="portrait" r:id="rId1"/>
  <ignoredErrors>
    <ignoredError sqref="F36:J50 G20:J3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FindGrowthRate">
                <anchor moveWithCells="1" sizeWithCells="1">
                  <from>
                    <xdr:col>5</xdr:col>
                    <xdr:colOff>28575</xdr:colOff>
                    <xdr:row>8</xdr:row>
                    <xdr:rowOff>28575</xdr:rowOff>
                  </from>
                  <to>
                    <xdr:col>7</xdr:col>
                    <xdr:colOff>9525</xdr:colOff>
                    <xdr:row>9</xdr:row>
                    <xdr:rowOff>66675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2:P497"/>
  <sheetViews>
    <sheetView showGridLines="0" zoomScaleNormal="100" workbookViewId="0">
      <pane ySplit="5" topLeftCell="A6" activePane="bottomLeft" state="frozen"/>
      <selection pane="bottomLeft" activeCell="A6" sqref="A6"/>
    </sheetView>
  </sheetViews>
  <sheetFormatPr baseColWidth="10" defaultColWidth="9.33203125" defaultRowHeight="11.25" x14ac:dyDescent="0.2"/>
  <cols>
    <col min="1" max="1" width="2.6640625" customWidth="1"/>
    <col min="2" max="13" width="22.6640625" customWidth="1"/>
    <col min="14" max="14" width="5.33203125" customWidth="1"/>
    <col min="15" max="15" width="18" customWidth="1"/>
    <col min="16" max="16" width="19.83203125" customWidth="1"/>
    <col min="17" max="18" width="18" customWidth="1"/>
  </cols>
  <sheetData>
    <row r="2" spans="2:16" x14ac:dyDescent="0.2">
      <c r="B2" s="320">
        <v>1</v>
      </c>
      <c r="O2" s="418" t="str">
        <f>VLOOKUP(P2,N5:P15,2,FALSE)</f>
        <v>English</v>
      </c>
      <c r="P2" s="302">
        <f>Lookup_Column</f>
        <v>1</v>
      </c>
    </row>
    <row r="3" spans="2:16" x14ac:dyDescent="0.2">
      <c r="O3" s="329" t="str">
        <f>Language_Option</f>
        <v>English</v>
      </c>
      <c r="P3" s="302">
        <f>VLOOKUP(O3,O5:P15,2,FALSE)</f>
        <v>1</v>
      </c>
    </row>
    <row r="4" spans="2:16" x14ac:dyDescent="0.2">
      <c r="B4" s="310">
        <v>1</v>
      </c>
      <c r="C4" s="311">
        <v>2</v>
      </c>
      <c r="D4" s="311">
        <v>3</v>
      </c>
      <c r="E4" s="311">
        <v>4</v>
      </c>
      <c r="F4" s="311">
        <v>5</v>
      </c>
      <c r="G4" s="311">
        <v>6</v>
      </c>
      <c r="H4" s="311">
        <v>7</v>
      </c>
      <c r="I4" s="311">
        <v>8</v>
      </c>
      <c r="J4" s="311">
        <v>9</v>
      </c>
      <c r="K4" s="311">
        <v>10</v>
      </c>
      <c r="L4" s="312">
        <v>11</v>
      </c>
      <c r="M4" s="417"/>
    </row>
    <row r="5" spans="2:16" x14ac:dyDescent="0.2">
      <c r="B5" s="313" t="s">
        <v>2961</v>
      </c>
      <c r="C5" s="314" t="s">
        <v>711</v>
      </c>
      <c r="D5" s="315" t="s">
        <v>712</v>
      </c>
      <c r="E5" s="315" t="s">
        <v>713</v>
      </c>
      <c r="F5" s="316" t="s">
        <v>714</v>
      </c>
      <c r="G5" s="315" t="s">
        <v>715</v>
      </c>
      <c r="H5" s="317" t="s">
        <v>716</v>
      </c>
      <c r="I5" s="317" t="s">
        <v>717</v>
      </c>
      <c r="J5" s="318" t="s">
        <v>718</v>
      </c>
      <c r="K5" s="318" t="s">
        <v>719</v>
      </c>
      <c r="L5" s="319" t="s">
        <v>720</v>
      </c>
      <c r="M5" s="319"/>
      <c r="N5" s="25">
        <v>1</v>
      </c>
      <c r="O5" s="23" t="str">
        <f>VLOOKUP("English",Language_Data,Lookup_Column,FALSE)</f>
        <v>English</v>
      </c>
      <c r="P5" s="25">
        <v>1</v>
      </c>
    </row>
    <row r="6" spans="2:16" x14ac:dyDescent="0.2">
      <c r="B6" s="26" t="s">
        <v>394</v>
      </c>
      <c r="C6" s="328" t="s">
        <v>811</v>
      </c>
      <c r="D6" s="328" t="s">
        <v>812</v>
      </c>
      <c r="E6" s="328" t="s">
        <v>813</v>
      </c>
      <c r="F6" s="328" t="s">
        <v>814</v>
      </c>
      <c r="G6" s="328" t="s">
        <v>815</v>
      </c>
      <c r="H6" s="328" t="s">
        <v>816</v>
      </c>
      <c r="I6" s="328" t="s">
        <v>817</v>
      </c>
      <c r="J6" s="328" t="s">
        <v>818</v>
      </c>
      <c r="K6" s="328" t="s">
        <v>819</v>
      </c>
      <c r="L6" s="327" t="s">
        <v>2989</v>
      </c>
      <c r="M6" s="327"/>
      <c r="N6" s="27">
        <v>2</v>
      </c>
      <c r="O6" s="26" t="str">
        <f>VLOOKUP("Chinese - Simplified",Language_Data,Lookup_Column,FALSE)</f>
        <v>Chinese - Simplified</v>
      </c>
      <c r="P6" s="27">
        <v>2</v>
      </c>
    </row>
    <row r="7" spans="2:16" x14ac:dyDescent="0.2">
      <c r="B7" s="26" t="s">
        <v>4144</v>
      </c>
      <c r="C7" s="328" t="s">
        <v>4145</v>
      </c>
      <c r="D7" s="328" t="s">
        <v>4146</v>
      </c>
      <c r="E7" s="328" t="s">
        <v>4147</v>
      </c>
      <c r="F7" s="328" t="s">
        <v>4148</v>
      </c>
      <c r="G7" s="328" t="s">
        <v>4149</v>
      </c>
      <c r="H7" s="328" t="s">
        <v>4150</v>
      </c>
      <c r="I7" s="328" t="s">
        <v>4154</v>
      </c>
      <c r="J7" s="328" t="s">
        <v>4151</v>
      </c>
      <c r="K7" s="328" t="s">
        <v>4152</v>
      </c>
      <c r="L7" s="327" t="s">
        <v>4153</v>
      </c>
      <c r="M7" s="327"/>
      <c r="N7" s="27">
        <v>3</v>
      </c>
      <c r="O7" s="26" t="str">
        <f>VLOOKUP("Chinese - Traditional",Language_Data,Lookup_Column,FALSE)</f>
        <v>Chinese - Traditional</v>
      </c>
      <c r="P7" s="27">
        <v>3</v>
      </c>
    </row>
    <row r="8" spans="2:16" x14ac:dyDescent="0.2">
      <c r="B8" s="26" t="s">
        <v>4133</v>
      </c>
      <c r="C8" s="328" t="s">
        <v>4134</v>
      </c>
      <c r="D8" s="328" t="s">
        <v>4135</v>
      </c>
      <c r="E8" s="328" t="s">
        <v>4136</v>
      </c>
      <c r="F8" s="328" t="s">
        <v>4137</v>
      </c>
      <c r="G8" s="328" t="s">
        <v>4138</v>
      </c>
      <c r="H8" s="328" t="s">
        <v>4139</v>
      </c>
      <c r="I8" s="328" t="s">
        <v>4140</v>
      </c>
      <c r="J8" s="328" t="s">
        <v>4141</v>
      </c>
      <c r="K8" s="328" t="s">
        <v>4142</v>
      </c>
      <c r="L8" s="327" t="s">
        <v>4143</v>
      </c>
      <c r="M8" s="327"/>
      <c r="N8" s="27">
        <v>7</v>
      </c>
      <c r="O8" s="26" t="str">
        <f>VLOOKUP("French",Language_Data,Lookup_Column,FALSE)</f>
        <v>French</v>
      </c>
      <c r="P8" s="27">
        <v>7</v>
      </c>
    </row>
    <row r="9" spans="2:16" x14ac:dyDescent="0.2">
      <c r="B9" s="26" t="s">
        <v>751</v>
      </c>
      <c r="C9" s="328" t="s">
        <v>820</v>
      </c>
      <c r="D9" s="328" t="s">
        <v>821</v>
      </c>
      <c r="E9" s="328" t="s">
        <v>822</v>
      </c>
      <c r="F9" s="328" t="s">
        <v>823</v>
      </c>
      <c r="G9" s="328" t="s">
        <v>824</v>
      </c>
      <c r="H9" s="328" t="s">
        <v>825</v>
      </c>
      <c r="I9" s="328" t="s">
        <v>826</v>
      </c>
      <c r="J9" s="328" t="s">
        <v>827</v>
      </c>
      <c r="K9" s="328" t="s">
        <v>828</v>
      </c>
      <c r="L9" s="327" t="s">
        <v>2990</v>
      </c>
      <c r="M9" s="327"/>
      <c r="N9" s="27">
        <v>6</v>
      </c>
      <c r="O9" s="26" t="str">
        <f>VLOOKUP("German",Language_Data,Lookup_Column,FALSE)</f>
        <v>German</v>
      </c>
      <c r="P9" s="27">
        <v>6</v>
      </c>
    </row>
    <row r="10" spans="2:16" x14ac:dyDescent="0.2">
      <c r="B10" s="339" t="s">
        <v>4249</v>
      </c>
      <c r="C10" t="s">
        <v>4250</v>
      </c>
      <c r="D10" t="s">
        <v>4251</v>
      </c>
      <c r="E10" t="s">
        <v>4252</v>
      </c>
      <c r="F10" t="s">
        <v>4253</v>
      </c>
      <c r="G10" t="s">
        <v>4254</v>
      </c>
      <c r="H10" t="s">
        <v>4255</v>
      </c>
      <c r="I10" t="s">
        <v>4256</v>
      </c>
      <c r="J10" t="s">
        <v>4257</v>
      </c>
      <c r="K10" t="s">
        <v>4258</v>
      </c>
      <c r="L10" s="27" t="s">
        <v>4259</v>
      </c>
      <c r="M10" s="27"/>
      <c r="N10" s="27">
        <v>8</v>
      </c>
      <c r="O10" s="26" t="str">
        <f>VLOOKUP("Italian",Language_Data,Lookup_Column,FALSE)</f>
        <v>Italian</v>
      </c>
      <c r="P10" s="27">
        <v>8</v>
      </c>
    </row>
    <row r="11" spans="2:16" x14ac:dyDescent="0.2">
      <c r="B11" s="26" t="s">
        <v>753</v>
      </c>
      <c r="C11" s="328" t="s">
        <v>829</v>
      </c>
      <c r="D11" s="328" t="s">
        <v>829</v>
      </c>
      <c r="E11" s="328" t="s">
        <v>830</v>
      </c>
      <c r="F11" s="328" t="s">
        <v>831</v>
      </c>
      <c r="G11" s="328" t="s">
        <v>832</v>
      </c>
      <c r="H11" s="328" t="s">
        <v>753</v>
      </c>
      <c r="I11" s="328" t="s">
        <v>831</v>
      </c>
      <c r="J11" s="328" t="s">
        <v>833</v>
      </c>
      <c r="K11" s="328" t="s">
        <v>834</v>
      </c>
      <c r="L11" s="327">
        <v>0</v>
      </c>
      <c r="M11" s="327"/>
      <c r="N11" s="27">
        <v>4</v>
      </c>
      <c r="O11" s="26" t="str">
        <f>VLOOKUP("Japanese",Language_Data,Lookup_Column,FALSE)</f>
        <v>Japanese</v>
      </c>
      <c r="P11" s="27">
        <v>4</v>
      </c>
    </row>
    <row r="12" spans="2:16" x14ac:dyDescent="0.2">
      <c r="B12" s="26" t="s">
        <v>276</v>
      </c>
      <c r="C12" s="328" t="s">
        <v>835</v>
      </c>
      <c r="D12" s="328" t="s">
        <v>836</v>
      </c>
      <c r="E12" s="328" t="s">
        <v>837</v>
      </c>
      <c r="F12" s="328" t="s">
        <v>838</v>
      </c>
      <c r="G12" s="328" t="s">
        <v>839</v>
      </c>
      <c r="H12" s="328" t="s">
        <v>840</v>
      </c>
      <c r="I12" s="328" t="s">
        <v>841</v>
      </c>
      <c r="J12" s="328" t="s">
        <v>842</v>
      </c>
      <c r="K12" s="328" t="s">
        <v>843</v>
      </c>
      <c r="L12" s="327" t="s">
        <v>838</v>
      </c>
      <c r="M12" s="327"/>
      <c r="N12" s="27">
        <v>9</v>
      </c>
      <c r="O12" s="26" t="str">
        <f>VLOOKUP("Korean",Language_Data,Lookup_Column,FALSE)</f>
        <v>Korean</v>
      </c>
      <c r="P12" s="27">
        <v>9</v>
      </c>
    </row>
    <row r="13" spans="2:16" x14ac:dyDescent="0.2">
      <c r="B13" s="26" t="s">
        <v>527</v>
      </c>
      <c r="C13" s="328" t="s">
        <v>844</v>
      </c>
      <c r="D13" s="328" t="s">
        <v>844</v>
      </c>
      <c r="E13" s="328" t="s">
        <v>845</v>
      </c>
      <c r="F13" s="328" t="s">
        <v>846</v>
      </c>
      <c r="G13" s="328" t="s">
        <v>847</v>
      </c>
      <c r="H13" s="328" t="s">
        <v>848</v>
      </c>
      <c r="I13" s="328" t="s">
        <v>849</v>
      </c>
      <c r="J13" s="328" t="s">
        <v>850</v>
      </c>
      <c r="K13" s="328" t="s">
        <v>851</v>
      </c>
      <c r="L13" s="327" t="s">
        <v>2991</v>
      </c>
      <c r="M13" s="327"/>
      <c r="N13" s="27">
        <v>11</v>
      </c>
      <c r="O13" s="26" t="str">
        <f>VLOOKUP("Portuguese",Language_Data,Lookup_Column,FALSE)</f>
        <v>Portuguese</v>
      </c>
      <c r="P13" s="27">
        <v>11</v>
      </c>
    </row>
    <row r="14" spans="2:16" x14ac:dyDescent="0.2">
      <c r="B14" s="26" t="s">
        <v>4155</v>
      </c>
      <c r="C14" s="328" t="s">
        <v>4156</v>
      </c>
      <c r="D14" s="328" t="s">
        <v>4157</v>
      </c>
      <c r="E14" s="328" t="s">
        <v>4158</v>
      </c>
      <c r="F14" s="328" t="s">
        <v>4159</v>
      </c>
      <c r="G14" s="328" t="s">
        <v>4160</v>
      </c>
      <c r="H14" s="328" t="s">
        <v>4161</v>
      </c>
      <c r="I14" s="328" t="s">
        <v>4162</v>
      </c>
      <c r="J14" s="328" t="s">
        <v>852</v>
      </c>
      <c r="K14" s="328" t="s">
        <v>4163</v>
      </c>
      <c r="L14" s="327" t="s">
        <v>4164</v>
      </c>
      <c r="M14" s="327"/>
      <c r="N14" s="27">
        <v>10</v>
      </c>
      <c r="O14" s="26" t="str">
        <f>VLOOKUP("Russian",Language_Data,Lookup_Column,FALSE)</f>
        <v>Russian</v>
      </c>
      <c r="P14" s="27">
        <v>10</v>
      </c>
    </row>
    <row r="15" spans="2:16" x14ac:dyDescent="0.2">
      <c r="B15" s="26" t="s">
        <v>277</v>
      </c>
      <c r="C15" s="328" t="s">
        <v>853</v>
      </c>
      <c r="D15" s="328" t="s">
        <v>854</v>
      </c>
      <c r="E15" s="328" t="s">
        <v>855</v>
      </c>
      <c r="F15" s="328" t="s">
        <v>856</v>
      </c>
      <c r="G15" s="328" t="s">
        <v>857</v>
      </c>
      <c r="H15" s="328" t="s">
        <v>858</v>
      </c>
      <c r="I15" s="328" t="s">
        <v>859</v>
      </c>
      <c r="J15" s="328" t="s">
        <v>860</v>
      </c>
      <c r="K15" s="328" t="s">
        <v>861</v>
      </c>
      <c r="L15" s="327" t="s">
        <v>2992</v>
      </c>
      <c r="M15" s="327"/>
      <c r="N15" s="28">
        <v>5</v>
      </c>
      <c r="O15" s="14" t="str">
        <f>VLOOKUP("Spanish",Language_Data,Lookup_Column,FALSE)</f>
        <v>Spanish</v>
      </c>
      <c r="P15" s="28">
        <v>5</v>
      </c>
    </row>
    <row r="16" spans="2:16" x14ac:dyDescent="0.2">
      <c r="B16" s="26" t="s">
        <v>730</v>
      </c>
      <c r="C16" s="328" t="s">
        <v>862</v>
      </c>
      <c r="D16" s="328" t="s">
        <v>863</v>
      </c>
      <c r="E16" s="328" t="s">
        <v>864</v>
      </c>
      <c r="F16" s="328" t="s">
        <v>865</v>
      </c>
      <c r="G16" s="328" t="s">
        <v>866</v>
      </c>
      <c r="H16" s="328" t="s">
        <v>867</v>
      </c>
      <c r="I16" s="328" t="s">
        <v>868</v>
      </c>
      <c r="J16" s="328" t="s">
        <v>869</v>
      </c>
      <c r="K16" s="328" t="s">
        <v>870</v>
      </c>
      <c r="L16" s="327" t="s">
        <v>2993</v>
      </c>
      <c r="M16" s="328"/>
    </row>
    <row r="17" spans="2:16" x14ac:dyDescent="0.2">
      <c r="B17" s="26" t="s">
        <v>316</v>
      </c>
      <c r="C17" s="328" t="s">
        <v>871</v>
      </c>
      <c r="D17" s="328" t="s">
        <v>872</v>
      </c>
      <c r="E17" s="328" t="s">
        <v>873</v>
      </c>
      <c r="F17" s="328" t="s">
        <v>874</v>
      </c>
      <c r="G17" s="328" t="s">
        <v>875</v>
      </c>
      <c r="H17" s="328" t="s">
        <v>876</v>
      </c>
      <c r="I17" s="328" t="s">
        <v>877</v>
      </c>
      <c r="J17" s="328" t="s">
        <v>878</v>
      </c>
      <c r="K17" s="328" t="s">
        <v>879</v>
      </c>
      <c r="L17" s="327" t="s">
        <v>2994</v>
      </c>
      <c r="M17" s="328"/>
      <c r="O17" s="23" t="s">
        <v>2962</v>
      </c>
      <c r="P17" s="25" t="str">
        <f>VLOOKUP("UPDATE TERMINOLOGY",Language_Data,Lookup_Column,FALSE)</f>
        <v>UPDATE TERMINOLOGY</v>
      </c>
    </row>
    <row r="18" spans="2:16" x14ac:dyDescent="0.2">
      <c r="B18" s="26" t="s">
        <v>317</v>
      </c>
      <c r="C18" s="328" t="s">
        <v>880</v>
      </c>
      <c r="D18" s="328" t="s">
        <v>881</v>
      </c>
      <c r="E18" s="328" t="s">
        <v>882</v>
      </c>
      <c r="F18" s="328" t="s">
        <v>883</v>
      </c>
      <c r="G18" s="328" t="s">
        <v>884</v>
      </c>
      <c r="H18" s="328" t="s">
        <v>885</v>
      </c>
      <c r="I18" s="328" t="s">
        <v>886</v>
      </c>
      <c r="J18" s="328" t="s">
        <v>887</v>
      </c>
      <c r="K18" s="328" t="s">
        <v>888</v>
      </c>
      <c r="L18" s="327" t="s">
        <v>2995</v>
      </c>
      <c r="M18" s="328"/>
      <c r="O18" s="14" t="s">
        <v>2963</v>
      </c>
      <c r="P18" s="28" t="str">
        <f>VLOOKUP("Refresh Sheet",Language_Data,Lookup_Column,FALSE)</f>
        <v>REFRESH SHEET</v>
      </c>
    </row>
    <row r="19" spans="2:16" x14ac:dyDescent="0.2">
      <c r="B19" s="26" t="s">
        <v>4240</v>
      </c>
      <c r="C19" s="328" t="s">
        <v>889</v>
      </c>
      <c r="D19" s="328" t="s">
        <v>890</v>
      </c>
      <c r="E19" s="328" t="s">
        <v>891</v>
      </c>
      <c r="F19" s="328" t="s">
        <v>892</v>
      </c>
      <c r="G19" s="328" t="s">
        <v>893</v>
      </c>
      <c r="H19" s="328" t="s">
        <v>894</v>
      </c>
      <c r="I19" s="328" t="s">
        <v>895</v>
      </c>
      <c r="J19" s="328" t="s">
        <v>896</v>
      </c>
      <c r="K19" s="328" t="s">
        <v>897</v>
      </c>
      <c r="L19" s="327" t="s">
        <v>2996</v>
      </c>
      <c r="M19" s="328"/>
    </row>
    <row r="20" spans="2:16" x14ac:dyDescent="0.2">
      <c r="B20" s="26" t="s">
        <v>393</v>
      </c>
      <c r="C20" s="328" t="s">
        <v>898</v>
      </c>
      <c r="D20" s="328" t="s">
        <v>899</v>
      </c>
      <c r="E20" s="328" t="s">
        <v>900</v>
      </c>
      <c r="F20" s="328" t="s">
        <v>901</v>
      </c>
      <c r="G20" s="328" t="s">
        <v>902</v>
      </c>
      <c r="H20" s="328" t="s">
        <v>903</v>
      </c>
      <c r="I20" s="328" t="s">
        <v>904</v>
      </c>
      <c r="J20" s="328" t="s">
        <v>905</v>
      </c>
      <c r="K20" s="328" t="s">
        <v>906</v>
      </c>
      <c r="L20" s="327" t="s">
        <v>2997</v>
      </c>
      <c r="M20" s="328"/>
    </row>
    <row r="21" spans="2:16" x14ac:dyDescent="0.2">
      <c r="B21" s="26" t="s">
        <v>782</v>
      </c>
      <c r="C21" s="328" t="s">
        <v>907</v>
      </c>
      <c r="D21" s="328" t="s">
        <v>908</v>
      </c>
      <c r="E21" s="328" t="s">
        <v>909</v>
      </c>
      <c r="F21" s="328" t="s">
        <v>910</v>
      </c>
      <c r="G21" s="328" t="s">
        <v>911</v>
      </c>
      <c r="H21" s="328" t="s">
        <v>912</v>
      </c>
      <c r="I21" s="328" t="s">
        <v>913</v>
      </c>
      <c r="J21" s="328" t="s">
        <v>914</v>
      </c>
      <c r="K21" s="328" t="s">
        <v>915</v>
      </c>
      <c r="L21" s="327" t="s">
        <v>2998</v>
      </c>
      <c r="M21" s="328"/>
    </row>
    <row r="22" spans="2:16" x14ac:dyDescent="0.2">
      <c r="B22" s="26" t="s">
        <v>754</v>
      </c>
      <c r="C22" s="328" t="s">
        <v>916</v>
      </c>
      <c r="D22" s="328" t="s">
        <v>917</v>
      </c>
      <c r="E22" s="328" t="s">
        <v>918</v>
      </c>
      <c r="F22" s="328" t="s">
        <v>919</v>
      </c>
      <c r="G22" s="328" t="s">
        <v>920</v>
      </c>
      <c r="H22" s="328" t="s">
        <v>921</v>
      </c>
      <c r="I22" s="328" t="s">
        <v>922</v>
      </c>
      <c r="J22" s="328" t="s">
        <v>923</v>
      </c>
      <c r="K22" s="328" t="s">
        <v>924</v>
      </c>
      <c r="L22" s="327" t="s">
        <v>2999</v>
      </c>
      <c r="M22" s="328"/>
    </row>
    <row r="23" spans="2:16" x14ac:dyDescent="0.2">
      <c r="B23" s="26" t="s">
        <v>755</v>
      </c>
      <c r="C23" s="328" t="s">
        <v>925</v>
      </c>
      <c r="D23" s="328" t="s">
        <v>926</v>
      </c>
      <c r="E23" s="328" t="s">
        <v>927</v>
      </c>
      <c r="F23" s="328" t="s">
        <v>928</v>
      </c>
      <c r="G23" s="328" t="s">
        <v>929</v>
      </c>
      <c r="H23" s="328" t="s">
        <v>930</v>
      </c>
      <c r="I23" s="328" t="s">
        <v>931</v>
      </c>
      <c r="J23" s="328" t="s">
        <v>932</v>
      </c>
      <c r="K23" s="328" t="s">
        <v>933</v>
      </c>
      <c r="L23" s="327" t="s">
        <v>3000</v>
      </c>
      <c r="M23" s="328"/>
    </row>
    <row r="24" spans="2:16" x14ac:dyDescent="0.2">
      <c r="B24" s="26" t="s">
        <v>435</v>
      </c>
      <c r="C24" s="328" t="s">
        <v>934</v>
      </c>
      <c r="D24" s="328" t="s">
        <v>935</v>
      </c>
      <c r="E24" s="328" t="s">
        <v>936</v>
      </c>
      <c r="F24" s="328" t="s">
        <v>937</v>
      </c>
      <c r="G24" s="328" t="s">
        <v>938</v>
      </c>
      <c r="H24" s="328" t="s">
        <v>939</v>
      </c>
      <c r="I24" s="328" t="s">
        <v>940</v>
      </c>
      <c r="J24" s="328" t="s">
        <v>941</v>
      </c>
      <c r="K24" s="328" t="s">
        <v>942</v>
      </c>
      <c r="L24" s="327" t="s">
        <v>3001</v>
      </c>
      <c r="M24" s="328"/>
    </row>
    <row r="25" spans="2:16" x14ac:dyDescent="0.2">
      <c r="B25" s="26" t="s">
        <v>756</v>
      </c>
      <c r="C25" s="328" t="s">
        <v>943</v>
      </c>
      <c r="D25" s="328" t="s">
        <v>944</v>
      </c>
      <c r="E25" s="328" t="s">
        <v>945</v>
      </c>
      <c r="F25" s="328" t="s">
        <v>946</v>
      </c>
      <c r="G25" s="328" t="s">
        <v>947</v>
      </c>
      <c r="H25" s="328" t="s">
        <v>948</v>
      </c>
      <c r="I25" s="328" t="s">
        <v>949</v>
      </c>
      <c r="J25" s="328" t="s">
        <v>950</v>
      </c>
      <c r="K25" s="328" t="s">
        <v>951</v>
      </c>
      <c r="L25" s="327" t="s">
        <v>3002</v>
      </c>
      <c r="M25" s="328"/>
    </row>
    <row r="26" spans="2:16" x14ac:dyDescent="0.2">
      <c r="B26" s="26" t="s">
        <v>757</v>
      </c>
      <c r="C26" s="328" t="s">
        <v>952</v>
      </c>
      <c r="D26" s="328" t="s">
        <v>953</v>
      </c>
      <c r="E26" s="328" t="s">
        <v>954</v>
      </c>
      <c r="F26" s="328" t="s">
        <v>955</v>
      </c>
      <c r="G26" s="328" t="s">
        <v>956</v>
      </c>
      <c r="H26" s="328" t="s">
        <v>957</v>
      </c>
      <c r="I26" s="328" t="s">
        <v>958</v>
      </c>
      <c r="J26" s="328" t="s">
        <v>959</v>
      </c>
      <c r="K26" s="328" t="s">
        <v>960</v>
      </c>
      <c r="L26" s="327" t="s">
        <v>3003</v>
      </c>
      <c r="M26" s="328"/>
    </row>
    <row r="27" spans="2:16" x14ac:dyDescent="0.2">
      <c r="B27" s="26" t="s">
        <v>758</v>
      </c>
      <c r="C27" s="328" t="s">
        <v>961</v>
      </c>
      <c r="D27" s="328" t="s">
        <v>962</v>
      </c>
      <c r="E27" s="328" t="s">
        <v>963</v>
      </c>
      <c r="F27" s="328" t="s">
        <v>964</v>
      </c>
      <c r="G27" s="328" t="s">
        <v>965</v>
      </c>
      <c r="H27" s="328" t="s">
        <v>966</v>
      </c>
      <c r="I27" s="328" t="s">
        <v>967</v>
      </c>
      <c r="J27" s="328" t="s">
        <v>968</v>
      </c>
      <c r="K27" s="328" t="s">
        <v>969</v>
      </c>
      <c r="L27" s="327" t="s">
        <v>4039</v>
      </c>
      <c r="M27" s="328"/>
    </row>
    <row r="28" spans="2:16" x14ac:dyDescent="0.2">
      <c r="B28" s="26" t="s">
        <v>526</v>
      </c>
      <c r="C28" s="328" t="s">
        <v>970</v>
      </c>
      <c r="D28" s="328" t="s">
        <v>971</v>
      </c>
      <c r="E28" s="328" t="s">
        <v>972</v>
      </c>
      <c r="F28" s="328" t="s">
        <v>973</v>
      </c>
      <c r="G28" s="328" t="s">
        <v>974</v>
      </c>
      <c r="H28" s="328" t="s">
        <v>975</v>
      </c>
      <c r="I28" s="328" t="s">
        <v>976</v>
      </c>
      <c r="J28" s="328" t="s">
        <v>977</v>
      </c>
      <c r="K28" s="328" t="s">
        <v>978</v>
      </c>
      <c r="L28" s="327" t="s">
        <v>3004</v>
      </c>
      <c r="M28" s="328"/>
    </row>
    <row r="29" spans="2:16" x14ac:dyDescent="0.2">
      <c r="B29" s="26" t="s">
        <v>436</v>
      </c>
      <c r="C29" s="328" t="s">
        <v>979</v>
      </c>
      <c r="D29" s="328" t="s">
        <v>980</v>
      </c>
      <c r="E29" s="328" t="s">
        <v>981</v>
      </c>
      <c r="F29" s="328" t="s">
        <v>982</v>
      </c>
      <c r="G29" s="328" t="s">
        <v>983</v>
      </c>
      <c r="H29" s="328" t="s">
        <v>984</v>
      </c>
      <c r="I29" s="328" t="s">
        <v>985</v>
      </c>
      <c r="J29" s="328" t="s">
        <v>986</v>
      </c>
      <c r="K29" s="328" t="s">
        <v>987</v>
      </c>
      <c r="L29" s="327" t="s">
        <v>3005</v>
      </c>
      <c r="M29" s="328"/>
    </row>
    <row r="30" spans="2:16" x14ac:dyDescent="0.2">
      <c r="B30" s="26" t="s">
        <v>437</v>
      </c>
      <c r="C30" s="328" t="s">
        <v>988</v>
      </c>
      <c r="D30" s="328" t="s">
        <v>989</v>
      </c>
      <c r="E30" s="328" t="s">
        <v>990</v>
      </c>
      <c r="F30" s="328" t="s">
        <v>991</v>
      </c>
      <c r="G30" s="328" t="s">
        <v>992</v>
      </c>
      <c r="H30" s="328" t="s">
        <v>993</v>
      </c>
      <c r="I30" s="328" t="s">
        <v>994</v>
      </c>
      <c r="J30" s="328" t="s">
        <v>995</v>
      </c>
      <c r="K30" s="328" t="s">
        <v>996</v>
      </c>
      <c r="L30" s="327" t="s">
        <v>3006</v>
      </c>
      <c r="M30" s="328"/>
    </row>
    <row r="31" spans="2:16" x14ac:dyDescent="0.2">
      <c r="B31" s="26" t="s">
        <v>759</v>
      </c>
      <c r="C31" s="328" t="s">
        <v>997</v>
      </c>
      <c r="D31" s="328" t="s">
        <v>998</v>
      </c>
      <c r="E31" s="328" t="s">
        <v>999</v>
      </c>
      <c r="F31" s="328" t="s">
        <v>1000</v>
      </c>
      <c r="G31" s="328" t="s">
        <v>1001</v>
      </c>
      <c r="H31" s="328" t="s">
        <v>1002</v>
      </c>
      <c r="I31" s="328" t="s">
        <v>1003</v>
      </c>
      <c r="J31" s="328" t="s">
        <v>1004</v>
      </c>
      <c r="K31" s="328" t="s">
        <v>1005</v>
      </c>
      <c r="L31" s="327" t="s">
        <v>4040</v>
      </c>
      <c r="M31" s="328"/>
    </row>
    <row r="32" spans="2:16" x14ac:dyDescent="0.2">
      <c r="B32" s="26" t="s">
        <v>305</v>
      </c>
      <c r="C32" s="328" t="s">
        <v>1006</v>
      </c>
      <c r="D32" s="328" t="s">
        <v>1007</v>
      </c>
      <c r="E32" s="328" t="s">
        <v>1008</v>
      </c>
      <c r="F32" s="328" t="s">
        <v>1009</v>
      </c>
      <c r="G32" s="328" t="s">
        <v>1010</v>
      </c>
      <c r="H32" s="328" t="s">
        <v>1011</v>
      </c>
      <c r="I32" s="328" t="s">
        <v>1012</v>
      </c>
      <c r="J32" s="328" t="s">
        <v>1013</v>
      </c>
      <c r="K32" s="328" t="s">
        <v>1014</v>
      </c>
      <c r="L32" s="327" t="s">
        <v>3007</v>
      </c>
      <c r="M32" s="328"/>
    </row>
    <row r="33" spans="2:13" x14ac:dyDescent="0.2">
      <c r="B33" s="26" t="s">
        <v>793</v>
      </c>
      <c r="C33" s="328" t="s">
        <v>1015</v>
      </c>
      <c r="D33" s="328" t="s">
        <v>1016</v>
      </c>
      <c r="E33" s="328" t="s">
        <v>1017</v>
      </c>
      <c r="F33" s="328" t="s">
        <v>793</v>
      </c>
      <c r="G33" s="328" t="s">
        <v>793</v>
      </c>
      <c r="H33" s="328" t="s">
        <v>1018</v>
      </c>
      <c r="I33" s="328" t="s">
        <v>793</v>
      </c>
      <c r="J33" s="328" t="s">
        <v>1019</v>
      </c>
      <c r="K33" s="328">
        <v>0</v>
      </c>
      <c r="L33" s="327" t="s">
        <v>793</v>
      </c>
      <c r="M33" s="328"/>
    </row>
    <row r="34" spans="2:13" x14ac:dyDescent="0.2">
      <c r="B34" s="26" t="s">
        <v>14</v>
      </c>
      <c r="C34" s="328" t="s">
        <v>1020</v>
      </c>
      <c r="D34" s="328" t="s">
        <v>1021</v>
      </c>
      <c r="E34" s="328" t="s">
        <v>1022</v>
      </c>
      <c r="F34" s="328" t="s">
        <v>1023</v>
      </c>
      <c r="G34" s="328" t="s">
        <v>1024</v>
      </c>
      <c r="H34" s="328" t="s">
        <v>1025</v>
      </c>
      <c r="I34" s="328" t="s">
        <v>1026</v>
      </c>
      <c r="J34" s="328" t="s">
        <v>1027</v>
      </c>
      <c r="K34" s="328" t="s">
        <v>1028</v>
      </c>
      <c r="L34" s="327" t="s">
        <v>3008</v>
      </c>
      <c r="M34" s="328"/>
    </row>
    <row r="35" spans="2:13" x14ac:dyDescent="0.2">
      <c r="B35" s="26" t="s">
        <v>281</v>
      </c>
      <c r="C35" s="328" t="s">
        <v>1029</v>
      </c>
      <c r="D35" s="328" t="s">
        <v>1030</v>
      </c>
      <c r="E35" s="328" t="s">
        <v>1031</v>
      </c>
      <c r="F35" s="328" t="s">
        <v>1032</v>
      </c>
      <c r="G35" s="328" t="s">
        <v>1033</v>
      </c>
      <c r="H35" s="328" t="s">
        <v>1034</v>
      </c>
      <c r="I35" s="328" t="s">
        <v>1035</v>
      </c>
      <c r="J35" s="328" t="s">
        <v>1036</v>
      </c>
      <c r="K35" s="328" t="s">
        <v>1037</v>
      </c>
      <c r="L35" s="327" t="s">
        <v>1032</v>
      </c>
      <c r="M35" s="328"/>
    </row>
    <row r="36" spans="2:13" x14ac:dyDescent="0.2">
      <c r="B36" s="26" t="s">
        <v>306</v>
      </c>
      <c r="C36" s="328" t="s">
        <v>1038</v>
      </c>
      <c r="D36" s="328" t="s">
        <v>1039</v>
      </c>
      <c r="E36" s="328" t="s">
        <v>1040</v>
      </c>
      <c r="F36" s="328" t="s">
        <v>1041</v>
      </c>
      <c r="G36" s="328" t="s">
        <v>1042</v>
      </c>
      <c r="H36" s="328" t="s">
        <v>1043</v>
      </c>
      <c r="I36" s="328" t="s">
        <v>1044</v>
      </c>
      <c r="J36" s="328" t="s">
        <v>1045</v>
      </c>
      <c r="K36" s="328" t="s">
        <v>1046</v>
      </c>
      <c r="L36" s="327" t="s">
        <v>3009</v>
      </c>
      <c r="M36" s="328"/>
    </row>
    <row r="37" spans="2:13" x14ac:dyDescent="0.2">
      <c r="B37" s="26" t="s">
        <v>721</v>
      </c>
      <c r="C37" s="328" t="s">
        <v>1047</v>
      </c>
      <c r="D37" s="328" t="s">
        <v>1048</v>
      </c>
      <c r="E37" s="328" t="s">
        <v>1049</v>
      </c>
      <c r="F37" s="328" t="s">
        <v>1050</v>
      </c>
      <c r="G37" s="328" t="s">
        <v>1051</v>
      </c>
      <c r="H37" s="328" t="s">
        <v>1052</v>
      </c>
      <c r="I37" s="328" t="s">
        <v>1053</v>
      </c>
      <c r="J37" s="328" t="s">
        <v>1054</v>
      </c>
      <c r="K37" s="328" t="s">
        <v>1055</v>
      </c>
      <c r="L37" s="327" t="s">
        <v>3010</v>
      </c>
      <c r="M37" s="328"/>
    </row>
    <row r="38" spans="2:13" x14ac:dyDescent="0.2">
      <c r="B38" s="26" t="s">
        <v>790</v>
      </c>
      <c r="C38" s="328" t="s">
        <v>1056</v>
      </c>
      <c r="D38" s="328" t="s">
        <v>1057</v>
      </c>
      <c r="E38" s="328" t="s">
        <v>1058</v>
      </c>
      <c r="F38" s="328" t="s">
        <v>1059</v>
      </c>
      <c r="G38" s="328" t="s">
        <v>1060</v>
      </c>
      <c r="H38" s="328" t="s">
        <v>1061</v>
      </c>
      <c r="I38" s="328" t="s">
        <v>1062</v>
      </c>
      <c r="J38" s="328" t="s">
        <v>1063</v>
      </c>
      <c r="K38" s="328" t="s">
        <v>1064</v>
      </c>
      <c r="L38" s="327" t="s">
        <v>3011</v>
      </c>
      <c r="M38" s="328"/>
    </row>
    <row r="39" spans="2:13" x14ac:dyDescent="0.2">
      <c r="B39" s="26" t="s">
        <v>791</v>
      </c>
      <c r="C39" s="328" t="s">
        <v>1065</v>
      </c>
      <c r="D39" s="328" t="s">
        <v>1066</v>
      </c>
      <c r="E39" s="328" t="s">
        <v>1067</v>
      </c>
      <c r="F39" s="328" t="s">
        <v>1068</v>
      </c>
      <c r="G39" s="328" t="s">
        <v>1069</v>
      </c>
      <c r="H39" s="328" t="s">
        <v>1070</v>
      </c>
      <c r="I39" s="328" t="s">
        <v>1071</v>
      </c>
      <c r="J39" s="328" t="s">
        <v>1072</v>
      </c>
      <c r="K39" s="328" t="s">
        <v>1073</v>
      </c>
      <c r="L39" s="327" t="s">
        <v>3012</v>
      </c>
      <c r="M39" s="328"/>
    </row>
    <row r="40" spans="2:13" x14ac:dyDescent="0.2">
      <c r="B40" s="26" t="s">
        <v>785</v>
      </c>
      <c r="C40" s="328" t="s">
        <v>1074</v>
      </c>
      <c r="D40" s="328" t="s">
        <v>1075</v>
      </c>
      <c r="E40" s="328" t="s">
        <v>1076</v>
      </c>
      <c r="F40" s="328" t="s">
        <v>1077</v>
      </c>
      <c r="G40" s="328" t="s">
        <v>1078</v>
      </c>
      <c r="H40" s="328" t="s">
        <v>1077</v>
      </c>
      <c r="I40" s="328" t="s">
        <v>1079</v>
      </c>
      <c r="J40" s="328" t="s">
        <v>1080</v>
      </c>
      <c r="K40" s="328" t="s">
        <v>4041</v>
      </c>
      <c r="L40" s="327" t="s">
        <v>3013</v>
      </c>
      <c r="M40" s="328"/>
    </row>
    <row r="41" spans="2:13" x14ac:dyDescent="0.2">
      <c r="B41" s="26" t="s">
        <v>792</v>
      </c>
      <c r="C41" s="328" t="s">
        <v>1081</v>
      </c>
      <c r="D41" s="328" t="s">
        <v>1082</v>
      </c>
      <c r="E41" s="328" t="s">
        <v>1083</v>
      </c>
      <c r="F41" s="328" t="s">
        <v>1084</v>
      </c>
      <c r="G41" s="328" t="s">
        <v>1085</v>
      </c>
      <c r="H41" s="328" t="s">
        <v>1086</v>
      </c>
      <c r="I41" s="328" t="s">
        <v>792</v>
      </c>
      <c r="J41" s="328" t="s">
        <v>1087</v>
      </c>
      <c r="K41" s="328" t="s">
        <v>1088</v>
      </c>
      <c r="L41" s="327" t="s">
        <v>3014</v>
      </c>
      <c r="M41" s="328"/>
    </row>
    <row r="42" spans="2:13" x14ac:dyDescent="0.2">
      <c r="B42" s="26" t="s">
        <v>307</v>
      </c>
      <c r="C42" s="328" t="s">
        <v>1089</v>
      </c>
      <c r="D42" s="328" t="s">
        <v>1090</v>
      </c>
      <c r="E42" s="328" t="s">
        <v>1091</v>
      </c>
      <c r="F42" s="328" t="s">
        <v>1092</v>
      </c>
      <c r="G42" s="328" t="s">
        <v>1093</v>
      </c>
      <c r="H42" s="328" t="s">
        <v>1094</v>
      </c>
      <c r="I42" s="328" t="s">
        <v>1095</v>
      </c>
      <c r="J42" s="328" t="s">
        <v>1096</v>
      </c>
      <c r="K42" s="328" t="s">
        <v>1097</v>
      </c>
      <c r="L42" s="327" t="s">
        <v>3015</v>
      </c>
      <c r="M42" s="328"/>
    </row>
    <row r="43" spans="2:13" x14ac:dyDescent="0.2">
      <c r="B43" s="26" t="s">
        <v>303</v>
      </c>
      <c r="C43" s="328" t="s">
        <v>303</v>
      </c>
      <c r="D43" s="328" t="s">
        <v>303</v>
      </c>
      <c r="E43" s="328" t="s">
        <v>1098</v>
      </c>
      <c r="F43" s="328" t="s">
        <v>1099</v>
      </c>
      <c r="G43" s="328" t="s">
        <v>1100</v>
      </c>
      <c r="H43" s="328" t="s">
        <v>1101</v>
      </c>
      <c r="I43" s="328" t="s">
        <v>303</v>
      </c>
      <c r="J43" s="328" t="s">
        <v>1102</v>
      </c>
      <c r="K43" s="328" t="s">
        <v>1103</v>
      </c>
      <c r="L43" s="327" t="s">
        <v>3016</v>
      </c>
      <c r="M43" s="328"/>
    </row>
    <row r="44" spans="2:13" x14ac:dyDescent="0.2">
      <c r="B44" s="26" t="s">
        <v>10</v>
      </c>
      <c r="C44" s="328" t="s">
        <v>1104</v>
      </c>
      <c r="D44" s="328" t="s">
        <v>1105</v>
      </c>
      <c r="E44" s="328" t="s">
        <v>1106</v>
      </c>
      <c r="F44" s="328" t="s">
        <v>1107</v>
      </c>
      <c r="G44" s="328" t="s">
        <v>1108</v>
      </c>
      <c r="H44" s="328" t="s">
        <v>1109</v>
      </c>
      <c r="I44" s="328" t="s">
        <v>1110</v>
      </c>
      <c r="J44" s="328" t="s">
        <v>1111</v>
      </c>
      <c r="K44" s="328" t="s">
        <v>1112</v>
      </c>
      <c r="L44" s="327" t="s">
        <v>3017</v>
      </c>
      <c r="M44" s="328"/>
    </row>
    <row r="45" spans="2:13" x14ac:dyDescent="0.2">
      <c r="B45" s="26" t="s">
        <v>667</v>
      </c>
      <c r="C45" s="328" t="s">
        <v>1113</v>
      </c>
      <c r="D45" s="328" t="s">
        <v>1114</v>
      </c>
      <c r="E45" s="328" t="s">
        <v>1115</v>
      </c>
      <c r="F45" s="328" t="s">
        <v>667</v>
      </c>
      <c r="G45" s="328" t="s">
        <v>1116</v>
      </c>
      <c r="H45" s="328" t="s">
        <v>1117</v>
      </c>
      <c r="I45" s="328" t="s">
        <v>667</v>
      </c>
      <c r="J45" s="328" t="s">
        <v>1118</v>
      </c>
      <c r="K45" s="328" t="s">
        <v>1119</v>
      </c>
      <c r="L45" s="327" t="s">
        <v>667</v>
      </c>
      <c r="M45" s="328"/>
    </row>
    <row r="46" spans="2:13" x14ac:dyDescent="0.2">
      <c r="B46" s="26" t="s">
        <v>15</v>
      </c>
      <c r="C46" s="328" t="s">
        <v>1120</v>
      </c>
      <c r="D46" s="328" t="s">
        <v>1121</v>
      </c>
      <c r="E46" s="328" t="s">
        <v>1122</v>
      </c>
      <c r="F46" s="328" t="s">
        <v>1123</v>
      </c>
      <c r="G46" s="328" t="s">
        <v>1124</v>
      </c>
      <c r="H46" s="328" t="s">
        <v>1125</v>
      </c>
      <c r="I46" s="328" t="s">
        <v>1126</v>
      </c>
      <c r="J46" s="328" t="s">
        <v>1127</v>
      </c>
      <c r="K46" s="328" t="s">
        <v>1128</v>
      </c>
      <c r="L46" s="327" t="s">
        <v>3018</v>
      </c>
      <c r="M46" s="328"/>
    </row>
    <row r="47" spans="2:13" x14ac:dyDescent="0.2">
      <c r="B47" s="26" t="s">
        <v>262</v>
      </c>
      <c r="C47" s="328" t="s">
        <v>1129</v>
      </c>
      <c r="D47" s="328" t="s">
        <v>1130</v>
      </c>
      <c r="E47" s="328" t="s">
        <v>1131</v>
      </c>
      <c r="F47" s="328" t="s">
        <v>1132</v>
      </c>
      <c r="G47" s="328" t="s">
        <v>1133</v>
      </c>
      <c r="H47" s="328" t="s">
        <v>1134</v>
      </c>
      <c r="I47" s="328" t="s">
        <v>1135</v>
      </c>
      <c r="J47" s="328" t="s">
        <v>1136</v>
      </c>
      <c r="K47" s="328" t="s">
        <v>1137</v>
      </c>
      <c r="L47" s="327" t="s">
        <v>3019</v>
      </c>
      <c r="M47" s="328"/>
    </row>
    <row r="48" spans="2:13" x14ac:dyDescent="0.2">
      <c r="B48" s="26" t="s">
        <v>263</v>
      </c>
      <c r="C48" s="328" t="s">
        <v>1138</v>
      </c>
      <c r="D48" s="328" t="s">
        <v>1139</v>
      </c>
      <c r="E48" s="328" t="s">
        <v>1140</v>
      </c>
      <c r="F48" s="328" t="s">
        <v>1141</v>
      </c>
      <c r="G48" s="328" t="s">
        <v>1142</v>
      </c>
      <c r="H48" s="328" t="s">
        <v>1143</v>
      </c>
      <c r="I48" s="328" t="s">
        <v>1144</v>
      </c>
      <c r="J48" s="328" t="s">
        <v>1145</v>
      </c>
      <c r="K48" s="328" t="s">
        <v>1146</v>
      </c>
      <c r="L48" s="327" t="s">
        <v>3020</v>
      </c>
      <c r="M48" s="328"/>
    </row>
    <row r="49" spans="2:13" x14ac:dyDescent="0.2">
      <c r="B49" s="26" t="s">
        <v>264</v>
      </c>
      <c r="C49" s="328" t="s">
        <v>1147</v>
      </c>
      <c r="D49" s="328" t="s">
        <v>1147</v>
      </c>
      <c r="E49" s="328" t="s">
        <v>1148</v>
      </c>
      <c r="F49" s="328" t="s">
        <v>1149</v>
      </c>
      <c r="G49" s="328" t="s">
        <v>1150</v>
      </c>
      <c r="H49" s="328" t="s">
        <v>1151</v>
      </c>
      <c r="I49" s="328" t="s">
        <v>1152</v>
      </c>
      <c r="J49" s="328" t="s">
        <v>1153</v>
      </c>
      <c r="K49" s="328" t="s">
        <v>1154</v>
      </c>
      <c r="L49" s="327" t="s">
        <v>3021</v>
      </c>
      <c r="M49" s="328"/>
    </row>
    <row r="50" spans="2:13" x14ac:dyDescent="0.2">
      <c r="B50" s="26" t="s">
        <v>265</v>
      </c>
      <c r="C50" s="328" t="s">
        <v>1155</v>
      </c>
      <c r="D50" s="328" t="s">
        <v>1155</v>
      </c>
      <c r="E50" s="328" t="s">
        <v>1156</v>
      </c>
      <c r="F50" s="328" t="s">
        <v>1157</v>
      </c>
      <c r="G50" s="328" t="s">
        <v>1158</v>
      </c>
      <c r="H50" s="328" t="s">
        <v>1159</v>
      </c>
      <c r="I50" s="328" t="s">
        <v>1160</v>
      </c>
      <c r="J50" s="328" t="s">
        <v>1161</v>
      </c>
      <c r="K50" s="328" t="s">
        <v>1162</v>
      </c>
      <c r="L50" s="327" t="s">
        <v>3022</v>
      </c>
      <c r="M50" s="328"/>
    </row>
    <row r="51" spans="2:13" x14ac:dyDescent="0.2">
      <c r="B51" s="26" t="s">
        <v>285</v>
      </c>
      <c r="C51" s="328" t="s">
        <v>1163</v>
      </c>
      <c r="D51" s="328" t="s">
        <v>1164</v>
      </c>
      <c r="E51" s="328" t="s">
        <v>1165</v>
      </c>
      <c r="F51" s="328" t="s">
        <v>1166</v>
      </c>
      <c r="G51" s="328" t="s">
        <v>1167</v>
      </c>
      <c r="H51" s="328" t="s">
        <v>1168</v>
      </c>
      <c r="I51" s="328" t="s">
        <v>1169</v>
      </c>
      <c r="J51" s="328" t="s">
        <v>1170</v>
      </c>
      <c r="K51" s="328" t="s">
        <v>1171</v>
      </c>
      <c r="L51" s="327" t="s">
        <v>3023</v>
      </c>
      <c r="M51" s="328"/>
    </row>
    <row r="52" spans="2:13" x14ac:dyDescent="0.2">
      <c r="B52" s="26" t="s">
        <v>299</v>
      </c>
      <c r="C52" s="328" t="s">
        <v>1172</v>
      </c>
      <c r="D52" s="328" t="s">
        <v>1173</v>
      </c>
      <c r="E52" s="328" t="s">
        <v>1174</v>
      </c>
      <c r="F52" s="328" t="s">
        <v>1175</v>
      </c>
      <c r="G52" s="328" t="s">
        <v>1176</v>
      </c>
      <c r="H52" s="328" t="s">
        <v>1177</v>
      </c>
      <c r="I52" s="328" t="s">
        <v>1178</v>
      </c>
      <c r="J52" s="328" t="s">
        <v>1179</v>
      </c>
      <c r="K52" s="328" t="s">
        <v>1180</v>
      </c>
      <c r="L52" s="327" t="s">
        <v>3024</v>
      </c>
      <c r="M52" s="328"/>
    </row>
    <row r="53" spans="2:13" x14ac:dyDescent="0.2">
      <c r="B53" s="26" t="s">
        <v>300</v>
      </c>
      <c r="C53" s="328" t="s">
        <v>1181</v>
      </c>
      <c r="D53" s="328" t="s">
        <v>1182</v>
      </c>
      <c r="E53" s="328" t="s">
        <v>1183</v>
      </c>
      <c r="F53" s="328" t="s">
        <v>1184</v>
      </c>
      <c r="G53" s="328" t="s">
        <v>1185</v>
      </c>
      <c r="H53" s="328" t="s">
        <v>1186</v>
      </c>
      <c r="I53" s="328" t="s">
        <v>1187</v>
      </c>
      <c r="J53" s="328" t="s">
        <v>1188</v>
      </c>
      <c r="K53" s="328" t="s">
        <v>1189</v>
      </c>
      <c r="L53" s="327" t="s">
        <v>3025</v>
      </c>
      <c r="M53" s="328"/>
    </row>
    <row r="54" spans="2:13" x14ac:dyDescent="0.2">
      <c r="B54" s="26" t="s">
        <v>301</v>
      </c>
      <c r="C54" s="328" t="s">
        <v>1190</v>
      </c>
      <c r="D54" s="328" t="s">
        <v>1191</v>
      </c>
      <c r="E54" s="328" t="s">
        <v>1192</v>
      </c>
      <c r="F54" s="328" t="s">
        <v>1193</v>
      </c>
      <c r="G54" s="328" t="s">
        <v>1194</v>
      </c>
      <c r="H54" s="328" t="s">
        <v>1195</v>
      </c>
      <c r="I54" s="328" t="s">
        <v>1196</v>
      </c>
      <c r="J54" s="328" t="s">
        <v>1197</v>
      </c>
      <c r="K54" s="328" t="s">
        <v>1198</v>
      </c>
      <c r="L54" s="327" t="s">
        <v>3026</v>
      </c>
      <c r="M54" s="328"/>
    </row>
    <row r="55" spans="2:13" x14ac:dyDescent="0.2">
      <c r="B55" s="26" t="s">
        <v>302</v>
      </c>
      <c r="C55" s="328" t="s">
        <v>1199</v>
      </c>
      <c r="D55" s="328" t="s">
        <v>1200</v>
      </c>
      <c r="E55" s="328" t="s">
        <v>1201</v>
      </c>
      <c r="F55" s="328" t="s">
        <v>1202</v>
      </c>
      <c r="G55" s="328" t="s">
        <v>1203</v>
      </c>
      <c r="H55" s="328" t="s">
        <v>1204</v>
      </c>
      <c r="I55" s="328" t="s">
        <v>1205</v>
      </c>
      <c r="J55" s="328" t="s">
        <v>1206</v>
      </c>
      <c r="K55" s="328" t="s">
        <v>1207</v>
      </c>
      <c r="L55" s="327" t="s">
        <v>3027</v>
      </c>
      <c r="M55" s="328"/>
    </row>
    <row r="56" spans="2:13" x14ac:dyDescent="0.2">
      <c r="B56" s="26" t="s">
        <v>286</v>
      </c>
      <c r="C56" s="328" t="s">
        <v>1208</v>
      </c>
      <c r="D56" s="328" t="s">
        <v>1209</v>
      </c>
      <c r="E56" s="328" t="s">
        <v>1210</v>
      </c>
      <c r="F56" s="328" t="s">
        <v>1211</v>
      </c>
      <c r="G56" s="328" t="s">
        <v>1212</v>
      </c>
      <c r="H56" s="328" t="s">
        <v>1213</v>
      </c>
      <c r="I56" s="328" t="s">
        <v>1214</v>
      </c>
      <c r="J56" s="328" t="s">
        <v>1215</v>
      </c>
      <c r="K56" s="328" t="s">
        <v>1216</v>
      </c>
      <c r="L56" s="327" t="s">
        <v>3028</v>
      </c>
      <c r="M56" s="328"/>
    </row>
    <row r="57" spans="2:13" x14ac:dyDescent="0.2">
      <c r="B57" s="26" t="s">
        <v>287</v>
      </c>
      <c r="C57" s="328" t="s">
        <v>1217</v>
      </c>
      <c r="D57" s="328" t="s">
        <v>1218</v>
      </c>
      <c r="E57" s="328" t="s">
        <v>1219</v>
      </c>
      <c r="F57" s="328" t="s">
        <v>1220</v>
      </c>
      <c r="G57" s="328" t="s">
        <v>1221</v>
      </c>
      <c r="H57" s="328" t="s">
        <v>1220</v>
      </c>
      <c r="I57" s="328" t="s">
        <v>1220</v>
      </c>
      <c r="J57" s="328" t="s">
        <v>287</v>
      </c>
      <c r="K57" s="328" t="s">
        <v>1222</v>
      </c>
      <c r="L57" s="327" t="s">
        <v>287</v>
      </c>
      <c r="M57" s="328"/>
    </row>
    <row r="58" spans="2:13" x14ac:dyDescent="0.2">
      <c r="B58" s="26" t="s">
        <v>288</v>
      </c>
      <c r="C58" s="328" t="s">
        <v>1223</v>
      </c>
      <c r="D58" s="328" t="s">
        <v>1224</v>
      </c>
      <c r="E58" s="328" t="s">
        <v>1225</v>
      </c>
      <c r="F58" s="328" t="s">
        <v>1226</v>
      </c>
      <c r="G58" s="328" t="s">
        <v>1227</v>
      </c>
      <c r="H58" s="328" t="s">
        <v>1228</v>
      </c>
      <c r="I58" s="328" t="s">
        <v>1229</v>
      </c>
      <c r="J58" s="328" t="s">
        <v>1230</v>
      </c>
      <c r="K58" s="328" t="s">
        <v>1231</v>
      </c>
      <c r="L58" s="327" t="s">
        <v>3029</v>
      </c>
      <c r="M58" s="328"/>
    </row>
    <row r="59" spans="2:13" x14ac:dyDescent="0.2">
      <c r="B59" s="26" t="s">
        <v>272</v>
      </c>
      <c r="C59" s="328" t="s">
        <v>1232</v>
      </c>
      <c r="D59" s="328" t="s">
        <v>1233</v>
      </c>
      <c r="E59" s="328" t="s">
        <v>1234</v>
      </c>
      <c r="F59" s="328" t="s">
        <v>1235</v>
      </c>
      <c r="G59" s="328" t="s">
        <v>1236</v>
      </c>
      <c r="H59" s="328" t="s">
        <v>1237</v>
      </c>
      <c r="I59" s="328" t="s">
        <v>1238</v>
      </c>
      <c r="J59" s="328" t="s">
        <v>1239</v>
      </c>
      <c r="K59" s="328" t="s">
        <v>1240</v>
      </c>
      <c r="L59" s="327" t="s">
        <v>3030</v>
      </c>
      <c r="M59" s="328"/>
    </row>
    <row r="60" spans="2:13" x14ac:dyDescent="0.2">
      <c r="B60" s="26" t="s">
        <v>0</v>
      </c>
      <c r="C60" s="328" t="s">
        <v>1241</v>
      </c>
      <c r="D60" s="328" t="s">
        <v>1242</v>
      </c>
      <c r="E60" s="328" t="s">
        <v>1243</v>
      </c>
      <c r="F60" s="328" t="s">
        <v>1244</v>
      </c>
      <c r="G60" s="328" t="s">
        <v>1245</v>
      </c>
      <c r="H60" s="328" t="s">
        <v>1246</v>
      </c>
      <c r="I60" s="328" t="s">
        <v>1247</v>
      </c>
      <c r="J60" s="328" t="s">
        <v>1248</v>
      </c>
      <c r="K60" s="328" t="s">
        <v>1249</v>
      </c>
      <c r="L60" s="327" t="s">
        <v>0</v>
      </c>
      <c r="M60" s="328"/>
    </row>
    <row r="61" spans="2:13" x14ac:dyDescent="0.2">
      <c r="B61" s="26" t="s">
        <v>275</v>
      </c>
      <c r="C61" s="328" t="s">
        <v>1250</v>
      </c>
      <c r="D61" s="328" t="s">
        <v>1251</v>
      </c>
      <c r="E61" s="328" t="s">
        <v>1252</v>
      </c>
      <c r="F61" s="328" t="s">
        <v>1253</v>
      </c>
      <c r="G61" s="328" t="s">
        <v>1254</v>
      </c>
      <c r="H61" s="328" t="s">
        <v>1255</v>
      </c>
      <c r="I61" s="328" t="s">
        <v>1256</v>
      </c>
      <c r="J61" s="328" t="s">
        <v>1257</v>
      </c>
      <c r="K61" s="328" t="s">
        <v>1258</v>
      </c>
      <c r="L61" s="327" t="s">
        <v>3031</v>
      </c>
      <c r="M61" s="328"/>
    </row>
    <row r="62" spans="2:13" x14ac:dyDescent="0.2">
      <c r="B62" s="26" t="s">
        <v>1</v>
      </c>
      <c r="C62" s="328" t="s">
        <v>1259</v>
      </c>
      <c r="D62" s="328" t="s">
        <v>1260</v>
      </c>
      <c r="E62" s="328" t="s">
        <v>1261</v>
      </c>
      <c r="F62" s="328" t="s">
        <v>1262</v>
      </c>
      <c r="G62" s="328" t="s">
        <v>1263</v>
      </c>
      <c r="H62" s="328" t="s">
        <v>1264</v>
      </c>
      <c r="I62" s="328" t="s">
        <v>1265</v>
      </c>
      <c r="J62" s="328" t="s">
        <v>1266</v>
      </c>
      <c r="K62" s="328" t="s">
        <v>1267</v>
      </c>
      <c r="L62" s="327" t="s">
        <v>3032</v>
      </c>
      <c r="M62" s="328"/>
    </row>
    <row r="63" spans="2:13" x14ac:dyDescent="0.2">
      <c r="B63" s="26" t="s">
        <v>520</v>
      </c>
      <c r="C63" s="328" t="s">
        <v>1268</v>
      </c>
      <c r="D63" s="328" t="s">
        <v>1269</v>
      </c>
      <c r="E63" s="328" t="s">
        <v>1270</v>
      </c>
      <c r="F63" s="328" t="s">
        <v>1271</v>
      </c>
      <c r="G63" s="328" t="s">
        <v>1272</v>
      </c>
      <c r="H63" s="328" t="s">
        <v>1273</v>
      </c>
      <c r="I63" s="328" t="s">
        <v>1274</v>
      </c>
      <c r="J63" s="328" t="s">
        <v>1275</v>
      </c>
      <c r="K63" s="328" t="s">
        <v>1276</v>
      </c>
      <c r="L63" s="327" t="s">
        <v>3033</v>
      </c>
      <c r="M63" s="328"/>
    </row>
    <row r="64" spans="2:13" x14ac:dyDescent="0.2">
      <c r="B64" s="26" t="s">
        <v>2</v>
      </c>
      <c r="C64" s="328" t="s">
        <v>1277</v>
      </c>
      <c r="D64" s="328" t="s">
        <v>1278</v>
      </c>
      <c r="E64" s="328" t="s">
        <v>1279</v>
      </c>
      <c r="F64" s="328" t="s">
        <v>1280</v>
      </c>
      <c r="G64" s="328" t="s">
        <v>1281</v>
      </c>
      <c r="H64" s="328" t="s">
        <v>1282</v>
      </c>
      <c r="I64" s="328" t="s">
        <v>1283</v>
      </c>
      <c r="J64" s="328" t="s">
        <v>1284</v>
      </c>
      <c r="K64" s="328" t="s">
        <v>1285</v>
      </c>
      <c r="L64" s="327" t="s">
        <v>3034</v>
      </c>
      <c r="M64" s="328"/>
    </row>
    <row r="65" spans="2:13" x14ac:dyDescent="0.2">
      <c r="B65" s="26" t="s">
        <v>9</v>
      </c>
      <c r="C65" s="328" t="s">
        <v>1286</v>
      </c>
      <c r="D65" s="328" t="s">
        <v>1287</v>
      </c>
      <c r="E65" s="328" t="s">
        <v>1288</v>
      </c>
      <c r="F65" s="328" t="s">
        <v>1289</v>
      </c>
      <c r="G65" s="328" t="s">
        <v>1290</v>
      </c>
      <c r="H65" s="328" t="s">
        <v>1291</v>
      </c>
      <c r="I65" s="328" t="s">
        <v>1292</v>
      </c>
      <c r="J65" s="328" t="s">
        <v>1293</v>
      </c>
      <c r="K65" s="328" t="s">
        <v>1294</v>
      </c>
      <c r="L65" s="327" t="s">
        <v>3035</v>
      </c>
      <c r="M65" s="328"/>
    </row>
    <row r="66" spans="2:13" x14ac:dyDescent="0.2">
      <c r="B66" s="26" t="s">
        <v>3</v>
      </c>
      <c r="C66" s="328" t="s">
        <v>1295</v>
      </c>
      <c r="D66" s="328" t="s">
        <v>1296</v>
      </c>
      <c r="E66" s="328" t="s">
        <v>1297</v>
      </c>
      <c r="F66" s="328" t="s">
        <v>1298</v>
      </c>
      <c r="G66" s="328" t="s">
        <v>1299</v>
      </c>
      <c r="H66" s="328" t="s">
        <v>1300</v>
      </c>
      <c r="I66" s="328" t="s">
        <v>1301</v>
      </c>
      <c r="J66" s="328" t="s">
        <v>1302</v>
      </c>
      <c r="K66" s="328" t="s">
        <v>1303</v>
      </c>
      <c r="L66" s="327" t="s">
        <v>3036</v>
      </c>
      <c r="M66" s="328"/>
    </row>
    <row r="67" spans="2:13" x14ac:dyDescent="0.2">
      <c r="B67" s="26" t="s">
        <v>4</v>
      </c>
      <c r="C67" s="328" t="s">
        <v>1304</v>
      </c>
      <c r="D67" s="328" t="s">
        <v>1305</v>
      </c>
      <c r="E67" s="328" t="s">
        <v>1306</v>
      </c>
      <c r="F67" s="328" t="s">
        <v>1307</v>
      </c>
      <c r="G67" s="328" t="s">
        <v>1308</v>
      </c>
      <c r="H67" s="328" t="s">
        <v>1309</v>
      </c>
      <c r="I67" s="328" t="s">
        <v>1310</v>
      </c>
      <c r="J67" s="328" t="s">
        <v>1311</v>
      </c>
      <c r="K67" s="328" t="s">
        <v>1312</v>
      </c>
      <c r="L67" s="327" t="s">
        <v>3037</v>
      </c>
      <c r="M67" s="328"/>
    </row>
    <row r="68" spans="2:13" x14ac:dyDescent="0.2">
      <c r="B68" s="26" t="s">
        <v>5</v>
      </c>
      <c r="C68" s="328" t="s">
        <v>1313</v>
      </c>
      <c r="D68" s="328" t="s">
        <v>1314</v>
      </c>
      <c r="E68" s="328" t="s">
        <v>1315</v>
      </c>
      <c r="F68" s="328" t="s">
        <v>1316</v>
      </c>
      <c r="G68" s="328" t="s">
        <v>1317</v>
      </c>
      <c r="H68" s="328" t="s">
        <v>1318</v>
      </c>
      <c r="I68" s="328" t="s">
        <v>1319</v>
      </c>
      <c r="J68" s="328" t="s">
        <v>1320</v>
      </c>
      <c r="K68" s="328" t="s">
        <v>1321</v>
      </c>
      <c r="L68" s="327" t="s">
        <v>3038</v>
      </c>
      <c r="M68" s="328"/>
    </row>
    <row r="69" spans="2:13" x14ac:dyDescent="0.2">
      <c r="B69" s="26" t="s">
        <v>289</v>
      </c>
      <c r="C69" s="328" t="s">
        <v>1322</v>
      </c>
      <c r="D69" s="328" t="s">
        <v>1323</v>
      </c>
      <c r="E69" s="328" t="s">
        <v>1324</v>
      </c>
      <c r="F69" s="328" t="s">
        <v>1325</v>
      </c>
      <c r="G69" s="328" t="s">
        <v>1326</v>
      </c>
      <c r="H69" s="328" t="s">
        <v>289</v>
      </c>
      <c r="I69" s="328" t="s">
        <v>1325</v>
      </c>
      <c r="J69" s="328" t="s">
        <v>289</v>
      </c>
      <c r="K69" s="328" t="s">
        <v>1206</v>
      </c>
      <c r="L69" s="327" t="s">
        <v>289</v>
      </c>
      <c r="M69" s="328"/>
    </row>
    <row r="70" spans="2:13" x14ac:dyDescent="0.2">
      <c r="B70" s="26" t="s">
        <v>6</v>
      </c>
      <c r="C70" s="328" t="s">
        <v>1327</v>
      </c>
      <c r="D70" s="328" t="s">
        <v>1328</v>
      </c>
      <c r="E70" s="328" t="s">
        <v>1329</v>
      </c>
      <c r="F70" s="328" t="s">
        <v>1330</v>
      </c>
      <c r="G70" s="328" t="s">
        <v>1331</v>
      </c>
      <c r="H70" s="328" t="s">
        <v>1332</v>
      </c>
      <c r="I70" s="328" t="s">
        <v>1333</v>
      </c>
      <c r="J70" s="328" t="s">
        <v>1334</v>
      </c>
      <c r="K70" s="328" t="s">
        <v>1335</v>
      </c>
      <c r="L70" s="327" t="s">
        <v>3039</v>
      </c>
      <c r="M70" s="328"/>
    </row>
    <row r="71" spans="2:13" x14ac:dyDescent="0.2">
      <c r="B71" s="26" t="s">
        <v>7</v>
      </c>
      <c r="C71" s="328" t="s">
        <v>1336</v>
      </c>
      <c r="D71" s="328" t="s">
        <v>1337</v>
      </c>
      <c r="E71" s="328" t="s">
        <v>1338</v>
      </c>
      <c r="F71" s="328" t="s">
        <v>1339</v>
      </c>
      <c r="G71" s="328" t="s">
        <v>1340</v>
      </c>
      <c r="H71" s="328" t="s">
        <v>1341</v>
      </c>
      <c r="I71" s="328" t="s">
        <v>1342</v>
      </c>
      <c r="J71" s="328" t="s">
        <v>1343</v>
      </c>
      <c r="K71" s="328" t="s">
        <v>1344</v>
      </c>
      <c r="L71" s="327" t="s">
        <v>3040</v>
      </c>
      <c r="M71" s="328"/>
    </row>
    <row r="72" spans="2:13" x14ac:dyDescent="0.2">
      <c r="B72" s="26" t="s">
        <v>8</v>
      </c>
      <c r="C72" s="328" t="s">
        <v>1345</v>
      </c>
      <c r="D72" s="328" t="s">
        <v>1346</v>
      </c>
      <c r="E72" s="328" t="s">
        <v>1347</v>
      </c>
      <c r="F72" s="328" t="s">
        <v>1348</v>
      </c>
      <c r="G72" s="328" t="s">
        <v>1349</v>
      </c>
      <c r="H72" s="328" t="s">
        <v>1350</v>
      </c>
      <c r="I72" s="328" t="s">
        <v>1351</v>
      </c>
      <c r="J72" s="328" t="s">
        <v>1352</v>
      </c>
      <c r="K72" s="328" t="s">
        <v>1353</v>
      </c>
      <c r="L72" s="327" t="s">
        <v>3041</v>
      </c>
      <c r="M72" s="328"/>
    </row>
    <row r="73" spans="2:13" x14ac:dyDescent="0.2">
      <c r="B73" s="26" t="s">
        <v>308</v>
      </c>
      <c r="C73" s="328" t="s">
        <v>1354</v>
      </c>
      <c r="D73" s="328" t="s">
        <v>1355</v>
      </c>
      <c r="E73" s="328" t="s">
        <v>1356</v>
      </c>
      <c r="F73" s="328" t="s">
        <v>1357</v>
      </c>
      <c r="G73" s="328" t="s">
        <v>1358</v>
      </c>
      <c r="H73" s="328" t="s">
        <v>1359</v>
      </c>
      <c r="I73" s="328" t="s">
        <v>1360</v>
      </c>
      <c r="J73" s="328" t="s">
        <v>1361</v>
      </c>
      <c r="K73" s="328" t="s">
        <v>1362</v>
      </c>
      <c r="L73" s="327" t="s">
        <v>3042</v>
      </c>
      <c r="M73" s="328"/>
    </row>
    <row r="74" spans="2:13" x14ac:dyDescent="0.2">
      <c r="B74" s="26" t="s">
        <v>309</v>
      </c>
      <c r="C74" s="328" t="s">
        <v>1363</v>
      </c>
      <c r="D74" s="328" t="s">
        <v>1364</v>
      </c>
      <c r="E74" s="328" t="s">
        <v>1365</v>
      </c>
      <c r="F74" s="328" t="s">
        <v>1366</v>
      </c>
      <c r="G74" s="328" t="s">
        <v>1367</v>
      </c>
      <c r="H74" s="328" t="s">
        <v>1368</v>
      </c>
      <c r="I74" s="328" t="s">
        <v>1369</v>
      </c>
      <c r="J74" s="328" t="s">
        <v>1370</v>
      </c>
      <c r="K74" s="328" t="s">
        <v>1371</v>
      </c>
      <c r="L74" s="327" t="s">
        <v>3043</v>
      </c>
      <c r="M74" s="328"/>
    </row>
    <row r="75" spans="2:13" x14ac:dyDescent="0.2">
      <c r="B75" s="26" t="s">
        <v>395</v>
      </c>
      <c r="C75" s="328" t="s">
        <v>1372</v>
      </c>
      <c r="D75" s="328" t="s">
        <v>1373</v>
      </c>
      <c r="E75" s="328" t="s">
        <v>1374</v>
      </c>
      <c r="F75" s="328" t="s">
        <v>1375</v>
      </c>
      <c r="G75" s="328" t="s">
        <v>1376</v>
      </c>
      <c r="H75" s="328" t="s">
        <v>1377</v>
      </c>
      <c r="I75" s="328" t="s">
        <v>1378</v>
      </c>
      <c r="J75" s="328" t="s">
        <v>1379</v>
      </c>
      <c r="K75" s="328" t="s">
        <v>1380</v>
      </c>
      <c r="L75" s="327" t="s">
        <v>3044</v>
      </c>
      <c r="M75" s="328"/>
    </row>
    <row r="76" spans="2:13" x14ac:dyDescent="0.2">
      <c r="B76" s="26" t="s">
        <v>411</v>
      </c>
      <c r="C76" s="328" t="s">
        <v>1381</v>
      </c>
      <c r="D76" s="328" t="s">
        <v>1382</v>
      </c>
      <c r="E76" s="328" t="s">
        <v>1383</v>
      </c>
      <c r="F76" s="328" t="s">
        <v>1384</v>
      </c>
      <c r="G76" s="328" t="s">
        <v>1385</v>
      </c>
      <c r="H76" s="328" t="s">
        <v>1386</v>
      </c>
      <c r="I76" s="328" t="s">
        <v>1387</v>
      </c>
      <c r="J76" s="328" t="s">
        <v>1388</v>
      </c>
      <c r="K76" s="328" t="s">
        <v>1389</v>
      </c>
      <c r="L76" s="327" t="s">
        <v>411</v>
      </c>
      <c r="M76" s="328"/>
    </row>
    <row r="77" spans="2:13" x14ac:dyDescent="0.2">
      <c r="B77" s="26" t="s">
        <v>396</v>
      </c>
      <c r="C77" s="328" t="s">
        <v>1390</v>
      </c>
      <c r="D77" s="328" t="s">
        <v>1391</v>
      </c>
      <c r="E77" s="328" t="s">
        <v>1392</v>
      </c>
      <c r="F77" s="328" t="s">
        <v>1393</v>
      </c>
      <c r="G77" s="328" t="s">
        <v>1394</v>
      </c>
      <c r="H77" s="328" t="s">
        <v>1395</v>
      </c>
      <c r="I77" s="328" t="s">
        <v>1396</v>
      </c>
      <c r="J77" s="328" t="s">
        <v>1397</v>
      </c>
      <c r="K77" s="328" t="s">
        <v>1398</v>
      </c>
      <c r="L77" s="327" t="s">
        <v>3045</v>
      </c>
      <c r="M77" s="328"/>
    </row>
    <row r="78" spans="2:13" x14ac:dyDescent="0.2">
      <c r="B78" s="26" t="s">
        <v>397</v>
      </c>
      <c r="C78" s="328" t="s">
        <v>1399</v>
      </c>
      <c r="D78" s="328" t="s">
        <v>1400</v>
      </c>
      <c r="E78" s="328" t="s">
        <v>1401</v>
      </c>
      <c r="F78" s="328" t="s">
        <v>1402</v>
      </c>
      <c r="G78" s="328" t="s">
        <v>1403</v>
      </c>
      <c r="H78" s="328" t="s">
        <v>1404</v>
      </c>
      <c r="I78" s="328" t="s">
        <v>1405</v>
      </c>
      <c r="J78" s="328" t="s">
        <v>1406</v>
      </c>
      <c r="K78" s="328" t="s">
        <v>1407</v>
      </c>
      <c r="L78" s="327" t="s">
        <v>3046</v>
      </c>
      <c r="M78" s="328"/>
    </row>
    <row r="79" spans="2:13" x14ac:dyDescent="0.2">
      <c r="B79" s="26" t="s">
        <v>398</v>
      </c>
      <c r="C79" s="328" t="s">
        <v>1408</v>
      </c>
      <c r="D79" s="328" t="s">
        <v>1408</v>
      </c>
      <c r="E79" s="328" t="s">
        <v>1409</v>
      </c>
      <c r="F79" s="328" t="s">
        <v>1410</v>
      </c>
      <c r="G79" s="328" t="s">
        <v>1411</v>
      </c>
      <c r="H79" s="328" t="s">
        <v>1412</v>
      </c>
      <c r="I79" s="328" t="s">
        <v>1413</v>
      </c>
      <c r="J79" s="328" t="s">
        <v>1414</v>
      </c>
      <c r="K79" s="328" t="s">
        <v>1415</v>
      </c>
      <c r="L79" s="327" t="s">
        <v>3047</v>
      </c>
      <c r="M79" s="328"/>
    </row>
    <row r="80" spans="2:13" x14ac:dyDescent="0.2">
      <c r="B80" s="26" t="s">
        <v>399</v>
      </c>
      <c r="C80" s="328" t="s">
        <v>1416</v>
      </c>
      <c r="D80" s="328" t="s">
        <v>1417</v>
      </c>
      <c r="E80" s="328" t="s">
        <v>1418</v>
      </c>
      <c r="F80" s="328" t="s">
        <v>1419</v>
      </c>
      <c r="G80" s="328" t="s">
        <v>1420</v>
      </c>
      <c r="H80" s="328" t="s">
        <v>1420</v>
      </c>
      <c r="I80" s="328" t="s">
        <v>1421</v>
      </c>
      <c r="J80" s="328" t="s">
        <v>1422</v>
      </c>
      <c r="K80" s="328" t="s">
        <v>1423</v>
      </c>
      <c r="L80" s="327" t="s">
        <v>3048</v>
      </c>
      <c r="M80" s="328"/>
    </row>
    <row r="81" spans="2:13" x14ac:dyDescent="0.2">
      <c r="B81" s="26" t="s">
        <v>4184</v>
      </c>
      <c r="C81" s="328" t="s">
        <v>4185</v>
      </c>
      <c r="D81" s="328" t="s">
        <v>4186</v>
      </c>
      <c r="E81" s="328" t="s">
        <v>4190</v>
      </c>
      <c r="F81" s="328" t="s">
        <v>4192</v>
      </c>
      <c r="G81" s="328" t="s">
        <v>4188</v>
      </c>
      <c r="H81" s="328" t="s">
        <v>4187</v>
      </c>
      <c r="I81" s="328" t="s">
        <v>4189</v>
      </c>
      <c r="J81" s="328" t="s">
        <v>4193</v>
      </c>
      <c r="K81" s="328" t="s">
        <v>4191</v>
      </c>
      <c r="L81" s="327" t="s">
        <v>4194</v>
      </c>
      <c r="M81" s="328"/>
    </row>
    <row r="82" spans="2:13" x14ac:dyDescent="0.2">
      <c r="B82" s="26" t="s">
        <v>401</v>
      </c>
      <c r="C82" s="328" t="s">
        <v>1426</v>
      </c>
      <c r="D82" s="328" t="s">
        <v>1427</v>
      </c>
      <c r="E82" s="328" t="s">
        <v>1428</v>
      </c>
      <c r="F82" s="328" t="s">
        <v>1429</v>
      </c>
      <c r="G82" s="328" t="s">
        <v>1430</v>
      </c>
      <c r="H82" s="328" t="s">
        <v>1431</v>
      </c>
      <c r="I82" s="328" t="s">
        <v>1432</v>
      </c>
      <c r="J82" s="328" t="s">
        <v>1433</v>
      </c>
      <c r="K82" s="328" t="s">
        <v>1434</v>
      </c>
      <c r="L82" s="327" t="s">
        <v>3049</v>
      </c>
      <c r="M82" s="328"/>
    </row>
    <row r="83" spans="2:13" x14ac:dyDescent="0.2">
      <c r="B83" s="26" t="s">
        <v>434</v>
      </c>
      <c r="C83" s="328" t="s">
        <v>1435</v>
      </c>
      <c r="D83" s="328" t="s">
        <v>1436</v>
      </c>
      <c r="E83" s="328" t="s">
        <v>1437</v>
      </c>
      <c r="F83" s="328" t="s">
        <v>1438</v>
      </c>
      <c r="G83" s="328" t="s">
        <v>1439</v>
      </c>
      <c r="H83" s="328" t="s">
        <v>434</v>
      </c>
      <c r="I83" s="328" t="s">
        <v>1440</v>
      </c>
      <c r="J83" s="328" t="s">
        <v>1441</v>
      </c>
      <c r="K83" s="328" t="s">
        <v>1442</v>
      </c>
      <c r="L83" s="327" t="s">
        <v>3050</v>
      </c>
      <c r="M83" s="328"/>
    </row>
    <row r="84" spans="2:13" x14ac:dyDescent="0.2">
      <c r="B84" s="26" t="s">
        <v>402</v>
      </c>
      <c r="C84" s="328" t="s">
        <v>1443</v>
      </c>
      <c r="D84" s="328" t="s">
        <v>1444</v>
      </c>
      <c r="E84" s="328" t="s">
        <v>1445</v>
      </c>
      <c r="F84" s="328" t="s">
        <v>1446</v>
      </c>
      <c r="G84" s="328" t="s">
        <v>1447</v>
      </c>
      <c r="H84" s="328" t="s">
        <v>1448</v>
      </c>
      <c r="I84" s="328" t="s">
        <v>1449</v>
      </c>
      <c r="J84" s="328" t="s">
        <v>1450</v>
      </c>
      <c r="K84" s="328" t="s">
        <v>1451</v>
      </c>
      <c r="L84" s="327" t="s">
        <v>3051</v>
      </c>
      <c r="M84" s="328"/>
    </row>
    <row r="85" spans="2:13" x14ac:dyDescent="0.2">
      <c r="B85" s="26" t="s">
        <v>403</v>
      </c>
      <c r="C85" s="328" t="s">
        <v>1452</v>
      </c>
      <c r="D85" s="328" t="s">
        <v>1452</v>
      </c>
      <c r="E85" s="328" t="s">
        <v>403</v>
      </c>
      <c r="F85" s="328" t="s">
        <v>403</v>
      </c>
      <c r="G85" s="328" t="s">
        <v>403</v>
      </c>
      <c r="H85" s="328" t="s">
        <v>403</v>
      </c>
      <c r="I85" s="328" t="s">
        <v>403</v>
      </c>
      <c r="J85" s="328" t="s">
        <v>403</v>
      </c>
      <c r="K85" s="328" t="s">
        <v>403</v>
      </c>
      <c r="L85" s="327" t="s">
        <v>3052</v>
      </c>
      <c r="M85" s="328"/>
    </row>
    <row r="86" spans="2:13" x14ac:dyDescent="0.2">
      <c r="B86" s="26" t="s">
        <v>404</v>
      </c>
      <c r="C86" s="328" t="s">
        <v>1453</v>
      </c>
      <c r="D86" s="328" t="s">
        <v>1454</v>
      </c>
      <c r="E86" s="328" t="s">
        <v>1455</v>
      </c>
      <c r="F86" s="328" t="s">
        <v>1456</v>
      </c>
      <c r="G86" s="328" t="s">
        <v>1457</v>
      </c>
      <c r="H86" s="328" t="s">
        <v>1458</v>
      </c>
      <c r="I86" s="328" t="s">
        <v>1459</v>
      </c>
      <c r="J86" s="328" t="s">
        <v>1460</v>
      </c>
      <c r="K86" s="328" t="s">
        <v>1461</v>
      </c>
      <c r="L86" s="327" t="s">
        <v>3053</v>
      </c>
      <c r="M86" s="328"/>
    </row>
    <row r="87" spans="2:13" x14ac:dyDescent="0.2">
      <c r="B87" s="26" t="s">
        <v>405</v>
      </c>
      <c r="C87" s="328" t="s">
        <v>1462</v>
      </c>
      <c r="D87" s="328" t="s">
        <v>1463</v>
      </c>
      <c r="E87" s="328" t="s">
        <v>1464</v>
      </c>
      <c r="F87" s="328" t="s">
        <v>1465</v>
      </c>
      <c r="G87" s="328" t="s">
        <v>1466</v>
      </c>
      <c r="H87" s="328" t="s">
        <v>1467</v>
      </c>
      <c r="I87" s="328" t="s">
        <v>1468</v>
      </c>
      <c r="J87" s="328" t="s">
        <v>1469</v>
      </c>
      <c r="K87" s="328" t="s">
        <v>1470</v>
      </c>
      <c r="L87" s="327" t="s">
        <v>3054</v>
      </c>
      <c r="M87" s="328"/>
    </row>
    <row r="88" spans="2:13" x14ac:dyDescent="0.2">
      <c r="B88" s="26" t="s">
        <v>406</v>
      </c>
      <c r="C88" s="328" t="s">
        <v>1471</v>
      </c>
      <c r="D88" s="328" t="s">
        <v>1472</v>
      </c>
      <c r="E88" s="328" t="s">
        <v>1473</v>
      </c>
      <c r="F88" s="328" t="s">
        <v>1474</v>
      </c>
      <c r="G88" s="328" t="s">
        <v>1475</v>
      </c>
      <c r="H88" s="328" t="s">
        <v>1476</v>
      </c>
      <c r="I88" s="328" t="s">
        <v>1477</v>
      </c>
      <c r="J88" s="328" t="s">
        <v>1478</v>
      </c>
      <c r="K88" s="328" t="s">
        <v>1479</v>
      </c>
      <c r="L88" s="327" t="s">
        <v>3055</v>
      </c>
      <c r="M88" s="328"/>
    </row>
    <row r="89" spans="2:13" x14ac:dyDescent="0.2">
      <c r="B89" s="26" t="s">
        <v>4195</v>
      </c>
      <c r="C89" s="328" t="s">
        <v>4196</v>
      </c>
      <c r="D89" s="328" t="s">
        <v>4197</v>
      </c>
      <c r="E89" s="328" t="s">
        <v>4201</v>
      </c>
      <c r="F89" s="328" t="s">
        <v>4203</v>
      </c>
      <c r="G89" s="328" t="s">
        <v>4199</v>
      </c>
      <c r="H89" s="328" t="s">
        <v>4198</v>
      </c>
      <c r="I89" s="328" t="s">
        <v>4200</v>
      </c>
      <c r="J89" s="328" t="s">
        <v>4204</v>
      </c>
      <c r="K89" s="328" t="s">
        <v>4202</v>
      </c>
      <c r="L89" s="327" t="s">
        <v>4205</v>
      </c>
      <c r="M89" s="328"/>
    </row>
    <row r="90" spans="2:13" x14ac:dyDescent="0.2">
      <c r="B90" s="26" t="s">
        <v>407</v>
      </c>
      <c r="C90" s="328" t="s">
        <v>1480</v>
      </c>
      <c r="D90" s="328" t="s">
        <v>1481</v>
      </c>
      <c r="E90" s="328" t="s">
        <v>1482</v>
      </c>
      <c r="F90" s="328" t="s">
        <v>1483</v>
      </c>
      <c r="G90" s="328" t="s">
        <v>1484</v>
      </c>
      <c r="H90" s="328" t="s">
        <v>1485</v>
      </c>
      <c r="I90" s="328" t="s">
        <v>1486</v>
      </c>
      <c r="J90" s="328" t="s">
        <v>1487</v>
      </c>
      <c r="K90" s="328" t="s">
        <v>1488</v>
      </c>
      <c r="L90" s="327" t="s">
        <v>3056</v>
      </c>
      <c r="M90" s="328"/>
    </row>
    <row r="91" spans="2:13" x14ac:dyDescent="0.2">
      <c r="B91" s="26" t="s">
        <v>408</v>
      </c>
      <c r="C91" s="328" t="s">
        <v>1489</v>
      </c>
      <c r="D91" s="328" t="s">
        <v>1490</v>
      </c>
      <c r="E91" s="328" t="s">
        <v>1491</v>
      </c>
      <c r="F91" s="328" t="s">
        <v>1492</v>
      </c>
      <c r="G91" s="328" t="s">
        <v>1493</v>
      </c>
      <c r="H91" s="328" t="s">
        <v>1494</v>
      </c>
      <c r="I91" s="328" t="s">
        <v>1495</v>
      </c>
      <c r="J91" s="328" t="s">
        <v>1496</v>
      </c>
      <c r="K91" s="328" t="s">
        <v>1497</v>
      </c>
      <c r="L91" s="327" t="s">
        <v>3057</v>
      </c>
      <c r="M91" s="328"/>
    </row>
    <row r="92" spans="2:13" x14ac:dyDescent="0.2">
      <c r="B92" s="26" t="s">
        <v>427</v>
      </c>
      <c r="C92" s="328" t="s">
        <v>1498</v>
      </c>
      <c r="D92" s="328" t="s">
        <v>1499</v>
      </c>
      <c r="E92" s="328" t="s">
        <v>1500</v>
      </c>
      <c r="F92" s="328" t="s">
        <v>1501</v>
      </c>
      <c r="G92" s="328" t="s">
        <v>1502</v>
      </c>
      <c r="H92" s="328" t="s">
        <v>1503</v>
      </c>
      <c r="I92" s="328" t="s">
        <v>1504</v>
      </c>
      <c r="J92" s="328" t="s">
        <v>1505</v>
      </c>
      <c r="K92" s="328" t="s">
        <v>1506</v>
      </c>
      <c r="L92" s="327" t="s">
        <v>3058</v>
      </c>
      <c r="M92" s="328"/>
    </row>
    <row r="93" spans="2:13" x14ac:dyDescent="0.2">
      <c r="B93" s="26" t="s">
        <v>428</v>
      </c>
      <c r="C93" s="328" t="s">
        <v>1507</v>
      </c>
      <c r="D93" s="328" t="s">
        <v>1508</v>
      </c>
      <c r="E93" s="328" t="s">
        <v>1509</v>
      </c>
      <c r="F93" s="328" t="s">
        <v>1510</v>
      </c>
      <c r="G93" s="328" t="s">
        <v>1511</v>
      </c>
      <c r="H93" s="328" t="s">
        <v>1512</v>
      </c>
      <c r="I93" s="328" t="s">
        <v>1513</v>
      </c>
      <c r="J93" s="328" t="s">
        <v>1514</v>
      </c>
      <c r="K93" s="328" t="s">
        <v>1515</v>
      </c>
      <c r="L93" s="327" t="s">
        <v>3059</v>
      </c>
      <c r="M93" s="328"/>
    </row>
    <row r="94" spans="2:13" x14ac:dyDescent="0.2">
      <c r="B94" s="26" t="s">
        <v>429</v>
      </c>
      <c r="C94" s="328" t="s">
        <v>1516</v>
      </c>
      <c r="D94" s="328" t="s">
        <v>1517</v>
      </c>
      <c r="E94" s="328" t="s">
        <v>1518</v>
      </c>
      <c r="F94" s="328" t="s">
        <v>1519</v>
      </c>
      <c r="G94" s="328" t="s">
        <v>1520</v>
      </c>
      <c r="H94" s="328" t="s">
        <v>1521</v>
      </c>
      <c r="I94" s="328" t="s">
        <v>1522</v>
      </c>
      <c r="J94" s="328" t="s">
        <v>1523</v>
      </c>
      <c r="K94" s="328" t="s">
        <v>1524</v>
      </c>
      <c r="L94" s="327" t="s">
        <v>3060</v>
      </c>
      <c r="M94" s="328"/>
    </row>
    <row r="95" spans="2:13" x14ac:dyDescent="0.2">
      <c r="B95" s="26" t="s">
        <v>430</v>
      </c>
      <c r="C95" s="328" t="s">
        <v>1525</v>
      </c>
      <c r="D95" s="328" t="s">
        <v>1526</v>
      </c>
      <c r="E95" s="328" t="s">
        <v>1527</v>
      </c>
      <c r="F95" s="328" t="s">
        <v>1528</v>
      </c>
      <c r="G95" s="328" t="s">
        <v>1529</v>
      </c>
      <c r="H95" s="328" t="s">
        <v>1530</v>
      </c>
      <c r="I95" s="328" t="s">
        <v>1531</v>
      </c>
      <c r="J95" s="328" t="s">
        <v>1532</v>
      </c>
      <c r="K95" s="328" t="s">
        <v>1533</v>
      </c>
      <c r="L95" s="327" t="s">
        <v>3061</v>
      </c>
      <c r="M95" s="328"/>
    </row>
    <row r="96" spans="2:13" x14ac:dyDescent="0.2">
      <c r="B96" s="26" t="s">
        <v>431</v>
      </c>
      <c r="C96" s="328" t="s">
        <v>1534</v>
      </c>
      <c r="D96" s="328" t="s">
        <v>1535</v>
      </c>
      <c r="E96" s="328" t="s">
        <v>1536</v>
      </c>
      <c r="F96" s="328" t="s">
        <v>1537</v>
      </c>
      <c r="G96" s="328" t="s">
        <v>1538</v>
      </c>
      <c r="H96" s="328" t="s">
        <v>1539</v>
      </c>
      <c r="I96" s="328" t="s">
        <v>1540</v>
      </c>
      <c r="J96" s="328" t="s">
        <v>1541</v>
      </c>
      <c r="K96" s="328" t="s">
        <v>1542</v>
      </c>
      <c r="L96" s="327" t="s">
        <v>3062</v>
      </c>
      <c r="M96" s="328"/>
    </row>
    <row r="97" spans="2:13" x14ac:dyDescent="0.2">
      <c r="B97" s="26" t="s">
        <v>786</v>
      </c>
      <c r="C97" s="328" t="s">
        <v>1543</v>
      </c>
      <c r="D97" s="328" t="s">
        <v>1544</v>
      </c>
      <c r="E97" s="328" t="s">
        <v>1545</v>
      </c>
      <c r="F97" s="328" t="s">
        <v>1546</v>
      </c>
      <c r="G97" s="328" t="s">
        <v>1547</v>
      </c>
      <c r="H97" s="328" t="s">
        <v>1548</v>
      </c>
      <c r="I97" s="328" t="s">
        <v>1549</v>
      </c>
      <c r="J97" s="328" t="s">
        <v>1550</v>
      </c>
      <c r="K97" s="328" t="s">
        <v>1551</v>
      </c>
      <c r="L97" s="327" t="s">
        <v>3063</v>
      </c>
      <c r="M97" s="328"/>
    </row>
    <row r="98" spans="2:13" x14ac:dyDescent="0.2">
      <c r="B98" s="26" t="s">
        <v>522</v>
      </c>
      <c r="C98" s="328" t="s">
        <v>1552</v>
      </c>
      <c r="D98" s="328" t="s">
        <v>1552</v>
      </c>
      <c r="E98" s="328" t="s">
        <v>1553</v>
      </c>
      <c r="F98" s="328" t="s">
        <v>1554</v>
      </c>
      <c r="G98" s="328" t="s">
        <v>1555</v>
      </c>
      <c r="H98" s="328" t="s">
        <v>1556</v>
      </c>
      <c r="I98" s="328" t="s">
        <v>1557</v>
      </c>
      <c r="J98" s="328" t="s">
        <v>1558</v>
      </c>
      <c r="K98" s="328" t="s">
        <v>1559</v>
      </c>
      <c r="L98" s="327" t="s">
        <v>3064</v>
      </c>
      <c r="M98" s="328"/>
    </row>
    <row r="99" spans="2:13" x14ac:dyDescent="0.2">
      <c r="B99" s="26" t="s">
        <v>432</v>
      </c>
      <c r="C99" s="328" t="s">
        <v>1560</v>
      </c>
      <c r="D99" s="328" t="s">
        <v>1561</v>
      </c>
      <c r="E99" s="328" t="s">
        <v>1562</v>
      </c>
      <c r="F99" s="328" t="s">
        <v>1563</v>
      </c>
      <c r="G99" s="328" t="s">
        <v>1564</v>
      </c>
      <c r="H99" s="328" t="s">
        <v>1565</v>
      </c>
      <c r="I99" s="328" t="s">
        <v>1566</v>
      </c>
      <c r="J99" s="328" t="s">
        <v>1567</v>
      </c>
      <c r="K99" s="328" t="s">
        <v>1568</v>
      </c>
      <c r="L99" s="327" t="s">
        <v>3065</v>
      </c>
      <c r="M99" s="328"/>
    </row>
    <row r="100" spans="2:13" x14ac:dyDescent="0.2">
      <c r="B100" s="26" t="s">
        <v>523</v>
      </c>
      <c r="C100" s="328" t="s">
        <v>1569</v>
      </c>
      <c r="D100" s="328" t="s">
        <v>1569</v>
      </c>
      <c r="E100" s="328" t="s">
        <v>1570</v>
      </c>
      <c r="F100" s="328" t="s">
        <v>1571</v>
      </c>
      <c r="G100" s="328" t="s">
        <v>1572</v>
      </c>
      <c r="H100" s="328" t="s">
        <v>1573</v>
      </c>
      <c r="I100" s="328" t="s">
        <v>1574</v>
      </c>
      <c r="J100" s="328" t="s">
        <v>1575</v>
      </c>
      <c r="K100" s="328" t="s">
        <v>1576</v>
      </c>
      <c r="L100" s="327" t="s">
        <v>3066</v>
      </c>
      <c r="M100" s="328"/>
    </row>
    <row r="101" spans="2:13" x14ac:dyDescent="0.2">
      <c r="B101" s="26" t="s">
        <v>433</v>
      </c>
      <c r="C101" s="328" t="s">
        <v>1577</v>
      </c>
      <c r="D101" s="328" t="s">
        <v>1578</v>
      </c>
      <c r="E101" s="328" t="s">
        <v>1579</v>
      </c>
      <c r="F101" s="328" t="s">
        <v>1580</v>
      </c>
      <c r="G101" s="328" t="s">
        <v>1581</v>
      </c>
      <c r="H101" s="328" t="s">
        <v>1582</v>
      </c>
      <c r="I101" s="328" t="s">
        <v>1583</v>
      </c>
      <c r="J101" s="328" t="s">
        <v>1584</v>
      </c>
      <c r="K101" s="328" t="s">
        <v>1585</v>
      </c>
      <c r="L101" s="327" t="s">
        <v>3067</v>
      </c>
      <c r="M101" s="328"/>
    </row>
    <row r="102" spans="2:13" x14ac:dyDescent="0.2">
      <c r="B102" s="26" t="s">
        <v>409</v>
      </c>
      <c r="C102" s="328" t="s">
        <v>1586</v>
      </c>
      <c r="D102" s="328" t="s">
        <v>1587</v>
      </c>
      <c r="E102" s="328" t="s">
        <v>1588</v>
      </c>
      <c r="F102" s="328" t="s">
        <v>1589</v>
      </c>
      <c r="G102" s="328" t="s">
        <v>1590</v>
      </c>
      <c r="H102" s="328" t="s">
        <v>1591</v>
      </c>
      <c r="I102" s="328" t="s">
        <v>1592</v>
      </c>
      <c r="J102" s="328" t="s">
        <v>1593</v>
      </c>
      <c r="K102" s="328" t="s">
        <v>1594</v>
      </c>
      <c r="L102" s="327" t="s">
        <v>3068</v>
      </c>
      <c r="M102" s="328"/>
    </row>
    <row r="103" spans="2:13" x14ac:dyDescent="0.2">
      <c r="B103" s="26" t="s">
        <v>410</v>
      </c>
      <c r="C103" s="328" t="s">
        <v>1595</v>
      </c>
      <c r="D103" s="328" t="s">
        <v>1596</v>
      </c>
      <c r="E103" s="328" t="s">
        <v>1597</v>
      </c>
      <c r="F103" s="328" t="s">
        <v>1598</v>
      </c>
      <c r="G103" s="328" t="s">
        <v>1599</v>
      </c>
      <c r="H103" s="328" t="s">
        <v>1600</v>
      </c>
      <c r="I103" s="328" t="s">
        <v>1601</v>
      </c>
      <c r="J103" s="328" t="s">
        <v>1602</v>
      </c>
      <c r="K103" s="328" t="s">
        <v>1603</v>
      </c>
      <c r="L103" s="327" t="s">
        <v>3069</v>
      </c>
      <c r="M103" s="328"/>
    </row>
    <row r="104" spans="2:13" x14ac:dyDescent="0.2">
      <c r="B104" s="26" t="s">
        <v>412</v>
      </c>
      <c r="C104" s="328" t="s">
        <v>1604</v>
      </c>
      <c r="D104" s="328" t="s">
        <v>1605</v>
      </c>
      <c r="E104" s="328" t="s">
        <v>1606</v>
      </c>
      <c r="F104" s="328" t="s">
        <v>1607</v>
      </c>
      <c r="G104" s="328" t="s">
        <v>1608</v>
      </c>
      <c r="H104" s="328" t="s">
        <v>1609</v>
      </c>
      <c r="I104" s="328" t="s">
        <v>1610</v>
      </c>
      <c r="J104" s="328" t="s">
        <v>1611</v>
      </c>
      <c r="K104" s="328" t="s">
        <v>1612</v>
      </c>
      <c r="L104" s="327" t="s">
        <v>3070</v>
      </c>
      <c r="M104" s="328"/>
    </row>
    <row r="105" spans="2:13" x14ac:dyDescent="0.2">
      <c r="B105" s="26" t="s">
        <v>413</v>
      </c>
      <c r="C105" s="328" t="s">
        <v>1613</v>
      </c>
      <c r="D105" s="328" t="s">
        <v>1614</v>
      </c>
      <c r="E105" s="328" t="s">
        <v>1615</v>
      </c>
      <c r="F105" s="328" t="s">
        <v>1616</v>
      </c>
      <c r="G105" s="328" t="s">
        <v>1617</v>
      </c>
      <c r="H105" s="328" t="s">
        <v>1618</v>
      </c>
      <c r="I105" s="328" t="s">
        <v>1619</v>
      </c>
      <c r="J105" s="328" t="s">
        <v>413</v>
      </c>
      <c r="K105" s="328" t="s">
        <v>1620</v>
      </c>
      <c r="L105" s="327" t="s">
        <v>3071</v>
      </c>
      <c r="M105" s="328"/>
    </row>
    <row r="106" spans="2:13" x14ac:dyDescent="0.2">
      <c r="B106" s="26" t="s">
        <v>414</v>
      </c>
      <c r="C106" s="328" t="s">
        <v>1621</v>
      </c>
      <c r="D106" s="328" t="s">
        <v>1622</v>
      </c>
      <c r="E106" s="328" t="s">
        <v>1623</v>
      </c>
      <c r="F106" s="328" t="s">
        <v>1624</v>
      </c>
      <c r="G106" s="328" t="s">
        <v>1625</v>
      </c>
      <c r="H106" s="328" t="s">
        <v>1626</v>
      </c>
      <c r="I106" s="328" t="s">
        <v>1627</v>
      </c>
      <c r="J106" s="328" t="s">
        <v>414</v>
      </c>
      <c r="K106" s="328" t="s">
        <v>1628</v>
      </c>
      <c r="L106" s="327" t="s">
        <v>3072</v>
      </c>
      <c r="M106" s="328"/>
    </row>
    <row r="107" spans="2:13" x14ac:dyDescent="0.2">
      <c r="B107" s="26" t="s">
        <v>415</v>
      </c>
      <c r="C107" s="328" t="s">
        <v>1241</v>
      </c>
      <c r="D107" s="328" t="s">
        <v>1242</v>
      </c>
      <c r="E107" s="328" t="s">
        <v>1629</v>
      </c>
      <c r="F107" s="328" t="s">
        <v>1630</v>
      </c>
      <c r="G107" s="328" t="s">
        <v>1631</v>
      </c>
      <c r="H107" s="328" t="s">
        <v>1632</v>
      </c>
      <c r="I107" s="328" t="s">
        <v>1633</v>
      </c>
      <c r="J107" s="328" t="s">
        <v>1634</v>
      </c>
      <c r="K107" s="328" t="s">
        <v>1635</v>
      </c>
      <c r="L107" s="327" t="s">
        <v>3073</v>
      </c>
      <c r="M107" s="328"/>
    </row>
    <row r="108" spans="2:13" x14ac:dyDescent="0.2">
      <c r="B108" s="26" t="s">
        <v>416</v>
      </c>
      <c r="C108" s="328" t="s">
        <v>1636</v>
      </c>
      <c r="D108" s="328" t="s">
        <v>1637</v>
      </c>
      <c r="E108" s="328" t="s">
        <v>804</v>
      </c>
      <c r="F108" s="328" t="s">
        <v>1638</v>
      </c>
      <c r="G108" s="328" t="s">
        <v>416</v>
      </c>
      <c r="H108" s="328" t="s">
        <v>1639</v>
      </c>
      <c r="I108" s="328" t="s">
        <v>1640</v>
      </c>
      <c r="J108" s="328" t="s">
        <v>1641</v>
      </c>
      <c r="K108" s="328" t="s">
        <v>1642</v>
      </c>
      <c r="L108" s="327" t="s">
        <v>3074</v>
      </c>
      <c r="M108" s="328"/>
    </row>
    <row r="109" spans="2:13" x14ac:dyDescent="0.2">
      <c r="B109" s="26" t="s">
        <v>490</v>
      </c>
      <c r="C109" s="328" t="s">
        <v>1643</v>
      </c>
      <c r="D109" s="328" t="s">
        <v>1644</v>
      </c>
      <c r="E109" s="328" t="s">
        <v>1645</v>
      </c>
      <c r="F109" s="328" t="s">
        <v>1646</v>
      </c>
      <c r="G109" s="328" t="s">
        <v>1647</v>
      </c>
      <c r="H109" s="328" t="s">
        <v>1648</v>
      </c>
      <c r="I109" s="328" t="s">
        <v>1649</v>
      </c>
      <c r="J109" s="328" t="s">
        <v>1650</v>
      </c>
      <c r="K109" s="328" t="s">
        <v>1651</v>
      </c>
      <c r="L109" s="327" t="s">
        <v>3075</v>
      </c>
      <c r="M109" s="328"/>
    </row>
    <row r="110" spans="2:13" x14ac:dyDescent="0.2">
      <c r="B110" s="26" t="s">
        <v>5524</v>
      </c>
      <c r="C110" s="328" t="s">
        <v>1652</v>
      </c>
      <c r="D110" s="328" t="s">
        <v>1653</v>
      </c>
      <c r="E110" s="328" t="s">
        <v>1654</v>
      </c>
      <c r="F110" s="328" t="s">
        <v>1655</v>
      </c>
      <c r="G110" s="328" t="s">
        <v>1656</v>
      </c>
      <c r="H110" s="328" t="s">
        <v>1657</v>
      </c>
      <c r="I110" s="328" t="s">
        <v>1658</v>
      </c>
      <c r="J110" s="328" t="s">
        <v>1659</v>
      </c>
      <c r="K110" s="328" t="s">
        <v>1660</v>
      </c>
      <c r="L110" s="327" t="s">
        <v>3076</v>
      </c>
      <c r="M110" s="328"/>
    </row>
    <row r="111" spans="2:13" x14ac:dyDescent="0.2">
      <c r="B111" s="26" t="s">
        <v>417</v>
      </c>
      <c r="C111" s="328" t="s">
        <v>1661</v>
      </c>
      <c r="D111" s="328" t="s">
        <v>1662</v>
      </c>
      <c r="E111" s="328" t="s">
        <v>456</v>
      </c>
      <c r="F111" s="328" t="s">
        <v>1663</v>
      </c>
      <c r="G111" s="328" t="s">
        <v>1664</v>
      </c>
      <c r="H111" s="328" t="s">
        <v>1665</v>
      </c>
      <c r="I111" s="328" t="s">
        <v>1666</v>
      </c>
      <c r="J111" s="328" t="s">
        <v>456</v>
      </c>
      <c r="K111" s="328" t="s">
        <v>1667</v>
      </c>
      <c r="L111" s="327" t="s">
        <v>1663</v>
      </c>
      <c r="M111" s="328"/>
    </row>
    <row r="112" spans="2:13" x14ac:dyDescent="0.2">
      <c r="B112" s="26" t="s">
        <v>722</v>
      </c>
      <c r="C112" s="328" t="s">
        <v>1668</v>
      </c>
      <c r="D112" s="328" t="s">
        <v>1669</v>
      </c>
      <c r="E112" s="328" t="s">
        <v>1670</v>
      </c>
      <c r="F112" s="328" t="s">
        <v>1671</v>
      </c>
      <c r="G112" s="328" t="s">
        <v>1672</v>
      </c>
      <c r="H112" s="328" t="s">
        <v>1673</v>
      </c>
      <c r="I112" s="328" t="s">
        <v>1674</v>
      </c>
      <c r="J112" s="328" t="s">
        <v>1675</v>
      </c>
      <c r="K112" s="328" t="s">
        <v>1676</v>
      </c>
      <c r="L112" s="327" t="s">
        <v>3077</v>
      </c>
      <c r="M112" s="328"/>
    </row>
    <row r="113" spans="2:13" x14ac:dyDescent="0.2">
      <c r="B113" s="26" t="s">
        <v>419</v>
      </c>
      <c r="C113" s="328" t="s">
        <v>1677</v>
      </c>
      <c r="D113" s="328" t="s">
        <v>1678</v>
      </c>
      <c r="E113" s="328" t="s">
        <v>1679</v>
      </c>
      <c r="F113" s="328" t="s">
        <v>1680</v>
      </c>
      <c r="G113" s="328" t="s">
        <v>1681</v>
      </c>
      <c r="H113" s="328" t="s">
        <v>1682</v>
      </c>
      <c r="I113" s="328" t="s">
        <v>1683</v>
      </c>
      <c r="J113" s="328" t="s">
        <v>1684</v>
      </c>
      <c r="K113" s="328" t="s">
        <v>1685</v>
      </c>
      <c r="L113" s="327" t="s">
        <v>3078</v>
      </c>
      <c r="M113" s="328"/>
    </row>
    <row r="114" spans="2:13" x14ac:dyDescent="0.2">
      <c r="B114" s="26" t="s">
        <v>487</v>
      </c>
      <c r="C114" s="328" t="s">
        <v>1686</v>
      </c>
      <c r="D114" s="328" t="s">
        <v>1687</v>
      </c>
      <c r="E114" s="328" t="s">
        <v>1654</v>
      </c>
      <c r="F114" s="328" t="s">
        <v>1688</v>
      </c>
      <c r="G114" s="328" t="s">
        <v>1689</v>
      </c>
      <c r="H114" s="328" t="s">
        <v>1657</v>
      </c>
      <c r="I114" s="328" t="s">
        <v>1690</v>
      </c>
      <c r="J114" s="328" t="s">
        <v>1691</v>
      </c>
      <c r="K114" s="328" t="s">
        <v>1692</v>
      </c>
      <c r="L114" s="327" t="s">
        <v>3079</v>
      </c>
      <c r="M114" s="328"/>
    </row>
    <row r="115" spans="2:13" x14ac:dyDescent="0.2">
      <c r="B115" s="26" t="s">
        <v>421</v>
      </c>
      <c r="C115" s="328" t="s">
        <v>1693</v>
      </c>
      <c r="D115" s="328" t="s">
        <v>1693</v>
      </c>
      <c r="E115" s="328" t="s">
        <v>450</v>
      </c>
      <c r="F115" s="328" t="s">
        <v>1694</v>
      </c>
      <c r="G115" s="328" t="s">
        <v>421</v>
      </c>
      <c r="H115" s="328" t="s">
        <v>421</v>
      </c>
      <c r="I115" s="328" t="s">
        <v>1695</v>
      </c>
      <c r="J115" s="328" t="s">
        <v>450</v>
      </c>
      <c r="K115" s="328" t="s">
        <v>1696</v>
      </c>
      <c r="L115" s="327" t="s">
        <v>3080</v>
      </c>
      <c r="M115" s="328"/>
    </row>
    <row r="116" spans="2:13" x14ac:dyDescent="0.2">
      <c r="B116" s="26" t="s">
        <v>318</v>
      </c>
      <c r="C116" s="328" t="s">
        <v>1697</v>
      </c>
      <c r="D116" s="328" t="s">
        <v>1698</v>
      </c>
      <c r="E116" s="328" t="s">
        <v>1699</v>
      </c>
      <c r="F116" s="328" t="s">
        <v>1700</v>
      </c>
      <c r="G116" s="328" t="s">
        <v>1701</v>
      </c>
      <c r="H116" s="328" t="s">
        <v>1702</v>
      </c>
      <c r="I116" s="328" t="s">
        <v>1703</v>
      </c>
      <c r="J116" s="328" t="s">
        <v>1704</v>
      </c>
      <c r="K116" s="328" t="s">
        <v>1705</v>
      </c>
      <c r="L116" s="327" t="s">
        <v>3081</v>
      </c>
      <c r="M116" s="328"/>
    </row>
    <row r="117" spans="2:13" x14ac:dyDescent="0.2">
      <c r="B117" s="26" t="s">
        <v>5525</v>
      </c>
      <c r="C117" s="328" t="s">
        <v>1706</v>
      </c>
      <c r="D117" s="328" t="s">
        <v>1707</v>
      </c>
      <c r="E117" s="328" t="s">
        <v>1708</v>
      </c>
      <c r="F117" s="328" t="s">
        <v>1709</v>
      </c>
      <c r="G117" s="328" t="s">
        <v>1710</v>
      </c>
      <c r="H117" s="328" t="s">
        <v>1711</v>
      </c>
      <c r="I117" s="328" t="s">
        <v>1712</v>
      </c>
      <c r="J117" s="328" t="s">
        <v>1713</v>
      </c>
      <c r="K117" s="328" t="s">
        <v>1714</v>
      </c>
      <c r="L117" s="327" t="s">
        <v>1709</v>
      </c>
      <c r="M117" s="328"/>
    </row>
    <row r="118" spans="2:13" x14ac:dyDescent="0.2">
      <c r="B118" s="26" t="s">
        <v>438</v>
      </c>
      <c r="C118" s="328" t="s">
        <v>1715</v>
      </c>
      <c r="D118" s="328" t="s">
        <v>1716</v>
      </c>
      <c r="E118" s="328" t="s">
        <v>1717</v>
      </c>
      <c r="F118" s="328" t="s">
        <v>1718</v>
      </c>
      <c r="G118" s="328" t="s">
        <v>1719</v>
      </c>
      <c r="H118" s="328" t="s">
        <v>1720</v>
      </c>
      <c r="I118" s="328" t="s">
        <v>1721</v>
      </c>
      <c r="J118" s="328" t="s">
        <v>1722</v>
      </c>
      <c r="K118" s="328" t="s">
        <v>1723</v>
      </c>
      <c r="L118" s="327" t="s">
        <v>3082</v>
      </c>
      <c r="M118" s="328"/>
    </row>
    <row r="119" spans="2:13" x14ac:dyDescent="0.2">
      <c r="B119" s="26" t="s">
        <v>439</v>
      </c>
      <c r="C119" s="328" t="s">
        <v>1724</v>
      </c>
      <c r="D119" s="328" t="s">
        <v>1725</v>
      </c>
      <c r="E119" s="328" t="s">
        <v>1726</v>
      </c>
      <c r="F119" s="328" t="s">
        <v>1727</v>
      </c>
      <c r="G119" s="328" t="s">
        <v>1728</v>
      </c>
      <c r="H119" s="328" t="s">
        <v>1729</v>
      </c>
      <c r="I119" s="328" t="s">
        <v>1730</v>
      </c>
      <c r="J119" s="328" t="s">
        <v>1731</v>
      </c>
      <c r="K119" s="328" t="s">
        <v>1732</v>
      </c>
      <c r="L119" s="327" t="s">
        <v>3083</v>
      </c>
      <c r="M119" s="328"/>
    </row>
    <row r="120" spans="2:13" x14ac:dyDescent="0.2">
      <c r="B120" s="26" t="s">
        <v>423</v>
      </c>
      <c r="C120" s="328" t="s">
        <v>1733</v>
      </c>
      <c r="D120" s="328" t="s">
        <v>1734</v>
      </c>
      <c r="E120" s="328" t="s">
        <v>1735</v>
      </c>
      <c r="F120" s="328" t="s">
        <v>1736</v>
      </c>
      <c r="G120" s="328" t="s">
        <v>1737</v>
      </c>
      <c r="H120" s="328" t="s">
        <v>1738</v>
      </c>
      <c r="I120" s="328" t="s">
        <v>1739</v>
      </c>
      <c r="J120" s="328" t="s">
        <v>1740</v>
      </c>
      <c r="K120" s="328" t="s">
        <v>1741</v>
      </c>
      <c r="L120" s="327" t="s">
        <v>3084</v>
      </c>
      <c r="M120" s="328"/>
    </row>
    <row r="121" spans="2:13" x14ac:dyDescent="0.2">
      <c r="B121" s="26" t="s">
        <v>440</v>
      </c>
      <c r="C121" s="328" t="s">
        <v>1742</v>
      </c>
      <c r="D121" s="328" t="s">
        <v>1742</v>
      </c>
      <c r="E121" s="328" t="s">
        <v>1743</v>
      </c>
      <c r="F121" s="328" t="s">
        <v>1744</v>
      </c>
      <c r="G121" s="328" t="s">
        <v>1745</v>
      </c>
      <c r="H121" s="328" t="s">
        <v>1746</v>
      </c>
      <c r="I121" s="328" t="s">
        <v>1747</v>
      </c>
      <c r="J121" s="328" t="s">
        <v>1748</v>
      </c>
      <c r="K121" s="328" t="s">
        <v>1749</v>
      </c>
      <c r="L121" s="327" t="s">
        <v>3085</v>
      </c>
      <c r="M121" s="328"/>
    </row>
    <row r="122" spans="2:13" x14ac:dyDescent="0.2">
      <c r="B122" s="26" t="s">
        <v>424</v>
      </c>
      <c r="C122" s="328" t="s">
        <v>1750</v>
      </c>
      <c r="D122" s="328" t="s">
        <v>1751</v>
      </c>
      <c r="E122" s="328" t="s">
        <v>1752</v>
      </c>
      <c r="F122" s="328" t="s">
        <v>1753</v>
      </c>
      <c r="G122" s="328" t="s">
        <v>1754</v>
      </c>
      <c r="H122" s="328" t="s">
        <v>1755</v>
      </c>
      <c r="I122" s="328" t="s">
        <v>1756</v>
      </c>
      <c r="J122" s="328" t="s">
        <v>1757</v>
      </c>
      <c r="K122" s="328" t="s">
        <v>1758</v>
      </c>
      <c r="L122" s="327" t="s">
        <v>3086</v>
      </c>
      <c r="M122" s="328"/>
    </row>
    <row r="123" spans="2:13" x14ac:dyDescent="0.2">
      <c r="B123" s="26" t="s">
        <v>441</v>
      </c>
      <c r="C123" s="328" t="s">
        <v>1759</v>
      </c>
      <c r="D123" s="328" t="s">
        <v>1760</v>
      </c>
      <c r="E123" s="328" t="s">
        <v>1761</v>
      </c>
      <c r="F123" s="328" t="s">
        <v>1762</v>
      </c>
      <c r="G123" s="328" t="s">
        <v>1763</v>
      </c>
      <c r="H123" s="328" t="s">
        <v>1764</v>
      </c>
      <c r="I123" s="328" t="s">
        <v>1765</v>
      </c>
      <c r="J123" s="328" t="s">
        <v>1766</v>
      </c>
      <c r="K123" s="328" t="s">
        <v>1767</v>
      </c>
      <c r="L123" s="327" t="s">
        <v>3087</v>
      </c>
      <c r="M123" s="328"/>
    </row>
    <row r="124" spans="2:13" x14ac:dyDescent="0.2">
      <c r="B124" s="26" t="s">
        <v>425</v>
      </c>
      <c r="C124" s="328" t="s">
        <v>1768</v>
      </c>
      <c r="D124" s="328" t="s">
        <v>1769</v>
      </c>
      <c r="E124" s="328" t="s">
        <v>1770</v>
      </c>
      <c r="F124" s="328" t="s">
        <v>1771</v>
      </c>
      <c r="G124" s="328" t="s">
        <v>1772</v>
      </c>
      <c r="H124" s="328" t="s">
        <v>1773</v>
      </c>
      <c r="I124" s="328" t="s">
        <v>1774</v>
      </c>
      <c r="J124" s="328" t="s">
        <v>1775</v>
      </c>
      <c r="K124" s="328" t="s">
        <v>1776</v>
      </c>
      <c r="L124" s="327" t="s">
        <v>3088</v>
      </c>
      <c r="M124" s="328"/>
    </row>
    <row r="125" spans="2:13" x14ac:dyDescent="0.2">
      <c r="B125" s="26" t="s">
        <v>426</v>
      </c>
      <c r="C125" s="328" t="s">
        <v>1777</v>
      </c>
      <c r="D125" s="328" t="s">
        <v>1778</v>
      </c>
      <c r="E125" s="328" t="s">
        <v>1779</v>
      </c>
      <c r="F125" s="328" t="s">
        <v>1780</v>
      </c>
      <c r="G125" s="328" t="s">
        <v>1781</v>
      </c>
      <c r="H125" s="328" t="s">
        <v>1782</v>
      </c>
      <c r="I125" s="328" t="s">
        <v>1783</v>
      </c>
      <c r="J125" s="328" t="s">
        <v>1784</v>
      </c>
      <c r="K125" s="328" t="s">
        <v>1785</v>
      </c>
      <c r="L125" s="327" t="s">
        <v>3089</v>
      </c>
      <c r="M125" s="328"/>
    </row>
    <row r="126" spans="2:13" x14ac:dyDescent="0.2">
      <c r="B126" s="26" t="s">
        <v>442</v>
      </c>
      <c r="C126" s="328" t="s">
        <v>1786</v>
      </c>
      <c r="D126" s="328" t="s">
        <v>1786</v>
      </c>
      <c r="E126" s="328" t="s">
        <v>1787</v>
      </c>
      <c r="F126" s="328" t="s">
        <v>1788</v>
      </c>
      <c r="G126" s="328" t="s">
        <v>1789</v>
      </c>
      <c r="H126" s="328" t="s">
        <v>1790</v>
      </c>
      <c r="I126" s="328" t="s">
        <v>1791</v>
      </c>
      <c r="J126" s="328" t="s">
        <v>1792</v>
      </c>
      <c r="K126" s="328" t="s">
        <v>1793</v>
      </c>
      <c r="L126" s="327" t="s">
        <v>3090</v>
      </c>
      <c r="M126" s="328"/>
    </row>
    <row r="127" spans="2:13" x14ac:dyDescent="0.2">
      <c r="B127" s="26" t="s">
        <v>443</v>
      </c>
      <c r="C127" s="328" t="s">
        <v>1794</v>
      </c>
      <c r="D127" s="328" t="s">
        <v>1795</v>
      </c>
      <c r="E127" s="328" t="s">
        <v>1796</v>
      </c>
      <c r="F127" s="328" t="s">
        <v>1797</v>
      </c>
      <c r="G127" s="328" t="s">
        <v>1798</v>
      </c>
      <c r="H127" s="328" t="s">
        <v>1799</v>
      </c>
      <c r="I127" s="328" t="s">
        <v>1800</v>
      </c>
      <c r="J127" s="328" t="s">
        <v>1801</v>
      </c>
      <c r="K127" s="328" t="s">
        <v>1802</v>
      </c>
      <c r="L127" s="327" t="s">
        <v>3091</v>
      </c>
      <c r="M127" s="328"/>
    </row>
    <row r="128" spans="2:13" x14ac:dyDescent="0.2">
      <c r="B128" s="26" t="s">
        <v>444</v>
      </c>
      <c r="C128" s="328" t="s">
        <v>1803</v>
      </c>
      <c r="D128" s="328" t="s">
        <v>1804</v>
      </c>
      <c r="E128" s="328" t="s">
        <v>1805</v>
      </c>
      <c r="F128" s="328" t="s">
        <v>1806</v>
      </c>
      <c r="G128" s="328" t="s">
        <v>1807</v>
      </c>
      <c r="H128" s="328" t="s">
        <v>1808</v>
      </c>
      <c r="I128" s="328" t="s">
        <v>1809</v>
      </c>
      <c r="J128" s="328" t="s">
        <v>1810</v>
      </c>
      <c r="K128" s="328" t="s">
        <v>1811</v>
      </c>
      <c r="L128" s="327" t="s">
        <v>3092</v>
      </c>
      <c r="M128" s="328"/>
    </row>
    <row r="129" spans="2:13" x14ac:dyDescent="0.2">
      <c r="B129" s="26" t="s">
        <v>445</v>
      </c>
      <c r="C129" s="328" t="s">
        <v>1812</v>
      </c>
      <c r="D129" s="328" t="s">
        <v>1813</v>
      </c>
      <c r="E129" s="328" t="s">
        <v>1654</v>
      </c>
      <c r="F129" s="328" t="s">
        <v>1814</v>
      </c>
      <c r="G129" s="328" t="s">
        <v>1815</v>
      </c>
      <c r="H129" s="328" t="s">
        <v>1816</v>
      </c>
      <c r="I129" s="328" t="s">
        <v>1817</v>
      </c>
      <c r="J129" s="328" t="s">
        <v>1818</v>
      </c>
      <c r="K129" s="328" t="s">
        <v>1819</v>
      </c>
      <c r="L129" s="327" t="s">
        <v>3093</v>
      </c>
      <c r="M129" s="328"/>
    </row>
    <row r="130" spans="2:13" x14ac:dyDescent="0.2">
      <c r="B130" s="26" t="s">
        <v>447</v>
      </c>
      <c r="C130" s="328" t="s">
        <v>1820</v>
      </c>
      <c r="D130" s="328" t="s">
        <v>1821</v>
      </c>
      <c r="E130" s="328" t="s">
        <v>1822</v>
      </c>
      <c r="F130" s="328" t="s">
        <v>1823</v>
      </c>
      <c r="G130" s="328" t="s">
        <v>447</v>
      </c>
      <c r="H130" s="328" t="s">
        <v>447</v>
      </c>
      <c r="I130" s="328" t="s">
        <v>1824</v>
      </c>
      <c r="J130" s="328" t="s">
        <v>1825</v>
      </c>
      <c r="K130" s="328" t="s">
        <v>1826</v>
      </c>
      <c r="L130" s="327" t="s">
        <v>3094</v>
      </c>
      <c r="M130" s="328"/>
    </row>
    <row r="131" spans="2:13" x14ac:dyDescent="0.2">
      <c r="B131" s="26" t="s">
        <v>448</v>
      </c>
      <c r="C131" s="328" t="s">
        <v>1827</v>
      </c>
      <c r="D131" s="328" t="s">
        <v>1828</v>
      </c>
      <c r="E131" s="328" t="s">
        <v>1829</v>
      </c>
      <c r="F131" s="328" t="s">
        <v>1830</v>
      </c>
      <c r="G131" s="328" t="s">
        <v>448</v>
      </c>
      <c r="H131" s="328" t="s">
        <v>1831</v>
      </c>
      <c r="I131" s="328" t="s">
        <v>1832</v>
      </c>
      <c r="J131" s="328" t="s">
        <v>1833</v>
      </c>
      <c r="K131" s="328" t="s">
        <v>1834</v>
      </c>
      <c r="L131" s="327" t="s">
        <v>3095</v>
      </c>
      <c r="M131" s="328"/>
    </row>
    <row r="132" spans="2:13" x14ac:dyDescent="0.2">
      <c r="B132" s="26" t="s">
        <v>446</v>
      </c>
      <c r="C132" s="328" t="s">
        <v>1835</v>
      </c>
      <c r="D132" s="328" t="s">
        <v>1836</v>
      </c>
      <c r="E132" s="328" t="s">
        <v>1837</v>
      </c>
      <c r="F132" s="328" t="s">
        <v>1838</v>
      </c>
      <c r="G132" s="328" t="s">
        <v>1839</v>
      </c>
      <c r="H132" s="328" t="s">
        <v>1840</v>
      </c>
      <c r="I132" s="328" t="s">
        <v>1841</v>
      </c>
      <c r="J132" s="328" t="s">
        <v>1842</v>
      </c>
      <c r="K132" s="328" t="s">
        <v>1843</v>
      </c>
      <c r="L132" s="327" t="s">
        <v>3096</v>
      </c>
      <c r="M132" s="328"/>
    </row>
    <row r="133" spans="2:13" x14ac:dyDescent="0.2">
      <c r="B133" s="26" t="s">
        <v>449</v>
      </c>
      <c r="C133" s="328" t="s">
        <v>1844</v>
      </c>
      <c r="D133" s="328" t="s">
        <v>1845</v>
      </c>
      <c r="E133" s="328" t="s">
        <v>1846</v>
      </c>
      <c r="F133" s="328" t="s">
        <v>1847</v>
      </c>
      <c r="G133" s="328" t="s">
        <v>1848</v>
      </c>
      <c r="H133" s="328" t="s">
        <v>1849</v>
      </c>
      <c r="I133" s="328" t="s">
        <v>1850</v>
      </c>
      <c r="J133" s="328" t="s">
        <v>1851</v>
      </c>
      <c r="K133" s="328" t="s">
        <v>1852</v>
      </c>
      <c r="L133" s="327" t="s">
        <v>3097</v>
      </c>
      <c r="M133" s="328"/>
    </row>
    <row r="134" spans="2:13" x14ac:dyDescent="0.2">
      <c r="B134" s="26" t="s">
        <v>723</v>
      </c>
      <c r="C134" s="328" t="s">
        <v>1853</v>
      </c>
      <c r="D134" s="328" t="s">
        <v>1854</v>
      </c>
      <c r="E134" s="328" t="s">
        <v>1855</v>
      </c>
      <c r="F134" s="328" t="s">
        <v>1856</v>
      </c>
      <c r="G134" s="328" t="s">
        <v>1857</v>
      </c>
      <c r="H134" s="328" t="s">
        <v>1858</v>
      </c>
      <c r="I134" s="328" t="s">
        <v>1859</v>
      </c>
      <c r="J134" s="328" t="s">
        <v>1860</v>
      </c>
      <c r="K134" s="328" t="s">
        <v>1861</v>
      </c>
      <c r="L134" s="327" t="s">
        <v>3098</v>
      </c>
      <c r="M134" s="328"/>
    </row>
    <row r="135" spans="2:13" x14ac:dyDescent="0.2">
      <c r="B135" s="26" t="s">
        <v>768</v>
      </c>
      <c r="C135" s="328" t="s">
        <v>1862</v>
      </c>
      <c r="D135" s="328" t="s">
        <v>1863</v>
      </c>
      <c r="E135" s="328" t="s">
        <v>1708</v>
      </c>
      <c r="F135" s="328" t="s">
        <v>1864</v>
      </c>
      <c r="G135" s="328" t="s">
        <v>1865</v>
      </c>
      <c r="H135" s="328" t="s">
        <v>1866</v>
      </c>
      <c r="I135" s="328" t="s">
        <v>1867</v>
      </c>
      <c r="J135" s="328" t="s">
        <v>1868</v>
      </c>
      <c r="K135" s="328" t="s">
        <v>1869</v>
      </c>
      <c r="L135" s="327" t="s">
        <v>2982</v>
      </c>
      <c r="M135" s="328"/>
    </row>
    <row r="136" spans="2:13" x14ac:dyDescent="0.2">
      <c r="B136" s="26" t="s">
        <v>452</v>
      </c>
      <c r="C136" s="328" t="s">
        <v>1870</v>
      </c>
      <c r="D136" s="328" t="s">
        <v>1871</v>
      </c>
      <c r="E136" s="328" t="s">
        <v>1735</v>
      </c>
      <c r="F136" s="328" t="s">
        <v>1872</v>
      </c>
      <c r="G136" s="328" t="s">
        <v>1873</v>
      </c>
      <c r="H136" s="328" t="s">
        <v>1874</v>
      </c>
      <c r="I136" s="328" t="s">
        <v>1875</v>
      </c>
      <c r="J136" s="328" t="s">
        <v>1876</v>
      </c>
      <c r="K136" s="328" t="s">
        <v>1877</v>
      </c>
      <c r="L136" s="327" t="s">
        <v>3099</v>
      </c>
      <c r="M136" s="328"/>
    </row>
    <row r="137" spans="2:13" x14ac:dyDescent="0.2">
      <c r="B137" s="26" t="s">
        <v>453</v>
      </c>
      <c r="C137" s="328" t="s">
        <v>1878</v>
      </c>
      <c r="D137" s="328" t="s">
        <v>1878</v>
      </c>
      <c r="E137" s="328" t="s">
        <v>453</v>
      </c>
      <c r="F137" s="328" t="s">
        <v>1879</v>
      </c>
      <c r="G137" s="328" t="s">
        <v>1880</v>
      </c>
      <c r="H137" s="328" t="s">
        <v>1881</v>
      </c>
      <c r="I137" s="328" t="s">
        <v>1882</v>
      </c>
      <c r="J137" s="328" t="s">
        <v>1883</v>
      </c>
      <c r="K137" s="328" t="s">
        <v>1884</v>
      </c>
      <c r="L137" s="327" t="s">
        <v>3100</v>
      </c>
      <c r="M137" s="328"/>
    </row>
    <row r="138" spans="2:13" x14ac:dyDescent="0.2">
      <c r="B138" s="26" t="s">
        <v>454</v>
      </c>
      <c r="C138" s="328" t="s">
        <v>1885</v>
      </c>
      <c r="D138" s="328" t="s">
        <v>1885</v>
      </c>
      <c r="E138" s="328" t="s">
        <v>1886</v>
      </c>
      <c r="F138" s="328" t="s">
        <v>1887</v>
      </c>
      <c r="G138" s="328" t="s">
        <v>1888</v>
      </c>
      <c r="H138" s="328" t="s">
        <v>1889</v>
      </c>
      <c r="I138" s="328" t="s">
        <v>1890</v>
      </c>
      <c r="J138" s="328" t="s">
        <v>1886</v>
      </c>
      <c r="K138" s="328" t="s">
        <v>1891</v>
      </c>
      <c r="L138" s="327" t="s">
        <v>1887</v>
      </c>
      <c r="M138" s="328"/>
    </row>
    <row r="139" spans="2:13" x14ac:dyDescent="0.2">
      <c r="B139" s="26" t="s">
        <v>455</v>
      </c>
      <c r="C139" s="328" t="s">
        <v>1878</v>
      </c>
      <c r="D139" s="328" t="s">
        <v>1878</v>
      </c>
      <c r="E139" s="328" t="s">
        <v>455</v>
      </c>
      <c r="F139" s="328" t="s">
        <v>1892</v>
      </c>
      <c r="G139" s="328" t="s">
        <v>1893</v>
      </c>
      <c r="H139" s="328" t="s">
        <v>1894</v>
      </c>
      <c r="I139" s="328" t="s">
        <v>1895</v>
      </c>
      <c r="J139" s="328" t="s">
        <v>1896</v>
      </c>
      <c r="K139" s="328" t="s">
        <v>1897</v>
      </c>
      <c r="L139" s="327" t="s">
        <v>1892</v>
      </c>
      <c r="M139" s="328"/>
    </row>
    <row r="140" spans="2:13" x14ac:dyDescent="0.2">
      <c r="B140" s="26" t="s">
        <v>521</v>
      </c>
      <c r="C140" s="328" t="s">
        <v>1898</v>
      </c>
      <c r="D140" s="328" t="s">
        <v>1898</v>
      </c>
      <c r="E140" s="328" t="s">
        <v>1899</v>
      </c>
      <c r="F140" s="328" t="s">
        <v>1900</v>
      </c>
      <c r="G140" s="328" t="s">
        <v>1901</v>
      </c>
      <c r="H140" s="328" t="s">
        <v>1902</v>
      </c>
      <c r="I140" s="328" t="s">
        <v>1903</v>
      </c>
      <c r="J140" s="328" t="s">
        <v>1904</v>
      </c>
      <c r="K140" s="328" t="s">
        <v>1905</v>
      </c>
      <c r="L140" s="327" t="s">
        <v>3101</v>
      </c>
      <c r="M140" s="328"/>
    </row>
    <row r="141" spans="2:13" x14ac:dyDescent="0.2">
      <c r="B141" s="26" t="s">
        <v>457</v>
      </c>
      <c r="C141" s="328" t="s">
        <v>1906</v>
      </c>
      <c r="D141" s="328" t="s">
        <v>1907</v>
      </c>
      <c r="E141" s="328" t="s">
        <v>1908</v>
      </c>
      <c r="F141" s="328" t="s">
        <v>1909</v>
      </c>
      <c r="G141" s="328" t="s">
        <v>1910</v>
      </c>
      <c r="H141" s="328" t="s">
        <v>1911</v>
      </c>
      <c r="I141" s="328" t="s">
        <v>1912</v>
      </c>
      <c r="J141" s="328" t="s">
        <v>1913</v>
      </c>
      <c r="K141" s="328" t="s">
        <v>1914</v>
      </c>
      <c r="L141" s="327" t="s">
        <v>3102</v>
      </c>
      <c r="M141" s="328"/>
    </row>
    <row r="142" spans="2:13" x14ac:dyDescent="0.2">
      <c r="B142" s="26" t="s">
        <v>458</v>
      </c>
      <c r="C142" s="328" t="s">
        <v>1915</v>
      </c>
      <c r="D142" s="328" t="s">
        <v>1916</v>
      </c>
      <c r="E142" s="328" t="s">
        <v>1770</v>
      </c>
      <c r="F142" s="328" t="s">
        <v>1917</v>
      </c>
      <c r="G142" s="328" t="s">
        <v>1918</v>
      </c>
      <c r="H142" s="328" t="s">
        <v>1919</v>
      </c>
      <c r="I142" s="328" t="s">
        <v>1920</v>
      </c>
      <c r="J142" s="328" t="s">
        <v>1921</v>
      </c>
      <c r="K142" s="328" t="s">
        <v>1922</v>
      </c>
      <c r="L142" s="327" t="s">
        <v>3103</v>
      </c>
      <c r="M142" s="328"/>
    </row>
    <row r="143" spans="2:13" x14ac:dyDescent="0.2">
      <c r="B143" s="26" t="s">
        <v>460</v>
      </c>
      <c r="C143" s="328" t="s">
        <v>1923</v>
      </c>
      <c r="D143" s="328" t="s">
        <v>1924</v>
      </c>
      <c r="E143" s="328" t="s">
        <v>1925</v>
      </c>
      <c r="F143" s="328" t="s">
        <v>1926</v>
      </c>
      <c r="G143" s="328" t="s">
        <v>1927</v>
      </c>
      <c r="H143" s="328" t="s">
        <v>1928</v>
      </c>
      <c r="I143" s="328" t="s">
        <v>1929</v>
      </c>
      <c r="J143" s="328" t="s">
        <v>1930</v>
      </c>
      <c r="K143" s="328" t="s">
        <v>1931</v>
      </c>
      <c r="L143" s="327" t="s">
        <v>3104</v>
      </c>
      <c r="M143" s="328"/>
    </row>
    <row r="144" spans="2:13" x14ac:dyDescent="0.2">
      <c r="B144" s="26" t="s">
        <v>461</v>
      </c>
      <c r="C144" s="328" t="s">
        <v>1932</v>
      </c>
      <c r="D144" s="328" t="s">
        <v>1933</v>
      </c>
      <c r="E144" s="328" t="s">
        <v>1934</v>
      </c>
      <c r="F144" s="328" t="s">
        <v>1935</v>
      </c>
      <c r="G144" s="328" t="s">
        <v>1936</v>
      </c>
      <c r="H144" s="328" t="s">
        <v>1937</v>
      </c>
      <c r="I144" s="328" t="s">
        <v>1938</v>
      </c>
      <c r="J144" s="328" t="s">
        <v>1939</v>
      </c>
      <c r="K144" s="328" t="s">
        <v>1940</v>
      </c>
      <c r="L144" s="327" t="s">
        <v>3105</v>
      </c>
      <c r="M144" s="328"/>
    </row>
    <row r="145" spans="2:13" x14ac:dyDescent="0.2">
      <c r="B145" s="26" t="s">
        <v>462</v>
      </c>
      <c r="C145" s="328" t="s">
        <v>1941</v>
      </c>
      <c r="D145" s="328" t="s">
        <v>1942</v>
      </c>
      <c r="E145" s="328" t="s">
        <v>1943</v>
      </c>
      <c r="F145" s="328" t="s">
        <v>1944</v>
      </c>
      <c r="G145" s="328" t="s">
        <v>1945</v>
      </c>
      <c r="H145" s="328" t="s">
        <v>1946</v>
      </c>
      <c r="I145" s="328" t="s">
        <v>1947</v>
      </c>
      <c r="J145" s="328" t="s">
        <v>1948</v>
      </c>
      <c r="K145" s="328" t="s">
        <v>1949</v>
      </c>
      <c r="L145" s="327" t="s">
        <v>3106</v>
      </c>
      <c r="M145" s="328"/>
    </row>
    <row r="146" spans="2:13" x14ac:dyDescent="0.2">
      <c r="B146" s="26" t="s">
        <v>463</v>
      </c>
      <c r="C146" s="328" t="s">
        <v>1950</v>
      </c>
      <c r="D146" s="328" t="s">
        <v>1951</v>
      </c>
      <c r="E146" s="328" t="s">
        <v>1952</v>
      </c>
      <c r="F146" s="328" t="s">
        <v>1953</v>
      </c>
      <c r="G146" s="328" t="s">
        <v>1954</v>
      </c>
      <c r="H146" s="328" t="s">
        <v>1955</v>
      </c>
      <c r="I146" s="328" t="s">
        <v>1956</v>
      </c>
      <c r="J146" s="328" t="s">
        <v>1957</v>
      </c>
      <c r="K146" s="328" t="s">
        <v>1958</v>
      </c>
      <c r="L146" s="327" t="s">
        <v>3107</v>
      </c>
      <c r="M146" s="328"/>
    </row>
    <row r="147" spans="2:13" x14ac:dyDescent="0.2">
      <c r="B147" s="26" t="s">
        <v>464</v>
      </c>
      <c r="C147" s="328" t="s">
        <v>1959</v>
      </c>
      <c r="D147" s="328" t="s">
        <v>1960</v>
      </c>
      <c r="E147" s="328" t="s">
        <v>1961</v>
      </c>
      <c r="F147" s="328" t="s">
        <v>1962</v>
      </c>
      <c r="G147" s="328" t="s">
        <v>1963</v>
      </c>
      <c r="H147" s="328" t="s">
        <v>1964</v>
      </c>
      <c r="I147" s="328" t="s">
        <v>1962</v>
      </c>
      <c r="J147" s="328" t="s">
        <v>1965</v>
      </c>
      <c r="K147" s="328" t="s">
        <v>1966</v>
      </c>
      <c r="L147" s="327" t="s">
        <v>3108</v>
      </c>
      <c r="M147" s="328"/>
    </row>
    <row r="148" spans="2:13" x14ac:dyDescent="0.2">
      <c r="B148" s="26" t="s">
        <v>465</v>
      </c>
      <c r="C148" s="328" t="s">
        <v>1967</v>
      </c>
      <c r="D148" s="328" t="s">
        <v>1968</v>
      </c>
      <c r="E148" s="328" t="s">
        <v>1969</v>
      </c>
      <c r="F148" s="328" t="s">
        <v>1970</v>
      </c>
      <c r="G148" s="328" t="s">
        <v>1971</v>
      </c>
      <c r="H148" s="328" t="s">
        <v>1972</v>
      </c>
      <c r="I148" s="328" t="s">
        <v>1973</v>
      </c>
      <c r="J148" s="328" t="s">
        <v>1974</v>
      </c>
      <c r="K148" s="328" t="s">
        <v>1975</v>
      </c>
      <c r="L148" s="327" t="s">
        <v>3109</v>
      </c>
      <c r="M148" s="328"/>
    </row>
    <row r="149" spans="2:13" x14ac:dyDescent="0.2">
      <c r="B149" s="26" t="s">
        <v>466</v>
      </c>
      <c r="C149" s="328" t="s">
        <v>1976</v>
      </c>
      <c r="D149" s="328" t="s">
        <v>1977</v>
      </c>
      <c r="E149" s="328" t="s">
        <v>1978</v>
      </c>
      <c r="F149" s="328" t="s">
        <v>1979</v>
      </c>
      <c r="G149" s="328" t="s">
        <v>1980</v>
      </c>
      <c r="H149" s="328" t="s">
        <v>1981</v>
      </c>
      <c r="I149" s="328" t="s">
        <v>1982</v>
      </c>
      <c r="J149" s="328" t="s">
        <v>1983</v>
      </c>
      <c r="K149" s="328" t="s">
        <v>1984</v>
      </c>
      <c r="L149" s="327" t="s">
        <v>3110</v>
      </c>
      <c r="M149" s="328"/>
    </row>
    <row r="150" spans="2:13" x14ac:dyDescent="0.2">
      <c r="B150" s="26" t="s">
        <v>493</v>
      </c>
      <c r="C150" s="328" t="s">
        <v>1985</v>
      </c>
      <c r="D150" s="328" t="s">
        <v>1986</v>
      </c>
      <c r="E150" s="328" t="s">
        <v>1987</v>
      </c>
      <c r="F150" s="328" t="s">
        <v>1988</v>
      </c>
      <c r="G150" s="328" t="s">
        <v>1989</v>
      </c>
      <c r="H150" s="328" t="s">
        <v>1990</v>
      </c>
      <c r="I150" s="328" t="s">
        <v>1991</v>
      </c>
      <c r="J150" s="328" t="s">
        <v>1992</v>
      </c>
      <c r="K150" s="328" t="s">
        <v>1993</v>
      </c>
      <c r="L150" s="327" t="s">
        <v>3111</v>
      </c>
      <c r="M150" s="328"/>
    </row>
    <row r="151" spans="2:13" x14ac:dyDescent="0.2">
      <c r="B151" s="26" t="s">
        <v>494</v>
      </c>
      <c r="C151" s="328" t="s">
        <v>1994</v>
      </c>
      <c r="D151" s="328" t="s">
        <v>1995</v>
      </c>
      <c r="E151" s="328" t="s">
        <v>1996</v>
      </c>
      <c r="F151" s="328" t="s">
        <v>1997</v>
      </c>
      <c r="G151" s="328" t="s">
        <v>1998</v>
      </c>
      <c r="H151" s="328" t="s">
        <v>1999</v>
      </c>
      <c r="I151" s="328" t="s">
        <v>2000</v>
      </c>
      <c r="J151" s="328" t="s">
        <v>2001</v>
      </c>
      <c r="K151" s="328" t="s">
        <v>2002</v>
      </c>
      <c r="L151" s="327" t="s">
        <v>3112</v>
      </c>
      <c r="M151" s="328"/>
    </row>
    <row r="152" spans="2:13" x14ac:dyDescent="0.2">
      <c r="B152" s="26" t="s">
        <v>467</v>
      </c>
      <c r="C152" s="328" t="s">
        <v>2003</v>
      </c>
      <c r="D152" s="328" t="s">
        <v>2004</v>
      </c>
      <c r="E152" s="328" t="s">
        <v>2005</v>
      </c>
      <c r="F152" s="328" t="s">
        <v>2006</v>
      </c>
      <c r="G152" s="328" t="s">
        <v>2007</v>
      </c>
      <c r="H152" s="328" t="s">
        <v>2008</v>
      </c>
      <c r="I152" s="328" t="s">
        <v>2009</v>
      </c>
      <c r="J152" s="328" t="s">
        <v>2010</v>
      </c>
      <c r="K152" s="328" t="s">
        <v>2011</v>
      </c>
      <c r="L152" s="327" t="s">
        <v>3113</v>
      </c>
      <c r="M152" s="328"/>
    </row>
    <row r="153" spans="2:13" x14ac:dyDescent="0.2">
      <c r="B153" s="26" t="s">
        <v>468</v>
      </c>
      <c r="C153" s="328" t="s">
        <v>2012</v>
      </c>
      <c r="D153" s="328" t="s">
        <v>2013</v>
      </c>
      <c r="E153" s="328" t="s">
        <v>2014</v>
      </c>
      <c r="F153" s="328" t="s">
        <v>2015</v>
      </c>
      <c r="G153" s="328" t="s">
        <v>2016</v>
      </c>
      <c r="H153" s="328" t="s">
        <v>2017</v>
      </c>
      <c r="I153" s="328" t="s">
        <v>2018</v>
      </c>
      <c r="J153" s="328" t="s">
        <v>2019</v>
      </c>
      <c r="K153" s="328" t="s">
        <v>2020</v>
      </c>
      <c r="L153" s="327" t="s">
        <v>3114</v>
      </c>
      <c r="M153" s="328"/>
    </row>
    <row r="154" spans="2:13" x14ac:dyDescent="0.2">
      <c r="B154" s="26" t="s">
        <v>469</v>
      </c>
      <c r="C154" s="328" t="s">
        <v>2021</v>
      </c>
      <c r="D154" s="328" t="s">
        <v>2022</v>
      </c>
      <c r="E154" s="328" t="s">
        <v>2023</v>
      </c>
      <c r="F154" s="328" t="s">
        <v>2024</v>
      </c>
      <c r="G154" s="328" t="s">
        <v>2025</v>
      </c>
      <c r="H154" s="328" t="s">
        <v>2026</v>
      </c>
      <c r="I154" s="328" t="s">
        <v>2027</v>
      </c>
      <c r="J154" s="328" t="s">
        <v>2028</v>
      </c>
      <c r="K154" s="328" t="s">
        <v>2029</v>
      </c>
      <c r="L154" s="327" t="s">
        <v>3115</v>
      </c>
      <c r="M154" s="328"/>
    </row>
    <row r="155" spans="2:13" x14ac:dyDescent="0.2">
      <c r="B155" s="26" t="s">
        <v>470</v>
      </c>
      <c r="C155" s="328" t="s">
        <v>2030</v>
      </c>
      <c r="D155" s="328" t="s">
        <v>2031</v>
      </c>
      <c r="E155" s="328" t="s">
        <v>2032</v>
      </c>
      <c r="F155" s="328" t="s">
        <v>2033</v>
      </c>
      <c r="G155" s="328" t="s">
        <v>2034</v>
      </c>
      <c r="H155" s="328" t="s">
        <v>2035</v>
      </c>
      <c r="I155" s="328" t="s">
        <v>2036</v>
      </c>
      <c r="J155" s="328" t="s">
        <v>2037</v>
      </c>
      <c r="K155" s="328" t="s">
        <v>2038</v>
      </c>
      <c r="L155" s="327" t="s">
        <v>3116</v>
      </c>
      <c r="M155" s="328"/>
    </row>
    <row r="156" spans="2:13" x14ac:dyDescent="0.2">
      <c r="B156" s="26" t="s">
        <v>471</v>
      </c>
      <c r="C156" s="328" t="s">
        <v>2039</v>
      </c>
      <c r="D156" s="328" t="s">
        <v>2040</v>
      </c>
      <c r="E156" s="328" t="s">
        <v>2041</v>
      </c>
      <c r="F156" s="328" t="s">
        <v>2042</v>
      </c>
      <c r="G156" s="328" t="s">
        <v>2043</v>
      </c>
      <c r="H156" s="328" t="s">
        <v>2044</v>
      </c>
      <c r="I156" s="328" t="s">
        <v>2045</v>
      </c>
      <c r="J156" s="328" t="s">
        <v>2046</v>
      </c>
      <c r="K156" s="328" t="s">
        <v>2047</v>
      </c>
      <c r="L156" s="327" t="s">
        <v>3117</v>
      </c>
      <c r="M156" s="328"/>
    </row>
    <row r="157" spans="2:13" x14ac:dyDescent="0.2">
      <c r="B157" s="26" t="s">
        <v>496</v>
      </c>
      <c r="C157" s="328" t="s">
        <v>2048</v>
      </c>
      <c r="D157" s="328" t="s">
        <v>2049</v>
      </c>
      <c r="E157" s="328" t="s">
        <v>2050</v>
      </c>
      <c r="F157" s="328" t="s">
        <v>2051</v>
      </c>
      <c r="G157" s="328" t="s">
        <v>2052</v>
      </c>
      <c r="H157" s="328" t="s">
        <v>2053</v>
      </c>
      <c r="I157" s="328" t="s">
        <v>2054</v>
      </c>
      <c r="J157" s="328" t="s">
        <v>2055</v>
      </c>
      <c r="K157" s="328" t="s">
        <v>2056</v>
      </c>
      <c r="L157" s="327" t="s">
        <v>3118</v>
      </c>
      <c r="M157" s="328"/>
    </row>
    <row r="158" spans="2:13" x14ac:dyDescent="0.2">
      <c r="B158" s="26" t="s">
        <v>497</v>
      </c>
      <c r="C158" s="328" t="s">
        <v>2057</v>
      </c>
      <c r="D158" s="328" t="s">
        <v>2058</v>
      </c>
      <c r="E158" s="328" t="s">
        <v>2059</v>
      </c>
      <c r="F158" s="328" t="s">
        <v>2060</v>
      </c>
      <c r="G158" s="328" t="s">
        <v>2061</v>
      </c>
      <c r="H158" s="328" t="s">
        <v>2062</v>
      </c>
      <c r="I158" s="328" t="s">
        <v>2063</v>
      </c>
      <c r="J158" s="328" t="s">
        <v>2064</v>
      </c>
      <c r="K158" s="328" t="s">
        <v>2065</v>
      </c>
      <c r="L158" s="327" t="s">
        <v>3119</v>
      </c>
      <c r="M158" s="328"/>
    </row>
    <row r="159" spans="2:13" x14ac:dyDescent="0.2">
      <c r="B159" s="26" t="s">
        <v>787</v>
      </c>
      <c r="C159" s="328" t="s">
        <v>2066</v>
      </c>
      <c r="D159" s="328" t="s">
        <v>2067</v>
      </c>
      <c r="E159" s="328" t="s">
        <v>2068</v>
      </c>
      <c r="F159" s="328" t="s">
        <v>2069</v>
      </c>
      <c r="G159" s="328" t="s">
        <v>2070</v>
      </c>
      <c r="H159" s="328" t="s">
        <v>2071</v>
      </c>
      <c r="I159" s="328" t="s">
        <v>2072</v>
      </c>
      <c r="J159" s="328" t="s">
        <v>2073</v>
      </c>
      <c r="K159" s="328" t="s">
        <v>2074</v>
      </c>
      <c r="L159" s="327" t="s">
        <v>3120</v>
      </c>
      <c r="M159" s="328"/>
    </row>
    <row r="160" spans="2:13" x14ac:dyDescent="0.2">
      <c r="B160" s="26" t="s">
        <v>499</v>
      </c>
      <c r="C160" s="328" t="s">
        <v>2075</v>
      </c>
      <c r="D160" s="328" t="s">
        <v>2076</v>
      </c>
      <c r="E160" s="328" t="s">
        <v>2077</v>
      </c>
      <c r="F160" s="328" t="s">
        <v>2078</v>
      </c>
      <c r="G160" s="328" t="s">
        <v>2079</v>
      </c>
      <c r="H160" s="328" t="s">
        <v>2080</v>
      </c>
      <c r="I160" s="328" t="s">
        <v>2081</v>
      </c>
      <c r="J160" s="328" t="s">
        <v>2082</v>
      </c>
      <c r="K160" s="328" t="s">
        <v>2083</v>
      </c>
      <c r="L160" s="327" t="s">
        <v>3121</v>
      </c>
      <c r="M160" s="328"/>
    </row>
    <row r="161" spans="2:13" x14ac:dyDescent="0.2">
      <c r="B161" s="26" t="s">
        <v>472</v>
      </c>
      <c r="C161" s="328" t="s">
        <v>2084</v>
      </c>
      <c r="D161" s="328" t="s">
        <v>2085</v>
      </c>
      <c r="E161" s="328" t="s">
        <v>2086</v>
      </c>
      <c r="F161" s="328" t="s">
        <v>2087</v>
      </c>
      <c r="G161" s="328" t="s">
        <v>2088</v>
      </c>
      <c r="H161" s="328" t="s">
        <v>2089</v>
      </c>
      <c r="I161" s="328" t="s">
        <v>2090</v>
      </c>
      <c r="J161" s="328" t="s">
        <v>2091</v>
      </c>
      <c r="K161" s="328" t="s">
        <v>2092</v>
      </c>
      <c r="L161" s="327" t="s">
        <v>3122</v>
      </c>
      <c r="M161" s="328"/>
    </row>
    <row r="162" spans="2:13" x14ac:dyDescent="0.2">
      <c r="B162" s="26" t="s">
        <v>760</v>
      </c>
      <c r="C162" s="328" t="s">
        <v>2093</v>
      </c>
      <c r="D162" s="328" t="s">
        <v>2094</v>
      </c>
      <c r="E162" s="328" t="s">
        <v>2095</v>
      </c>
      <c r="F162" s="328" t="s">
        <v>2096</v>
      </c>
      <c r="G162" s="328" t="s">
        <v>2097</v>
      </c>
      <c r="H162" s="328" t="s">
        <v>2098</v>
      </c>
      <c r="I162" s="328" t="s">
        <v>2099</v>
      </c>
      <c r="J162" s="328" t="s">
        <v>2100</v>
      </c>
      <c r="K162" s="328" t="s">
        <v>2101</v>
      </c>
      <c r="L162" s="327" t="s">
        <v>3123</v>
      </c>
      <c r="M162" s="328"/>
    </row>
    <row r="163" spans="2:13" x14ac:dyDescent="0.2">
      <c r="B163" s="26" t="s">
        <v>724</v>
      </c>
      <c r="C163" s="328" t="s">
        <v>2102</v>
      </c>
      <c r="D163" s="328" t="s">
        <v>2103</v>
      </c>
      <c r="E163" s="328" t="s">
        <v>2104</v>
      </c>
      <c r="F163" s="328" t="s">
        <v>2105</v>
      </c>
      <c r="G163" s="328" t="s">
        <v>2106</v>
      </c>
      <c r="H163" s="328" t="s">
        <v>2105</v>
      </c>
      <c r="I163" s="328" t="s">
        <v>2105</v>
      </c>
      <c r="J163" s="328" t="s">
        <v>724</v>
      </c>
      <c r="K163" s="328" t="s">
        <v>724</v>
      </c>
      <c r="L163" s="327" t="s">
        <v>724</v>
      </c>
      <c r="M163" s="328"/>
    </row>
    <row r="164" spans="2:13" x14ac:dyDescent="0.2">
      <c r="B164" s="26" t="s">
        <v>725</v>
      </c>
      <c r="C164" s="328" t="s">
        <v>2107</v>
      </c>
      <c r="D164" s="328" t="s">
        <v>2108</v>
      </c>
      <c r="E164" s="328" t="s">
        <v>2109</v>
      </c>
      <c r="F164" s="328" t="s">
        <v>2110</v>
      </c>
      <c r="G164" s="328" t="s">
        <v>2111</v>
      </c>
      <c r="H164" s="328" t="s">
        <v>2110</v>
      </c>
      <c r="I164" s="328" t="s">
        <v>2110</v>
      </c>
      <c r="J164" s="328" t="s">
        <v>725</v>
      </c>
      <c r="K164" s="328" t="s">
        <v>725</v>
      </c>
      <c r="L164" s="327" t="s">
        <v>725</v>
      </c>
      <c r="M164" s="328"/>
    </row>
    <row r="165" spans="2:13" x14ac:dyDescent="0.2">
      <c r="B165" s="26" t="s">
        <v>287</v>
      </c>
      <c r="C165" s="328" t="s">
        <v>1217</v>
      </c>
      <c r="D165" s="328" t="s">
        <v>1218</v>
      </c>
      <c r="E165" s="328" t="s">
        <v>1219</v>
      </c>
      <c r="F165" s="328" t="s">
        <v>1220</v>
      </c>
      <c r="G165" s="328" t="s">
        <v>1221</v>
      </c>
      <c r="H165" s="328" t="s">
        <v>1220</v>
      </c>
      <c r="I165" s="328" t="s">
        <v>1220</v>
      </c>
      <c r="J165" s="328" t="s">
        <v>287</v>
      </c>
      <c r="K165" s="328" t="s">
        <v>1222</v>
      </c>
      <c r="L165" s="327" t="s">
        <v>287</v>
      </c>
      <c r="M165" s="328"/>
    </row>
    <row r="166" spans="2:13" x14ac:dyDescent="0.2">
      <c r="B166" s="26" t="s">
        <v>726</v>
      </c>
      <c r="C166" s="328" t="s">
        <v>2112</v>
      </c>
      <c r="D166" s="328" t="s">
        <v>2113</v>
      </c>
      <c r="E166" s="328" t="s">
        <v>2114</v>
      </c>
      <c r="F166" s="328" t="s">
        <v>2115</v>
      </c>
      <c r="G166" s="328" t="s">
        <v>2116</v>
      </c>
      <c r="H166" s="328" t="s">
        <v>2117</v>
      </c>
      <c r="I166" s="328" t="s">
        <v>2118</v>
      </c>
      <c r="J166" s="328" t="s">
        <v>2119</v>
      </c>
      <c r="K166" s="328" t="s">
        <v>2120</v>
      </c>
      <c r="L166" s="327" t="s">
        <v>3124</v>
      </c>
      <c r="M166" s="328"/>
    </row>
    <row r="167" spans="2:13" x14ac:dyDescent="0.2">
      <c r="B167" s="26" t="s">
        <v>727</v>
      </c>
      <c r="C167" s="328" t="s">
        <v>2121</v>
      </c>
      <c r="D167" s="328" t="s">
        <v>2122</v>
      </c>
      <c r="E167" s="328" t="s">
        <v>2123</v>
      </c>
      <c r="F167" s="328" t="s">
        <v>2124</v>
      </c>
      <c r="G167" s="328" t="s">
        <v>2125</v>
      </c>
      <c r="H167" s="328" t="s">
        <v>2126</v>
      </c>
      <c r="I167" s="328" t="s">
        <v>2127</v>
      </c>
      <c r="J167" s="328" t="s">
        <v>2128</v>
      </c>
      <c r="K167" s="328" t="s">
        <v>2129</v>
      </c>
      <c r="L167" s="327" t="s">
        <v>3125</v>
      </c>
      <c r="M167" s="328"/>
    </row>
    <row r="168" spans="2:13" x14ac:dyDescent="0.2">
      <c r="B168" s="26" t="s">
        <v>726</v>
      </c>
      <c r="C168" s="328" t="s">
        <v>2112</v>
      </c>
      <c r="D168" s="328" t="s">
        <v>2113</v>
      </c>
      <c r="E168" s="328" t="s">
        <v>2114</v>
      </c>
      <c r="F168" s="328" t="s">
        <v>2115</v>
      </c>
      <c r="G168" s="328" t="s">
        <v>2116</v>
      </c>
      <c r="H168" s="328" t="s">
        <v>2117</v>
      </c>
      <c r="I168" s="328" t="s">
        <v>2118</v>
      </c>
      <c r="J168" s="328" t="s">
        <v>2119</v>
      </c>
      <c r="K168" s="328" t="s">
        <v>2120</v>
      </c>
      <c r="L168" s="327" t="s">
        <v>3124</v>
      </c>
      <c r="M168" s="328"/>
    </row>
    <row r="169" spans="2:13" x14ac:dyDescent="0.2">
      <c r="B169" s="26" t="s">
        <v>727</v>
      </c>
      <c r="C169" s="328" t="s">
        <v>2121</v>
      </c>
      <c r="D169" s="328" t="s">
        <v>2122</v>
      </c>
      <c r="E169" s="328" t="s">
        <v>2123</v>
      </c>
      <c r="F169" s="328" t="s">
        <v>2124</v>
      </c>
      <c r="G169" s="328" t="s">
        <v>2125</v>
      </c>
      <c r="H169" s="328" t="s">
        <v>2126</v>
      </c>
      <c r="I169" s="328" t="s">
        <v>2127</v>
      </c>
      <c r="J169" s="328" t="s">
        <v>2128</v>
      </c>
      <c r="K169" s="328" t="s">
        <v>2129</v>
      </c>
      <c r="L169" s="327" t="s">
        <v>3125</v>
      </c>
      <c r="M169" s="328"/>
    </row>
    <row r="170" spans="2:13" x14ac:dyDescent="0.2">
      <c r="B170" s="26" t="s">
        <v>283</v>
      </c>
      <c r="C170" s="328" t="s">
        <v>2130</v>
      </c>
      <c r="D170" s="328" t="s">
        <v>2131</v>
      </c>
      <c r="E170" s="328" t="s">
        <v>2130</v>
      </c>
      <c r="F170" s="328" t="s">
        <v>2132</v>
      </c>
      <c r="G170" s="328" t="s">
        <v>2133</v>
      </c>
      <c r="H170" s="328" t="s">
        <v>2134</v>
      </c>
      <c r="I170" s="328" t="s">
        <v>2135</v>
      </c>
      <c r="J170" s="328" t="s">
        <v>2136</v>
      </c>
      <c r="K170" s="328" t="s">
        <v>2259</v>
      </c>
      <c r="L170" s="327" t="s">
        <v>3126</v>
      </c>
      <c r="M170" s="328"/>
    </row>
    <row r="171" spans="2:13" x14ac:dyDescent="0.2">
      <c r="B171" s="26" t="s">
        <v>728</v>
      </c>
      <c r="C171" s="328" t="s">
        <v>2137</v>
      </c>
      <c r="D171" s="328" t="s">
        <v>2138</v>
      </c>
      <c r="E171" s="328" t="s">
        <v>2139</v>
      </c>
      <c r="F171" s="328" t="s">
        <v>2140</v>
      </c>
      <c r="G171" s="328" t="s">
        <v>2141</v>
      </c>
      <c r="H171" s="328" t="s">
        <v>2142</v>
      </c>
      <c r="I171" s="328" t="s">
        <v>2143</v>
      </c>
      <c r="J171" s="328" t="s">
        <v>2144</v>
      </c>
      <c r="K171" s="328" t="s">
        <v>2145</v>
      </c>
      <c r="L171" s="327" t="s">
        <v>3127</v>
      </c>
      <c r="M171" s="328"/>
    </row>
    <row r="172" spans="2:13" x14ac:dyDescent="0.2">
      <c r="B172" s="26" t="s">
        <v>769</v>
      </c>
      <c r="C172" s="328" t="s">
        <v>2146</v>
      </c>
      <c r="D172" s="328" t="s">
        <v>2147</v>
      </c>
      <c r="E172" s="328" t="s">
        <v>2148</v>
      </c>
      <c r="F172" s="328" t="s">
        <v>2149</v>
      </c>
      <c r="G172" s="328" t="s">
        <v>2150</v>
      </c>
      <c r="H172" s="328" t="s">
        <v>2151</v>
      </c>
      <c r="I172" s="328" t="s">
        <v>2152</v>
      </c>
      <c r="J172" s="328" t="s">
        <v>2153</v>
      </c>
      <c r="K172" s="328" t="s">
        <v>2154</v>
      </c>
      <c r="L172" s="327" t="s">
        <v>3128</v>
      </c>
      <c r="M172" s="328"/>
    </row>
    <row r="173" spans="2:13" x14ac:dyDescent="0.2">
      <c r="B173" s="26" t="s">
        <v>16</v>
      </c>
      <c r="C173" s="328" t="s">
        <v>2155</v>
      </c>
      <c r="D173" s="328" t="s">
        <v>2156</v>
      </c>
      <c r="E173" s="328" t="s">
        <v>2157</v>
      </c>
      <c r="F173" s="328" t="s">
        <v>2158</v>
      </c>
      <c r="G173" s="328" t="s">
        <v>2159</v>
      </c>
      <c r="H173" s="328" t="s">
        <v>2160</v>
      </c>
      <c r="I173" s="328" t="s">
        <v>2161</v>
      </c>
      <c r="J173" s="328" t="s">
        <v>2162</v>
      </c>
      <c r="K173" s="328" t="s">
        <v>2163</v>
      </c>
      <c r="L173" s="327" t="s">
        <v>3129</v>
      </c>
      <c r="M173" s="328"/>
    </row>
    <row r="174" spans="2:13" x14ac:dyDescent="0.2">
      <c r="B174" s="26" t="s">
        <v>17</v>
      </c>
      <c r="C174" s="328" t="s">
        <v>2164</v>
      </c>
      <c r="D174" s="328" t="s">
        <v>2165</v>
      </c>
      <c r="E174" s="328" t="s">
        <v>2166</v>
      </c>
      <c r="F174" s="328" t="s">
        <v>2167</v>
      </c>
      <c r="G174" s="328" t="s">
        <v>2168</v>
      </c>
      <c r="H174" s="328" t="s">
        <v>2169</v>
      </c>
      <c r="I174" s="328" t="s">
        <v>2170</v>
      </c>
      <c r="J174" s="328" t="s">
        <v>2171</v>
      </c>
      <c r="K174" s="328" t="s">
        <v>2172</v>
      </c>
      <c r="L174" s="327" t="s">
        <v>3130</v>
      </c>
      <c r="M174" s="328"/>
    </row>
    <row r="175" spans="2:13" x14ac:dyDescent="0.2">
      <c r="B175" s="26" t="s">
        <v>752</v>
      </c>
      <c r="C175" s="328" t="s">
        <v>2173</v>
      </c>
      <c r="D175" s="328" t="s">
        <v>2174</v>
      </c>
      <c r="E175" s="328" t="s">
        <v>2175</v>
      </c>
      <c r="F175" s="328" t="s">
        <v>2176</v>
      </c>
      <c r="G175" s="328" t="s">
        <v>2177</v>
      </c>
      <c r="H175" s="328" t="s">
        <v>2178</v>
      </c>
      <c r="I175" s="328" t="s">
        <v>2179</v>
      </c>
      <c r="J175" s="328" t="s">
        <v>2180</v>
      </c>
      <c r="K175" s="328" t="s">
        <v>2181</v>
      </c>
      <c r="L175" s="327" t="s">
        <v>3131</v>
      </c>
      <c r="M175" s="328"/>
    </row>
    <row r="176" spans="2:13" x14ac:dyDescent="0.2">
      <c r="B176" s="26" t="s">
        <v>18</v>
      </c>
      <c r="C176" s="328" t="s">
        <v>2182</v>
      </c>
      <c r="D176" s="328" t="s">
        <v>2183</v>
      </c>
      <c r="E176" s="328" t="s">
        <v>2184</v>
      </c>
      <c r="F176" s="328" t="s">
        <v>2185</v>
      </c>
      <c r="G176" s="328" t="s">
        <v>2186</v>
      </c>
      <c r="H176" s="328" t="s">
        <v>2187</v>
      </c>
      <c r="I176" s="328" t="s">
        <v>2188</v>
      </c>
      <c r="J176" s="328" t="s">
        <v>2189</v>
      </c>
      <c r="K176" s="328" t="s">
        <v>2190</v>
      </c>
      <c r="L176" s="327" t="s">
        <v>3132</v>
      </c>
      <c r="M176" s="328"/>
    </row>
    <row r="177" spans="2:13" x14ac:dyDescent="0.2">
      <c r="B177" s="26" t="s">
        <v>21</v>
      </c>
      <c r="C177" s="328" t="s">
        <v>2191</v>
      </c>
      <c r="D177" s="328" t="s">
        <v>2192</v>
      </c>
      <c r="E177" s="328" t="s">
        <v>2193</v>
      </c>
      <c r="F177" s="328" t="s">
        <v>2194</v>
      </c>
      <c r="G177" s="328" t="s">
        <v>2195</v>
      </c>
      <c r="H177" s="328" t="s">
        <v>2196</v>
      </c>
      <c r="I177" s="328" t="s">
        <v>2197</v>
      </c>
      <c r="J177" s="328" t="s">
        <v>2198</v>
      </c>
      <c r="K177" s="328" t="s">
        <v>2199</v>
      </c>
      <c r="L177" s="327" t="s">
        <v>21</v>
      </c>
      <c r="M177" s="328"/>
    </row>
    <row r="178" spans="2:13" x14ac:dyDescent="0.2">
      <c r="B178" s="26" t="s">
        <v>392</v>
      </c>
      <c r="C178" s="328" t="s">
        <v>2200</v>
      </c>
      <c r="D178" s="328" t="s">
        <v>2201</v>
      </c>
      <c r="E178" s="328" t="s">
        <v>2202</v>
      </c>
      <c r="F178" s="328" t="s">
        <v>2203</v>
      </c>
      <c r="G178" s="328" t="s">
        <v>2204</v>
      </c>
      <c r="H178" s="328" t="s">
        <v>2205</v>
      </c>
      <c r="I178" s="328" t="s">
        <v>2206</v>
      </c>
      <c r="J178" s="328" t="s">
        <v>2207</v>
      </c>
      <c r="K178" s="328" t="s">
        <v>2208</v>
      </c>
      <c r="L178" s="327" t="s">
        <v>3133</v>
      </c>
      <c r="M178" s="328"/>
    </row>
    <row r="179" spans="2:13" x14ac:dyDescent="0.2">
      <c r="B179" s="26" t="s">
        <v>19</v>
      </c>
      <c r="C179" s="328" t="s">
        <v>2209</v>
      </c>
      <c r="D179" s="328" t="s">
        <v>2210</v>
      </c>
      <c r="E179" s="328" t="s">
        <v>2211</v>
      </c>
      <c r="F179" s="328" t="s">
        <v>2212</v>
      </c>
      <c r="G179" s="328" t="s">
        <v>2213</v>
      </c>
      <c r="H179" s="328" t="s">
        <v>2214</v>
      </c>
      <c r="I179" s="328" t="s">
        <v>2215</v>
      </c>
      <c r="J179" s="328" t="s">
        <v>2216</v>
      </c>
      <c r="K179" s="328" t="s">
        <v>2217</v>
      </c>
      <c r="L179" s="327" t="s">
        <v>3134</v>
      </c>
      <c r="M179" s="328"/>
    </row>
    <row r="180" spans="2:13" x14ac:dyDescent="0.2">
      <c r="B180" s="26" t="s">
        <v>20</v>
      </c>
      <c r="C180" s="328" t="s">
        <v>2218</v>
      </c>
      <c r="D180" s="328" t="s">
        <v>2218</v>
      </c>
      <c r="E180" s="328" t="s">
        <v>2219</v>
      </c>
      <c r="F180" s="328" t="s">
        <v>2220</v>
      </c>
      <c r="G180" s="328" t="s">
        <v>2221</v>
      </c>
      <c r="H180" s="328" t="s">
        <v>20</v>
      </c>
      <c r="I180" s="328" t="s">
        <v>2222</v>
      </c>
      <c r="J180" s="328" t="s">
        <v>2223</v>
      </c>
      <c r="K180" s="328" t="s">
        <v>2224</v>
      </c>
      <c r="L180" s="327" t="s">
        <v>20</v>
      </c>
      <c r="M180" s="328"/>
    </row>
    <row r="181" spans="2:13" x14ac:dyDescent="0.2">
      <c r="B181" s="26" t="s">
        <v>418</v>
      </c>
      <c r="C181" s="328" t="s">
        <v>2225</v>
      </c>
      <c r="D181" s="328" t="s">
        <v>2226</v>
      </c>
      <c r="E181" s="328" t="s">
        <v>2227</v>
      </c>
      <c r="F181" s="328" t="s">
        <v>2228</v>
      </c>
      <c r="G181" s="328" t="s">
        <v>2229</v>
      </c>
      <c r="H181" s="328" t="s">
        <v>2230</v>
      </c>
      <c r="I181" s="328" t="s">
        <v>2231</v>
      </c>
      <c r="J181" s="328" t="s">
        <v>2232</v>
      </c>
      <c r="K181" s="328" t="s">
        <v>2233</v>
      </c>
      <c r="L181" s="327" t="s">
        <v>3135</v>
      </c>
      <c r="M181" s="328"/>
    </row>
    <row r="182" spans="2:13" x14ac:dyDescent="0.2">
      <c r="B182" s="26" t="s">
        <v>22</v>
      </c>
      <c r="C182" s="328" t="s">
        <v>2234</v>
      </c>
      <c r="D182" s="328" t="s">
        <v>2235</v>
      </c>
      <c r="E182" s="328" t="s">
        <v>2236</v>
      </c>
      <c r="F182" s="328" t="s">
        <v>2237</v>
      </c>
      <c r="G182" s="328" t="s">
        <v>2238</v>
      </c>
      <c r="H182" s="328" t="s">
        <v>2239</v>
      </c>
      <c r="I182" s="328" t="s">
        <v>2240</v>
      </c>
      <c r="J182" s="328" t="s">
        <v>2241</v>
      </c>
      <c r="K182" s="328" t="s">
        <v>2242</v>
      </c>
      <c r="L182" s="327" t="s">
        <v>3136</v>
      </c>
      <c r="M182" s="328"/>
    </row>
    <row r="183" spans="2:13" x14ac:dyDescent="0.2">
      <c r="B183" s="26" t="s">
        <v>540</v>
      </c>
      <c r="C183" s="328" t="s">
        <v>2243</v>
      </c>
      <c r="D183" s="328" t="s">
        <v>2244</v>
      </c>
      <c r="E183" s="328" t="s">
        <v>2245</v>
      </c>
      <c r="F183" s="328" t="s">
        <v>2246</v>
      </c>
      <c r="G183" s="328" t="s">
        <v>2247</v>
      </c>
      <c r="H183" s="328" t="s">
        <v>2248</v>
      </c>
      <c r="I183" s="328" t="s">
        <v>2249</v>
      </c>
      <c r="J183" s="328" t="s">
        <v>2250</v>
      </c>
      <c r="K183" s="328" t="s">
        <v>2251</v>
      </c>
      <c r="L183" s="327" t="s">
        <v>3137</v>
      </c>
      <c r="M183" s="328"/>
    </row>
    <row r="184" spans="2:13" x14ac:dyDescent="0.2">
      <c r="B184" s="26" t="s">
        <v>282</v>
      </c>
      <c r="C184" s="328" t="s">
        <v>2252</v>
      </c>
      <c r="D184" s="328" t="s">
        <v>2253</v>
      </c>
      <c r="E184" s="328" t="s">
        <v>2254</v>
      </c>
      <c r="F184" s="328" t="s">
        <v>2255</v>
      </c>
      <c r="G184" s="328" t="s">
        <v>282</v>
      </c>
      <c r="H184" s="328" t="s">
        <v>2256</v>
      </c>
      <c r="I184" s="328" t="s">
        <v>2257</v>
      </c>
      <c r="J184" s="328" t="s">
        <v>2258</v>
      </c>
      <c r="K184" s="328" t="s">
        <v>2259</v>
      </c>
      <c r="L184" s="327" t="s">
        <v>2257</v>
      </c>
      <c r="M184" s="328"/>
    </row>
    <row r="185" spans="2:13" x14ac:dyDescent="0.2">
      <c r="B185" s="26" t="s">
        <v>660</v>
      </c>
      <c r="C185" s="328" t="s">
        <v>2260</v>
      </c>
      <c r="D185" s="328" t="s">
        <v>2261</v>
      </c>
      <c r="E185" s="328" t="s">
        <v>2262</v>
      </c>
      <c r="F185" s="328" t="s">
        <v>660</v>
      </c>
      <c r="G185" s="328" t="s">
        <v>2263</v>
      </c>
      <c r="H185" s="328" t="s">
        <v>2264</v>
      </c>
      <c r="I185" s="328" t="s">
        <v>660</v>
      </c>
      <c r="J185" s="328" t="s">
        <v>2265</v>
      </c>
      <c r="K185" s="328" t="s">
        <v>2266</v>
      </c>
      <c r="L185" s="327" t="s">
        <v>3138</v>
      </c>
      <c r="M185" s="328"/>
    </row>
    <row r="186" spans="2:13" x14ac:dyDescent="0.2">
      <c r="B186" s="26" t="s">
        <v>661</v>
      </c>
      <c r="C186" s="328" t="s">
        <v>2267</v>
      </c>
      <c r="D186" s="328" t="s">
        <v>2268</v>
      </c>
      <c r="E186" s="328" t="s">
        <v>2269</v>
      </c>
      <c r="F186" s="328" t="s">
        <v>661</v>
      </c>
      <c r="G186" s="328" t="s">
        <v>2270</v>
      </c>
      <c r="H186" s="328" t="s">
        <v>2271</v>
      </c>
      <c r="I186" s="328" t="s">
        <v>661</v>
      </c>
      <c r="J186" s="328" t="s">
        <v>2272</v>
      </c>
      <c r="K186" s="328" t="s">
        <v>2273</v>
      </c>
      <c r="L186" s="327" t="s">
        <v>661</v>
      </c>
      <c r="M186" s="328"/>
    </row>
    <row r="187" spans="2:13" x14ac:dyDescent="0.2">
      <c r="B187" s="26" t="s">
        <v>662</v>
      </c>
      <c r="C187" s="328" t="s">
        <v>2274</v>
      </c>
      <c r="D187" s="328" t="s">
        <v>2275</v>
      </c>
      <c r="E187" s="328" t="s">
        <v>2276</v>
      </c>
      <c r="F187" s="328" t="s">
        <v>2277</v>
      </c>
      <c r="G187" s="328" t="s">
        <v>2278</v>
      </c>
      <c r="H187" s="328" t="s">
        <v>2279</v>
      </c>
      <c r="I187" s="328" t="s">
        <v>2280</v>
      </c>
      <c r="J187" s="328" t="s">
        <v>2281</v>
      </c>
      <c r="K187" s="328" t="s">
        <v>2282</v>
      </c>
      <c r="L187" s="327" t="s">
        <v>3139</v>
      </c>
      <c r="M187" s="328"/>
    </row>
    <row r="188" spans="2:13" x14ac:dyDescent="0.2">
      <c r="B188" s="26" t="s">
        <v>663</v>
      </c>
      <c r="C188" s="328" t="s">
        <v>2283</v>
      </c>
      <c r="D188" s="328" t="s">
        <v>2283</v>
      </c>
      <c r="E188" s="328" t="s">
        <v>2284</v>
      </c>
      <c r="F188" s="328" t="s">
        <v>2285</v>
      </c>
      <c r="G188" s="328" t="s">
        <v>2286</v>
      </c>
      <c r="H188" s="328" t="s">
        <v>2287</v>
      </c>
      <c r="I188" s="328" t="s">
        <v>2288</v>
      </c>
      <c r="J188" s="328" t="s">
        <v>2289</v>
      </c>
      <c r="K188" s="328" t="s">
        <v>2290</v>
      </c>
      <c r="L188" s="327" t="s">
        <v>663</v>
      </c>
      <c r="M188" s="328"/>
    </row>
    <row r="189" spans="2:13" x14ac:dyDescent="0.2">
      <c r="B189" s="26" t="s">
        <v>664</v>
      </c>
      <c r="C189" s="328" t="s">
        <v>2291</v>
      </c>
      <c r="D189" s="328" t="s">
        <v>2292</v>
      </c>
      <c r="E189" s="328" t="s">
        <v>2293</v>
      </c>
      <c r="F189" s="328" t="s">
        <v>664</v>
      </c>
      <c r="G189" s="328" t="s">
        <v>2294</v>
      </c>
      <c r="H189" s="328" t="s">
        <v>2295</v>
      </c>
      <c r="I189" s="328" t="s">
        <v>664</v>
      </c>
      <c r="J189" s="328" t="s">
        <v>2296</v>
      </c>
      <c r="K189" s="328" t="s">
        <v>2297</v>
      </c>
      <c r="L189" s="327" t="s">
        <v>3140</v>
      </c>
      <c r="M189" s="328"/>
    </row>
    <row r="190" spans="2:13" x14ac:dyDescent="0.2">
      <c r="B190" s="26" t="s">
        <v>665</v>
      </c>
      <c r="C190" s="328" t="s">
        <v>2298</v>
      </c>
      <c r="D190" s="328" t="s">
        <v>2298</v>
      </c>
      <c r="E190" s="328" t="s">
        <v>2299</v>
      </c>
      <c r="F190" s="328" t="s">
        <v>2300</v>
      </c>
      <c r="G190" s="328" t="s">
        <v>2301</v>
      </c>
      <c r="H190" s="328" t="s">
        <v>665</v>
      </c>
      <c r="I190" s="328" t="s">
        <v>665</v>
      </c>
      <c r="J190" s="328" t="s">
        <v>2302</v>
      </c>
      <c r="K190" s="328" t="s">
        <v>2303</v>
      </c>
      <c r="L190" s="327" t="s">
        <v>2300</v>
      </c>
      <c r="M190" s="328"/>
    </row>
    <row r="191" spans="2:13" x14ac:dyDescent="0.2">
      <c r="B191" s="26" t="s">
        <v>666</v>
      </c>
      <c r="C191" s="328" t="s">
        <v>2304</v>
      </c>
      <c r="D191" s="328" t="s">
        <v>2305</v>
      </c>
      <c r="E191" s="328" t="s">
        <v>2304</v>
      </c>
      <c r="F191" s="328" t="s">
        <v>666</v>
      </c>
      <c r="G191" s="328" t="s">
        <v>666</v>
      </c>
      <c r="H191" s="328" t="s">
        <v>2306</v>
      </c>
      <c r="I191" s="328" t="s">
        <v>2307</v>
      </c>
      <c r="J191" s="328" t="s">
        <v>2308</v>
      </c>
      <c r="K191" s="328" t="s">
        <v>2309</v>
      </c>
      <c r="L191" s="327" t="s">
        <v>666</v>
      </c>
      <c r="M191" s="328"/>
    </row>
    <row r="192" spans="2:13" x14ac:dyDescent="0.2">
      <c r="B192" s="26" t="s">
        <v>668</v>
      </c>
      <c r="C192" s="328" t="s">
        <v>2310</v>
      </c>
      <c r="D192" s="328" t="s">
        <v>2311</v>
      </c>
      <c r="E192" s="328" t="s">
        <v>2312</v>
      </c>
      <c r="F192" s="328" t="s">
        <v>2313</v>
      </c>
      <c r="G192" s="328" t="s">
        <v>2314</v>
      </c>
      <c r="H192" s="328" t="s">
        <v>2315</v>
      </c>
      <c r="I192" s="328" t="s">
        <v>2316</v>
      </c>
      <c r="J192" s="328" t="s">
        <v>2317</v>
      </c>
      <c r="K192" s="328" t="s">
        <v>2318</v>
      </c>
      <c r="L192" s="327" t="s">
        <v>3141</v>
      </c>
      <c r="M192" s="328"/>
    </row>
    <row r="193" spans="2:13" x14ac:dyDescent="0.2">
      <c r="B193" s="26" t="s">
        <v>669</v>
      </c>
      <c r="C193" s="328" t="s">
        <v>2319</v>
      </c>
      <c r="D193" s="328" t="s">
        <v>2320</v>
      </c>
      <c r="E193" s="328" t="s">
        <v>2321</v>
      </c>
      <c r="F193" s="328" t="s">
        <v>2322</v>
      </c>
      <c r="G193" s="328" t="s">
        <v>2323</v>
      </c>
      <c r="H193" s="328" t="s">
        <v>2324</v>
      </c>
      <c r="I193" s="328" t="s">
        <v>2325</v>
      </c>
      <c r="J193" s="328" t="s">
        <v>2326</v>
      </c>
      <c r="K193" s="328" t="s">
        <v>2327</v>
      </c>
      <c r="L193" s="327" t="s">
        <v>2322</v>
      </c>
      <c r="M193" s="328"/>
    </row>
    <row r="194" spans="2:13" x14ac:dyDescent="0.2">
      <c r="B194" s="26" t="s">
        <v>670</v>
      </c>
      <c r="C194" s="328" t="s">
        <v>2328</v>
      </c>
      <c r="D194" s="328" t="s">
        <v>2329</v>
      </c>
      <c r="E194" s="328" t="s">
        <v>2330</v>
      </c>
      <c r="F194" s="328" t="s">
        <v>2331</v>
      </c>
      <c r="G194" s="328" t="s">
        <v>670</v>
      </c>
      <c r="H194" s="328" t="s">
        <v>2332</v>
      </c>
      <c r="I194" s="328" t="s">
        <v>2333</v>
      </c>
      <c r="J194" s="328" t="s">
        <v>2334</v>
      </c>
      <c r="K194" s="328" t="s">
        <v>2335</v>
      </c>
      <c r="L194" s="327" t="s">
        <v>3142</v>
      </c>
      <c r="M194" s="328"/>
    </row>
    <row r="195" spans="2:13" x14ac:dyDescent="0.2">
      <c r="B195" s="26" t="s">
        <v>671</v>
      </c>
      <c r="C195" s="328" t="s">
        <v>2336</v>
      </c>
      <c r="D195" s="328" t="s">
        <v>2337</v>
      </c>
      <c r="E195" s="328" t="s">
        <v>2338</v>
      </c>
      <c r="F195" s="328" t="s">
        <v>2339</v>
      </c>
      <c r="G195" s="328" t="s">
        <v>2340</v>
      </c>
      <c r="H195" s="328" t="s">
        <v>2341</v>
      </c>
      <c r="I195" s="328" t="s">
        <v>2339</v>
      </c>
      <c r="J195" s="328" t="s">
        <v>2342</v>
      </c>
      <c r="K195" s="328" t="s">
        <v>2343</v>
      </c>
      <c r="L195" s="327" t="s">
        <v>3143</v>
      </c>
      <c r="M195" s="328"/>
    </row>
    <row r="196" spans="2:13" x14ac:dyDescent="0.2">
      <c r="B196" s="26" t="s">
        <v>672</v>
      </c>
      <c r="C196" s="328" t="s">
        <v>2344</v>
      </c>
      <c r="D196" s="328" t="s">
        <v>2345</v>
      </c>
      <c r="E196" s="328" t="s">
        <v>2346</v>
      </c>
      <c r="F196" s="328" t="s">
        <v>2347</v>
      </c>
      <c r="G196" s="328" t="s">
        <v>2348</v>
      </c>
      <c r="H196" s="328" t="s">
        <v>672</v>
      </c>
      <c r="I196" s="328" t="s">
        <v>2347</v>
      </c>
      <c r="J196" s="328" t="s">
        <v>2349</v>
      </c>
      <c r="K196" s="328" t="s">
        <v>2350</v>
      </c>
      <c r="L196" s="327" t="s">
        <v>3144</v>
      </c>
      <c r="M196" s="328"/>
    </row>
    <row r="197" spans="2:13" x14ac:dyDescent="0.2">
      <c r="B197" s="26" t="s">
        <v>673</v>
      </c>
      <c r="C197" s="328" t="s">
        <v>2351</v>
      </c>
      <c r="D197" s="328" t="s">
        <v>2352</v>
      </c>
      <c r="E197" s="328" t="s">
        <v>2353</v>
      </c>
      <c r="F197" s="328" t="s">
        <v>2354</v>
      </c>
      <c r="G197" s="328" t="s">
        <v>2355</v>
      </c>
      <c r="H197" s="328" t="s">
        <v>2356</v>
      </c>
      <c r="I197" s="328" t="s">
        <v>2357</v>
      </c>
      <c r="J197" s="328" t="s">
        <v>2358</v>
      </c>
      <c r="K197" s="328" t="s">
        <v>2359</v>
      </c>
      <c r="L197" s="327" t="s">
        <v>3145</v>
      </c>
      <c r="M197" s="328"/>
    </row>
    <row r="198" spans="2:13" x14ac:dyDescent="0.2">
      <c r="B198" s="26" t="s">
        <v>674</v>
      </c>
      <c r="C198" s="328" t="s">
        <v>2360</v>
      </c>
      <c r="D198" s="328" t="s">
        <v>2361</v>
      </c>
      <c r="E198" s="328" t="s">
        <v>2362</v>
      </c>
      <c r="F198" s="328" t="s">
        <v>2363</v>
      </c>
      <c r="G198" s="328" t="s">
        <v>2364</v>
      </c>
      <c r="H198" s="328" t="s">
        <v>2365</v>
      </c>
      <c r="I198" s="328" t="s">
        <v>2363</v>
      </c>
      <c r="J198" s="328" t="s">
        <v>2366</v>
      </c>
      <c r="K198" s="328" t="s">
        <v>2367</v>
      </c>
      <c r="L198" s="327" t="s">
        <v>3146</v>
      </c>
      <c r="M198" s="328"/>
    </row>
    <row r="199" spans="2:13" x14ac:dyDescent="0.2">
      <c r="B199" s="26" t="s">
        <v>675</v>
      </c>
      <c r="C199" s="328" t="s">
        <v>2368</v>
      </c>
      <c r="D199" s="328" t="s">
        <v>2368</v>
      </c>
      <c r="E199" s="328" t="s">
        <v>2368</v>
      </c>
      <c r="F199" s="328" t="s">
        <v>675</v>
      </c>
      <c r="G199" s="328" t="s">
        <v>2369</v>
      </c>
      <c r="H199" s="328" t="s">
        <v>675</v>
      </c>
      <c r="I199" s="328" t="s">
        <v>675</v>
      </c>
      <c r="J199" s="328" t="s">
        <v>2370</v>
      </c>
      <c r="K199" s="328" t="s">
        <v>2371</v>
      </c>
      <c r="L199" s="327" t="s">
        <v>675</v>
      </c>
      <c r="M199" s="328"/>
    </row>
    <row r="200" spans="2:13" x14ac:dyDescent="0.2">
      <c r="B200" s="26" t="s">
        <v>676</v>
      </c>
      <c r="C200" s="328" t="s">
        <v>2372</v>
      </c>
      <c r="D200" s="328" t="s">
        <v>2372</v>
      </c>
      <c r="E200" s="328" t="s">
        <v>2373</v>
      </c>
      <c r="F200" s="328" t="s">
        <v>2374</v>
      </c>
      <c r="G200" s="328" t="s">
        <v>2375</v>
      </c>
      <c r="H200" s="328" t="s">
        <v>2376</v>
      </c>
      <c r="I200" s="328" t="s">
        <v>2377</v>
      </c>
      <c r="J200" s="328" t="s">
        <v>2378</v>
      </c>
      <c r="K200" s="328" t="s">
        <v>2379</v>
      </c>
      <c r="L200" s="327" t="s">
        <v>3147</v>
      </c>
      <c r="M200" s="328"/>
    </row>
    <row r="201" spans="2:13" x14ac:dyDescent="0.2">
      <c r="B201" s="26" t="s">
        <v>677</v>
      </c>
      <c r="C201" s="328" t="s">
        <v>2380</v>
      </c>
      <c r="D201" s="328" t="s">
        <v>2380</v>
      </c>
      <c r="E201" s="328" t="s">
        <v>2381</v>
      </c>
      <c r="F201" s="328" t="s">
        <v>677</v>
      </c>
      <c r="G201" s="328" t="s">
        <v>2382</v>
      </c>
      <c r="H201" s="328" t="s">
        <v>2383</v>
      </c>
      <c r="I201" s="328" t="s">
        <v>677</v>
      </c>
      <c r="J201" s="328" t="s">
        <v>2384</v>
      </c>
      <c r="K201" s="328" t="s">
        <v>2385</v>
      </c>
      <c r="L201" s="327" t="s">
        <v>3148</v>
      </c>
      <c r="M201" s="328"/>
    </row>
    <row r="202" spans="2:13" x14ac:dyDescent="0.2">
      <c r="B202" s="26" t="s">
        <v>678</v>
      </c>
      <c r="C202" s="328" t="s">
        <v>2386</v>
      </c>
      <c r="D202" s="328" t="s">
        <v>2386</v>
      </c>
      <c r="E202" s="328" t="s">
        <v>2387</v>
      </c>
      <c r="F202" s="328" t="s">
        <v>678</v>
      </c>
      <c r="G202" s="328" t="s">
        <v>2388</v>
      </c>
      <c r="H202" s="328" t="s">
        <v>2389</v>
      </c>
      <c r="I202" s="328" t="s">
        <v>678</v>
      </c>
      <c r="J202" s="328" t="s">
        <v>2390</v>
      </c>
      <c r="K202" s="328" t="s">
        <v>2391</v>
      </c>
      <c r="L202" s="327" t="s">
        <v>3149</v>
      </c>
      <c r="M202" s="328"/>
    </row>
    <row r="203" spans="2:13" x14ac:dyDescent="0.2">
      <c r="B203" s="26" t="s">
        <v>679</v>
      </c>
      <c r="C203" s="328" t="s">
        <v>2392</v>
      </c>
      <c r="D203" s="328" t="s">
        <v>2393</v>
      </c>
      <c r="E203" s="328" t="s">
        <v>2394</v>
      </c>
      <c r="F203" s="328" t="s">
        <v>2395</v>
      </c>
      <c r="G203" s="328" t="s">
        <v>2396</v>
      </c>
      <c r="H203" s="328" t="s">
        <v>2397</v>
      </c>
      <c r="I203" s="328" t="s">
        <v>2395</v>
      </c>
      <c r="J203" s="328" t="s">
        <v>2398</v>
      </c>
      <c r="K203" s="328" t="s">
        <v>2399</v>
      </c>
      <c r="L203" s="327" t="s">
        <v>2395</v>
      </c>
      <c r="M203" s="328"/>
    </row>
    <row r="204" spans="2:13" x14ac:dyDescent="0.2">
      <c r="B204" s="26" t="s">
        <v>680</v>
      </c>
      <c r="C204" s="328" t="s">
        <v>2400</v>
      </c>
      <c r="D204" s="328" t="s">
        <v>2400</v>
      </c>
      <c r="E204" s="328" t="s">
        <v>2401</v>
      </c>
      <c r="F204" s="328" t="s">
        <v>680</v>
      </c>
      <c r="G204" s="328" t="s">
        <v>680</v>
      </c>
      <c r="H204" s="328" t="s">
        <v>2402</v>
      </c>
      <c r="I204" s="328" t="s">
        <v>2403</v>
      </c>
      <c r="J204" s="328" t="s">
        <v>2404</v>
      </c>
      <c r="K204" s="328" t="s">
        <v>2405</v>
      </c>
      <c r="L204" s="327" t="s">
        <v>680</v>
      </c>
      <c r="M204" s="328"/>
    </row>
    <row r="205" spans="2:13" x14ac:dyDescent="0.2">
      <c r="B205" s="26" t="s">
        <v>681</v>
      </c>
      <c r="C205" s="328" t="s">
        <v>2406</v>
      </c>
      <c r="D205" s="328" t="s">
        <v>2406</v>
      </c>
      <c r="E205" s="328" t="s">
        <v>2407</v>
      </c>
      <c r="F205" s="328" t="s">
        <v>2408</v>
      </c>
      <c r="G205" s="328" t="s">
        <v>2409</v>
      </c>
      <c r="H205" s="328" t="s">
        <v>2410</v>
      </c>
      <c r="I205" s="328" t="s">
        <v>2408</v>
      </c>
      <c r="J205" s="328" t="s">
        <v>2411</v>
      </c>
      <c r="K205" s="328" t="s">
        <v>2412</v>
      </c>
      <c r="L205" s="327" t="s">
        <v>2408</v>
      </c>
      <c r="M205" s="328"/>
    </row>
    <row r="206" spans="2:13" x14ac:dyDescent="0.2">
      <c r="B206" s="26" t="s">
        <v>682</v>
      </c>
      <c r="C206" s="328" t="s">
        <v>2413</v>
      </c>
      <c r="D206" s="328" t="s">
        <v>2413</v>
      </c>
      <c r="E206" s="328" t="s">
        <v>2413</v>
      </c>
      <c r="F206" s="328" t="s">
        <v>682</v>
      </c>
      <c r="G206" s="328" t="s">
        <v>682</v>
      </c>
      <c r="H206" s="328" t="s">
        <v>2414</v>
      </c>
      <c r="I206" s="328" t="s">
        <v>2415</v>
      </c>
      <c r="J206" s="328" t="s">
        <v>2416</v>
      </c>
      <c r="K206" s="328" t="s">
        <v>2417</v>
      </c>
      <c r="L206" s="327" t="s">
        <v>3150</v>
      </c>
      <c r="M206" s="328"/>
    </row>
    <row r="207" spans="2:13" x14ac:dyDescent="0.2">
      <c r="B207" s="26" t="s">
        <v>683</v>
      </c>
      <c r="C207" s="328" t="s">
        <v>2418</v>
      </c>
      <c r="D207" s="328" t="s">
        <v>2419</v>
      </c>
      <c r="E207" s="328" t="s">
        <v>2420</v>
      </c>
      <c r="F207" s="328" t="s">
        <v>2421</v>
      </c>
      <c r="G207" s="328" t="s">
        <v>2421</v>
      </c>
      <c r="H207" s="328" t="s">
        <v>683</v>
      </c>
      <c r="I207" s="328" t="s">
        <v>2421</v>
      </c>
      <c r="J207" s="328" t="s">
        <v>2422</v>
      </c>
      <c r="K207" s="328" t="s">
        <v>2423</v>
      </c>
      <c r="L207" s="327" t="s">
        <v>3151</v>
      </c>
      <c r="M207" s="328"/>
    </row>
    <row r="208" spans="2:13" x14ac:dyDescent="0.2">
      <c r="B208" s="26" t="s">
        <v>684</v>
      </c>
      <c r="C208" s="328" t="s">
        <v>2424</v>
      </c>
      <c r="D208" s="328" t="s">
        <v>2425</v>
      </c>
      <c r="E208" s="328" t="s">
        <v>2426</v>
      </c>
      <c r="F208" s="328" t="s">
        <v>2427</v>
      </c>
      <c r="G208" s="328" t="s">
        <v>684</v>
      </c>
      <c r="H208" s="328" t="s">
        <v>2428</v>
      </c>
      <c r="I208" s="328" t="s">
        <v>2427</v>
      </c>
      <c r="J208" s="328" t="s">
        <v>2429</v>
      </c>
      <c r="K208" s="328" t="s">
        <v>2430</v>
      </c>
      <c r="L208" s="327" t="s">
        <v>3152</v>
      </c>
      <c r="M208" s="328"/>
    </row>
    <row r="209" spans="2:13" x14ac:dyDescent="0.2">
      <c r="B209" s="26" t="s">
        <v>685</v>
      </c>
      <c r="C209" s="328" t="s">
        <v>2431</v>
      </c>
      <c r="D209" s="328" t="s">
        <v>2431</v>
      </c>
      <c r="E209" s="328" t="s">
        <v>2432</v>
      </c>
      <c r="F209" s="328" t="s">
        <v>2433</v>
      </c>
      <c r="G209" s="328" t="s">
        <v>2434</v>
      </c>
      <c r="H209" s="328" t="s">
        <v>685</v>
      </c>
      <c r="I209" s="328" t="s">
        <v>2435</v>
      </c>
      <c r="J209" s="328" t="s">
        <v>2436</v>
      </c>
      <c r="K209" s="328" t="s">
        <v>2437</v>
      </c>
      <c r="L209" s="327" t="s">
        <v>685</v>
      </c>
      <c r="M209" s="328"/>
    </row>
    <row r="210" spans="2:13" x14ac:dyDescent="0.2">
      <c r="B210" s="26" t="s">
        <v>686</v>
      </c>
      <c r="C210" s="328" t="s">
        <v>2438</v>
      </c>
      <c r="D210" s="328" t="s">
        <v>2439</v>
      </c>
      <c r="E210" s="328" t="s">
        <v>2440</v>
      </c>
      <c r="F210" s="328" t="s">
        <v>2441</v>
      </c>
      <c r="G210" s="328" t="s">
        <v>2442</v>
      </c>
      <c r="H210" s="328" t="s">
        <v>2443</v>
      </c>
      <c r="I210" s="328" t="s">
        <v>2444</v>
      </c>
      <c r="J210" s="328" t="s">
        <v>2445</v>
      </c>
      <c r="K210" s="328" t="s">
        <v>2446</v>
      </c>
      <c r="L210" s="327" t="s">
        <v>2441</v>
      </c>
      <c r="M210" s="328"/>
    </row>
    <row r="211" spans="2:13" x14ac:dyDescent="0.2">
      <c r="B211" s="26" t="s">
        <v>687</v>
      </c>
      <c r="C211" s="328" t="s">
        <v>2447</v>
      </c>
      <c r="D211" s="328" t="s">
        <v>2448</v>
      </c>
      <c r="E211" s="328" t="s">
        <v>2449</v>
      </c>
      <c r="F211" s="328" t="s">
        <v>2450</v>
      </c>
      <c r="G211" s="328" t="s">
        <v>2451</v>
      </c>
      <c r="H211" s="328" t="s">
        <v>2452</v>
      </c>
      <c r="I211" s="328" t="s">
        <v>2453</v>
      </c>
      <c r="J211" s="328" t="s">
        <v>2454</v>
      </c>
      <c r="K211" s="328" t="s">
        <v>2455</v>
      </c>
      <c r="L211" s="327" t="s">
        <v>3153</v>
      </c>
      <c r="M211" s="328"/>
    </row>
    <row r="212" spans="2:13" x14ac:dyDescent="0.2">
      <c r="B212" s="26" t="s">
        <v>688</v>
      </c>
      <c r="C212" s="328" t="s">
        <v>2456</v>
      </c>
      <c r="D212" s="328" t="s">
        <v>2456</v>
      </c>
      <c r="E212" s="328" t="s">
        <v>2457</v>
      </c>
      <c r="F212" s="328" t="s">
        <v>2458</v>
      </c>
      <c r="G212" s="328" t="s">
        <v>2459</v>
      </c>
      <c r="H212" s="328" t="s">
        <v>2460</v>
      </c>
      <c r="I212" s="328" t="s">
        <v>2461</v>
      </c>
      <c r="J212" s="328" t="s">
        <v>2462</v>
      </c>
      <c r="K212" s="328" t="s">
        <v>2463</v>
      </c>
      <c r="L212" s="327" t="s">
        <v>2458</v>
      </c>
      <c r="M212" s="328"/>
    </row>
    <row r="213" spans="2:13" x14ac:dyDescent="0.2">
      <c r="B213" s="26" t="s">
        <v>689</v>
      </c>
      <c r="C213" s="328" t="s">
        <v>2464</v>
      </c>
      <c r="D213" s="328" t="s">
        <v>2465</v>
      </c>
      <c r="E213" s="328" t="s">
        <v>2466</v>
      </c>
      <c r="F213" s="328" t="s">
        <v>2467</v>
      </c>
      <c r="G213" s="328" t="s">
        <v>2468</v>
      </c>
      <c r="H213" s="328" t="s">
        <v>689</v>
      </c>
      <c r="I213" s="328" t="s">
        <v>2469</v>
      </c>
      <c r="J213" s="328" t="s">
        <v>2470</v>
      </c>
      <c r="K213" s="328" t="s">
        <v>2471</v>
      </c>
      <c r="L213" s="327" t="s">
        <v>2467</v>
      </c>
      <c r="M213" s="328"/>
    </row>
    <row r="214" spans="2:13" x14ac:dyDescent="0.2">
      <c r="B214" s="26" t="s">
        <v>690</v>
      </c>
      <c r="C214" s="328" t="s">
        <v>2472</v>
      </c>
      <c r="D214" s="328" t="s">
        <v>2473</v>
      </c>
      <c r="E214" s="328" t="s">
        <v>2474</v>
      </c>
      <c r="F214" s="328" t="s">
        <v>2475</v>
      </c>
      <c r="G214" s="328" t="s">
        <v>2476</v>
      </c>
      <c r="H214" s="328" t="s">
        <v>2477</v>
      </c>
      <c r="I214" s="328" t="s">
        <v>2475</v>
      </c>
      <c r="J214" s="328" t="s">
        <v>2478</v>
      </c>
      <c r="K214" s="328" t="s">
        <v>2479</v>
      </c>
      <c r="L214" s="327" t="s">
        <v>3154</v>
      </c>
      <c r="M214" s="328"/>
    </row>
    <row r="215" spans="2:13" x14ac:dyDescent="0.2">
      <c r="B215" s="26" t="s">
        <v>691</v>
      </c>
      <c r="C215" s="328" t="s">
        <v>2480</v>
      </c>
      <c r="D215" s="328" t="s">
        <v>2480</v>
      </c>
      <c r="E215" s="328" t="s">
        <v>2481</v>
      </c>
      <c r="F215" s="328" t="s">
        <v>2482</v>
      </c>
      <c r="G215" s="328" t="s">
        <v>691</v>
      </c>
      <c r="H215" s="328" t="s">
        <v>691</v>
      </c>
      <c r="I215" s="328" t="s">
        <v>2483</v>
      </c>
      <c r="J215" s="328" t="s">
        <v>2484</v>
      </c>
      <c r="K215" s="328" t="s">
        <v>2485</v>
      </c>
      <c r="L215" s="327" t="s">
        <v>691</v>
      </c>
      <c r="M215" s="328"/>
    </row>
    <row r="216" spans="2:13" x14ac:dyDescent="0.2">
      <c r="B216" s="26" t="s">
        <v>692</v>
      </c>
      <c r="C216" s="328" t="s">
        <v>2486</v>
      </c>
      <c r="D216" s="328" t="s">
        <v>2487</v>
      </c>
      <c r="E216" s="328" t="s">
        <v>2488</v>
      </c>
      <c r="F216" s="328" t="s">
        <v>2489</v>
      </c>
      <c r="G216" s="328" t="s">
        <v>2490</v>
      </c>
      <c r="H216" s="328" t="s">
        <v>2491</v>
      </c>
      <c r="I216" s="328" t="s">
        <v>692</v>
      </c>
      <c r="J216" s="328" t="s">
        <v>2492</v>
      </c>
      <c r="K216" s="328" t="s">
        <v>2493</v>
      </c>
      <c r="L216" s="327" t="s">
        <v>3155</v>
      </c>
      <c r="M216" s="328"/>
    </row>
    <row r="217" spans="2:13" x14ac:dyDescent="0.2">
      <c r="B217" s="26" t="s">
        <v>693</v>
      </c>
      <c r="C217" s="328" t="s">
        <v>2494</v>
      </c>
      <c r="D217" s="328" t="s">
        <v>2494</v>
      </c>
      <c r="E217" s="328" t="s">
        <v>2495</v>
      </c>
      <c r="F217" s="328" t="s">
        <v>2496</v>
      </c>
      <c r="G217" s="328" t="s">
        <v>2496</v>
      </c>
      <c r="H217" s="328" t="s">
        <v>2497</v>
      </c>
      <c r="I217" s="328" t="s">
        <v>693</v>
      </c>
      <c r="J217" s="328" t="s">
        <v>2498</v>
      </c>
      <c r="K217" s="328" t="s">
        <v>2499</v>
      </c>
      <c r="L217" s="327" t="s">
        <v>3156</v>
      </c>
      <c r="M217" s="328"/>
    </row>
    <row r="218" spans="2:13" x14ac:dyDescent="0.2">
      <c r="B218" s="26" t="s">
        <v>694</v>
      </c>
      <c r="C218" s="328" t="s">
        <v>2500</v>
      </c>
      <c r="D218" s="328" t="s">
        <v>2500</v>
      </c>
      <c r="E218" s="328" t="s">
        <v>2501</v>
      </c>
      <c r="F218" s="328" t="s">
        <v>2502</v>
      </c>
      <c r="G218" s="328" t="s">
        <v>2503</v>
      </c>
      <c r="H218" s="328" t="s">
        <v>2504</v>
      </c>
      <c r="I218" s="328" t="s">
        <v>2505</v>
      </c>
      <c r="J218" s="328" t="s">
        <v>2506</v>
      </c>
      <c r="K218" s="328" t="s">
        <v>2507</v>
      </c>
      <c r="L218" s="327" t="s">
        <v>3157</v>
      </c>
      <c r="M218" s="328"/>
    </row>
    <row r="219" spans="2:13" x14ac:dyDescent="0.2">
      <c r="B219" s="26" t="s">
        <v>695</v>
      </c>
      <c r="C219" s="328" t="s">
        <v>2508</v>
      </c>
      <c r="D219" s="328" t="s">
        <v>2508</v>
      </c>
      <c r="E219" s="328" t="s">
        <v>2509</v>
      </c>
      <c r="F219" s="328" t="s">
        <v>2510</v>
      </c>
      <c r="G219" s="328" t="s">
        <v>2511</v>
      </c>
      <c r="H219" s="328" t="s">
        <v>2512</v>
      </c>
      <c r="I219" s="328" t="s">
        <v>2513</v>
      </c>
      <c r="J219" s="328" t="s">
        <v>2514</v>
      </c>
      <c r="K219" s="328" t="s">
        <v>2515</v>
      </c>
      <c r="L219" s="327" t="s">
        <v>695</v>
      </c>
      <c r="M219" s="328"/>
    </row>
    <row r="220" spans="2:13" x14ac:dyDescent="0.2">
      <c r="B220" s="26" t="s">
        <v>696</v>
      </c>
      <c r="C220" s="328" t="s">
        <v>2516</v>
      </c>
      <c r="D220" s="328" t="s">
        <v>2517</v>
      </c>
      <c r="E220" s="328" t="s">
        <v>2518</v>
      </c>
      <c r="F220" s="328" t="s">
        <v>2519</v>
      </c>
      <c r="G220" s="328" t="s">
        <v>2520</v>
      </c>
      <c r="H220" s="328" t="s">
        <v>2521</v>
      </c>
      <c r="I220" s="328" t="s">
        <v>2522</v>
      </c>
      <c r="J220" s="328" t="s">
        <v>2523</v>
      </c>
      <c r="K220" s="328" t="s">
        <v>2524</v>
      </c>
      <c r="L220" s="327" t="s">
        <v>3158</v>
      </c>
      <c r="M220" s="328"/>
    </row>
    <row r="221" spans="2:13" x14ac:dyDescent="0.2">
      <c r="B221" s="26" t="s">
        <v>697</v>
      </c>
      <c r="C221" s="328" t="s">
        <v>2525</v>
      </c>
      <c r="D221" s="328" t="s">
        <v>2525</v>
      </c>
      <c r="E221" s="328" t="s">
        <v>2526</v>
      </c>
      <c r="F221" s="328" t="s">
        <v>2527</v>
      </c>
      <c r="G221" s="328" t="s">
        <v>2528</v>
      </c>
      <c r="H221" s="328" t="s">
        <v>2529</v>
      </c>
      <c r="I221" s="328" t="s">
        <v>2530</v>
      </c>
      <c r="J221" s="328" t="s">
        <v>2531</v>
      </c>
      <c r="K221" s="328" t="s">
        <v>2532</v>
      </c>
      <c r="L221" s="327" t="s">
        <v>2527</v>
      </c>
      <c r="M221" s="328"/>
    </row>
    <row r="222" spans="2:13" x14ac:dyDescent="0.2">
      <c r="B222" s="26" t="s">
        <v>698</v>
      </c>
      <c r="C222" s="328" t="s">
        <v>2533</v>
      </c>
      <c r="D222" s="328" t="s">
        <v>2533</v>
      </c>
      <c r="E222" s="328" t="s">
        <v>2534</v>
      </c>
      <c r="F222" s="328" t="s">
        <v>2535</v>
      </c>
      <c r="G222" s="328" t="s">
        <v>2536</v>
      </c>
      <c r="H222" s="328" t="s">
        <v>2537</v>
      </c>
      <c r="I222" s="328" t="s">
        <v>2538</v>
      </c>
      <c r="J222" s="328" t="s">
        <v>2539</v>
      </c>
      <c r="K222" s="328" t="s">
        <v>2540</v>
      </c>
      <c r="L222" s="327" t="s">
        <v>2535</v>
      </c>
      <c r="M222" s="328"/>
    </row>
    <row r="223" spans="2:13" x14ac:dyDescent="0.2">
      <c r="B223" s="26" t="s">
        <v>699</v>
      </c>
      <c r="C223" s="328" t="s">
        <v>2541</v>
      </c>
      <c r="D223" s="328" t="s">
        <v>2541</v>
      </c>
      <c r="E223" s="328" t="s">
        <v>2542</v>
      </c>
      <c r="F223" s="328" t="s">
        <v>2543</v>
      </c>
      <c r="G223" s="328" t="s">
        <v>2544</v>
      </c>
      <c r="H223" s="328" t="s">
        <v>2545</v>
      </c>
      <c r="I223" s="328" t="s">
        <v>2546</v>
      </c>
      <c r="J223" s="328" t="s">
        <v>2547</v>
      </c>
      <c r="K223" s="328" t="s">
        <v>2548</v>
      </c>
      <c r="L223" s="327" t="s">
        <v>3159</v>
      </c>
      <c r="M223" s="328"/>
    </row>
    <row r="224" spans="2:13" x14ac:dyDescent="0.2">
      <c r="B224" s="26" t="s">
        <v>700</v>
      </c>
      <c r="C224" s="328" t="s">
        <v>2549</v>
      </c>
      <c r="D224" s="328" t="s">
        <v>2550</v>
      </c>
      <c r="E224" s="328" t="s">
        <v>2551</v>
      </c>
      <c r="F224" s="328" t="s">
        <v>2552</v>
      </c>
      <c r="G224" s="328" t="s">
        <v>700</v>
      </c>
      <c r="H224" s="328" t="s">
        <v>700</v>
      </c>
      <c r="I224" s="328" t="s">
        <v>700</v>
      </c>
      <c r="J224" s="328" t="s">
        <v>2553</v>
      </c>
      <c r="K224" s="328" t="s">
        <v>2554</v>
      </c>
      <c r="L224" s="327" t="s">
        <v>700</v>
      </c>
      <c r="M224" s="328"/>
    </row>
    <row r="225" spans="2:13" x14ac:dyDescent="0.2">
      <c r="B225" s="26" t="s">
        <v>701</v>
      </c>
      <c r="C225" s="328" t="s">
        <v>2555</v>
      </c>
      <c r="D225" s="328" t="s">
        <v>2556</v>
      </c>
      <c r="E225" s="328" t="s">
        <v>2557</v>
      </c>
      <c r="F225" s="328" t="s">
        <v>2558</v>
      </c>
      <c r="G225" s="328" t="s">
        <v>701</v>
      </c>
      <c r="H225" s="328" t="s">
        <v>2559</v>
      </c>
      <c r="I225" s="328" t="s">
        <v>2558</v>
      </c>
      <c r="J225" s="328" t="s">
        <v>2560</v>
      </c>
      <c r="K225" s="328" t="s">
        <v>2561</v>
      </c>
      <c r="L225" s="327" t="s">
        <v>3160</v>
      </c>
      <c r="M225" s="328"/>
    </row>
    <row r="226" spans="2:13" x14ac:dyDescent="0.2">
      <c r="B226" s="26" t="s">
        <v>702</v>
      </c>
      <c r="C226" s="328" t="s">
        <v>2562</v>
      </c>
      <c r="D226" s="328" t="s">
        <v>2563</v>
      </c>
      <c r="E226" s="328" t="s">
        <v>2564</v>
      </c>
      <c r="F226" s="328" t="s">
        <v>2565</v>
      </c>
      <c r="G226" s="328" t="s">
        <v>2566</v>
      </c>
      <c r="H226" s="328" t="s">
        <v>2567</v>
      </c>
      <c r="I226" s="328" t="s">
        <v>2568</v>
      </c>
      <c r="J226" s="328" t="s">
        <v>2569</v>
      </c>
      <c r="K226" s="328" t="s">
        <v>2570</v>
      </c>
      <c r="L226" s="327" t="s">
        <v>3161</v>
      </c>
      <c r="M226" s="328"/>
    </row>
    <row r="227" spans="2:13" x14ac:dyDescent="0.2">
      <c r="B227" s="26" t="s">
        <v>703</v>
      </c>
      <c r="C227" s="328" t="s">
        <v>2571</v>
      </c>
      <c r="D227" s="328" t="s">
        <v>2572</v>
      </c>
      <c r="E227" s="328" t="s">
        <v>2573</v>
      </c>
      <c r="F227" s="328" t="s">
        <v>2574</v>
      </c>
      <c r="G227" s="328" t="s">
        <v>2575</v>
      </c>
      <c r="H227" s="328" t="s">
        <v>2576</v>
      </c>
      <c r="I227" s="328" t="s">
        <v>2577</v>
      </c>
      <c r="J227" s="328" t="s">
        <v>2578</v>
      </c>
      <c r="K227" s="328" t="s">
        <v>2579</v>
      </c>
      <c r="L227" s="327" t="s">
        <v>2574</v>
      </c>
      <c r="M227" s="328"/>
    </row>
    <row r="228" spans="2:13" x14ac:dyDescent="0.2">
      <c r="B228" s="26" t="s">
        <v>709</v>
      </c>
      <c r="C228" s="328" t="s">
        <v>2580</v>
      </c>
      <c r="D228" s="328" t="s">
        <v>2581</v>
      </c>
      <c r="E228" s="328" t="s">
        <v>2582</v>
      </c>
      <c r="F228" s="328" t="s">
        <v>2583</v>
      </c>
      <c r="G228" s="328" t="s">
        <v>2584</v>
      </c>
      <c r="H228" s="328" t="s">
        <v>709</v>
      </c>
      <c r="I228" s="328" t="s">
        <v>2585</v>
      </c>
      <c r="J228" s="328" t="s">
        <v>2586</v>
      </c>
      <c r="K228" s="328" t="s">
        <v>2587</v>
      </c>
      <c r="L228" s="327" t="s">
        <v>3162</v>
      </c>
      <c r="M228" s="328"/>
    </row>
    <row r="229" spans="2:13" x14ac:dyDescent="0.2">
      <c r="B229" s="26" t="s">
        <v>704</v>
      </c>
      <c r="C229" s="328" t="s">
        <v>2588</v>
      </c>
      <c r="D229" s="328" t="s">
        <v>2588</v>
      </c>
      <c r="E229" s="328" t="s">
        <v>2589</v>
      </c>
      <c r="F229" s="328" t="s">
        <v>704</v>
      </c>
      <c r="G229" s="328" t="s">
        <v>704</v>
      </c>
      <c r="H229" s="328" t="s">
        <v>704</v>
      </c>
      <c r="I229" s="328" t="s">
        <v>704</v>
      </c>
      <c r="J229" s="328" t="s">
        <v>2590</v>
      </c>
      <c r="K229" s="328" t="s">
        <v>2591</v>
      </c>
      <c r="L229" s="327" t="s">
        <v>3163</v>
      </c>
      <c r="M229" s="328"/>
    </row>
    <row r="230" spans="2:13" x14ac:dyDescent="0.2">
      <c r="B230" s="26" t="s">
        <v>532</v>
      </c>
      <c r="C230" s="328" t="s">
        <v>2592</v>
      </c>
      <c r="D230" s="328" t="s">
        <v>2593</v>
      </c>
      <c r="E230" s="328" t="s">
        <v>2594</v>
      </c>
      <c r="F230" s="328" t="s">
        <v>2595</v>
      </c>
      <c r="G230" s="328" t="s">
        <v>2596</v>
      </c>
      <c r="H230" s="328" t="s">
        <v>2597</v>
      </c>
      <c r="I230" s="328" t="s">
        <v>2598</v>
      </c>
      <c r="J230" s="328" t="s">
        <v>2599</v>
      </c>
      <c r="K230" s="328" t="s">
        <v>2600</v>
      </c>
      <c r="L230" s="327" t="s">
        <v>3164</v>
      </c>
      <c r="M230" s="328"/>
    </row>
    <row r="231" spans="2:13" x14ac:dyDescent="0.2">
      <c r="B231" s="26" t="s">
        <v>533</v>
      </c>
      <c r="C231" s="328" t="s">
        <v>2601</v>
      </c>
      <c r="D231" s="328" t="s">
        <v>2601</v>
      </c>
      <c r="E231" s="328" t="s">
        <v>2602</v>
      </c>
      <c r="F231" s="328" t="s">
        <v>2603</v>
      </c>
      <c r="G231" s="328" t="s">
        <v>533</v>
      </c>
      <c r="H231" s="328" t="s">
        <v>2604</v>
      </c>
      <c r="I231" s="328" t="s">
        <v>2605</v>
      </c>
      <c r="J231" s="328" t="s">
        <v>2606</v>
      </c>
      <c r="K231" s="328" t="s">
        <v>2607</v>
      </c>
      <c r="L231" s="327" t="s">
        <v>533</v>
      </c>
      <c r="M231" s="328"/>
    </row>
    <row r="232" spans="2:13" x14ac:dyDescent="0.2">
      <c r="B232" s="26" t="s">
        <v>534</v>
      </c>
      <c r="C232" s="328" t="s">
        <v>2608</v>
      </c>
      <c r="D232" s="328" t="s">
        <v>2608</v>
      </c>
      <c r="E232" s="328" t="s">
        <v>2609</v>
      </c>
      <c r="F232" s="328" t="s">
        <v>534</v>
      </c>
      <c r="G232" s="328" t="s">
        <v>534</v>
      </c>
      <c r="H232" s="328" t="s">
        <v>2610</v>
      </c>
      <c r="I232" s="328" t="s">
        <v>534</v>
      </c>
      <c r="J232" s="328" t="s">
        <v>2611</v>
      </c>
      <c r="K232" s="328" t="s">
        <v>2612</v>
      </c>
      <c r="L232" s="327" t="s">
        <v>534</v>
      </c>
      <c r="M232" s="328"/>
    </row>
    <row r="233" spans="2:13" x14ac:dyDescent="0.2">
      <c r="B233" s="26" t="s">
        <v>530</v>
      </c>
      <c r="C233" s="328" t="s">
        <v>2613</v>
      </c>
      <c r="D233" s="328" t="s">
        <v>2613</v>
      </c>
      <c r="E233" s="328" t="s">
        <v>2614</v>
      </c>
      <c r="F233" s="328" t="s">
        <v>530</v>
      </c>
      <c r="G233" s="328" t="s">
        <v>2615</v>
      </c>
      <c r="H233" s="328" t="s">
        <v>2616</v>
      </c>
      <c r="I233" s="328" t="s">
        <v>530</v>
      </c>
      <c r="J233" s="328" t="s">
        <v>2617</v>
      </c>
      <c r="K233" s="328" t="s">
        <v>2618</v>
      </c>
      <c r="L233" s="327" t="s">
        <v>530</v>
      </c>
      <c r="M233" s="328"/>
    </row>
    <row r="234" spans="2:13" x14ac:dyDescent="0.2">
      <c r="B234" s="26" t="s">
        <v>535</v>
      </c>
      <c r="C234" s="328" t="s">
        <v>2619</v>
      </c>
      <c r="D234" s="328" t="s">
        <v>2619</v>
      </c>
      <c r="E234" s="328" t="s">
        <v>2620</v>
      </c>
      <c r="F234" s="328" t="s">
        <v>2621</v>
      </c>
      <c r="G234" s="328" t="s">
        <v>535</v>
      </c>
      <c r="H234" s="328" t="s">
        <v>2622</v>
      </c>
      <c r="I234" s="328" t="s">
        <v>535</v>
      </c>
      <c r="J234" s="328" t="s">
        <v>2623</v>
      </c>
      <c r="K234" s="328" t="s">
        <v>2624</v>
      </c>
      <c r="L234" s="327" t="s">
        <v>2621</v>
      </c>
      <c r="M234" s="328"/>
    </row>
    <row r="235" spans="2:13" x14ac:dyDescent="0.2">
      <c r="B235" s="26" t="s">
        <v>477</v>
      </c>
      <c r="C235" s="328" t="s">
        <v>2625</v>
      </c>
      <c r="D235" s="328" t="s">
        <v>2625</v>
      </c>
      <c r="E235" s="328" t="s">
        <v>2626</v>
      </c>
      <c r="F235" s="328" t="s">
        <v>2627</v>
      </c>
      <c r="G235" s="328" t="s">
        <v>2628</v>
      </c>
      <c r="H235" s="328" t="s">
        <v>2628</v>
      </c>
      <c r="I235" s="328" t="s">
        <v>2629</v>
      </c>
      <c r="J235" s="328" t="s">
        <v>2630</v>
      </c>
      <c r="K235" s="328" t="s">
        <v>2631</v>
      </c>
      <c r="L235" s="327" t="s">
        <v>2628</v>
      </c>
      <c r="M235" s="328"/>
    </row>
    <row r="236" spans="2:13" x14ac:dyDescent="0.2">
      <c r="B236" s="26" t="s">
        <v>531</v>
      </c>
      <c r="C236" s="328" t="s">
        <v>2632</v>
      </c>
      <c r="D236" s="328" t="s">
        <v>2632</v>
      </c>
      <c r="E236" s="328" t="s">
        <v>2633</v>
      </c>
      <c r="F236" s="328" t="s">
        <v>531</v>
      </c>
      <c r="G236" s="328" t="s">
        <v>2634</v>
      </c>
      <c r="H236" s="328" t="s">
        <v>2635</v>
      </c>
      <c r="I236" s="328" t="s">
        <v>2636</v>
      </c>
      <c r="J236" s="328" t="s">
        <v>2637</v>
      </c>
      <c r="K236" s="328" t="s">
        <v>2638</v>
      </c>
      <c r="L236" s="327" t="s">
        <v>531</v>
      </c>
      <c r="M236" s="328"/>
    </row>
    <row r="237" spans="2:13" x14ac:dyDescent="0.2">
      <c r="B237" s="26" t="s">
        <v>536</v>
      </c>
      <c r="C237" s="328" t="s">
        <v>2639</v>
      </c>
      <c r="D237" s="328" t="s">
        <v>2639</v>
      </c>
      <c r="E237" s="328" t="s">
        <v>2640</v>
      </c>
      <c r="F237" s="328" t="s">
        <v>536</v>
      </c>
      <c r="G237" s="328" t="s">
        <v>2641</v>
      </c>
      <c r="H237" s="328" t="s">
        <v>2642</v>
      </c>
      <c r="I237" s="328" t="s">
        <v>2643</v>
      </c>
      <c r="J237" s="328" t="s">
        <v>2644</v>
      </c>
      <c r="K237" s="328" t="s">
        <v>2645</v>
      </c>
      <c r="L237" s="327" t="s">
        <v>536</v>
      </c>
      <c r="M237" s="328"/>
    </row>
    <row r="238" spans="2:13" x14ac:dyDescent="0.2">
      <c r="B238" s="26" t="s">
        <v>528</v>
      </c>
      <c r="C238" s="328" t="s">
        <v>2646</v>
      </c>
      <c r="D238" s="328" t="s">
        <v>2646</v>
      </c>
      <c r="E238" s="328" t="s">
        <v>2647</v>
      </c>
      <c r="F238" s="328" t="s">
        <v>2648</v>
      </c>
      <c r="G238" s="328" t="s">
        <v>528</v>
      </c>
      <c r="H238" s="328" t="s">
        <v>2649</v>
      </c>
      <c r="I238" s="328" t="s">
        <v>2648</v>
      </c>
      <c r="J238" s="328" t="s">
        <v>2650</v>
      </c>
      <c r="K238" s="328" t="s">
        <v>2651</v>
      </c>
      <c r="L238" s="327" t="s">
        <v>2648</v>
      </c>
      <c r="M238" s="328"/>
    </row>
    <row r="239" spans="2:13" x14ac:dyDescent="0.2">
      <c r="B239" s="26" t="s">
        <v>537</v>
      </c>
      <c r="C239" s="328" t="s">
        <v>2652</v>
      </c>
      <c r="D239" s="328" t="s">
        <v>2652</v>
      </c>
      <c r="E239" s="328" t="s">
        <v>2653</v>
      </c>
      <c r="F239" s="328" t="s">
        <v>537</v>
      </c>
      <c r="G239" s="328" t="s">
        <v>537</v>
      </c>
      <c r="H239" s="328" t="s">
        <v>2654</v>
      </c>
      <c r="I239" s="328" t="s">
        <v>2655</v>
      </c>
      <c r="J239" s="328" t="s">
        <v>2656</v>
      </c>
      <c r="K239" s="328" t="s">
        <v>2657</v>
      </c>
      <c r="L239" s="327" t="s">
        <v>3165</v>
      </c>
      <c r="M239" s="328"/>
    </row>
    <row r="240" spans="2:13" x14ac:dyDescent="0.2">
      <c r="B240" s="26" t="s">
        <v>538</v>
      </c>
      <c r="C240" s="328" t="s">
        <v>2658</v>
      </c>
      <c r="D240" s="328" t="s">
        <v>2658</v>
      </c>
      <c r="E240" s="328" t="s">
        <v>2659</v>
      </c>
      <c r="F240" s="328" t="s">
        <v>538</v>
      </c>
      <c r="G240" s="328" t="s">
        <v>2660</v>
      </c>
      <c r="H240" s="328" t="s">
        <v>2661</v>
      </c>
      <c r="I240" s="328" t="s">
        <v>2662</v>
      </c>
      <c r="J240" s="328" t="s">
        <v>2663</v>
      </c>
      <c r="K240" s="328" t="s">
        <v>2664</v>
      </c>
      <c r="L240" s="327" t="s">
        <v>3166</v>
      </c>
      <c r="M240" s="328"/>
    </row>
    <row r="241" spans="2:13" x14ac:dyDescent="0.2">
      <c r="B241" s="26" t="s">
        <v>539</v>
      </c>
      <c r="C241" s="328" t="s">
        <v>2665</v>
      </c>
      <c r="D241" s="328" t="s">
        <v>2665</v>
      </c>
      <c r="E241" s="328" t="s">
        <v>2666</v>
      </c>
      <c r="F241" s="328" t="s">
        <v>539</v>
      </c>
      <c r="G241" s="328" t="s">
        <v>539</v>
      </c>
      <c r="H241" s="328" t="s">
        <v>2667</v>
      </c>
      <c r="I241" s="328" t="s">
        <v>539</v>
      </c>
      <c r="J241" s="328" t="s">
        <v>2668</v>
      </c>
      <c r="K241" s="328" t="s">
        <v>2669</v>
      </c>
      <c r="L241" s="327" t="s">
        <v>539</v>
      </c>
      <c r="M241" s="328"/>
    </row>
    <row r="242" spans="2:13" x14ac:dyDescent="0.2">
      <c r="B242" s="26" t="s">
        <v>529</v>
      </c>
      <c r="C242" s="328" t="s">
        <v>2670</v>
      </c>
      <c r="D242" s="328" t="s">
        <v>2670</v>
      </c>
      <c r="E242" s="328" t="s">
        <v>2671</v>
      </c>
      <c r="F242" s="328" t="s">
        <v>2672</v>
      </c>
      <c r="G242" s="328" t="s">
        <v>2673</v>
      </c>
      <c r="H242" s="328" t="s">
        <v>2674</v>
      </c>
      <c r="I242" s="328" t="s">
        <v>2672</v>
      </c>
      <c r="J242" s="328" t="s">
        <v>2675</v>
      </c>
      <c r="K242" s="328" t="s">
        <v>2676</v>
      </c>
      <c r="L242" s="327" t="s">
        <v>2673</v>
      </c>
      <c r="M242" s="328"/>
    </row>
    <row r="243" spans="2:13" x14ac:dyDescent="0.2">
      <c r="B243" s="26" t="s">
        <v>284</v>
      </c>
      <c r="C243" s="328" t="s">
        <v>2677</v>
      </c>
      <c r="D243" s="328" t="s">
        <v>2677</v>
      </c>
      <c r="E243" s="328" t="s">
        <v>2677</v>
      </c>
      <c r="F243" s="328" t="s">
        <v>2678</v>
      </c>
      <c r="G243" s="328" t="s">
        <v>2679</v>
      </c>
      <c r="H243" s="328" t="s">
        <v>2680</v>
      </c>
      <c r="I243" s="328" t="s">
        <v>2681</v>
      </c>
      <c r="J243" s="328" t="s">
        <v>2682</v>
      </c>
      <c r="K243" s="328" t="s">
        <v>2683</v>
      </c>
      <c r="L243" s="327" t="s">
        <v>3167</v>
      </c>
      <c r="M243" s="328"/>
    </row>
    <row r="244" spans="2:13" x14ac:dyDescent="0.2">
      <c r="B244" s="26" t="s">
        <v>261</v>
      </c>
      <c r="C244" s="328" t="s">
        <v>2684</v>
      </c>
      <c r="D244" s="328" t="s">
        <v>2684</v>
      </c>
      <c r="E244" s="328" t="s">
        <v>2685</v>
      </c>
      <c r="F244" s="328" t="s">
        <v>2686</v>
      </c>
      <c r="G244" s="328" t="s">
        <v>2687</v>
      </c>
      <c r="H244" s="328" t="s">
        <v>2688</v>
      </c>
      <c r="I244" s="328" t="s">
        <v>2689</v>
      </c>
      <c r="J244" s="328" t="s">
        <v>2690</v>
      </c>
      <c r="K244" s="328" t="s">
        <v>2691</v>
      </c>
      <c r="L244" s="327" t="s">
        <v>3168</v>
      </c>
      <c r="M244" s="328"/>
    </row>
    <row r="245" spans="2:13" x14ac:dyDescent="0.2">
      <c r="B245" s="26" t="s">
        <v>260</v>
      </c>
      <c r="C245" s="328" t="s">
        <v>2692</v>
      </c>
      <c r="D245" s="328" t="s">
        <v>2693</v>
      </c>
      <c r="E245" s="328" t="s">
        <v>2694</v>
      </c>
      <c r="F245" s="328" t="s">
        <v>2695</v>
      </c>
      <c r="G245" s="328" t="s">
        <v>2696</v>
      </c>
      <c r="H245" s="328" t="s">
        <v>2697</v>
      </c>
      <c r="I245" s="328" t="s">
        <v>2698</v>
      </c>
      <c r="J245" s="328" t="s">
        <v>2699</v>
      </c>
      <c r="K245" s="328" t="s">
        <v>2700</v>
      </c>
      <c r="L245" s="327" t="s">
        <v>3169</v>
      </c>
      <c r="M245" s="328"/>
    </row>
    <row r="246" spans="2:13" x14ac:dyDescent="0.2">
      <c r="B246" s="26" t="s">
        <v>259</v>
      </c>
      <c r="C246" s="328" t="s">
        <v>2701</v>
      </c>
      <c r="D246" s="328" t="s">
        <v>2702</v>
      </c>
      <c r="E246" s="328" t="s">
        <v>2703</v>
      </c>
      <c r="F246" s="328" t="s">
        <v>2704</v>
      </c>
      <c r="G246" s="328" t="s">
        <v>2705</v>
      </c>
      <c r="H246" s="328" t="s">
        <v>2706</v>
      </c>
      <c r="I246" s="328" t="s">
        <v>2707</v>
      </c>
      <c r="J246" s="328" t="s">
        <v>2708</v>
      </c>
      <c r="K246" s="328" t="s">
        <v>2709</v>
      </c>
      <c r="L246" s="327" t="s">
        <v>3170</v>
      </c>
      <c r="M246" s="328"/>
    </row>
    <row r="247" spans="2:13" x14ac:dyDescent="0.2">
      <c r="B247" s="26" t="s">
        <v>274</v>
      </c>
      <c r="C247" s="328" t="s">
        <v>1129</v>
      </c>
      <c r="D247" s="328" t="s">
        <v>1130</v>
      </c>
      <c r="E247" s="328" t="s">
        <v>1131</v>
      </c>
      <c r="F247" s="328" t="s">
        <v>2710</v>
      </c>
      <c r="G247" s="328" t="s">
        <v>2711</v>
      </c>
      <c r="H247" s="328" t="s">
        <v>2712</v>
      </c>
      <c r="I247" s="328" t="s">
        <v>2713</v>
      </c>
      <c r="J247" s="328" t="s">
        <v>2714</v>
      </c>
      <c r="K247" s="328" t="s">
        <v>2715</v>
      </c>
      <c r="L247" s="327" t="s">
        <v>3171</v>
      </c>
      <c r="M247" s="328"/>
    </row>
    <row r="248" spans="2:13" x14ac:dyDescent="0.2">
      <c r="B248" s="26" t="s">
        <v>729</v>
      </c>
      <c r="C248" s="328" t="s">
        <v>2716</v>
      </c>
      <c r="D248" s="328" t="s">
        <v>2717</v>
      </c>
      <c r="E248" s="328" t="s">
        <v>2718</v>
      </c>
      <c r="F248" s="328" t="s">
        <v>2719</v>
      </c>
      <c r="G248" s="328" t="s">
        <v>2720</v>
      </c>
      <c r="H248" s="328" t="s">
        <v>2721</v>
      </c>
      <c r="I248" s="328" t="s">
        <v>2722</v>
      </c>
      <c r="J248" s="328" t="s">
        <v>2723</v>
      </c>
      <c r="K248" s="328" t="s">
        <v>2724</v>
      </c>
      <c r="L248" s="327" t="s">
        <v>3172</v>
      </c>
      <c r="M248" s="328"/>
    </row>
    <row r="249" spans="2:13" x14ac:dyDescent="0.2">
      <c r="B249" s="26" t="s">
        <v>4111</v>
      </c>
      <c r="C249" s="328" t="s">
        <v>4112</v>
      </c>
      <c r="D249" s="328" t="s">
        <v>4113</v>
      </c>
      <c r="E249" s="328" t="s">
        <v>4114</v>
      </c>
      <c r="F249" s="328" t="s">
        <v>4115</v>
      </c>
      <c r="G249" s="328" t="s">
        <v>4116</v>
      </c>
      <c r="H249" s="328" t="s">
        <v>4117</v>
      </c>
      <c r="I249" s="328" t="s">
        <v>4118</v>
      </c>
      <c r="J249" s="328" t="s">
        <v>4119</v>
      </c>
      <c r="K249" s="328" t="s">
        <v>4120</v>
      </c>
      <c r="L249" s="327" t="s">
        <v>4121</v>
      </c>
      <c r="M249" s="328"/>
    </row>
    <row r="250" spans="2:13" x14ac:dyDescent="0.2">
      <c r="B250" s="26" t="s">
        <v>420</v>
      </c>
      <c r="C250" s="328" t="s">
        <v>2725</v>
      </c>
      <c r="D250" s="328" t="s">
        <v>2726</v>
      </c>
      <c r="E250" s="328" t="s">
        <v>2727</v>
      </c>
      <c r="F250" s="328" t="s">
        <v>2728</v>
      </c>
      <c r="G250" s="328" t="s">
        <v>2729</v>
      </c>
      <c r="H250" s="328" t="s">
        <v>2730</v>
      </c>
      <c r="I250" s="328" t="s">
        <v>2731</v>
      </c>
      <c r="J250" s="328" t="s">
        <v>2732</v>
      </c>
      <c r="K250" s="328" t="s">
        <v>2733</v>
      </c>
      <c r="L250" s="327" t="s">
        <v>3173</v>
      </c>
      <c r="M250" s="328"/>
    </row>
    <row r="251" spans="2:13" x14ac:dyDescent="0.2">
      <c r="B251" s="26" t="s">
        <v>485</v>
      </c>
      <c r="C251" s="328" t="s">
        <v>2734</v>
      </c>
      <c r="D251" s="328" t="s">
        <v>2735</v>
      </c>
      <c r="E251" s="328" t="s">
        <v>2736</v>
      </c>
      <c r="F251" s="328" t="s">
        <v>2737</v>
      </c>
      <c r="G251" s="328" t="s">
        <v>2738</v>
      </c>
      <c r="H251" s="328" t="s">
        <v>2739</v>
      </c>
      <c r="I251" s="328" t="s">
        <v>2740</v>
      </c>
      <c r="J251" s="328" t="s">
        <v>2741</v>
      </c>
      <c r="K251" s="328" t="s">
        <v>2742</v>
      </c>
      <c r="L251" s="327" t="s">
        <v>3174</v>
      </c>
      <c r="M251" s="328"/>
    </row>
    <row r="252" spans="2:13" x14ac:dyDescent="0.2">
      <c r="B252" s="26" t="s">
        <v>498</v>
      </c>
      <c r="C252" s="328" t="s">
        <v>2743</v>
      </c>
      <c r="D252" s="328" t="s">
        <v>2744</v>
      </c>
      <c r="E252" s="328" t="s">
        <v>2745</v>
      </c>
      <c r="F252" s="328" t="s">
        <v>2746</v>
      </c>
      <c r="G252" s="328" t="s">
        <v>2747</v>
      </c>
      <c r="H252" s="328" t="s">
        <v>2748</v>
      </c>
      <c r="I252" s="328" t="s">
        <v>2749</v>
      </c>
      <c r="J252" s="328" t="s">
        <v>2750</v>
      </c>
      <c r="K252" s="328" t="s">
        <v>2751</v>
      </c>
      <c r="L252" s="327" t="s">
        <v>3302</v>
      </c>
      <c r="M252" s="328"/>
    </row>
    <row r="253" spans="2:13" x14ac:dyDescent="0.2">
      <c r="B253" s="26" t="s">
        <v>418</v>
      </c>
      <c r="C253" s="328" t="s">
        <v>2225</v>
      </c>
      <c r="D253" s="328" t="s">
        <v>2226</v>
      </c>
      <c r="E253" s="328" t="s">
        <v>2227</v>
      </c>
      <c r="F253" s="328" t="s">
        <v>2228</v>
      </c>
      <c r="G253" s="328" t="s">
        <v>2229</v>
      </c>
      <c r="H253" s="328" t="s">
        <v>2230</v>
      </c>
      <c r="I253" s="328" t="s">
        <v>2231</v>
      </c>
      <c r="J253" s="328" t="s">
        <v>2232</v>
      </c>
      <c r="K253" s="328" t="s">
        <v>2233</v>
      </c>
      <c r="L253" s="327" t="s">
        <v>3135</v>
      </c>
      <c r="M253" s="328"/>
    </row>
    <row r="254" spans="2:13" x14ac:dyDescent="0.2">
      <c r="B254" s="26" t="s">
        <v>422</v>
      </c>
      <c r="C254" s="328" t="s">
        <v>2752</v>
      </c>
      <c r="D254" s="328" t="s">
        <v>2753</v>
      </c>
      <c r="E254" s="328" t="s">
        <v>2754</v>
      </c>
      <c r="F254" s="328" t="s">
        <v>2755</v>
      </c>
      <c r="G254" s="328" t="s">
        <v>2756</v>
      </c>
      <c r="H254" s="328" t="s">
        <v>2739</v>
      </c>
      <c r="I254" s="328" t="s">
        <v>2740</v>
      </c>
      <c r="J254" s="328" t="s">
        <v>2757</v>
      </c>
      <c r="K254" s="328" t="s">
        <v>2742</v>
      </c>
      <c r="L254" s="327" t="s">
        <v>3175</v>
      </c>
      <c r="M254" s="328"/>
    </row>
    <row r="255" spans="2:13" x14ac:dyDescent="0.2">
      <c r="B255" s="26" t="s">
        <v>473</v>
      </c>
      <c r="C255" s="328" t="s">
        <v>2601</v>
      </c>
      <c r="D255" s="328" t="s">
        <v>2601</v>
      </c>
      <c r="E255" s="328" t="s">
        <v>2602</v>
      </c>
      <c r="F255" s="328" t="s">
        <v>2758</v>
      </c>
      <c r="G255" s="328" t="s">
        <v>2759</v>
      </c>
      <c r="H255" s="328" t="s">
        <v>2760</v>
      </c>
      <c r="I255" s="328" t="s">
        <v>2761</v>
      </c>
      <c r="J255" s="328" t="s">
        <v>2606</v>
      </c>
      <c r="K255" s="328" t="s">
        <v>2762</v>
      </c>
      <c r="L255" s="327" t="s">
        <v>3176</v>
      </c>
      <c r="M255" s="328"/>
    </row>
    <row r="256" spans="2:13" x14ac:dyDescent="0.2">
      <c r="B256" s="26" t="s">
        <v>474</v>
      </c>
      <c r="C256" s="328" t="s">
        <v>2608</v>
      </c>
      <c r="D256" s="328" t="s">
        <v>2608</v>
      </c>
      <c r="E256" s="328" t="s">
        <v>2609</v>
      </c>
      <c r="F256" s="328" t="s">
        <v>2763</v>
      </c>
      <c r="G256" s="328" t="s">
        <v>2764</v>
      </c>
      <c r="H256" s="328" t="s">
        <v>2765</v>
      </c>
      <c r="I256" s="328" t="s">
        <v>2766</v>
      </c>
      <c r="J256" s="328" t="s">
        <v>2611</v>
      </c>
      <c r="K256" s="328" t="s">
        <v>2767</v>
      </c>
      <c r="L256" s="327" t="s">
        <v>3177</v>
      </c>
      <c r="M256" s="328"/>
    </row>
    <row r="257" spans="2:13" x14ac:dyDescent="0.2">
      <c r="B257" s="26" t="s">
        <v>475</v>
      </c>
      <c r="C257" s="328" t="s">
        <v>2613</v>
      </c>
      <c r="D257" s="328" t="s">
        <v>2613</v>
      </c>
      <c r="E257" s="328" t="s">
        <v>2614</v>
      </c>
      <c r="F257" s="328" t="s">
        <v>2768</v>
      </c>
      <c r="G257" s="328" t="s">
        <v>2769</v>
      </c>
      <c r="H257" s="328" t="s">
        <v>2616</v>
      </c>
      <c r="I257" s="328" t="s">
        <v>2768</v>
      </c>
      <c r="J257" s="328" t="s">
        <v>2617</v>
      </c>
      <c r="K257" s="328" t="s">
        <v>2770</v>
      </c>
      <c r="L257" s="327" t="s">
        <v>3178</v>
      </c>
      <c r="M257" s="328"/>
    </row>
    <row r="258" spans="2:13" x14ac:dyDescent="0.2">
      <c r="B258" s="26" t="s">
        <v>476</v>
      </c>
      <c r="C258" s="328" t="s">
        <v>2619</v>
      </c>
      <c r="D258" s="328" t="s">
        <v>2619</v>
      </c>
      <c r="E258" s="328" t="s">
        <v>2620</v>
      </c>
      <c r="F258" s="328" t="s">
        <v>2771</v>
      </c>
      <c r="G258" s="328" t="s">
        <v>476</v>
      </c>
      <c r="H258" s="328" t="s">
        <v>2772</v>
      </c>
      <c r="I258" s="328" t="s">
        <v>2773</v>
      </c>
      <c r="J258" s="328" t="s">
        <v>2623</v>
      </c>
      <c r="K258" s="328" t="s">
        <v>2774</v>
      </c>
      <c r="L258" s="327" t="s">
        <v>3179</v>
      </c>
      <c r="M258" s="328"/>
    </row>
    <row r="259" spans="2:13" x14ac:dyDescent="0.2">
      <c r="B259" s="26" t="s">
        <v>478</v>
      </c>
      <c r="C259" s="328" t="s">
        <v>2632</v>
      </c>
      <c r="D259" s="328" t="s">
        <v>2632</v>
      </c>
      <c r="E259" s="328" t="s">
        <v>2633</v>
      </c>
      <c r="F259" s="328" t="s">
        <v>2775</v>
      </c>
      <c r="G259" s="328" t="s">
        <v>2634</v>
      </c>
      <c r="H259" s="328" t="s">
        <v>2635</v>
      </c>
      <c r="I259" s="328" t="s">
        <v>2776</v>
      </c>
      <c r="J259" s="328" t="s">
        <v>2637</v>
      </c>
      <c r="K259" s="328" t="s">
        <v>2777</v>
      </c>
      <c r="L259" s="327" t="s">
        <v>3180</v>
      </c>
      <c r="M259" s="328"/>
    </row>
    <row r="260" spans="2:13" x14ac:dyDescent="0.2">
      <c r="B260" s="26" t="s">
        <v>479</v>
      </c>
      <c r="C260" s="328" t="s">
        <v>2639</v>
      </c>
      <c r="D260" s="328" t="s">
        <v>2639</v>
      </c>
      <c r="E260" s="328" t="s">
        <v>2640</v>
      </c>
      <c r="F260" s="328" t="s">
        <v>2778</v>
      </c>
      <c r="G260" s="328" t="s">
        <v>2641</v>
      </c>
      <c r="H260" s="328" t="s">
        <v>2642</v>
      </c>
      <c r="I260" s="328" t="s">
        <v>2779</v>
      </c>
      <c r="J260" s="328" t="s">
        <v>2644</v>
      </c>
      <c r="K260" s="328" t="s">
        <v>2780</v>
      </c>
      <c r="L260" s="327" t="s">
        <v>3181</v>
      </c>
      <c r="M260" s="328"/>
    </row>
    <row r="261" spans="2:13" x14ac:dyDescent="0.2">
      <c r="B261" s="26" t="s">
        <v>480</v>
      </c>
      <c r="C261" s="328" t="s">
        <v>2646</v>
      </c>
      <c r="D261" s="328" t="s">
        <v>2646</v>
      </c>
      <c r="E261" s="328" t="s">
        <v>2647</v>
      </c>
      <c r="F261" s="328" t="s">
        <v>2781</v>
      </c>
      <c r="G261" s="328" t="s">
        <v>480</v>
      </c>
      <c r="H261" s="328" t="s">
        <v>2782</v>
      </c>
      <c r="I261" s="328" t="s">
        <v>2781</v>
      </c>
      <c r="J261" s="328" t="s">
        <v>2650</v>
      </c>
      <c r="K261" s="328" t="s">
        <v>2783</v>
      </c>
      <c r="L261" s="327" t="s">
        <v>3182</v>
      </c>
      <c r="M261" s="328"/>
    </row>
    <row r="262" spans="2:13" x14ac:dyDescent="0.2">
      <c r="B262" s="26" t="s">
        <v>481</v>
      </c>
      <c r="C262" s="328" t="s">
        <v>2652</v>
      </c>
      <c r="D262" s="328" t="s">
        <v>2652</v>
      </c>
      <c r="E262" s="328" t="s">
        <v>2653</v>
      </c>
      <c r="F262" s="328" t="s">
        <v>2784</v>
      </c>
      <c r="G262" s="328" t="s">
        <v>481</v>
      </c>
      <c r="H262" s="328" t="s">
        <v>2785</v>
      </c>
      <c r="I262" s="328" t="s">
        <v>2786</v>
      </c>
      <c r="J262" s="328" t="s">
        <v>2656</v>
      </c>
      <c r="K262" s="328" t="s">
        <v>2787</v>
      </c>
      <c r="L262" s="327" t="s">
        <v>3183</v>
      </c>
      <c r="M262" s="328"/>
    </row>
    <row r="263" spans="2:13" x14ac:dyDescent="0.2">
      <c r="B263" s="26" t="s">
        <v>482</v>
      </c>
      <c r="C263" s="328" t="s">
        <v>2658</v>
      </c>
      <c r="D263" s="328" t="s">
        <v>2658</v>
      </c>
      <c r="E263" s="328" t="s">
        <v>2659</v>
      </c>
      <c r="F263" s="328" t="s">
        <v>2788</v>
      </c>
      <c r="G263" s="328" t="s">
        <v>2789</v>
      </c>
      <c r="H263" s="328" t="s">
        <v>2790</v>
      </c>
      <c r="I263" s="328" t="s">
        <v>2791</v>
      </c>
      <c r="J263" s="328" t="s">
        <v>2663</v>
      </c>
      <c r="K263" s="328" t="s">
        <v>2792</v>
      </c>
      <c r="L263" s="327" t="s">
        <v>3184</v>
      </c>
      <c r="M263" s="328"/>
    </row>
    <row r="264" spans="2:13" x14ac:dyDescent="0.2">
      <c r="B264" s="26" t="s">
        <v>483</v>
      </c>
      <c r="C264" s="328" t="s">
        <v>2665</v>
      </c>
      <c r="D264" s="328" t="s">
        <v>2665</v>
      </c>
      <c r="E264" s="328" t="s">
        <v>2666</v>
      </c>
      <c r="F264" s="328" t="s">
        <v>2793</v>
      </c>
      <c r="G264" s="328" t="s">
        <v>483</v>
      </c>
      <c r="H264" s="328" t="s">
        <v>2794</v>
      </c>
      <c r="I264" s="328" t="s">
        <v>2795</v>
      </c>
      <c r="J264" s="328" t="s">
        <v>2668</v>
      </c>
      <c r="K264" s="328" t="s">
        <v>2796</v>
      </c>
      <c r="L264" s="327" t="s">
        <v>3185</v>
      </c>
      <c r="M264" s="328"/>
    </row>
    <row r="265" spans="2:13" x14ac:dyDescent="0.2">
      <c r="B265" s="26" t="s">
        <v>484</v>
      </c>
      <c r="C265" s="328" t="s">
        <v>2670</v>
      </c>
      <c r="D265" s="328" t="s">
        <v>2670</v>
      </c>
      <c r="E265" s="328" t="s">
        <v>2671</v>
      </c>
      <c r="F265" s="328" t="s">
        <v>2797</v>
      </c>
      <c r="G265" s="328" t="s">
        <v>2798</v>
      </c>
      <c r="H265" s="328" t="s">
        <v>2799</v>
      </c>
      <c r="I265" s="328" t="s">
        <v>2800</v>
      </c>
      <c r="J265" s="328" t="s">
        <v>2675</v>
      </c>
      <c r="K265" s="328" t="s">
        <v>2801</v>
      </c>
      <c r="L265" s="327" t="s">
        <v>3186</v>
      </c>
      <c r="M265" s="328"/>
    </row>
    <row r="266" spans="2:13" x14ac:dyDescent="0.2">
      <c r="B266" s="26" t="s">
        <v>731</v>
      </c>
      <c r="C266" s="328" t="s">
        <v>742</v>
      </c>
      <c r="D266" s="328" t="s">
        <v>743</v>
      </c>
      <c r="E266" s="328" t="s">
        <v>744</v>
      </c>
      <c r="F266" s="328" t="s">
        <v>745</v>
      </c>
      <c r="G266" s="328" t="s">
        <v>746</v>
      </c>
      <c r="H266" s="328" t="s">
        <v>747</v>
      </c>
      <c r="I266" s="328" t="s">
        <v>748</v>
      </c>
      <c r="J266" s="328" t="s">
        <v>749</v>
      </c>
      <c r="K266" s="328" t="s">
        <v>750</v>
      </c>
      <c r="L266" s="327" t="s">
        <v>3187</v>
      </c>
      <c r="M266" s="328"/>
    </row>
    <row r="267" spans="2:13" x14ac:dyDescent="0.2">
      <c r="B267" s="26" t="s">
        <v>732</v>
      </c>
      <c r="C267" s="328" t="s">
        <v>733</v>
      </c>
      <c r="D267" s="328" t="s">
        <v>734</v>
      </c>
      <c r="E267" s="328" t="s">
        <v>735</v>
      </c>
      <c r="F267" s="328" t="s">
        <v>736</v>
      </c>
      <c r="G267" s="328" t="s">
        <v>737</v>
      </c>
      <c r="H267" s="328" t="s">
        <v>738</v>
      </c>
      <c r="I267" s="328" t="s">
        <v>739</v>
      </c>
      <c r="J267" s="328" t="s">
        <v>740</v>
      </c>
      <c r="K267" s="328" t="s">
        <v>741</v>
      </c>
      <c r="L267" s="327" t="s">
        <v>3188</v>
      </c>
      <c r="M267" s="328"/>
    </row>
    <row r="268" spans="2:13" x14ac:dyDescent="0.2">
      <c r="B268" s="26" t="s">
        <v>4328</v>
      </c>
      <c r="C268" s="328" t="s">
        <v>4329</v>
      </c>
      <c r="D268" s="328" t="s">
        <v>4329</v>
      </c>
      <c r="E268" s="328" t="s">
        <v>2802</v>
      </c>
      <c r="F268" s="328" t="s">
        <v>4330</v>
      </c>
      <c r="G268" s="328" t="s">
        <v>4331</v>
      </c>
      <c r="H268" s="328" t="s">
        <v>4332</v>
      </c>
      <c r="I268" s="328" t="s">
        <v>4333</v>
      </c>
      <c r="J268" s="328" t="s">
        <v>4334</v>
      </c>
      <c r="K268" s="328" t="s">
        <v>4335</v>
      </c>
      <c r="L268" s="327" t="s">
        <v>3189</v>
      </c>
      <c r="M268" s="328"/>
    </row>
    <row r="269" spans="2:13" x14ac:dyDescent="0.2">
      <c r="B269" s="26" t="s">
        <v>4336</v>
      </c>
      <c r="C269" s="328" t="s">
        <v>4337</v>
      </c>
      <c r="D269" s="328" t="s">
        <v>4337</v>
      </c>
      <c r="E269" s="328" t="s">
        <v>2803</v>
      </c>
      <c r="F269" s="328" t="s">
        <v>4338</v>
      </c>
      <c r="G269" s="328" t="s">
        <v>4339</v>
      </c>
      <c r="H269" s="328" t="s">
        <v>4340</v>
      </c>
      <c r="I269" s="328" t="s">
        <v>4341</v>
      </c>
      <c r="J269" s="328" t="s">
        <v>4342</v>
      </c>
      <c r="K269" s="328" t="s">
        <v>4343</v>
      </c>
      <c r="L269" s="327" t="s">
        <v>3190</v>
      </c>
      <c r="M269" s="328"/>
    </row>
    <row r="270" spans="2:13" x14ac:dyDescent="0.2">
      <c r="B270" s="26" t="s">
        <v>4344</v>
      </c>
      <c r="C270" s="328" t="s">
        <v>4345</v>
      </c>
      <c r="D270" s="328" t="s">
        <v>4345</v>
      </c>
      <c r="E270" s="328" t="s">
        <v>2804</v>
      </c>
      <c r="F270" s="328" t="s">
        <v>4346</v>
      </c>
      <c r="G270" s="328" t="s">
        <v>4347</v>
      </c>
      <c r="H270" s="328" t="s">
        <v>4348</v>
      </c>
      <c r="I270" s="328" t="s">
        <v>4349</v>
      </c>
      <c r="J270" s="328" t="s">
        <v>4350</v>
      </c>
      <c r="K270" s="328" t="s">
        <v>4351</v>
      </c>
      <c r="L270" s="327" t="s">
        <v>3191</v>
      </c>
      <c r="M270" s="328"/>
    </row>
    <row r="271" spans="2:13" x14ac:dyDescent="0.2">
      <c r="B271" s="26" t="s">
        <v>4352</v>
      </c>
      <c r="C271" s="328" t="s">
        <v>4353</v>
      </c>
      <c r="D271" s="328" t="s">
        <v>4353</v>
      </c>
      <c r="E271" s="328" t="s">
        <v>2805</v>
      </c>
      <c r="F271" s="328" t="s">
        <v>4354</v>
      </c>
      <c r="G271" s="328" t="s">
        <v>4355</v>
      </c>
      <c r="H271" s="328" t="s">
        <v>4356</v>
      </c>
      <c r="I271" s="328" t="s">
        <v>4357</v>
      </c>
      <c r="J271" s="328" t="s">
        <v>4358</v>
      </c>
      <c r="K271" s="328" t="s">
        <v>4359</v>
      </c>
      <c r="L271" s="327" t="s">
        <v>3192</v>
      </c>
      <c r="M271" s="328"/>
    </row>
    <row r="272" spans="2:13" x14ac:dyDescent="0.2">
      <c r="B272" s="26" t="s">
        <v>4360</v>
      </c>
      <c r="C272" s="328" t="s">
        <v>4361</v>
      </c>
      <c r="D272" s="328" t="s">
        <v>4361</v>
      </c>
      <c r="E272" s="328" t="s">
        <v>2806</v>
      </c>
      <c r="F272" s="328" t="s">
        <v>4362</v>
      </c>
      <c r="G272" s="328" t="s">
        <v>4363</v>
      </c>
      <c r="H272" s="328" t="s">
        <v>4364</v>
      </c>
      <c r="I272" s="328" t="s">
        <v>4365</v>
      </c>
      <c r="J272" s="328" t="s">
        <v>4366</v>
      </c>
      <c r="K272" s="328" t="s">
        <v>4367</v>
      </c>
      <c r="L272" s="327" t="s">
        <v>3193</v>
      </c>
      <c r="M272" s="328"/>
    </row>
    <row r="273" spans="2:13" x14ac:dyDescent="0.2">
      <c r="B273" s="26" t="s">
        <v>4368</v>
      </c>
      <c r="C273" s="328" t="s">
        <v>4369</v>
      </c>
      <c r="D273" s="328" t="s">
        <v>4369</v>
      </c>
      <c r="E273" s="328" t="s">
        <v>2807</v>
      </c>
      <c r="F273" s="328" t="s">
        <v>4370</v>
      </c>
      <c r="G273" s="328" t="s">
        <v>4371</v>
      </c>
      <c r="H273" s="328" t="s">
        <v>4372</v>
      </c>
      <c r="I273" s="328" t="s">
        <v>4373</v>
      </c>
      <c r="J273" s="328" t="s">
        <v>4374</v>
      </c>
      <c r="K273" s="328" t="s">
        <v>4375</v>
      </c>
      <c r="L273" s="327" t="s">
        <v>3194</v>
      </c>
      <c r="M273" s="328"/>
    </row>
    <row r="274" spans="2:13" x14ac:dyDescent="0.2">
      <c r="B274" s="26" t="s">
        <v>761</v>
      </c>
      <c r="C274" s="328" t="s">
        <v>2808</v>
      </c>
      <c r="D274" s="328" t="s">
        <v>2809</v>
      </c>
      <c r="E274" s="328" t="s">
        <v>2810</v>
      </c>
      <c r="F274" s="328" t="s">
        <v>2811</v>
      </c>
      <c r="G274" s="328" t="s">
        <v>2812</v>
      </c>
      <c r="H274" s="328" t="s">
        <v>2813</v>
      </c>
      <c r="I274" s="328" t="s">
        <v>2814</v>
      </c>
      <c r="J274" s="328" t="s">
        <v>2815</v>
      </c>
      <c r="K274" s="328" t="s">
        <v>2816</v>
      </c>
      <c r="L274" s="327" t="s">
        <v>3195</v>
      </c>
      <c r="M274" s="328"/>
    </row>
    <row r="275" spans="2:13" x14ac:dyDescent="0.2">
      <c r="B275" s="26" t="s">
        <v>762</v>
      </c>
      <c r="C275" s="328" t="s">
        <v>2817</v>
      </c>
      <c r="D275" s="328" t="s">
        <v>2818</v>
      </c>
      <c r="E275" s="328" t="s">
        <v>2819</v>
      </c>
      <c r="F275" s="328" t="s">
        <v>2820</v>
      </c>
      <c r="G275" s="328" t="s">
        <v>2821</v>
      </c>
      <c r="H275" s="328" t="s">
        <v>2822</v>
      </c>
      <c r="I275" s="328" t="s">
        <v>2823</v>
      </c>
      <c r="J275" s="328" t="s">
        <v>2824</v>
      </c>
      <c r="K275" s="328" t="s">
        <v>2825</v>
      </c>
      <c r="L275" s="327" t="s">
        <v>3196</v>
      </c>
      <c r="M275" s="328"/>
    </row>
    <row r="276" spans="2:13" x14ac:dyDescent="0.2">
      <c r="B276" s="26" t="s">
        <v>763</v>
      </c>
      <c r="C276" s="328" t="s">
        <v>2826</v>
      </c>
      <c r="D276" s="328" t="s">
        <v>2827</v>
      </c>
      <c r="E276" s="328" t="s">
        <v>2828</v>
      </c>
      <c r="F276" s="328" t="s">
        <v>2829</v>
      </c>
      <c r="G276" s="328" t="s">
        <v>2830</v>
      </c>
      <c r="H276" s="328" t="s">
        <v>2831</v>
      </c>
      <c r="I276" s="328" t="s">
        <v>2832</v>
      </c>
      <c r="J276" s="328" t="s">
        <v>2833</v>
      </c>
      <c r="K276" s="328" t="s">
        <v>2834</v>
      </c>
      <c r="L276" s="327" t="s">
        <v>3197</v>
      </c>
      <c r="M276" s="328"/>
    </row>
    <row r="277" spans="2:13" x14ac:dyDescent="0.2">
      <c r="B277" s="26" t="s">
        <v>764</v>
      </c>
      <c r="C277" s="328" t="s">
        <v>2835</v>
      </c>
      <c r="D277" s="328" t="s">
        <v>2836</v>
      </c>
      <c r="E277" s="328" t="s">
        <v>2837</v>
      </c>
      <c r="F277" s="328" t="s">
        <v>2838</v>
      </c>
      <c r="G277" s="328" t="s">
        <v>2839</v>
      </c>
      <c r="H277" s="328" t="s">
        <v>764</v>
      </c>
      <c r="I277" s="328" t="s">
        <v>2838</v>
      </c>
      <c r="J277" s="328" t="s">
        <v>764</v>
      </c>
      <c r="K277" s="328" t="s">
        <v>764</v>
      </c>
      <c r="L277" s="327" t="s">
        <v>764</v>
      </c>
      <c r="M277" s="328"/>
    </row>
    <row r="278" spans="2:13" x14ac:dyDescent="0.2">
      <c r="B278" s="26" t="s">
        <v>765</v>
      </c>
      <c r="C278" s="328" t="s">
        <v>2840</v>
      </c>
      <c r="D278" s="328" t="s">
        <v>2841</v>
      </c>
      <c r="E278" s="328" t="s">
        <v>2842</v>
      </c>
      <c r="F278" s="328" t="s">
        <v>2843</v>
      </c>
      <c r="G278" s="328" t="s">
        <v>2844</v>
      </c>
      <c r="H278" s="328" t="s">
        <v>2845</v>
      </c>
      <c r="I278" s="328" t="s">
        <v>2846</v>
      </c>
      <c r="J278" s="328" t="s">
        <v>2847</v>
      </c>
      <c r="K278" s="328" t="s">
        <v>2848</v>
      </c>
      <c r="L278" s="327" t="s">
        <v>3198</v>
      </c>
      <c r="M278" s="328"/>
    </row>
    <row r="279" spans="2:13" x14ac:dyDescent="0.2">
      <c r="B279" s="26" t="s">
        <v>766</v>
      </c>
      <c r="C279" s="328" t="s">
        <v>2849</v>
      </c>
      <c r="D279" s="328" t="s">
        <v>2849</v>
      </c>
      <c r="E279" s="328" t="s">
        <v>2850</v>
      </c>
      <c r="F279" s="328" t="s">
        <v>2851</v>
      </c>
      <c r="G279" s="328" t="s">
        <v>2852</v>
      </c>
      <c r="H279" s="328" t="s">
        <v>2853</v>
      </c>
      <c r="I279" s="328" t="s">
        <v>2854</v>
      </c>
      <c r="J279" s="328" t="s">
        <v>2855</v>
      </c>
      <c r="K279" s="328" t="s">
        <v>2856</v>
      </c>
      <c r="L279" s="327" t="s">
        <v>3199</v>
      </c>
      <c r="M279" s="328"/>
    </row>
    <row r="280" spans="2:13" x14ac:dyDescent="0.2">
      <c r="B280" s="26" t="s">
        <v>767</v>
      </c>
      <c r="C280" s="328" t="s">
        <v>2857</v>
      </c>
      <c r="D280" s="328" t="s">
        <v>2858</v>
      </c>
      <c r="E280" s="328" t="s">
        <v>2859</v>
      </c>
      <c r="F280" s="328" t="s">
        <v>2860</v>
      </c>
      <c r="G280" s="328" t="s">
        <v>2861</v>
      </c>
      <c r="H280" s="328" t="s">
        <v>2862</v>
      </c>
      <c r="I280" s="328" t="s">
        <v>2863</v>
      </c>
      <c r="J280" s="328" t="s">
        <v>2864</v>
      </c>
      <c r="K280" s="328" t="s">
        <v>2865</v>
      </c>
      <c r="L280" s="327" t="s">
        <v>3200</v>
      </c>
      <c r="M280" s="328"/>
    </row>
    <row r="281" spans="2:13" x14ac:dyDescent="0.2">
      <c r="B281" s="26" t="s">
        <v>770</v>
      </c>
      <c r="C281" s="328" t="s">
        <v>2075</v>
      </c>
      <c r="D281" s="328" t="s">
        <v>2076</v>
      </c>
      <c r="E281" s="328" t="s">
        <v>2077</v>
      </c>
      <c r="F281" s="328" t="s">
        <v>2078</v>
      </c>
      <c r="G281" s="328" t="s">
        <v>2079</v>
      </c>
      <c r="H281" s="328" t="s">
        <v>2080</v>
      </c>
      <c r="I281" s="328" t="s">
        <v>2081</v>
      </c>
      <c r="J281" s="328" t="s">
        <v>2082</v>
      </c>
      <c r="K281" s="328" t="s">
        <v>2083</v>
      </c>
      <c r="L281" s="327" t="s">
        <v>3121</v>
      </c>
      <c r="M281" s="328"/>
    </row>
    <row r="282" spans="2:13" x14ac:dyDescent="0.2">
      <c r="B282" s="26" t="s">
        <v>788</v>
      </c>
      <c r="C282" s="328" t="s">
        <v>771</v>
      </c>
      <c r="D282" s="328" t="s">
        <v>772</v>
      </c>
      <c r="E282" s="328" t="s">
        <v>773</v>
      </c>
      <c r="F282" s="328" t="s">
        <v>774</v>
      </c>
      <c r="G282" s="328" t="s">
        <v>775</v>
      </c>
      <c r="H282" s="328" t="s">
        <v>776</v>
      </c>
      <c r="I282" s="328" t="s">
        <v>777</v>
      </c>
      <c r="J282" s="328" t="s">
        <v>778</v>
      </c>
      <c r="K282" s="328" t="s">
        <v>779</v>
      </c>
      <c r="L282" s="327" t="s">
        <v>3201</v>
      </c>
      <c r="M282" s="328"/>
    </row>
    <row r="283" spans="2:13" x14ac:dyDescent="0.2">
      <c r="B283" s="26" t="s">
        <v>780</v>
      </c>
      <c r="C283" s="328" t="s">
        <v>2866</v>
      </c>
      <c r="D283" s="328" t="s">
        <v>2867</v>
      </c>
      <c r="E283" s="328" t="s">
        <v>2868</v>
      </c>
      <c r="F283" s="328" t="s">
        <v>2869</v>
      </c>
      <c r="G283" s="328" t="s">
        <v>2870</v>
      </c>
      <c r="H283" s="328" t="s">
        <v>2871</v>
      </c>
      <c r="I283" s="328" t="s">
        <v>2872</v>
      </c>
      <c r="J283" s="328" t="s">
        <v>2873</v>
      </c>
      <c r="K283" s="328" t="s">
        <v>4042</v>
      </c>
      <c r="L283" s="327" t="s">
        <v>3202</v>
      </c>
      <c r="M283" s="328"/>
    </row>
    <row r="284" spans="2:13" x14ac:dyDescent="0.2">
      <c r="B284" s="26" t="s">
        <v>781</v>
      </c>
      <c r="C284" s="328" t="s">
        <v>2874</v>
      </c>
      <c r="D284" s="328" t="s">
        <v>2874</v>
      </c>
      <c r="E284" s="328" t="s">
        <v>2875</v>
      </c>
      <c r="F284" s="328" t="s">
        <v>2876</v>
      </c>
      <c r="G284" s="328" t="s">
        <v>2877</v>
      </c>
      <c r="H284" s="328" t="s">
        <v>2878</v>
      </c>
      <c r="I284" s="328" t="s">
        <v>2879</v>
      </c>
      <c r="J284" s="328" t="s">
        <v>2880</v>
      </c>
      <c r="K284" s="328" t="s">
        <v>2881</v>
      </c>
      <c r="L284" s="327" t="s">
        <v>3100</v>
      </c>
      <c r="M284" s="328"/>
    </row>
    <row r="285" spans="2:13" x14ac:dyDescent="0.2">
      <c r="B285" s="26" t="s">
        <v>783</v>
      </c>
      <c r="C285" s="328" t="s">
        <v>2882</v>
      </c>
      <c r="D285" s="328" t="s">
        <v>2882</v>
      </c>
      <c r="E285" s="328" t="s">
        <v>2883</v>
      </c>
      <c r="F285" s="328" t="s">
        <v>2884</v>
      </c>
      <c r="G285" s="328" t="s">
        <v>2885</v>
      </c>
      <c r="H285" s="328" t="s">
        <v>2886</v>
      </c>
      <c r="I285" s="328" t="s">
        <v>2887</v>
      </c>
      <c r="J285" s="328" t="s">
        <v>2888</v>
      </c>
      <c r="K285" s="328" t="s">
        <v>2889</v>
      </c>
      <c r="L285" s="327" t="s">
        <v>3203</v>
      </c>
      <c r="M285" s="328"/>
    </row>
    <row r="286" spans="2:13" x14ac:dyDescent="0.2">
      <c r="B286" s="26" t="s">
        <v>283</v>
      </c>
      <c r="C286" s="328" t="s">
        <v>2130</v>
      </c>
      <c r="D286" s="328" t="s">
        <v>2131</v>
      </c>
      <c r="E286" s="328" t="s">
        <v>2130</v>
      </c>
      <c r="F286" s="328" t="s">
        <v>2132</v>
      </c>
      <c r="G286" s="328" t="s">
        <v>2133</v>
      </c>
      <c r="H286" s="328" t="s">
        <v>2134</v>
      </c>
      <c r="I286" s="328" t="s">
        <v>2135</v>
      </c>
      <c r="J286" s="328" t="s">
        <v>2136</v>
      </c>
      <c r="K286" s="328">
        <v>0</v>
      </c>
      <c r="L286" s="327" t="s">
        <v>3126</v>
      </c>
      <c r="M286" s="328"/>
    </row>
    <row r="287" spans="2:13" x14ac:dyDescent="0.2">
      <c r="B287" s="26" t="s">
        <v>784</v>
      </c>
      <c r="C287" s="328" t="s">
        <v>2684</v>
      </c>
      <c r="D287" s="328" t="s">
        <v>2684</v>
      </c>
      <c r="E287" s="328" t="s">
        <v>2890</v>
      </c>
      <c r="F287" s="328" t="s">
        <v>2891</v>
      </c>
      <c r="G287" s="328" t="s">
        <v>2892</v>
      </c>
      <c r="H287" s="328" t="s">
        <v>2893</v>
      </c>
      <c r="I287" s="328" t="s">
        <v>2894</v>
      </c>
      <c r="J287" s="328" t="s">
        <v>2895</v>
      </c>
      <c r="K287" s="328" t="s">
        <v>2896</v>
      </c>
      <c r="L287" s="327" t="s">
        <v>2891</v>
      </c>
      <c r="M287" s="328"/>
    </row>
    <row r="288" spans="2:13" x14ac:dyDescent="0.2">
      <c r="B288" s="26" t="s">
        <v>785</v>
      </c>
      <c r="C288" s="328" t="s">
        <v>1074</v>
      </c>
      <c r="D288" s="328" t="s">
        <v>1075</v>
      </c>
      <c r="E288" s="328" t="s">
        <v>1076</v>
      </c>
      <c r="F288" s="328" t="s">
        <v>1077</v>
      </c>
      <c r="G288" s="328" t="s">
        <v>1078</v>
      </c>
      <c r="H288" s="328" t="s">
        <v>1077</v>
      </c>
      <c r="I288" s="328" t="s">
        <v>1079</v>
      </c>
      <c r="J288" s="328" t="s">
        <v>1080</v>
      </c>
      <c r="K288" s="328" t="s">
        <v>4041</v>
      </c>
      <c r="L288" s="327" t="s">
        <v>3013</v>
      </c>
      <c r="M288" s="328"/>
    </row>
    <row r="289" spans="2:13" x14ac:dyDescent="0.2">
      <c r="B289" s="26" t="s">
        <v>4122</v>
      </c>
      <c r="C289" s="328" t="s">
        <v>4123</v>
      </c>
      <c r="D289" s="328" t="s">
        <v>4124</v>
      </c>
      <c r="E289" s="328" t="s">
        <v>4125</v>
      </c>
      <c r="F289" s="328" t="s">
        <v>4126</v>
      </c>
      <c r="G289" s="328" t="s">
        <v>4129</v>
      </c>
      <c r="H289" s="328" t="s">
        <v>4130</v>
      </c>
      <c r="I289" s="328" t="s">
        <v>4131</v>
      </c>
      <c r="J289" s="328" t="s">
        <v>4127</v>
      </c>
      <c r="K289" s="328" t="s">
        <v>4132</v>
      </c>
      <c r="L289" s="327" t="s">
        <v>4128</v>
      </c>
      <c r="M289" s="328"/>
    </row>
    <row r="290" spans="2:13" x14ac:dyDescent="0.2">
      <c r="B290" s="26" t="s">
        <v>4166</v>
      </c>
      <c r="C290" s="328" t="s">
        <v>4167</v>
      </c>
      <c r="D290" s="328" t="s">
        <v>4168</v>
      </c>
      <c r="E290" s="328" t="s">
        <v>4169</v>
      </c>
      <c r="F290" s="328" t="s">
        <v>4170</v>
      </c>
      <c r="G290" s="328" t="s">
        <v>4171</v>
      </c>
      <c r="H290" s="328" t="s">
        <v>4166</v>
      </c>
      <c r="I290" s="328" t="s">
        <v>4170</v>
      </c>
      <c r="J290" s="328" t="s">
        <v>4172</v>
      </c>
      <c r="K290" s="328" t="s">
        <v>4173</v>
      </c>
      <c r="L290" s="327" t="s">
        <v>4170</v>
      </c>
      <c r="M290" s="328"/>
    </row>
    <row r="291" spans="2:13" x14ac:dyDescent="0.2">
      <c r="B291" s="26" t="s">
        <v>4207</v>
      </c>
      <c r="C291" s="328" t="s">
        <v>4208</v>
      </c>
      <c r="D291" s="328" t="s">
        <v>4209</v>
      </c>
      <c r="E291" s="328" t="s">
        <v>4210</v>
      </c>
      <c r="F291" s="328" t="s">
        <v>4211</v>
      </c>
      <c r="G291" s="328" t="s">
        <v>4212</v>
      </c>
      <c r="H291" s="328" t="s">
        <v>4213</v>
      </c>
      <c r="I291" s="328" t="s">
        <v>4214</v>
      </c>
      <c r="J291" s="328" t="s">
        <v>4215</v>
      </c>
      <c r="K291" s="328" t="s">
        <v>4216</v>
      </c>
      <c r="L291" s="327" t="s">
        <v>4217</v>
      </c>
      <c r="M291" s="328"/>
    </row>
    <row r="292" spans="2:13" x14ac:dyDescent="0.2">
      <c r="B292" s="26" t="s">
        <v>4219</v>
      </c>
      <c r="C292" s="328" t="s">
        <v>4220</v>
      </c>
      <c r="D292" s="328" t="s">
        <v>4221</v>
      </c>
      <c r="E292" s="328" t="s">
        <v>4222</v>
      </c>
      <c r="F292" s="328" t="s">
        <v>4218</v>
      </c>
      <c r="G292" s="328" t="s">
        <v>4223</v>
      </c>
      <c r="H292" s="328" t="s">
        <v>4224</v>
      </c>
      <c r="I292" s="328" t="s">
        <v>4225</v>
      </c>
      <c r="J292" s="328" t="s">
        <v>4226</v>
      </c>
      <c r="K292" s="328" t="s">
        <v>4227</v>
      </c>
      <c r="L292" s="327" t="s">
        <v>4228</v>
      </c>
      <c r="M292" s="328"/>
    </row>
    <row r="293" spans="2:13" x14ac:dyDescent="0.2">
      <c r="B293" s="26" t="s">
        <v>4229</v>
      </c>
      <c r="C293" s="328" t="s">
        <v>4230</v>
      </c>
      <c r="D293" s="328" t="s">
        <v>4231</v>
      </c>
      <c r="E293" s="328" t="s">
        <v>4232</v>
      </c>
      <c r="F293" s="328" t="s">
        <v>4233</v>
      </c>
      <c r="G293" s="328" t="s">
        <v>4234</v>
      </c>
      <c r="H293" s="328" t="s">
        <v>4235</v>
      </c>
      <c r="I293" s="328" t="s">
        <v>4236</v>
      </c>
      <c r="J293" s="328" t="s">
        <v>4237</v>
      </c>
      <c r="K293" s="328" t="s">
        <v>4238</v>
      </c>
      <c r="L293" s="327" t="s">
        <v>4239</v>
      </c>
      <c r="M293" s="328"/>
    </row>
    <row r="294" spans="2:13" x14ac:dyDescent="0.2">
      <c r="B294" s="26" t="s">
        <v>4133</v>
      </c>
      <c r="C294" s="328" t="s">
        <v>4134</v>
      </c>
      <c r="D294" s="328" t="s">
        <v>4135</v>
      </c>
      <c r="E294" s="328" t="s">
        <v>4136</v>
      </c>
      <c r="F294" s="328" t="s">
        <v>4137</v>
      </c>
      <c r="G294" s="328" t="s">
        <v>4138</v>
      </c>
      <c r="H294" s="328" t="s">
        <v>4139</v>
      </c>
      <c r="I294" s="328" t="s">
        <v>4140</v>
      </c>
      <c r="J294" s="328" t="s">
        <v>4141</v>
      </c>
      <c r="K294" s="328" t="s">
        <v>4142</v>
      </c>
      <c r="L294" s="327" t="s">
        <v>4143</v>
      </c>
      <c r="M294" s="328"/>
    </row>
    <row r="295" spans="2:13" x14ac:dyDescent="0.2">
      <c r="B295" s="26" t="s">
        <v>789</v>
      </c>
      <c r="C295" s="328" t="s">
        <v>2897</v>
      </c>
      <c r="D295" s="328" t="s">
        <v>2898</v>
      </c>
      <c r="E295" s="328" t="s">
        <v>2899</v>
      </c>
      <c r="F295" s="328" t="s">
        <v>2900</v>
      </c>
      <c r="G295" s="328" t="s">
        <v>2901</v>
      </c>
      <c r="H295" s="328" t="s">
        <v>2902</v>
      </c>
      <c r="I295" s="328" t="s">
        <v>2903</v>
      </c>
      <c r="J295" s="328" t="s">
        <v>2904</v>
      </c>
      <c r="K295" s="328" t="s">
        <v>2905</v>
      </c>
      <c r="L295" s="327" t="s">
        <v>3204</v>
      </c>
      <c r="M295" s="328"/>
    </row>
    <row r="296" spans="2:13" x14ac:dyDescent="0.2">
      <c r="B296" s="26" t="s">
        <v>794</v>
      </c>
      <c r="C296" s="328" t="s">
        <v>1677</v>
      </c>
      <c r="D296" s="328" t="s">
        <v>1678</v>
      </c>
      <c r="E296" s="328" t="s">
        <v>1679</v>
      </c>
      <c r="F296" s="328" t="s">
        <v>2906</v>
      </c>
      <c r="G296" s="328" t="s">
        <v>2907</v>
      </c>
      <c r="H296" s="328" t="s">
        <v>2908</v>
      </c>
      <c r="I296" s="328" t="s">
        <v>2909</v>
      </c>
      <c r="J296" s="328" t="s">
        <v>1684</v>
      </c>
      <c r="K296" s="328" t="s">
        <v>2910</v>
      </c>
      <c r="L296" s="327" t="s">
        <v>3205</v>
      </c>
      <c r="M296" s="328"/>
    </row>
    <row r="297" spans="2:13" x14ac:dyDescent="0.2">
      <c r="B297" s="26" t="s">
        <v>795</v>
      </c>
      <c r="C297" s="328" t="s">
        <v>2911</v>
      </c>
      <c r="D297" s="328" t="s">
        <v>2912</v>
      </c>
      <c r="E297" s="328" t="s">
        <v>1708</v>
      </c>
      <c r="F297" s="328" t="s">
        <v>2913</v>
      </c>
      <c r="G297" s="328" t="s">
        <v>2914</v>
      </c>
      <c r="H297" s="328" t="s">
        <v>2915</v>
      </c>
      <c r="I297" s="328" t="s">
        <v>2916</v>
      </c>
      <c r="J297" s="328" t="s">
        <v>2917</v>
      </c>
      <c r="K297" s="328" t="s">
        <v>2918</v>
      </c>
      <c r="L297" s="327" t="s">
        <v>2983</v>
      </c>
      <c r="M297" s="328"/>
    </row>
    <row r="298" spans="2:13" x14ac:dyDescent="0.2">
      <c r="B298" s="26" t="s">
        <v>796</v>
      </c>
      <c r="C298" s="328" t="s">
        <v>2919</v>
      </c>
      <c r="D298" s="328" t="s">
        <v>2920</v>
      </c>
      <c r="E298" s="328" t="s">
        <v>2921</v>
      </c>
      <c r="F298" s="328" t="s">
        <v>2922</v>
      </c>
      <c r="G298" s="328" t="s">
        <v>2923</v>
      </c>
      <c r="H298" s="328" t="s">
        <v>2924</v>
      </c>
      <c r="I298" s="328" t="s">
        <v>2925</v>
      </c>
      <c r="J298" s="328" t="s">
        <v>2926</v>
      </c>
      <c r="K298" s="328" t="s">
        <v>2927</v>
      </c>
      <c r="L298" s="327" t="s">
        <v>2984</v>
      </c>
      <c r="M298" s="328"/>
    </row>
    <row r="299" spans="2:13" x14ac:dyDescent="0.2">
      <c r="B299" s="26" t="s">
        <v>797</v>
      </c>
      <c r="C299" s="328" t="s">
        <v>1424</v>
      </c>
      <c r="D299" s="328" t="s">
        <v>1425</v>
      </c>
      <c r="E299" s="328" t="s">
        <v>2928</v>
      </c>
      <c r="F299" s="328" t="s">
        <v>2929</v>
      </c>
      <c r="G299" s="328" t="s">
        <v>2930</v>
      </c>
      <c r="H299" s="328" t="s">
        <v>2929</v>
      </c>
      <c r="I299" s="328" t="s">
        <v>2931</v>
      </c>
      <c r="J299" s="328" t="s">
        <v>2932</v>
      </c>
      <c r="K299" s="328" t="s">
        <v>2933</v>
      </c>
      <c r="L299" s="327" t="s">
        <v>2929</v>
      </c>
      <c r="M299" s="328"/>
    </row>
    <row r="300" spans="2:13" x14ac:dyDescent="0.2">
      <c r="B300" s="26" t="s">
        <v>798</v>
      </c>
      <c r="C300" s="328" t="s">
        <v>802</v>
      </c>
      <c r="D300" s="328" t="s">
        <v>803</v>
      </c>
      <c r="E300" s="328" t="s">
        <v>804</v>
      </c>
      <c r="F300" s="328" t="s">
        <v>805</v>
      </c>
      <c r="G300" s="328" t="s">
        <v>806</v>
      </c>
      <c r="H300" s="328" t="s">
        <v>807</v>
      </c>
      <c r="I300" s="328" t="s">
        <v>808</v>
      </c>
      <c r="J300" s="328" t="s">
        <v>809</v>
      </c>
      <c r="K300" s="328" t="s">
        <v>810</v>
      </c>
      <c r="L300" s="327" t="s">
        <v>2985</v>
      </c>
      <c r="M300" s="328"/>
    </row>
    <row r="301" spans="2:13" x14ac:dyDescent="0.2">
      <c r="B301" s="26" t="s">
        <v>799</v>
      </c>
      <c r="C301" s="328" t="s">
        <v>2934</v>
      </c>
      <c r="D301" s="328" t="s">
        <v>2935</v>
      </c>
      <c r="E301" s="328" t="s">
        <v>2936</v>
      </c>
      <c r="F301" s="328" t="s">
        <v>2937</v>
      </c>
      <c r="G301" s="328" t="s">
        <v>2938</v>
      </c>
      <c r="H301" s="328" t="s">
        <v>2939</v>
      </c>
      <c r="I301" s="328" t="s">
        <v>2940</v>
      </c>
      <c r="J301" s="328" t="s">
        <v>2941</v>
      </c>
      <c r="K301" s="328" t="s">
        <v>2942</v>
      </c>
      <c r="L301" s="327" t="s">
        <v>2986</v>
      </c>
      <c r="M301" s="328"/>
    </row>
    <row r="302" spans="2:13" x14ac:dyDescent="0.2">
      <c r="B302" s="26" t="s">
        <v>800</v>
      </c>
      <c r="C302" s="328" t="s">
        <v>2943</v>
      </c>
      <c r="D302" s="328" t="s">
        <v>2944</v>
      </c>
      <c r="E302" s="328" t="s">
        <v>2945</v>
      </c>
      <c r="F302" s="328" t="s">
        <v>2946</v>
      </c>
      <c r="G302" s="328" t="s">
        <v>2947</v>
      </c>
      <c r="H302" s="328" t="s">
        <v>2948</v>
      </c>
      <c r="I302" s="328" t="s">
        <v>2949</v>
      </c>
      <c r="J302" s="328" t="s">
        <v>2950</v>
      </c>
      <c r="K302" s="328" t="s">
        <v>2951</v>
      </c>
      <c r="L302" s="327" t="s">
        <v>2987</v>
      </c>
      <c r="M302" s="328"/>
    </row>
    <row r="303" spans="2:13" x14ac:dyDescent="0.2">
      <c r="B303" s="26" t="s">
        <v>801</v>
      </c>
      <c r="C303" s="328" t="s">
        <v>2952</v>
      </c>
      <c r="D303" s="328" t="s">
        <v>2953</v>
      </c>
      <c r="E303" s="328" t="s">
        <v>2954</v>
      </c>
      <c r="F303" s="328" t="s">
        <v>2955</v>
      </c>
      <c r="G303" s="328" t="s">
        <v>2956</v>
      </c>
      <c r="H303" s="328" t="s">
        <v>2957</v>
      </c>
      <c r="I303" s="328" t="s">
        <v>2958</v>
      </c>
      <c r="J303" s="328" t="s">
        <v>2959</v>
      </c>
      <c r="K303" s="328" t="s">
        <v>2960</v>
      </c>
      <c r="L303" s="327" t="s">
        <v>2988</v>
      </c>
      <c r="M303" s="328"/>
    </row>
    <row r="304" spans="2:13" x14ac:dyDescent="0.2">
      <c r="B304" s="26" t="s">
        <v>2964</v>
      </c>
      <c r="C304" s="328" t="s">
        <v>2965</v>
      </c>
      <c r="D304" s="328" t="s">
        <v>2966</v>
      </c>
      <c r="E304" s="328" t="s">
        <v>2967</v>
      </c>
      <c r="F304" s="328" t="s">
        <v>2968</v>
      </c>
      <c r="G304" s="328" t="s">
        <v>2969</v>
      </c>
      <c r="H304" s="328" t="s">
        <v>2970</v>
      </c>
      <c r="I304" s="328" t="s">
        <v>2971</v>
      </c>
      <c r="J304" s="328" t="s">
        <v>2972</v>
      </c>
      <c r="K304" s="328" t="s">
        <v>2973</v>
      </c>
      <c r="L304" s="327" t="s">
        <v>3206</v>
      </c>
      <c r="M304" s="328"/>
    </row>
    <row r="305" spans="2:13" x14ac:dyDescent="0.2">
      <c r="B305" s="26" t="s">
        <v>4043</v>
      </c>
      <c r="C305" s="328" t="s">
        <v>2974</v>
      </c>
      <c r="D305" s="328" t="s">
        <v>2974</v>
      </c>
      <c r="E305" s="328" t="s">
        <v>2975</v>
      </c>
      <c r="F305" s="328" t="s">
        <v>2976</v>
      </c>
      <c r="G305" s="328" t="s">
        <v>2977</v>
      </c>
      <c r="H305" s="328" t="s">
        <v>2978</v>
      </c>
      <c r="I305" s="328" t="s">
        <v>2979</v>
      </c>
      <c r="J305" s="328" t="s">
        <v>2980</v>
      </c>
      <c r="K305" s="328" t="s">
        <v>2981</v>
      </c>
      <c r="L305" s="327" t="s">
        <v>3207</v>
      </c>
      <c r="M305" s="328"/>
    </row>
    <row r="306" spans="2:13" x14ac:dyDescent="0.2">
      <c r="B306" s="26" t="s">
        <v>2961</v>
      </c>
      <c r="C306" t="s">
        <v>3208</v>
      </c>
      <c r="D306" t="s">
        <v>3209</v>
      </c>
      <c r="E306" t="s">
        <v>3209</v>
      </c>
      <c r="F306" t="s">
        <v>3210</v>
      </c>
      <c r="G306" t="s">
        <v>3211</v>
      </c>
      <c r="H306" t="s">
        <v>3212</v>
      </c>
      <c r="I306" t="s">
        <v>3213</v>
      </c>
      <c r="J306" t="s">
        <v>3214</v>
      </c>
      <c r="K306" t="s">
        <v>3215</v>
      </c>
      <c r="L306" s="27" t="s">
        <v>4786</v>
      </c>
    </row>
    <row r="307" spans="2:13" x14ac:dyDescent="0.2">
      <c r="B307" s="26" t="s">
        <v>711</v>
      </c>
      <c r="C307" t="s">
        <v>3216</v>
      </c>
      <c r="D307" t="s">
        <v>3217</v>
      </c>
      <c r="E307" t="s">
        <v>3218</v>
      </c>
      <c r="F307" t="s">
        <v>3219</v>
      </c>
      <c r="G307" t="s">
        <v>3220</v>
      </c>
      <c r="H307" t="s">
        <v>3221</v>
      </c>
      <c r="I307" t="s">
        <v>3222</v>
      </c>
      <c r="J307" t="s">
        <v>3223</v>
      </c>
      <c r="K307" t="s">
        <v>3224</v>
      </c>
      <c r="L307" s="27" t="s">
        <v>4787</v>
      </c>
    </row>
    <row r="308" spans="2:13" x14ac:dyDescent="0.2">
      <c r="B308" s="26" t="s">
        <v>712</v>
      </c>
      <c r="C308" t="s">
        <v>3225</v>
      </c>
      <c r="D308" t="s">
        <v>3226</v>
      </c>
      <c r="E308" t="s">
        <v>3227</v>
      </c>
      <c r="F308" t="s">
        <v>3228</v>
      </c>
      <c r="G308" t="s">
        <v>3229</v>
      </c>
      <c r="H308" t="s">
        <v>3230</v>
      </c>
      <c r="I308" t="s">
        <v>3231</v>
      </c>
      <c r="J308" t="s">
        <v>3232</v>
      </c>
      <c r="K308" t="s">
        <v>3233</v>
      </c>
      <c r="L308" s="27" t="s">
        <v>4788</v>
      </c>
      <c r="M308" s="26"/>
    </row>
    <row r="309" spans="2:13" x14ac:dyDescent="0.2">
      <c r="B309" s="26" t="s">
        <v>716</v>
      </c>
      <c r="C309" t="s">
        <v>3234</v>
      </c>
      <c r="D309" t="s">
        <v>3235</v>
      </c>
      <c r="E309" t="s">
        <v>3236</v>
      </c>
      <c r="F309" t="s">
        <v>3237</v>
      </c>
      <c r="G309" t="s">
        <v>3238</v>
      </c>
      <c r="H309" t="s">
        <v>3239</v>
      </c>
      <c r="I309" t="s">
        <v>3240</v>
      </c>
      <c r="J309" t="s">
        <v>3241</v>
      </c>
      <c r="K309" t="s">
        <v>3242</v>
      </c>
      <c r="L309" s="27" t="s">
        <v>4792</v>
      </c>
      <c r="M309" s="26"/>
    </row>
    <row r="310" spans="2:13" x14ac:dyDescent="0.2">
      <c r="B310" s="26" t="s">
        <v>715</v>
      </c>
      <c r="C310" t="s">
        <v>3243</v>
      </c>
      <c r="D310" t="s">
        <v>3244</v>
      </c>
      <c r="E310" t="s">
        <v>3245</v>
      </c>
      <c r="F310" t="s">
        <v>3246</v>
      </c>
      <c r="G310" t="s">
        <v>3247</v>
      </c>
      <c r="H310" t="s">
        <v>3248</v>
      </c>
      <c r="I310" t="s">
        <v>3249</v>
      </c>
      <c r="J310" t="s">
        <v>3250</v>
      </c>
      <c r="K310" t="s">
        <v>3251</v>
      </c>
      <c r="L310" s="27" t="s">
        <v>4791</v>
      </c>
      <c r="M310" s="26"/>
    </row>
    <row r="311" spans="2:13" x14ac:dyDescent="0.2">
      <c r="B311" s="26" t="s">
        <v>717</v>
      </c>
      <c r="C311" t="s">
        <v>3252</v>
      </c>
      <c r="D311" t="s">
        <v>3253</v>
      </c>
      <c r="E311" t="s">
        <v>3254</v>
      </c>
      <c r="F311" t="s">
        <v>3255</v>
      </c>
      <c r="G311" t="s">
        <v>3256</v>
      </c>
      <c r="H311" t="s">
        <v>2409</v>
      </c>
      <c r="I311" t="s">
        <v>3255</v>
      </c>
      <c r="J311" t="s">
        <v>3257</v>
      </c>
      <c r="K311" t="s">
        <v>3258</v>
      </c>
      <c r="L311" s="27" t="s">
        <v>3255</v>
      </c>
      <c r="M311" s="26"/>
    </row>
    <row r="312" spans="2:13" x14ac:dyDescent="0.2">
      <c r="B312" s="26" t="s">
        <v>713</v>
      </c>
      <c r="C312" t="s">
        <v>3259</v>
      </c>
      <c r="D312" t="s">
        <v>3260</v>
      </c>
      <c r="E312" t="s">
        <v>3261</v>
      </c>
      <c r="F312" t="s">
        <v>3262</v>
      </c>
      <c r="G312" t="s">
        <v>3263</v>
      </c>
      <c r="H312" t="s">
        <v>3264</v>
      </c>
      <c r="I312" t="s">
        <v>3265</v>
      </c>
      <c r="J312" t="s">
        <v>3266</v>
      </c>
      <c r="K312" t="s">
        <v>3267</v>
      </c>
      <c r="L312" s="27" t="s">
        <v>4789</v>
      </c>
      <c r="M312" s="26"/>
    </row>
    <row r="313" spans="2:13" x14ac:dyDescent="0.2">
      <c r="B313" s="26" t="s">
        <v>718</v>
      </c>
      <c r="C313" t="s">
        <v>3268</v>
      </c>
      <c r="D313" t="s">
        <v>3269</v>
      </c>
      <c r="E313" t="s">
        <v>3270</v>
      </c>
      <c r="F313" t="s">
        <v>3271</v>
      </c>
      <c r="G313" t="s">
        <v>3272</v>
      </c>
      <c r="H313" t="s">
        <v>3273</v>
      </c>
      <c r="I313" t="s">
        <v>3271</v>
      </c>
      <c r="J313" t="s">
        <v>3274</v>
      </c>
      <c r="K313" t="s">
        <v>3275</v>
      </c>
      <c r="L313" s="27" t="s">
        <v>3271</v>
      </c>
      <c r="M313" s="26"/>
    </row>
    <row r="314" spans="2:13" x14ac:dyDescent="0.2">
      <c r="B314" s="26" t="s">
        <v>4785</v>
      </c>
      <c r="C314" t="s">
        <v>3294</v>
      </c>
      <c r="D314" t="s">
        <v>3295</v>
      </c>
      <c r="E314" t="s">
        <v>3299</v>
      </c>
      <c r="F314" t="s">
        <v>3296</v>
      </c>
      <c r="G314" t="s">
        <v>3298</v>
      </c>
      <c r="H314" t="s">
        <v>3298</v>
      </c>
      <c r="I314" t="s">
        <v>3300</v>
      </c>
      <c r="J314" t="s">
        <v>3297</v>
      </c>
      <c r="K314" t="s">
        <v>3301</v>
      </c>
      <c r="L314" s="27" t="s">
        <v>4794</v>
      </c>
      <c r="M314" s="26"/>
    </row>
    <row r="315" spans="2:13" x14ac:dyDescent="0.2">
      <c r="B315" s="26" t="s">
        <v>719</v>
      </c>
      <c r="C315" t="s">
        <v>3276</v>
      </c>
      <c r="D315" t="s">
        <v>3277</v>
      </c>
      <c r="E315" t="s">
        <v>3278</v>
      </c>
      <c r="F315" t="s">
        <v>3279</v>
      </c>
      <c r="G315" t="s">
        <v>3280</v>
      </c>
      <c r="H315" t="s">
        <v>3281</v>
      </c>
      <c r="I315" t="s">
        <v>3282</v>
      </c>
      <c r="J315" t="s">
        <v>3283</v>
      </c>
      <c r="K315" t="s">
        <v>3284</v>
      </c>
      <c r="L315" s="27" t="s">
        <v>4793</v>
      </c>
      <c r="M315" s="26"/>
    </row>
    <row r="316" spans="2:13" x14ac:dyDescent="0.2">
      <c r="B316" s="14" t="s">
        <v>714</v>
      </c>
      <c r="C316" s="15" t="s">
        <v>3285</v>
      </c>
      <c r="D316" s="15" t="s">
        <v>3286</v>
      </c>
      <c r="E316" s="15" t="s">
        <v>3287</v>
      </c>
      <c r="F316" s="15" t="s">
        <v>3288</v>
      </c>
      <c r="G316" s="15" t="s">
        <v>3289</v>
      </c>
      <c r="H316" s="15" t="s">
        <v>3290</v>
      </c>
      <c r="I316" s="15" t="s">
        <v>3291</v>
      </c>
      <c r="J316" s="15" t="s">
        <v>3292</v>
      </c>
      <c r="K316" s="15" t="s">
        <v>3293</v>
      </c>
      <c r="L316" s="28" t="s">
        <v>4790</v>
      </c>
      <c r="M316" s="26"/>
    </row>
    <row r="317" spans="2:13" x14ac:dyDescent="0.2">
      <c r="B317" s="26" t="s">
        <v>31</v>
      </c>
      <c r="C317" t="s">
        <v>3303</v>
      </c>
      <c r="D317" t="s">
        <v>3304</v>
      </c>
      <c r="E317" t="s">
        <v>3305</v>
      </c>
      <c r="F317" t="s">
        <v>31</v>
      </c>
      <c r="G317" t="s">
        <v>31</v>
      </c>
      <c r="H317" t="s">
        <v>31</v>
      </c>
      <c r="I317" t="s">
        <v>31</v>
      </c>
      <c r="J317" t="s">
        <v>3306</v>
      </c>
      <c r="K317" t="s">
        <v>3307</v>
      </c>
      <c r="L317" s="27" t="s">
        <v>31</v>
      </c>
      <c r="M317" s="26"/>
    </row>
    <row r="318" spans="2:13" x14ac:dyDescent="0.2">
      <c r="B318" s="26" t="s">
        <v>34</v>
      </c>
      <c r="C318" t="s">
        <v>3308</v>
      </c>
      <c r="D318" t="s">
        <v>3309</v>
      </c>
      <c r="E318" t="s">
        <v>3310</v>
      </c>
      <c r="F318" t="s">
        <v>3311</v>
      </c>
      <c r="G318" t="s">
        <v>3312</v>
      </c>
      <c r="H318" t="s">
        <v>3313</v>
      </c>
      <c r="I318" t="s">
        <v>3314</v>
      </c>
      <c r="J318" t="s">
        <v>3315</v>
      </c>
      <c r="K318" t="s">
        <v>3316</v>
      </c>
      <c r="L318" s="27" t="s">
        <v>4044</v>
      </c>
    </row>
    <row r="319" spans="2:13" x14ac:dyDescent="0.2">
      <c r="B319" s="26" t="s">
        <v>37</v>
      </c>
      <c r="C319" t="s">
        <v>3317</v>
      </c>
      <c r="D319" t="s">
        <v>3318</v>
      </c>
      <c r="E319" t="s">
        <v>3319</v>
      </c>
      <c r="F319" t="s">
        <v>3320</v>
      </c>
      <c r="G319" t="s">
        <v>3321</v>
      </c>
      <c r="H319" t="s">
        <v>3322</v>
      </c>
      <c r="I319" t="s">
        <v>3323</v>
      </c>
      <c r="J319" t="s">
        <v>3324</v>
      </c>
      <c r="K319" t="s">
        <v>3325</v>
      </c>
      <c r="L319" s="27" t="s">
        <v>4045</v>
      </c>
    </row>
    <row r="320" spans="2:13" x14ac:dyDescent="0.2">
      <c r="B320" s="26" t="s">
        <v>43</v>
      </c>
      <c r="C320" t="s">
        <v>3326</v>
      </c>
      <c r="D320" t="s">
        <v>3327</v>
      </c>
      <c r="E320" t="s">
        <v>3328</v>
      </c>
      <c r="F320" t="s">
        <v>3329</v>
      </c>
      <c r="G320" t="s">
        <v>3330</v>
      </c>
      <c r="H320" t="s">
        <v>3331</v>
      </c>
      <c r="I320" t="s">
        <v>3332</v>
      </c>
      <c r="J320" t="s">
        <v>3333</v>
      </c>
      <c r="K320" t="s">
        <v>3334</v>
      </c>
      <c r="L320" s="27" t="s">
        <v>4047</v>
      </c>
    </row>
    <row r="321" spans="2:12" x14ac:dyDescent="0.2">
      <c r="B321" s="26" t="s">
        <v>45</v>
      </c>
      <c r="C321" t="s">
        <v>3335</v>
      </c>
      <c r="D321" t="s">
        <v>3336</v>
      </c>
      <c r="E321" t="s">
        <v>3337</v>
      </c>
      <c r="F321" t="s">
        <v>3338</v>
      </c>
      <c r="G321" t="s">
        <v>3339</v>
      </c>
      <c r="H321" t="s">
        <v>3340</v>
      </c>
      <c r="I321" t="s">
        <v>3341</v>
      </c>
      <c r="J321" t="s">
        <v>3342</v>
      </c>
      <c r="K321" t="s">
        <v>3343</v>
      </c>
      <c r="L321" s="27" t="s">
        <v>4048</v>
      </c>
    </row>
    <row r="322" spans="2:12" x14ac:dyDescent="0.2">
      <c r="B322" s="26" t="s">
        <v>46</v>
      </c>
      <c r="C322" t="s">
        <v>3344</v>
      </c>
      <c r="D322" t="s">
        <v>3345</v>
      </c>
      <c r="E322" t="s">
        <v>3346</v>
      </c>
      <c r="F322" t="s">
        <v>3347</v>
      </c>
      <c r="G322" t="s">
        <v>3348</v>
      </c>
      <c r="H322" t="s">
        <v>3349</v>
      </c>
      <c r="I322" t="s">
        <v>3347</v>
      </c>
      <c r="J322" t="s">
        <v>3350</v>
      </c>
      <c r="K322" t="s">
        <v>3351</v>
      </c>
      <c r="L322" s="27" t="s">
        <v>3347</v>
      </c>
    </row>
    <row r="323" spans="2:12" x14ac:dyDescent="0.2">
      <c r="B323" s="26" t="s">
        <v>49</v>
      </c>
      <c r="C323" t="s">
        <v>3352</v>
      </c>
      <c r="D323" t="s">
        <v>3353</v>
      </c>
      <c r="E323" t="s">
        <v>3354</v>
      </c>
      <c r="F323" t="s">
        <v>3355</v>
      </c>
      <c r="G323" t="s">
        <v>3356</v>
      </c>
      <c r="H323" t="s">
        <v>3357</v>
      </c>
      <c r="I323" t="s">
        <v>3358</v>
      </c>
      <c r="J323" t="s">
        <v>3359</v>
      </c>
      <c r="K323" t="s">
        <v>3360</v>
      </c>
      <c r="L323" s="27" t="s">
        <v>4049</v>
      </c>
    </row>
    <row r="324" spans="2:12" x14ac:dyDescent="0.2">
      <c r="B324" s="26" t="s">
        <v>52</v>
      </c>
      <c r="C324" t="s">
        <v>3361</v>
      </c>
      <c r="D324" t="s">
        <v>3362</v>
      </c>
      <c r="E324" t="s">
        <v>3363</v>
      </c>
      <c r="F324" t="s">
        <v>3364</v>
      </c>
      <c r="G324" t="s">
        <v>3365</v>
      </c>
      <c r="H324" t="s">
        <v>3366</v>
      </c>
      <c r="I324" t="s">
        <v>3367</v>
      </c>
      <c r="J324" t="s">
        <v>3368</v>
      </c>
      <c r="K324" t="s">
        <v>3369</v>
      </c>
      <c r="L324" s="27" t="s">
        <v>4050</v>
      </c>
    </row>
    <row r="325" spans="2:12" x14ac:dyDescent="0.2">
      <c r="B325" s="26" t="s">
        <v>55</v>
      </c>
      <c r="C325" t="s">
        <v>3370</v>
      </c>
      <c r="D325" t="s">
        <v>3371</v>
      </c>
      <c r="E325" t="s">
        <v>3372</v>
      </c>
      <c r="F325" t="s">
        <v>3373</v>
      </c>
      <c r="G325" t="s">
        <v>3374</v>
      </c>
      <c r="H325" t="s">
        <v>3375</v>
      </c>
      <c r="I325" t="s">
        <v>3376</v>
      </c>
      <c r="J325" t="s">
        <v>3377</v>
      </c>
      <c r="K325" t="s">
        <v>3378</v>
      </c>
      <c r="L325" s="27" t="s">
        <v>4051</v>
      </c>
    </row>
    <row r="326" spans="2:12" x14ac:dyDescent="0.2">
      <c r="B326" s="26" t="s">
        <v>58</v>
      </c>
      <c r="C326" t="s">
        <v>3379</v>
      </c>
      <c r="D326" t="s">
        <v>3380</v>
      </c>
      <c r="E326" t="s">
        <v>3381</v>
      </c>
      <c r="F326" t="s">
        <v>3382</v>
      </c>
      <c r="G326" t="s">
        <v>3383</v>
      </c>
      <c r="H326" t="s">
        <v>3384</v>
      </c>
      <c r="I326" t="s">
        <v>3385</v>
      </c>
      <c r="J326" t="s">
        <v>3386</v>
      </c>
      <c r="K326" t="s">
        <v>3387</v>
      </c>
      <c r="L326" s="27" t="s">
        <v>4052</v>
      </c>
    </row>
    <row r="327" spans="2:12" x14ac:dyDescent="0.2">
      <c r="B327" s="26" t="s">
        <v>61</v>
      </c>
      <c r="C327" t="s">
        <v>3388</v>
      </c>
      <c r="D327" t="s">
        <v>3389</v>
      </c>
      <c r="E327" t="s">
        <v>3390</v>
      </c>
      <c r="F327" t="s">
        <v>3391</v>
      </c>
      <c r="G327" t="s">
        <v>3392</v>
      </c>
      <c r="H327" t="s">
        <v>3393</v>
      </c>
      <c r="I327" t="s">
        <v>3394</v>
      </c>
      <c r="J327" t="s">
        <v>3395</v>
      </c>
      <c r="K327" t="s">
        <v>3396</v>
      </c>
      <c r="L327" s="27" t="s">
        <v>4053</v>
      </c>
    </row>
    <row r="328" spans="2:12" x14ac:dyDescent="0.2">
      <c r="B328" s="26" t="s">
        <v>64</v>
      </c>
      <c r="C328" t="s">
        <v>3397</v>
      </c>
      <c r="D328" t="s">
        <v>3397</v>
      </c>
      <c r="E328" t="s">
        <v>3398</v>
      </c>
      <c r="F328" t="s">
        <v>3399</v>
      </c>
      <c r="G328" t="s">
        <v>3400</v>
      </c>
      <c r="H328" t="s">
        <v>3401</v>
      </c>
      <c r="I328" t="s">
        <v>3402</v>
      </c>
      <c r="J328" t="s">
        <v>3403</v>
      </c>
      <c r="K328" t="s">
        <v>3404</v>
      </c>
      <c r="L328" s="27" t="s">
        <v>4054</v>
      </c>
    </row>
    <row r="329" spans="2:12" x14ac:dyDescent="0.2">
      <c r="B329" s="26" t="s">
        <v>67</v>
      </c>
      <c r="C329" t="s">
        <v>3405</v>
      </c>
      <c r="D329" t="s">
        <v>3406</v>
      </c>
      <c r="E329" t="s">
        <v>3407</v>
      </c>
      <c r="F329" t="s">
        <v>3408</v>
      </c>
      <c r="G329" t="s">
        <v>3409</v>
      </c>
      <c r="H329" t="s">
        <v>3410</v>
      </c>
      <c r="I329" t="s">
        <v>3411</v>
      </c>
      <c r="J329" t="s">
        <v>3412</v>
      </c>
      <c r="K329" t="s">
        <v>3413</v>
      </c>
      <c r="L329" s="27" t="s">
        <v>4055</v>
      </c>
    </row>
    <row r="330" spans="2:12" x14ac:dyDescent="0.2">
      <c r="B330" s="26" t="s">
        <v>70</v>
      </c>
      <c r="C330" t="s">
        <v>3414</v>
      </c>
      <c r="D330" t="s">
        <v>3415</v>
      </c>
      <c r="E330" t="s">
        <v>3416</v>
      </c>
      <c r="F330" t="s">
        <v>3417</v>
      </c>
      <c r="G330" t="s">
        <v>3418</v>
      </c>
      <c r="H330" t="s">
        <v>3419</v>
      </c>
      <c r="I330" t="s">
        <v>3420</v>
      </c>
      <c r="J330" t="s">
        <v>3421</v>
      </c>
      <c r="K330" t="s">
        <v>3422</v>
      </c>
      <c r="L330" s="27" t="s">
        <v>4056</v>
      </c>
    </row>
    <row r="331" spans="2:12" x14ac:dyDescent="0.2">
      <c r="B331" s="26" t="s">
        <v>73</v>
      </c>
      <c r="C331" t="s">
        <v>3423</v>
      </c>
      <c r="D331" t="s">
        <v>3424</v>
      </c>
      <c r="E331" t="s">
        <v>3425</v>
      </c>
      <c r="F331" t="s">
        <v>3426</v>
      </c>
      <c r="G331" t="s">
        <v>3427</v>
      </c>
      <c r="H331" t="s">
        <v>3428</v>
      </c>
      <c r="I331" t="s">
        <v>3429</v>
      </c>
      <c r="J331" t="s">
        <v>3430</v>
      </c>
      <c r="K331" t="s">
        <v>3431</v>
      </c>
      <c r="L331" s="27" t="s">
        <v>4057</v>
      </c>
    </row>
    <row r="332" spans="2:12" x14ac:dyDescent="0.2">
      <c r="B332" s="26" t="s">
        <v>76</v>
      </c>
      <c r="C332" t="s">
        <v>3432</v>
      </c>
      <c r="D332" t="s">
        <v>3433</v>
      </c>
      <c r="E332" t="s">
        <v>3434</v>
      </c>
      <c r="F332" t="s">
        <v>3435</v>
      </c>
      <c r="G332" t="s">
        <v>3436</v>
      </c>
      <c r="H332" t="s">
        <v>3437</v>
      </c>
      <c r="I332" t="s">
        <v>3438</v>
      </c>
      <c r="J332" t="s">
        <v>3439</v>
      </c>
      <c r="K332" t="s">
        <v>3440</v>
      </c>
      <c r="L332" s="27" t="s">
        <v>3435</v>
      </c>
    </row>
    <row r="333" spans="2:12" x14ac:dyDescent="0.2">
      <c r="B333" s="26" t="s">
        <v>78</v>
      </c>
      <c r="C333" t="s">
        <v>3441</v>
      </c>
      <c r="D333" t="s">
        <v>3442</v>
      </c>
      <c r="E333" t="s">
        <v>3443</v>
      </c>
      <c r="F333" t="s">
        <v>3444</v>
      </c>
      <c r="G333" t="s">
        <v>3445</v>
      </c>
      <c r="H333" t="s">
        <v>3446</v>
      </c>
      <c r="I333" t="s">
        <v>3447</v>
      </c>
      <c r="J333" t="s">
        <v>3448</v>
      </c>
      <c r="K333" t="s">
        <v>3449</v>
      </c>
      <c r="L333" s="27" t="s">
        <v>4058</v>
      </c>
    </row>
    <row r="334" spans="2:12" x14ac:dyDescent="0.2">
      <c r="B334" s="26" t="s">
        <v>81</v>
      </c>
      <c r="C334" t="s">
        <v>3450</v>
      </c>
      <c r="D334" t="s">
        <v>3451</v>
      </c>
      <c r="E334" t="s">
        <v>3452</v>
      </c>
      <c r="F334" t="s">
        <v>3453</v>
      </c>
      <c r="G334" t="s">
        <v>3454</v>
      </c>
      <c r="H334" t="s">
        <v>3455</v>
      </c>
      <c r="I334" t="s">
        <v>3456</v>
      </c>
      <c r="J334" t="s">
        <v>3457</v>
      </c>
      <c r="K334" t="s">
        <v>3458</v>
      </c>
      <c r="L334" s="27" t="s">
        <v>4059</v>
      </c>
    </row>
    <row r="335" spans="2:12" x14ac:dyDescent="0.2">
      <c r="B335" s="26" t="s">
        <v>84</v>
      </c>
      <c r="C335" t="s">
        <v>3459</v>
      </c>
      <c r="D335" t="s">
        <v>3460</v>
      </c>
      <c r="E335" t="s">
        <v>3461</v>
      </c>
      <c r="F335" t="s">
        <v>3462</v>
      </c>
      <c r="G335" t="s">
        <v>3463</v>
      </c>
      <c r="H335" t="s">
        <v>3464</v>
      </c>
      <c r="I335" t="s">
        <v>3465</v>
      </c>
      <c r="J335" t="s">
        <v>3466</v>
      </c>
      <c r="K335" t="s">
        <v>3467</v>
      </c>
      <c r="L335" s="27" t="s">
        <v>4060</v>
      </c>
    </row>
    <row r="336" spans="2:12" x14ac:dyDescent="0.2">
      <c r="B336" s="26" t="s">
        <v>87</v>
      </c>
      <c r="C336" t="s">
        <v>3468</v>
      </c>
      <c r="D336" t="s">
        <v>3469</v>
      </c>
      <c r="E336" t="s">
        <v>3470</v>
      </c>
      <c r="F336" t="s">
        <v>3471</v>
      </c>
      <c r="G336" t="s">
        <v>3472</v>
      </c>
      <c r="H336" t="s">
        <v>3473</v>
      </c>
      <c r="I336" t="s">
        <v>3474</v>
      </c>
      <c r="J336" t="s">
        <v>3475</v>
      </c>
      <c r="K336" t="s">
        <v>3476</v>
      </c>
      <c r="L336" s="27" t="s">
        <v>4061</v>
      </c>
    </row>
    <row r="337" spans="2:12" x14ac:dyDescent="0.2">
      <c r="B337" s="26" t="s">
        <v>90</v>
      </c>
      <c r="C337" t="s">
        <v>3477</v>
      </c>
      <c r="D337" t="s">
        <v>3478</v>
      </c>
      <c r="E337" t="s">
        <v>3479</v>
      </c>
      <c r="F337" t="s">
        <v>3480</v>
      </c>
      <c r="G337" t="s">
        <v>3481</v>
      </c>
      <c r="H337" t="s">
        <v>3482</v>
      </c>
      <c r="I337" t="s">
        <v>3480</v>
      </c>
      <c r="J337" t="s">
        <v>3483</v>
      </c>
      <c r="K337" t="s">
        <v>3484</v>
      </c>
      <c r="L337" s="27" t="s">
        <v>3480</v>
      </c>
    </row>
    <row r="338" spans="2:12" x14ac:dyDescent="0.2">
      <c r="B338" s="26" t="s">
        <v>93</v>
      </c>
      <c r="C338" t="s">
        <v>3485</v>
      </c>
      <c r="D338" t="s">
        <v>3486</v>
      </c>
      <c r="E338" t="s">
        <v>3487</v>
      </c>
      <c r="F338" t="s">
        <v>3488</v>
      </c>
      <c r="G338" t="s">
        <v>3489</v>
      </c>
      <c r="H338" t="s">
        <v>3490</v>
      </c>
      <c r="I338" t="s">
        <v>3491</v>
      </c>
      <c r="J338" t="s">
        <v>3492</v>
      </c>
      <c r="K338" t="s">
        <v>3493</v>
      </c>
      <c r="L338" s="27" t="s">
        <v>4062</v>
      </c>
    </row>
    <row r="339" spans="2:12" x14ac:dyDescent="0.2">
      <c r="B339" s="26" t="s">
        <v>96</v>
      </c>
      <c r="C339" t="s">
        <v>3494</v>
      </c>
      <c r="D339" t="s">
        <v>3495</v>
      </c>
      <c r="E339" t="s">
        <v>3496</v>
      </c>
      <c r="F339" t="s">
        <v>3497</v>
      </c>
      <c r="G339" t="s">
        <v>3498</v>
      </c>
      <c r="H339" t="s">
        <v>3499</v>
      </c>
      <c r="I339" t="s">
        <v>3497</v>
      </c>
      <c r="J339" t="s">
        <v>3500</v>
      </c>
      <c r="K339" t="s">
        <v>3501</v>
      </c>
      <c r="L339" s="27" t="s">
        <v>3497</v>
      </c>
    </row>
    <row r="340" spans="2:12" x14ac:dyDescent="0.2">
      <c r="B340" s="26" t="s">
        <v>99</v>
      </c>
      <c r="C340" t="s">
        <v>3502</v>
      </c>
      <c r="D340" t="s">
        <v>3502</v>
      </c>
      <c r="E340" t="s">
        <v>3503</v>
      </c>
      <c r="F340" t="s">
        <v>3504</v>
      </c>
      <c r="G340" t="s">
        <v>3505</v>
      </c>
      <c r="H340" t="s">
        <v>3506</v>
      </c>
      <c r="I340" t="s">
        <v>3507</v>
      </c>
      <c r="J340" t="s">
        <v>3508</v>
      </c>
      <c r="K340" t="s">
        <v>3509</v>
      </c>
      <c r="L340" s="27" t="s">
        <v>4063</v>
      </c>
    </row>
    <row r="341" spans="2:12" x14ac:dyDescent="0.2">
      <c r="B341" s="26" t="s">
        <v>102</v>
      </c>
      <c r="C341" t="s">
        <v>3510</v>
      </c>
      <c r="D341" t="s">
        <v>3511</v>
      </c>
      <c r="E341" t="s">
        <v>3512</v>
      </c>
      <c r="F341" t="s">
        <v>3513</v>
      </c>
      <c r="G341" t="s">
        <v>3514</v>
      </c>
      <c r="H341" t="s">
        <v>3515</v>
      </c>
      <c r="I341" t="s">
        <v>3516</v>
      </c>
      <c r="J341" t="s">
        <v>3517</v>
      </c>
      <c r="K341" t="s">
        <v>3518</v>
      </c>
      <c r="L341" s="27" t="s">
        <v>4064</v>
      </c>
    </row>
    <row r="342" spans="2:12" x14ac:dyDescent="0.2">
      <c r="B342" s="26" t="s">
        <v>105</v>
      </c>
      <c r="C342" t="s">
        <v>3519</v>
      </c>
      <c r="D342" t="s">
        <v>3520</v>
      </c>
      <c r="E342" t="s">
        <v>3521</v>
      </c>
      <c r="F342" t="s">
        <v>3522</v>
      </c>
      <c r="G342" t="s">
        <v>3523</v>
      </c>
      <c r="H342" t="s">
        <v>3524</v>
      </c>
      <c r="I342" t="s">
        <v>3522</v>
      </c>
      <c r="J342" t="s">
        <v>3525</v>
      </c>
      <c r="K342" t="s">
        <v>3526</v>
      </c>
      <c r="L342" s="27" t="s">
        <v>4065</v>
      </c>
    </row>
    <row r="343" spans="2:12" x14ac:dyDescent="0.2">
      <c r="B343" s="26" t="s">
        <v>108</v>
      </c>
      <c r="C343" t="s">
        <v>3527</v>
      </c>
      <c r="D343" t="s">
        <v>3528</v>
      </c>
      <c r="E343" t="s">
        <v>3529</v>
      </c>
      <c r="F343" t="s">
        <v>3530</v>
      </c>
      <c r="G343" t="s">
        <v>3531</v>
      </c>
      <c r="H343" t="s">
        <v>3532</v>
      </c>
      <c r="I343" t="s">
        <v>3533</v>
      </c>
      <c r="J343" t="s">
        <v>3534</v>
      </c>
      <c r="K343" t="s">
        <v>3535</v>
      </c>
      <c r="L343" s="27" t="s">
        <v>3530</v>
      </c>
    </row>
    <row r="344" spans="2:12" x14ac:dyDescent="0.2">
      <c r="B344" s="26" t="s">
        <v>111</v>
      </c>
      <c r="C344" t="s">
        <v>3536</v>
      </c>
      <c r="D344" t="s">
        <v>3537</v>
      </c>
      <c r="E344" t="s">
        <v>3538</v>
      </c>
      <c r="F344" t="s">
        <v>3539</v>
      </c>
      <c r="G344" t="s">
        <v>3540</v>
      </c>
      <c r="H344" t="s">
        <v>3541</v>
      </c>
      <c r="I344" t="s">
        <v>3539</v>
      </c>
      <c r="J344" t="s">
        <v>3542</v>
      </c>
      <c r="K344" t="s">
        <v>3543</v>
      </c>
      <c r="L344" s="27" t="s">
        <v>3539</v>
      </c>
    </row>
    <row r="345" spans="2:12" x14ac:dyDescent="0.2">
      <c r="B345" s="26" t="s">
        <v>114</v>
      </c>
      <c r="C345" t="s">
        <v>3544</v>
      </c>
      <c r="D345" t="s">
        <v>3545</v>
      </c>
      <c r="E345" t="s">
        <v>3546</v>
      </c>
      <c r="F345" t="s">
        <v>3547</v>
      </c>
      <c r="G345" t="s">
        <v>3548</v>
      </c>
      <c r="H345" t="s">
        <v>3549</v>
      </c>
      <c r="I345" t="s">
        <v>3547</v>
      </c>
      <c r="J345" t="s">
        <v>3550</v>
      </c>
      <c r="K345" t="s">
        <v>3551</v>
      </c>
      <c r="L345" s="27" t="s">
        <v>4066</v>
      </c>
    </row>
    <row r="346" spans="2:12" x14ac:dyDescent="0.2">
      <c r="B346" s="26" t="s">
        <v>117</v>
      </c>
      <c r="C346" t="s">
        <v>3552</v>
      </c>
      <c r="D346" t="s">
        <v>3553</v>
      </c>
      <c r="E346" t="s">
        <v>3554</v>
      </c>
      <c r="F346" t="s">
        <v>3555</v>
      </c>
      <c r="G346" t="s">
        <v>3556</v>
      </c>
      <c r="H346" t="s">
        <v>3557</v>
      </c>
      <c r="I346" t="s">
        <v>3558</v>
      </c>
      <c r="J346" t="s">
        <v>3559</v>
      </c>
      <c r="K346" t="s">
        <v>3560</v>
      </c>
      <c r="L346" s="27" t="s">
        <v>4067</v>
      </c>
    </row>
    <row r="347" spans="2:12" x14ac:dyDescent="0.2">
      <c r="B347" s="26" t="s">
        <v>120</v>
      </c>
      <c r="C347" t="s">
        <v>3561</v>
      </c>
      <c r="D347" t="s">
        <v>3562</v>
      </c>
      <c r="E347" t="s">
        <v>3563</v>
      </c>
      <c r="F347" t="s">
        <v>3564</v>
      </c>
      <c r="G347" t="s">
        <v>3565</v>
      </c>
      <c r="H347" t="s">
        <v>3566</v>
      </c>
      <c r="I347" t="s">
        <v>3567</v>
      </c>
      <c r="J347" t="s">
        <v>3568</v>
      </c>
      <c r="K347" t="s">
        <v>3569</v>
      </c>
      <c r="L347" s="27" t="s">
        <v>4068</v>
      </c>
    </row>
    <row r="348" spans="2:12" x14ac:dyDescent="0.2">
      <c r="B348" s="26" t="s">
        <v>123</v>
      </c>
      <c r="C348" t="s">
        <v>3570</v>
      </c>
      <c r="D348" t="s">
        <v>3570</v>
      </c>
      <c r="E348" t="s">
        <v>3571</v>
      </c>
      <c r="F348" t="s">
        <v>3572</v>
      </c>
      <c r="G348" t="s">
        <v>3573</v>
      </c>
      <c r="H348" t="s">
        <v>3574</v>
      </c>
      <c r="I348" t="s">
        <v>3575</v>
      </c>
      <c r="J348" t="s">
        <v>3576</v>
      </c>
      <c r="K348" t="s">
        <v>3577</v>
      </c>
      <c r="L348" s="27" t="s">
        <v>4069</v>
      </c>
    </row>
    <row r="349" spans="2:12" x14ac:dyDescent="0.2">
      <c r="B349" s="26" t="s">
        <v>126</v>
      </c>
      <c r="C349" t="s">
        <v>3578</v>
      </c>
      <c r="D349" t="s">
        <v>3579</v>
      </c>
      <c r="E349" t="s">
        <v>3580</v>
      </c>
      <c r="F349" t="s">
        <v>3581</v>
      </c>
      <c r="G349" t="s">
        <v>3582</v>
      </c>
      <c r="H349" t="s">
        <v>3583</v>
      </c>
      <c r="I349" t="s">
        <v>3584</v>
      </c>
      <c r="J349" t="s">
        <v>3585</v>
      </c>
      <c r="K349" t="s">
        <v>3586</v>
      </c>
      <c r="L349" s="27" t="s">
        <v>4070</v>
      </c>
    </row>
    <row r="350" spans="2:12" x14ac:dyDescent="0.2">
      <c r="B350" s="26" t="s">
        <v>129</v>
      </c>
      <c r="C350" t="s">
        <v>3587</v>
      </c>
      <c r="D350" t="s">
        <v>3588</v>
      </c>
      <c r="E350" t="s">
        <v>3589</v>
      </c>
      <c r="F350" t="s">
        <v>3590</v>
      </c>
      <c r="G350" t="s">
        <v>3591</v>
      </c>
      <c r="H350" t="s">
        <v>3592</v>
      </c>
      <c r="I350" t="s">
        <v>3593</v>
      </c>
      <c r="J350" t="s">
        <v>3594</v>
      </c>
      <c r="K350" t="s">
        <v>3595</v>
      </c>
      <c r="L350" s="27" t="s">
        <v>4071</v>
      </c>
    </row>
    <row r="351" spans="2:12" x14ac:dyDescent="0.2">
      <c r="B351" s="26" t="s">
        <v>132</v>
      </c>
      <c r="C351" t="s">
        <v>3596</v>
      </c>
      <c r="D351" t="s">
        <v>3597</v>
      </c>
      <c r="E351" t="s">
        <v>3598</v>
      </c>
      <c r="F351" t="s">
        <v>3599</v>
      </c>
      <c r="G351" t="s">
        <v>3600</v>
      </c>
      <c r="H351" t="s">
        <v>3601</v>
      </c>
      <c r="I351" t="s">
        <v>3602</v>
      </c>
      <c r="J351" t="s">
        <v>3603</v>
      </c>
      <c r="K351" t="s">
        <v>3604</v>
      </c>
      <c r="L351" s="27" t="s">
        <v>4072</v>
      </c>
    </row>
    <row r="352" spans="2:12" x14ac:dyDescent="0.2">
      <c r="B352" s="26" t="s">
        <v>135</v>
      </c>
      <c r="C352" t="s">
        <v>3605</v>
      </c>
      <c r="D352" t="s">
        <v>3606</v>
      </c>
      <c r="E352" t="s">
        <v>3607</v>
      </c>
      <c r="F352" t="s">
        <v>3608</v>
      </c>
      <c r="G352" t="s">
        <v>3609</v>
      </c>
      <c r="H352" t="s">
        <v>3610</v>
      </c>
      <c r="I352" t="s">
        <v>3611</v>
      </c>
      <c r="J352" t="s">
        <v>3612</v>
      </c>
      <c r="K352" t="s">
        <v>3613</v>
      </c>
      <c r="L352" s="27" t="s">
        <v>4073</v>
      </c>
    </row>
    <row r="353" spans="2:12" x14ac:dyDescent="0.2">
      <c r="B353" s="26" t="s">
        <v>138</v>
      </c>
      <c r="C353" t="s">
        <v>3614</v>
      </c>
      <c r="D353" t="s">
        <v>3615</v>
      </c>
      <c r="E353" t="s">
        <v>3616</v>
      </c>
      <c r="F353" t="s">
        <v>3617</v>
      </c>
      <c r="G353" t="s">
        <v>3618</v>
      </c>
      <c r="H353" t="s">
        <v>3619</v>
      </c>
      <c r="I353" t="s">
        <v>3620</v>
      </c>
      <c r="J353" t="s">
        <v>3621</v>
      </c>
      <c r="K353" t="s">
        <v>3622</v>
      </c>
      <c r="L353" s="27" t="s">
        <v>4074</v>
      </c>
    </row>
    <row r="354" spans="2:12" x14ac:dyDescent="0.2">
      <c r="B354" s="26" t="s">
        <v>140</v>
      </c>
      <c r="C354" t="s">
        <v>3623</v>
      </c>
      <c r="D354" t="s">
        <v>3624</v>
      </c>
      <c r="E354" t="s">
        <v>3625</v>
      </c>
      <c r="F354" t="s">
        <v>3626</v>
      </c>
      <c r="G354" t="s">
        <v>3627</v>
      </c>
      <c r="H354" t="s">
        <v>3628</v>
      </c>
      <c r="I354" t="s">
        <v>3629</v>
      </c>
      <c r="J354" t="s">
        <v>3630</v>
      </c>
      <c r="K354" t="s">
        <v>3631</v>
      </c>
      <c r="L354" s="27" t="s">
        <v>4075</v>
      </c>
    </row>
    <row r="355" spans="2:12" x14ac:dyDescent="0.2">
      <c r="B355" s="26" t="s">
        <v>143</v>
      </c>
      <c r="C355" t="s">
        <v>3632</v>
      </c>
      <c r="D355" t="s">
        <v>3633</v>
      </c>
      <c r="E355" t="s">
        <v>3634</v>
      </c>
      <c r="F355" t="s">
        <v>3635</v>
      </c>
      <c r="G355" t="s">
        <v>3636</v>
      </c>
      <c r="H355" t="s">
        <v>3637</v>
      </c>
      <c r="I355" t="s">
        <v>3638</v>
      </c>
      <c r="J355" t="s">
        <v>3639</v>
      </c>
      <c r="K355" t="s">
        <v>3640</v>
      </c>
      <c r="L355" s="27" t="s">
        <v>4076</v>
      </c>
    </row>
    <row r="356" spans="2:12" x14ac:dyDescent="0.2">
      <c r="B356" s="26" t="s">
        <v>146</v>
      </c>
      <c r="C356" t="s">
        <v>3641</v>
      </c>
      <c r="D356" t="s">
        <v>3642</v>
      </c>
      <c r="E356" t="s">
        <v>3643</v>
      </c>
      <c r="F356" t="s">
        <v>3644</v>
      </c>
      <c r="G356" t="s">
        <v>3645</v>
      </c>
      <c r="H356" t="s">
        <v>3646</v>
      </c>
      <c r="I356" t="s">
        <v>3647</v>
      </c>
      <c r="J356" t="s">
        <v>3648</v>
      </c>
      <c r="K356" t="s">
        <v>3649</v>
      </c>
      <c r="L356" s="27" t="s">
        <v>146</v>
      </c>
    </row>
    <row r="357" spans="2:12" x14ac:dyDescent="0.2">
      <c r="B357" s="26" t="s">
        <v>149</v>
      </c>
      <c r="C357" t="s">
        <v>3650</v>
      </c>
      <c r="D357" t="s">
        <v>3651</v>
      </c>
      <c r="E357" t="s">
        <v>3652</v>
      </c>
      <c r="F357" t="s">
        <v>3653</v>
      </c>
      <c r="G357" t="s">
        <v>3654</v>
      </c>
      <c r="H357" t="s">
        <v>3655</v>
      </c>
      <c r="I357" t="s">
        <v>3656</v>
      </c>
      <c r="J357" t="s">
        <v>3657</v>
      </c>
      <c r="K357" t="s">
        <v>3658</v>
      </c>
      <c r="L357" s="27" t="s">
        <v>4077</v>
      </c>
    </row>
    <row r="358" spans="2:12" x14ac:dyDescent="0.2">
      <c r="B358" s="26" t="s">
        <v>151</v>
      </c>
      <c r="C358" t="s">
        <v>3659</v>
      </c>
      <c r="D358" t="s">
        <v>3660</v>
      </c>
      <c r="E358" t="s">
        <v>3661</v>
      </c>
      <c r="F358" t="s">
        <v>3662</v>
      </c>
      <c r="G358" t="s">
        <v>3663</v>
      </c>
      <c r="H358" t="s">
        <v>3664</v>
      </c>
      <c r="I358" t="s">
        <v>3665</v>
      </c>
      <c r="J358" t="s">
        <v>3666</v>
      </c>
      <c r="K358" t="s">
        <v>3667</v>
      </c>
      <c r="L358" s="27" t="s">
        <v>4078</v>
      </c>
    </row>
    <row r="359" spans="2:12" x14ac:dyDescent="0.2">
      <c r="B359" s="26" t="s">
        <v>154</v>
      </c>
      <c r="C359" t="s">
        <v>3668</v>
      </c>
      <c r="D359" t="s">
        <v>3669</v>
      </c>
      <c r="E359" t="s">
        <v>3670</v>
      </c>
      <c r="F359" t="s">
        <v>3671</v>
      </c>
      <c r="G359" t="s">
        <v>3672</v>
      </c>
      <c r="H359" t="s">
        <v>3673</v>
      </c>
      <c r="I359" t="s">
        <v>3674</v>
      </c>
      <c r="J359" t="s">
        <v>3675</v>
      </c>
      <c r="K359" t="s">
        <v>3676</v>
      </c>
      <c r="L359" s="27" t="s">
        <v>4079</v>
      </c>
    </row>
    <row r="360" spans="2:12" x14ac:dyDescent="0.2">
      <c r="B360" s="26" t="s">
        <v>157</v>
      </c>
      <c r="C360" t="s">
        <v>3677</v>
      </c>
      <c r="D360" t="s">
        <v>3678</v>
      </c>
      <c r="E360" t="s">
        <v>3679</v>
      </c>
      <c r="F360" t="s">
        <v>3680</v>
      </c>
      <c r="G360" t="s">
        <v>3681</v>
      </c>
      <c r="H360" t="s">
        <v>3682</v>
      </c>
      <c r="I360" t="s">
        <v>3680</v>
      </c>
      <c r="J360" t="s">
        <v>3683</v>
      </c>
      <c r="K360" t="s">
        <v>3684</v>
      </c>
      <c r="L360" s="27" t="s">
        <v>4080</v>
      </c>
    </row>
    <row r="361" spans="2:12" x14ac:dyDescent="0.2">
      <c r="B361" s="26" t="s">
        <v>159</v>
      </c>
      <c r="C361" t="s">
        <v>3685</v>
      </c>
      <c r="D361" t="s">
        <v>3686</v>
      </c>
      <c r="E361" t="s">
        <v>3687</v>
      </c>
      <c r="F361" t="s">
        <v>3688</v>
      </c>
      <c r="G361" t="s">
        <v>3689</v>
      </c>
      <c r="H361" t="s">
        <v>3690</v>
      </c>
      <c r="I361" t="s">
        <v>3691</v>
      </c>
      <c r="J361" t="s">
        <v>3692</v>
      </c>
      <c r="K361" t="s">
        <v>3693</v>
      </c>
      <c r="L361" s="27" t="s">
        <v>4081</v>
      </c>
    </row>
    <row r="362" spans="2:12" x14ac:dyDescent="0.2">
      <c r="B362" s="26" t="s">
        <v>162</v>
      </c>
      <c r="C362" t="s">
        <v>3694</v>
      </c>
      <c r="D362" t="s">
        <v>3694</v>
      </c>
      <c r="E362" t="s">
        <v>3695</v>
      </c>
      <c r="F362" t="s">
        <v>3696</v>
      </c>
      <c r="G362" t="s">
        <v>3697</v>
      </c>
      <c r="H362" t="s">
        <v>3698</v>
      </c>
      <c r="I362" t="s">
        <v>3699</v>
      </c>
      <c r="J362" t="s">
        <v>3700</v>
      </c>
      <c r="K362" t="s">
        <v>3701</v>
      </c>
      <c r="L362" s="27" t="s">
        <v>4082</v>
      </c>
    </row>
    <row r="363" spans="2:12" x14ac:dyDescent="0.2">
      <c r="B363" s="26" t="s">
        <v>165</v>
      </c>
      <c r="C363" t="s">
        <v>3702</v>
      </c>
      <c r="D363" t="s">
        <v>3703</v>
      </c>
      <c r="E363" t="s">
        <v>3704</v>
      </c>
      <c r="F363" t="s">
        <v>3705</v>
      </c>
      <c r="G363" t="s">
        <v>3706</v>
      </c>
      <c r="H363" t="s">
        <v>3707</v>
      </c>
      <c r="I363" t="s">
        <v>3708</v>
      </c>
      <c r="J363" t="s">
        <v>3709</v>
      </c>
      <c r="K363" t="s">
        <v>3710</v>
      </c>
      <c r="L363" s="27" t="s">
        <v>4083</v>
      </c>
    </row>
    <row r="364" spans="2:12" x14ac:dyDescent="0.2">
      <c r="B364" s="26" t="s">
        <v>168</v>
      </c>
      <c r="C364" t="s">
        <v>3711</v>
      </c>
      <c r="D364" t="s">
        <v>3712</v>
      </c>
      <c r="E364" t="s">
        <v>3713</v>
      </c>
      <c r="F364" t="s">
        <v>3714</v>
      </c>
      <c r="G364" t="s">
        <v>3715</v>
      </c>
      <c r="H364" t="s">
        <v>3716</v>
      </c>
      <c r="I364" t="s">
        <v>3717</v>
      </c>
      <c r="J364" t="s">
        <v>3718</v>
      </c>
      <c r="K364" t="s">
        <v>3719</v>
      </c>
      <c r="L364" s="27" t="s">
        <v>4084</v>
      </c>
    </row>
    <row r="365" spans="2:12" x14ac:dyDescent="0.2">
      <c r="B365" s="26" t="s">
        <v>171</v>
      </c>
      <c r="C365" t="s">
        <v>3720</v>
      </c>
      <c r="D365" t="s">
        <v>3721</v>
      </c>
      <c r="E365" t="s">
        <v>3722</v>
      </c>
      <c r="F365" t="s">
        <v>3723</v>
      </c>
      <c r="G365" t="s">
        <v>3724</v>
      </c>
      <c r="H365" t="s">
        <v>3725</v>
      </c>
      <c r="I365" t="s">
        <v>3726</v>
      </c>
      <c r="J365" t="s">
        <v>3727</v>
      </c>
      <c r="K365" t="s">
        <v>3728</v>
      </c>
      <c r="L365" s="27" t="s">
        <v>4085</v>
      </c>
    </row>
    <row r="366" spans="2:12" x14ac:dyDescent="0.2">
      <c r="B366" s="26" t="s">
        <v>174</v>
      </c>
      <c r="C366" t="s">
        <v>3729</v>
      </c>
      <c r="D366" t="s">
        <v>3729</v>
      </c>
      <c r="E366" t="s">
        <v>3730</v>
      </c>
      <c r="F366" t="s">
        <v>3731</v>
      </c>
      <c r="G366" t="s">
        <v>3732</v>
      </c>
      <c r="H366" t="s">
        <v>3733</v>
      </c>
      <c r="I366" t="s">
        <v>3734</v>
      </c>
      <c r="J366" t="s">
        <v>3735</v>
      </c>
      <c r="K366" t="s">
        <v>3736</v>
      </c>
      <c r="L366" s="27" t="s">
        <v>4086</v>
      </c>
    </row>
    <row r="367" spans="2:12" x14ac:dyDescent="0.2">
      <c r="B367" s="26" t="s">
        <v>177</v>
      </c>
      <c r="C367" t="s">
        <v>3737</v>
      </c>
      <c r="D367" t="s">
        <v>3738</v>
      </c>
      <c r="E367" t="s">
        <v>3739</v>
      </c>
      <c r="F367" t="s">
        <v>3740</v>
      </c>
      <c r="G367" t="s">
        <v>3741</v>
      </c>
      <c r="H367" t="s">
        <v>3742</v>
      </c>
      <c r="I367" t="s">
        <v>3743</v>
      </c>
      <c r="J367" t="s">
        <v>3744</v>
      </c>
      <c r="K367" t="s">
        <v>3745</v>
      </c>
      <c r="L367" s="27" t="s">
        <v>4087</v>
      </c>
    </row>
    <row r="368" spans="2:12" x14ac:dyDescent="0.2">
      <c r="B368" s="26" t="s">
        <v>180</v>
      </c>
      <c r="C368" t="s">
        <v>3746</v>
      </c>
      <c r="D368" t="s">
        <v>3747</v>
      </c>
      <c r="E368" t="s">
        <v>3748</v>
      </c>
      <c r="F368" t="s">
        <v>3749</v>
      </c>
      <c r="G368" t="s">
        <v>3750</v>
      </c>
      <c r="H368" t="s">
        <v>3751</v>
      </c>
      <c r="I368" t="s">
        <v>3752</v>
      </c>
      <c r="J368" t="s">
        <v>3753</v>
      </c>
      <c r="K368" t="s">
        <v>3754</v>
      </c>
      <c r="L368" s="27" t="s">
        <v>4088</v>
      </c>
    </row>
    <row r="369" spans="2:12" x14ac:dyDescent="0.2">
      <c r="B369" s="26" t="s">
        <v>183</v>
      </c>
      <c r="C369" t="s">
        <v>3755</v>
      </c>
      <c r="D369" t="s">
        <v>3756</v>
      </c>
      <c r="E369" t="s">
        <v>3757</v>
      </c>
      <c r="F369" t="s">
        <v>3758</v>
      </c>
      <c r="G369" t="s">
        <v>3759</v>
      </c>
      <c r="H369" t="s">
        <v>3760</v>
      </c>
      <c r="I369" t="s">
        <v>3761</v>
      </c>
      <c r="J369" t="s">
        <v>3762</v>
      </c>
      <c r="K369" t="s">
        <v>3763</v>
      </c>
      <c r="L369" s="27" t="s">
        <v>4089</v>
      </c>
    </row>
    <row r="370" spans="2:12" x14ac:dyDescent="0.2">
      <c r="B370" s="26" t="s">
        <v>186</v>
      </c>
      <c r="C370" t="s">
        <v>3764</v>
      </c>
      <c r="D370" t="s">
        <v>3765</v>
      </c>
      <c r="E370" t="s">
        <v>3766</v>
      </c>
      <c r="F370" t="s">
        <v>3767</v>
      </c>
      <c r="G370" t="s">
        <v>3768</v>
      </c>
      <c r="H370" t="s">
        <v>3769</v>
      </c>
      <c r="I370" t="s">
        <v>3770</v>
      </c>
      <c r="J370" t="s">
        <v>3771</v>
      </c>
      <c r="K370" t="s">
        <v>3772</v>
      </c>
      <c r="L370" s="27" t="s">
        <v>3767</v>
      </c>
    </row>
    <row r="371" spans="2:12" x14ac:dyDescent="0.2">
      <c r="B371" s="26" t="s">
        <v>189</v>
      </c>
      <c r="C371" t="s">
        <v>3773</v>
      </c>
      <c r="D371" t="s">
        <v>3774</v>
      </c>
      <c r="E371" t="s">
        <v>3775</v>
      </c>
      <c r="F371" t="s">
        <v>3776</v>
      </c>
      <c r="G371" t="s">
        <v>3777</v>
      </c>
      <c r="H371" t="s">
        <v>3778</v>
      </c>
      <c r="I371" t="s">
        <v>3779</v>
      </c>
      <c r="J371" t="s">
        <v>3780</v>
      </c>
      <c r="K371" t="s">
        <v>3781</v>
      </c>
      <c r="L371" s="27" t="s">
        <v>3776</v>
      </c>
    </row>
    <row r="372" spans="2:12" x14ac:dyDescent="0.2">
      <c r="B372" s="26" t="s">
        <v>191</v>
      </c>
      <c r="C372" t="s">
        <v>3782</v>
      </c>
      <c r="D372" t="s">
        <v>3783</v>
      </c>
      <c r="E372" t="s">
        <v>3784</v>
      </c>
      <c r="F372" t="s">
        <v>3785</v>
      </c>
      <c r="G372" t="s">
        <v>3786</v>
      </c>
      <c r="H372" t="s">
        <v>3787</v>
      </c>
      <c r="I372" t="s">
        <v>3788</v>
      </c>
      <c r="J372" t="s">
        <v>3789</v>
      </c>
      <c r="K372" t="s">
        <v>3790</v>
      </c>
      <c r="L372" s="27" t="s">
        <v>3785</v>
      </c>
    </row>
    <row r="373" spans="2:12" x14ac:dyDescent="0.2">
      <c r="B373" s="26" t="s">
        <v>194</v>
      </c>
      <c r="C373" t="s">
        <v>3791</v>
      </c>
      <c r="D373" t="s">
        <v>3792</v>
      </c>
      <c r="E373" t="s">
        <v>3793</v>
      </c>
      <c r="F373" t="s">
        <v>3794</v>
      </c>
      <c r="G373" t="s">
        <v>3795</v>
      </c>
      <c r="H373" t="s">
        <v>3796</v>
      </c>
      <c r="I373" t="s">
        <v>3797</v>
      </c>
      <c r="J373" t="s">
        <v>3798</v>
      </c>
      <c r="K373" t="s">
        <v>3799</v>
      </c>
      <c r="L373" s="27" t="s">
        <v>4090</v>
      </c>
    </row>
    <row r="374" spans="2:12" x14ac:dyDescent="0.2">
      <c r="B374" s="26" t="s">
        <v>197</v>
      </c>
      <c r="C374" t="s">
        <v>3800</v>
      </c>
      <c r="D374" t="s">
        <v>3801</v>
      </c>
      <c r="E374" t="s">
        <v>3802</v>
      </c>
      <c r="F374" t="s">
        <v>3803</v>
      </c>
      <c r="G374" t="s">
        <v>3804</v>
      </c>
      <c r="H374" t="s">
        <v>3805</v>
      </c>
      <c r="I374" t="s">
        <v>3806</v>
      </c>
      <c r="J374" t="s">
        <v>3807</v>
      </c>
      <c r="K374" t="s">
        <v>3808</v>
      </c>
      <c r="L374" s="27" t="s">
        <v>3806</v>
      </c>
    </row>
    <row r="375" spans="2:12" x14ac:dyDescent="0.2">
      <c r="B375" s="26" t="s">
        <v>200</v>
      </c>
      <c r="C375" t="s">
        <v>3809</v>
      </c>
      <c r="D375" t="s">
        <v>3810</v>
      </c>
      <c r="E375" t="s">
        <v>3811</v>
      </c>
      <c r="F375" t="s">
        <v>3812</v>
      </c>
      <c r="G375" t="s">
        <v>3813</v>
      </c>
      <c r="H375" t="s">
        <v>3814</v>
      </c>
      <c r="I375" t="s">
        <v>3815</v>
      </c>
      <c r="J375" t="s">
        <v>3816</v>
      </c>
      <c r="K375" t="s">
        <v>3817</v>
      </c>
      <c r="L375" s="27" t="s">
        <v>3815</v>
      </c>
    </row>
    <row r="376" spans="2:12" x14ac:dyDescent="0.2">
      <c r="B376" s="26" t="s">
        <v>202</v>
      </c>
      <c r="C376" t="s">
        <v>3818</v>
      </c>
      <c r="D376" t="s">
        <v>3819</v>
      </c>
      <c r="E376" t="s">
        <v>3820</v>
      </c>
      <c r="F376" t="s">
        <v>3821</v>
      </c>
      <c r="G376" t="s">
        <v>3822</v>
      </c>
      <c r="H376" t="s">
        <v>3823</v>
      </c>
      <c r="I376" t="s">
        <v>3821</v>
      </c>
      <c r="J376" t="s">
        <v>3824</v>
      </c>
      <c r="K376" t="s">
        <v>3825</v>
      </c>
      <c r="L376" s="27" t="s">
        <v>3821</v>
      </c>
    </row>
    <row r="377" spans="2:12" x14ac:dyDescent="0.2">
      <c r="B377" s="26" t="s">
        <v>205</v>
      </c>
      <c r="C377" t="s">
        <v>3826</v>
      </c>
      <c r="D377" t="s">
        <v>3827</v>
      </c>
      <c r="E377" t="s">
        <v>3828</v>
      </c>
      <c r="F377" t="s">
        <v>3829</v>
      </c>
      <c r="G377" t="s">
        <v>3830</v>
      </c>
      <c r="H377" t="s">
        <v>3831</v>
      </c>
      <c r="I377" t="s">
        <v>3832</v>
      </c>
      <c r="J377" t="s">
        <v>3833</v>
      </c>
      <c r="K377" t="s">
        <v>3834</v>
      </c>
      <c r="L377" s="27" t="s">
        <v>4091</v>
      </c>
    </row>
    <row r="378" spans="2:12" x14ac:dyDescent="0.2">
      <c r="B378" s="26" t="s">
        <v>208</v>
      </c>
      <c r="C378" t="s">
        <v>3835</v>
      </c>
      <c r="D378" t="s">
        <v>3836</v>
      </c>
      <c r="E378" t="s">
        <v>3837</v>
      </c>
      <c r="F378" t="s">
        <v>3838</v>
      </c>
      <c r="G378" t="s">
        <v>3839</v>
      </c>
      <c r="H378" t="s">
        <v>3840</v>
      </c>
      <c r="I378" t="s">
        <v>3841</v>
      </c>
      <c r="J378" t="s">
        <v>3842</v>
      </c>
      <c r="K378" t="s">
        <v>3843</v>
      </c>
      <c r="L378" s="27" t="s">
        <v>4092</v>
      </c>
    </row>
    <row r="379" spans="2:12" x14ac:dyDescent="0.2">
      <c r="B379" s="26" t="s">
        <v>210</v>
      </c>
      <c r="C379" t="s">
        <v>3844</v>
      </c>
      <c r="D379" t="s">
        <v>3845</v>
      </c>
      <c r="E379" t="s">
        <v>3846</v>
      </c>
      <c r="F379" t="s">
        <v>3847</v>
      </c>
      <c r="G379" t="s">
        <v>3848</v>
      </c>
      <c r="H379" t="s">
        <v>3849</v>
      </c>
      <c r="I379" t="s">
        <v>3850</v>
      </c>
      <c r="J379" t="s">
        <v>3851</v>
      </c>
      <c r="K379" t="s">
        <v>3852</v>
      </c>
      <c r="L379" s="27" t="s">
        <v>4093</v>
      </c>
    </row>
    <row r="380" spans="2:12" x14ac:dyDescent="0.2">
      <c r="B380" s="26" t="s">
        <v>213</v>
      </c>
      <c r="C380" t="s">
        <v>3853</v>
      </c>
      <c r="D380" t="s">
        <v>3854</v>
      </c>
      <c r="E380" t="s">
        <v>3855</v>
      </c>
      <c r="F380" t="s">
        <v>3856</v>
      </c>
      <c r="G380" t="s">
        <v>3857</v>
      </c>
      <c r="H380" t="s">
        <v>3858</v>
      </c>
      <c r="I380" t="s">
        <v>3856</v>
      </c>
      <c r="J380" t="s">
        <v>3859</v>
      </c>
      <c r="K380" t="s">
        <v>3860</v>
      </c>
      <c r="L380" s="27" t="s">
        <v>4094</v>
      </c>
    </row>
    <row r="381" spans="2:12" x14ac:dyDescent="0.2">
      <c r="B381" s="26" t="s">
        <v>216</v>
      </c>
      <c r="C381" t="s">
        <v>3861</v>
      </c>
      <c r="D381" t="s">
        <v>3862</v>
      </c>
      <c r="E381" t="s">
        <v>3863</v>
      </c>
      <c r="F381" t="s">
        <v>3864</v>
      </c>
      <c r="G381" t="s">
        <v>3865</v>
      </c>
      <c r="H381" t="s">
        <v>3866</v>
      </c>
      <c r="I381" t="s">
        <v>3867</v>
      </c>
      <c r="J381" t="s">
        <v>3868</v>
      </c>
      <c r="K381" t="s">
        <v>3869</v>
      </c>
      <c r="L381" s="27" t="s">
        <v>4095</v>
      </c>
    </row>
    <row r="382" spans="2:12" x14ac:dyDescent="0.2">
      <c r="B382" s="26" t="s">
        <v>219</v>
      </c>
      <c r="C382" t="s">
        <v>3870</v>
      </c>
      <c r="D382" t="s">
        <v>3871</v>
      </c>
      <c r="E382" t="s">
        <v>3872</v>
      </c>
      <c r="F382" t="s">
        <v>3873</v>
      </c>
      <c r="G382" t="s">
        <v>3874</v>
      </c>
      <c r="H382" t="s">
        <v>3875</v>
      </c>
      <c r="I382" t="s">
        <v>3876</v>
      </c>
      <c r="J382" t="s">
        <v>3877</v>
      </c>
      <c r="K382" t="s">
        <v>3878</v>
      </c>
      <c r="L382" s="27" t="s">
        <v>4096</v>
      </c>
    </row>
    <row r="383" spans="2:12" x14ac:dyDescent="0.2">
      <c r="B383" s="26" t="s">
        <v>222</v>
      </c>
      <c r="C383" t="s">
        <v>3879</v>
      </c>
      <c r="D383" t="s">
        <v>3879</v>
      </c>
      <c r="E383" t="s">
        <v>3880</v>
      </c>
      <c r="F383" t="s">
        <v>3881</v>
      </c>
      <c r="G383" t="s">
        <v>3882</v>
      </c>
      <c r="H383" t="s">
        <v>3883</v>
      </c>
      <c r="I383" t="s">
        <v>3884</v>
      </c>
      <c r="J383" t="s">
        <v>3885</v>
      </c>
      <c r="K383" t="s">
        <v>3886</v>
      </c>
      <c r="L383" s="27" t="s">
        <v>222</v>
      </c>
    </row>
    <row r="384" spans="2:12" x14ac:dyDescent="0.2">
      <c r="B384" s="26" t="s">
        <v>224</v>
      </c>
      <c r="C384" t="s">
        <v>3887</v>
      </c>
      <c r="D384" t="s">
        <v>3887</v>
      </c>
      <c r="E384" t="s">
        <v>3888</v>
      </c>
      <c r="F384" t="s">
        <v>3889</v>
      </c>
      <c r="G384" t="s">
        <v>3890</v>
      </c>
      <c r="H384" t="s">
        <v>3891</v>
      </c>
      <c r="I384" t="s">
        <v>3892</v>
      </c>
      <c r="J384" t="s">
        <v>3893</v>
      </c>
      <c r="K384" t="s">
        <v>3894</v>
      </c>
      <c r="L384" s="27" t="s">
        <v>4097</v>
      </c>
    </row>
    <row r="385" spans="2:13" x14ac:dyDescent="0.2">
      <c r="B385" s="26" t="s">
        <v>227</v>
      </c>
      <c r="C385" t="s">
        <v>3895</v>
      </c>
      <c r="D385" t="s">
        <v>3895</v>
      </c>
      <c r="E385" t="s">
        <v>3896</v>
      </c>
      <c r="F385" t="s">
        <v>3897</v>
      </c>
      <c r="G385" t="s">
        <v>3898</v>
      </c>
      <c r="H385" t="s">
        <v>3899</v>
      </c>
      <c r="I385" t="s">
        <v>3900</v>
      </c>
      <c r="J385" t="s">
        <v>3901</v>
      </c>
      <c r="K385" t="s">
        <v>3902</v>
      </c>
      <c r="L385" s="27" t="s">
        <v>4098</v>
      </c>
    </row>
    <row r="386" spans="2:13" x14ac:dyDescent="0.2">
      <c r="B386" s="26" t="s">
        <v>230</v>
      </c>
      <c r="C386" t="s">
        <v>3903</v>
      </c>
      <c r="D386" t="s">
        <v>3904</v>
      </c>
      <c r="E386" t="s">
        <v>3905</v>
      </c>
      <c r="F386" t="s">
        <v>3906</v>
      </c>
      <c r="G386" t="s">
        <v>3907</v>
      </c>
      <c r="H386" t="s">
        <v>3908</v>
      </c>
      <c r="I386" t="s">
        <v>3909</v>
      </c>
      <c r="J386" t="s">
        <v>3910</v>
      </c>
      <c r="K386" t="s">
        <v>3911</v>
      </c>
      <c r="L386" s="27" t="s">
        <v>4099</v>
      </c>
    </row>
    <row r="387" spans="2:13" x14ac:dyDescent="0.2">
      <c r="B387" s="26" t="s">
        <v>233</v>
      </c>
      <c r="C387" t="s">
        <v>3912</v>
      </c>
      <c r="D387" t="s">
        <v>3913</v>
      </c>
      <c r="E387" t="s">
        <v>3914</v>
      </c>
      <c r="F387" t="s">
        <v>3915</v>
      </c>
      <c r="G387" t="s">
        <v>3916</v>
      </c>
      <c r="H387" t="s">
        <v>3917</v>
      </c>
      <c r="I387" t="s">
        <v>3918</v>
      </c>
      <c r="J387" t="s">
        <v>3919</v>
      </c>
      <c r="K387" t="s">
        <v>3920</v>
      </c>
      <c r="L387" s="27" t="s">
        <v>4100</v>
      </c>
    </row>
    <row r="388" spans="2:13" x14ac:dyDescent="0.2">
      <c r="B388" s="26" t="s">
        <v>236</v>
      </c>
      <c r="C388" t="s">
        <v>3921</v>
      </c>
      <c r="D388" t="s">
        <v>3921</v>
      </c>
      <c r="E388" t="s">
        <v>3922</v>
      </c>
      <c r="F388" t="s">
        <v>3923</v>
      </c>
      <c r="G388" t="s">
        <v>3924</v>
      </c>
      <c r="H388" t="s">
        <v>3925</v>
      </c>
      <c r="I388" t="s">
        <v>3923</v>
      </c>
      <c r="J388" t="s">
        <v>3926</v>
      </c>
      <c r="K388" t="s">
        <v>3927</v>
      </c>
      <c r="L388" s="27" t="s">
        <v>3923</v>
      </c>
    </row>
    <row r="389" spans="2:13" x14ac:dyDescent="0.2">
      <c r="B389" s="26" t="s">
        <v>239</v>
      </c>
      <c r="C389" t="s">
        <v>3928</v>
      </c>
      <c r="D389" t="s">
        <v>3929</v>
      </c>
      <c r="E389" t="s">
        <v>3930</v>
      </c>
      <c r="F389" t="s">
        <v>3931</v>
      </c>
      <c r="G389" t="s">
        <v>3932</v>
      </c>
      <c r="H389" t="s">
        <v>3933</v>
      </c>
      <c r="I389" t="s">
        <v>3934</v>
      </c>
      <c r="J389" t="s">
        <v>3935</v>
      </c>
      <c r="K389" t="s">
        <v>3936</v>
      </c>
      <c r="L389" s="27" t="s">
        <v>4101</v>
      </c>
    </row>
    <row r="390" spans="2:13" x14ac:dyDescent="0.2">
      <c r="B390" s="26" t="s">
        <v>3937</v>
      </c>
      <c r="C390" t="s">
        <v>3938</v>
      </c>
      <c r="D390" t="s">
        <v>3939</v>
      </c>
      <c r="E390" t="s">
        <v>3940</v>
      </c>
      <c r="F390" t="s">
        <v>3941</v>
      </c>
      <c r="G390" t="s">
        <v>3942</v>
      </c>
      <c r="H390" t="s">
        <v>3943</v>
      </c>
      <c r="I390" t="s">
        <v>3944</v>
      </c>
      <c r="J390" t="s">
        <v>3945</v>
      </c>
      <c r="K390" t="s">
        <v>3946</v>
      </c>
      <c r="L390" s="27" t="s">
        <v>4102</v>
      </c>
    </row>
    <row r="391" spans="2:13" x14ac:dyDescent="0.2">
      <c r="B391" s="26" t="s">
        <v>241</v>
      </c>
      <c r="C391" t="s">
        <v>3947</v>
      </c>
      <c r="D391" t="s">
        <v>3948</v>
      </c>
      <c r="E391" t="s">
        <v>3949</v>
      </c>
      <c r="F391" t="s">
        <v>3950</v>
      </c>
      <c r="G391" t="s">
        <v>3951</v>
      </c>
      <c r="H391" t="s">
        <v>3952</v>
      </c>
      <c r="I391" t="s">
        <v>3953</v>
      </c>
      <c r="J391" t="s">
        <v>3954</v>
      </c>
      <c r="K391" t="s">
        <v>3955</v>
      </c>
      <c r="L391" s="27" t="s">
        <v>4103</v>
      </c>
    </row>
    <row r="392" spans="2:13" x14ac:dyDescent="0.2">
      <c r="B392" s="26" t="s">
        <v>243</v>
      </c>
      <c r="C392" t="s">
        <v>3956</v>
      </c>
      <c r="D392" t="s">
        <v>3957</v>
      </c>
      <c r="E392" t="s">
        <v>3958</v>
      </c>
      <c r="F392" t="s">
        <v>3959</v>
      </c>
      <c r="G392" t="s">
        <v>3960</v>
      </c>
      <c r="H392" t="s">
        <v>3961</v>
      </c>
      <c r="I392" t="s">
        <v>3962</v>
      </c>
      <c r="J392" t="s">
        <v>3963</v>
      </c>
      <c r="K392" t="s">
        <v>3964</v>
      </c>
      <c r="L392" s="27" t="s">
        <v>4104</v>
      </c>
    </row>
    <row r="393" spans="2:13" x14ac:dyDescent="0.2">
      <c r="B393" s="26" t="s">
        <v>3965</v>
      </c>
      <c r="C393" t="s">
        <v>3966</v>
      </c>
      <c r="D393" t="s">
        <v>3967</v>
      </c>
      <c r="E393" t="s">
        <v>3968</v>
      </c>
      <c r="F393" t="s">
        <v>3969</v>
      </c>
      <c r="G393" t="s">
        <v>3970</v>
      </c>
      <c r="H393" t="s">
        <v>3971</v>
      </c>
      <c r="I393" t="s">
        <v>3972</v>
      </c>
      <c r="J393" t="s">
        <v>3973</v>
      </c>
      <c r="K393" t="s">
        <v>3974</v>
      </c>
      <c r="L393" s="27" t="s">
        <v>3982</v>
      </c>
    </row>
    <row r="394" spans="2:13" x14ac:dyDescent="0.2">
      <c r="B394" s="26" t="s">
        <v>245</v>
      </c>
      <c r="C394" t="s">
        <v>3975</v>
      </c>
      <c r="D394" t="s">
        <v>3975</v>
      </c>
      <c r="E394" t="s">
        <v>3976</v>
      </c>
      <c r="F394" t="s">
        <v>3977</v>
      </c>
      <c r="G394" t="s">
        <v>3978</v>
      </c>
      <c r="H394" t="s">
        <v>3979</v>
      </c>
      <c r="I394" t="s">
        <v>3977</v>
      </c>
      <c r="J394" t="s">
        <v>3980</v>
      </c>
      <c r="K394" t="s">
        <v>3981</v>
      </c>
      <c r="L394" s="27" t="s">
        <v>4105</v>
      </c>
    </row>
    <row r="395" spans="2:13" x14ac:dyDescent="0.2">
      <c r="B395" s="26" t="s">
        <v>27</v>
      </c>
      <c r="C395" t="s">
        <v>3983</v>
      </c>
      <c r="D395" t="s">
        <v>3983</v>
      </c>
      <c r="E395" t="s">
        <v>3984</v>
      </c>
      <c r="F395" t="s">
        <v>3985</v>
      </c>
      <c r="G395" t="s">
        <v>3986</v>
      </c>
      <c r="H395" t="s">
        <v>3987</v>
      </c>
      <c r="I395" t="s">
        <v>3988</v>
      </c>
      <c r="J395" t="s">
        <v>3989</v>
      </c>
      <c r="K395" t="s">
        <v>3990</v>
      </c>
      <c r="L395" s="27" t="s">
        <v>4046</v>
      </c>
    </row>
    <row r="396" spans="2:13" x14ac:dyDescent="0.2">
      <c r="B396" s="26" t="s">
        <v>4038</v>
      </c>
      <c r="C396" t="s">
        <v>4030</v>
      </c>
      <c r="D396" t="s">
        <v>4031</v>
      </c>
      <c r="E396" t="s">
        <v>4032</v>
      </c>
      <c r="F396" t="s">
        <v>4033</v>
      </c>
      <c r="G396" t="s">
        <v>4034</v>
      </c>
      <c r="H396" t="s">
        <v>4035</v>
      </c>
      <c r="I396" t="s">
        <v>4035</v>
      </c>
      <c r="J396" t="s">
        <v>4036</v>
      </c>
      <c r="K396" t="s">
        <v>4037</v>
      </c>
      <c r="L396" s="327">
        <v>0</v>
      </c>
      <c r="M396" s="328"/>
    </row>
    <row r="397" spans="2:13" x14ac:dyDescent="0.2">
      <c r="B397" s="26" t="s">
        <v>249</v>
      </c>
      <c r="C397" t="s">
        <v>3991</v>
      </c>
      <c r="D397" t="s">
        <v>3992</v>
      </c>
      <c r="E397" t="s">
        <v>3993</v>
      </c>
      <c r="F397" t="s">
        <v>3994</v>
      </c>
      <c r="G397" t="s">
        <v>3995</v>
      </c>
      <c r="H397" t="s">
        <v>3996</v>
      </c>
      <c r="I397" t="s">
        <v>3997</v>
      </c>
      <c r="J397" t="s">
        <v>3998</v>
      </c>
      <c r="K397" t="s">
        <v>3999</v>
      </c>
      <c r="L397" s="27" t="s">
        <v>4106</v>
      </c>
    </row>
    <row r="398" spans="2:13" x14ac:dyDescent="0.2">
      <c r="B398" s="26" t="s">
        <v>251</v>
      </c>
      <c r="C398" t="s">
        <v>4000</v>
      </c>
      <c r="D398" t="s">
        <v>4000</v>
      </c>
      <c r="E398" t="s">
        <v>4000</v>
      </c>
      <c r="F398" t="s">
        <v>4001</v>
      </c>
      <c r="G398" t="s">
        <v>4002</v>
      </c>
      <c r="H398" t="s">
        <v>4003</v>
      </c>
      <c r="I398" t="s">
        <v>4004</v>
      </c>
      <c r="J398" t="s">
        <v>4005</v>
      </c>
      <c r="K398" t="s">
        <v>4006</v>
      </c>
      <c r="L398" s="27" t="s">
        <v>4107</v>
      </c>
    </row>
    <row r="399" spans="2:13" x14ac:dyDescent="0.2">
      <c r="B399" s="26" t="s">
        <v>252</v>
      </c>
      <c r="C399" t="s">
        <v>4007</v>
      </c>
      <c r="D399" t="s">
        <v>4008</v>
      </c>
      <c r="E399" t="s">
        <v>4007</v>
      </c>
      <c r="F399" t="s">
        <v>4009</v>
      </c>
      <c r="G399" t="s">
        <v>4010</v>
      </c>
      <c r="H399" t="s">
        <v>252</v>
      </c>
      <c r="I399" t="s">
        <v>4011</v>
      </c>
      <c r="J399" t="s">
        <v>4012</v>
      </c>
      <c r="K399" t="s">
        <v>4013</v>
      </c>
      <c r="L399" s="27" t="s">
        <v>4108</v>
      </c>
    </row>
    <row r="400" spans="2:13" x14ac:dyDescent="0.2">
      <c r="B400" s="26" t="s">
        <v>253</v>
      </c>
      <c r="C400" t="s">
        <v>4014</v>
      </c>
      <c r="D400" t="s">
        <v>4015</v>
      </c>
      <c r="E400" t="s">
        <v>4015</v>
      </c>
      <c r="F400" t="s">
        <v>4016</v>
      </c>
      <c r="G400" t="s">
        <v>4017</v>
      </c>
      <c r="H400" t="s">
        <v>4018</v>
      </c>
      <c r="I400" t="s">
        <v>4019</v>
      </c>
      <c r="J400" t="s">
        <v>4020</v>
      </c>
      <c r="K400" t="s">
        <v>4021</v>
      </c>
      <c r="L400" s="27" t="s">
        <v>4109</v>
      </c>
    </row>
    <row r="401" spans="2:12" x14ac:dyDescent="0.2">
      <c r="B401" s="26" t="s">
        <v>254</v>
      </c>
      <c r="C401" t="s">
        <v>4022</v>
      </c>
      <c r="D401" t="s">
        <v>4023</v>
      </c>
      <c r="E401" t="s">
        <v>4024</v>
      </c>
      <c r="F401" t="s">
        <v>4025</v>
      </c>
      <c r="G401" t="s">
        <v>4026</v>
      </c>
      <c r="H401" t="s">
        <v>253</v>
      </c>
      <c r="I401" t="s">
        <v>4027</v>
      </c>
      <c r="J401" t="s">
        <v>4028</v>
      </c>
      <c r="K401" t="s">
        <v>4029</v>
      </c>
      <c r="L401" s="27" t="s">
        <v>4110</v>
      </c>
    </row>
    <row r="402" spans="2:12" x14ac:dyDescent="0.2">
      <c r="B402" s="26" t="s">
        <v>4260</v>
      </c>
      <c r="C402" t="s">
        <v>4261</v>
      </c>
      <c r="D402" t="s">
        <v>4262</v>
      </c>
      <c r="E402" t="s">
        <v>4263</v>
      </c>
      <c r="F402" t="s">
        <v>4264</v>
      </c>
      <c r="G402" t="s">
        <v>4265</v>
      </c>
      <c r="H402" t="s">
        <v>4266</v>
      </c>
      <c r="I402" t="s">
        <v>4267</v>
      </c>
      <c r="J402" t="s">
        <v>4268</v>
      </c>
      <c r="K402" t="s">
        <v>4269</v>
      </c>
      <c r="L402" s="27" t="s">
        <v>4270</v>
      </c>
    </row>
    <row r="403" spans="2:12" x14ac:dyDescent="0.2">
      <c r="B403" s="26" t="s">
        <v>4271</v>
      </c>
      <c r="C403" t="s">
        <v>4272</v>
      </c>
      <c r="D403" t="s">
        <v>4273</v>
      </c>
      <c r="E403" t="s">
        <v>4274</v>
      </c>
      <c r="F403" t="s">
        <v>4275</v>
      </c>
      <c r="G403" t="s">
        <v>4276</v>
      </c>
      <c r="H403" t="s">
        <v>4277</v>
      </c>
      <c r="I403" t="s">
        <v>4278</v>
      </c>
      <c r="J403" t="s">
        <v>4279</v>
      </c>
      <c r="K403" t="s">
        <v>4280</v>
      </c>
      <c r="L403" s="27" t="s">
        <v>4281</v>
      </c>
    </row>
    <row r="404" spans="2:12" x14ac:dyDescent="0.2">
      <c r="B404" s="26" t="s">
        <v>4282</v>
      </c>
      <c r="C404" t="s">
        <v>4283</v>
      </c>
      <c r="D404" t="s">
        <v>4284</v>
      </c>
      <c r="E404" t="s">
        <v>4285</v>
      </c>
      <c r="F404" t="s">
        <v>4286</v>
      </c>
      <c r="G404" t="s">
        <v>4287</v>
      </c>
      <c r="H404" t="s">
        <v>4288</v>
      </c>
      <c r="I404" t="s">
        <v>4289</v>
      </c>
      <c r="J404" t="s">
        <v>4290</v>
      </c>
      <c r="K404" t="s">
        <v>4291</v>
      </c>
      <c r="L404" s="27" t="s">
        <v>4292</v>
      </c>
    </row>
    <row r="405" spans="2:12" x14ac:dyDescent="0.2">
      <c r="B405" s="26" t="s">
        <v>4293</v>
      </c>
      <c r="C405" t="s">
        <v>4294</v>
      </c>
      <c r="D405" t="s">
        <v>4295</v>
      </c>
      <c r="E405" t="s">
        <v>4296</v>
      </c>
      <c r="F405" t="s">
        <v>4297</v>
      </c>
      <c r="G405" t="s">
        <v>4298</v>
      </c>
      <c r="H405" t="s">
        <v>4299</v>
      </c>
      <c r="I405" t="s">
        <v>4300</v>
      </c>
      <c r="J405" t="s">
        <v>4301</v>
      </c>
      <c r="K405" t="s">
        <v>4302</v>
      </c>
      <c r="L405" s="27" t="s">
        <v>4303</v>
      </c>
    </row>
    <row r="406" spans="2:12" x14ac:dyDescent="0.2">
      <c r="B406" s="26" t="s">
        <v>4304</v>
      </c>
      <c r="C406" t="s">
        <v>4305</v>
      </c>
      <c r="D406" t="s">
        <v>4306</v>
      </c>
      <c r="E406" t="s">
        <v>4307</v>
      </c>
      <c r="F406" t="s">
        <v>4308</v>
      </c>
      <c r="G406" t="s">
        <v>4309</v>
      </c>
      <c r="H406" t="s">
        <v>4310</v>
      </c>
      <c r="I406" t="s">
        <v>4311</v>
      </c>
      <c r="J406" t="s">
        <v>4312</v>
      </c>
      <c r="K406" t="s">
        <v>4313</v>
      </c>
      <c r="L406" s="27" t="s">
        <v>4314</v>
      </c>
    </row>
    <row r="407" spans="2:12" x14ac:dyDescent="0.2">
      <c r="B407" s="26" t="s">
        <v>4317</v>
      </c>
      <c r="C407" t="s">
        <v>4320</v>
      </c>
      <c r="D407" t="s">
        <v>4318</v>
      </c>
      <c r="E407" t="s">
        <v>4321</v>
      </c>
      <c r="F407" t="s">
        <v>4322</v>
      </c>
      <c r="G407" t="s">
        <v>4323</v>
      </c>
      <c r="H407" t="s">
        <v>4324</v>
      </c>
      <c r="I407" t="s">
        <v>4325</v>
      </c>
      <c r="J407" t="s">
        <v>4326</v>
      </c>
      <c r="K407" t="s">
        <v>4319</v>
      </c>
      <c r="L407" s="27" t="s">
        <v>4327</v>
      </c>
    </row>
    <row r="408" spans="2:12" x14ac:dyDescent="0.2">
      <c r="B408" s="26" t="s">
        <v>4376</v>
      </c>
      <c r="C408" t="s">
        <v>4377</v>
      </c>
      <c r="D408" t="s">
        <v>4378</v>
      </c>
      <c r="E408" t="s">
        <v>4379</v>
      </c>
      <c r="F408" t="s">
        <v>4380</v>
      </c>
      <c r="G408" t="s">
        <v>4381</v>
      </c>
      <c r="H408" t="s">
        <v>4382</v>
      </c>
      <c r="I408" t="s">
        <v>4383</v>
      </c>
      <c r="J408" t="s">
        <v>4384</v>
      </c>
      <c r="K408" t="s">
        <v>4385</v>
      </c>
      <c r="L408" s="27" t="s">
        <v>4386</v>
      </c>
    </row>
    <row r="409" spans="2:12" x14ac:dyDescent="0.2">
      <c r="B409" s="26" t="s">
        <v>4387</v>
      </c>
      <c r="C409" t="s">
        <v>4388</v>
      </c>
      <c r="D409" t="s">
        <v>4389</v>
      </c>
      <c r="E409" t="s">
        <v>4390</v>
      </c>
      <c r="F409" t="s">
        <v>4391</v>
      </c>
      <c r="G409" t="s">
        <v>4392</v>
      </c>
      <c r="H409" t="s">
        <v>4393</v>
      </c>
      <c r="I409" t="s">
        <v>4394</v>
      </c>
      <c r="J409" t="s">
        <v>4395</v>
      </c>
      <c r="K409" t="s">
        <v>4396</v>
      </c>
      <c r="L409" s="27" t="s">
        <v>4397</v>
      </c>
    </row>
    <row r="410" spans="2:12" x14ac:dyDescent="0.2">
      <c r="B410" s="26" t="s">
        <v>4431</v>
      </c>
      <c r="C410" t="s">
        <v>4432</v>
      </c>
      <c r="D410" t="s">
        <v>4433</v>
      </c>
      <c r="E410" t="s">
        <v>4434</v>
      </c>
      <c r="F410" t="s">
        <v>4435</v>
      </c>
      <c r="G410" t="s">
        <v>4436</v>
      </c>
      <c r="H410" t="s">
        <v>4437</v>
      </c>
      <c r="I410" t="s">
        <v>4438</v>
      </c>
      <c r="J410" t="s">
        <v>4439</v>
      </c>
      <c r="K410" t="s">
        <v>4440</v>
      </c>
      <c r="L410" s="27" t="s">
        <v>4441</v>
      </c>
    </row>
    <row r="411" spans="2:12" x14ac:dyDescent="0.2">
      <c r="B411" s="26" t="s">
        <v>4398</v>
      </c>
      <c r="C411" t="s">
        <v>4399</v>
      </c>
      <c r="D411" t="s">
        <v>4400</v>
      </c>
      <c r="E411" t="s">
        <v>4401</v>
      </c>
      <c r="F411" t="s">
        <v>4402</v>
      </c>
      <c r="G411" t="s">
        <v>4403</v>
      </c>
      <c r="H411" t="s">
        <v>4404</v>
      </c>
      <c r="I411" t="s">
        <v>4405</v>
      </c>
      <c r="J411" t="s">
        <v>4406</v>
      </c>
      <c r="K411" t="s">
        <v>4407</v>
      </c>
      <c r="L411" s="27" t="s">
        <v>4408</v>
      </c>
    </row>
    <row r="412" spans="2:12" x14ac:dyDescent="0.2">
      <c r="B412" s="26" t="s">
        <v>4409</v>
      </c>
      <c r="C412" t="s">
        <v>4410</v>
      </c>
      <c r="D412" t="s">
        <v>4411</v>
      </c>
      <c r="E412" t="s">
        <v>4412</v>
      </c>
      <c r="F412" t="s">
        <v>4413</v>
      </c>
      <c r="G412" t="s">
        <v>4414</v>
      </c>
      <c r="H412" t="s">
        <v>4415</v>
      </c>
      <c r="I412" t="s">
        <v>4416</v>
      </c>
      <c r="J412" t="s">
        <v>4417</v>
      </c>
      <c r="K412" t="s">
        <v>4418</v>
      </c>
      <c r="L412" s="27" t="s">
        <v>4419</v>
      </c>
    </row>
    <row r="413" spans="2:12" x14ac:dyDescent="0.2">
      <c r="B413" s="26" t="s">
        <v>4420</v>
      </c>
      <c r="C413" t="s">
        <v>4421</v>
      </c>
      <c r="D413" t="s">
        <v>4421</v>
      </c>
      <c r="E413" t="s">
        <v>4422</v>
      </c>
      <c r="F413" t="s">
        <v>4423</v>
      </c>
      <c r="G413" t="s">
        <v>4424</v>
      </c>
      <c r="H413" t="s">
        <v>4425</v>
      </c>
      <c r="I413" t="s">
        <v>4423</v>
      </c>
      <c r="J413" t="s">
        <v>4426</v>
      </c>
      <c r="K413" t="s">
        <v>4427</v>
      </c>
      <c r="L413" s="27" t="s">
        <v>4428</v>
      </c>
    </row>
    <row r="414" spans="2:12" x14ac:dyDescent="0.2">
      <c r="B414" s="26" t="s">
        <v>4429</v>
      </c>
      <c r="C414" t="s">
        <v>4305</v>
      </c>
      <c r="D414" t="s">
        <v>4306</v>
      </c>
      <c r="E414" t="s">
        <v>4307</v>
      </c>
      <c r="F414" t="s">
        <v>4308</v>
      </c>
      <c r="G414" t="s">
        <v>4309</v>
      </c>
      <c r="H414" t="s">
        <v>4310</v>
      </c>
      <c r="I414" t="s">
        <v>4430</v>
      </c>
      <c r="J414" t="s">
        <v>4312</v>
      </c>
      <c r="K414" t="s">
        <v>4313</v>
      </c>
      <c r="L414" s="27" t="s">
        <v>4314</v>
      </c>
    </row>
    <row r="415" spans="2:12" x14ac:dyDescent="0.2">
      <c r="B415" s="26" t="s">
        <v>4720</v>
      </c>
      <c r="C415" t="s">
        <v>4721</v>
      </c>
      <c r="D415" t="s">
        <v>4722</v>
      </c>
      <c r="E415" t="s">
        <v>4723</v>
      </c>
      <c r="F415" t="s">
        <v>4724</v>
      </c>
      <c r="G415" t="s">
        <v>4725</v>
      </c>
      <c r="H415" t="s">
        <v>4726</v>
      </c>
      <c r="I415" t="s">
        <v>4727</v>
      </c>
      <c r="J415" t="s">
        <v>4728</v>
      </c>
      <c r="K415" t="s">
        <v>4729</v>
      </c>
      <c r="L415" s="27" t="s">
        <v>4730</v>
      </c>
    </row>
    <row r="416" spans="2:12" x14ac:dyDescent="0.2">
      <c r="B416" s="26" t="s">
        <v>4731</v>
      </c>
      <c r="C416" t="s">
        <v>4732</v>
      </c>
      <c r="D416" t="s">
        <v>4733</v>
      </c>
      <c r="E416" t="s">
        <v>4734</v>
      </c>
      <c r="F416" t="s">
        <v>4735</v>
      </c>
      <c r="G416" t="s">
        <v>4736</v>
      </c>
      <c r="H416" t="s">
        <v>4737</v>
      </c>
      <c r="I416" t="s">
        <v>4738</v>
      </c>
      <c r="J416" t="s">
        <v>4739</v>
      </c>
      <c r="K416" t="s">
        <v>4740</v>
      </c>
      <c r="L416" s="27" t="s">
        <v>4735</v>
      </c>
    </row>
    <row r="417" spans="2:13" x14ac:dyDescent="0.2">
      <c r="B417" s="26" t="s">
        <v>2821</v>
      </c>
      <c r="C417" t="s">
        <v>2817</v>
      </c>
      <c r="D417" t="s">
        <v>2818</v>
      </c>
      <c r="E417" t="s">
        <v>2819</v>
      </c>
      <c r="F417" t="s">
        <v>2820</v>
      </c>
      <c r="G417" t="s">
        <v>4741</v>
      </c>
      <c r="H417" t="s">
        <v>4742</v>
      </c>
      <c r="I417" t="s">
        <v>4743</v>
      </c>
      <c r="J417" t="s">
        <v>4744</v>
      </c>
      <c r="K417" t="s">
        <v>2825</v>
      </c>
      <c r="L417" s="27" t="s">
        <v>3196</v>
      </c>
    </row>
    <row r="418" spans="2:13" x14ac:dyDescent="0.2">
      <c r="B418" s="26" t="s">
        <v>4745</v>
      </c>
      <c r="C418" t="s">
        <v>2826</v>
      </c>
      <c r="D418" t="s">
        <v>2827</v>
      </c>
      <c r="E418" t="s">
        <v>2828</v>
      </c>
      <c r="F418" t="s">
        <v>2829</v>
      </c>
      <c r="G418" t="s">
        <v>2830</v>
      </c>
      <c r="H418" t="s">
        <v>4746</v>
      </c>
      <c r="I418" t="s">
        <v>4747</v>
      </c>
      <c r="J418" t="s">
        <v>4748</v>
      </c>
      <c r="K418" t="s">
        <v>2834</v>
      </c>
      <c r="L418" s="27" t="s">
        <v>3197</v>
      </c>
    </row>
    <row r="419" spans="2:13" x14ac:dyDescent="0.2">
      <c r="B419" s="26" t="s">
        <v>288</v>
      </c>
      <c r="C419" s="328" t="s">
        <v>1223</v>
      </c>
      <c r="D419" s="328" t="s">
        <v>1224</v>
      </c>
      <c r="E419" s="328" t="s">
        <v>4760</v>
      </c>
      <c r="F419" s="328" t="s">
        <v>1226</v>
      </c>
      <c r="G419" s="328" t="s">
        <v>1227</v>
      </c>
      <c r="H419" s="328" t="s">
        <v>1228</v>
      </c>
      <c r="I419" s="328" t="s">
        <v>1229</v>
      </c>
      <c r="J419" s="328" t="s">
        <v>4771</v>
      </c>
      <c r="K419" s="328" t="s">
        <v>4773</v>
      </c>
      <c r="L419" s="327" t="s">
        <v>3029</v>
      </c>
      <c r="M419" s="328"/>
    </row>
    <row r="420" spans="2:13" x14ac:dyDescent="0.2">
      <c r="B420" s="26" t="s">
        <v>287</v>
      </c>
      <c r="C420" s="328" t="s">
        <v>4756</v>
      </c>
      <c r="D420" s="328" t="s">
        <v>4758</v>
      </c>
      <c r="E420" s="328" t="s">
        <v>4761</v>
      </c>
      <c r="F420" s="328" t="s">
        <v>4764</v>
      </c>
      <c r="G420" s="328" t="s">
        <v>4766</v>
      </c>
      <c r="H420" s="328" t="s">
        <v>4768</v>
      </c>
      <c r="I420" s="328" t="s">
        <v>4764</v>
      </c>
      <c r="J420" s="328" t="s">
        <v>1222</v>
      </c>
      <c r="K420" s="328" t="s">
        <v>287</v>
      </c>
      <c r="L420" s="327" t="s">
        <v>287</v>
      </c>
      <c r="M420" s="328"/>
    </row>
    <row r="421" spans="2:13" x14ac:dyDescent="0.2">
      <c r="B421" s="26" t="s">
        <v>4</v>
      </c>
      <c r="C421" s="328" t="s">
        <v>1304</v>
      </c>
      <c r="D421" s="328" t="s">
        <v>1305</v>
      </c>
      <c r="E421" s="328" t="s">
        <v>4762</v>
      </c>
      <c r="F421" s="328" t="s">
        <v>1307</v>
      </c>
      <c r="G421" s="328" t="s">
        <v>1308</v>
      </c>
      <c r="H421" s="328" t="s">
        <v>1309</v>
      </c>
      <c r="I421" s="328" t="s">
        <v>1310</v>
      </c>
      <c r="J421" s="328" t="s">
        <v>4772</v>
      </c>
      <c r="K421" s="328" t="s">
        <v>4774</v>
      </c>
      <c r="L421" s="327" t="s">
        <v>3037</v>
      </c>
      <c r="M421" s="328"/>
    </row>
    <row r="422" spans="2:13" x14ac:dyDescent="0.2">
      <c r="B422" s="26" t="s">
        <v>289</v>
      </c>
      <c r="C422" s="328" t="s">
        <v>4757</v>
      </c>
      <c r="D422" s="328" t="s">
        <v>4759</v>
      </c>
      <c r="E422" s="328" t="s">
        <v>4763</v>
      </c>
      <c r="F422" s="328" t="s">
        <v>4765</v>
      </c>
      <c r="G422" s="328" t="s">
        <v>4767</v>
      </c>
      <c r="H422" s="328" t="s">
        <v>4769</v>
      </c>
      <c r="I422" s="328" t="s">
        <v>4770</v>
      </c>
      <c r="J422" s="328" t="s">
        <v>1206</v>
      </c>
      <c r="K422" s="328" t="s">
        <v>289</v>
      </c>
      <c r="L422" s="327" t="s">
        <v>1206</v>
      </c>
      <c r="M422" s="328"/>
    </row>
    <row r="423" spans="2:13" x14ac:dyDescent="0.2">
      <c r="B423" s="26" t="s">
        <v>4755</v>
      </c>
      <c r="C423" s="328" t="s">
        <v>4775</v>
      </c>
      <c r="D423" s="328" t="s">
        <v>4776</v>
      </c>
      <c r="E423" s="328" t="s">
        <v>4783</v>
      </c>
      <c r="F423" s="328" t="s">
        <v>4777</v>
      </c>
      <c r="G423" s="328" t="s">
        <v>4778</v>
      </c>
      <c r="H423" s="328" t="s">
        <v>4779</v>
      </c>
      <c r="I423" s="328" t="s">
        <v>4780</v>
      </c>
      <c r="J423" s="328" t="s">
        <v>4781</v>
      </c>
      <c r="K423" s="328" t="s">
        <v>4784</v>
      </c>
      <c r="L423" s="327" t="s">
        <v>4782</v>
      </c>
      <c r="M423" s="328"/>
    </row>
    <row r="424" spans="2:13" x14ac:dyDescent="0.2">
      <c r="B424" s="26" t="s">
        <v>4795</v>
      </c>
      <c r="C424" t="s">
        <v>4796</v>
      </c>
      <c r="D424" t="s">
        <v>4797</v>
      </c>
      <c r="E424" t="s">
        <v>4798</v>
      </c>
      <c r="F424" t="s">
        <v>4799</v>
      </c>
      <c r="G424" t="s">
        <v>4800</v>
      </c>
      <c r="H424" t="s">
        <v>4801</v>
      </c>
      <c r="I424" t="s">
        <v>4802</v>
      </c>
      <c r="J424" t="s">
        <v>4803</v>
      </c>
      <c r="K424" t="s">
        <v>4804</v>
      </c>
      <c r="L424" s="27" t="s">
        <v>4805</v>
      </c>
    </row>
    <row r="425" spans="2:13" x14ac:dyDescent="0.2">
      <c r="B425" s="26" t="s">
        <v>4806</v>
      </c>
      <c r="C425" t="s">
        <v>4807</v>
      </c>
      <c r="D425" t="s">
        <v>4808</v>
      </c>
      <c r="E425" t="s">
        <v>4809</v>
      </c>
      <c r="F425" t="s">
        <v>4810</v>
      </c>
      <c r="G425" t="s">
        <v>4811</v>
      </c>
      <c r="H425" t="s">
        <v>4812</v>
      </c>
      <c r="I425" t="s">
        <v>4813</v>
      </c>
      <c r="J425" t="s">
        <v>4814</v>
      </c>
      <c r="K425" t="s">
        <v>4815</v>
      </c>
      <c r="L425" s="27" t="s">
        <v>4816</v>
      </c>
    </row>
    <row r="426" spans="2:13" x14ac:dyDescent="0.2">
      <c r="B426" s="26" t="s">
        <v>4817</v>
      </c>
      <c r="C426" t="s">
        <v>4818</v>
      </c>
      <c r="D426" t="s">
        <v>4819</v>
      </c>
      <c r="E426" t="s">
        <v>4820</v>
      </c>
      <c r="F426" t="s">
        <v>4821</v>
      </c>
      <c r="G426" t="s">
        <v>4822</v>
      </c>
      <c r="H426" t="s">
        <v>4823</v>
      </c>
      <c r="I426" t="s">
        <v>4824</v>
      </c>
      <c r="J426" t="s">
        <v>4825</v>
      </c>
      <c r="K426" t="s">
        <v>4826</v>
      </c>
      <c r="L426" s="27" t="s">
        <v>4827</v>
      </c>
    </row>
    <row r="427" spans="2:13" x14ac:dyDescent="0.2">
      <c r="B427" s="26" t="s">
        <v>4928</v>
      </c>
      <c r="C427" t="s">
        <v>4940</v>
      </c>
      <c r="D427" t="s">
        <v>4941</v>
      </c>
      <c r="E427" t="s">
        <v>4942</v>
      </c>
      <c r="F427" t="s">
        <v>4943</v>
      </c>
      <c r="G427" t="s">
        <v>4944</v>
      </c>
      <c r="H427" t="s">
        <v>4945</v>
      </c>
      <c r="I427" t="s">
        <v>4946</v>
      </c>
      <c r="J427" t="s">
        <v>4947</v>
      </c>
      <c r="K427" t="s">
        <v>4948</v>
      </c>
      <c r="L427" s="27" t="s">
        <v>4949</v>
      </c>
    </row>
    <row r="428" spans="2:13" x14ac:dyDescent="0.2">
      <c r="B428" s="26" t="s">
        <v>4929</v>
      </c>
      <c r="C428" t="s">
        <v>4950</v>
      </c>
      <c r="D428" t="s">
        <v>4951</v>
      </c>
      <c r="E428" t="s">
        <v>4952</v>
      </c>
      <c r="F428" t="s">
        <v>4953</v>
      </c>
      <c r="G428" t="s">
        <v>4954</v>
      </c>
      <c r="H428" t="s">
        <v>4955</v>
      </c>
      <c r="I428" t="s">
        <v>4956</v>
      </c>
      <c r="J428" t="s">
        <v>4957</v>
      </c>
      <c r="K428" t="s">
        <v>4958</v>
      </c>
      <c r="L428" s="27" t="s">
        <v>4959</v>
      </c>
    </row>
    <row r="429" spans="2:13" x14ac:dyDescent="0.2">
      <c r="B429" s="26" t="s">
        <v>4930</v>
      </c>
      <c r="C429" t="s">
        <v>4960</v>
      </c>
      <c r="D429" t="s">
        <v>4961</v>
      </c>
      <c r="E429" t="s">
        <v>4962</v>
      </c>
      <c r="F429" t="s">
        <v>4963</v>
      </c>
      <c r="G429" t="s">
        <v>4964</v>
      </c>
      <c r="H429" t="s">
        <v>4965</v>
      </c>
      <c r="I429" t="s">
        <v>4966</v>
      </c>
      <c r="J429" t="s">
        <v>4967</v>
      </c>
      <c r="K429" t="s">
        <v>4968</v>
      </c>
      <c r="L429" s="27" t="s">
        <v>4969</v>
      </c>
    </row>
    <row r="430" spans="2:13" x14ac:dyDescent="0.2">
      <c r="B430" s="26" t="s">
        <v>4829</v>
      </c>
      <c r="C430" t="s">
        <v>4970</v>
      </c>
      <c r="D430" t="s">
        <v>4971</v>
      </c>
      <c r="E430" t="s">
        <v>4972</v>
      </c>
      <c r="F430" t="s">
        <v>4973</v>
      </c>
      <c r="G430" t="s">
        <v>4974</v>
      </c>
      <c r="H430" t="s">
        <v>4975</v>
      </c>
      <c r="I430" t="s">
        <v>4976</v>
      </c>
      <c r="J430" t="s">
        <v>4977</v>
      </c>
      <c r="K430" t="s">
        <v>4978</v>
      </c>
      <c r="L430" s="27" t="s">
        <v>4979</v>
      </c>
    </row>
    <row r="431" spans="2:13" x14ac:dyDescent="0.2">
      <c r="B431" s="26" t="s">
        <v>4835</v>
      </c>
      <c r="C431" t="s">
        <v>4980</v>
      </c>
      <c r="D431" t="s">
        <v>4981</v>
      </c>
      <c r="E431" t="s">
        <v>4982</v>
      </c>
      <c r="F431" t="s">
        <v>4983</v>
      </c>
      <c r="G431" t="s">
        <v>4984</v>
      </c>
      <c r="H431" t="s">
        <v>4985</v>
      </c>
      <c r="I431" t="s">
        <v>4986</v>
      </c>
      <c r="J431" t="s">
        <v>4987</v>
      </c>
      <c r="K431" t="s">
        <v>4988</v>
      </c>
      <c r="L431" s="27" t="s">
        <v>4989</v>
      </c>
    </row>
    <row r="432" spans="2:13" x14ac:dyDescent="0.2">
      <c r="B432" s="26" t="s">
        <v>4830</v>
      </c>
      <c r="C432" t="s">
        <v>4990</v>
      </c>
      <c r="D432" t="s">
        <v>4991</v>
      </c>
      <c r="E432" t="s">
        <v>4992</v>
      </c>
      <c r="F432" t="s">
        <v>4993</v>
      </c>
      <c r="G432" t="s">
        <v>4994</v>
      </c>
      <c r="H432" t="s">
        <v>4995</v>
      </c>
      <c r="I432" t="s">
        <v>4996</v>
      </c>
      <c r="J432" t="s">
        <v>4997</v>
      </c>
      <c r="K432" t="s">
        <v>4998</v>
      </c>
      <c r="L432" s="27" t="s">
        <v>4999</v>
      </c>
    </row>
    <row r="433" spans="2:12" x14ac:dyDescent="0.2">
      <c r="B433" s="26" t="s">
        <v>4836</v>
      </c>
      <c r="C433" t="s">
        <v>5000</v>
      </c>
      <c r="D433" t="s">
        <v>5001</v>
      </c>
      <c r="E433" t="s">
        <v>5002</v>
      </c>
      <c r="F433" t="s">
        <v>5003</v>
      </c>
      <c r="G433" t="s">
        <v>5004</v>
      </c>
      <c r="H433" t="s">
        <v>5005</v>
      </c>
      <c r="I433" t="s">
        <v>5006</v>
      </c>
      <c r="J433" t="s">
        <v>5007</v>
      </c>
      <c r="K433" t="s">
        <v>5008</v>
      </c>
      <c r="L433" s="27" t="s">
        <v>5009</v>
      </c>
    </row>
    <row r="434" spans="2:12" x14ac:dyDescent="0.2">
      <c r="B434" s="26" t="s">
        <v>4837</v>
      </c>
      <c r="C434" t="s">
        <v>5010</v>
      </c>
      <c r="D434" t="s">
        <v>5011</v>
      </c>
      <c r="E434" t="s">
        <v>4837</v>
      </c>
      <c r="F434" t="s">
        <v>4837</v>
      </c>
      <c r="G434" t="s">
        <v>5012</v>
      </c>
      <c r="H434" t="s">
        <v>4837</v>
      </c>
      <c r="I434" t="s">
        <v>5013</v>
      </c>
      <c r="J434" t="s">
        <v>4837</v>
      </c>
      <c r="K434" t="s">
        <v>5014</v>
      </c>
      <c r="L434" s="27" t="s">
        <v>4837</v>
      </c>
    </row>
    <row r="435" spans="2:12" x14ac:dyDescent="0.2">
      <c r="B435" s="26" t="s">
        <v>4838</v>
      </c>
      <c r="C435" t="s">
        <v>5015</v>
      </c>
      <c r="D435" t="s">
        <v>5016</v>
      </c>
      <c r="E435" t="s">
        <v>5017</v>
      </c>
      <c r="F435" t="s">
        <v>5018</v>
      </c>
      <c r="G435" t="s">
        <v>5019</v>
      </c>
      <c r="H435" t="s">
        <v>5020</v>
      </c>
      <c r="I435" t="s">
        <v>5021</v>
      </c>
      <c r="J435" t="s">
        <v>5022</v>
      </c>
      <c r="K435" t="s">
        <v>5023</v>
      </c>
      <c r="L435" s="27" t="s">
        <v>4838</v>
      </c>
    </row>
    <row r="436" spans="2:12" x14ac:dyDescent="0.2">
      <c r="B436" s="26" t="s">
        <v>4831</v>
      </c>
      <c r="C436" t="s">
        <v>5024</v>
      </c>
      <c r="D436" t="s">
        <v>5025</v>
      </c>
      <c r="E436" t="s">
        <v>5026</v>
      </c>
      <c r="F436" t="s">
        <v>5027</v>
      </c>
      <c r="G436" t="s">
        <v>5028</v>
      </c>
      <c r="H436" t="s">
        <v>5029</v>
      </c>
      <c r="I436" t="s">
        <v>5030</v>
      </c>
      <c r="J436" t="s">
        <v>5031</v>
      </c>
      <c r="K436" t="s">
        <v>5032</v>
      </c>
      <c r="L436" s="27" t="s">
        <v>5033</v>
      </c>
    </row>
    <row r="437" spans="2:12" x14ac:dyDescent="0.2">
      <c r="B437" s="26" t="s">
        <v>4839</v>
      </c>
      <c r="C437" t="s">
        <v>5034</v>
      </c>
      <c r="D437" t="s">
        <v>5035</v>
      </c>
      <c r="E437" t="s">
        <v>5036</v>
      </c>
      <c r="F437" t="s">
        <v>5037</v>
      </c>
      <c r="G437" t="s">
        <v>5038</v>
      </c>
      <c r="H437" t="s">
        <v>5039</v>
      </c>
      <c r="I437" t="s">
        <v>5040</v>
      </c>
      <c r="J437" t="s">
        <v>5041</v>
      </c>
      <c r="K437" t="s">
        <v>5042</v>
      </c>
      <c r="L437" s="27" t="s">
        <v>5037</v>
      </c>
    </row>
    <row r="438" spans="2:12" x14ac:dyDescent="0.2">
      <c r="B438" s="26" t="s">
        <v>4840</v>
      </c>
      <c r="C438" t="s">
        <v>5043</v>
      </c>
      <c r="D438" t="s">
        <v>5044</v>
      </c>
      <c r="E438" t="s">
        <v>5045</v>
      </c>
      <c r="F438" t="s">
        <v>5046</v>
      </c>
      <c r="G438" t="s">
        <v>5047</v>
      </c>
      <c r="H438" t="s">
        <v>5048</v>
      </c>
      <c r="I438" t="s">
        <v>5049</v>
      </c>
      <c r="J438" t="s">
        <v>5050</v>
      </c>
      <c r="K438" t="s">
        <v>5051</v>
      </c>
      <c r="L438" s="27" t="s">
        <v>5052</v>
      </c>
    </row>
    <row r="439" spans="2:12" x14ac:dyDescent="0.2">
      <c r="B439" s="26" t="s">
        <v>4841</v>
      </c>
      <c r="C439" t="s">
        <v>5053</v>
      </c>
      <c r="D439" t="s">
        <v>5054</v>
      </c>
      <c r="E439" t="s">
        <v>5055</v>
      </c>
      <c r="F439" t="s">
        <v>5056</v>
      </c>
      <c r="G439" t="s">
        <v>5057</v>
      </c>
      <c r="H439" t="s">
        <v>5058</v>
      </c>
      <c r="I439" t="s">
        <v>5059</v>
      </c>
      <c r="J439" t="s">
        <v>5060</v>
      </c>
      <c r="K439" t="s">
        <v>5061</v>
      </c>
      <c r="L439" s="27" t="s">
        <v>5062</v>
      </c>
    </row>
    <row r="440" spans="2:12" x14ac:dyDescent="0.2">
      <c r="B440" s="26" t="s">
        <v>4842</v>
      </c>
      <c r="C440" t="s">
        <v>934</v>
      </c>
      <c r="D440" t="s">
        <v>935</v>
      </c>
      <c r="E440" t="s">
        <v>5063</v>
      </c>
      <c r="F440" t="s">
        <v>5064</v>
      </c>
      <c r="G440" t="s">
        <v>5065</v>
      </c>
      <c r="H440" t="s">
        <v>5066</v>
      </c>
      <c r="I440" t="s">
        <v>5067</v>
      </c>
      <c r="J440" t="s">
        <v>5068</v>
      </c>
      <c r="K440" t="s">
        <v>942</v>
      </c>
      <c r="L440" s="27" t="s">
        <v>5069</v>
      </c>
    </row>
    <row r="441" spans="2:12" x14ac:dyDescent="0.2">
      <c r="B441" s="26" t="s">
        <v>4843</v>
      </c>
      <c r="C441" t="s">
        <v>5070</v>
      </c>
      <c r="D441" t="s">
        <v>5071</v>
      </c>
      <c r="E441" t="s">
        <v>5072</v>
      </c>
      <c r="F441" t="s">
        <v>5073</v>
      </c>
      <c r="G441" t="s">
        <v>5074</v>
      </c>
      <c r="H441" t="s">
        <v>5075</v>
      </c>
      <c r="I441" t="s">
        <v>5076</v>
      </c>
      <c r="J441" t="s">
        <v>5077</v>
      </c>
      <c r="K441" t="s">
        <v>5078</v>
      </c>
      <c r="L441" s="27" t="s">
        <v>5079</v>
      </c>
    </row>
    <row r="442" spans="2:12" x14ac:dyDescent="0.2">
      <c r="B442" s="26" t="s">
        <v>4844</v>
      </c>
      <c r="C442" t="s">
        <v>1941</v>
      </c>
      <c r="D442" t="s">
        <v>5080</v>
      </c>
      <c r="E442" t="s">
        <v>1943</v>
      </c>
      <c r="F442" t="s">
        <v>1944</v>
      </c>
      <c r="G442" t="s">
        <v>5081</v>
      </c>
      <c r="H442" t="s">
        <v>5082</v>
      </c>
      <c r="I442" t="s">
        <v>1947</v>
      </c>
      <c r="J442" t="s">
        <v>1948</v>
      </c>
      <c r="K442" t="s">
        <v>1949</v>
      </c>
      <c r="L442" s="27" t="s">
        <v>5083</v>
      </c>
    </row>
    <row r="443" spans="2:12" x14ac:dyDescent="0.2">
      <c r="B443" s="26" t="s">
        <v>4845</v>
      </c>
      <c r="C443" t="s">
        <v>1950</v>
      </c>
      <c r="D443" t="s">
        <v>5084</v>
      </c>
      <c r="E443" t="s">
        <v>1952</v>
      </c>
      <c r="F443" t="s">
        <v>5085</v>
      </c>
      <c r="G443" t="s">
        <v>5086</v>
      </c>
      <c r="H443" t="s">
        <v>5087</v>
      </c>
      <c r="I443" t="s">
        <v>5088</v>
      </c>
      <c r="J443" t="s">
        <v>5089</v>
      </c>
      <c r="K443" t="s">
        <v>5090</v>
      </c>
      <c r="L443" s="27" t="s">
        <v>5091</v>
      </c>
    </row>
    <row r="444" spans="2:12" x14ac:dyDescent="0.2">
      <c r="B444" s="26" t="s">
        <v>4846</v>
      </c>
      <c r="C444" t="s">
        <v>5092</v>
      </c>
      <c r="D444" t="s">
        <v>5093</v>
      </c>
      <c r="E444" t="s">
        <v>1409</v>
      </c>
      <c r="F444" t="s">
        <v>4846</v>
      </c>
      <c r="G444" t="s">
        <v>4846</v>
      </c>
      <c r="H444" t="s">
        <v>4846</v>
      </c>
      <c r="I444" t="s">
        <v>4846</v>
      </c>
      <c r="J444" t="s">
        <v>1414</v>
      </c>
      <c r="K444" t="s">
        <v>5094</v>
      </c>
      <c r="L444" s="27" t="s">
        <v>4846</v>
      </c>
    </row>
    <row r="445" spans="2:12" x14ac:dyDescent="0.2">
      <c r="B445" s="26" t="s">
        <v>399</v>
      </c>
      <c r="C445" t="s">
        <v>1416</v>
      </c>
      <c r="D445" t="s">
        <v>1417</v>
      </c>
      <c r="E445" t="s">
        <v>1418</v>
      </c>
      <c r="F445" t="s">
        <v>1419</v>
      </c>
      <c r="G445" t="s">
        <v>1420</v>
      </c>
      <c r="H445" t="s">
        <v>1420</v>
      </c>
      <c r="I445" t="s">
        <v>1421</v>
      </c>
      <c r="J445" t="s">
        <v>1422</v>
      </c>
      <c r="K445" t="s">
        <v>1423</v>
      </c>
      <c r="L445" s="27" t="s">
        <v>3048</v>
      </c>
    </row>
    <row r="446" spans="2:12" x14ac:dyDescent="0.2">
      <c r="B446" s="26" t="s">
        <v>4931</v>
      </c>
      <c r="C446" t="s">
        <v>5095</v>
      </c>
      <c r="D446" t="s">
        <v>5096</v>
      </c>
      <c r="E446" t="s">
        <v>5097</v>
      </c>
      <c r="F446" t="s">
        <v>5098</v>
      </c>
      <c r="G446" t="s">
        <v>5099</v>
      </c>
      <c r="H446" t="s">
        <v>5100</v>
      </c>
      <c r="I446" t="s">
        <v>5101</v>
      </c>
      <c r="J446" t="s">
        <v>5102</v>
      </c>
      <c r="K446" t="s">
        <v>5103</v>
      </c>
      <c r="L446" s="27" t="s">
        <v>5104</v>
      </c>
    </row>
    <row r="447" spans="2:12" x14ac:dyDescent="0.2">
      <c r="B447" s="26" t="s">
        <v>4932</v>
      </c>
      <c r="C447" t="s">
        <v>2030</v>
      </c>
      <c r="D447" t="s">
        <v>2031</v>
      </c>
      <c r="E447" t="s">
        <v>5105</v>
      </c>
      <c r="F447" t="s">
        <v>2033</v>
      </c>
      <c r="G447" t="s">
        <v>5106</v>
      </c>
      <c r="H447" t="s">
        <v>2035</v>
      </c>
      <c r="I447" t="s">
        <v>2036</v>
      </c>
      <c r="J447" t="s">
        <v>2037</v>
      </c>
      <c r="K447" t="s">
        <v>2038</v>
      </c>
      <c r="L447" s="27" t="s">
        <v>5107</v>
      </c>
    </row>
    <row r="448" spans="2:12" x14ac:dyDescent="0.2">
      <c r="B448" s="26" t="s">
        <v>4933</v>
      </c>
      <c r="C448" t="s">
        <v>5108</v>
      </c>
      <c r="D448" t="s">
        <v>5109</v>
      </c>
      <c r="E448" t="s">
        <v>5110</v>
      </c>
      <c r="F448" t="s">
        <v>5111</v>
      </c>
      <c r="G448" t="s">
        <v>5112</v>
      </c>
      <c r="H448" t="s">
        <v>5113</v>
      </c>
      <c r="I448" t="s">
        <v>5114</v>
      </c>
      <c r="J448" t="s">
        <v>5115</v>
      </c>
      <c r="K448" t="s">
        <v>5116</v>
      </c>
      <c r="L448" s="27" t="s">
        <v>5117</v>
      </c>
    </row>
    <row r="449" spans="2:12" x14ac:dyDescent="0.2">
      <c r="B449" s="26" t="s">
        <v>472</v>
      </c>
      <c r="C449" t="s">
        <v>2084</v>
      </c>
      <c r="D449" t="s">
        <v>2085</v>
      </c>
      <c r="E449" t="s">
        <v>2086</v>
      </c>
      <c r="F449" t="s">
        <v>2087</v>
      </c>
      <c r="G449" t="s">
        <v>2088</v>
      </c>
      <c r="H449" t="s">
        <v>2089</v>
      </c>
      <c r="I449" t="s">
        <v>2090</v>
      </c>
      <c r="J449" t="s">
        <v>2091</v>
      </c>
      <c r="K449" t="s">
        <v>2092</v>
      </c>
      <c r="L449" s="27" t="s">
        <v>5118</v>
      </c>
    </row>
    <row r="450" spans="2:12" x14ac:dyDescent="0.2">
      <c r="B450" s="26" t="s">
        <v>4934</v>
      </c>
      <c r="C450" t="s">
        <v>5119</v>
      </c>
      <c r="D450" t="s">
        <v>5120</v>
      </c>
      <c r="E450" t="s">
        <v>2077</v>
      </c>
      <c r="F450" t="s">
        <v>5121</v>
      </c>
      <c r="G450" t="s">
        <v>5122</v>
      </c>
      <c r="H450" t="s">
        <v>5123</v>
      </c>
      <c r="I450" t="s">
        <v>5124</v>
      </c>
      <c r="J450" t="s">
        <v>5125</v>
      </c>
      <c r="K450" t="s">
        <v>5126</v>
      </c>
      <c r="L450" s="27" t="s">
        <v>5127</v>
      </c>
    </row>
    <row r="451" spans="2:12" x14ac:dyDescent="0.2">
      <c r="B451" s="26" t="s">
        <v>4935</v>
      </c>
      <c r="C451" t="s">
        <v>5128</v>
      </c>
      <c r="D451" t="s">
        <v>5129</v>
      </c>
      <c r="E451" t="s">
        <v>5130</v>
      </c>
      <c r="F451" t="s">
        <v>5131</v>
      </c>
      <c r="G451" t="s">
        <v>5132</v>
      </c>
      <c r="H451" t="s">
        <v>5133</v>
      </c>
      <c r="I451" t="s">
        <v>5134</v>
      </c>
      <c r="J451" t="s">
        <v>5135</v>
      </c>
      <c r="K451" t="s">
        <v>5136</v>
      </c>
      <c r="L451" s="27" t="s">
        <v>5137</v>
      </c>
    </row>
    <row r="452" spans="2:12" x14ac:dyDescent="0.2">
      <c r="B452" s="26" t="s">
        <v>4850</v>
      </c>
      <c r="C452" t="s">
        <v>5138</v>
      </c>
      <c r="D452" t="s">
        <v>5139</v>
      </c>
      <c r="E452" t="s">
        <v>2842</v>
      </c>
      <c r="F452" t="s">
        <v>5140</v>
      </c>
      <c r="G452" t="s">
        <v>5141</v>
      </c>
      <c r="H452" t="s">
        <v>5142</v>
      </c>
      <c r="I452" t="s">
        <v>5143</v>
      </c>
      <c r="J452" t="s">
        <v>5144</v>
      </c>
      <c r="K452" t="s">
        <v>5145</v>
      </c>
      <c r="L452" s="27" t="s">
        <v>5146</v>
      </c>
    </row>
    <row r="453" spans="2:12" x14ac:dyDescent="0.2">
      <c r="B453" s="26" t="s">
        <v>4848</v>
      </c>
      <c r="C453" t="s">
        <v>5147</v>
      </c>
      <c r="D453" t="s">
        <v>5148</v>
      </c>
      <c r="E453" t="s">
        <v>5149</v>
      </c>
      <c r="F453" t="s">
        <v>5150</v>
      </c>
      <c r="G453" t="s">
        <v>5151</v>
      </c>
      <c r="H453" t="s">
        <v>5152</v>
      </c>
      <c r="I453" t="s">
        <v>5153</v>
      </c>
      <c r="J453" t="s">
        <v>5154</v>
      </c>
      <c r="K453" t="s">
        <v>5155</v>
      </c>
      <c r="L453" s="27" t="s">
        <v>5156</v>
      </c>
    </row>
    <row r="454" spans="2:12" x14ac:dyDescent="0.2">
      <c r="B454" s="26" t="s">
        <v>4851</v>
      </c>
      <c r="C454" t="s">
        <v>5157</v>
      </c>
      <c r="D454" t="s">
        <v>5158</v>
      </c>
      <c r="E454" t="s">
        <v>5159</v>
      </c>
      <c r="F454" t="s">
        <v>5160</v>
      </c>
      <c r="G454" t="s">
        <v>5161</v>
      </c>
      <c r="H454" t="s">
        <v>5162</v>
      </c>
      <c r="I454" t="s">
        <v>5163</v>
      </c>
      <c r="J454" t="s">
        <v>5164</v>
      </c>
      <c r="K454" t="s">
        <v>5165</v>
      </c>
      <c r="L454" s="27" t="s">
        <v>5166</v>
      </c>
    </row>
    <row r="455" spans="2:12" x14ac:dyDescent="0.2">
      <c r="B455" s="26" t="s">
        <v>4852</v>
      </c>
      <c r="C455" t="s">
        <v>5167</v>
      </c>
      <c r="D455" t="s">
        <v>5168</v>
      </c>
      <c r="E455" t="s">
        <v>5169</v>
      </c>
      <c r="F455" t="s">
        <v>5170</v>
      </c>
      <c r="G455" t="s">
        <v>5171</v>
      </c>
      <c r="H455" t="s">
        <v>5172</v>
      </c>
      <c r="I455" t="s">
        <v>5173</v>
      </c>
      <c r="J455" t="s">
        <v>5174</v>
      </c>
      <c r="K455" t="s">
        <v>5175</v>
      </c>
      <c r="L455" s="27" t="s">
        <v>5176</v>
      </c>
    </row>
    <row r="456" spans="2:12" x14ac:dyDescent="0.2">
      <c r="B456" s="26" t="s">
        <v>4855</v>
      </c>
      <c r="C456" t="s">
        <v>5177</v>
      </c>
      <c r="D456" t="s">
        <v>5178</v>
      </c>
      <c r="E456" t="s">
        <v>5179</v>
      </c>
      <c r="F456" t="s">
        <v>5180</v>
      </c>
      <c r="G456" t="s">
        <v>5181</v>
      </c>
      <c r="H456" t="s">
        <v>5182</v>
      </c>
      <c r="I456" t="s">
        <v>5183</v>
      </c>
      <c r="J456" t="s">
        <v>1713</v>
      </c>
      <c r="K456" t="s">
        <v>1312</v>
      </c>
      <c r="L456" s="27" t="s">
        <v>5184</v>
      </c>
    </row>
    <row r="457" spans="2:12" x14ac:dyDescent="0.2">
      <c r="B457" s="26" t="s">
        <v>4936</v>
      </c>
      <c r="C457" t="s">
        <v>5138</v>
      </c>
      <c r="D457" t="s">
        <v>5139</v>
      </c>
      <c r="E457" t="s">
        <v>2842</v>
      </c>
      <c r="F457" t="s">
        <v>5140</v>
      </c>
      <c r="G457" t="s">
        <v>5141</v>
      </c>
      <c r="H457" t="s">
        <v>5142</v>
      </c>
      <c r="I457" t="s">
        <v>5143</v>
      </c>
      <c r="J457" t="s">
        <v>5144</v>
      </c>
      <c r="K457" t="s">
        <v>5145</v>
      </c>
      <c r="L457" s="27" t="s">
        <v>5146</v>
      </c>
    </row>
    <row r="458" spans="2:12" x14ac:dyDescent="0.2">
      <c r="B458" s="26" t="s">
        <v>4853</v>
      </c>
      <c r="C458" t="s">
        <v>5185</v>
      </c>
      <c r="D458" t="s">
        <v>5186</v>
      </c>
      <c r="E458" t="s">
        <v>5187</v>
      </c>
      <c r="F458" t="s">
        <v>5188</v>
      </c>
      <c r="G458" t="s">
        <v>5189</v>
      </c>
      <c r="H458" t="s">
        <v>5190</v>
      </c>
      <c r="I458" t="s">
        <v>5191</v>
      </c>
      <c r="J458" t="s">
        <v>5192</v>
      </c>
      <c r="K458" t="s">
        <v>5193</v>
      </c>
      <c r="L458" s="27" t="s">
        <v>5194</v>
      </c>
    </row>
    <row r="459" spans="2:12" x14ac:dyDescent="0.2">
      <c r="B459" s="26" t="s">
        <v>4854</v>
      </c>
      <c r="C459" t="s">
        <v>1803</v>
      </c>
      <c r="D459" t="s">
        <v>1804</v>
      </c>
      <c r="E459" t="s">
        <v>5195</v>
      </c>
      <c r="F459" t="s">
        <v>5196</v>
      </c>
      <c r="G459" t="s">
        <v>5197</v>
      </c>
      <c r="H459" t="s">
        <v>5198</v>
      </c>
      <c r="I459" t="s">
        <v>5199</v>
      </c>
      <c r="J459" t="s">
        <v>5200</v>
      </c>
      <c r="K459" t="s">
        <v>5201</v>
      </c>
      <c r="L459" s="27" t="s">
        <v>5202</v>
      </c>
    </row>
    <row r="460" spans="2:12" x14ac:dyDescent="0.2">
      <c r="B460" s="26" t="s">
        <v>4937</v>
      </c>
      <c r="C460" t="s">
        <v>5203</v>
      </c>
      <c r="D460" t="s">
        <v>5204</v>
      </c>
      <c r="E460" t="s">
        <v>1752</v>
      </c>
      <c r="F460" t="s">
        <v>5205</v>
      </c>
      <c r="G460" t="s">
        <v>5206</v>
      </c>
      <c r="H460" t="s">
        <v>5207</v>
      </c>
      <c r="I460" t="s">
        <v>5208</v>
      </c>
      <c r="J460" t="s">
        <v>5209</v>
      </c>
      <c r="K460" t="s">
        <v>5210</v>
      </c>
      <c r="L460" s="27" t="s">
        <v>5211</v>
      </c>
    </row>
    <row r="461" spans="2:12" x14ac:dyDescent="0.2">
      <c r="B461" s="26" t="s">
        <v>4938</v>
      </c>
      <c r="C461" t="s">
        <v>5212</v>
      </c>
      <c r="D461" t="s">
        <v>5213</v>
      </c>
      <c r="E461" t="s">
        <v>5214</v>
      </c>
      <c r="F461" t="s">
        <v>5215</v>
      </c>
      <c r="G461" t="s">
        <v>5216</v>
      </c>
      <c r="H461" t="s">
        <v>5217</v>
      </c>
      <c r="I461" t="s">
        <v>5218</v>
      </c>
      <c r="J461" t="s">
        <v>5219</v>
      </c>
      <c r="K461" t="s">
        <v>5220</v>
      </c>
      <c r="L461" s="27" t="s">
        <v>5221</v>
      </c>
    </row>
    <row r="462" spans="2:12" x14ac:dyDescent="0.2">
      <c r="B462" s="26" t="s">
        <v>4849</v>
      </c>
      <c r="C462" t="s">
        <v>5222</v>
      </c>
      <c r="D462" t="s">
        <v>5223</v>
      </c>
      <c r="E462" t="s">
        <v>5224</v>
      </c>
      <c r="F462" t="s">
        <v>5225</v>
      </c>
      <c r="G462" t="s">
        <v>5226</v>
      </c>
      <c r="H462" t="s">
        <v>5227</v>
      </c>
      <c r="I462" t="s">
        <v>5228</v>
      </c>
      <c r="J462" t="s">
        <v>5229</v>
      </c>
      <c r="K462" t="s">
        <v>5230</v>
      </c>
      <c r="L462" s="27" t="s">
        <v>5231</v>
      </c>
    </row>
    <row r="463" spans="2:12" x14ac:dyDescent="0.2">
      <c r="B463" s="26" t="s">
        <v>4856</v>
      </c>
      <c r="C463" t="s">
        <v>5212</v>
      </c>
      <c r="D463" t="s">
        <v>5213</v>
      </c>
      <c r="E463" t="s">
        <v>5214</v>
      </c>
      <c r="F463" t="s">
        <v>5215</v>
      </c>
      <c r="G463" t="s">
        <v>5232</v>
      </c>
      <c r="H463" t="s">
        <v>5217</v>
      </c>
      <c r="I463" t="s">
        <v>5218</v>
      </c>
      <c r="J463" t="s">
        <v>5219</v>
      </c>
      <c r="K463" t="s">
        <v>5220</v>
      </c>
      <c r="L463" s="27" t="s">
        <v>5221</v>
      </c>
    </row>
    <row r="464" spans="2:12" x14ac:dyDescent="0.2">
      <c r="B464" s="26" t="s">
        <v>261</v>
      </c>
      <c r="C464" t="s">
        <v>2684</v>
      </c>
      <c r="D464" t="s">
        <v>2684</v>
      </c>
      <c r="E464" t="s">
        <v>5233</v>
      </c>
      <c r="F464" t="s">
        <v>5234</v>
      </c>
      <c r="G464" t="s">
        <v>2687</v>
      </c>
      <c r="H464" t="s">
        <v>5235</v>
      </c>
      <c r="I464" t="s">
        <v>2689</v>
      </c>
      <c r="J464" t="s">
        <v>5236</v>
      </c>
      <c r="K464" t="s">
        <v>2691</v>
      </c>
      <c r="L464" s="27" t="s">
        <v>5237</v>
      </c>
    </row>
    <row r="465" spans="2:12" x14ac:dyDescent="0.2">
      <c r="B465" s="26" t="s">
        <v>4939</v>
      </c>
      <c r="C465" t="s">
        <v>5238</v>
      </c>
      <c r="D465" t="s">
        <v>5239</v>
      </c>
      <c r="E465" t="s">
        <v>5240</v>
      </c>
      <c r="F465" t="s">
        <v>5241</v>
      </c>
      <c r="G465" t="s">
        <v>5242</v>
      </c>
      <c r="H465" t="s">
        <v>5243</v>
      </c>
      <c r="I465" t="s">
        <v>5244</v>
      </c>
      <c r="J465" t="s">
        <v>5245</v>
      </c>
      <c r="K465" t="s">
        <v>5246</v>
      </c>
      <c r="L465" s="27" t="s">
        <v>5247</v>
      </c>
    </row>
    <row r="466" spans="2:12" x14ac:dyDescent="0.2">
      <c r="B466" s="26" t="s">
        <v>4857</v>
      </c>
      <c r="C466" t="s">
        <v>5248</v>
      </c>
      <c r="D466" t="s">
        <v>5249</v>
      </c>
      <c r="E466" t="s">
        <v>5250</v>
      </c>
      <c r="F466" t="s">
        <v>5251</v>
      </c>
      <c r="G466" t="s">
        <v>5252</v>
      </c>
      <c r="H466" t="s">
        <v>5253</v>
      </c>
      <c r="I466" t="s">
        <v>5254</v>
      </c>
      <c r="J466" t="s">
        <v>5255</v>
      </c>
      <c r="K466" t="s">
        <v>5256</v>
      </c>
      <c r="L466" s="27" t="s">
        <v>5257</v>
      </c>
    </row>
    <row r="467" spans="2:12" x14ac:dyDescent="0.2">
      <c r="B467" s="26" t="s">
        <v>4860</v>
      </c>
      <c r="C467" t="s">
        <v>5258</v>
      </c>
      <c r="D467" t="s">
        <v>5259</v>
      </c>
      <c r="E467" t="s">
        <v>5260</v>
      </c>
      <c r="F467" t="s">
        <v>5261</v>
      </c>
      <c r="G467" t="s">
        <v>5262</v>
      </c>
      <c r="H467" t="s">
        <v>5263</v>
      </c>
      <c r="I467" t="s">
        <v>5264</v>
      </c>
      <c r="J467" t="s">
        <v>5265</v>
      </c>
      <c r="K467" t="s">
        <v>5266</v>
      </c>
      <c r="L467" s="27" t="s">
        <v>5267</v>
      </c>
    </row>
    <row r="468" spans="2:12" x14ac:dyDescent="0.2">
      <c r="B468" s="26" t="s">
        <v>4861</v>
      </c>
      <c r="C468" t="s">
        <v>5268</v>
      </c>
      <c r="D468" t="s">
        <v>5269</v>
      </c>
      <c r="E468" t="s">
        <v>5270</v>
      </c>
      <c r="F468" t="s">
        <v>5271</v>
      </c>
      <c r="G468" t="s">
        <v>5272</v>
      </c>
      <c r="H468" t="s">
        <v>5273</v>
      </c>
      <c r="I468" t="s">
        <v>5274</v>
      </c>
      <c r="J468" t="s">
        <v>5275</v>
      </c>
      <c r="K468" t="s">
        <v>5276</v>
      </c>
      <c r="L468" s="27" t="s">
        <v>5277</v>
      </c>
    </row>
    <row r="469" spans="2:12" x14ac:dyDescent="0.2">
      <c r="B469" s="26" t="s">
        <v>4925</v>
      </c>
      <c r="C469" t="s">
        <v>5278</v>
      </c>
      <c r="D469" t="s">
        <v>5279</v>
      </c>
      <c r="E469" t="s">
        <v>5280</v>
      </c>
      <c r="F469" t="s">
        <v>5281</v>
      </c>
      <c r="G469" t="s">
        <v>5282</v>
      </c>
      <c r="H469" t="s">
        <v>5283</v>
      </c>
      <c r="I469" t="s">
        <v>5284</v>
      </c>
      <c r="J469" t="s">
        <v>5285</v>
      </c>
      <c r="K469" t="s">
        <v>5286</v>
      </c>
      <c r="L469" s="27" t="s">
        <v>5287</v>
      </c>
    </row>
    <row r="470" spans="2:12" x14ac:dyDescent="0.2">
      <c r="B470" s="26" t="s">
        <v>5522</v>
      </c>
      <c r="C470" t="s">
        <v>5288</v>
      </c>
      <c r="D470" t="s">
        <v>5289</v>
      </c>
      <c r="E470" t="s">
        <v>5290</v>
      </c>
      <c r="F470" t="s">
        <v>5291</v>
      </c>
      <c r="G470" t="s">
        <v>5292</v>
      </c>
      <c r="H470" t="s">
        <v>5293</v>
      </c>
      <c r="I470" t="s">
        <v>5294</v>
      </c>
      <c r="J470" t="s">
        <v>5295</v>
      </c>
      <c r="K470" t="s">
        <v>5296</v>
      </c>
      <c r="L470" s="27" t="s">
        <v>5297</v>
      </c>
    </row>
    <row r="471" spans="2:12" x14ac:dyDescent="0.2">
      <c r="B471" s="26" t="s">
        <v>4858</v>
      </c>
      <c r="C471" t="s">
        <v>5298</v>
      </c>
      <c r="D471" t="s">
        <v>5299</v>
      </c>
      <c r="E471" t="s">
        <v>5300</v>
      </c>
      <c r="F471" t="s">
        <v>5301</v>
      </c>
      <c r="G471" t="s">
        <v>5302</v>
      </c>
      <c r="H471" t="s">
        <v>5303</v>
      </c>
      <c r="I471" t="s">
        <v>5304</v>
      </c>
      <c r="J471" t="s">
        <v>5305</v>
      </c>
      <c r="K471" t="s">
        <v>5306</v>
      </c>
      <c r="L471" s="27" t="s">
        <v>5307</v>
      </c>
    </row>
    <row r="472" spans="2:12" x14ac:dyDescent="0.2">
      <c r="B472" s="26" t="s">
        <v>4922</v>
      </c>
      <c r="C472" t="s">
        <v>5308</v>
      </c>
      <c r="D472" t="s">
        <v>5309</v>
      </c>
      <c r="E472" t="s">
        <v>5310</v>
      </c>
      <c r="F472" t="s">
        <v>5311</v>
      </c>
      <c r="G472" t="s">
        <v>5312</v>
      </c>
      <c r="H472" t="s">
        <v>5313</v>
      </c>
      <c r="I472" t="s">
        <v>5314</v>
      </c>
      <c r="J472" t="s">
        <v>5315</v>
      </c>
      <c r="K472" t="s">
        <v>5316</v>
      </c>
      <c r="L472" s="27" t="s">
        <v>5317</v>
      </c>
    </row>
    <row r="473" spans="2:12" x14ac:dyDescent="0.2">
      <c r="B473" s="26" t="s">
        <v>4923</v>
      </c>
      <c r="C473" t="s">
        <v>5318</v>
      </c>
      <c r="D473" t="s">
        <v>5319</v>
      </c>
      <c r="E473" t="s">
        <v>5320</v>
      </c>
      <c r="F473" t="s">
        <v>5321</v>
      </c>
      <c r="G473" t="s">
        <v>5322</v>
      </c>
      <c r="H473" t="s">
        <v>5323</v>
      </c>
      <c r="I473" t="s">
        <v>5324</v>
      </c>
      <c r="J473" t="s">
        <v>5325</v>
      </c>
      <c r="K473" t="s">
        <v>5326</v>
      </c>
      <c r="L473" s="27" t="s">
        <v>5327</v>
      </c>
    </row>
    <row r="474" spans="2:12" x14ac:dyDescent="0.2">
      <c r="B474" s="26" t="s">
        <v>4924</v>
      </c>
      <c r="C474" t="s">
        <v>5328</v>
      </c>
      <c r="D474" t="s">
        <v>5329</v>
      </c>
      <c r="E474" t="s">
        <v>5330</v>
      </c>
      <c r="F474" t="s">
        <v>5331</v>
      </c>
      <c r="G474" t="s">
        <v>5332</v>
      </c>
      <c r="H474" t="s">
        <v>5333</v>
      </c>
      <c r="I474" t="s">
        <v>5334</v>
      </c>
      <c r="J474" t="s">
        <v>5335</v>
      </c>
      <c r="K474" t="s">
        <v>5336</v>
      </c>
      <c r="L474" s="27" t="s">
        <v>5337</v>
      </c>
    </row>
    <row r="475" spans="2:12" x14ac:dyDescent="0.2">
      <c r="B475" s="26" t="s">
        <v>4921</v>
      </c>
      <c r="C475" t="s">
        <v>5338</v>
      </c>
      <c r="D475" t="s">
        <v>5339</v>
      </c>
      <c r="E475" t="s">
        <v>5340</v>
      </c>
      <c r="F475" t="s">
        <v>5341</v>
      </c>
      <c r="G475" t="s">
        <v>5342</v>
      </c>
      <c r="H475" t="s">
        <v>5343</v>
      </c>
      <c r="I475" t="s">
        <v>5344</v>
      </c>
      <c r="J475" t="s">
        <v>5345</v>
      </c>
      <c r="K475" t="s">
        <v>5346</v>
      </c>
      <c r="L475" s="27" t="s">
        <v>5347</v>
      </c>
    </row>
    <row r="476" spans="2:12" x14ac:dyDescent="0.2">
      <c r="B476" s="26" t="s">
        <v>4914</v>
      </c>
      <c r="C476" t="s">
        <v>5348</v>
      </c>
      <c r="D476" t="s">
        <v>5349</v>
      </c>
      <c r="E476" t="s">
        <v>5350</v>
      </c>
      <c r="F476" t="s">
        <v>5351</v>
      </c>
      <c r="G476" t="s">
        <v>5352</v>
      </c>
      <c r="H476" t="s">
        <v>5353</v>
      </c>
      <c r="I476" t="s">
        <v>5354</v>
      </c>
      <c r="J476" t="s">
        <v>5355</v>
      </c>
      <c r="K476" t="s">
        <v>5356</v>
      </c>
      <c r="L476" s="27" t="s">
        <v>5357</v>
      </c>
    </row>
    <row r="477" spans="2:12" x14ac:dyDescent="0.2">
      <c r="B477" s="26" t="s">
        <v>4911</v>
      </c>
      <c r="C477" t="s">
        <v>5358</v>
      </c>
      <c r="D477" t="s">
        <v>5359</v>
      </c>
      <c r="E477" t="s">
        <v>5360</v>
      </c>
      <c r="F477" t="s">
        <v>5361</v>
      </c>
      <c r="G477" t="s">
        <v>5362</v>
      </c>
      <c r="H477" t="s">
        <v>5363</v>
      </c>
      <c r="I477" t="s">
        <v>5364</v>
      </c>
      <c r="J477" t="s">
        <v>5365</v>
      </c>
      <c r="K477" t="s">
        <v>5366</v>
      </c>
      <c r="L477" s="27" t="s">
        <v>5367</v>
      </c>
    </row>
    <row r="478" spans="2:12" x14ac:dyDescent="0.2">
      <c r="B478" s="26" t="s">
        <v>4913</v>
      </c>
      <c r="C478" t="s">
        <v>5368</v>
      </c>
      <c r="D478" t="s">
        <v>5369</v>
      </c>
      <c r="E478" t="s">
        <v>5370</v>
      </c>
      <c r="F478" t="s">
        <v>5371</v>
      </c>
      <c r="G478" t="s">
        <v>5372</v>
      </c>
      <c r="H478" t="s">
        <v>5373</v>
      </c>
      <c r="I478" t="s">
        <v>5374</v>
      </c>
      <c r="J478" t="s">
        <v>5375</v>
      </c>
      <c r="K478" t="s">
        <v>5376</v>
      </c>
      <c r="L478" s="27" t="s">
        <v>5377</v>
      </c>
    </row>
    <row r="479" spans="2:12" x14ac:dyDescent="0.2">
      <c r="B479" s="26" t="s">
        <v>4912</v>
      </c>
      <c r="C479" t="s">
        <v>5378</v>
      </c>
      <c r="D479" t="s">
        <v>5379</v>
      </c>
      <c r="E479" t="s">
        <v>5380</v>
      </c>
      <c r="F479" t="s">
        <v>5381</v>
      </c>
      <c r="G479" t="s">
        <v>5382</v>
      </c>
      <c r="H479" t="s">
        <v>5383</v>
      </c>
      <c r="I479" t="s">
        <v>5384</v>
      </c>
      <c r="J479" t="s">
        <v>5385</v>
      </c>
      <c r="K479" t="s">
        <v>5386</v>
      </c>
      <c r="L479" s="27" t="s">
        <v>5387</v>
      </c>
    </row>
    <row r="480" spans="2:12" x14ac:dyDescent="0.2">
      <c r="B480" s="26" t="s">
        <v>5523</v>
      </c>
      <c r="C480" t="s">
        <v>5388</v>
      </c>
      <c r="D480" t="s">
        <v>5389</v>
      </c>
      <c r="E480" t="s">
        <v>5390</v>
      </c>
      <c r="F480" t="s">
        <v>5391</v>
      </c>
      <c r="G480" t="s">
        <v>5392</v>
      </c>
      <c r="H480" t="s">
        <v>5393</v>
      </c>
      <c r="I480" t="s">
        <v>5394</v>
      </c>
      <c r="J480" t="s">
        <v>5395</v>
      </c>
      <c r="K480" t="s">
        <v>5396</v>
      </c>
      <c r="L480" s="27" t="s">
        <v>5397</v>
      </c>
    </row>
    <row r="481" spans="2:12" x14ac:dyDescent="0.2">
      <c r="B481" s="26" t="s">
        <v>4915</v>
      </c>
      <c r="C481" t="s">
        <v>5398</v>
      </c>
      <c r="D481" t="s">
        <v>5399</v>
      </c>
      <c r="E481" t="s">
        <v>5400</v>
      </c>
      <c r="F481" t="s">
        <v>5401</v>
      </c>
      <c r="G481" t="s">
        <v>5402</v>
      </c>
      <c r="H481" t="s">
        <v>5403</v>
      </c>
      <c r="I481" t="s">
        <v>5404</v>
      </c>
      <c r="J481" t="s">
        <v>5405</v>
      </c>
      <c r="K481" t="s">
        <v>5406</v>
      </c>
      <c r="L481" s="27" t="s">
        <v>5407</v>
      </c>
    </row>
    <row r="482" spans="2:12" x14ac:dyDescent="0.2">
      <c r="B482" s="26" t="s">
        <v>4916</v>
      </c>
      <c r="C482" t="s">
        <v>5408</v>
      </c>
      <c r="D482" t="s">
        <v>5409</v>
      </c>
      <c r="E482" t="s">
        <v>5410</v>
      </c>
      <c r="F482" t="s">
        <v>5411</v>
      </c>
      <c r="G482" t="s">
        <v>5412</v>
      </c>
      <c r="H482" t="s">
        <v>5413</v>
      </c>
      <c r="I482" t="s">
        <v>5414</v>
      </c>
      <c r="J482" t="s">
        <v>5415</v>
      </c>
      <c r="K482" t="s">
        <v>5416</v>
      </c>
      <c r="L482" s="27" t="s">
        <v>5417</v>
      </c>
    </row>
    <row r="483" spans="2:12" x14ac:dyDescent="0.2">
      <c r="B483" s="26" t="s">
        <v>4917</v>
      </c>
      <c r="C483" t="s">
        <v>5418</v>
      </c>
      <c r="D483" t="s">
        <v>5419</v>
      </c>
      <c r="E483" t="s">
        <v>5420</v>
      </c>
      <c r="F483" t="s">
        <v>5421</v>
      </c>
      <c r="G483" t="s">
        <v>5422</v>
      </c>
      <c r="H483" t="s">
        <v>5423</v>
      </c>
      <c r="I483" t="s">
        <v>5424</v>
      </c>
      <c r="J483" t="s">
        <v>5425</v>
      </c>
      <c r="K483" t="s">
        <v>5426</v>
      </c>
      <c r="L483" s="27" t="s">
        <v>5427</v>
      </c>
    </row>
    <row r="484" spans="2:12" x14ac:dyDescent="0.2">
      <c r="B484" s="26" t="s">
        <v>4859</v>
      </c>
      <c r="C484" t="s">
        <v>5428</v>
      </c>
      <c r="D484" t="s">
        <v>5429</v>
      </c>
      <c r="E484" t="s">
        <v>5430</v>
      </c>
      <c r="F484" t="s">
        <v>5431</v>
      </c>
      <c r="G484" t="s">
        <v>5432</v>
      </c>
      <c r="H484" t="s">
        <v>5433</v>
      </c>
      <c r="I484" t="s">
        <v>5434</v>
      </c>
      <c r="J484" t="s">
        <v>5435</v>
      </c>
      <c r="K484" t="s">
        <v>5436</v>
      </c>
      <c r="L484" s="27" t="s">
        <v>5437</v>
      </c>
    </row>
    <row r="485" spans="2:12" x14ac:dyDescent="0.2">
      <c r="B485" s="26" t="s">
        <v>4918</v>
      </c>
      <c r="C485" t="s">
        <v>5438</v>
      </c>
      <c r="D485" t="s">
        <v>5439</v>
      </c>
      <c r="E485" t="s">
        <v>5440</v>
      </c>
      <c r="F485" t="s">
        <v>5441</v>
      </c>
      <c r="G485" t="s">
        <v>5442</v>
      </c>
      <c r="H485" t="s">
        <v>5443</v>
      </c>
      <c r="I485" t="s">
        <v>5444</v>
      </c>
      <c r="J485" t="s">
        <v>5445</v>
      </c>
      <c r="K485" t="s">
        <v>5446</v>
      </c>
      <c r="L485" s="27" t="s">
        <v>5447</v>
      </c>
    </row>
    <row r="486" spans="2:12" x14ac:dyDescent="0.2">
      <c r="B486" s="26" t="s">
        <v>4919</v>
      </c>
      <c r="C486" t="s">
        <v>5448</v>
      </c>
      <c r="D486" t="s">
        <v>5449</v>
      </c>
      <c r="E486" t="s">
        <v>5450</v>
      </c>
      <c r="F486" t="s">
        <v>5451</v>
      </c>
      <c r="G486" t="s">
        <v>5452</v>
      </c>
      <c r="H486" t="s">
        <v>5453</v>
      </c>
      <c r="I486" t="s">
        <v>5454</v>
      </c>
      <c r="J486" t="s">
        <v>5455</v>
      </c>
      <c r="K486" t="s">
        <v>5456</v>
      </c>
      <c r="L486" s="27" t="s">
        <v>5457</v>
      </c>
    </row>
    <row r="487" spans="2:12" x14ac:dyDescent="0.2">
      <c r="B487" s="26" t="s">
        <v>4920</v>
      </c>
      <c r="C487" t="s">
        <v>5458</v>
      </c>
      <c r="D487" t="s">
        <v>5459</v>
      </c>
      <c r="E487" t="s">
        <v>5460</v>
      </c>
      <c r="F487" t="s">
        <v>5461</v>
      </c>
      <c r="G487" t="s">
        <v>5462</v>
      </c>
      <c r="H487" t="s">
        <v>5463</v>
      </c>
      <c r="I487" t="s">
        <v>5464</v>
      </c>
      <c r="J487" t="s">
        <v>5465</v>
      </c>
      <c r="K487" t="s">
        <v>5466</v>
      </c>
      <c r="L487" s="27" t="s">
        <v>5467</v>
      </c>
    </row>
    <row r="488" spans="2:12" x14ac:dyDescent="0.2">
      <c r="B488" s="26" t="s">
        <v>4926</v>
      </c>
      <c r="C488" t="s">
        <v>5468</v>
      </c>
      <c r="D488" t="s">
        <v>5469</v>
      </c>
      <c r="E488" t="s">
        <v>5470</v>
      </c>
      <c r="F488" t="s">
        <v>5471</v>
      </c>
      <c r="G488" t="s">
        <v>5472</v>
      </c>
      <c r="H488" t="s">
        <v>5473</v>
      </c>
      <c r="I488" t="s">
        <v>5474</v>
      </c>
      <c r="J488" t="s">
        <v>5475</v>
      </c>
      <c r="K488" t="s">
        <v>5476</v>
      </c>
      <c r="L488" s="27" t="s">
        <v>5477</v>
      </c>
    </row>
    <row r="489" spans="2:12" x14ac:dyDescent="0.2">
      <c r="B489" s="26" t="s">
        <v>4927</v>
      </c>
      <c r="C489" t="s">
        <v>5478</v>
      </c>
      <c r="D489" t="s">
        <v>5479</v>
      </c>
      <c r="E489" t="s">
        <v>5480</v>
      </c>
      <c r="F489" t="s">
        <v>5481</v>
      </c>
      <c r="G489" t="s">
        <v>5482</v>
      </c>
      <c r="H489" t="s">
        <v>5483</v>
      </c>
      <c r="I489" t="s">
        <v>5484</v>
      </c>
      <c r="J489" t="s">
        <v>5485</v>
      </c>
      <c r="K489" t="s">
        <v>5486</v>
      </c>
      <c r="L489" s="27" t="s">
        <v>5487</v>
      </c>
    </row>
    <row r="490" spans="2:12" x14ac:dyDescent="0.2">
      <c r="B490" s="26" t="s">
        <v>5490</v>
      </c>
      <c r="C490" t="s">
        <v>5492</v>
      </c>
      <c r="D490" t="s">
        <v>5493</v>
      </c>
      <c r="E490" t="s">
        <v>5494</v>
      </c>
      <c r="F490" t="s">
        <v>5495</v>
      </c>
      <c r="G490" t="s">
        <v>5496</v>
      </c>
      <c r="H490" t="s">
        <v>5497</v>
      </c>
      <c r="I490" t="s">
        <v>5498</v>
      </c>
      <c r="J490" t="s">
        <v>5499</v>
      </c>
      <c r="K490" t="s">
        <v>5500</v>
      </c>
      <c r="L490" s="27" t="s">
        <v>5501</v>
      </c>
    </row>
    <row r="491" spans="2:12" x14ac:dyDescent="0.2">
      <c r="B491" s="26" t="s">
        <v>5491</v>
      </c>
      <c r="C491" t="s">
        <v>5502</v>
      </c>
      <c r="D491" t="s">
        <v>5503</v>
      </c>
      <c r="E491" t="s">
        <v>5504</v>
      </c>
      <c r="F491" t="s">
        <v>5505</v>
      </c>
      <c r="G491" t="s">
        <v>5506</v>
      </c>
      <c r="H491" t="s">
        <v>5507</v>
      </c>
      <c r="I491" t="s">
        <v>5508</v>
      </c>
      <c r="J491" t="s">
        <v>5509</v>
      </c>
      <c r="K491" t="s">
        <v>5510</v>
      </c>
      <c r="L491" s="27" t="s">
        <v>5511</v>
      </c>
    </row>
    <row r="492" spans="2:12" x14ac:dyDescent="0.2">
      <c r="B492" s="26" t="s">
        <v>789</v>
      </c>
      <c r="C492" t="s">
        <v>2897</v>
      </c>
      <c r="D492" t="s">
        <v>2898</v>
      </c>
      <c r="E492" t="s">
        <v>2902</v>
      </c>
      <c r="F492" t="s">
        <v>2901</v>
      </c>
      <c r="G492" t="s">
        <v>2903</v>
      </c>
      <c r="H492" t="s">
        <v>2899</v>
      </c>
      <c r="I492" t="s">
        <v>2905</v>
      </c>
      <c r="J492" t="s">
        <v>2900</v>
      </c>
      <c r="K492" t="s">
        <v>2904</v>
      </c>
      <c r="L492" t="s">
        <v>3204</v>
      </c>
    </row>
    <row r="493" spans="2:12" x14ac:dyDescent="0.2">
      <c r="B493" s="14" t="s">
        <v>5521</v>
      </c>
      <c r="C493" s="15" t="s">
        <v>5512</v>
      </c>
      <c r="D493" s="15" t="s">
        <v>5513</v>
      </c>
      <c r="E493" s="15" t="s">
        <v>5514</v>
      </c>
      <c r="F493" s="15" t="s">
        <v>5515</v>
      </c>
      <c r="G493" s="15" t="s">
        <v>5516</v>
      </c>
      <c r="H493" s="15" t="s">
        <v>5517</v>
      </c>
      <c r="I493" s="15" t="s">
        <v>5518</v>
      </c>
      <c r="J493" s="15" t="s">
        <v>5519</v>
      </c>
      <c r="K493" s="15" t="s">
        <v>5520</v>
      </c>
    </row>
    <row r="496" spans="2:12" x14ac:dyDescent="0.2">
      <c r="L496" s="399"/>
    </row>
    <row r="497" spans="2:11" x14ac:dyDescent="0.2">
      <c r="B497" s="399"/>
      <c r="C497" s="399"/>
      <c r="D497" s="399"/>
      <c r="E497" s="399"/>
      <c r="F497" s="399"/>
      <c r="G497" s="399"/>
      <c r="H497" s="399"/>
      <c r="I497" s="399"/>
      <c r="J497" s="399"/>
      <c r="K497" s="399"/>
    </row>
  </sheetData>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AN9"/>
  <sheetViews>
    <sheetView workbookViewId="0"/>
  </sheetViews>
  <sheetFormatPr baseColWidth="10" defaultColWidth="9.33203125" defaultRowHeight="11.25" x14ac:dyDescent="0.2"/>
  <cols>
    <col min="1" max="1" width="22.33203125" bestFit="1" customWidth="1"/>
  </cols>
  <sheetData>
    <row r="1" spans="1:40" x14ac:dyDescent="0.2">
      <c r="A1" t="s">
        <v>578</v>
      </c>
      <c r="B1" t="s">
        <v>579</v>
      </c>
      <c r="C1" t="s">
        <v>580</v>
      </c>
      <c r="D1" t="s">
        <v>581</v>
      </c>
      <c r="E1" t="s">
        <v>582</v>
      </c>
      <c r="F1" t="s">
        <v>583</v>
      </c>
      <c r="G1" t="s">
        <v>584</v>
      </c>
      <c r="H1" t="s">
        <v>585</v>
      </c>
      <c r="I1" t="s">
        <v>586</v>
      </c>
      <c r="J1" t="s">
        <v>587</v>
      </c>
      <c r="K1" t="s">
        <v>588</v>
      </c>
      <c r="L1" t="s">
        <v>589</v>
      </c>
      <c r="M1" t="s">
        <v>590</v>
      </c>
      <c r="N1" t="s">
        <v>591</v>
      </c>
      <c r="O1" t="s">
        <v>592</v>
      </c>
      <c r="P1" t="s">
        <v>593</v>
      </c>
      <c r="Q1" t="s">
        <v>594</v>
      </c>
      <c r="R1" t="s">
        <v>595</v>
      </c>
      <c r="S1" t="s">
        <v>596</v>
      </c>
      <c r="T1" t="s">
        <v>597</v>
      </c>
      <c r="U1" t="s">
        <v>598</v>
      </c>
      <c r="V1" t="s">
        <v>599</v>
      </c>
      <c r="W1" t="s">
        <v>273</v>
      </c>
    </row>
    <row r="2" spans="1:40" x14ac:dyDescent="0.2">
      <c r="A2" t="s">
        <v>600</v>
      </c>
      <c r="B2" t="s">
        <v>601</v>
      </c>
      <c r="C2" t="s">
        <v>602</v>
      </c>
      <c r="D2" t="s">
        <v>603</v>
      </c>
      <c r="E2" t="s">
        <v>604</v>
      </c>
      <c r="F2" t="s">
        <v>605</v>
      </c>
      <c r="G2" t="s">
        <v>606</v>
      </c>
      <c r="H2" t="s">
        <v>607</v>
      </c>
      <c r="I2" t="s">
        <v>608</v>
      </c>
      <c r="J2" t="s">
        <v>609</v>
      </c>
      <c r="K2" t="s">
        <v>610</v>
      </c>
      <c r="L2" t="s">
        <v>611</v>
      </c>
      <c r="M2" t="s">
        <v>612</v>
      </c>
      <c r="N2" t="s">
        <v>613</v>
      </c>
      <c r="O2" t="s">
        <v>614</v>
      </c>
      <c r="P2" t="s">
        <v>615</v>
      </c>
      <c r="Q2" t="s">
        <v>616</v>
      </c>
      <c r="R2" t="s">
        <v>617</v>
      </c>
      <c r="S2" t="s">
        <v>618</v>
      </c>
      <c r="T2" t="s">
        <v>619</v>
      </c>
      <c r="U2" t="s">
        <v>620</v>
      </c>
      <c r="V2" t="s">
        <v>621</v>
      </c>
      <c r="W2" t="s">
        <v>273</v>
      </c>
    </row>
    <row r="3" spans="1:40" x14ac:dyDescent="0.2">
      <c r="A3" t="s">
        <v>297</v>
      </c>
      <c r="B3" t="s">
        <v>541</v>
      </c>
      <c r="C3" t="s">
        <v>542</v>
      </c>
      <c r="D3" t="s">
        <v>543</v>
      </c>
      <c r="E3" t="s">
        <v>544</v>
      </c>
      <c r="F3" t="s">
        <v>545</v>
      </c>
      <c r="G3" t="s">
        <v>546</v>
      </c>
      <c r="H3" t="s">
        <v>547</v>
      </c>
      <c r="I3" t="s">
        <v>548</v>
      </c>
      <c r="J3" t="s">
        <v>549</v>
      </c>
      <c r="K3" t="s">
        <v>550</v>
      </c>
      <c r="L3" t="s">
        <v>551</v>
      </c>
      <c r="M3" t="s">
        <v>552</v>
      </c>
      <c r="N3" t="s">
        <v>553</v>
      </c>
      <c r="O3" t="s">
        <v>554</v>
      </c>
      <c r="P3" t="s">
        <v>555</v>
      </c>
      <c r="Q3" t="s">
        <v>556</v>
      </c>
      <c r="R3" t="s">
        <v>557</v>
      </c>
      <c r="S3" t="s">
        <v>558</v>
      </c>
      <c r="T3" t="s">
        <v>559</v>
      </c>
      <c r="U3" t="s">
        <v>560</v>
      </c>
      <c r="V3" t="s">
        <v>561</v>
      </c>
      <c r="W3" t="s">
        <v>562</v>
      </c>
      <c r="X3" t="s">
        <v>563</v>
      </c>
      <c r="Y3" t="s">
        <v>564</v>
      </c>
      <c r="Z3" t="s">
        <v>565</v>
      </c>
      <c r="AA3" t="s">
        <v>566</v>
      </c>
      <c r="AB3" t="s">
        <v>567</v>
      </c>
      <c r="AC3" t="s">
        <v>568</v>
      </c>
      <c r="AD3" t="s">
        <v>569</v>
      </c>
      <c r="AE3" t="s">
        <v>570</v>
      </c>
      <c r="AF3" t="s">
        <v>571</v>
      </c>
      <c r="AG3" t="s">
        <v>572</v>
      </c>
      <c r="AH3" t="s">
        <v>573</v>
      </c>
      <c r="AI3" t="s">
        <v>574</v>
      </c>
      <c r="AJ3" t="s">
        <v>575</v>
      </c>
      <c r="AK3" t="s">
        <v>576</v>
      </c>
      <c r="AL3" t="str">
        <f>AK8</f>
        <v>","relatedOptionIds":[],"onlineServices":[],"childCriteriaItemList":[],"clientContextJson":""},{"keyOptionId":"9728","caption":"Regulation D","isDefault":true,"maskCriteriaOnly":false,"definition":"","keyProductQueryItem":"311834","comparisonOperation":0,"comparisonValue":"145","minimumVersion":"","maximumVersion":"","formOrder":0,"lowerBound":null,"enabled":true,"mask":"","largeMask":"","maskKey":"","keyItemMaskOfField":null,"keyOptionIdReplace":"","relatedOptionIds":[],"onlineServices":[],"childCriteriaItemList":[],"clientContextJson":""},{"keyOptionId":"9729","caption":"Growth Capital","isDefault":true,"maskCriteriaOnly":false,"definition":"","keyProductQueryItem":"311834","comparisonOperation":0,"comparisonValue":"148","minimumVersion":"","maximumVersion":"","formOrder":0,"lowerBound":null,"enabled":true,"mask":"","largeMask":"","maskKey":"","keyItemMaskOfField":null,"keyOptionIdReplace":"","relatedOptionIds":[],"onlineServices":[],"childCriteriaItemList":[],"clientContextJson":""},{"keyOptionId":"9730","caption":"Venture Capital","isDefault":true,"maskCriteriaOnly":false,"definition":"","keyProductQueryItem":"311834","comparisonOperation":0,"comparisonValue":"149","minimumVersion":"","maximumVersion":"","formOrder":0,"lowerBound":null,"enabled":true,"mask":"","largeMask":"","maskKey":"","keyItemMaskOfField":null,"keyOptionIdReplace":"","relatedOptionIds":[],"onlineServices":[],"childCriteriaItemList":[],"clientContextJson":""},{"keyOptionId":"9731","caption":"PIPE","isDefault":true,"maskCriteriaOnly":false,"definition":"","keyProductQueryItem":"311834","comparisonOperation":0,"comparisonValue":"150","minimumVersion":"","maximumVersion":"","formOrder":0,"lowerBound":null,"enabled":true,"mask":"","largeMask":"","maskKey":"","keyItemMaskOfField":null,"keyOptionIdReplace":"","relatedOptionIds":[],"onlineServices":[],"childCriteriaItemList":[],"clientContextJson":""},{"keyOptionId":"9732","caption":"Underwritten Offering","isDefault":true,"maskCriteriaOnly":false,"definition":"","keyProductQueryItem":"311834","comparisonOperation":0,"comparisonValue":"156","minimumVersion":"","maximumVersion":"","formOrder":0,"lowerBound":null,"enabled":true,"mask":"","largeMask":"","maskKey":"","keyItemMaskOfField":null,"keyOptionIdReplace":"","relatedOptionIds":[],"onlineServices":[],"childCriteriaItemList":[],"clientContextJson":""},{"keyOptionId":"9733","caption":"Sales Agency Agreement","isDefault":true,"maskCriteriaOnly":false,"definition":"","keyProductQueryItem":"311834","comparisonOperation":0,"comparisonValue":"157","minimumVersion":"","maximumVersion":"","formOrder":0,"lowerBound":null,"enabled":true,"mask":"","largeMask":"","maskKey":"","keyItemMaskOfField":null,"keyOptionIdReplace":"","relatedOptionIds":[],"onlineServices":[],"childCriteriaItemList":[],"clientContextJson":""},{"keyOptionId":"9734","caption":"De Novo Offering","isDefault":true,"maskCriteriaOnly":false,"definition":"","keyProductQueryItem":"311834","comparisonOperation":0,"comparisonValue":"162","minimumVersion":"","maximumVersion":"","formOrder":0,"lowerBound":null,"enabled":true,"mask":"","largeMask":"","maskKey":"","keyItemMaskOfField":null,"keyOptionIdReplace":"","relatedOptionIds":[],"onlineServices":[],"childCriteriaItemList":[],"clientContextJson":""}],"clientContextJson":""}],"clientContextJson":""}]},{"filterGroupId":"8466","filterGroupIdReplace":"","caption":"Announcement Date Range","groupType":2,"optionType":4,"formOrder":40,"minimumVersion":"","maximumVersion":"","onlineServicesEnabled":false,"column":0,"columnFormOrder":40,"criteriaIdName":"","required":false,"dateDefaultType":"","criteriaItemList":[{"keyOptionId":"8467","caption":"From","isDefault":false,"maskCriteriaOnly":true,"definition":"","keyProductQueryItem":"300056","comparisonOperation":6,"comparisonValue":"","minimumVersion":"","maximumVersion":"","formOrder":0,"lowerBound":null,"enabled":true,"mask":"","largeMask":"","maskKey":"","keyItemMaskOfField":null,"keyOptionIdReplace":"","relatedOptionIds":[],"onlineServices":[],"childCriteriaItemList":[],"clientContextJson":""},{"keyOptionId":"8468","caption":"To","isDefault":false,"maskCriteriaOnly":true,"definition":"","keyProductQueryItem":"300056","comparisonOperation":5,"comparisonValue":"","minimumVersion":"","maximumVersion":"","formOrder":0,"lowerBound":null,"enabled":true,"mask":"","largeMask":"","maskKey":"","keyItemMaskOfField":null,"keyOptionIdReplace":"","relatedOptionIds":[],"onlineServices":[],"childCriteriaItemList":[],"clientContextJson":""}]},{"filterGroupId":"8473","filterGroupIdReplace":"","caption":"Deal Value/Transaction Value","groupType":2,"optionType":3,"formOrder":60,"minimumVersion":"","maximumVersion":"","onlineServicesEnabled":false,"column":0,"columnFormOrder":60,"criteriaIdName":"","required":false,"dateDefaultType":"","criteriaItemList":[{"keyOptionId":"8474","caption":"From","isDefault":false,"maskCriteriaOnly":true,"definition":"","keyProductQueryItem":"300057","comparisonOperation":6,"comparisonValue":"","minimumVersion":"","maximumVersion":"","formOrder":0,"lowerBound":null,"enabled":true,"mask":"","largeMask":"","maskKey":"","keyItemMaskOfField":null,"keyOptionIdReplace":"","relatedOptionIds":[],"onlineServices":[],"childCriteriaItemList":[],"clientContextJson":""},{"keyOptionId":"8475","caption":"To","isDefault":false,"maskCriteriaOnly":true,"definition":"","keyProductQueryItem":"300057","comparisonOperation":5,"comparisonValue":"","minimumVersion":"","maximumVersion":"","formOrder":0,"lowerBound":null,"enabled":true,"mask":"","largeMask":"","maskKey":"","keyItemMaskOfField":null,"keyOptionIdReplace":"","relatedOptionIds":[],"onlineServices":[],"childCriteriaItemList":[],"clientContextJson":""}]}],"queryLineGroups":[{"groupName":"QueryLines","queryLines":[{"beginGroup":false,"connector":0,"displayText":null,"endGroup":false,"field":{"displayName":null,"displayType":null,"displayUnits":null,"fieldKey":"300085","originalRequestField":null,"secondaryKeys":[]},"functionName":null,"invariantValue":null,"mathOperator":0,"mathValue":null,"operator":0,"queryItemId":"00000000-0000-0000-0000-000000000000","relativeOperation":false,"listKey":null,"sortOrder":null,"sortStyle":null,"supressSelect":false,"value":"n/a","valueField":null},{"beginGroup":false,"connector":0,"displayText":null,"endGroup":false,"field":{"displayName":null,"displayType":null,"displayUnits":null,"fieldKey":"300091","originalRequestField":null,"secondaryKeys":[]},"functionName":null,"invariantValue":null,"mathOperator":0,"mathValue":null,"operator":7,"queryItemId":"00000000-0000-0000-0000-000000000000","relativeOperation":false,"listKey":null,"sortOrder":null,"sortStyle":null,"supressSelect":false,"value":"'Senior Debt','Subordinated Debt','Senior Subordinated Debt','Junior Subordinated Debt','Subsidiary Trust Preferred','Subsidiary Pfd Partnership Interest','GIC-backed Note','Covered Bonds','Revenue Bonds','Bond or Note'","valueField":null},{"beginGroup":false,"connector":0,"displayText":null,"endGroup":false,"field":{"displayName":null,"displayType":null,"displayUnits":null,"fieldKey":"301857","originalRequestField":null,"secondaryKeys":[]},"functionName":null,"invariantValue":null,"mathOperator":0,"mathValue":null,"operator":7,"queryItemId":"00000000-0000-0000-0000-000000000000","relativeOperation":false,"listKey":null,"sortOrder":null,"sortStyle":null,"supressSelect":false,"value":"'0'","valueField":null},{"beginGroup":false,"connector":0,"displayText":null,"endGroup":false,"field":{"displayName":null,"displayType":null,"displayUnits":null,"fieldKey":"301818","originalRequestField":null,"secondaryKeys":[]},"functionName":null,"invariantValue":null,"mathOp</v>
      </c>
      <c r="AM3" t="s">
        <v>577</v>
      </c>
      <c r="AN3" t="s">
        <v>273</v>
      </c>
    </row>
    <row r="4" spans="1:40" x14ac:dyDescent="0.2">
      <c r="A4" t="s">
        <v>622</v>
      </c>
      <c r="B4" t="s">
        <v>623</v>
      </c>
      <c r="C4" t="s">
        <v>624</v>
      </c>
      <c r="D4" t="s">
        <v>625</v>
      </c>
      <c r="E4" t="s">
        <v>626</v>
      </c>
      <c r="F4" t="s">
        <v>627</v>
      </c>
      <c r="G4" t="s">
        <v>628</v>
      </c>
      <c r="H4" t="s">
        <v>629</v>
      </c>
      <c r="I4" t="s">
        <v>630</v>
      </c>
      <c r="J4" t="s">
        <v>631</v>
      </c>
      <c r="K4" t="s">
        <v>632</v>
      </c>
      <c r="L4" t="s">
        <v>633</v>
      </c>
      <c r="M4" t="s">
        <v>634</v>
      </c>
      <c r="N4" t="s">
        <v>635</v>
      </c>
      <c r="O4" t="s">
        <v>636</v>
      </c>
      <c r="P4" t="s">
        <v>637</v>
      </c>
      <c r="Q4" t="s">
        <v>638</v>
      </c>
      <c r="R4" t="s">
        <v>639</v>
      </c>
      <c r="S4" t="s">
        <v>640</v>
      </c>
      <c r="T4" t="s">
        <v>641</v>
      </c>
      <c r="U4" t="s">
        <v>642</v>
      </c>
      <c r="V4" t="s">
        <v>643</v>
      </c>
      <c r="W4" t="s">
        <v>644</v>
      </c>
      <c r="X4" t="s">
        <v>645</v>
      </c>
      <c r="Y4" t="s">
        <v>646</v>
      </c>
      <c r="Z4" t="s">
        <v>647</v>
      </c>
      <c r="AA4" t="s">
        <v>648</v>
      </c>
      <c r="AB4" t="s">
        <v>649</v>
      </c>
      <c r="AC4" t="s">
        <v>650</v>
      </c>
      <c r="AD4" t="s">
        <v>651</v>
      </c>
      <c r="AE4" t="s">
        <v>652</v>
      </c>
      <c r="AF4" t="s">
        <v>653</v>
      </c>
      <c r="AG4" t="s">
        <v>654</v>
      </c>
      <c r="AH4" t="s">
        <v>655</v>
      </c>
      <c r="AI4" t="s">
        <v>656</v>
      </c>
      <c r="AJ4" t="s">
        <v>657</v>
      </c>
      <c r="AK4" t="str">
        <f>AK9</f>
        <v>aItemList":[{"keyOptionId":"8467","caption":"From","isDefault":false,"maskCriteriaOnly":true,"definition":"","keyProductQueryItem":"300056","comparisonOperation":6,"comparisonValue":"","minimumVersion":"","maximumVersion":"","formOrder":0,"lowerBound":null,"enabled":true,"mask":"","largeMask":"","maskKey":"","keyItemMaskOfField":null,"keyOptionIdReplace":"","relatedOptionIds":[],"onlineServices":[],"childCriteriaItemList":[],"clientContextJson":""},{"keyOptionId":"8468","caption":"To","isDefault":false,"maskCriteriaOnly":true,"definition":"","keyProductQueryItem":"300056","comparisonOperation":5,"comparisonValue":"","minimumVersion":"","maximumVersion":"","formOrder":0,"lowerBound":null,"enabled":true,"mask":"","largeMask":"","maskKey":"","keyItemMaskOfField":null,"keyOptionIdReplace":"","relatedOptionIds":[],"onlineServices":[],"childCriteriaItemList":[],"clientContextJson":""}]},{"filterGroupId":"8473","filterGroupIdReplace":"","caption":"Deal Value/Transaction Value","groupType":2,"optionType":3,"formOrder":60,"minimumVersion":"","maximumVersion":"","onlineServicesEnabled":false,"column":0,"columnFormOrder":60,"criteriaIdName":"","required":false,"dateDefaultType":"","criteriaItemList":[{"keyOptionId":"8474","caption":"From","isDefault":false,"maskCriteriaOnly":true,"definition":"","keyProductQueryItem":"300057","comparisonOperation":6,"comparisonValue":"","minimumVersion":"","maximumVersion":"","formOrder":0,"lowerBound":null,"enabled":true,"mask":"","largeMask":"","maskKey":"","keyItemMaskOfField":null,"keyOptionIdReplace":"","relatedOptionIds":[],"onlineServices":[],"childCriteriaItemList":[],"clientContextJson":""},{"keyOptionId":"8475","caption":"To","isDefault":false,"maskCriteriaOnly":true,"definition":"","keyProductQueryItem":"300057","comparisonOperation":5,"comparisonValue":"","minimumVersion":"","maximumVersion":"","formOrder":0,"lowerBound":null,"enabled":true,"mask":"","largeMask":"","maskKey":"","keyItemMaskOfField":null,"keyOptionIdReplace":"","relatedOptionIds":[],"onlineServices":[],"childCriteriaItemList":[],"clientContextJson":""}]}],"queryLineGroups":[{"groupName":"QueryLines","queryLines":[{"beginGroup":false,"connector":0,"displayText":null,"endGroup":false,"field":{"displayName":null,"displayType":null,"displayUnits":null,"fieldKey":"300085","originalRequestField":null,"secondaryKeys":[]},"functionName":null,"invariantValue":null,"mathOperator":0,"mathValue":null,"operator":0,"queryItemId":"00000000-0000-0000-0000-000000000000","relativeOperation":false,"sortOrder":null,"sortStyle":null,"supressSelect":false,"value":"n/a","valueField":null},{"beginGroup":false,"connector":0,"displayText":null,"endGroup":false,"field":{"displayName":null,"displayType":null,"displayUnits":null,"fieldKey":"300091","originalRequestField":null,"secondaryKeys":[]},"functionName":null,"invariantValue":null,"mathOperator":0,"mathValue":null,"operator":7,"queryItemId":"00000000-0000-0000-0000-000000000000","relativeOperation":false,"sortOrder":null,"sortStyle":null,"supressSelect":false,"value":"'Preferred Equity','Preferred Security','Depositary Receipt (Preferred Security)'","valueField":null},{"beginGroup":false,"connector":0,"displayText":null,"endGroup":false,"field":{"displayName":null,"displayType":null,"displayUnits":null,"fieldKey":"301857","originalRequestField":null,"secondaryKeys":[]},"functionName":null,"invariantValue":null,"mathOperator":0,"mathValue":null,"operator":7,"queryItemId":"00000000-0000-0000-0000-000000000000","relativeOperation":false,"sortOrder":null,"sortStyle":null,"supressSelect":false,"value":"'0'","valueField":null}]},{"groupName":"WhiteAndBlackListCriteria","queryLines":[]}],"saveQueryType":0,"standardDeviationQuery":false,"version":null},"reports":null,"showProductMagnitude":false,"skip":0,"sortBy":null,"sortDesc":false,"sourceTimeZoneIDItemKey":null,"timeoutOverride":0,"top":0,"useNewOnPremDomain":false}],"saveQueryType":0,"sourceTimeZoneIDItemKey":null}</v>
      </c>
      <c r="AL4" t="s">
        <v>273</v>
      </c>
    </row>
    <row r="8" spans="1:40" x14ac:dyDescent="0.2">
      <c r="AJ8" t="s">
        <v>658</v>
      </c>
      <c r="AK8" t="str">
        <f>SUBSTITUTE(AJ8,"DUMMY_KEY",MI_Key)</f>
        <v>","relatedOptionIds":[],"onlineServices":[],"childCriteriaItemList":[],"clientContextJson":""},{"keyOptionId":"9728","caption":"Regulation D","isDefault":true,"maskCriteriaOnly":false,"definition":"","keyProductQueryItem":"311834","comparisonOperation":0,"comparisonValue":"145","minimumVersion":"","maximumVersion":"","formOrder":0,"lowerBound":null,"enabled":true,"mask":"","largeMask":"","maskKey":"","keyItemMaskOfField":null,"keyOptionIdReplace":"","relatedOptionIds":[],"onlineServices":[],"childCriteriaItemList":[],"clientContextJson":""},{"keyOptionId":"9729","caption":"Growth Capital","isDefault":true,"maskCriteriaOnly":false,"definition":"","keyProductQueryItem":"311834","comparisonOperation":0,"comparisonValue":"148","minimumVersion":"","maximumVersion":"","formOrder":0,"lowerBound":null,"enabled":true,"mask":"","largeMask":"","maskKey":"","keyItemMaskOfField":null,"keyOptionIdReplace":"","relatedOptionIds":[],"onlineServices":[],"childCriteriaItemList":[],"clientContextJson":""},{"keyOptionId":"9730","caption":"Venture Capital","isDefault":true,"maskCriteriaOnly":false,"definition":"","keyProductQueryItem":"311834","comparisonOperation":0,"comparisonValue":"149","minimumVersion":"","maximumVersion":"","formOrder":0,"lowerBound":null,"enabled":true,"mask":"","largeMask":"","maskKey":"","keyItemMaskOfField":null,"keyOptionIdReplace":"","relatedOptionIds":[],"onlineServices":[],"childCriteriaItemList":[],"clientContextJson":""},{"keyOptionId":"9731","caption":"PIPE","isDefault":true,"maskCriteriaOnly":false,"definition":"","keyProductQueryItem":"311834","comparisonOperation":0,"comparisonValue":"150","minimumVersion":"","maximumVersion":"","formOrder":0,"lowerBound":null,"enabled":true,"mask":"","largeMask":"","maskKey":"","keyItemMaskOfField":null,"keyOptionIdReplace":"","relatedOptionIds":[],"onlineServices":[],"childCriteriaItemList":[],"clientContextJson":""},{"keyOptionId":"9732","caption":"Underwritten Offering","isDefault":true,"maskCriteriaOnly":false,"definition":"","keyProductQueryItem":"311834","comparisonOperation":0,"comparisonValue":"156","minimumVersion":"","maximumVersion":"","formOrder":0,"lowerBound":null,"enabled":true,"mask":"","largeMask":"","maskKey":"","keyItemMaskOfField":null,"keyOptionIdReplace":"","relatedOptionIds":[],"onlineServices":[],"childCriteriaItemList":[],"clientContextJson":""},{"keyOptionId":"9733","caption":"Sales Agency Agreement","isDefault":true,"maskCriteriaOnly":false,"definition":"","keyProductQueryItem":"311834","comparisonOperation":0,"comparisonValue":"157","minimumVersion":"","maximumVersion":"","formOrder":0,"lowerBound":null,"enabled":true,"mask":"","largeMask":"","maskKey":"","keyItemMaskOfField":null,"keyOptionIdReplace":"","relatedOptionIds":[],"onlineServices":[],"childCriteriaItemList":[],"clientContextJson":""},{"keyOptionId":"9734","caption":"De Novo Offering","isDefault":true,"maskCriteriaOnly":false,"definition":"","keyProductQueryItem":"311834","comparisonOperation":0,"comparisonValue":"162","minimumVersion":"","maximumVersion":"","formOrder":0,"lowerBound":null,"enabled":true,"mask":"","largeMask":"","maskKey":"","keyItemMaskOfField":null,"keyOptionIdReplace":"","relatedOptionIds":[],"onlineServices":[],"childCriteriaItemList":[],"clientContextJson":""}],"clientContextJson":""}],"clientContextJson":""}]},{"filterGroupId":"8466","filterGroupIdReplace":"","caption":"Announcement Date Range","groupType":2,"optionType":4,"formOrder":40,"minimumVersion":"","maximumVersion":"","onlineServicesEnabled":false,"column":0,"columnFormOrder":40,"criteriaIdName":"","required":false,"dateDefaultType":"","criteriaItemList":[{"keyOptionId":"8467","caption":"From","isDefault":false,"maskCriteriaOnly":true,"definition":"","keyProductQueryItem":"300056","comparisonOperation":6,"comparisonValue":"","minimumVersion":"","maximumVersion":"","formOrder":0,"lowerBound":null,"enabled":true,"mask":"","largeMask":"","maskKey":"","keyItemMaskOfField":null,"keyOptionIdReplace":"","relatedOptionIds":[],"onlineServices":[],"childCriteriaItemList":[],"clientContextJson":""},{"keyOptionId":"8468","caption":"To","isDefault":false,"maskCriteriaOnly":true,"definition":"","keyProductQueryItem":"300056","comparisonOperation":5,"comparisonValue":"","minimumVersion":"","maximumVersion":"","formOrder":0,"lowerBound":null,"enabled":true,"mask":"","largeMask":"","maskKey":"","keyItemMaskOfField":null,"keyOptionIdReplace":"","relatedOptionIds":[],"onlineServices":[],"childCriteriaItemList":[],"clientContextJson":""}]},{"filterGroupId":"8473","filterGroupIdReplace":"","caption":"Deal Value/Transaction Value","groupType":2,"optionType":3,"formOrder":60,"minimumVersion":"","maximumVersion":"","onlineServicesEnabled":false,"column":0,"columnFormOrder":60,"criteriaIdName":"","required":false,"dateDefaultType":"","criteriaItemList":[{"keyOptionId":"8474","caption":"From","isDefault":false,"maskCriteriaOnly":true,"definition":"","keyProductQueryItem":"300057","comparisonOperation":6,"comparisonValue":"","minimumVersion":"","maximumVersion":"","formOrder":0,"lowerBound":null,"enabled":true,"mask":"","largeMask":"","maskKey":"","keyItemMaskOfField":null,"keyOptionIdReplace":"","relatedOptionIds":[],"onlineServices":[],"childCriteriaItemList":[],"clientContextJson":""},{"keyOptionId":"8475","caption":"To","isDefault":false,"maskCriteriaOnly":true,"definition":"","keyProductQueryItem":"300057","comparisonOperation":5,"comparisonValue":"","minimumVersion":"","maximumVersion":"","formOrder":0,"lowerBound":null,"enabled":true,"mask":"","largeMask":"","maskKey":"","keyItemMaskOfField":null,"keyOptionIdReplace":"","relatedOptionIds":[],"onlineServices":[],"childCriteriaItemList":[],"clientContextJson":""}]}],"queryLineGroups":[{"groupName":"QueryLines","queryLines":[{"beginGroup":false,"connector":0,"displayText":null,"endGroup":false,"field":{"displayName":null,"displayType":null,"displayUnits":null,"fieldKey":"300085","originalRequestField":null,"secondaryKeys":[]},"functionName":null,"invariantValue":null,"mathOperator":0,"mathValue":null,"operator":0,"queryItemId":"00000000-0000-0000-0000-000000000000","relativeOperation":false,"listKey":null,"sortOrder":null,"sortStyle":null,"supressSelect":false,"value":"n/a","valueField":null},{"beginGroup":false,"connector":0,"displayText":null,"endGroup":false,"field":{"displayName":null,"displayType":null,"displayUnits":null,"fieldKey":"300091","originalRequestField":null,"secondaryKeys":[]},"functionName":null,"invariantValue":null,"mathOperator":0,"mathValue":null,"operator":7,"queryItemId":"00000000-0000-0000-0000-000000000000","relativeOperation":false,"listKey":null,"sortOrder":null,"sortStyle":null,"supressSelect":false,"value":"'Senior Debt','Subordinated Debt','Senior Subordinated Debt','Junior Subordinated Debt','Subsidiary Trust Preferred','Subsidiary Pfd Partnership Interest','GIC-backed Note','Covered Bonds','Revenue Bonds','Bond or Note'","valueField":null},{"beginGroup":false,"connector":0,"displayText":null,"endGroup":false,"field":{"displayName":null,"displayType":null,"displayUnits":null,"fieldKey":"301857","originalRequestField":null,"secondaryKeys":[]},"functionName":null,"invariantValue":null,"mathOperator":0,"mathValue":null,"operator":7,"queryItemId":"00000000-0000-0000-0000-000000000000","relativeOperation":false,"listKey":null,"sortOrder":null,"sortStyle":null,"supressSelect":false,"value":"'0'","valueField":null},{"beginGroup":false,"connector":0,"displayText":null,"endGroup":false,"field":{"displayName":null,"displayType":null,"displayUnits":null,"fieldKey":"301818","originalRequestField":null,"secondaryKeys":[]},"functionName":null,"invariantValue":null,"mathOp</v>
      </c>
    </row>
    <row r="9" spans="1:40" x14ac:dyDescent="0.2">
      <c r="AJ9" t="s">
        <v>659</v>
      </c>
      <c r="AK9" t="str">
        <f>SUBSTITUTE(AJ9,"DUMMY_KEY",MI_Key)</f>
        <v>aItemList":[{"keyOptionId":"8467","caption":"From","isDefault":false,"maskCriteriaOnly":true,"definition":"","keyProductQueryItem":"300056","comparisonOperation":6,"comparisonValue":"","minimumVersion":"","maximumVersion":"","formOrder":0,"lowerBound":null,"enabled":true,"mask":"","largeMask":"","maskKey":"","keyItemMaskOfField":null,"keyOptionIdReplace":"","relatedOptionIds":[],"onlineServices":[],"childCriteriaItemList":[],"clientContextJson":""},{"keyOptionId":"8468","caption":"To","isDefault":false,"maskCriteriaOnly":true,"definition":"","keyProductQueryItem":"300056","comparisonOperation":5,"comparisonValue":"","minimumVersion":"","maximumVersion":"","formOrder":0,"lowerBound":null,"enabled":true,"mask":"","largeMask":"","maskKey":"","keyItemMaskOfField":null,"keyOptionIdReplace":"","relatedOptionIds":[],"onlineServices":[],"childCriteriaItemList":[],"clientContextJson":""}]},{"filterGroupId":"8473","filterGroupIdReplace":"","caption":"Deal Value/Transaction Value","groupType":2,"optionType":3,"formOrder":60,"minimumVersion":"","maximumVersion":"","onlineServicesEnabled":false,"column":0,"columnFormOrder":60,"criteriaIdName":"","required":false,"dateDefaultType":"","criteriaItemList":[{"keyOptionId":"8474","caption":"From","isDefault":false,"maskCriteriaOnly":true,"definition":"","keyProductQueryItem":"300057","comparisonOperation":6,"comparisonValue":"","minimumVersion":"","maximumVersion":"","formOrder":0,"lowerBound":null,"enabled":true,"mask":"","largeMask":"","maskKey":"","keyItemMaskOfField":null,"keyOptionIdReplace":"","relatedOptionIds":[],"onlineServices":[],"childCriteriaItemList":[],"clientContextJson":""},{"keyOptionId":"8475","caption":"To","isDefault":false,"maskCriteriaOnly":true,"definition":"","keyProductQueryItem":"300057","comparisonOperation":5,"comparisonValue":"","minimumVersion":"","maximumVersion":"","formOrder":0,"lowerBound":null,"enabled":true,"mask":"","largeMask":"","maskKey":"","keyItemMaskOfField":null,"keyOptionIdReplace":"","relatedOptionIds":[],"onlineServices":[],"childCriteriaItemList":[],"clientContextJson":""}]}],"queryLineGroups":[{"groupName":"QueryLines","queryLines":[{"beginGroup":false,"connector":0,"displayText":null,"endGroup":false,"field":{"displayName":null,"displayType":null,"displayUnits":null,"fieldKey":"300085","originalRequestField":null,"secondaryKeys":[]},"functionName":null,"invariantValue":null,"mathOperator":0,"mathValue":null,"operator":0,"queryItemId":"00000000-0000-0000-0000-000000000000","relativeOperation":false,"sortOrder":null,"sortStyle":null,"supressSelect":false,"value":"n/a","valueField":null},{"beginGroup":false,"connector":0,"displayText":null,"endGroup":false,"field":{"displayName":null,"displayType":null,"displayUnits":null,"fieldKey":"300091","originalRequestField":null,"secondaryKeys":[]},"functionName":null,"invariantValue":null,"mathOperator":0,"mathValue":null,"operator":7,"queryItemId":"00000000-0000-0000-0000-000000000000","relativeOperation":false,"sortOrder":null,"sortStyle":null,"supressSelect":false,"value":"'Preferred Equity','Preferred Security','Depositary Receipt (Preferred Security)'","valueField":null},{"beginGroup":false,"connector":0,"displayText":null,"endGroup":false,"field":{"displayName":null,"displayType":null,"displayUnits":null,"fieldKey":"301857","originalRequestField":null,"secondaryKeys":[]},"functionName":null,"invariantValue":null,"mathOperator":0,"mathValue":null,"operator":7,"queryItemId":"00000000-0000-0000-0000-000000000000","relativeOperation":false,"sortOrder":null,"sortStyle":null,"supressSelect":false,"value":"'0'","valueField":null}]},{"groupName":"WhiteAndBlackListCriteria","queryLines":[]}],"saveQueryType":0,"standardDeviationQuery":false,"version":null},"reports":null,"showProductMagnitude":false,"skip":0,"sortBy":null,"sortDesc":false,"sourceTimeZoneIDItemKey":null,"timeoutOverride":0,"top":0,"useNewOnPremDomain":false}],"saveQueryType":0,"sourceTimeZoneIDItemKey":null}</v>
      </c>
    </row>
  </sheetData>
  <pageMargins left="0.7" right="0.7" top="0.75" bottom="0.75" header="0.3" footer="0.3"/>
  <pageSetup orientation="portrait" horizontalDpi="90" verticalDpi="9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5A6A26FDAC9BF4EA1FE5ED516FE5143" ma:contentTypeVersion="18" ma:contentTypeDescription="Create a new document." ma:contentTypeScope="" ma:versionID="9c09f82c5ee28fbf1a352893a9220d8f">
  <xsd:schema xmlns:xsd="http://www.w3.org/2001/XMLSchema" xmlns:xs="http://www.w3.org/2001/XMLSchema" xmlns:p="http://schemas.microsoft.com/office/2006/metadata/properties" xmlns:ns2="5fe155e5-e33d-4841-8cd3-d55e51c1bb09" xmlns:ns3="c0d2cb11-e59a-439e-ba1c-da77417d3bf8" targetNamespace="http://schemas.microsoft.com/office/2006/metadata/properties" ma:root="true" ma:fieldsID="7dcb2ca47ea9468f9677297f925818bb" ns2:_="" ns3:_="">
    <xsd:import namespace="5fe155e5-e33d-4841-8cd3-d55e51c1bb09"/>
    <xsd:import namespace="c0d2cb11-e59a-439e-ba1c-da77417d3bf8"/>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LengthInSeconds" minOccurs="0"/>
                <xsd:element ref="ns2:MediaServiceAutoKeyPoints" minOccurs="0"/>
                <xsd:element ref="ns2:MediaServiceKeyPoints" minOccurs="0"/>
                <xsd:element ref="ns2:Date" minOccurs="0"/>
                <xsd:element ref="ns2:MediaServiceObjectDetectorVersions" minOccurs="0"/>
                <xsd:element ref="ns2:MediaServiceSearchProperties" minOccurs="0"/>
                <xsd:element ref="ns2:MediaServiceGenerationTime" minOccurs="0"/>
                <xsd:element ref="ns2:MediaServiceEventHashCode"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fe155e5-e33d-4841-8cd3-d55e51c1bb0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Date" ma:index="17" nillable="true" ma:displayName="Date" ma:format="DateOnly" ma:internalName="Date">
      <xsd:simpleType>
        <xsd:restriction base="dms:DateTime"/>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76f79bde-b34b-4e33-a562-f79c102b9a25" ma:termSetId="09814cd3-568e-fe90-9814-8d621ff8fb84" ma:anchorId="fba54fb3-c3e1-fe81-a776-ca4b69148c4d" ma:open="true" ma:isKeyword="false">
      <xsd:complexType>
        <xsd:sequence>
          <xsd:element ref="pc:Terms" minOccurs="0" maxOccurs="1"/>
        </xsd:sequence>
      </xsd:complexType>
    </xsd:element>
    <xsd:element name="MediaServiceOCR" ma:index="25"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c0d2cb11-e59a-439e-ba1c-da77417d3bf8"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4" nillable="true" ma:displayName="Taxonomy Catch All Column" ma:hidden="true" ma:list="{253160da-aabf-4116-8593-9bf85f947d6c}" ma:internalName="TaxCatchAll" ma:showField="CatchAllData" ma:web="c0d2cb11-e59a-439e-ba1c-da77417d3bf8">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c0d2cb11-e59a-439e-ba1c-da77417d3bf8">
      <UserInfo>
        <DisplayName/>
        <AccountId xsi:nil="true"/>
        <AccountType/>
      </UserInfo>
    </SharedWithUsers>
    <MediaLengthInSeconds xmlns="5fe155e5-e33d-4841-8cd3-d55e51c1bb09" xsi:nil="true"/>
    <lcf76f155ced4ddcb4097134ff3c332f xmlns="5fe155e5-e33d-4841-8cd3-d55e51c1bb09">
      <Terms xmlns="http://schemas.microsoft.com/office/infopath/2007/PartnerControls"/>
    </lcf76f155ced4ddcb4097134ff3c332f>
    <TaxCatchAll xmlns="c0d2cb11-e59a-439e-ba1c-da77417d3bf8" xsi:nil="true"/>
    <Date xmlns="5fe155e5-e33d-4841-8cd3-d55e51c1bb09"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E52C6CD-1F91-4FD0-9A77-33EB8269CAB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fe155e5-e33d-4841-8cd3-d55e51c1bb09"/>
    <ds:schemaRef ds:uri="c0d2cb11-e59a-439e-ba1c-da77417d3bf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F659FB8-8588-4D3A-9703-C98C16130934}">
  <ds:schemaRefs>
    <ds:schemaRef ds:uri="http://www.w3.org/XML/1998/namespace"/>
    <ds:schemaRef ds:uri="http://schemas.microsoft.com/office/2006/metadata/properties"/>
    <ds:schemaRef ds:uri="http://purl.org/dc/terms/"/>
    <ds:schemaRef ds:uri="http://schemas.openxmlformats.org/package/2006/metadata/core-properties"/>
    <ds:schemaRef ds:uri="http://purl.org/dc/elements/1.1/"/>
    <ds:schemaRef ds:uri="c0d2cb11-e59a-439e-ba1c-da77417d3bf8"/>
    <ds:schemaRef ds:uri="http://purl.org/dc/dcmitype/"/>
    <ds:schemaRef ds:uri="http://schemas.microsoft.com/office/2006/documentManagement/types"/>
    <ds:schemaRef ds:uri="http://schemas.microsoft.com/office/infopath/2007/PartnerControls"/>
    <ds:schemaRef ds:uri="5fe155e5-e33d-4841-8cd3-d55e51c1bb09"/>
  </ds:schemaRefs>
</ds:datastoreItem>
</file>

<file path=customXml/itemProps3.xml><?xml version="1.0" encoding="utf-8"?>
<ds:datastoreItem xmlns:ds="http://schemas.openxmlformats.org/officeDocument/2006/customXml" ds:itemID="{7C39289F-0EDA-47E7-A35B-C0737074382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60</vt:i4>
      </vt:variant>
    </vt:vector>
  </HeadingPairs>
  <TitlesOfParts>
    <vt:vector size="65" baseType="lpstr">
      <vt:lpstr>Independent_DCF_Inputs</vt:lpstr>
      <vt:lpstr>DCF</vt:lpstr>
      <vt:lpstr>Reverse_DCF_Overview</vt:lpstr>
      <vt:lpstr>Reverse_DCF</vt:lpstr>
      <vt:lpstr>Language_Index</vt:lpstr>
      <vt:lpstr>DCF!Área_de_impresión</vt:lpstr>
      <vt:lpstr>AutoPeers</vt:lpstr>
      <vt:lpstr>Beta_Selection</vt:lpstr>
      <vt:lpstr>Button2</vt:lpstr>
      <vt:lpstr>Button9</vt:lpstr>
      <vt:lpstr>CAP_CONV</vt:lpstr>
      <vt:lpstr>CAP_CURR</vt:lpstr>
      <vt:lpstr>CAP_ID</vt:lpstr>
      <vt:lpstr>CAP_MAG</vt:lpstr>
      <vt:lpstr>Clear_Data</vt:lpstr>
      <vt:lpstr>Clear_DT</vt:lpstr>
      <vt:lpstr>Clear_FI</vt:lpstr>
      <vt:lpstr>Copy</vt:lpstr>
      <vt:lpstr>Count_A</vt:lpstr>
      <vt:lpstr>Count_B</vt:lpstr>
      <vt:lpstr>Currency_List</vt:lpstr>
      <vt:lpstr>Currency_Selection</vt:lpstr>
      <vt:lpstr>CurrMagClear</vt:lpstr>
      <vt:lpstr>Def_Beta</vt:lpstr>
      <vt:lpstr>DS_1</vt:lpstr>
      <vt:lpstr>DS_2</vt:lpstr>
      <vt:lpstr>Entity_Name</vt:lpstr>
      <vt:lpstr>ES_1</vt:lpstr>
      <vt:lpstr>ES_2</vt:lpstr>
      <vt:lpstr>FormFI_1</vt:lpstr>
      <vt:lpstr>FormFI_2</vt:lpstr>
      <vt:lpstr>FormL1</vt:lpstr>
      <vt:lpstr>FormL2</vt:lpstr>
      <vt:lpstr>FormL3</vt:lpstr>
      <vt:lpstr>Index_Sel</vt:lpstr>
      <vt:lpstr>Language_Data</vt:lpstr>
      <vt:lpstr>Language_Option</vt:lpstr>
      <vt:lpstr>Language_Option2</vt:lpstr>
      <vt:lpstr>List1</vt:lpstr>
      <vt:lpstr>List2</vt:lpstr>
      <vt:lpstr>List3</vt:lpstr>
      <vt:lpstr>List4</vt:lpstr>
      <vt:lpstr>LookR</vt:lpstr>
      <vt:lpstr>Lookup_Column</vt:lpstr>
      <vt:lpstr>Lookup_Column1</vt:lpstr>
      <vt:lpstr>Magnitude_List</vt:lpstr>
      <vt:lpstr>Magnitude_Selection</vt:lpstr>
      <vt:lpstr>MI_ID</vt:lpstr>
      <vt:lpstr>MI_Key</vt:lpstr>
      <vt:lpstr>Paste</vt:lpstr>
      <vt:lpstr>Paste_Q</vt:lpstr>
      <vt:lpstr>Period</vt:lpstr>
      <vt:lpstr>QComps</vt:lpstr>
      <vt:lpstr>RiskFreeClear</vt:lpstr>
      <vt:lpstr>RiskFreeRate</vt:lpstr>
      <vt:lpstr>SA_1</vt:lpstr>
      <vt:lpstr>SA_2</vt:lpstr>
      <vt:lpstr>SPG_Fx1</vt:lpstr>
      <vt:lpstr>SPG_Fx2</vt:lpstr>
      <vt:lpstr>SPG_Fx3</vt:lpstr>
      <vt:lpstr>SPG_Fx4</vt:lpstr>
      <vt:lpstr>Start</vt:lpstr>
      <vt:lpstr>Step2</vt:lpstr>
      <vt:lpstr>Ticker_Exch</vt:lpstr>
      <vt:lpstr>DCF!Títulos_a_imprimir</vt:lpstr>
    </vt:vector>
  </TitlesOfParts>
  <Company>S&amp;P Global Market Intelligence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Nandan Bagga</dc:creator>
  <cp:lastModifiedBy>Diego Benavides</cp:lastModifiedBy>
  <cp:lastPrinted>2025-02-17T13:56:04Z</cp:lastPrinted>
  <dcterms:created xsi:type="dcterms:W3CDTF">2017-05-04T15:05:34Z</dcterms:created>
  <dcterms:modified xsi:type="dcterms:W3CDTF">2026-10-19T03:11:08Z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{F8E633F6-56B4-4A44-A5DF-73FFE5E5DE8E}</vt:lpwstr>
  </property>
  <property fmtid="{D5CDD505-2E9C-101B-9397-08002B2CF9AE}" pid="3" name="ContentTypeId">
    <vt:lpwstr>0x01010095A6A26FDAC9BF4EA1FE5ED516FE5143</vt:lpwstr>
  </property>
  <property fmtid="{D5CDD505-2E9C-101B-9397-08002B2CF9AE}" pid="4" name="Order">
    <vt:r8>4108800</vt:r8>
  </property>
  <property fmtid="{D5CDD505-2E9C-101B-9397-08002B2CF9AE}" pid="5" name="xd_Signature">
    <vt:bool>false</vt:bool>
  </property>
  <property fmtid="{D5CDD505-2E9C-101B-9397-08002B2CF9AE}" pid="6" name="xd_ProgID">
    <vt:lpwstr/>
  </property>
  <property fmtid="{D5CDD505-2E9C-101B-9397-08002B2CF9AE}" pid="7" name="_ExtendedDescription">
    <vt:lpwstr/>
  </property>
  <property fmtid="{D5CDD505-2E9C-101B-9397-08002B2CF9AE}" pid="8" name="TriggerFlowInfo">
    <vt:lpwstr/>
  </property>
  <property fmtid="{D5CDD505-2E9C-101B-9397-08002B2CF9AE}" pid="9" name="ComplianceAssetId">
    <vt:lpwstr/>
  </property>
  <property fmtid="{D5CDD505-2E9C-101B-9397-08002B2CF9AE}" pid="10" name="TemplateUrl">
    <vt:lpwstr/>
  </property>
  <property fmtid="{D5CDD505-2E9C-101B-9397-08002B2CF9AE}" pid="11" name="MediaServiceImageTags">
    <vt:lpwstr/>
  </property>
  <property fmtid="{D5CDD505-2E9C-101B-9397-08002B2CF9AE}" pid="12" name="MSIP_Label_6267e522-0091-4d88-9989-f382df9eb3cc_Enabled">
    <vt:lpwstr>true</vt:lpwstr>
  </property>
  <property fmtid="{D5CDD505-2E9C-101B-9397-08002B2CF9AE}" pid="13" name="MSIP_Label_6267e522-0091-4d88-9989-f382df9eb3cc_SetDate">
    <vt:lpwstr>2026-03-12T08:25:45Z</vt:lpwstr>
  </property>
  <property fmtid="{D5CDD505-2E9C-101B-9397-08002B2CF9AE}" pid="14" name="MSIP_Label_6267e522-0091-4d88-9989-f382df9eb3cc_Method">
    <vt:lpwstr>Privileged</vt:lpwstr>
  </property>
  <property fmtid="{D5CDD505-2E9C-101B-9397-08002B2CF9AE}" pid="15" name="MSIP_Label_6267e522-0091-4d88-9989-f382df9eb3cc_Name">
    <vt:lpwstr>General</vt:lpwstr>
  </property>
  <property fmtid="{D5CDD505-2E9C-101B-9397-08002B2CF9AE}" pid="16" name="MSIP_Label_6267e522-0091-4d88-9989-f382df9eb3cc_SiteId">
    <vt:lpwstr>8f3e36ea-8039-4b40-81a7-7dc0599e8645</vt:lpwstr>
  </property>
  <property fmtid="{D5CDD505-2E9C-101B-9397-08002B2CF9AE}" pid="17" name="MSIP_Label_6267e522-0091-4d88-9989-f382df9eb3cc_ActionId">
    <vt:lpwstr>5c88c4c3-bb5d-4f33-9a0e-683a32b71c55</vt:lpwstr>
  </property>
  <property fmtid="{D5CDD505-2E9C-101B-9397-08002B2CF9AE}" pid="18" name="MSIP_Label_6267e522-0091-4d88-9989-f382df9eb3cc_ContentBits">
    <vt:lpwstr>0</vt:lpwstr>
  </property>
  <property fmtid="{D5CDD505-2E9C-101B-9397-08002B2CF9AE}" pid="19" name="MSIP_Label_6267e522-0091-4d88-9989-f382df9eb3cc_Tag">
    <vt:lpwstr>10, 0, 1, 1</vt:lpwstr>
  </property>
  <property fmtid="{D5CDD505-2E9C-101B-9397-08002B2CF9AE}" pid="20" name="snltemplateid">
    <vt:r8>433117451</vt:r8>
  </property>
  <property fmtid="{D5CDD505-2E9C-101B-9397-08002B2CF9AE}" pid="21" name="KeyFile">
    <vt:r8>433117451</vt:r8>
  </property>
</Properties>
</file>