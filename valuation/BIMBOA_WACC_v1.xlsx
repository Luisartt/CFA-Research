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9CDDDFEA-C0A2-4605-B72A-FCAFFE2FA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CC" sheetId="1" r:id="rId1"/>
    <sheet name="Inputs_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" l="1"/>
  <c r="F80" i="1"/>
  <c r="E80" i="1"/>
  <c r="D80" i="1"/>
  <c r="C80" i="1"/>
  <c r="G70" i="1"/>
  <c r="F70" i="1"/>
  <c r="E70" i="1"/>
  <c r="D70" i="1"/>
  <c r="C70" i="1"/>
  <c r="C62" i="1"/>
  <c r="C61" i="1"/>
  <c r="C63" i="1" s="1"/>
  <c r="C59" i="1"/>
  <c r="N43" i="1"/>
  <c r="N38" i="1"/>
  <c r="K38" i="1"/>
  <c r="L38" i="1" s="1"/>
  <c r="K37" i="1"/>
  <c r="L37" i="1" s="1"/>
  <c r="N37" i="1" s="1"/>
  <c r="K36" i="1"/>
  <c r="L36" i="1" s="1"/>
  <c r="N36" i="1" s="1"/>
  <c r="K35" i="1"/>
  <c r="L35" i="1" s="1"/>
  <c r="N35" i="1" s="1"/>
  <c r="K34" i="1"/>
  <c r="L34" i="1" s="1"/>
  <c r="N34" i="1" s="1"/>
  <c r="K33" i="1"/>
  <c r="L33" i="1" s="1"/>
  <c r="N33" i="1" s="1"/>
  <c r="K32" i="1"/>
  <c r="L32" i="1" s="1"/>
  <c r="N32" i="1" s="1"/>
  <c r="I28" i="1"/>
  <c r="I27" i="1"/>
  <c r="C13" i="1" s="1"/>
  <c r="I26" i="1"/>
  <c r="I25" i="1"/>
  <c r="I24" i="1"/>
  <c r="I23" i="1"/>
  <c r="C17" i="1"/>
  <c r="C16" i="1"/>
  <c r="C15" i="1"/>
  <c r="B85" i="1" l="1"/>
  <c r="B83" i="1"/>
  <c r="C57" i="1"/>
  <c r="C58" i="1" s="1"/>
  <c r="C60" i="1" s="1"/>
  <c r="C64" i="1" s="1"/>
  <c r="C66" i="1" s="1"/>
  <c r="B81" i="1"/>
  <c r="B82" i="1"/>
  <c r="B84" i="1"/>
  <c r="N40" i="1"/>
  <c r="N39" i="1"/>
  <c r="E76" i="1"/>
  <c r="D71" i="1"/>
  <c r="G77" i="1"/>
  <c r="D76" i="1"/>
  <c r="C75" i="1"/>
  <c r="F72" i="1"/>
  <c r="C71" i="1"/>
  <c r="F71" i="1"/>
  <c r="E72" i="1"/>
  <c r="E73" i="1"/>
  <c r="F75" i="1"/>
  <c r="G76" i="1"/>
  <c r="E77" i="1"/>
  <c r="C72" i="1"/>
  <c r="C77" i="1"/>
  <c r="F76" i="1"/>
  <c r="D75" i="1"/>
  <c r="F77" i="1"/>
  <c r="G71" i="1"/>
  <c r="G72" i="1"/>
  <c r="D77" i="1"/>
  <c r="C76" i="1"/>
  <c r="G75" i="1"/>
  <c r="G73" i="1"/>
  <c r="D73" i="1"/>
  <c r="D72" i="1"/>
  <c r="F73" i="1"/>
  <c r="E74" i="1"/>
  <c r="D74" i="1"/>
  <c r="C74" i="1"/>
  <c r="E71" i="1"/>
  <c r="G74" i="1"/>
  <c r="C73" i="1"/>
  <c r="E75" i="1"/>
  <c r="F74" i="1"/>
  <c r="G85" i="1" l="1"/>
  <c r="F85" i="1"/>
  <c r="E85" i="1"/>
  <c r="D85" i="1"/>
  <c r="C85" i="1"/>
  <c r="D83" i="1"/>
  <c r="G83" i="1"/>
  <c r="F83" i="1"/>
  <c r="C83" i="1"/>
  <c r="E83" i="1"/>
  <c r="C81" i="1"/>
  <c r="D81" i="1"/>
  <c r="E81" i="1"/>
  <c r="F81" i="1"/>
  <c r="G81" i="1"/>
  <c r="F82" i="1"/>
  <c r="C82" i="1"/>
  <c r="G82" i="1"/>
  <c r="D82" i="1"/>
  <c r="E82" i="1"/>
  <c r="D84" i="1"/>
  <c r="G84" i="1"/>
  <c r="E84" i="1"/>
  <c r="F84" i="1"/>
  <c r="C84" i="1"/>
</calcChain>
</file>

<file path=xl/sharedStrings.xml><?xml version="1.0" encoding="utf-8"?>
<sst xmlns="http://schemas.openxmlformats.org/spreadsheetml/2006/main" count="230" uniqueCount="185">
  <si>
    <t>WACC Analysis</t>
  </si>
  <si>
    <t>Grupo Bimbo, S.A.B. de C.V. (BMV:BIMBO A) | valuation date 2026-10-16 | MXN nominal | layout after S&amp;P Capital IQ Pro 'WACC Analysis' (template defaults overridden: local risk-free, mature-market ERP, statutory marginal tax, MXN cost of debt).</t>
  </si>
  <si>
    <t>Blue on yellow = input. [sourced] from a filing or public source; [guidance] management statement; [assumption] team or assistant judgment (proposal until the team confirms); [calc] computed; [unverified] not yet tied to a source.</t>
  </si>
  <si>
    <t>STEP 1 - SELECTIONS</t>
  </si>
  <si>
    <t>Route: 1 = A local (M-Bono, CRP 0); 2 = B Damodaran (default-free rf + exposure-weighted CRP)</t>
  </si>
  <si>
    <t>Beta: 1 = bottom-up median; 2 = bottom-up mean; 3 = industry (Damodaran); 4 = Bimbo regression (unlevered)</t>
  </si>
  <si>
    <t>STEP 2 - RISK-FREE RATE AND COUNTRY RISK</t>
  </si>
  <si>
    <t>Mexico M-Bono 10-year yield</t>
  </si>
  <si>
    <t>[sourced] M-Bono 10y, S&amp;P Capital IQ rates 2026-10-16 (wacc_inputs F1)</t>
  </si>
  <si>
    <t>Mexico sovereign default spread (variant B)</t>
  </si>
  <si>
    <t>[sourced] Damodaran rating-based default spread for Mexico (Baa2) 1.62%, ctryprem Jan-2026 (wacc_inputs G2); 5y CDS 0.953% is a shorter-maturity alternative (F7)</t>
  </si>
  <si>
    <t>Equity country risk premium, exposure-weighted (variant B; build below)</t>
  </si>
  <si>
    <t>[calc] Exposure-weighted CRP, table below</t>
  </si>
  <si>
    <t>Size premium</t>
  </si>
  <si>
    <t>[assumption] No size premium (large cap)</t>
  </si>
  <si>
    <t>Default-free MXN risk-free (variant B) = M-Bono 10y - default spread</t>
  </si>
  <si>
    <t>Risk-free used</t>
  </si>
  <si>
    <t>Country risk premium used</t>
  </si>
  <si>
    <t>Equity risk premium (mature market)</t>
  </si>
  <si>
    <t>[sourced] Damodaran implied ERP 4.20%, 1-Oct-2026 (wacc_inputs G1)</t>
  </si>
  <si>
    <t>Marginal tax rate (Mexico statutory)</t>
  </si>
  <si>
    <t>[sourced] Mexico statutory corporate rate 30% (Ley del ISR); effective/cash tax is a separate forecast driver.</t>
  </si>
  <si>
    <t>Variant B: CRP = sum over regions of (weight x CRP); weight = share of FY2025 Adj. EBITDA</t>
  </si>
  <si>
    <t>Region</t>
  </si>
  <si>
    <t>Adj. EBITDA FY25 weight</t>
  </si>
  <si>
    <t>Revenue weight</t>
  </si>
  <si>
    <t>Region CRP</t>
  </si>
  <si>
    <t>Contribution</t>
  </si>
  <si>
    <t>North America (US + Canada)</t>
  </si>
  <si>
    <t>Damodaran ctryprem Jan-2026: US 0.23% x 60/77 plants + Canada 0% (wacc_inputs I1)</t>
  </si>
  <si>
    <t>Mexico</t>
  </si>
  <si>
    <t>Damodaran Mexico CRP 2.46% (Baa2), Jan-2026; EBITDA weight incl. eliminations</t>
  </si>
  <si>
    <t>Europe, Asia &amp; Africa</t>
  </si>
  <si>
    <t>Proxy Spain 1.55% [assumption]</t>
  </si>
  <si>
    <t>Latin America</t>
  </si>
  <si>
    <t>Proxy Brazil 3.24% [assumption]</t>
  </si>
  <si>
    <t>Exposure-weighted CRP</t>
  </si>
  <si>
    <t>Revenue-weighted (sensitivity)</t>
  </si>
  <si>
    <t>STEP 3 - BOTTOM-UP BETA (Hamada: beta_u = beta_l / (1 + (1 - t) x D/E); debt incl. leases, market equity)</t>
  </si>
  <si>
    <t>Peer</t>
  </si>
  <si>
    <t>Ticker</t>
  </si>
  <si>
    <t>Marginal tax</t>
  </si>
  <si>
    <t>Levered beta</t>
  </si>
  <si>
    <t>Debt incl. leases</t>
  </si>
  <si>
    <t>Market equity</t>
  </si>
  <si>
    <t>D/E</t>
  </si>
  <si>
    <t>Unlevered beta</t>
  </si>
  <si>
    <t>Included</t>
  </si>
  <si>
    <t>Used</t>
  </si>
  <si>
    <t>Source</t>
  </si>
  <si>
    <t>Flowers Foods</t>
  </si>
  <si>
    <t>NYSE:FLO</t>
  </si>
  <si>
    <t>yes</t>
  </si>
  <si>
    <t>[sourced] beta stockanalysis.com 5Y (16-Oct); CIQ</t>
  </si>
  <si>
    <t>Aryzta</t>
  </si>
  <si>
    <t>SWX:ARYN</t>
  </si>
  <si>
    <t>[sourced] beta stockanalysis.com 5Y; CIQ</t>
  </si>
  <si>
    <t>J.M. Smucker</t>
  </si>
  <si>
    <t>NYSE:SJM</t>
  </si>
  <si>
    <t>[sourced] beta stockanalysis.com 5Y (Yahoo 0.27); CIQ</t>
  </si>
  <si>
    <t>Campbell's</t>
  </si>
  <si>
    <t>NasdaqGS:CPB</t>
  </si>
  <si>
    <t>[sourced] beta stockanalysis.com 5Y (Yahoo 0.04); CIQ</t>
  </si>
  <si>
    <t>Mondelez</t>
  </si>
  <si>
    <t>NasdaqGS:MDLZ</t>
  </si>
  <si>
    <t>[sourced] beta stockanalysis.com 5Y (Yahoo 0.39); CIQ</t>
  </si>
  <si>
    <t>PepsiCo</t>
  </si>
  <si>
    <t>NasdaqGS:PEP</t>
  </si>
  <si>
    <t>[sourced] beta stockanalysis.com 5Y (Yahoo 0.36); CIQ (debt excludes PEP operating leases)</t>
  </si>
  <si>
    <t>Arca Continental</t>
  </si>
  <si>
    <t>BMV:AC</t>
  </si>
  <si>
    <t>no</t>
  </si>
  <si>
    <t>[unverified] beta Yahoo only; market cap does not reconcile with shares (wacc_inputs H1)</t>
  </si>
  <si>
    <t>Median (included)</t>
  </si>
  <si>
    <t>Mean (included)</t>
  </si>
  <si>
    <t>Industry unlevered beta (Damodaran, Food Processing)</t>
  </si>
  <si>
    <t>[sourced] Damodaran Food Processing, Global (n=1,450), unlevered 0.53; cash-corrected 0.56 (Jan-2026; wacc_inputs G6). US: 0.46 (G5)</t>
  </si>
  <si>
    <t>Bimbo regression beta, unlevered at its own market D/E</t>
  </si>
  <si>
    <t>[unverified] Published Bimbo beta 0.32 (investing.com, window not stated) unlevered at D/E 0.743 and 30% tax (wacc_inputs E2); no regression computed (13 monthly closes only)</t>
  </si>
  <si>
    <t>Selected unlevered beta</t>
  </si>
  <si>
    <t>STEP 4 - CAPITAL STRUCTURE AND COST OF DEBT (MXN)</t>
  </si>
  <si>
    <t>Bimbo current market D/E (debt incl. leases / market cap)</t>
  </si>
  <si>
    <t>[calc] (153,660 debt + 33,361 leases) / market cap 251,684 at MXN 58.60 x 4,294.9m shares (wacc_inputs D2)</t>
  </si>
  <si>
    <t>Peer median market D/E</t>
  </si>
  <si>
    <t>[calc] Median market D/E incl. leases of 9 peers (wacc_inputs H1)</t>
  </si>
  <si>
    <t>D/E implied by management's 2.0-2.5x ex-IFRS 16 comfort range plus leases</t>
  </si>
  <si>
    <t>[calc] Net debt ex-IFRS 16 at 2.25x (mid of the 2.0-2.5x comfort range) x Adj. EBITDA ex-IFRS 16 54,839 (= 137,097 / 2.5) + cash 16,563 + leases 33,361 = 173,392 / 251,684 [assumption]</t>
  </si>
  <si>
    <t>Target D/E used (team decision)</t>
  </si>
  <si>
    <t>valuation/valuation.yaml</t>
  </si>
  <si>
    <t>Pre-tax Kd candidate: A. BIMBO 23L market yield (2033)</t>
  </si>
  <si>
    <t>[sourced] LSEG export 2026-10-10 (wacc_inputs J2-A)</t>
  </si>
  <si>
    <t>Pre-tax Kd candidate: B. M-Bono 10y + BIMBO 26 issue spread 0.45pp (proposal)</t>
  </si>
  <si>
    <t>[calc] wacc_inputs J2-B</t>
  </si>
  <si>
    <t>Pre-tax Kd candidate: C. M-Bono 10y + Damodaran BBB+ synthetic spread 1.00pp</t>
  </si>
  <si>
    <t>[calc] wacc_inputs J2-C</t>
  </si>
  <si>
    <t>Pre-tax Kd candidate: Fallback: BIMBO 26 issue coupon (not a yield)</t>
  </si>
  <si>
    <t>[sourced] wacc_inputs J2</t>
  </si>
  <si>
    <t>Pre-tax cost of debt used (team decision)</t>
  </si>
  <si>
    <t>STEP 5 - COST OF EQUITY AND WACC</t>
  </si>
  <si>
    <t>Relevered beta = beta_u x (1 + (1 - t) x D/E)</t>
  </si>
  <si>
    <t>Cost of equity = rf + beta_l x ERP + CRP + size</t>
  </si>
  <si>
    <t>E / (D + E)</t>
  </si>
  <si>
    <t>Cost of equity portion</t>
  </si>
  <si>
    <t>After-tax cost of debt</t>
  </si>
  <si>
    <t>D / (D + E)</t>
  </si>
  <si>
    <t>Cost of debt portion</t>
  </si>
  <si>
    <t>WACC</t>
  </si>
  <si>
    <t>WACC in valuation/valuation.yaml (engine input set)</t>
  </si>
  <si>
    <t>Check: workbook WACC = valuation.yaml WACC</t>
  </si>
  <si>
    <t>Differs only if the selectors or inputs on this sheet are changed from the valuation.yaml set.</t>
  </si>
  <si>
    <t>WACC SENSITIVITY ANALYSIS</t>
  </si>
  <si>
    <t>WACC: D/(D+E) (rows; beta relevered at each D/E) x pre-tax cost of debt (columns)</t>
  </si>
  <si>
    <t>WACC: unlevered beta (rows) x equity risk premium (columns), at the target D/E</t>
  </si>
  <si>
    <t>(1) Unlevered beta = levered beta / (1 + (1 - tax) x D/E). (2) Relevered beta = unlevered beta x (1 + (1 - tax) x D/E). Source data: valuation/inputs/wacc_inputs.yaml and the wiki (see Inputs_Sources).</t>
  </si>
  <si>
    <t>Inputs and sources</t>
  </si>
  <si>
    <t>[sourced] from a filing or public source; [guidance] management statement; [assumption] team or assistant judgment (proposal until the team confirms); [calc] computed; [unverified] not yet tied to a source.</t>
  </si>
  <si>
    <t>Item</t>
  </si>
  <si>
    <t>Value</t>
  </si>
  <si>
    <t>Unit</t>
  </si>
  <si>
    <t>Tag</t>
  </si>
  <si>
    <t>As of</t>
  </si>
  <si>
    <t>Share price, BMV close</t>
  </si>
  <si>
    <t>MXN</t>
  </si>
  <si>
    <t>sourced</t>
  </si>
  <si>
    <t>investing.com / Yahoo (delayed); wacc_inputs A1</t>
  </si>
  <si>
    <t>2026-10-16</t>
  </si>
  <si>
    <t>52-week high / low</t>
  </si>
  <si>
    <t>68.67 / 53.03</t>
  </si>
  <si>
    <t>CIQ corporate_issuance.csv (wacc_inputs A4-A5)</t>
  </si>
  <si>
    <t>2026-10-06</t>
  </si>
  <si>
    <t>Shares outstanding</t>
  </si>
  <si>
    <t>m</t>
  </si>
  <si>
    <t>BMV notice (wacc_inputs A8)</t>
  </si>
  <si>
    <t>2026-07-29</t>
  </si>
  <si>
    <t>Market capitalisation</t>
  </si>
  <si>
    <t>MXN m</t>
  </si>
  <si>
    <t>calc</t>
  </si>
  <si>
    <t>price x shares (wacc_inputs A9)</t>
  </si>
  <si>
    <t>M-Bono 10y</t>
  </si>
  <si>
    <t>%</t>
  </si>
  <si>
    <t>S&amp;P Capital IQ rates</t>
  </si>
  <si>
    <t>UST 10y</t>
  </si>
  <si>
    <t>Mexico 5y CDS</t>
  </si>
  <si>
    <t>S&amp;P Capital IQ CDS</t>
  </si>
  <si>
    <t>Damodaran implied ERP</t>
  </si>
  <si>
    <t>Damodaran home page</t>
  </si>
  <si>
    <t>2026-10-01</t>
  </si>
  <si>
    <t>Damodaran Mexico default spread / CRP</t>
  </si>
  <si>
    <t>1.62% / 2.46%</t>
  </si>
  <si>
    <t>Damodaran ctryprem (Jan-2026 copy)</t>
  </si>
  <si>
    <t>2026-01-05</t>
  </si>
  <si>
    <t>Damodaran Food Processing unlevered beta, Global / US</t>
  </si>
  <si>
    <t>0.53 / 0.46</t>
  </si>
  <si>
    <t>x</t>
  </si>
  <si>
    <t>Damodaran betas (Jan-2026)</t>
  </si>
  <si>
    <t>2026-01</t>
  </si>
  <si>
    <t>Bimbo published beta</t>
  </si>
  <si>
    <t>unverified</t>
  </si>
  <si>
    <t>investing.com (window not stated)</t>
  </si>
  <si>
    <t>BIMBO 23L yield</t>
  </si>
  <si>
    <t>LSEG export (pricing ~10-Oct)</t>
  </si>
  <si>
    <t>2026-10-10</t>
  </si>
  <si>
    <t>Debt / leases / cash, 31-Dec-2025</t>
  </si>
  <si>
    <t>153,663 / 34,790 / 8,535</t>
  </si>
  <si>
    <t>EEFF25 p.12 via data/financials.csv</t>
  </si>
  <si>
    <t>2025-12-31</t>
  </si>
  <si>
    <t>Debt / leases / cash, 30-Jun-2026</t>
  </si>
  <si>
    <t>153,660 / 33,361 / 16,563</t>
  </si>
  <si>
    <t>BMV Jun-26; CIQ</t>
  </si>
  <si>
    <t>2026-06-30</t>
  </si>
  <si>
    <t>Employee benefits / MEPP / derivatives (net liab.)</t>
  </si>
  <si>
    <t>6,507 / 985 / 3,185</t>
  </si>
  <si>
    <t>EEFF25 p.12, p.79 (data/adjustments.md)</t>
  </si>
  <si>
    <t>Investments in associates</t>
  </si>
  <si>
    <t>EEFF25 p.12</t>
  </si>
  <si>
    <t>NCI income 1H26 (annualised 1,814)</t>
  </si>
  <si>
    <t>CIQ quarterly: 1Q26 436 + 2Q26 471</t>
  </si>
  <si>
    <t>2026 dividend paid (13-May)</t>
  </si>
  <si>
    <t>MXN/share</t>
  </si>
  <si>
    <t>wacc_inputs C1-C4</t>
  </si>
  <si>
    <t>2026-05-13</t>
  </si>
  <si>
    <t>Consensus DPS FY2027E (next 12 months)</t>
  </si>
  <si>
    <t>CIQ consensus (data/capitaliq/consensus.csv)</t>
  </si>
  <si>
    <t>2026-09-20</t>
  </si>
  <si>
    <t>Drivers: model/drivers.yaml (tag, rationale and pillar per driver). History: data/financials.csv (document and page per figure) and data/adjustments.md.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</si>
</sst>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%;\(0.00%\);&quot;-&quot;"/>
    <numFmt numFmtId="165" formatCode="0.0%;\(0.0%\);&quot;-&quot;"/>
    <numFmt numFmtId="166" formatCode="0.000"/>
    <numFmt numFmtId="167" formatCode="#,##0;\(#,##0\);&quot;-&quot;"/>
    <numFmt numFmtId="168" formatCode="#,##0.00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0000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" fontId="6" fillId="3" borderId="0" xfId="0" applyNumberFormat="1" applyFont="1" applyFill="1"/>
    <xf numFmtId="164" fontId="6" fillId="3" borderId="0" xfId="0" applyNumberFormat="1" applyFont="1" applyFill="1"/>
    <xf numFmtId="164" fontId="5" fillId="0" borderId="0" xfId="0" applyNumberFormat="1" applyFont="1"/>
    <xf numFmtId="0" fontId="7" fillId="0" borderId="0" xfId="0" applyFont="1"/>
    <xf numFmtId="164" fontId="7" fillId="0" borderId="0" xfId="0" applyNumberFormat="1" applyFont="1"/>
    <xf numFmtId="165" fontId="6" fillId="3" borderId="0" xfId="0" applyNumberFormat="1" applyFont="1" applyFill="1"/>
    <xf numFmtId="0" fontId="7" fillId="4" borderId="0" xfId="0" applyFont="1" applyFill="1"/>
    <xf numFmtId="0" fontId="0" fillId="4" borderId="0" xfId="0" applyFill="1"/>
    <xf numFmtId="166" fontId="6" fillId="3" borderId="0" xfId="0" applyNumberFormat="1" applyFont="1" applyFill="1"/>
    <xf numFmtId="167" fontId="6" fillId="3" borderId="0" xfId="0" applyNumberFormat="1" applyFont="1" applyFill="1"/>
    <xf numFmtId="166" fontId="5" fillId="0" borderId="0" xfId="0" applyNumberFormat="1" applyFont="1"/>
    <xf numFmtId="49" fontId="6" fillId="3" borderId="0" xfId="0" applyNumberFormat="1" applyFont="1" applyFill="1"/>
    <xf numFmtId="166" fontId="7" fillId="0" borderId="0" xfId="0" applyNumberFormat="1" applyFont="1"/>
    <xf numFmtId="165" fontId="5" fillId="0" borderId="0" xfId="0" applyNumberFormat="1" applyFont="1"/>
    <xf numFmtId="49" fontId="5" fillId="0" borderId="0" xfId="0" applyNumberFormat="1" applyFont="1"/>
    <xf numFmtId="4" fontId="6" fillId="3" borderId="0" xfId="0" applyNumberFormat="1" applyFont="1" applyFill="1"/>
    <xf numFmtId="168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87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" customWidth="1"/>
    <col min="2" max="2" width="58" customWidth="1"/>
    <col min="3" max="3" width="14" customWidth="1"/>
    <col min="4" max="4" width="3" customWidth="1"/>
    <col min="5" max="5" width="34" customWidth="1"/>
    <col min="6" max="6" width="16" customWidth="1"/>
    <col min="7" max="7" width="10" customWidth="1"/>
    <col min="8" max="8" width="11" customWidth="1"/>
    <col min="9" max="10" width="14" customWidth="1"/>
    <col min="11" max="13" width="11" customWidth="1"/>
    <col min="14" max="14" width="10" customWidth="1"/>
    <col min="15" max="15" width="60" customWidth="1"/>
  </cols>
  <sheetData>
    <row r="2" spans="2:15" ht="18.75" x14ac:dyDescent="0.3">
      <c r="B2" s="1" t="s">
        <v>0</v>
      </c>
    </row>
    <row r="3" spans="2:15" x14ac:dyDescent="0.25">
      <c r="B3" s="2" t="s">
        <v>1</v>
      </c>
    </row>
    <row r="4" spans="2:15" x14ac:dyDescent="0.25">
      <c r="B4" s="3" t="s">
        <v>2</v>
      </c>
    </row>
    <row r="6" spans="2:15" x14ac:dyDescent="0.25"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x14ac:dyDescent="0.25">
      <c r="B7" s="6" t="s">
        <v>4</v>
      </c>
      <c r="C7" s="7">
        <v>1</v>
      </c>
    </row>
    <row r="8" spans="2:15" x14ac:dyDescent="0.25">
      <c r="B8" s="6" t="s">
        <v>5</v>
      </c>
      <c r="C8" s="7">
        <v>3</v>
      </c>
    </row>
    <row r="10" spans="2:15" x14ac:dyDescent="0.25">
      <c r="B10" s="4" t="s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2:15" x14ac:dyDescent="0.25">
      <c r="B11" s="6" t="s">
        <v>7</v>
      </c>
      <c r="C11" s="8">
        <v>9.2600000000000002E-2</v>
      </c>
      <c r="E11" s="3" t="s">
        <v>8</v>
      </c>
    </row>
    <row r="12" spans="2:15" x14ac:dyDescent="0.25">
      <c r="B12" s="6" t="s">
        <v>9</v>
      </c>
      <c r="C12" s="8">
        <v>1.6199999999999999E-2</v>
      </c>
      <c r="E12" s="3" t="s">
        <v>10</v>
      </c>
    </row>
    <row r="13" spans="2:15" x14ac:dyDescent="0.25">
      <c r="B13" s="6" t="s">
        <v>11</v>
      </c>
      <c r="C13" s="9">
        <f>I27</f>
        <v>1.7607496000000004E-2</v>
      </c>
      <c r="E13" s="3" t="s">
        <v>12</v>
      </c>
    </row>
    <row r="14" spans="2:15" x14ac:dyDescent="0.25">
      <c r="B14" s="6" t="s">
        <v>13</v>
      </c>
      <c r="C14" s="8">
        <v>0</v>
      </c>
      <c r="E14" s="3" t="s">
        <v>14</v>
      </c>
    </row>
    <row r="15" spans="2:15" x14ac:dyDescent="0.25">
      <c r="B15" s="6" t="s">
        <v>15</v>
      </c>
      <c r="C15" s="9">
        <f>$C$11-$C$12</f>
        <v>7.6399999999999996E-2</v>
      </c>
    </row>
    <row r="16" spans="2:15" x14ac:dyDescent="0.25">
      <c r="B16" s="10" t="s">
        <v>16</v>
      </c>
      <c r="C16" s="11">
        <f>IF($C$7=1,$C$11,$C$15)</f>
        <v>9.2600000000000002E-2</v>
      </c>
    </row>
    <row r="17" spans="2:15" x14ac:dyDescent="0.25">
      <c r="B17" s="10" t="s">
        <v>17</v>
      </c>
      <c r="C17" s="11">
        <f>IF($C$7=1,0,$C$13)</f>
        <v>0</v>
      </c>
    </row>
    <row r="18" spans="2:15" x14ac:dyDescent="0.25">
      <c r="B18" s="6" t="s">
        <v>18</v>
      </c>
      <c r="C18" s="8">
        <v>4.2000000000000003E-2</v>
      </c>
      <c r="E18" s="3" t="s">
        <v>19</v>
      </c>
    </row>
    <row r="19" spans="2:15" x14ac:dyDescent="0.25">
      <c r="B19" s="6" t="s">
        <v>20</v>
      </c>
      <c r="C19" s="12">
        <v>0.3</v>
      </c>
      <c r="E19" s="3" t="s">
        <v>21</v>
      </c>
    </row>
    <row r="21" spans="2:15" x14ac:dyDescent="0.25">
      <c r="B21" s="13" t="s">
        <v>22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2:15" x14ac:dyDescent="0.25">
      <c r="E22" s="10" t="s">
        <v>23</v>
      </c>
      <c r="F22" s="10" t="s">
        <v>24</v>
      </c>
      <c r="G22" s="10" t="s">
        <v>25</v>
      </c>
      <c r="H22" s="10" t="s">
        <v>26</v>
      </c>
      <c r="I22" s="10" t="s">
        <v>27</v>
      </c>
    </row>
    <row r="23" spans="2:15" x14ac:dyDescent="0.25">
      <c r="E23" s="6" t="s">
        <v>28</v>
      </c>
      <c r="F23" s="12">
        <v>0.28799999999999998</v>
      </c>
      <c r="G23" s="12">
        <v>0.44600000000000001</v>
      </c>
      <c r="H23" s="8">
        <v>1.792E-3</v>
      </c>
      <c r="I23" s="9">
        <f>F23*H23</f>
        <v>5.1609599999999996E-4</v>
      </c>
      <c r="O23" s="3" t="s">
        <v>29</v>
      </c>
    </row>
    <row r="24" spans="2:15" x14ac:dyDescent="0.25">
      <c r="E24" s="6" t="s">
        <v>30</v>
      </c>
      <c r="F24" s="12">
        <v>0.55400000000000005</v>
      </c>
      <c r="G24" s="12">
        <v>0.32400000000000001</v>
      </c>
      <c r="H24" s="8">
        <v>2.46E-2</v>
      </c>
      <c r="I24" s="9">
        <f>F24*H24</f>
        <v>1.3628400000000001E-2</v>
      </c>
      <c r="O24" s="3" t="s">
        <v>31</v>
      </c>
    </row>
    <row r="25" spans="2:15" x14ac:dyDescent="0.25">
      <c r="E25" s="6" t="s">
        <v>32</v>
      </c>
      <c r="F25" s="12">
        <v>9.8000000000000004E-2</v>
      </c>
      <c r="G25" s="12">
        <v>0.127</v>
      </c>
      <c r="H25" s="8">
        <v>1.55E-2</v>
      </c>
      <c r="I25" s="9">
        <f>F25*H25</f>
        <v>1.519E-3</v>
      </c>
      <c r="O25" s="3" t="s">
        <v>33</v>
      </c>
    </row>
    <row r="26" spans="2:15" x14ac:dyDescent="0.25">
      <c r="E26" s="6" t="s">
        <v>34</v>
      </c>
      <c r="F26" s="12">
        <v>0.06</v>
      </c>
      <c r="G26" s="12">
        <v>0.10299999999999999</v>
      </c>
      <c r="H26" s="8">
        <v>3.2399999999999998E-2</v>
      </c>
      <c r="I26" s="9">
        <f>F26*H26</f>
        <v>1.9439999999999998E-3</v>
      </c>
      <c r="O26" s="3" t="s">
        <v>35</v>
      </c>
    </row>
    <row r="27" spans="2:15" x14ac:dyDescent="0.25">
      <c r="E27" s="10" t="s">
        <v>36</v>
      </c>
      <c r="I27" s="11">
        <f>SUM(I23:I26)</f>
        <v>1.7607496000000004E-2</v>
      </c>
    </row>
    <row r="28" spans="2:15" x14ac:dyDescent="0.25">
      <c r="E28" s="6" t="s">
        <v>37</v>
      </c>
      <c r="I28" s="9">
        <f>SUMPRODUCT(G23:G26,H23:H26)</f>
        <v>1.4075332000000001E-2</v>
      </c>
    </row>
    <row r="30" spans="2:15" x14ac:dyDescent="0.25">
      <c r="B30" s="4" t="s">
        <v>38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5" x14ac:dyDescent="0.25">
      <c r="E31" s="10" t="s">
        <v>39</v>
      </c>
      <c r="F31" s="10" t="s">
        <v>40</v>
      </c>
      <c r="G31" s="10" t="s">
        <v>41</v>
      </c>
      <c r="H31" s="10" t="s">
        <v>42</v>
      </c>
      <c r="I31" s="10" t="s">
        <v>43</v>
      </c>
      <c r="J31" s="10" t="s">
        <v>44</v>
      </c>
      <c r="K31" s="10" t="s">
        <v>45</v>
      </c>
      <c r="L31" s="10" t="s">
        <v>46</v>
      </c>
      <c r="M31" s="10" t="s">
        <v>47</v>
      </c>
      <c r="N31" s="10" t="s">
        <v>48</v>
      </c>
      <c r="O31" s="10" t="s">
        <v>49</v>
      </c>
    </row>
    <row r="32" spans="2:15" x14ac:dyDescent="0.25">
      <c r="E32" s="6" t="s">
        <v>50</v>
      </c>
      <c r="F32" s="6" t="s">
        <v>51</v>
      </c>
      <c r="G32" s="12">
        <v>0.25</v>
      </c>
      <c r="H32" s="15">
        <v>0.43</v>
      </c>
      <c r="I32" s="16">
        <v>2007.8</v>
      </c>
      <c r="J32" s="16">
        <v>1295.7</v>
      </c>
      <c r="K32" s="17">
        <f t="shared" ref="K32:K38" si="0">IFERROR(I32/J32,0)</f>
        <v>1.5495870957783437</v>
      </c>
      <c r="L32" s="17">
        <f t="shared" ref="L32:L38" si="1">H32/(1+(1-G32)*K32)</f>
        <v>0.19887240991593941</v>
      </c>
      <c r="M32" s="18" t="s">
        <v>52</v>
      </c>
      <c r="N32" s="17">
        <f t="shared" ref="N32:N38" si="2">IF(M32="yes",L32,"excl.")</f>
        <v>0.19887240991593941</v>
      </c>
      <c r="O32" s="3" t="s">
        <v>53</v>
      </c>
    </row>
    <row r="33" spans="2:15" x14ac:dyDescent="0.25">
      <c r="E33" s="6" t="s">
        <v>54</v>
      </c>
      <c r="F33" s="6" t="s">
        <v>55</v>
      </c>
      <c r="G33" s="12">
        <v>0.1961</v>
      </c>
      <c r="H33" s="15">
        <v>0.38</v>
      </c>
      <c r="I33" s="16">
        <v>986.9</v>
      </c>
      <c r="J33" s="16">
        <v>1218.8</v>
      </c>
      <c r="K33" s="17">
        <f t="shared" si="0"/>
        <v>0.80973088283557604</v>
      </c>
      <c r="L33" s="17">
        <f t="shared" si="1"/>
        <v>0.23017153167325302</v>
      </c>
      <c r="M33" s="18" t="s">
        <v>52</v>
      </c>
      <c r="N33" s="17">
        <f t="shared" si="2"/>
        <v>0.23017153167325302</v>
      </c>
      <c r="O33" s="3" t="s">
        <v>56</v>
      </c>
    </row>
    <row r="34" spans="2:15" x14ac:dyDescent="0.25">
      <c r="E34" s="6" t="s">
        <v>57</v>
      </c>
      <c r="F34" s="6" t="s">
        <v>58</v>
      </c>
      <c r="G34" s="12">
        <v>0.25</v>
      </c>
      <c r="H34" s="15">
        <v>0.27</v>
      </c>
      <c r="I34" s="16">
        <v>6940.2</v>
      </c>
      <c r="J34" s="16">
        <v>13612.5</v>
      </c>
      <c r="K34" s="17">
        <f t="shared" si="0"/>
        <v>0.50984022038567489</v>
      </c>
      <c r="L34" s="17">
        <f t="shared" si="1"/>
        <v>0.19531530238898057</v>
      </c>
      <c r="M34" s="18" t="s">
        <v>52</v>
      </c>
      <c r="N34" s="17">
        <f t="shared" si="2"/>
        <v>0.19531530238898057</v>
      </c>
      <c r="O34" s="3" t="s">
        <v>59</v>
      </c>
    </row>
    <row r="35" spans="2:15" x14ac:dyDescent="0.25">
      <c r="E35" s="6" t="s">
        <v>60</v>
      </c>
      <c r="F35" s="6" t="s">
        <v>61</v>
      </c>
      <c r="G35" s="12">
        <v>0.25</v>
      </c>
      <c r="H35" s="15">
        <v>0.04</v>
      </c>
      <c r="I35" s="16">
        <v>7450</v>
      </c>
      <c r="J35" s="16">
        <v>5925.9</v>
      </c>
      <c r="K35" s="17">
        <f t="shared" si="0"/>
        <v>1.2571930002193761</v>
      </c>
      <c r="L35" s="17">
        <f t="shared" si="1"/>
        <v>2.0587836781489392E-2</v>
      </c>
      <c r="M35" s="18" t="s">
        <v>52</v>
      </c>
      <c r="N35" s="17">
        <f t="shared" si="2"/>
        <v>2.0587836781489392E-2</v>
      </c>
      <c r="O35" s="3" t="s">
        <v>62</v>
      </c>
    </row>
    <row r="36" spans="2:15" x14ac:dyDescent="0.25">
      <c r="E36" s="6" t="s">
        <v>63</v>
      </c>
      <c r="F36" s="6" t="s">
        <v>64</v>
      </c>
      <c r="G36" s="12">
        <v>0.25</v>
      </c>
      <c r="H36" s="15">
        <v>0.39</v>
      </c>
      <c r="I36" s="16">
        <v>22059</v>
      </c>
      <c r="J36" s="16">
        <v>81568.800000000003</v>
      </c>
      <c r="K36" s="17">
        <f t="shared" si="0"/>
        <v>0.27043428369670758</v>
      </c>
      <c r="L36" s="17">
        <f t="shared" si="1"/>
        <v>0.32423650064899628</v>
      </c>
      <c r="M36" s="18" t="s">
        <v>52</v>
      </c>
      <c r="N36" s="17">
        <f t="shared" si="2"/>
        <v>0.32423650064899628</v>
      </c>
      <c r="O36" s="3" t="s">
        <v>65</v>
      </c>
    </row>
    <row r="37" spans="2:15" x14ac:dyDescent="0.25">
      <c r="E37" s="6" t="s">
        <v>66</v>
      </c>
      <c r="F37" s="6" t="s">
        <v>67</v>
      </c>
      <c r="G37" s="12">
        <v>0.25</v>
      </c>
      <c r="H37" s="15">
        <v>0.36</v>
      </c>
      <c r="I37" s="16">
        <v>51881</v>
      </c>
      <c r="J37" s="16">
        <v>179200.5</v>
      </c>
      <c r="K37" s="17">
        <f t="shared" si="0"/>
        <v>0.28951370113364638</v>
      </c>
      <c r="L37" s="17">
        <f t="shared" si="1"/>
        <v>0.29577649020855185</v>
      </c>
      <c r="M37" s="18" t="s">
        <v>52</v>
      </c>
      <c r="N37" s="17">
        <f t="shared" si="2"/>
        <v>0.29577649020855185</v>
      </c>
      <c r="O37" s="3" t="s">
        <v>68</v>
      </c>
    </row>
    <row r="38" spans="2:15" x14ac:dyDescent="0.25">
      <c r="E38" s="6" t="s">
        <v>69</v>
      </c>
      <c r="F38" s="6" t="s">
        <v>70</v>
      </c>
      <c r="G38" s="12">
        <v>0.3</v>
      </c>
      <c r="H38" s="15">
        <v>0.08</v>
      </c>
      <c r="I38" s="16">
        <v>3644</v>
      </c>
      <c r="J38" s="16">
        <v>18683.400000000001</v>
      </c>
      <c r="K38" s="17">
        <f t="shared" si="0"/>
        <v>0.19503944678163501</v>
      </c>
      <c r="L38" s="17">
        <f t="shared" si="1"/>
        <v>7.038984280076481E-2</v>
      </c>
      <c r="M38" s="18" t="s">
        <v>71</v>
      </c>
      <c r="N38" s="17" t="str">
        <f t="shared" si="2"/>
        <v>excl.</v>
      </c>
      <c r="O38" s="3" t="s">
        <v>72</v>
      </c>
    </row>
    <row r="39" spans="2:15" x14ac:dyDescent="0.25">
      <c r="E39" s="10" t="s">
        <v>73</v>
      </c>
      <c r="N39" s="19">
        <f>MEDIAN(N32:N38)</f>
        <v>0.21452197079459623</v>
      </c>
    </row>
    <row r="40" spans="2:15" x14ac:dyDescent="0.25">
      <c r="E40" s="10" t="s">
        <v>74</v>
      </c>
      <c r="N40" s="19">
        <f>AVERAGE(N32:N38)</f>
        <v>0.21082667860286841</v>
      </c>
    </row>
    <row r="41" spans="2:15" x14ac:dyDescent="0.25">
      <c r="E41" s="6" t="s">
        <v>75</v>
      </c>
      <c r="N41" s="15">
        <v>0.53</v>
      </c>
      <c r="O41" s="3" t="s">
        <v>76</v>
      </c>
    </row>
    <row r="42" spans="2:15" x14ac:dyDescent="0.25">
      <c r="E42" s="6" t="s">
        <v>77</v>
      </c>
      <c r="N42" s="15">
        <v>0.21049999999999999</v>
      </c>
      <c r="O42" s="3" t="s">
        <v>78</v>
      </c>
    </row>
    <row r="43" spans="2:15" x14ac:dyDescent="0.25">
      <c r="E43" s="10" t="s">
        <v>79</v>
      </c>
      <c r="N43" s="19">
        <f>CHOOSE($C$8,$N$39,$N$40,$N$41,$N$42)</f>
        <v>0.53</v>
      </c>
    </row>
    <row r="45" spans="2:15" x14ac:dyDescent="0.25">
      <c r="B45" s="4" t="s">
        <v>80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2:15" x14ac:dyDescent="0.25">
      <c r="B46" s="6" t="s">
        <v>81</v>
      </c>
      <c r="C46" s="15">
        <v>0.74309999999999998</v>
      </c>
      <c r="E46" s="3" t="s">
        <v>82</v>
      </c>
    </row>
    <row r="47" spans="2:15" x14ac:dyDescent="0.25">
      <c r="B47" s="6" t="s">
        <v>83</v>
      </c>
      <c r="C47" s="15">
        <v>0.4793</v>
      </c>
      <c r="E47" s="3" t="s">
        <v>84</v>
      </c>
    </row>
    <row r="48" spans="2:15" x14ac:dyDescent="0.25">
      <c r="B48" s="6" t="s">
        <v>85</v>
      </c>
      <c r="C48" s="15">
        <v>0.68899999999999995</v>
      </c>
      <c r="E48" s="3" t="s">
        <v>86</v>
      </c>
    </row>
    <row r="49" spans="2:15" x14ac:dyDescent="0.25">
      <c r="B49" s="10" t="s">
        <v>87</v>
      </c>
      <c r="C49" s="15">
        <v>0.74309999999999998</v>
      </c>
      <c r="E49" s="3" t="s">
        <v>88</v>
      </c>
    </row>
    <row r="50" spans="2:15" x14ac:dyDescent="0.25">
      <c r="B50" s="6" t="s">
        <v>89</v>
      </c>
      <c r="C50" s="8">
        <v>9.2600000000000002E-2</v>
      </c>
      <c r="E50" s="3" t="s">
        <v>90</v>
      </c>
    </row>
    <row r="51" spans="2:15" x14ac:dyDescent="0.25">
      <c r="B51" s="6" t="s">
        <v>91</v>
      </c>
      <c r="C51" s="8">
        <v>9.7100000000000006E-2</v>
      </c>
      <c r="E51" s="3" t="s">
        <v>92</v>
      </c>
    </row>
    <row r="52" spans="2:15" x14ac:dyDescent="0.25">
      <c r="B52" s="6" t="s">
        <v>93</v>
      </c>
      <c r="C52" s="8">
        <v>0.1026</v>
      </c>
      <c r="E52" s="3" t="s">
        <v>94</v>
      </c>
    </row>
    <row r="53" spans="2:15" x14ac:dyDescent="0.25">
      <c r="B53" s="6" t="s">
        <v>95</v>
      </c>
      <c r="C53" s="8">
        <v>9.2200000000000004E-2</v>
      </c>
      <c r="E53" s="3" t="s">
        <v>96</v>
      </c>
    </row>
    <row r="54" spans="2:15" x14ac:dyDescent="0.25">
      <c r="B54" s="10" t="s">
        <v>97</v>
      </c>
      <c r="C54" s="8">
        <v>9.7100000000000006E-2</v>
      </c>
      <c r="E54" s="3" t="s">
        <v>88</v>
      </c>
    </row>
    <row r="56" spans="2:15" x14ac:dyDescent="0.25">
      <c r="B56" s="4" t="s">
        <v>98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2:15" x14ac:dyDescent="0.25">
      <c r="B57" s="6" t="s">
        <v>99</v>
      </c>
      <c r="C57" s="17">
        <f>$N$43*(1+(1-$C$19)*$C$49)</f>
        <v>0.80569009999999996</v>
      </c>
    </row>
    <row r="58" spans="2:15" x14ac:dyDescent="0.25">
      <c r="B58" s="6" t="s">
        <v>100</v>
      </c>
      <c r="C58" s="9">
        <f>$C$16+$C$57*$C$18+$C$17+$C$14</f>
        <v>0.12643898419999999</v>
      </c>
    </row>
    <row r="59" spans="2:15" x14ac:dyDescent="0.25">
      <c r="B59" s="6" t="s">
        <v>101</v>
      </c>
      <c r="C59" s="20">
        <f>1/(1+$C$49)</f>
        <v>0.57369055131661983</v>
      </c>
    </row>
    <row r="60" spans="2:15" x14ac:dyDescent="0.25">
      <c r="B60" s="6" t="s">
        <v>102</v>
      </c>
      <c r="C60" s="9">
        <f>$C$58*$C$59</f>
        <v>7.2536850553611379E-2</v>
      </c>
    </row>
    <row r="61" spans="2:15" x14ac:dyDescent="0.25">
      <c r="B61" s="6" t="s">
        <v>103</v>
      </c>
      <c r="C61" s="9">
        <f>$C$54*(1-$C$19)</f>
        <v>6.7970000000000003E-2</v>
      </c>
    </row>
    <row r="62" spans="2:15" x14ac:dyDescent="0.25">
      <c r="B62" s="6" t="s">
        <v>104</v>
      </c>
      <c r="C62" s="20">
        <f>$C$49/(1+$C$49)</f>
        <v>0.42630944868338017</v>
      </c>
    </row>
    <row r="63" spans="2:15" x14ac:dyDescent="0.25">
      <c r="B63" s="6" t="s">
        <v>105</v>
      </c>
      <c r="C63" s="9">
        <f>$C$61*$C$62</f>
        <v>2.8976253227009349E-2</v>
      </c>
    </row>
    <row r="64" spans="2:15" x14ac:dyDescent="0.25">
      <c r="B64" s="10" t="s">
        <v>106</v>
      </c>
      <c r="C64" s="11">
        <f>$C$60+$C$63</f>
        <v>0.10151310378062073</v>
      </c>
    </row>
    <row r="65" spans="2:15" x14ac:dyDescent="0.25">
      <c r="B65" s="6" t="s">
        <v>107</v>
      </c>
      <c r="C65" s="8">
        <v>0.1015131037806207</v>
      </c>
    </row>
    <row r="66" spans="2:15" x14ac:dyDescent="0.25">
      <c r="B66" s="10" t="s">
        <v>108</v>
      </c>
      <c r="C66" s="21" t="str">
        <f>IF(ABS($C$64-$C$65)&lt;0.000001,"OK","DIFFERENT SELECTION")</f>
        <v>OK</v>
      </c>
      <c r="E66" s="3" t="s">
        <v>109</v>
      </c>
    </row>
    <row r="68" spans="2:15" x14ac:dyDescent="0.25">
      <c r="B68" s="4" t="s">
        <v>110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2:15" x14ac:dyDescent="0.25">
      <c r="B69" s="13" t="s">
        <v>111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2:15" x14ac:dyDescent="0.25">
      <c r="C70" s="9">
        <f>$C$54+(-0.01)</f>
        <v>8.7100000000000011E-2</v>
      </c>
      <c r="D70" s="9">
        <f>$C$54+(-0.005)</f>
        <v>9.2100000000000001E-2</v>
      </c>
      <c r="E70" s="9">
        <f>$C$54+(0)</f>
        <v>9.7100000000000006E-2</v>
      </c>
      <c r="F70" s="9">
        <f>$C$54+(0.005)</f>
        <v>0.10210000000000001</v>
      </c>
      <c r="G70" s="9">
        <f>$C$54+(0.01)</f>
        <v>0.1071</v>
      </c>
    </row>
    <row r="71" spans="2:15" x14ac:dyDescent="0.25">
      <c r="B71" s="12">
        <v>0.25</v>
      </c>
      <c r="C71" s="9">
        <f t="shared" ref="C71:G77" si="3">(1-$B71)*($C$16+$N$43*(1+(1-$C$19)*($B71/(1-$B71)))*$C$18+$C$17+$C$14)+$B71*C$70*(1-$C$19)</f>
        <v>0.10528300000000002</v>
      </c>
      <c r="D71" s="9">
        <f t="shared" si="3"/>
        <v>0.106158</v>
      </c>
      <c r="E71" s="9">
        <f t="shared" si="3"/>
        <v>0.10703300000000002</v>
      </c>
      <c r="F71" s="9">
        <f t="shared" si="3"/>
        <v>0.107908</v>
      </c>
      <c r="G71" s="9">
        <f t="shared" si="3"/>
        <v>0.108783</v>
      </c>
    </row>
    <row r="72" spans="2:15" x14ac:dyDescent="0.25">
      <c r="B72" s="12">
        <v>0.3</v>
      </c>
      <c r="C72" s="9">
        <f t="shared" si="3"/>
        <v>0.1033676</v>
      </c>
      <c r="D72" s="9">
        <f t="shared" si="3"/>
        <v>0.1044176</v>
      </c>
      <c r="E72" s="9">
        <f t="shared" si="3"/>
        <v>0.10546759999999999</v>
      </c>
      <c r="F72" s="9">
        <f t="shared" si="3"/>
        <v>0.1065176</v>
      </c>
      <c r="G72" s="9">
        <f t="shared" si="3"/>
        <v>0.1075676</v>
      </c>
    </row>
    <row r="73" spans="2:15" x14ac:dyDescent="0.25">
      <c r="B73" s="12">
        <v>0.35</v>
      </c>
      <c r="C73" s="9">
        <f t="shared" si="3"/>
        <v>0.10145220000000001</v>
      </c>
      <c r="D73" s="9">
        <f t="shared" si="3"/>
        <v>0.10267720000000001</v>
      </c>
      <c r="E73" s="9">
        <f t="shared" si="3"/>
        <v>0.1039022</v>
      </c>
      <c r="F73" s="9">
        <f t="shared" si="3"/>
        <v>0.1051272</v>
      </c>
      <c r="G73" s="9">
        <f t="shared" si="3"/>
        <v>0.10635220000000001</v>
      </c>
    </row>
    <row r="74" spans="2:15" x14ac:dyDescent="0.25">
      <c r="B74" s="12">
        <v>0.4</v>
      </c>
      <c r="C74" s="9">
        <f t="shared" si="3"/>
        <v>9.9536800000000009E-2</v>
      </c>
      <c r="D74" s="9">
        <f t="shared" si="3"/>
        <v>0.10093680000000001</v>
      </c>
      <c r="E74" s="9">
        <f t="shared" si="3"/>
        <v>0.10233680000000001</v>
      </c>
      <c r="F74" s="9">
        <f t="shared" si="3"/>
        <v>0.1037368</v>
      </c>
      <c r="G74" s="9">
        <f t="shared" si="3"/>
        <v>0.1051368</v>
      </c>
    </row>
    <row r="75" spans="2:15" x14ac:dyDescent="0.25">
      <c r="B75" s="12">
        <v>0.45</v>
      </c>
      <c r="C75" s="9">
        <f t="shared" si="3"/>
        <v>9.7621400000000011E-2</v>
      </c>
      <c r="D75" s="9">
        <f t="shared" si="3"/>
        <v>9.9196400000000004E-2</v>
      </c>
      <c r="E75" s="9">
        <f t="shared" si="3"/>
        <v>0.10077140000000001</v>
      </c>
      <c r="F75" s="9">
        <f t="shared" si="3"/>
        <v>0.1023464</v>
      </c>
      <c r="G75" s="9">
        <f t="shared" si="3"/>
        <v>0.1039214</v>
      </c>
    </row>
    <row r="76" spans="2:15" x14ac:dyDescent="0.25">
      <c r="B76" s="12">
        <v>0.5</v>
      </c>
      <c r="C76" s="9">
        <f t="shared" si="3"/>
        <v>9.5705999999999999E-2</v>
      </c>
      <c r="D76" s="9">
        <f t="shared" si="3"/>
        <v>9.7456000000000001E-2</v>
      </c>
      <c r="E76" s="9">
        <f t="shared" si="3"/>
        <v>9.9206000000000003E-2</v>
      </c>
      <c r="F76" s="9">
        <f t="shared" si="3"/>
        <v>0.100956</v>
      </c>
      <c r="G76" s="9">
        <f t="shared" si="3"/>
        <v>0.10270599999999999</v>
      </c>
    </row>
    <row r="77" spans="2:15" x14ac:dyDescent="0.25">
      <c r="B77" s="12">
        <v>0.55000000000000004</v>
      </c>
      <c r="C77" s="9">
        <f t="shared" si="3"/>
        <v>9.3790600000000002E-2</v>
      </c>
      <c r="D77" s="9">
        <f t="shared" si="3"/>
        <v>9.5715599999999998E-2</v>
      </c>
      <c r="E77" s="9">
        <f t="shared" si="3"/>
        <v>9.7640599999999994E-2</v>
      </c>
      <c r="F77" s="9">
        <f t="shared" si="3"/>
        <v>9.9565600000000004E-2</v>
      </c>
      <c r="G77" s="9">
        <f t="shared" si="3"/>
        <v>0.10149059999999999</v>
      </c>
    </row>
    <row r="79" spans="2:15" x14ac:dyDescent="0.25">
      <c r="B79" s="13" t="s">
        <v>112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2:15" x14ac:dyDescent="0.25">
      <c r="C80" s="9">
        <f>$C$18+(-0.01)</f>
        <v>3.2000000000000001E-2</v>
      </c>
      <c r="D80" s="9">
        <f>$C$18+(-0.005)</f>
        <v>3.7000000000000005E-2</v>
      </c>
      <c r="E80" s="9">
        <f>$C$18+(0)</f>
        <v>4.2000000000000003E-2</v>
      </c>
      <c r="F80" s="9">
        <f>$C$18+(0.005)</f>
        <v>4.7E-2</v>
      </c>
      <c r="G80" s="9">
        <f>$C$18+(0.01)</f>
        <v>5.2000000000000005E-2</v>
      </c>
    </row>
    <row r="81" spans="2:7" x14ac:dyDescent="0.25">
      <c r="B81" s="17">
        <f>$N$43+(-0.2)</f>
        <v>0.33</v>
      </c>
      <c r="C81" s="9">
        <f t="shared" ref="C81:G85" si="4">$C$59*($C$16+$B81*(1+(1-$C$19)*$C$49)*C$80+$C$17+$C$14)+$C$62*$C$61</f>
        <v>9.1309449945499402E-2</v>
      </c>
      <c r="D81" s="9">
        <f t="shared" si="4"/>
        <v>9.2748426768401129E-2</v>
      </c>
      <c r="E81" s="9">
        <f t="shared" si="4"/>
        <v>9.4187403591302843E-2</v>
      </c>
      <c r="F81" s="9">
        <f t="shared" si="4"/>
        <v>9.562638041420457E-2</v>
      </c>
      <c r="G81" s="9">
        <f t="shared" si="4"/>
        <v>9.7065357237106298E-2</v>
      </c>
    </row>
    <row r="82" spans="2:7" x14ac:dyDescent="0.25">
      <c r="B82" s="17">
        <f>$N$43+(-0.1)</f>
        <v>0.43000000000000005</v>
      </c>
      <c r="C82" s="9">
        <f t="shared" si="4"/>
        <v>9.4100192874763358E-2</v>
      </c>
      <c r="D82" s="9">
        <f t="shared" si="4"/>
        <v>9.5975223280362565E-2</v>
      </c>
      <c r="E82" s="9">
        <f t="shared" si="4"/>
        <v>9.7850253685961799E-2</v>
      </c>
      <c r="F82" s="9">
        <f t="shared" si="4"/>
        <v>9.972528409156102E-2</v>
      </c>
      <c r="G82" s="9">
        <f t="shared" si="4"/>
        <v>0.10160031449716023</v>
      </c>
    </row>
    <row r="83" spans="2:7" x14ac:dyDescent="0.25">
      <c r="B83" s="17">
        <f>$N$43+(0)</f>
        <v>0.53</v>
      </c>
      <c r="C83" s="9">
        <f t="shared" si="4"/>
        <v>9.6890935804027314E-2</v>
      </c>
      <c r="D83" s="9">
        <f t="shared" si="4"/>
        <v>9.9202019792324028E-2</v>
      </c>
      <c r="E83" s="9">
        <f t="shared" si="4"/>
        <v>0.10151310378062073</v>
      </c>
      <c r="F83" s="9">
        <f t="shared" si="4"/>
        <v>0.10382418776891744</v>
      </c>
      <c r="G83" s="9">
        <f t="shared" si="4"/>
        <v>0.10613527175721416</v>
      </c>
    </row>
    <row r="84" spans="2:7" x14ac:dyDescent="0.25">
      <c r="B84" s="17">
        <f>$N$43+(0.1)</f>
        <v>0.63</v>
      </c>
      <c r="C84" s="9">
        <f t="shared" si="4"/>
        <v>9.9681678733291257E-2</v>
      </c>
      <c r="D84" s="9">
        <f t="shared" si="4"/>
        <v>0.10242881630428548</v>
      </c>
      <c r="E84" s="9">
        <f t="shared" si="4"/>
        <v>0.10517595387527968</v>
      </c>
      <c r="F84" s="9">
        <f t="shared" si="4"/>
        <v>0.10792309144627388</v>
      </c>
      <c r="G84" s="9">
        <f t="shared" si="4"/>
        <v>0.11067022901726808</v>
      </c>
    </row>
    <row r="85" spans="2:7" x14ac:dyDescent="0.25">
      <c r="B85" s="17">
        <f>$N$43+(0.2)</f>
        <v>0.73</v>
      </c>
      <c r="C85" s="9">
        <f t="shared" si="4"/>
        <v>0.10247242166255521</v>
      </c>
      <c r="D85" s="9">
        <f t="shared" si="4"/>
        <v>0.10565561281624691</v>
      </c>
      <c r="E85" s="9">
        <f t="shared" si="4"/>
        <v>0.10883880396993861</v>
      </c>
      <c r="F85" s="9">
        <f t="shared" si="4"/>
        <v>0.1120219951236303</v>
      </c>
      <c r="G85" s="9">
        <f t="shared" si="4"/>
        <v>0.11520518627732201</v>
      </c>
    </row>
    <row r="87" spans="2:7" x14ac:dyDescent="0.25">
      <c r="B87" s="3" t="s">
        <v>113</v>
      </c>
    </row>
  </sheetData>
  <dataValidations count="2">
    <dataValidation type="list" sqref="C7" xr:uid="{00000000-0002-0000-0000-000000000000}">
      <formula1>"1,2"</formula1>
    </dataValidation>
    <dataValidation type="list" sqref="C8" xr:uid="{00000000-0002-0000-0000-000001000000}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6"/>
  <sheetViews>
    <sheetView workbookViewId="0"/>
  </sheetViews>
  <sheetFormatPr defaultRowHeight="15" x14ac:dyDescent="0.25"/>
  <cols>
    <col min="2" max="2" width="46" customWidth="1"/>
    <col min="3" max="3" width="14" customWidth="1"/>
    <col min="4" max="5" width="12" customWidth="1"/>
    <col min="6" max="6" width="80" customWidth="1"/>
    <col min="7" max="7" width="12" customWidth="1"/>
  </cols>
  <sheetData>
    <row r="2" spans="2:7" ht="18.75" x14ac:dyDescent="0.3">
      <c r="B2" s="1" t="s">
        <v>114</v>
      </c>
    </row>
    <row r="3" spans="2:7" x14ac:dyDescent="0.25">
      <c r="B3" s="3" t="s">
        <v>115</v>
      </c>
    </row>
    <row r="5" spans="2:7" x14ac:dyDescent="0.25">
      <c r="B5" s="4" t="s">
        <v>116</v>
      </c>
      <c r="C5" s="4" t="s">
        <v>117</v>
      </c>
      <c r="D5" s="4" t="s">
        <v>118</v>
      </c>
      <c r="E5" s="4" t="s">
        <v>119</v>
      </c>
      <c r="F5" s="4" t="s">
        <v>49</v>
      </c>
      <c r="G5" s="4" t="s">
        <v>120</v>
      </c>
    </row>
    <row r="6" spans="2:7" x14ac:dyDescent="0.25">
      <c r="B6" s="6" t="s">
        <v>121</v>
      </c>
      <c r="C6" s="22">
        <v>58.6</v>
      </c>
      <c r="D6" s="6" t="s">
        <v>122</v>
      </c>
      <c r="E6" s="6" t="s">
        <v>123</v>
      </c>
      <c r="F6" s="6" t="s">
        <v>124</v>
      </c>
      <c r="G6" s="6" t="s">
        <v>125</v>
      </c>
    </row>
    <row r="7" spans="2:7" x14ac:dyDescent="0.25">
      <c r="B7" s="6" t="s">
        <v>126</v>
      </c>
      <c r="C7" s="6" t="s">
        <v>127</v>
      </c>
      <c r="D7" s="6" t="s">
        <v>122</v>
      </c>
      <c r="E7" s="6" t="s">
        <v>123</v>
      </c>
      <c r="F7" s="6" t="s">
        <v>128</v>
      </c>
      <c r="G7" s="6" t="s">
        <v>129</v>
      </c>
    </row>
    <row r="8" spans="2:7" x14ac:dyDescent="0.25">
      <c r="B8" s="6" t="s">
        <v>130</v>
      </c>
      <c r="C8" s="22">
        <v>4294.9437150000003</v>
      </c>
      <c r="D8" s="6" t="s">
        <v>131</v>
      </c>
      <c r="E8" s="6" t="s">
        <v>123</v>
      </c>
      <c r="F8" s="6" t="s">
        <v>132</v>
      </c>
      <c r="G8" s="6" t="s">
        <v>133</v>
      </c>
    </row>
    <row r="9" spans="2:7" x14ac:dyDescent="0.25">
      <c r="B9" s="6" t="s">
        <v>134</v>
      </c>
      <c r="C9" s="22">
        <v>251683.7</v>
      </c>
      <c r="D9" s="6" t="s">
        <v>135</v>
      </c>
      <c r="E9" s="6" t="s">
        <v>136</v>
      </c>
      <c r="F9" s="6" t="s">
        <v>137</v>
      </c>
      <c r="G9" s="6" t="s">
        <v>125</v>
      </c>
    </row>
    <row r="10" spans="2:7" x14ac:dyDescent="0.25">
      <c r="B10" s="6" t="s">
        <v>138</v>
      </c>
      <c r="C10" s="23">
        <v>9.2600000000000002E-2</v>
      </c>
      <c r="D10" s="6" t="s">
        <v>139</v>
      </c>
      <c r="E10" s="6" t="s">
        <v>123</v>
      </c>
      <c r="F10" s="6" t="s">
        <v>140</v>
      </c>
      <c r="G10" s="6" t="s">
        <v>125</v>
      </c>
    </row>
    <row r="11" spans="2:7" x14ac:dyDescent="0.25">
      <c r="B11" s="6" t="s">
        <v>141</v>
      </c>
      <c r="C11" s="23">
        <v>5.0900000000000001E-2</v>
      </c>
      <c r="D11" s="6" t="s">
        <v>139</v>
      </c>
      <c r="E11" s="6" t="s">
        <v>123</v>
      </c>
      <c r="F11" s="6" t="s">
        <v>140</v>
      </c>
      <c r="G11" s="6" t="s">
        <v>125</v>
      </c>
    </row>
    <row r="12" spans="2:7" x14ac:dyDescent="0.25">
      <c r="B12" s="6" t="s">
        <v>142</v>
      </c>
      <c r="C12" s="23">
        <v>9.5300000000000003E-3</v>
      </c>
      <c r="D12" s="6" t="s">
        <v>139</v>
      </c>
      <c r="E12" s="6" t="s">
        <v>123</v>
      </c>
      <c r="F12" s="6" t="s">
        <v>143</v>
      </c>
      <c r="G12" s="6" t="s">
        <v>125</v>
      </c>
    </row>
    <row r="13" spans="2:7" x14ac:dyDescent="0.25">
      <c r="B13" s="6" t="s">
        <v>144</v>
      </c>
      <c r="C13" s="23">
        <v>4.2000000000000003E-2</v>
      </c>
      <c r="D13" s="6" t="s">
        <v>139</v>
      </c>
      <c r="E13" s="6" t="s">
        <v>123</v>
      </c>
      <c r="F13" s="6" t="s">
        <v>145</v>
      </c>
      <c r="G13" s="6" t="s">
        <v>146</v>
      </c>
    </row>
    <row r="14" spans="2:7" x14ac:dyDescent="0.25">
      <c r="B14" s="6" t="s">
        <v>147</v>
      </c>
      <c r="C14" s="6" t="s">
        <v>148</v>
      </c>
      <c r="D14" s="6" t="s">
        <v>139</v>
      </c>
      <c r="E14" s="6" t="s">
        <v>123</v>
      </c>
      <c r="F14" s="6" t="s">
        <v>149</v>
      </c>
      <c r="G14" s="6" t="s">
        <v>150</v>
      </c>
    </row>
    <row r="15" spans="2:7" x14ac:dyDescent="0.25">
      <c r="B15" s="6" t="s">
        <v>151</v>
      </c>
      <c r="C15" s="6" t="s">
        <v>152</v>
      </c>
      <c r="D15" s="6" t="s">
        <v>153</v>
      </c>
      <c r="E15" s="6" t="s">
        <v>123</v>
      </c>
      <c r="F15" s="6" t="s">
        <v>154</v>
      </c>
      <c r="G15" s="6" t="s">
        <v>155</v>
      </c>
    </row>
    <row r="16" spans="2:7" x14ac:dyDescent="0.25">
      <c r="B16" s="6" t="s">
        <v>156</v>
      </c>
      <c r="C16" s="23">
        <v>0.32</v>
      </c>
      <c r="D16" s="6" t="s">
        <v>153</v>
      </c>
      <c r="E16" s="6" t="s">
        <v>157</v>
      </c>
      <c r="F16" s="6" t="s">
        <v>158</v>
      </c>
      <c r="G16" s="6" t="s">
        <v>125</v>
      </c>
    </row>
    <row r="17" spans="2:7" x14ac:dyDescent="0.25">
      <c r="B17" s="6" t="s">
        <v>159</v>
      </c>
      <c r="C17" s="23">
        <v>9.2600000000000002E-2</v>
      </c>
      <c r="D17" s="6" t="s">
        <v>139</v>
      </c>
      <c r="E17" s="6" t="s">
        <v>123</v>
      </c>
      <c r="F17" s="6" t="s">
        <v>160</v>
      </c>
      <c r="G17" s="6" t="s">
        <v>161</v>
      </c>
    </row>
    <row r="18" spans="2:7" x14ac:dyDescent="0.25">
      <c r="B18" s="6" t="s">
        <v>162</v>
      </c>
      <c r="C18" s="6" t="s">
        <v>163</v>
      </c>
      <c r="D18" s="6" t="s">
        <v>135</v>
      </c>
      <c r="E18" s="6" t="s">
        <v>123</v>
      </c>
      <c r="F18" s="6" t="s">
        <v>164</v>
      </c>
      <c r="G18" s="6" t="s">
        <v>165</v>
      </c>
    </row>
    <row r="19" spans="2:7" x14ac:dyDescent="0.25">
      <c r="B19" s="6" t="s">
        <v>166</v>
      </c>
      <c r="C19" s="6" t="s">
        <v>167</v>
      </c>
      <c r="D19" s="6" t="s">
        <v>135</v>
      </c>
      <c r="E19" s="6" t="s">
        <v>123</v>
      </c>
      <c r="F19" s="6" t="s">
        <v>168</v>
      </c>
      <c r="G19" s="6" t="s">
        <v>169</v>
      </c>
    </row>
    <row r="20" spans="2:7" x14ac:dyDescent="0.25">
      <c r="B20" s="6" t="s">
        <v>170</v>
      </c>
      <c r="C20" s="6" t="s">
        <v>171</v>
      </c>
      <c r="D20" s="6" t="s">
        <v>135</v>
      </c>
      <c r="E20" s="6" t="s">
        <v>123</v>
      </c>
      <c r="F20" s="6" t="s">
        <v>172</v>
      </c>
      <c r="G20" s="6" t="s">
        <v>165</v>
      </c>
    </row>
    <row r="21" spans="2:7" x14ac:dyDescent="0.25">
      <c r="B21" s="6" t="s">
        <v>173</v>
      </c>
      <c r="C21" s="22">
        <v>7018</v>
      </c>
      <c r="D21" s="6" t="s">
        <v>135</v>
      </c>
      <c r="E21" s="6" t="s">
        <v>123</v>
      </c>
      <c r="F21" s="6" t="s">
        <v>174</v>
      </c>
      <c r="G21" s="6" t="s">
        <v>165</v>
      </c>
    </row>
    <row r="22" spans="2:7" x14ac:dyDescent="0.25">
      <c r="B22" s="6" t="s">
        <v>175</v>
      </c>
      <c r="C22" s="22">
        <v>907</v>
      </c>
      <c r="D22" s="6" t="s">
        <v>135</v>
      </c>
      <c r="E22" s="6" t="s">
        <v>123</v>
      </c>
      <c r="F22" s="6" t="s">
        <v>176</v>
      </c>
      <c r="G22" s="6" t="s">
        <v>169</v>
      </c>
    </row>
    <row r="23" spans="2:7" x14ac:dyDescent="0.25">
      <c r="B23" s="6" t="s">
        <v>177</v>
      </c>
      <c r="C23" s="23">
        <v>1.075</v>
      </c>
      <c r="D23" s="6" t="s">
        <v>178</v>
      </c>
      <c r="E23" s="6" t="s">
        <v>123</v>
      </c>
      <c r="F23" s="6" t="s">
        <v>179</v>
      </c>
      <c r="G23" s="6" t="s">
        <v>180</v>
      </c>
    </row>
    <row r="24" spans="2:7" x14ac:dyDescent="0.25">
      <c r="B24" s="6" t="s">
        <v>181</v>
      </c>
      <c r="C24" s="23">
        <v>1.05</v>
      </c>
      <c r="D24" s="6" t="s">
        <v>178</v>
      </c>
      <c r="E24" s="6" t="s">
        <v>123</v>
      </c>
      <c r="F24" s="6" t="s">
        <v>182</v>
      </c>
      <c r="G24" s="6" t="s">
        <v>183</v>
      </c>
    </row>
    <row r="26" spans="2:7" x14ac:dyDescent="0.25">
      <c r="B26" s="3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</vt:lpstr>
      <vt:lpstr>Inputs_Sources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2026-10-17T07:51:54Z</dcterms:created>
  <dcterms:modified xsi:type="dcterms:W3CDTF">2026-10-17T07:51:56Z</dcterms:modified>
</cp:coreProperties>
</file>